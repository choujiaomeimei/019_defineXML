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Project_Web\019_defineXML\项目所需文件\"/>
    </mc:Choice>
  </mc:AlternateContent>
  <xr:revisionPtr revIDLastSave="0" documentId="13_ncr:1_{EDB402CE-CC53-439F-9EC4-956683FE8211}" xr6:coauthVersionLast="47" xr6:coauthVersionMax="47" xr10:uidLastSave="{00000000-0000-0000-0000-000000000000}"/>
  <bookViews>
    <workbookView xWindow="-108" yWindow="-108" windowWidth="30936" windowHeight="16776" tabRatio="913" xr2:uid="{00000000-000D-0000-FFFF-FFFF00000000}"/>
  </bookViews>
  <sheets>
    <sheet name="TOC" sheetId="16" r:id="rId1"/>
    <sheet name="SUPP" sheetId="40" r:id="rId2"/>
    <sheet name="TS" sheetId="34" r:id="rId3"/>
    <sheet name="TE" sheetId="31" r:id="rId4"/>
    <sheet name="TA" sheetId="32" r:id="rId5"/>
    <sheet name="TV" sheetId="122" r:id="rId6"/>
    <sheet name="TI" sheetId="123" r:id="rId7"/>
    <sheet name="DM" sheetId="35" r:id="rId8"/>
    <sheet name="IE" sheetId="135" r:id="rId9"/>
    <sheet name="EX" sheetId="42" r:id="rId10"/>
    <sheet name="EC" sheetId="143" r:id="rId11"/>
    <sheet name="SE" sheetId="41" r:id="rId12"/>
    <sheet name="SV" sheetId="124" r:id="rId13"/>
    <sheet name="DS" sheetId="63" r:id="rId14"/>
    <sheet name="VS" sheetId="125" r:id="rId15"/>
    <sheet name="PE" sheetId="126" r:id="rId16"/>
    <sheet name="QS" sheetId="146" r:id="rId17"/>
    <sheet name="LB" sheetId="90" r:id="rId18"/>
    <sheet name="LBTESTCD" sheetId="153" r:id="rId19"/>
    <sheet name="EG" sheetId="110" r:id="rId20"/>
    <sheet name="AE" sheetId="129" r:id="rId21"/>
    <sheet name="PR" sheetId="128" r:id="rId22"/>
    <sheet name="CM" sheetId="109" r:id="rId23"/>
    <sheet name="MH" sheetId="127" r:id="rId24"/>
    <sheet name="IS" sheetId="148" r:id="rId25"/>
    <sheet name="DV" sheetId="140" r:id="rId26"/>
    <sheet name="SS" sheetId="147" r:id="rId27"/>
    <sheet name="RS" sheetId="145" r:id="rId28"/>
    <sheet name="TR" sheetId="144" r:id="rId29"/>
    <sheet name="TU" sheetId="138" r:id="rId30"/>
    <sheet name="DM_bk" sheetId="130" state="hidden" r:id="rId31"/>
    <sheet name="PC" sheetId="101" r:id="rId32"/>
    <sheet name="PCTESTCD" sheetId="149" r:id="rId33"/>
    <sheet name="PP" sheetId="102" r:id="rId34"/>
    <sheet name="PPTESTCD" sheetId="142" r:id="rId35"/>
    <sheet name="VLM" sheetId="150" r:id="rId36"/>
    <sheet name="Codelists" sheetId="151" r:id="rId37"/>
    <sheet name="Annots" sheetId="152" r:id="rId38"/>
  </sheets>
  <externalReferences>
    <externalReference r:id="rId39"/>
    <externalReference r:id="rId40"/>
  </externalReferences>
  <definedNames>
    <definedName name="_xlnm._FilterDatabase" localSheetId="20" hidden="1">AE!$A$1:$R$49</definedName>
    <definedName name="_xlnm._FilterDatabase" localSheetId="22" hidden="1">CM!$A$1:$R$46</definedName>
    <definedName name="_xlnm._FilterDatabase" localSheetId="7" hidden="1">DM!$A$1:$R$47</definedName>
    <definedName name="_xlnm._FilterDatabase" localSheetId="13" hidden="1">DS!$A$1:$R$12</definedName>
    <definedName name="_xlnm._FilterDatabase" localSheetId="25" hidden="1">DV!$A$1:$O$17</definedName>
    <definedName name="_xlnm._FilterDatabase" localSheetId="10" hidden="1">EC!$A$1:$R$19</definedName>
    <definedName name="_xlnm._FilterDatabase" localSheetId="19" hidden="1">EG!$A$1:$R$25</definedName>
    <definedName name="_xlnm._FilterDatabase" localSheetId="9" hidden="1">EX!$A$1:$R$21</definedName>
    <definedName name="_xlnm._FilterDatabase" localSheetId="24" hidden="1">IS!$A$1:$R$36</definedName>
    <definedName name="_xlnm._FilterDatabase" localSheetId="17" hidden="1">LB!$A$1:$R$40</definedName>
    <definedName name="_xlnm._FilterDatabase" localSheetId="23" hidden="1">MH!$A$1:$R$24</definedName>
    <definedName name="_xlnm._FilterDatabase" localSheetId="31" hidden="1">PC!$A$1:$R$31</definedName>
    <definedName name="_xlnm._FilterDatabase" localSheetId="15" hidden="1">PE!$A$1:$R$22</definedName>
    <definedName name="_xlnm._FilterDatabase" localSheetId="33" hidden="1">PP!$A$1:$R$18</definedName>
    <definedName name="_xlnm._FilterDatabase" localSheetId="34" hidden="1">PPTESTCD!$A$1:$J$91</definedName>
    <definedName name="_xlnm._FilterDatabase" localSheetId="21" hidden="1">PR!$A$1:$R$36</definedName>
    <definedName name="_xlnm._FilterDatabase" localSheetId="16" hidden="1">QS!$A$1:$R$22</definedName>
    <definedName name="_xlnm._FilterDatabase" localSheetId="27" hidden="1">RS!$A$1:$R$18</definedName>
    <definedName name="_xlnm._FilterDatabase" localSheetId="11" hidden="1">SE!$A$1:$O$13</definedName>
    <definedName name="_xlnm._FilterDatabase" localSheetId="26" hidden="1">SS!$A$1:$R$18</definedName>
    <definedName name="_xlnm._FilterDatabase" localSheetId="12" hidden="1">SV!$A$1:$O$12</definedName>
    <definedName name="_xlnm._FilterDatabase" localSheetId="0" hidden="1">TOC!$A$2:$H$2</definedName>
    <definedName name="_xlnm._FilterDatabase" localSheetId="28" hidden="1">TR!$A$1:$R$23</definedName>
    <definedName name="_xlnm._FilterDatabase" localSheetId="2" hidden="1">TS!$A$1:$N$11</definedName>
    <definedName name="_xlnm._FilterDatabase" localSheetId="29" hidden="1">TU!$A$1:$R$21</definedName>
    <definedName name="_xlnm._FilterDatabase" localSheetId="14" hidden="1">VS!$A$1:$R$28</definedName>
    <definedName name="_VLM">VLM!$A$1:$K$317</definedName>
    <definedName name="Annots">Annots!$A$1:$F$632</definedName>
    <definedName name="codelists">Codelists!$A$1:$H$1254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7" i="153" l="1"/>
  <c r="H203" i="153"/>
  <c r="H204" i="153" s="1"/>
  <c r="H205" i="153" s="1"/>
  <c r="H206" i="153" s="1"/>
  <c r="H194" i="153"/>
  <c r="H195" i="153" s="1"/>
  <c r="H196" i="153" s="1"/>
  <c r="H197" i="153" s="1"/>
  <c r="H198" i="153" s="1"/>
  <c r="H199" i="153" s="1"/>
  <c r="H200" i="153" s="1"/>
  <c r="H201" i="153" s="1"/>
  <c r="H202" i="153" s="1"/>
  <c r="H193" i="153"/>
  <c r="H191" i="153"/>
  <c r="H192" i="153" s="1"/>
  <c r="L163" i="153"/>
  <c r="L163" i="153" a="1"/>
  <c r="H145" i="153"/>
  <c r="H146" i="153" s="1"/>
  <c r="H147" i="153" s="1"/>
  <c r="H148" i="153" s="1"/>
  <c r="H149" i="153" s="1"/>
  <c r="H150" i="153" s="1"/>
  <c r="H151" i="153" s="1"/>
  <c r="H152" i="153" s="1"/>
  <c r="H153" i="153" s="1"/>
  <c r="H154" i="153" s="1"/>
  <c r="H155" i="153" s="1"/>
  <c r="H156" i="153" s="1"/>
  <c r="H157" i="153" s="1"/>
  <c r="H158" i="153" s="1"/>
  <c r="H159" i="153" s="1"/>
  <c r="H160" i="153" s="1"/>
  <c r="H161" i="153" s="1"/>
  <c r="H162" i="153" s="1"/>
  <c r="H163" i="153" s="1"/>
  <c r="H164" i="153" s="1"/>
  <c r="H165" i="153" s="1"/>
  <c r="H166" i="153" s="1"/>
  <c r="H167" i="153" s="1"/>
  <c r="H168" i="153" s="1"/>
  <c r="H169" i="153" s="1"/>
  <c r="H170" i="153" s="1"/>
  <c r="H171" i="153" s="1"/>
  <c r="H172" i="153" s="1"/>
  <c r="H173" i="153" s="1"/>
  <c r="H174" i="153" s="1"/>
  <c r="H175" i="153" s="1"/>
  <c r="H176" i="153" s="1"/>
  <c r="H177" i="153" s="1"/>
  <c r="H178" i="153" s="1"/>
  <c r="H179" i="153" s="1"/>
  <c r="H180" i="153" s="1"/>
  <c r="H181" i="153" s="1"/>
  <c r="H182" i="153" s="1"/>
  <c r="H183" i="153" s="1"/>
  <c r="H184" i="153" s="1"/>
  <c r="H185" i="153" s="1"/>
  <c r="H186" i="153" s="1"/>
  <c r="H187" i="153" s="1"/>
  <c r="H188" i="153" s="1"/>
  <c r="H189" i="153" s="1"/>
  <c r="H190" i="153" s="1"/>
  <c r="H144" i="153"/>
  <c r="H137" i="153"/>
  <c r="H138" i="153" s="1"/>
  <c r="H139" i="153" s="1"/>
  <c r="H140" i="153" s="1"/>
  <c r="H141" i="153" s="1"/>
  <c r="H142" i="153" s="1"/>
  <c r="H143" i="153" s="1"/>
  <c r="I135" i="153"/>
  <c r="H135" i="153"/>
  <c r="H136" i="153" s="1"/>
  <c r="I134" i="153"/>
  <c r="H134" i="153"/>
  <c r="H124" i="153"/>
  <c r="H125" i="153" s="1"/>
  <c r="H126" i="153" s="1"/>
  <c r="H127" i="153" s="1"/>
  <c r="H128" i="153" s="1"/>
  <c r="H129" i="153" s="1"/>
  <c r="H130" i="153" s="1"/>
  <c r="H131" i="153" s="1"/>
  <c r="H132" i="153" s="1"/>
  <c r="H133" i="153" s="1"/>
  <c r="H118" i="153"/>
  <c r="H119" i="153" s="1"/>
  <c r="H120" i="153" s="1"/>
  <c r="H121" i="153" s="1"/>
  <c r="H122" i="153" s="1"/>
  <c r="H123" i="153" s="1"/>
  <c r="H116" i="153"/>
  <c r="H117" i="153" s="1"/>
  <c r="H115" i="153"/>
  <c r="I114" i="153"/>
  <c r="I108" i="153"/>
  <c r="H108" i="153"/>
  <c r="H109" i="153" s="1"/>
  <c r="H110" i="153" s="1"/>
  <c r="H111" i="153" s="1"/>
  <c r="H112" i="153" s="1"/>
  <c r="H113" i="153" s="1"/>
  <c r="H114" i="153" s="1"/>
  <c r="I103" i="153"/>
  <c r="I74" i="153"/>
  <c r="I62" i="153"/>
  <c r="H53" i="153"/>
  <c r="H54" i="153" s="1"/>
  <c r="H55" i="153" s="1"/>
  <c r="H56" i="153" s="1"/>
  <c r="H57" i="153" s="1"/>
  <c r="H58" i="153" s="1"/>
  <c r="H59" i="153" s="1"/>
  <c r="H60" i="153" s="1"/>
  <c r="H61" i="153" s="1"/>
  <c r="H62" i="153" s="1"/>
  <c r="H63" i="153" s="1"/>
  <c r="H64" i="153" s="1"/>
  <c r="H65" i="153" s="1"/>
  <c r="H66" i="153" s="1"/>
  <c r="H67" i="153" s="1"/>
  <c r="H68" i="153" s="1"/>
  <c r="H69" i="153" s="1"/>
  <c r="H70" i="153" s="1"/>
  <c r="H71" i="153" s="1"/>
  <c r="H72" i="153" s="1"/>
  <c r="H73" i="153" s="1"/>
  <c r="H74" i="153" s="1"/>
  <c r="H75" i="153" s="1"/>
  <c r="H76" i="153" s="1"/>
  <c r="H77" i="153" s="1"/>
  <c r="H78" i="153" s="1"/>
  <c r="H79" i="153" s="1"/>
  <c r="H80" i="153" s="1"/>
  <c r="H81" i="153" s="1"/>
  <c r="H82" i="153" s="1"/>
  <c r="H83" i="153" s="1"/>
  <c r="H84" i="153" s="1"/>
  <c r="H85" i="153" s="1"/>
  <c r="H86" i="153" s="1"/>
  <c r="H87" i="153" s="1"/>
  <c r="H88" i="153" s="1"/>
  <c r="H89" i="153" s="1"/>
  <c r="H90" i="153" s="1"/>
  <c r="H91" i="153" s="1"/>
  <c r="H92" i="153" s="1"/>
  <c r="H93" i="153" s="1"/>
  <c r="H94" i="153" s="1"/>
  <c r="H95" i="153" s="1"/>
  <c r="H96" i="153" s="1"/>
  <c r="H97" i="153" s="1"/>
  <c r="H98" i="153" s="1"/>
  <c r="H99" i="153" s="1"/>
  <c r="H100" i="153" s="1"/>
  <c r="H101" i="153" s="1"/>
  <c r="H102" i="153" s="1"/>
  <c r="H103" i="153" s="1"/>
  <c r="H104" i="153" s="1"/>
  <c r="H105" i="153" s="1"/>
  <c r="H106" i="153" s="1"/>
  <c r="H107" i="153" s="1"/>
  <c r="H50" i="153"/>
  <c r="H51" i="153" s="1"/>
  <c r="H52" i="153" s="1"/>
  <c r="H37" i="153"/>
  <c r="H38" i="153" s="1"/>
  <c r="H39" i="153" s="1"/>
  <c r="H40" i="153" s="1"/>
  <c r="H41" i="153" s="1"/>
  <c r="H42" i="153" s="1"/>
  <c r="H43" i="153" s="1"/>
  <c r="H44" i="153" s="1"/>
  <c r="H45" i="153" s="1"/>
  <c r="H46" i="153" s="1"/>
  <c r="H47" i="153" s="1"/>
  <c r="H48" i="153" s="1"/>
  <c r="H49" i="153" s="1"/>
  <c r="H17" i="153"/>
  <c r="H18" i="153" s="1"/>
  <c r="H19" i="153" s="1"/>
  <c r="H20" i="153" s="1"/>
  <c r="H21" i="153" s="1"/>
  <c r="H22" i="153" s="1"/>
  <c r="H23" i="153" s="1"/>
  <c r="H24" i="153" s="1"/>
  <c r="H25" i="153" s="1"/>
  <c r="H26" i="153" s="1"/>
  <c r="H27" i="153" s="1"/>
  <c r="H28" i="153" s="1"/>
  <c r="H29" i="153" s="1"/>
  <c r="H30" i="153" s="1"/>
  <c r="H31" i="153" s="1"/>
  <c r="H32" i="153" s="1"/>
  <c r="H33" i="153" s="1"/>
  <c r="H34" i="153" s="1"/>
  <c r="H35" i="153" s="1"/>
  <c r="H36" i="153" s="1"/>
  <c r="H10" i="153"/>
  <c r="H11" i="153" s="1"/>
  <c r="H12" i="153" s="1"/>
  <c r="H13" i="153" s="1"/>
  <c r="H14" i="153" s="1"/>
  <c r="H15" i="153" s="1"/>
  <c r="H16" i="153" s="1"/>
  <c r="H9" i="153"/>
  <c r="H7" i="153"/>
  <c r="H8" i="153" s="1"/>
  <c r="H2" i="153"/>
  <c r="H3" i="153" s="1"/>
  <c r="H4" i="153" s="1"/>
  <c r="H5" i="153" s="1"/>
  <c r="H6" i="153" s="1"/>
  <c r="F2" i="32" l="1"/>
  <c r="F3" i="32"/>
  <c r="F4" i="32"/>
  <c r="F5" i="32"/>
  <c r="F6" i="32"/>
  <c r="F7" i="32"/>
  <c r="F8" i="32"/>
  <c r="F9" i="32"/>
  <c r="F10" i="32"/>
  <c r="F11" i="32"/>
  <c r="F2" i="35"/>
  <c r="F3" i="35"/>
  <c r="F4" i="35"/>
  <c r="F5" i="35"/>
  <c r="F6" i="35"/>
  <c r="F7" i="35"/>
  <c r="F8" i="35"/>
  <c r="F9" i="35"/>
  <c r="F10" i="35"/>
  <c r="F11"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39" i="35"/>
  <c r="F40" i="35"/>
  <c r="F41" i="35"/>
  <c r="F42" i="35"/>
  <c r="F43" i="35"/>
  <c r="F44" i="35"/>
  <c r="F45" i="35"/>
  <c r="F46" i="35"/>
  <c r="F2" i="135"/>
  <c r="F3" i="135"/>
  <c r="F4" i="135"/>
  <c r="F5" i="135"/>
  <c r="F6" i="135"/>
  <c r="F7" i="135"/>
  <c r="F8" i="135"/>
  <c r="F9" i="135"/>
  <c r="F10" i="135"/>
  <c r="F11" i="135"/>
  <c r="F12" i="135"/>
  <c r="F13" i="135"/>
  <c r="F11" i="42"/>
  <c r="F11" i="143"/>
  <c r="F2" i="63"/>
  <c r="F3" i="63"/>
  <c r="F4" i="63"/>
  <c r="F5" i="63"/>
  <c r="F6" i="63"/>
  <c r="F7" i="63"/>
  <c r="F8" i="63"/>
  <c r="F9" i="63"/>
  <c r="F10" i="63"/>
  <c r="F11" i="63"/>
  <c r="F12" i="63"/>
  <c r="F2" i="125"/>
  <c r="F3" i="125"/>
  <c r="F4" i="125"/>
  <c r="F5" i="125"/>
  <c r="F6" i="125"/>
  <c r="F7" i="125"/>
  <c r="F8" i="125"/>
  <c r="F9" i="125"/>
  <c r="F10" i="125"/>
  <c r="F11" i="125"/>
  <c r="F12" i="125"/>
  <c r="F13" i="125"/>
  <c r="F14" i="125"/>
  <c r="F15" i="125"/>
  <c r="F16" i="125"/>
  <c r="F17" i="125"/>
  <c r="F18" i="125"/>
  <c r="F19" i="125"/>
  <c r="F20" i="125"/>
  <c r="F21" i="125"/>
  <c r="F22" i="125"/>
  <c r="F23" i="125"/>
  <c r="F24" i="125"/>
  <c r="F25" i="125"/>
  <c r="F26" i="125"/>
  <c r="F27" i="125"/>
  <c r="F28" i="125"/>
  <c r="F2" i="126"/>
  <c r="F3" i="126"/>
  <c r="F4" i="126"/>
  <c r="F5" i="126"/>
  <c r="F6" i="126"/>
  <c r="F7" i="126"/>
  <c r="F8" i="126"/>
  <c r="F9" i="126"/>
  <c r="F10" i="126"/>
  <c r="F11" i="126"/>
  <c r="F12" i="126"/>
  <c r="F13" i="126"/>
  <c r="F14" i="126"/>
  <c r="F15" i="126"/>
  <c r="F16" i="126"/>
  <c r="F17" i="126"/>
  <c r="F18" i="126"/>
  <c r="F19" i="126"/>
  <c r="F20" i="126"/>
  <c r="F21" i="126"/>
  <c r="F22" i="126"/>
  <c r="F2" i="146"/>
  <c r="F3" i="146"/>
  <c r="F4" i="146"/>
  <c r="F5" i="146"/>
  <c r="F6" i="146"/>
  <c r="F7" i="146"/>
  <c r="F8" i="146"/>
  <c r="F9" i="146"/>
  <c r="F10" i="146"/>
  <c r="F11" i="146"/>
  <c r="F12" i="146"/>
  <c r="F13" i="146"/>
  <c r="F14" i="146"/>
  <c r="F15" i="146"/>
  <c r="F16" i="146"/>
  <c r="F17" i="146"/>
  <c r="F18" i="146"/>
  <c r="F19" i="146"/>
  <c r="F20" i="146"/>
  <c r="F21" i="146"/>
  <c r="F22" i="146"/>
  <c r="F22" i="110" l="1"/>
  <c r="F23" i="110"/>
  <c r="F24" i="110"/>
  <c r="F25" i="110"/>
  <c r="F26" i="110"/>
  <c r="F18" i="148"/>
  <c r="F17" i="148"/>
  <c r="F13" i="148"/>
  <c r="F12" i="148"/>
  <c r="F19" i="148"/>
  <c r="F16" i="144"/>
  <c r="F37" i="90"/>
  <c r="F36" i="90"/>
  <c r="F35" i="90"/>
  <c r="F34" i="90"/>
  <c r="F33" i="90"/>
  <c r="F32" i="90"/>
  <c r="F31" i="90"/>
  <c r="F23" i="140"/>
  <c r="F22" i="140"/>
  <c r="F21" i="140"/>
  <c r="F20" i="140"/>
  <c r="F19" i="140"/>
  <c r="F18" i="140"/>
  <c r="F17" i="140"/>
  <c r="F16" i="140"/>
  <c r="F15" i="140"/>
  <c r="F13" i="140"/>
  <c r="F12" i="140"/>
  <c r="F11" i="140"/>
  <c r="F10" i="140"/>
  <c r="F9" i="140"/>
  <c r="F8" i="140"/>
  <c r="F7" i="140"/>
  <c r="F6" i="140"/>
  <c r="F5" i="140"/>
  <c r="F4" i="140"/>
  <c r="F3" i="140"/>
  <c r="F2" i="140"/>
  <c r="F17" i="138"/>
  <c r="F18" i="138"/>
  <c r="F14" i="145"/>
  <c r="F15" i="145"/>
  <c r="F18" i="128"/>
  <c r="F17" i="128"/>
  <c r="F16" i="128"/>
  <c r="F15" i="128"/>
  <c r="F20" i="127"/>
  <c r="F19" i="127"/>
  <c r="F18" i="127"/>
  <c r="F33" i="109"/>
  <c r="F32" i="109"/>
  <c r="F31" i="109"/>
  <c r="F30" i="109"/>
  <c r="F29" i="109"/>
  <c r="F28" i="109"/>
  <c r="F40" i="129"/>
  <c r="F42" i="129"/>
  <c r="F41" i="129"/>
  <c r="F3" i="147"/>
  <c r="F4" i="147"/>
  <c r="F5" i="147"/>
  <c r="F6" i="147"/>
  <c r="F7" i="147"/>
  <c r="F8" i="147"/>
  <c r="F9" i="147"/>
  <c r="F10" i="147"/>
  <c r="F11" i="147"/>
  <c r="F12" i="147"/>
  <c r="F13" i="147"/>
  <c r="F14" i="147"/>
  <c r="F15" i="147"/>
  <c r="F16" i="147"/>
  <c r="F17" i="147"/>
  <c r="F18" i="147"/>
  <c r="F2" i="147"/>
  <c r="F33" i="129"/>
  <c r="F20" i="144"/>
  <c r="F19" i="144"/>
  <c r="F19" i="138"/>
  <c r="F20" i="138"/>
  <c r="F21" i="138"/>
  <c r="F8" i="127"/>
  <c r="F35" i="148"/>
  <c r="F33" i="148"/>
  <c r="F32" i="148"/>
  <c r="F31" i="148"/>
  <c r="F30" i="148"/>
  <c r="F29" i="148"/>
  <c r="F28" i="148"/>
  <c r="F27" i="148"/>
  <c r="F26" i="148"/>
  <c r="F25" i="148"/>
  <c r="F24" i="148"/>
  <c r="F23" i="148"/>
  <c r="F22" i="148"/>
  <c r="F21" i="148"/>
  <c r="F20" i="148"/>
  <c r="F16" i="148"/>
  <c r="F15" i="148"/>
  <c r="F14" i="148"/>
  <c r="F11" i="148"/>
  <c r="F10" i="148"/>
  <c r="F9" i="148"/>
  <c r="F8" i="148"/>
  <c r="F7" i="148"/>
  <c r="F6" i="148"/>
  <c r="F5" i="148"/>
  <c r="F4" i="148"/>
  <c r="F3" i="148"/>
  <c r="F2" i="148"/>
  <c r="F16" i="138"/>
  <c r="F15" i="138"/>
  <c r="F14" i="138"/>
  <c r="F13" i="138"/>
  <c r="F10" i="138"/>
  <c r="F9" i="138"/>
  <c r="F8" i="138"/>
  <c r="F7" i="138"/>
  <c r="F6" i="138"/>
  <c r="F5" i="138"/>
  <c r="F4" i="138"/>
  <c r="F3" i="138"/>
  <c r="F2" i="138"/>
  <c r="F23" i="144"/>
  <c r="F22" i="144"/>
  <c r="F21" i="144"/>
  <c r="F18" i="144"/>
  <c r="F17" i="144"/>
  <c r="F15" i="144"/>
  <c r="F14" i="144"/>
  <c r="F13" i="144"/>
  <c r="F12" i="144"/>
  <c r="F11" i="144"/>
  <c r="F10" i="144"/>
  <c r="F9" i="144"/>
  <c r="F8" i="144"/>
  <c r="F7" i="144"/>
  <c r="F6" i="144"/>
  <c r="F5" i="144"/>
  <c r="F4" i="144"/>
  <c r="F3" i="144"/>
  <c r="F2" i="144"/>
  <c r="F18" i="145"/>
  <c r="F17" i="145"/>
  <c r="F16" i="145"/>
  <c r="F13" i="145"/>
  <c r="F12" i="145"/>
  <c r="F11" i="145"/>
  <c r="F10" i="145"/>
  <c r="F9" i="145"/>
  <c r="F8" i="145"/>
  <c r="F7" i="145"/>
  <c r="F6" i="145"/>
  <c r="F5" i="145"/>
  <c r="F4" i="145"/>
  <c r="F3" i="145"/>
  <c r="F2" i="145"/>
  <c r="F21" i="110"/>
  <c r="F20" i="110"/>
  <c r="F19" i="110"/>
  <c r="F18" i="110"/>
  <c r="F17" i="110"/>
  <c r="F16" i="110"/>
  <c r="F15" i="110"/>
  <c r="F14" i="110"/>
  <c r="F13" i="110"/>
  <c r="F12" i="110"/>
  <c r="F11" i="110"/>
  <c r="F10" i="110"/>
  <c r="F9" i="110"/>
  <c r="F8" i="110"/>
  <c r="F7" i="110"/>
  <c r="F6" i="110"/>
  <c r="F5" i="110"/>
  <c r="F4" i="110"/>
  <c r="F3" i="110"/>
  <c r="F2" i="110"/>
  <c r="F40" i="90"/>
  <c r="F39" i="90"/>
  <c r="F38" i="90"/>
  <c r="F30" i="90"/>
  <c r="F29" i="90"/>
  <c r="F28" i="90"/>
  <c r="F27" i="90"/>
  <c r="F26" i="90"/>
  <c r="F25" i="90"/>
  <c r="F24" i="90"/>
  <c r="F23" i="90"/>
  <c r="F22" i="90"/>
  <c r="F21" i="90"/>
  <c r="F20" i="90"/>
  <c r="F19" i="90"/>
  <c r="F18" i="90"/>
  <c r="F17" i="90"/>
  <c r="F16" i="90"/>
  <c r="F15" i="90"/>
  <c r="F14" i="90"/>
  <c r="F13" i="90"/>
  <c r="F12" i="90"/>
  <c r="F11" i="90"/>
  <c r="F10" i="90"/>
  <c r="F9" i="90"/>
  <c r="F8" i="90"/>
  <c r="F7" i="90"/>
  <c r="F6" i="90"/>
  <c r="F5" i="90"/>
  <c r="F4" i="90"/>
  <c r="F3" i="90"/>
  <c r="F2" i="90"/>
  <c r="F22" i="127"/>
  <c r="F21" i="127"/>
  <c r="F14" i="127"/>
  <c r="F13" i="127"/>
  <c r="F12" i="127"/>
  <c r="F11" i="127"/>
  <c r="F10" i="127"/>
  <c r="F9" i="127"/>
  <c r="F7" i="127"/>
  <c r="F6" i="127"/>
  <c r="F5" i="127"/>
  <c r="F4" i="127"/>
  <c r="F3" i="127"/>
  <c r="F2" i="127"/>
  <c r="F46" i="109"/>
  <c r="F45" i="109"/>
  <c r="F44" i="109"/>
  <c r="F43" i="109"/>
  <c r="F42" i="109"/>
  <c r="F41" i="109"/>
  <c r="F40" i="109"/>
  <c r="F39" i="109"/>
  <c r="F38" i="109"/>
  <c r="F37" i="109"/>
  <c r="F36" i="109"/>
  <c r="F35" i="109"/>
  <c r="F34" i="109"/>
  <c r="F27" i="109"/>
  <c r="F26" i="109"/>
  <c r="F25" i="109"/>
  <c r="F24" i="109"/>
  <c r="F23" i="109"/>
  <c r="F22" i="109"/>
  <c r="F21" i="109"/>
  <c r="F20" i="109"/>
  <c r="F19" i="109"/>
  <c r="F18" i="109"/>
  <c r="F17" i="109"/>
  <c r="F16" i="109"/>
  <c r="F15" i="109"/>
  <c r="F14" i="109"/>
  <c r="F13" i="109"/>
  <c r="F12" i="109"/>
  <c r="F11" i="109"/>
  <c r="F10" i="109"/>
  <c r="F9" i="109"/>
  <c r="F8" i="109"/>
  <c r="F7" i="109"/>
  <c r="F6" i="109"/>
  <c r="F5" i="109"/>
  <c r="F4" i="109"/>
  <c r="F3" i="109"/>
  <c r="F2" i="109"/>
  <c r="F36" i="128"/>
  <c r="F35" i="128"/>
  <c r="F34" i="128"/>
  <c r="F33" i="128"/>
  <c r="F14" i="128"/>
  <c r="F13" i="128"/>
  <c r="F12" i="128"/>
  <c r="F11" i="128"/>
  <c r="F10" i="128"/>
  <c r="F9" i="128"/>
  <c r="F8" i="128"/>
  <c r="F7" i="128"/>
  <c r="F6" i="128"/>
  <c r="F5" i="128"/>
  <c r="F4" i="128"/>
  <c r="F3" i="128"/>
  <c r="F2" i="128"/>
  <c r="F18" i="102"/>
  <c r="F17" i="102"/>
  <c r="F16" i="102"/>
  <c r="F15" i="102"/>
  <c r="F14" i="102"/>
  <c r="F13" i="102"/>
  <c r="F12" i="102"/>
  <c r="F11" i="102"/>
  <c r="F10" i="102"/>
  <c r="F9" i="102"/>
  <c r="F8" i="102"/>
  <c r="F7" i="102"/>
  <c r="F6" i="102"/>
  <c r="F5" i="102"/>
  <c r="F4" i="102"/>
  <c r="F3" i="102"/>
  <c r="F2" i="102"/>
  <c r="F30" i="101"/>
  <c r="F28" i="101"/>
  <c r="F27" i="101"/>
  <c r="F26" i="101"/>
  <c r="F25" i="101"/>
  <c r="F24" i="101"/>
  <c r="F23" i="101"/>
  <c r="F22" i="101"/>
  <c r="F21" i="101"/>
  <c r="F20" i="101"/>
  <c r="F19" i="101"/>
  <c r="F18" i="101"/>
  <c r="F17" i="101"/>
  <c r="F16" i="101"/>
  <c r="F15" i="101"/>
  <c r="F14" i="101"/>
  <c r="F13" i="101"/>
  <c r="F12" i="101"/>
  <c r="F11" i="101"/>
  <c r="F10" i="101"/>
  <c r="F9" i="101"/>
  <c r="F8" i="101"/>
  <c r="F7" i="101"/>
  <c r="F6" i="101"/>
  <c r="F5" i="101"/>
  <c r="F4" i="101"/>
  <c r="F3" i="101"/>
  <c r="F2" i="101"/>
  <c r="F49" i="129"/>
  <c r="F48" i="129"/>
  <c r="F47" i="129"/>
  <c r="F46" i="129"/>
  <c r="F45" i="129"/>
  <c r="F44" i="129"/>
  <c r="F43" i="129"/>
  <c r="F39" i="129"/>
  <c r="F38" i="129"/>
  <c r="F37" i="129"/>
  <c r="F36" i="129"/>
  <c r="F35" i="129"/>
  <c r="F34" i="129"/>
  <c r="F32" i="129"/>
  <c r="F31" i="129"/>
  <c r="F30" i="129"/>
  <c r="F29" i="129"/>
  <c r="F28" i="129"/>
  <c r="F27" i="129"/>
  <c r="F26" i="129"/>
  <c r="F25" i="129"/>
  <c r="F24" i="129"/>
  <c r="F23" i="129"/>
  <c r="F22" i="129"/>
  <c r="F21" i="129"/>
  <c r="F20" i="129"/>
  <c r="F19" i="129"/>
  <c r="F18" i="129"/>
  <c r="F17" i="129"/>
  <c r="F16" i="129"/>
  <c r="F15" i="129"/>
  <c r="F14" i="129"/>
  <c r="F13" i="129"/>
  <c r="F12" i="129"/>
  <c r="F11" i="129"/>
  <c r="F10" i="129"/>
  <c r="F9" i="129"/>
  <c r="F8" i="129"/>
  <c r="F7" i="129"/>
  <c r="F6" i="129"/>
  <c r="F5" i="129"/>
  <c r="F4" i="129"/>
  <c r="F3" i="129"/>
  <c r="F2" i="129"/>
  <c r="D13" i="147"/>
  <c r="D11" i="41"/>
  <c r="D10" i="41"/>
  <c r="D9" i="41"/>
  <c r="D8" i="41"/>
  <c r="D7" i="41"/>
  <c r="D6" i="41"/>
  <c r="D5" i="41"/>
  <c r="D4" i="41"/>
  <c r="D3" i="41"/>
  <c r="D2" i="41"/>
  <c r="D15" i="143"/>
  <c r="D14" i="143"/>
  <c r="D13" i="143"/>
  <c r="D12" i="143"/>
  <c r="D11" i="143"/>
  <c r="D10" i="143"/>
  <c r="D9" i="143"/>
  <c r="D8" i="143"/>
  <c r="D7" i="143"/>
  <c r="D6" i="143"/>
  <c r="D5" i="143"/>
  <c r="D4" i="143"/>
  <c r="D3" i="143"/>
  <c r="D2" i="143"/>
  <c r="D7" i="123"/>
  <c r="D6" i="123"/>
  <c r="D5" i="123"/>
  <c r="D4" i="123"/>
  <c r="D3" i="123"/>
  <c r="D2" i="1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<sst xmlns="http://schemas.openxmlformats.org/spreadsheetml/2006/main" count="24583" uniqueCount="4026">
  <si>
    <t>Dataset</t>
  </si>
  <si>
    <t>Seq</t>
  </si>
  <si>
    <t>Class</t>
  </si>
  <si>
    <t>Derivation/Comment</t>
  </si>
  <si>
    <t>Purpose</t>
  </si>
  <si>
    <t>DM</t>
  </si>
  <si>
    <t>SE</t>
  </si>
  <si>
    <t>SV</t>
  </si>
  <si>
    <t>CM</t>
  </si>
  <si>
    <t>EX</t>
  </si>
  <si>
    <t>PR</t>
  </si>
  <si>
    <t>AE</t>
  </si>
  <si>
    <t>DS</t>
  </si>
  <si>
    <t>DV</t>
  </si>
  <si>
    <t>MH</t>
  </si>
  <si>
    <t>EG</t>
  </si>
  <si>
    <t>IE</t>
  </si>
  <si>
    <t>LB</t>
  </si>
  <si>
    <t>PE</t>
  </si>
  <si>
    <t>PP</t>
  </si>
  <si>
    <t>VS</t>
  </si>
  <si>
    <t>TA</t>
  </si>
  <si>
    <t>TE</t>
  </si>
  <si>
    <t>TI</t>
  </si>
  <si>
    <t>TS</t>
  </si>
  <si>
    <t>TV</t>
  </si>
  <si>
    <t>Domain</t>
  </si>
  <si>
    <t>Variable Name</t>
  </si>
  <si>
    <t>Variable Label</t>
  </si>
  <si>
    <t>Type</t>
  </si>
  <si>
    <t>Length</t>
  </si>
  <si>
    <t>Controlled Terms or Format</t>
  </si>
  <si>
    <t>Origin</t>
  </si>
  <si>
    <t>Role</t>
  </si>
  <si>
    <t>Core</t>
  </si>
  <si>
    <t>SUPP</t>
  </si>
  <si>
    <t>QEVAL</t>
  </si>
  <si>
    <t>STUDYID</t>
  </si>
  <si>
    <t>Char</t>
  </si>
  <si>
    <t>Req</t>
  </si>
  <si>
    <t>RDOMAIN</t>
  </si>
  <si>
    <t>USUBJID</t>
  </si>
  <si>
    <t>Exp</t>
  </si>
  <si>
    <t>IDVAR</t>
  </si>
  <si>
    <t>IDVARVAL</t>
  </si>
  <si>
    <t>QNAM</t>
  </si>
  <si>
    <t>QLABEL</t>
  </si>
  <si>
    <t>QVAL</t>
  </si>
  <si>
    <t>QORIG</t>
  </si>
  <si>
    <t>Perm</t>
  </si>
  <si>
    <t>COMM</t>
  </si>
  <si>
    <t xml:space="preserve">Study Identifier </t>
  </si>
  <si>
    <t xml:space="preserve">Char </t>
  </si>
  <si>
    <t xml:space="preserve">  </t>
  </si>
  <si>
    <t>CRF</t>
  </si>
  <si>
    <t>Identifier</t>
  </si>
  <si>
    <t xml:space="preserve">Req </t>
  </si>
  <si>
    <t>DOMAIN</t>
  </si>
  <si>
    <t xml:space="preserve">Domain Abbreviation  </t>
  </si>
  <si>
    <t xml:space="preserve">DM </t>
  </si>
  <si>
    <t>Assigned</t>
  </si>
  <si>
    <t xml:space="preserve">Identifier </t>
  </si>
  <si>
    <t xml:space="preserve">Unique Subject Identifier </t>
  </si>
  <si>
    <t>SUBJID</t>
  </si>
  <si>
    <t xml:space="preserve">Subject Identifier for the Study </t>
  </si>
  <si>
    <t xml:space="preserve">Topic </t>
  </si>
  <si>
    <t>RFSTDTC</t>
  </si>
  <si>
    <t xml:space="preserve">Subject Reference Start Date/Time </t>
  </si>
  <si>
    <t xml:space="preserve">ISO 8601  </t>
  </si>
  <si>
    <t>Derived</t>
  </si>
  <si>
    <t xml:space="preserve">Record Qualifier </t>
  </si>
  <si>
    <t xml:space="preserve">Exp </t>
  </si>
  <si>
    <t>RFENDTC</t>
  </si>
  <si>
    <t xml:space="preserve">Subject Reference End Date/Time </t>
  </si>
  <si>
    <t>RFXSTDTC</t>
  </si>
  <si>
    <t xml:space="preserve">Date/Time of First Study Treatment  </t>
  </si>
  <si>
    <t>RFXENDTC</t>
  </si>
  <si>
    <t xml:space="preserve">Date/Time of Last Study Treatment  </t>
  </si>
  <si>
    <t>Y</t>
  </si>
  <si>
    <t>RFICDTC</t>
  </si>
  <si>
    <t xml:space="preserve">Date/Time of Informed Consent </t>
  </si>
  <si>
    <t>RFPENDTC</t>
  </si>
  <si>
    <t xml:space="preserve">Date/Time of End of Participation </t>
  </si>
  <si>
    <t>DTHDTC</t>
  </si>
  <si>
    <t xml:space="preserve">Date/Time of Death </t>
  </si>
  <si>
    <t xml:space="preserve">ISO 8601 </t>
  </si>
  <si>
    <t>DTHFL</t>
  </si>
  <si>
    <t xml:space="preserve">Subject Death Flag </t>
  </si>
  <si>
    <t xml:space="preserve">(NY) </t>
  </si>
  <si>
    <t>SITEID</t>
  </si>
  <si>
    <t>Study Site Identifier</t>
  </si>
  <si>
    <t>BRTHDTC</t>
  </si>
  <si>
    <t xml:space="preserve">Date/Time of Birth </t>
  </si>
  <si>
    <t xml:space="preserve">Perm </t>
  </si>
  <si>
    <t>AGE</t>
  </si>
  <si>
    <t xml:space="preserve">Age  </t>
  </si>
  <si>
    <t xml:space="preserve">Num </t>
  </si>
  <si>
    <t>AGEU</t>
  </si>
  <si>
    <t xml:space="preserve">Age Units </t>
  </si>
  <si>
    <t xml:space="preserve">(AGEU) </t>
  </si>
  <si>
    <t xml:space="preserve">Variable Qualifier  </t>
  </si>
  <si>
    <t>SEX</t>
  </si>
  <si>
    <t xml:space="preserve">Sex </t>
  </si>
  <si>
    <t xml:space="preserve">(SEX) </t>
  </si>
  <si>
    <t>ETHNIC</t>
  </si>
  <si>
    <t xml:space="preserve">Ethnicity </t>
  </si>
  <si>
    <t>ARMCD</t>
  </si>
  <si>
    <t xml:space="preserve">Planned Arm Code </t>
  </si>
  <si>
    <t xml:space="preserve">* </t>
  </si>
  <si>
    <t>ARM</t>
  </si>
  <si>
    <t xml:space="preserve">Description of Planned Arm </t>
  </si>
  <si>
    <t>Synonym Qualifier</t>
  </si>
  <si>
    <t>ACTARMCD</t>
  </si>
  <si>
    <t xml:space="preserve">Actual Arm Code </t>
  </si>
  <si>
    <t>ACTARM</t>
  </si>
  <si>
    <t>Record Qualifier</t>
  </si>
  <si>
    <t>COUNTRY</t>
  </si>
  <si>
    <t xml:space="preserve">Country </t>
  </si>
  <si>
    <t xml:space="preserve">ISO 3166 alpha-3 </t>
  </si>
  <si>
    <t xml:space="preserve">Req  </t>
  </si>
  <si>
    <t>https://www.iso.org/obp/ui/#search</t>
  </si>
  <si>
    <t>ETHNICOT</t>
  </si>
  <si>
    <t xml:space="preserve">Other Ethnicity </t>
  </si>
  <si>
    <t>STATUS</t>
  </si>
  <si>
    <t>Subject Screening Status</t>
  </si>
  <si>
    <t>STATUSE</t>
  </si>
  <si>
    <t>Subject Enrollment Status</t>
  </si>
  <si>
    <t>SCRREA</t>
  </si>
  <si>
    <t>Reason of Screen Failture</t>
  </si>
  <si>
    <t>TESTNUM</t>
  </si>
  <si>
    <t>Test Number</t>
  </si>
  <si>
    <t>DTHREAS</t>
  </si>
  <si>
    <t>Reason of Death</t>
  </si>
  <si>
    <t>DTHOTH</t>
  </si>
  <si>
    <t>Other Reason of Death</t>
  </si>
  <si>
    <t>HIALER</t>
  </si>
  <si>
    <t>History of Allergy</t>
  </si>
  <si>
    <t>ALERTERM</t>
  </si>
  <si>
    <t>Term of Allergy</t>
  </si>
  <si>
    <t>BDYN</t>
  </si>
  <si>
    <t>Flag of The history of Blood Donation</t>
  </si>
  <si>
    <t>BDDAT</t>
  </si>
  <si>
    <t>Date of Blood Donation</t>
  </si>
  <si>
    <t>BDDOSE</t>
  </si>
  <si>
    <t>Amount of Blood Donation</t>
  </si>
  <si>
    <t>HISMOK</t>
  </si>
  <si>
    <t>History of Smoking</t>
  </si>
  <si>
    <t>HIDRIN</t>
  </si>
  <si>
    <t>History of Drinking</t>
  </si>
  <si>
    <t>HIDA</t>
  </si>
  <si>
    <t>History of Drug Abuse</t>
  </si>
  <si>
    <t>DATERM</t>
  </si>
  <si>
    <t>Term of Drug Abuse</t>
  </si>
  <si>
    <t>DAREA</t>
  </si>
  <si>
    <t>Reason of Drug Abuse</t>
  </si>
  <si>
    <t>Total daily dose</t>
  </si>
  <si>
    <t>DASTDAT</t>
  </si>
  <si>
    <t>Start date of Drug Abuse</t>
  </si>
  <si>
    <t>DAONGO</t>
  </si>
  <si>
    <t>Flag of Drug Abuse Ongoing</t>
  </si>
  <si>
    <t>DAENDAT</t>
  </si>
  <si>
    <t>End date of Drug Abuse</t>
  </si>
  <si>
    <t>CONSTAT</t>
  </si>
  <si>
    <t>Flag of Consultation</t>
  </si>
  <si>
    <t>CONDAT</t>
  </si>
  <si>
    <t>Date of Consultation</t>
  </si>
  <si>
    <t>CON01</t>
  </si>
  <si>
    <t>CON02</t>
  </si>
  <si>
    <t>Drug contraindications</t>
  </si>
  <si>
    <t>CON03</t>
  </si>
  <si>
    <t>Medication History</t>
  </si>
  <si>
    <t>CON04</t>
  </si>
  <si>
    <t>Flag of Vaccination</t>
  </si>
  <si>
    <t>CON05</t>
  </si>
  <si>
    <t>CON06</t>
  </si>
  <si>
    <t>Blood sampling intolerance etc</t>
  </si>
  <si>
    <t>CON07</t>
  </si>
  <si>
    <t>Grapefruit</t>
  </si>
  <si>
    <t>CON08</t>
  </si>
  <si>
    <t>Pregnancy or lactation period</t>
  </si>
  <si>
    <t>CON09</t>
  </si>
  <si>
    <t>Contraceptive measures</t>
  </si>
  <si>
    <t>SUVSTAT</t>
  </si>
  <si>
    <t>Flag of Health Survey</t>
  </si>
  <si>
    <t>SUVDAT</t>
  </si>
  <si>
    <t>Date of Health Survey</t>
  </si>
  <si>
    <t>SUV01</t>
  </si>
  <si>
    <t>Avoid vigorous exercise</t>
  </si>
  <si>
    <t>SUV02</t>
  </si>
  <si>
    <t>Smoking</t>
  </si>
  <si>
    <t>SUV03</t>
  </si>
  <si>
    <t>Drinking tea coffee etc</t>
  </si>
  <si>
    <t>SUV04</t>
  </si>
  <si>
    <t>Health products etc</t>
  </si>
  <si>
    <t>SUV05</t>
  </si>
  <si>
    <t>A light diet</t>
  </si>
  <si>
    <t>HIV</t>
  </si>
  <si>
    <t>TP</t>
  </si>
  <si>
    <t>HBSAG</t>
  </si>
  <si>
    <t>HCVAB</t>
  </si>
  <si>
    <t>DSDTC</t>
  </si>
  <si>
    <t>DSDECOD</t>
  </si>
  <si>
    <t>PRYN</t>
  </si>
  <si>
    <t>MHYN</t>
  </si>
  <si>
    <t xml:space="preserve">(ETHNIC) </t>
  </si>
  <si>
    <t>Description of Actua</t>
  </si>
  <si>
    <t>SCRCOMM</t>
  </si>
  <si>
    <t>Comments of Screen Failture</t>
  </si>
  <si>
    <t>Flag of Medical History</t>
  </si>
  <si>
    <r>
      <rPr>
        <sz val="11"/>
        <color theme="1"/>
        <rFont val="宋体"/>
        <family val="3"/>
        <charset val="134"/>
      </rPr>
      <t>放入</t>
    </r>
    <r>
      <rPr>
        <sz val="11"/>
        <color theme="1"/>
        <rFont val="Calibri"/>
        <family val="2"/>
      </rPr>
      <t>MH</t>
    </r>
    <r>
      <rPr>
        <sz val="11"/>
        <color theme="1"/>
        <rFont val="宋体"/>
        <family val="3"/>
        <charset val="134"/>
      </rPr>
      <t>更好</t>
    </r>
  </si>
  <si>
    <t>MHTERM</t>
  </si>
  <si>
    <t xml:space="preserve">Term of Disease </t>
  </si>
  <si>
    <t>MHSTDTC</t>
  </si>
  <si>
    <t xml:space="preserve">Start Date of Disease </t>
  </si>
  <si>
    <t>MHONGO</t>
  </si>
  <si>
    <t>Flag of Ongoing</t>
  </si>
  <si>
    <t>MHENDTC</t>
  </si>
  <si>
    <t xml:space="preserve">End Date of Disease </t>
  </si>
  <si>
    <t>MHTRT</t>
  </si>
  <si>
    <t xml:space="preserve">Treatement of Disease </t>
  </si>
  <si>
    <r>
      <rPr>
        <sz val="11"/>
        <color theme="1"/>
        <rFont val="宋体"/>
        <family val="3"/>
        <charset val="134"/>
      </rPr>
      <t>无更好的</t>
    </r>
    <r>
      <rPr>
        <sz val="11"/>
        <color theme="1"/>
        <rFont val="Calibri"/>
        <family val="2"/>
      </rPr>
      <t>domain</t>
    </r>
    <r>
      <rPr>
        <sz val="11"/>
        <color theme="1"/>
        <rFont val="宋体"/>
        <family val="3"/>
        <charset val="134"/>
      </rPr>
      <t>放入，暂时放在这里，便于</t>
    </r>
    <r>
      <rPr>
        <sz val="11"/>
        <color theme="1"/>
        <rFont val="Calibri"/>
        <family val="2"/>
      </rPr>
      <t>ADAM</t>
    </r>
    <r>
      <rPr>
        <sz val="11"/>
        <color theme="1"/>
        <rFont val="宋体"/>
        <family val="3"/>
        <charset val="134"/>
      </rPr>
      <t>生成</t>
    </r>
  </si>
  <si>
    <r>
      <rPr>
        <sz val="11"/>
        <rFont val="宋体"/>
        <family val="3"/>
        <charset val="134"/>
      </rPr>
      <t>放入</t>
    </r>
    <r>
      <rPr>
        <sz val="11"/>
        <rFont val="Calibri"/>
        <family val="2"/>
      </rPr>
      <t>SU</t>
    </r>
    <r>
      <rPr>
        <sz val="11"/>
        <rFont val="宋体"/>
        <family val="3"/>
        <charset val="134"/>
      </rPr>
      <t>更好</t>
    </r>
  </si>
  <si>
    <t>DAATM</t>
  </si>
  <si>
    <t>Flag of Surgery</t>
  </si>
  <si>
    <r>
      <rPr>
        <sz val="11"/>
        <color rgb="FFC00000"/>
        <rFont val="宋体"/>
        <family val="3"/>
        <charset val="134"/>
      </rPr>
      <t>放入</t>
    </r>
    <r>
      <rPr>
        <sz val="11"/>
        <color rgb="FFC00000"/>
        <rFont val="Calibri"/>
        <family val="2"/>
      </rPr>
      <t>PR</t>
    </r>
    <r>
      <rPr>
        <sz val="11"/>
        <color rgb="FFC00000"/>
        <rFont val="宋体"/>
        <family val="3"/>
        <charset val="134"/>
      </rPr>
      <t>更好,</t>
    </r>
    <r>
      <rPr>
        <sz val="11"/>
        <color rgb="FFC00000"/>
        <rFont val="Calibri"/>
        <family val="2"/>
      </rPr>
      <t>PR</t>
    </r>
    <r>
      <rPr>
        <sz val="11"/>
        <color rgb="FFC00000"/>
        <rFont val="宋体"/>
        <family val="3"/>
        <charset val="134"/>
      </rPr>
      <t>和</t>
    </r>
    <r>
      <rPr>
        <sz val="11"/>
        <color rgb="FFC00000"/>
        <rFont val="Calibri"/>
        <family val="2"/>
      </rPr>
      <t>SG</t>
    </r>
    <r>
      <rPr>
        <sz val="11"/>
        <color rgb="FFC00000"/>
        <rFont val="宋体"/>
        <family val="3"/>
        <charset val="134"/>
      </rPr>
      <t>都应都应放入</t>
    </r>
    <r>
      <rPr>
        <sz val="11"/>
        <color rgb="FFC00000"/>
        <rFont val="Calibri"/>
        <family val="2"/>
      </rPr>
      <t>PR</t>
    </r>
    <r>
      <rPr>
        <sz val="11"/>
        <color rgb="FFC00000"/>
        <rFont val="宋体"/>
        <family val="3"/>
        <charset val="134"/>
      </rPr>
      <t>中，然后拆分为</t>
    </r>
    <r>
      <rPr>
        <sz val="11"/>
        <color rgb="FFC00000"/>
        <rFont val="Calibri"/>
        <family val="2"/>
      </rPr>
      <t>AG</t>
    </r>
    <r>
      <rPr>
        <sz val="11"/>
        <color rgb="FFC00000"/>
        <rFont val="宋体"/>
        <family val="3"/>
        <charset val="134"/>
      </rPr>
      <t>和</t>
    </r>
    <r>
      <rPr>
        <sz val="11"/>
        <color rgb="FFC00000"/>
        <rFont val="Calibri"/>
        <family val="2"/>
      </rPr>
      <t>PR</t>
    </r>
  </si>
  <si>
    <t>PRTERM</t>
  </si>
  <si>
    <t>Term of Surgery</t>
  </si>
  <si>
    <t>PRTYPE</t>
  </si>
  <si>
    <t>Type of Surgery</t>
  </si>
  <si>
    <t>PRREA</t>
  </si>
  <si>
    <t>Reason of Surgery</t>
  </si>
  <si>
    <t>AESPID</t>
  </si>
  <si>
    <t xml:space="preserve">AE Identifier </t>
  </si>
  <si>
    <t>PRREAOT</t>
  </si>
  <si>
    <t>Other Reason of Surgery</t>
  </si>
  <si>
    <t>PRSTDAT</t>
  </si>
  <si>
    <t>Start Date of Surgery</t>
  </si>
  <si>
    <t>PRONGO</t>
  </si>
  <si>
    <t>PRENDAT</t>
  </si>
  <si>
    <t>End Date of Surgery</t>
  </si>
  <si>
    <t>History of chronic or severe Medical History</t>
  </si>
  <si>
    <t>TSSEQ</t>
  </si>
  <si>
    <t>Num</t>
  </si>
  <si>
    <t>TSGRPID</t>
  </si>
  <si>
    <t>TSPARMCD</t>
  </si>
  <si>
    <t>Topic</t>
  </si>
  <si>
    <t>TSPARM</t>
  </si>
  <si>
    <t>TSVAL</t>
  </si>
  <si>
    <t>Result Qualifier</t>
  </si>
  <si>
    <t>TSVALCD</t>
  </si>
  <si>
    <t>TSVCDREF</t>
  </si>
  <si>
    <t>TSVCDVER</t>
  </si>
  <si>
    <t>ETCD</t>
  </si>
  <si>
    <t>ELEMENT</t>
  </si>
  <si>
    <t>TESTRL</t>
  </si>
  <si>
    <t>Rule</t>
  </si>
  <si>
    <t>TEENRL</t>
  </si>
  <si>
    <t>TAETORD</t>
  </si>
  <si>
    <t>Timing</t>
  </si>
  <si>
    <t>TATRANS</t>
  </si>
  <si>
    <t>EPOCH</t>
  </si>
  <si>
    <t>Protocol</t>
  </si>
  <si>
    <t>IETESTCD</t>
  </si>
  <si>
    <t>IECAT</t>
  </si>
  <si>
    <t>Grouping Qualifier</t>
  </si>
  <si>
    <t>TIVERS</t>
  </si>
  <si>
    <t>VISITNUM</t>
  </si>
  <si>
    <t>VISIT</t>
  </si>
  <si>
    <t>TVSTRL</t>
  </si>
  <si>
    <t>SESEQ</t>
  </si>
  <si>
    <t>SESTDTC</t>
  </si>
  <si>
    <t>SEENDTC</t>
  </si>
  <si>
    <t>SESTDY</t>
  </si>
  <si>
    <t>SEENDY</t>
  </si>
  <si>
    <t>(NY)</t>
  </si>
  <si>
    <t>Variable Qualifier</t>
  </si>
  <si>
    <t>SVOCCUR</t>
  </si>
  <si>
    <t>SVSTDTC</t>
  </si>
  <si>
    <t>取出相同访视的第一个日期</t>
  </si>
  <si>
    <t>SVENDTC</t>
  </si>
  <si>
    <t>取出相同访视的最后一个日期</t>
  </si>
  <si>
    <t>SVSTDY</t>
  </si>
  <si>
    <t>SVENDY</t>
  </si>
  <si>
    <t>EXSEQ</t>
  </si>
  <si>
    <t>EXTRT</t>
  </si>
  <si>
    <t>Dose</t>
  </si>
  <si>
    <t>EXDOSU</t>
  </si>
  <si>
    <t>(UNIT)</t>
  </si>
  <si>
    <t>EXDOSFRM</t>
  </si>
  <si>
    <t>(FRM)</t>
  </si>
  <si>
    <t>(FREQ)</t>
  </si>
  <si>
    <t>EXROUTE</t>
  </si>
  <si>
    <t>(ROUTE)</t>
  </si>
  <si>
    <t>EXENDTC</t>
  </si>
  <si>
    <t>EXENDY</t>
  </si>
  <si>
    <t>EXPDOSU</t>
  </si>
  <si>
    <t>LBSEQ</t>
  </si>
  <si>
    <t>LBTESTCD</t>
  </si>
  <si>
    <t>(LBTESTCD)</t>
  </si>
  <si>
    <t>LBTEST</t>
  </si>
  <si>
    <t>(LBTEST)</t>
  </si>
  <si>
    <t>LBTESTN</t>
  </si>
  <si>
    <t>LBCAT</t>
  </si>
  <si>
    <t>LBCATN</t>
  </si>
  <si>
    <t>LBORRES</t>
  </si>
  <si>
    <t>LBORRESU</t>
  </si>
  <si>
    <t>LBSTRESC</t>
  </si>
  <si>
    <t>LBSTRESN</t>
  </si>
  <si>
    <t>LBSTRESU</t>
  </si>
  <si>
    <t>LBSTNRLO</t>
  </si>
  <si>
    <t>LBSTNRHI</t>
  </si>
  <si>
    <t>LBSTNRC</t>
  </si>
  <si>
    <t>LBNRIND</t>
  </si>
  <si>
    <t>(NRIND)</t>
  </si>
  <si>
    <t>LBSTAT</t>
  </si>
  <si>
    <t>(ND)</t>
  </si>
  <si>
    <t>LBREASND</t>
  </si>
  <si>
    <t>LBLOBXFL</t>
  </si>
  <si>
    <t>LBBLFL</t>
  </si>
  <si>
    <t>LBDTC</t>
  </si>
  <si>
    <t>LBDY</t>
  </si>
  <si>
    <t>NEUT</t>
  </si>
  <si>
    <t>10^9/L</t>
  </si>
  <si>
    <t>BASO</t>
  </si>
  <si>
    <t>EOS</t>
  </si>
  <si>
    <t>WBC</t>
  </si>
  <si>
    <t>RBC</t>
  </si>
  <si>
    <t>HGB</t>
  </si>
  <si>
    <t>g/L</t>
  </si>
  <si>
    <t>GLUC</t>
  </si>
  <si>
    <t>*</t>
  </si>
  <si>
    <t>PROT</t>
  </si>
  <si>
    <t>ULEU</t>
  </si>
  <si>
    <t>UKET</t>
  </si>
  <si>
    <t>PH</t>
  </si>
  <si>
    <t>GGT</t>
  </si>
  <si>
    <t>U/L</t>
  </si>
  <si>
    <t>ALT</t>
  </si>
  <si>
    <t>LDH</t>
  </si>
  <si>
    <t>mmol/L</t>
  </si>
  <si>
    <t>AST</t>
  </si>
  <si>
    <t>BILI</t>
  </si>
  <si>
    <t>CL</t>
  </si>
  <si>
    <t>ALB</t>
  </si>
  <si>
    <t>CREAT</t>
  </si>
  <si>
    <t>K</t>
  </si>
  <si>
    <t>HCG</t>
  </si>
  <si>
    <t>B</t>
  </si>
  <si>
    <t>CMSEQ</t>
  </si>
  <si>
    <t>CMCAT</t>
  </si>
  <si>
    <t>CMINDC</t>
  </si>
  <si>
    <t>CMAENO</t>
  </si>
  <si>
    <t>CMDOSU</t>
  </si>
  <si>
    <t>CMDOSUO</t>
  </si>
  <si>
    <t>CMDOSFRQ</t>
  </si>
  <si>
    <t>CMDOSFRO</t>
  </si>
  <si>
    <t>CMDOSTOT</t>
  </si>
  <si>
    <t>CMROUTE</t>
  </si>
  <si>
    <t>CMROUOTH</t>
  </si>
  <si>
    <t>CMSTDTC</t>
  </si>
  <si>
    <t>CMENDTC</t>
  </si>
  <si>
    <t>CMSTDY</t>
  </si>
  <si>
    <t>CMENDY</t>
  </si>
  <si>
    <t>ATC1</t>
  </si>
  <si>
    <t>ATC1CD</t>
  </si>
  <si>
    <t>ATC2</t>
  </si>
  <si>
    <t>ATC2CD</t>
  </si>
  <si>
    <t>ATC3</t>
  </si>
  <si>
    <t>ATC3CD</t>
  </si>
  <si>
    <t>ATC4</t>
  </si>
  <si>
    <t>ATC4CD</t>
  </si>
  <si>
    <t>DICVER</t>
  </si>
  <si>
    <t>VSSEQ</t>
  </si>
  <si>
    <t>VSTESTCD</t>
  </si>
  <si>
    <t>(VSTESTCD)</t>
  </si>
  <si>
    <t>(VSTEST)</t>
  </si>
  <si>
    <t>VSORRES</t>
  </si>
  <si>
    <t>VSORRESU</t>
  </si>
  <si>
    <t>(VSRESU)</t>
  </si>
  <si>
    <t>VSSTRESC</t>
  </si>
  <si>
    <t>VSSTRESN</t>
  </si>
  <si>
    <t>VSSTRESU</t>
  </si>
  <si>
    <t>VSSTAT</t>
  </si>
  <si>
    <t>VSREASND</t>
  </si>
  <si>
    <t>VSBLFL</t>
  </si>
  <si>
    <t>VSDTC</t>
  </si>
  <si>
    <t>VSDY</t>
  </si>
  <si>
    <t>EGSEQ</t>
  </si>
  <si>
    <t>EGTESTCD</t>
  </si>
  <si>
    <t>(EGTESTCD)(HETESTCD)</t>
  </si>
  <si>
    <t>EGTEST</t>
  </si>
  <si>
    <t>(EGTEST)(HETEST)</t>
  </si>
  <si>
    <t>EGORRES</t>
  </si>
  <si>
    <t>EGSTRESC</t>
  </si>
  <si>
    <t>EGSTAT</t>
  </si>
  <si>
    <t>EGREASND</t>
  </si>
  <si>
    <t>EGBLFL</t>
  </si>
  <si>
    <t>EGDTC</t>
  </si>
  <si>
    <t>EGDY</t>
  </si>
  <si>
    <t>EGSPEC</t>
  </si>
  <si>
    <t>PESEQ</t>
  </si>
  <si>
    <t>PECAT</t>
  </si>
  <si>
    <t>PEORRES</t>
  </si>
  <si>
    <t>PESTRESC</t>
  </si>
  <si>
    <t>PESTAT</t>
  </si>
  <si>
    <t>PEREASND</t>
  </si>
  <si>
    <t>PELOBXFL</t>
  </si>
  <si>
    <t>PEBLFL</t>
  </si>
  <si>
    <t>PEDTC</t>
  </si>
  <si>
    <t>PEDY</t>
  </si>
  <si>
    <t>DSSEQ</t>
  </si>
  <si>
    <t>DSTERM</t>
  </si>
  <si>
    <t>DSCAT</t>
  </si>
  <si>
    <t>(DSCAT)</t>
  </si>
  <si>
    <t>DSSTDTC</t>
  </si>
  <si>
    <t>DSSTDY</t>
  </si>
  <si>
    <t>DSOTH</t>
  </si>
  <si>
    <t>MHSEQ</t>
  </si>
  <si>
    <t>MHCAT</t>
  </si>
  <si>
    <t>PRSEQ</t>
  </si>
  <si>
    <t>PRTRT</t>
  </si>
  <si>
    <t>PRCAT</t>
  </si>
  <si>
    <t>PRSTDTC</t>
  </si>
  <si>
    <t>PRSTDY</t>
  </si>
  <si>
    <t>AESEQ</t>
  </si>
  <si>
    <t>AETERM</t>
  </si>
  <si>
    <t>AELLT</t>
  </si>
  <si>
    <t>MedDRA</t>
  </si>
  <si>
    <t>AELLTCD</t>
  </si>
  <si>
    <t>AEDECOD</t>
  </si>
  <si>
    <t>AEPTCD</t>
  </si>
  <si>
    <t>AEHLT</t>
  </si>
  <si>
    <t>AEHLTCD</t>
  </si>
  <si>
    <t>AEHLGT</t>
  </si>
  <si>
    <t>AEHLGTCD</t>
  </si>
  <si>
    <t>AEBODSYS</t>
  </si>
  <si>
    <t>AEBDSYCD</t>
  </si>
  <si>
    <t>AESOC</t>
  </si>
  <si>
    <t>AESOCCD</t>
  </si>
  <si>
    <t>AESER</t>
  </si>
  <si>
    <t>(ACN)</t>
  </si>
  <si>
    <t>AEACT</t>
  </si>
  <si>
    <t>AECMNO</t>
  </si>
  <si>
    <t>AEACTOTH</t>
  </si>
  <si>
    <t>AEREL</t>
  </si>
  <si>
    <t>AEOUT</t>
  </si>
  <si>
    <t>(OUT)</t>
  </si>
  <si>
    <t>AESTDTC</t>
  </si>
  <si>
    <t>AEENDTC</t>
  </si>
  <si>
    <t>AESTDY</t>
  </si>
  <si>
    <t>(SPECTYPE)</t>
  </si>
  <si>
    <t>PPSEQ</t>
  </si>
  <si>
    <t>PPTESTCD</t>
  </si>
  <si>
    <t>PPTEST</t>
  </si>
  <si>
    <t>PPTESTRT</t>
  </si>
  <si>
    <t>PPCAT</t>
  </si>
  <si>
    <t>PPORRES</t>
  </si>
  <si>
    <t>PPORRESU</t>
  </si>
  <si>
    <t>(PKUNIT), (PKUWG), (PKUWKG), (PKUDMG), (PKUDUG)</t>
  </si>
  <si>
    <t>PPSTRESC</t>
  </si>
  <si>
    <t>PPSTRESN</t>
  </si>
  <si>
    <t>PPSTRESU</t>
  </si>
  <si>
    <t>PPSPEC</t>
  </si>
  <si>
    <t>PPRFTDTC</t>
  </si>
  <si>
    <t>N_Samples</t>
  </si>
  <si>
    <t>Rsq</t>
  </si>
  <si>
    <t>Rsq_adjusted</t>
  </si>
  <si>
    <t>Corr_XY</t>
  </si>
  <si>
    <t>No_points_lambda_z</t>
  </si>
  <si>
    <t>LAMZNPT</t>
  </si>
  <si>
    <t>Number of Points for Lambda z</t>
  </si>
  <si>
    <t>C85816</t>
  </si>
  <si>
    <t>Lambda_z</t>
  </si>
  <si>
    <t>Lambda_z_intercept</t>
  </si>
  <si>
    <t>LAMZINT</t>
  </si>
  <si>
    <t>Lambda z intercept</t>
  </si>
  <si>
    <t>Lambda_z_lower</t>
  </si>
  <si>
    <t>LAMZLL</t>
  </si>
  <si>
    <t>Lambda z Lower Limit</t>
  </si>
  <si>
    <t>C85653</t>
  </si>
  <si>
    <t>Lambda_z_upper</t>
  </si>
  <si>
    <t>LAMZUL</t>
  </si>
  <si>
    <t>Lambda z Upper Limit</t>
  </si>
  <si>
    <t>C85654</t>
  </si>
  <si>
    <t>HL_Lambda_z</t>
  </si>
  <si>
    <t>LAMZHL</t>
  </si>
  <si>
    <t>Half-Life Lambda z</t>
  </si>
  <si>
    <t>C85818</t>
  </si>
  <si>
    <t>Span</t>
  </si>
  <si>
    <t>LAMZSPN</t>
  </si>
  <si>
    <t>Lambda z Span</t>
  </si>
  <si>
    <t>C135492</t>
  </si>
  <si>
    <t>Tlag</t>
  </si>
  <si>
    <t>TLAG</t>
  </si>
  <si>
    <t>Time Until First Nonzero Conc</t>
  </si>
  <si>
    <t>C85824</t>
  </si>
  <si>
    <t>Tmax</t>
  </si>
  <si>
    <t>TMAX</t>
  </si>
  <si>
    <t>Time of CMAX Observation</t>
  </si>
  <si>
    <t>C70919</t>
  </si>
  <si>
    <t>Time of maximum observed concentration</t>
  </si>
  <si>
    <t>Cmax</t>
  </si>
  <si>
    <t>CMAX</t>
  </si>
  <si>
    <t>Max Conc</t>
  </si>
  <si>
    <t>C70918</t>
  </si>
  <si>
    <t>Maximum observed concentration</t>
  </si>
  <si>
    <t>Cmax_D</t>
  </si>
  <si>
    <t>CMAXD</t>
  </si>
  <si>
    <t>Max Conc Norm by Dose</t>
  </si>
  <si>
    <t>C85698</t>
  </si>
  <si>
    <t>Cmax/Dose</t>
  </si>
  <si>
    <t>Tlast</t>
  </si>
  <si>
    <t>TLST</t>
  </si>
  <si>
    <t>Time of Last Nonzero Conc</t>
  </si>
  <si>
    <t>C85822</t>
  </si>
  <si>
    <t>Time of last measurable (positive) observed concentration</t>
  </si>
  <si>
    <t>Clast</t>
  </si>
  <si>
    <t>CLST</t>
  </si>
  <si>
    <t>Last Nonzero Conc</t>
  </si>
  <si>
    <t>C85655</t>
  </si>
  <si>
    <t>Observed concentration corresponding to Tlast</t>
  </si>
  <si>
    <t>Clast_pred</t>
  </si>
  <si>
    <t>CLSTP</t>
  </si>
  <si>
    <t>Last Nonzero Conc Pred</t>
  </si>
  <si>
    <t>Pred</t>
  </si>
  <si>
    <t>AUClast</t>
  </si>
  <si>
    <t>AUCLST</t>
  </si>
  <si>
    <t>AUC to Last Nonzero Conc</t>
  </si>
  <si>
    <t>C85565</t>
  </si>
  <si>
    <t>Area under the curve from the time of dosing to the time of the last measurable (positive) concentration (Tlast)</t>
  </si>
  <si>
    <t>AUClast_D</t>
  </si>
  <si>
    <t>AUCLSTD</t>
  </si>
  <si>
    <t>AUC to Last Nonzero Conc Norm by Dose</t>
  </si>
  <si>
    <t>C92310</t>
  </si>
  <si>
    <t>AUClast/Dose</t>
  </si>
  <si>
    <t>AUCALL</t>
  </si>
  <si>
    <t>AUC All</t>
  </si>
  <si>
    <t>C85564</t>
  </si>
  <si>
    <t>Area under the curve from the time of dosing to the time of the last observation</t>
  </si>
  <si>
    <t>AUCINF_obs</t>
  </si>
  <si>
    <t>AUCIFO</t>
  </si>
  <si>
    <t>AUC Infinity Obs</t>
  </si>
  <si>
    <t>C85761</t>
  </si>
  <si>
    <t>AUClast+Clast/lamz</t>
  </si>
  <si>
    <t>AUCINF_D_obs</t>
  </si>
  <si>
    <t>AUCIFOD</t>
  </si>
  <si>
    <t>AUC Infinity Obs Norm by Dose</t>
  </si>
  <si>
    <t>C96695</t>
  </si>
  <si>
    <t>AUCINF/Dose</t>
  </si>
  <si>
    <t>AUC_%Extrap_obs</t>
  </si>
  <si>
    <t>AUCPEO</t>
  </si>
  <si>
    <t>AUC %Extrapolation Obs</t>
  </si>
  <si>
    <t>C85764</t>
  </si>
  <si>
    <t>AUCINF-AUClast/AUCINF*100</t>
  </si>
  <si>
    <t>VZFO</t>
  </si>
  <si>
    <t>Vz Obs by F</t>
  </si>
  <si>
    <t>C85775</t>
  </si>
  <si>
    <t>Dose/lamz*AUC0-tau</t>
  </si>
  <si>
    <t>CLFO</t>
  </si>
  <si>
    <t>Total CL Obs by F</t>
  </si>
  <si>
    <t>C85772</t>
  </si>
  <si>
    <t>Dose/AUC0-tau</t>
  </si>
  <si>
    <t>AUCINF_pred</t>
  </si>
  <si>
    <t>AUCIFP</t>
  </si>
  <si>
    <t>AUC Infinity Pred</t>
  </si>
  <si>
    <t>C85785</t>
  </si>
  <si>
    <t>AUCINF_D_pred</t>
  </si>
  <si>
    <t>AUCIFPD</t>
  </si>
  <si>
    <t>AUC Infinity Pred Norm by Dose</t>
  </si>
  <si>
    <t>C85786</t>
  </si>
  <si>
    <t>AUCPEP</t>
  </si>
  <si>
    <t>AUC %Extrapolation Pred</t>
  </si>
  <si>
    <t>C85788</t>
  </si>
  <si>
    <t>MRTINF_obs</t>
  </si>
  <si>
    <t>MRTEVIFO</t>
  </si>
  <si>
    <t>MRT Extravasc Infinity Obs</t>
  </si>
  <si>
    <t>C120724</t>
  </si>
  <si>
    <t>(AUMC0-tau+tau(AUCINF-AUC0-tau))/AUC0-tau</t>
  </si>
  <si>
    <t>MRTINF_pred</t>
  </si>
  <si>
    <t>MRTEVIFP</t>
  </si>
  <si>
    <t>MRT Extravasc Infinity Pred</t>
  </si>
  <si>
    <t>C120725</t>
  </si>
  <si>
    <t>IESEQ</t>
  </si>
  <si>
    <t>IE</t>
    <phoneticPr fontId="67" type="noConversion"/>
  </si>
  <si>
    <t>PETESTCD</t>
    <phoneticPr fontId="67" type="noConversion"/>
  </si>
  <si>
    <t>PETEST</t>
    <phoneticPr fontId="67" type="noConversion"/>
  </si>
  <si>
    <t>IETESTCD</t>
    <phoneticPr fontId="67" type="noConversion"/>
  </si>
  <si>
    <t>IETEST</t>
    <phoneticPr fontId="67" type="noConversion"/>
  </si>
  <si>
    <t>IEORRES</t>
    <phoneticPr fontId="67" type="noConversion"/>
  </si>
  <si>
    <t>IESTRESC</t>
    <phoneticPr fontId="67" type="noConversion"/>
  </si>
  <si>
    <t>Derived</t>
    <phoneticPr fontId="67" type="noConversion"/>
  </si>
  <si>
    <t>AEYN</t>
    <phoneticPr fontId="67" type="noConversion"/>
  </si>
  <si>
    <t>Y</t>
    <phoneticPr fontId="67" type="noConversion"/>
  </si>
  <si>
    <t>SCRSPEC</t>
    <phoneticPr fontId="67" type="noConversion"/>
  </si>
  <si>
    <t>ARMNRS</t>
    <phoneticPr fontId="67" type="noConversion"/>
  </si>
  <si>
    <t>TESTNUM</t>
    <phoneticPr fontId="67" type="noConversion"/>
  </si>
  <si>
    <t>Sponser</t>
  </si>
  <si>
    <t>Sponser</t>
    <phoneticPr fontId="67" type="noConversion"/>
  </si>
  <si>
    <t>(EPOCH)</t>
  </si>
  <si>
    <t>CKMB</t>
  </si>
  <si>
    <t>CK</t>
  </si>
  <si>
    <t>%</t>
  </si>
  <si>
    <t>QS</t>
    <phoneticPr fontId="67" type="noConversion"/>
  </si>
  <si>
    <t>OB</t>
  </si>
  <si>
    <t>PCTESTCD</t>
    <phoneticPr fontId="67" type="noConversion"/>
  </si>
  <si>
    <t>AETOXGR</t>
    <phoneticPr fontId="67" type="noConversion"/>
  </si>
  <si>
    <t>EXPDOSE</t>
    <phoneticPr fontId="67" type="noConversion"/>
  </si>
  <si>
    <t>PCNAM</t>
    <phoneticPr fontId="67" type="noConversion"/>
  </si>
  <si>
    <t>T{\sub max}</t>
  </si>
  <si>
    <t>C{\sub max}</t>
  </si>
  <si>
    <t>AUC{\sub extrap}</t>
  </si>
  <si>
    <t>(IECAT)</t>
    <phoneticPr fontId="67" type="noConversion"/>
  </si>
  <si>
    <t>(NY)</t>
    <phoneticPr fontId="67" type="noConversion"/>
  </si>
  <si>
    <t>(TSPARMCD)</t>
    <phoneticPr fontId="67" type="noConversion"/>
  </si>
  <si>
    <t>STUDYID</t>
    <phoneticPr fontId="67" type="noConversion"/>
  </si>
  <si>
    <t>Char</t>
    <phoneticPr fontId="67" type="noConversion"/>
  </si>
  <si>
    <t>Identifier</t>
    <phoneticPr fontId="67" type="noConversion"/>
  </si>
  <si>
    <t>Req</t>
    <phoneticPr fontId="67" type="noConversion"/>
  </si>
  <si>
    <t>DOMAIN</t>
    <phoneticPr fontId="67" type="noConversion"/>
  </si>
  <si>
    <t>Assigned</t>
    <phoneticPr fontId="67" type="noConversion"/>
  </si>
  <si>
    <t>USUBJID</t>
    <phoneticPr fontId="67" type="noConversion"/>
  </si>
  <si>
    <t>Num</t>
    <phoneticPr fontId="67" type="noConversion"/>
  </si>
  <si>
    <t>Topic</t>
    <phoneticPr fontId="67" type="noConversion"/>
  </si>
  <si>
    <t>EPOCH</t>
    <phoneticPr fontId="67" type="noConversion"/>
  </si>
  <si>
    <t>Timing</t>
    <phoneticPr fontId="67" type="noConversion"/>
  </si>
  <si>
    <t>Perm</t>
    <phoneticPr fontId="67" type="noConversion"/>
  </si>
  <si>
    <t>(NCOMPLT), (PROTMLST)</t>
    <phoneticPr fontId="67" type="noConversion"/>
  </si>
  <si>
    <t>PCTPTD</t>
    <phoneticPr fontId="67" type="noConversion"/>
  </si>
  <si>
    <t>PCTPTN</t>
    <phoneticPr fontId="67" type="noConversion"/>
  </si>
  <si>
    <t>LBCLSIG</t>
    <phoneticPr fontId="67" type="noConversion"/>
  </si>
  <si>
    <t>DVSEQ</t>
  </si>
  <si>
    <t>DVSTDTC</t>
  </si>
  <si>
    <t>AETRTEM</t>
    <phoneticPr fontId="67" type="noConversion"/>
  </si>
  <si>
    <t>PCSTRESC</t>
    <phoneticPr fontId="67" type="noConversion"/>
  </si>
  <si>
    <t>"ANALYTE"</t>
    <phoneticPr fontId="67" type="noConversion"/>
  </si>
  <si>
    <t>DVSEV</t>
  </si>
  <si>
    <t>DTHFL</t>
    <phoneticPr fontId="67" type="noConversion"/>
  </si>
  <si>
    <t>SITEID</t>
    <phoneticPr fontId="67" type="noConversion"/>
  </si>
  <si>
    <t>ACTARMUD</t>
    <phoneticPr fontId="67" type="noConversion"/>
  </si>
  <si>
    <t>COUNTRY</t>
    <phoneticPr fontId="67" type="noConversion"/>
  </si>
  <si>
    <t>ETHNICOT</t>
    <phoneticPr fontId="67" type="noConversion"/>
  </si>
  <si>
    <t>STATUS</t>
    <phoneticPr fontId="67" type="noConversion"/>
  </si>
  <si>
    <t>TESTNUMC</t>
    <phoneticPr fontId="67" type="noConversion"/>
  </si>
  <si>
    <t>RANDDT</t>
    <phoneticPr fontId="67" type="noConversion"/>
  </si>
  <si>
    <t>VSSTNRC</t>
    <phoneticPr fontId="67" type="noConversion"/>
  </si>
  <si>
    <t>VSCLSIG</t>
    <phoneticPr fontId="67" type="noConversion"/>
  </si>
  <si>
    <t>EXSTDTC</t>
    <phoneticPr fontId="67" type="noConversion"/>
  </si>
  <si>
    <t>EXDOSE</t>
    <phoneticPr fontId="67" type="noConversion"/>
  </si>
  <si>
    <t>CRF Page</t>
    <phoneticPr fontId="67" type="noConversion"/>
  </si>
  <si>
    <t>Comment</t>
    <phoneticPr fontId="67" type="noConversion"/>
  </si>
  <si>
    <t>Method</t>
    <phoneticPr fontId="67" type="noConversion"/>
  </si>
  <si>
    <t>SUBJID</t>
    <phoneticPr fontId="67" type="noConversion"/>
  </si>
  <si>
    <t>RFICDTC</t>
    <phoneticPr fontId="67" type="noConversion"/>
  </si>
  <si>
    <t xml:space="preserve">(NY) </t>
    <phoneticPr fontId="67" type="noConversion"/>
  </si>
  <si>
    <t>BRTHDTC</t>
    <phoneticPr fontId="67" type="noConversion"/>
  </si>
  <si>
    <t>AGEU</t>
    <phoneticPr fontId="67" type="noConversion"/>
  </si>
  <si>
    <t xml:space="preserve">(AGEU) </t>
    <phoneticPr fontId="67" type="noConversion"/>
  </si>
  <si>
    <t>RACE</t>
  </si>
  <si>
    <t>(RACE)</t>
    <phoneticPr fontId="67" type="noConversion"/>
  </si>
  <si>
    <t xml:space="preserve">(ETHNICC) </t>
    <phoneticPr fontId="67" type="noConversion"/>
  </si>
  <si>
    <t xml:space="preserve">ISO 3166 alpha-3 </t>
    <phoneticPr fontId="67" type="noConversion"/>
  </si>
  <si>
    <t>STATUSE</t>
    <phoneticPr fontId="67" type="noConversion"/>
  </si>
  <si>
    <t>SCRREA</t>
    <phoneticPr fontId="67" type="noConversion"/>
  </si>
  <si>
    <t>DSYN</t>
    <phoneticPr fontId="67" type="noConversion"/>
  </si>
  <si>
    <t>DSDECOD</t>
    <phoneticPr fontId="67" type="noConversion"/>
  </si>
  <si>
    <t>研究开始日期</t>
    <phoneticPr fontId="67" type="noConversion"/>
  </si>
  <si>
    <t>DTHDTC</t>
    <phoneticPr fontId="67" type="noConversion"/>
  </si>
  <si>
    <t>CHBEYN</t>
    <phoneticPr fontId="67" type="noConversion"/>
  </si>
  <si>
    <t>EXSTDY</t>
    <phoneticPr fontId="67" type="noConversion"/>
  </si>
  <si>
    <t>ECSEQ</t>
  </si>
  <si>
    <t>ECTRT</t>
  </si>
  <si>
    <t>ECDOSE</t>
  </si>
  <si>
    <t>ECDOSU</t>
  </si>
  <si>
    <t>ECDOSFRM</t>
  </si>
  <si>
    <t>ECROUTE</t>
  </si>
  <si>
    <t>ECSTDTC</t>
  </si>
  <si>
    <t>ECENDTC</t>
  </si>
  <si>
    <t>ECSTDY</t>
  </si>
  <si>
    <t>ECENDY</t>
  </si>
  <si>
    <t>ECPDOSE</t>
  </si>
  <si>
    <t>ECPDOSU</t>
  </si>
  <si>
    <t>CMINDCO</t>
    <phoneticPr fontId="67" type="noConversion"/>
  </si>
  <si>
    <t>CMMHNO</t>
    <phoneticPr fontId="67" type="noConversion"/>
  </si>
  <si>
    <t>CMPG</t>
    <phoneticPr fontId="67" type="noConversion"/>
  </si>
  <si>
    <t>CMBO</t>
    <phoneticPr fontId="67" type="noConversion"/>
  </si>
  <si>
    <t>AEACN</t>
    <phoneticPr fontId="67" type="noConversion"/>
  </si>
  <si>
    <t>AEDIS</t>
    <phoneticPr fontId="67" type="noConversion"/>
  </si>
  <si>
    <t>DICNAME</t>
    <phoneticPr fontId="67" type="noConversion"/>
  </si>
  <si>
    <t>DICVER</t>
    <phoneticPr fontId="67" type="noConversion"/>
  </si>
  <si>
    <t>AEIMP</t>
    <phoneticPr fontId="67" type="noConversion"/>
  </si>
  <si>
    <t>AEPRNO</t>
    <phoneticPr fontId="67" type="noConversion"/>
  </si>
  <si>
    <t>LBCLSIGS</t>
    <phoneticPr fontId="67" type="noConversion"/>
  </si>
  <si>
    <t>TU</t>
    <phoneticPr fontId="67" type="noConversion"/>
  </si>
  <si>
    <t>TUSEQ</t>
    <phoneticPr fontId="67" type="noConversion"/>
  </si>
  <si>
    <t>TULNKID</t>
    <phoneticPr fontId="67" type="noConversion"/>
  </si>
  <si>
    <t>Exp</t>
    <phoneticPr fontId="67" type="noConversion"/>
  </si>
  <si>
    <t>TUTESTCD</t>
    <phoneticPr fontId="67" type="noConversion"/>
  </si>
  <si>
    <t>(TUTESTCD)</t>
    <phoneticPr fontId="67" type="noConversion"/>
  </si>
  <si>
    <t>TUTEST</t>
    <phoneticPr fontId="67" type="noConversion"/>
  </si>
  <si>
    <t>(TUTEST)</t>
    <phoneticPr fontId="67" type="noConversion"/>
  </si>
  <si>
    <t>Synonym Qualifier</t>
    <phoneticPr fontId="67" type="noConversion"/>
  </si>
  <si>
    <t>TUORRES</t>
    <phoneticPr fontId="67" type="noConversion"/>
  </si>
  <si>
    <t>Result Qualifier</t>
    <phoneticPr fontId="67" type="noConversion"/>
  </si>
  <si>
    <t>TUSTRESC</t>
    <phoneticPr fontId="67" type="noConversion"/>
  </si>
  <si>
    <t>(TUIDRS)</t>
    <phoneticPr fontId="67" type="noConversion"/>
  </si>
  <si>
    <t>TULOC</t>
    <phoneticPr fontId="67" type="noConversion"/>
  </si>
  <si>
    <t xml:space="preserve">Char </t>
    <phoneticPr fontId="67" type="noConversion"/>
  </si>
  <si>
    <t>(LOC)</t>
    <phoneticPr fontId="67" type="noConversion"/>
  </si>
  <si>
    <t>Record Qualifier</t>
    <phoneticPr fontId="67" type="noConversion"/>
  </si>
  <si>
    <t>Variable Qualifier</t>
    <phoneticPr fontId="67" type="noConversion"/>
  </si>
  <si>
    <t>TUMETHOD</t>
    <phoneticPr fontId="67" type="noConversion"/>
  </si>
  <si>
    <t>(METHOD)</t>
    <phoneticPr fontId="67" type="noConversion"/>
  </si>
  <si>
    <t>TULOBXFL</t>
    <phoneticPr fontId="67" type="noConversion"/>
  </si>
  <si>
    <t>TUBLFL</t>
    <phoneticPr fontId="67" type="noConversion"/>
  </si>
  <si>
    <t>VISITNUM</t>
    <phoneticPr fontId="67" type="noConversion"/>
  </si>
  <si>
    <t>VISIT</t>
    <phoneticPr fontId="67" type="noConversion"/>
  </si>
  <si>
    <t>(EPOCH)</t>
    <phoneticPr fontId="67" type="noConversion"/>
  </si>
  <si>
    <t>TUDTC</t>
    <phoneticPr fontId="67" type="noConversion"/>
  </si>
  <si>
    <t>TUDY</t>
    <phoneticPr fontId="67" type="noConversion"/>
  </si>
  <si>
    <t>TR</t>
    <phoneticPr fontId="67" type="noConversion"/>
  </si>
  <si>
    <t>TRSEQ</t>
    <phoneticPr fontId="67" type="noConversion"/>
  </si>
  <si>
    <t>TRLNKID</t>
    <phoneticPr fontId="67" type="noConversion"/>
  </si>
  <si>
    <t>TRTESTCD</t>
    <phoneticPr fontId="67" type="noConversion"/>
  </si>
  <si>
    <t>(TRTESTCD)</t>
    <phoneticPr fontId="67" type="noConversion"/>
  </si>
  <si>
    <t>TRTEST</t>
    <phoneticPr fontId="67" type="noConversion"/>
  </si>
  <si>
    <t>(TRTEST)</t>
    <phoneticPr fontId="67" type="noConversion"/>
  </si>
  <si>
    <t>TRORRES</t>
    <phoneticPr fontId="67" type="noConversion"/>
  </si>
  <si>
    <t>TRORRESU</t>
    <phoneticPr fontId="67" type="noConversion"/>
  </si>
  <si>
    <t>(UNIT)</t>
    <phoneticPr fontId="67" type="noConversion"/>
  </si>
  <si>
    <t>TRSTRESC</t>
    <phoneticPr fontId="67" type="noConversion"/>
  </si>
  <si>
    <t>TRSTRESN</t>
    <phoneticPr fontId="67" type="noConversion"/>
  </si>
  <si>
    <t>TRSTRESU</t>
    <phoneticPr fontId="67" type="noConversion"/>
  </si>
  <si>
    <t>TRMETHOD</t>
    <phoneticPr fontId="67" type="noConversion"/>
  </si>
  <si>
    <t>TRBLFL</t>
    <phoneticPr fontId="67" type="noConversion"/>
  </si>
  <si>
    <t>TRDTC</t>
    <phoneticPr fontId="67" type="noConversion"/>
  </si>
  <si>
    <t>TRDY</t>
    <phoneticPr fontId="67" type="noConversion"/>
  </si>
  <si>
    <t>RS</t>
    <phoneticPr fontId="67" type="noConversion"/>
  </si>
  <si>
    <t>RSSEQ</t>
    <phoneticPr fontId="67" type="noConversion"/>
  </si>
  <si>
    <t>RSTESTCD</t>
    <phoneticPr fontId="67" type="noConversion"/>
  </si>
  <si>
    <t>(ONCRTSCD)</t>
    <phoneticPr fontId="67" type="noConversion"/>
  </si>
  <si>
    <t>RSTEST</t>
    <phoneticPr fontId="67" type="noConversion"/>
  </si>
  <si>
    <t>(ONCRTS)</t>
    <phoneticPr fontId="67" type="noConversion"/>
  </si>
  <si>
    <t>RSCAT</t>
    <phoneticPr fontId="67" type="noConversion"/>
  </si>
  <si>
    <t>(ONCRSCAT), (CCCAT)</t>
    <phoneticPr fontId="67" type="noConversion"/>
  </si>
  <si>
    <t>Grouping Qualifier</t>
    <phoneticPr fontId="67" type="noConversion"/>
  </si>
  <si>
    <t>RSORRES</t>
    <phoneticPr fontId="67" type="noConversion"/>
  </si>
  <si>
    <t>RSSTRESC</t>
    <phoneticPr fontId="67" type="noConversion"/>
  </si>
  <si>
    <t>(ONCRSR)</t>
    <phoneticPr fontId="67" type="noConversion"/>
  </si>
  <si>
    <t>RSDTC</t>
    <phoneticPr fontId="67" type="noConversion"/>
  </si>
  <si>
    <t>RSDY</t>
    <phoneticPr fontId="67" type="noConversion"/>
  </si>
  <si>
    <t>DVTERM</t>
    <phoneticPr fontId="68" type="noConversion"/>
  </si>
  <si>
    <t>VSSPEC</t>
    <phoneticPr fontId="67" type="noConversion"/>
  </si>
  <si>
    <t>PCCAT</t>
    <phoneticPr fontId="67" type="noConversion"/>
  </si>
  <si>
    <t>PCDESC</t>
    <phoneticPr fontId="67" type="noConversion"/>
  </si>
  <si>
    <t>PC</t>
    <phoneticPr fontId="67" type="noConversion"/>
  </si>
  <si>
    <t>PCSEQ</t>
    <phoneticPr fontId="67" type="noConversion"/>
  </si>
  <si>
    <t>PCGRPID</t>
    <phoneticPr fontId="67" type="noConversion"/>
  </si>
  <si>
    <t>Protocol</t>
    <phoneticPr fontId="67" type="noConversion"/>
  </si>
  <si>
    <t>PCTEST</t>
    <phoneticPr fontId="67" type="noConversion"/>
  </si>
  <si>
    <t>PCORRES</t>
    <phoneticPr fontId="67" type="noConversion"/>
  </si>
  <si>
    <t>PCORRESU</t>
    <phoneticPr fontId="67" type="noConversion"/>
  </si>
  <si>
    <t>(PKUNIT)</t>
    <phoneticPr fontId="67" type="noConversion"/>
  </si>
  <si>
    <t>PCSTRESN</t>
    <phoneticPr fontId="67" type="noConversion"/>
  </si>
  <si>
    <t>PCSTRESU</t>
    <phoneticPr fontId="67" type="noConversion"/>
  </si>
  <si>
    <t>PCSTAT</t>
    <phoneticPr fontId="67" type="noConversion"/>
  </si>
  <si>
    <t>(ND)</t>
    <phoneticPr fontId="67" type="noConversion"/>
  </si>
  <si>
    <t>PCREASND</t>
    <phoneticPr fontId="67" type="noConversion"/>
  </si>
  <si>
    <t>PCSPEC</t>
    <phoneticPr fontId="67" type="noConversion"/>
  </si>
  <si>
    <t>(SPECTYPE)</t>
    <phoneticPr fontId="67" type="noConversion"/>
  </si>
  <si>
    <t>PCLLOQ</t>
    <phoneticPr fontId="67" type="noConversion"/>
  </si>
  <si>
    <t>PCDTC</t>
    <phoneticPr fontId="67" type="noConversion"/>
  </si>
  <si>
    <t>PCDY</t>
    <phoneticPr fontId="67" type="noConversion"/>
  </si>
  <si>
    <t>PCTPT</t>
    <phoneticPr fontId="67" type="noConversion"/>
  </si>
  <si>
    <t>PCTPTNUM</t>
    <phoneticPr fontId="67" type="noConversion"/>
  </si>
  <si>
    <t>PCTPTREF</t>
    <phoneticPr fontId="67" type="noConversion"/>
  </si>
  <si>
    <t>PCRFTDTC</t>
    <phoneticPr fontId="67" type="noConversion"/>
  </si>
  <si>
    <t>PECOM</t>
    <phoneticPr fontId="67" type="noConversion"/>
  </si>
  <si>
    <t>PRENDTC</t>
  </si>
  <si>
    <t>PRENDY</t>
  </si>
  <si>
    <t>QS</t>
  </si>
  <si>
    <t>QSSEQ</t>
  </si>
  <si>
    <t>QSTESTCD</t>
  </si>
  <si>
    <t>QSTEST</t>
  </si>
  <si>
    <t>QSCAT</t>
  </si>
  <si>
    <t>QSORRES</t>
  </si>
  <si>
    <t>QSSTRESC</t>
  </si>
  <si>
    <t>QSBLFL</t>
  </si>
  <si>
    <t>QSDTC</t>
  </si>
  <si>
    <t>QSDY</t>
  </si>
  <si>
    <t>(QSCAT)</t>
  </si>
  <si>
    <t>QSREASND</t>
  </si>
  <si>
    <t>EC</t>
    <phoneticPr fontId="67" type="noConversion"/>
  </si>
  <si>
    <t>AESDISAB</t>
    <phoneticPr fontId="67" type="noConversion"/>
  </si>
  <si>
    <t>AESCONG</t>
  </si>
  <si>
    <t>AESDTH</t>
    <phoneticPr fontId="67" type="noConversion"/>
  </si>
  <si>
    <t>AESHOSP</t>
    <phoneticPr fontId="67" type="noConversion"/>
  </si>
  <si>
    <t>AESLIFE</t>
    <phoneticPr fontId="67" type="noConversion"/>
  </si>
  <si>
    <t>AESMIE</t>
    <phoneticPr fontId="67" type="noConversion"/>
  </si>
  <si>
    <t>CMSPID</t>
    <phoneticPr fontId="67" type="noConversion"/>
  </si>
  <si>
    <t>MHSPID</t>
    <phoneticPr fontId="67" type="noConversion"/>
  </si>
  <si>
    <t>MHDECOD</t>
    <phoneticPr fontId="67" type="noConversion"/>
  </si>
  <si>
    <t>PRINDC</t>
    <phoneticPr fontId="67" type="noConversion"/>
  </si>
  <si>
    <t>PRONGO</t>
    <phoneticPr fontId="67" type="noConversion"/>
  </si>
  <si>
    <t>PRINDCO</t>
    <phoneticPr fontId="67" type="noConversion"/>
  </si>
  <si>
    <t>PRSPID</t>
    <phoneticPr fontId="67" type="noConversion"/>
  </si>
  <si>
    <t>QSSTRESN</t>
    <phoneticPr fontId="67" type="noConversion"/>
  </si>
  <si>
    <t>QSSTRESU</t>
    <phoneticPr fontId="67" type="noConversion"/>
  </si>
  <si>
    <t>QSSTAT</t>
    <phoneticPr fontId="67" type="noConversion"/>
  </si>
  <si>
    <t>TUPART</t>
    <phoneticPr fontId="67" type="noConversion"/>
  </si>
  <si>
    <t>TRGRPID</t>
    <phoneticPr fontId="67" type="noConversion"/>
  </si>
  <si>
    <t>MR001</t>
    <phoneticPr fontId="72" type="noConversion"/>
  </si>
  <si>
    <t>CH</t>
  </si>
  <si>
    <t>AB</t>
  </si>
  <si>
    <t>OTH</t>
  </si>
  <si>
    <t>HBCAB</t>
  </si>
  <si>
    <t>PLT</t>
  </si>
  <si>
    <t>LY</t>
  </si>
  <si>
    <t>FRBC</t>
    <phoneticPr fontId="67" type="noConversion"/>
  </si>
  <si>
    <t>FWBC</t>
    <phoneticPr fontId="67" type="noConversion"/>
  </si>
  <si>
    <t>FOB</t>
  </si>
  <si>
    <t>ALP</t>
  </si>
  <si>
    <t>HUREA</t>
    <phoneticPr fontId="67" type="noConversion"/>
  </si>
  <si>
    <t>BUN</t>
    <phoneticPr fontId="67" type="noConversion"/>
  </si>
  <si>
    <t>HBUN</t>
    <phoneticPr fontId="67" type="noConversion"/>
  </si>
  <si>
    <t>BILIND</t>
  </si>
  <si>
    <t>TCHO</t>
  </si>
  <si>
    <t>TRIG</t>
  </si>
  <si>
    <t>LDLC</t>
  </si>
  <si>
    <t>HDLC</t>
  </si>
  <si>
    <t>NA</t>
  </si>
  <si>
    <t>CA</t>
  </si>
  <si>
    <t>TCO2</t>
  </si>
  <si>
    <t>UA</t>
  </si>
  <si>
    <t>PT</t>
  </si>
  <si>
    <t>APTT</t>
  </si>
  <si>
    <t>INR</t>
  </si>
  <si>
    <t>FT3</t>
  </si>
  <si>
    <t>FT4</t>
  </si>
  <si>
    <t>TSH</t>
  </si>
  <si>
    <t>CD4</t>
  </si>
  <si>
    <t>CD8</t>
  </si>
  <si>
    <t>CD4/CD8</t>
  </si>
  <si>
    <t>CDRA</t>
  </si>
  <si>
    <t>LBTESTN</t>
    <phoneticPr fontId="67" type="noConversion"/>
  </si>
  <si>
    <t>LBCATN</t>
    <phoneticPr fontId="67" type="noConversion"/>
  </si>
  <si>
    <t>TT</t>
    <phoneticPr fontId="67" type="noConversion"/>
  </si>
  <si>
    <t>EGCAT</t>
  </si>
  <si>
    <t>VSTEST</t>
    <phoneticPr fontId="67" type="noConversion"/>
  </si>
  <si>
    <t>VSTESTN</t>
    <phoneticPr fontId="67" type="noConversion"/>
  </si>
  <si>
    <t>VSCAT</t>
    <phoneticPr fontId="67" type="noConversion"/>
  </si>
  <si>
    <t>VSCATN</t>
    <phoneticPr fontId="67" type="noConversion"/>
  </si>
  <si>
    <t>VSNRIND</t>
    <phoneticPr fontId="67" type="noConversion"/>
  </si>
  <si>
    <t>PETESTN</t>
    <phoneticPr fontId="67" type="noConversion"/>
  </si>
  <si>
    <t>PECATN</t>
    <phoneticPr fontId="67" type="noConversion"/>
  </si>
  <si>
    <t>PPTESTN</t>
    <phoneticPr fontId="67" type="noConversion"/>
  </si>
  <si>
    <t>PPCATN</t>
    <phoneticPr fontId="67" type="noConversion"/>
  </si>
  <si>
    <t>PRLLTCD</t>
  </si>
  <si>
    <t>PRDECOD</t>
  </si>
  <si>
    <t>PRPTCD</t>
  </si>
  <si>
    <t>PRHLT</t>
  </si>
  <si>
    <t>PRHLTCD</t>
  </si>
  <si>
    <t>PRHLGT</t>
  </si>
  <si>
    <t>PRHLGTCD</t>
  </si>
  <si>
    <t>PRBDSYCD</t>
  </si>
  <si>
    <t>PRSOC</t>
  </si>
  <si>
    <t>PRSOCCD</t>
  </si>
  <si>
    <t>LAMZ</t>
  </si>
  <si>
    <t>Lambda z</t>
  </si>
  <si>
    <t>C85652</t>
  </si>
  <si>
    <t>λ{\sub z}</t>
  </si>
  <si>
    <t>t{\sub 1/2}</t>
    <phoneticPr fontId="67" type="noConversion"/>
  </si>
  <si>
    <t>AUCall</t>
  </si>
  <si>
    <t>AUC_%Extrap_pred</t>
  </si>
  <si>
    <t>Tmin</t>
  </si>
  <si>
    <t>TMIN</t>
  </si>
  <si>
    <t>Time of CMIN</t>
  </si>
  <si>
    <t>C85825</t>
  </si>
  <si>
    <t>Time of minimum observed concentration</t>
  </si>
  <si>
    <t>Cmin</t>
  </si>
  <si>
    <t>CMIN</t>
  </si>
  <si>
    <t>Min Conc</t>
  </si>
  <si>
    <t>C85579</t>
    <phoneticPr fontId="67" type="noConversion"/>
  </si>
  <si>
    <t>Minimum observed concentration occurring at time Tmin</t>
  </si>
  <si>
    <t>Ctau</t>
    <phoneticPr fontId="67" type="noConversion"/>
  </si>
  <si>
    <t>CTROUGH</t>
    <phoneticPr fontId="67" type="noConversion"/>
  </si>
  <si>
    <t>Conc Trough</t>
    <phoneticPr fontId="67" type="noConversion"/>
  </si>
  <si>
    <t>C102394</t>
    <phoneticPr fontId="67" type="noConversion"/>
  </si>
  <si>
    <t>C{\sub trough}</t>
    <phoneticPr fontId="67" type="noConversion"/>
  </si>
  <si>
    <t>Concentration at dosing time plus Tau</t>
    <phoneticPr fontId="67" type="noConversion"/>
  </si>
  <si>
    <t>Cavg</t>
  </si>
  <si>
    <t>CAVG</t>
  </si>
  <si>
    <t>Average Concentration</t>
  </si>
  <si>
    <t>C85575</t>
  </si>
  <si>
    <t>C{\sub av}</t>
  </si>
  <si>
    <t>AUC_TAU/TAU</t>
  </si>
  <si>
    <t>Swing</t>
  </si>
  <si>
    <t>SWING</t>
  </si>
  <si>
    <t>C161416</t>
  </si>
  <si>
    <t>(Cmax-Cmin)/Cmin</t>
  </si>
  <si>
    <t>Swing_Tau</t>
  </si>
  <si>
    <t>SWINGTAU</t>
  </si>
  <si>
    <t>Swing Over Dosing Interval</t>
  </si>
  <si>
    <t>(Cmax-Ctau)/Ctau</t>
  </si>
  <si>
    <t>Fluctuation%</t>
  </si>
  <si>
    <t>FLUCP</t>
  </si>
  <si>
    <t>C85581</t>
  </si>
  <si>
    <t>DF</t>
  </si>
  <si>
    <t>100*(Cmax-Cmin)/Cavg</t>
  </si>
  <si>
    <t>Fluctuation%_Tau</t>
  </si>
  <si>
    <t>FLUCPTAU</t>
  </si>
  <si>
    <t>Fluctuation% Over Dosing Interval</t>
  </si>
  <si>
    <t>100*(Cmax-Ctau)/Cavg</t>
  </si>
  <si>
    <t>Accumulation_Index</t>
  </si>
  <si>
    <t>AILAMZ</t>
  </si>
  <si>
    <t>Accumulation Index using Lambda z</t>
  </si>
  <si>
    <t>C114234</t>
  </si>
  <si>
    <t>1/(1-e^-lamztau)</t>
  </si>
  <si>
    <t>AUC_TAU</t>
  </si>
  <si>
    <t>AUCTAU</t>
  </si>
  <si>
    <t>AUC Over Dosing Interval</t>
  </si>
  <si>
    <t>C85567</t>
  </si>
  <si>
    <t>The partial area from dosing time to dosing time plus Tau</t>
  </si>
  <si>
    <t>AUC_TAU_D</t>
  </si>
  <si>
    <t>AUCTAUD</t>
  </si>
  <si>
    <t>AUC Over Dosing Interval Norm by Dose</t>
  </si>
  <si>
    <t>C92323</t>
  </si>
  <si>
    <t>AUC_TAU/Dose</t>
  </si>
  <si>
    <t>AUC_TAU_%Extrap</t>
  </si>
  <si>
    <t>AUCTAUP</t>
  </si>
  <si>
    <t>AUC %Extrapolation Over Dosing Interval Norm</t>
  </si>
  <si>
    <t>100*AUC_TAU-AUClast/AUC_TAU</t>
  </si>
  <si>
    <t>AUMC_TAU</t>
  </si>
  <si>
    <t>AUMCTAU</t>
  </si>
  <si>
    <t>AUMC Over Dosing Interval</t>
  </si>
  <si>
    <t>C85570</t>
  </si>
  <si>
    <t>Area under the first moment curve from dosing time to dosing time plus Tau</t>
  </si>
  <si>
    <t>MR001_ss</t>
    <phoneticPr fontId="72" type="noConversion"/>
  </si>
  <si>
    <t>C{\sub min}</t>
  </si>
  <si>
    <t>AUC{\sub 0-τ}</t>
  </si>
  <si>
    <t>PCSPID</t>
    <phoneticPr fontId="67" type="noConversion"/>
  </si>
  <si>
    <t>CTHTP</t>
    <phoneticPr fontId="67" type="noConversion"/>
  </si>
  <si>
    <t>DTHREA</t>
    <phoneticPr fontId="67" type="noConversion"/>
  </si>
  <si>
    <t>DSOTH</t>
    <phoneticPr fontId="67" type="noConversion"/>
  </si>
  <si>
    <t>SS</t>
    <phoneticPr fontId="67" type="noConversion"/>
  </si>
  <si>
    <t>SSWAY</t>
    <phoneticPr fontId="67" type="noConversion"/>
  </si>
  <si>
    <t>SSSFS</t>
    <phoneticPr fontId="67" type="noConversion"/>
  </si>
  <si>
    <t>AEIRYN</t>
    <phoneticPr fontId="67" type="noConversion"/>
  </si>
  <si>
    <t>SSSEQ</t>
    <phoneticPr fontId="67" type="noConversion"/>
  </si>
  <si>
    <t>SSTESTCD</t>
    <phoneticPr fontId="67" type="noConversion"/>
  </si>
  <si>
    <t>(SSTESTCD)</t>
    <phoneticPr fontId="67" type="noConversion"/>
  </si>
  <si>
    <t>SSTEST</t>
    <phoneticPr fontId="67" type="noConversion"/>
  </si>
  <si>
    <t>(SSTEST)</t>
    <phoneticPr fontId="67" type="noConversion"/>
  </si>
  <si>
    <t>SSCAT</t>
    <phoneticPr fontId="67" type="noConversion"/>
  </si>
  <si>
    <t>SSORRES</t>
    <phoneticPr fontId="67" type="noConversion"/>
  </si>
  <si>
    <t>SSSTRESC</t>
    <phoneticPr fontId="67" type="noConversion"/>
  </si>
  <si>
    <t>(SSTATRS)</t>
    <phoneticPr fontId="67" type="noConversion"/>
  </si>
  <si>
    <t>SSDTC</t>
    <phoneticPr fontId="67" type="noConversion"/>
  </si>
  <si>
    <t>SSDY</t>
    <phoneticPr fontId="67" type="noConversion"/>
  </si>
  <si>
    <t>LBLVEF</t>
    <phoneticPr fontId="67" type="noConversion"/>
  </si>
  <si>
    <t>EGSTRESN</t>
  </si>
  <si>
    <t>EGSTRESU</t>
  </si>
  <si>
    <t>MHENDTC</t>
    <phoneticPr fontId="67" type="noConversion"/>
  </si>
  <si>
    <t>MHTTYN</t>
    <phoneticPr fontId="67" type="noConversion"/>
  </si>
  <si>
    <t>PROLS</t>
    <phoneticPr fontId="67" type="noConversion"/>
  </si>
  <si>
    <t>PROMET</t>
    <phoneticPr fontId="67" type="noConversion"/>
  </si>
  <si>
    <t>PROLOC</t>
    <phoneticPr fontId="67" type="noConversion"/>
  </si>
  <si>
    <t>EXIRYN</t>
    <phoneticPr fontId="67" type="noConversion"/>
  </si>
  <si>
    <t>EXIRRE</t>
    <phoneticPr fontId="67" type="noConversion"/>
  </si>
  <si>
    <t>UHCG</t>
    <phoneticPr fontId="67" type="noConversion"/>
  </si>
  <si>
    <t>CMTRT</t>
    <phoneticPr fontId="67" type="noConversion"/>
  </si>
  <si>
    <t>EGORRESU</t>
    <phoneticPr fontId="67" type="noConversion"/>
  </si>
  <si>
    <t>CTHTPOTH</t>
    <phoneticPr fontId="67" type="noConversion"/>
  </si>
  <si>
    <t>CMLOC</t>
    <phoneticPr fontId="67" type="noConversion"/>
  </si>
  <si>
    <t>CDISC Submission Value</t>
    <phoneticPr fontId="67" type="noConversion"/>
  </si>
  <si>
    <t>IS</t>
    <phoneticPr fontId="67" type="noConversion"/>
  </si>
  <si>
    <t>ISSEQ</t>
    <phoneticPr fontId="67" type="noConversion"/>
  </si>
  <si>
    <t>ISTESTCD</t>
    <phoneticPr fontId="67" type="noConversion"/>
  </si>
  <si>
    <t>(ISTESTCD)</t>
    <phoneticPr fontId="67" type="noConversion"/>
  </si>
  <si>
    <t>ISTEST</t>
  </si>
  <si>
    <t>(ISTEST)</t>
    <phoneticPr fontId="67" type="noConversion"/>
  </si>
  <si>
    <t>ISTEST</t>
    <phoneticPr fontId="67" type="noConversion"/>
  </si>
  <si>
    <t>ISCAT</t>
    <phoneticPr fontId="67" type="noConversion"/>
  </si>
  <si>
    <t>ISORRES</t>
    <phoneticPr fontId="67" type="noConversion"/>
  </si>
  <si>
    <t>ISORRESU</t>
  </si>
  <si>
    <t>UNIT</t>
    <phoneticPr fontId="67" type="noConversion"/>
  </si>
  <si>
    <t>ISSTRESC</t>
    <phoneticPr fontId="67" type="noConversion"/>
  </si>
  <si>
    <t>ISSTRESN</t>
    <phoneticPr fontId="67" type="noConversion"/>
  </si>
  <si>
    <t>ISSTRESU</t>
    <phoneticPr fontId="67" type="noConversion"/>
  </si>
  <si>
    <t>ISSPEC</t>
    <phoneticPr fontId="67" type="noConversion"/>
  </si>
  <si>
    <t>SPECTYPE</t>
    <phoneticPr fontId="67" type="noConversion"/>
  </si>
  <si>
    <t>ISMETHOD</t>
    <phoneticPr fontId="67" type="noConversion"/>
  </si>
  <si>
    <t>METHOD</t>
    <phoneticPr fontId="67" type="noConversion"/>
  </si>
  <si>
    <t>ISDTC</t>
    <phoneticPr fontId="67" type="noConversion"/>
  </si>
  <si>
    <t>ISDY</t>
    <phoneticPr fontId="67" type="noConversion"/>
  </si>
  <si>
    <t>ISTPTREF</t>
  </si>
  <si>
    <t>ISTPT</t>
  </si>
  <si>
    <t>ISTPTNUM</t>
  </si>
  <si>
    <t>ISRFTDTC</t>
  </si>
  <si>
    <t>ISTPTD</t>
  </si>
  <si>
    <t>ISTPTN</t>
  </si>
  <si>
    <t>ISDESC</t>
  </si>
  <si>
    <t>PRBODSYS</t>
  </si>
  <si>
    <t>MHBODSYS</t>
  </si>
  <si>
    <t>DVEFF</t>
    <phoneticPr fontId="67" type="noConversion"/>
  </si>
  <si>
    <t>DVCAT</t>
  </si>
  <si>
    <t>DVSCAT</t>
  </si>
  <si>
    <t>DVVISIT</t>
    <phoneticPr fontId="67" type="noConversion"/>
  </si>
  <si>
    <t>DVREDTC</t>
    <phoneticPr fontId="67" type="noConversion"/>
  </si>
  <si>
    <t>DVSPEC</t>
    <phoneticPr fontId="67" type="noConversion"/>
  </si>
  <si>
    <t>SITID</t>
    <phoneticPr fontId="67" type="noConversion"/>
  </si>
  <si>
    <t>SITNAME</t>
    <phoneticPr fontId="67" type="noConversion"/>
  </si>
  <si>
    <t>DVTERM1</t>
    <phoneticPr fontId="68" type="noConversion"/>
  </si>
  <si>
    <t>DVEFF1</t>
    <phoneticPr fontId="67" type="noConversion"/>
  </si>
  <si>
    <t>Y</t>
    <phoneticPr fontId="67" type="noConversion"/>
  </si>
  <si>
    <t>SVPRESP</t>
    <phoneticPr fontId="67" type="noConversion"/>
  </si>
  <si>
    <t>将SITEID和SUBSCID和SUBJID用"-"连接起来</t>
    <phoneticPr fontId="67" type="noConversion"/>
  </si>
  <si>
    <t>遍历所有数据集，找出每个受试者的所有访视</t>
  </si>
  <si>
    <t>匹配VISITNUM</t>
  </si>
  <si>
    <t>若为方案计划内访视则填充"Y"，计划外访视则填充空值</t>
    <phoneticPr fontId="67" type="noConversion"/>
  </si>
  <si>
    <t>设为"MJR-MR001-01"</t>
    <phoneticPr fontId="67" type="noConversion"/>
  </si>
  <si>
    <t>若进行了计划内访视则填充"Y"，计划外访视则填充空值</t>
    <phoneticPr fontId="67" type="noConversion"/>
  </si>
  <si>
    <t>研究标识符</t>
  </si>
  <si>
    <t>域名缩写</t>
  </si>
  <si>
    <t>受试者唯一标识符</t>
  </si>
  <si>
    <t>访视编号</t>
  </si>
  <si>
    <t>访视名称</t>
  </si>
  <si>
    <t>开始日期/时间</t>
  </si>
  <si>
    <t>结束日期/时间</t>
  </si>
  <si>
    <t>开始日</t>
  </si>
  <si>
    <t>结束日</t>
  </si>
  <si>
    <t>是否预先指定</t>
    <phoneticPr fontId="67" type="noConversion"/>
  </si>
  <si>
    <t>事件是否发生</t>
    <phoneticPr fontId="67" type="noConversion"/>
  </si>
  <si>
    <t>SV</t>
    <phoneticPr fontId="67" type="noConversion"/>
  </si>
  <si>
    <t>评估者</t>
  </si>
  <si>
    <t>序号</t>
  </si>
  <si>
    <t>类别</t>
  </si>
  <si>
    <t>子类</t>
  </si>
  <si>
    <t>备注</t>
  </si>
  <si>
    <t>元素编码</t>
  </si>
  <si>
    <t>元素描述</t>
  </si>
  <si>
    <t>计划分组编码</t>
  </si>
  <si>
    <t>计划分组描述</t>
  </si>
  <si>
    <t>组内元素计划顺序</t>
  </si>
  <si>
    <t>过渡规则</t>
  </si>
  <si>
    <t>时期</t>
  </si>
  <si>
    <t>其他计划外检查</t>
  </si>
  <si>
    <t>心脏超声</t>
    <phoneticPr fontId="67" type="noConversion"/>
  </si>
  <si>
    <t>HBSAG</t>
    <phoneticPr fontId="67" type="noConversion"/>
  </si>
  <si>
    <t>方案指定的访视序号</t>
    <phoneticPr fontId="67" type="noConversion"/>
  </si>
  <si>
    <t>方案指定的访视名称</t>
    <phoneticPr fontId="67" type="noConversion"/>
  </si>
  <si>
    <t>方案指定的ARMCD</t>
    <phoneticPr fontId="67" type="noConversion"/>
  </si>
  <si>
    <t>方案指定的访视开始标志</t>
    <phoneticPr fontId="67" type="noConversion"/>
  </si>
  <si>
    <t>(NY)</t>
    <phoneticPr fontId="67" type="noConversion"/>
  </si>
  <si>
    <t>NY</t>
  </si>
  <si>
    <t>(TSPARM)</t>
    <phoneticPr fontId="67" type="noConversion"/>
  </si>
  <si>
    <t>IETEST</t>
  </si>
  <si>
    <t>访视开始规则</t>
  </si>
  <si>
    <t>受试者标识符</t>
  </si>
  <si>
    <t>受试者参照开始日期/时间</t>
  </si>
  <si>
    <t>受试者参照结束日期/时间</t>
  </si>
  <si>
    <t>首次研究治疗日期/时间</t>
  </si>
  <si>
    <t>末次研究治疗日期/时间</t>
  </si>
  <si>
    <t>知情同意日期/时间</t>
  </si>
  <si>
    <t>参与结束日期/时间</t>
  </si>
  <si>
    <t>死亡日期/时间</t>
  </si>
  <si>
    <t>研究中心标识符</t>
  </si>
  <si>
    <t>出生日期/时间</t>
  </si>
  <si>
    <t>年龄</t>
  </si>
  <si>
    <t>年龄单位</t>
  </si>
  <si>
    <t>性别</t>
  </si>
  <si>
    <t>种族</t>
  </si>
  <si>
    <t>族群</t>
  </si>
  <si>
    <t>实际分组编码</t>
  </si>
  <si>
    <t>实际分组描述</t>
  </si>
  <si>
    <t>国家</t>
  </si>
  <si>
    <t>受试者编号</t>
    <phoneticPr fontId="67" type="noConversion"/>
  </si>
  <si>
    <t>受试者编号(数值)</t>
    <phoneticPr fontId="67" type="noConversion"/>
  </si>
  <si>
    <t>死亡原因</t>
    <phoneticPr fontId="67" type="noConversion"/>
  </si>
  <si>
    <t>是否为育龄妇女</t>
    <phoneticPr fontId="67" type="noConversion"/>
  </si>
  <si>
    <t>其他族群</t>
    <phoneticPr fontId="67" type="noConversion"/>
  </si>
  <si>
    <t>ARMCD</t>
    <phoneticPr fontId="67" type="noConversion"/>
  </si>
  <si>
    <t>计划或实际分组为空的原因</t>
    <phoneticPr fontId="67" type="noConversion"/>
  </si>
  <si>
    <t>计划外分组描述</t>
    <phoneticPr fontId="67" type="noConversion"/>
  </si>
  <si>
    <t>筛选成功失败情况</t>
    <phoneticPr fontId="67" type="noConversion"/>
  </si>
  <si>
    <t>入组未入组情况</t>
    <phoneticPr fontId="67" type="noConversion"/>
  </si>
  <si>
    <t>筛选失败原因</t>
    <phoneticPr fontId="67" type="noConversion"/>
  </si>
  <si>
    <t>未入组原因</t>
    <phoneticPr fontId="67" type="noConversion"/>
  </si>
  <si>
    <t>入组日期</t>
    <phoneticPr fontId="67" type="noConversion"/>
  </si>
  <si>
    <t>是否完成研究</t>
    <phoneticPr fontId="67" type="noConversion"/>
  </si>
  <si>
    <t>完成研究日期</t>
    <phoneticPr fontId="67" type="noConversion"/>
  </si>
  <si>
    <t>未完成研究的原因</t>
    <phoneticPr fontId="67" type="noConversion"/>
  </si>
  <si>
    <t>未完成研究的原因详述</t>
    <phoneticPr fontId="67" type="noConversion"/>
  </si>
  <si>
    <t xml:space="preserve">(SEX) </t>
    <phoneticPr fontId="67" type="noConversion"/>
  </si>
  <si>
    <t>ETHNICC</t>
  </si>
  <si>
    <t>受试者最后一个可获取的日期</t>
    <phoneticPr fontId="67" type="noConversion"/>
  </si>
  <si>
    <t>治疗名称</t>
  </si>
  <si>
    <t>单次剂量</t>
  </si>
  <si>
    <t>剂量单位</t>
  </si>
  <si>
    <t>剂型</t>
  </si>
  <si>
    <t>给药途径</t>
  </si>
  <si>
    <t>计划给药量</t>
    <phoneticPr fontId="67" type="noConversion"/>
  </si>
  <si>
    <t>计划给药量单位</t>
    <phoneticPr fontId="67" type="noConversion"/>
  </si>
  <si>
    <t>是否发生输液反应</t>
    <phoneticPr fontId="67" type="noConversion"/>
  </si>
  <si>
    <t>发生输液反应后处理措施</t>
    <phoneticPr fontId="67" type="noConversion"/>
  </si>
  <si>
    <t>访视编号</t>
    <phoneticPr fontId="67" type="noConversion"/>
  </si>
  <si>
    <t>UNIT</t>
  </si>
  <si>
    <t>FRM</t>
  </si>
  <si>
    <t>ROUTE</t>
  </si>
  <si>
    <t>开始日</t>
    <phoneticPr fontId="67" type="noConversion"/>
  </si>
  <si>
    <t>结束日</t>
    <phoneticPr fontId="67" type="noConversion"/>
  </si>
  <si>
    <t>状态简称</t>
  </si>
  <si>
    <t>状态名称</t>
  </si>
  <si>
    <t>标准化结果</t>
  </si>
  <si>
    <t>SSTESTCD</t>
  </si>
  <si>
    <t>SSTEST</t>
  </si>
  <si>
    <t>SSTATRS</t>
  </si>
  <si>
    <t>入选/排除标准简称</t>
  </si>
  <si>
    <t>入选/排除标准</t>
  </si>
  <si>
    <t>知情同意书签署日期</t>
    <phoneticPr fontId="67" type="noConversion"/>
  </si>
  <si>
    <t>其他关于事件的描述</t>
    <phoneticPr fontId="67" type="noConversion"/>
  </si>
  <si>
    <t>标准化名称</t>
  </si>
  <si>
    <t>根据受试者每个事件的完成情况或里程碑经历情况填充内容</t>
    <phoneticPr fontId="67" type="noConversion"/>
  </si>
  <si>
    <t>ACN</t>
  </si>
  <si>
    <t>OUT</t>
  </si>
  <si>
    <t>原始单位</t>
  </si>
  <si>
    <t>标准化单位</t>
  </si>
  <si>
    <t>未做状态</t>
  </si>
  <si>
    <t>ND</t>
  </si>
  <si>
    <t>检测项简称</t>
  </si>
  <si>
    <t>检测项名称</t>
  </si>
  <si>
    <t>样本类型</t>
  </si>
  <si>
    <t>计划时点名称</t>
  </si>
  <si>
    <t>计划时点编号</t>
  </si>
  <si>
    <t>PCTESTCD</t>
  </si>
  <si>
    <t>PCTEST</t>
  </si>
  <si>
    <t>PCCAT</t>
  </si>
  <si>
    <t>PKUNIT</t>
  </si>
  <si>
    <t>SPECTYPE</t>
  </si>
  <si>
    <t>检查项简称</t>
  </si>
  <si>
    <t>PETEST</t>
  </si>
  <si>
    <t>FREQ</t>
  </si>
  <si>
    <t>NRIND</t>
  </si>
  <si>
    <t>CLSIG</t>
  </si>
  <si>
    <t>METHOD</t>
  </si>
  <si>
    <t>PRLLT</t>
    <phoneticPr fontId="67" type="noConversion"/>
  </si>
  <si>
    <t>类别编号</t>
  </si>
  <si>
    <t>检测方法</t>
  </si>
  <si>
    <t>检查项名称</t>
  </si>
  <si>
    <t>VSTEST</t>
  </si>
  <si>
    <t>VSRESU</t>
  </si>
  <si>
    <t>VSCATN</t>
  </si>
  <si>
    <t>VSTESTN</t>
  </si>
  <si>
    <t>PKPARMCD</t>
  </si>
  <si>
    <t>PKPARM</t>
  </si>
  <si>
    <t>PPTESTN</t>
  </si>
  <si>
    <t>PPCATN</t>
  </si>
  <si>
    <t>参数名称的RTF代码</t>
  </si>
  <si>
    <t>参数编号</t>
  </si>
  <si>
    <t>参数名称</t>
  </si>
  <si>
    <t>ONCRTSCD</t>
  </si>
  <si>
    <t>ONCRTS</t>
  </si>
  <si>
    <t>ONCRSCAT</t>
  </si>
  <si>
    <t>评估项简称</t>
  </si>
  <si>
    <t>评估项名称</t>
  </si>
  <si>
    <t>部位</t>
  </si>
  <si>
    <t>检查方法</t>
  </si>
  <si>
    <t>TUTESTCD</t>
  </si>
  <si>
    <t>TUTEST</t>
  </si>
  <si>
    <t>LOC</t>
  </si>
  <si>
    <t>TRTESTCD</t>
  </si>
  <si>
    <t>TRTEST</t>
  </si>
  <si>
    <t>STUDYID, USUBJID, ECTRT, ECSTDTC</t>
    <phoneticPr fontId="67" type="noConversion"/>
  </si>
  <si>
    <t>每个受试者每个方案规定的研究用药每个采集的用法每个情景模式一条记录</t>
    <phoneticPr fontId="67" type="noConversion"/>
  </si>
  <si>
    <t>特殊用途</t>
    <phoneticPr fontId="67" type="noConversion"/>
  </si>
  <si>
    <t>列表</t>
    <phoneticPr fontId="67" type="noConversion"/>
  </si>
  <si>
    <t>DM</t>
    <phoneticPr fontId="67" type="noConversion"/>
  </si>
  <si>
    <t>人口学</t>
    <phoneticPr fontId="67" type="noConversion"/>
  </si>
  <si>
    <t>每个受试者一条记录</t>
    <phoneticPr fontId="67" type="noConversion"/>
  </si>
  <si>
    <t>STUDYID, USUBJID, ETCD, SESTDTC</t>
    <phoneticPr fontId="67" type="noConversion"/>
  </si>
  <si>
    <t>SE</t>
    <phoneticPr fontId="67" type="noConversion"/>
  </si>
  <si>
    <t>受试者元素</t>
    <phoneticPr fontId="67" type="noConversion"/>
  </si>
  <si>
    <t>每个受试者每个实际元素一条记录</t>
    <phoneticPr fontId="67" type="noConversion"/>
  </si>
  <si>
    <t>受试者访视</t>
    <phoneticPr fontId="67" type="noConversion"/>
  </si>
  <si>
    <t>特殊用途</t>
  </si>
  <si>
    <t>每个受试者每个实际访视一条记录</t>
    <phoneticPr fontId="67" type="noConversion"/>
  </si>
  <si>
    <t>STUDYID, USUBJID, VISITNUM</t>
    <phoneticPr fontId="67" type="noConversion"/>
  </si>
  <si>
    <t>CM</t>
    <phoneticPr fontId="67" type="noConversion"/>
  </si>
  <si>
    <t>既往与合并用药</t>
    <phoneticPr fontId="67" type="noConversion"/>
  </si>
  <si>
    <t>干预类</t>
    <phoneticPr fontId="67" type="noConversion"/>
  </si>
  <si>
    <t>每个受试者每次给药或每个用法一条记录</t>
    <phoneticPr fontId="67" type="noConversion"/>
  </si>
  <si>
    <t>暴露采集</t>
    <phoneticPr fontId="67" type="noConversion"/>
  </si>
  <si>
    <t>EX</t>
    <phoneticPr fontId="67" type="noConversion"/>
  </si>
  <si>
    <t>暴露</t>
    <phoneticPr fontId="67" type="noConversion"/>
  </si>
  <si>
    <t>每个受试者每个研究药物每个用法一条记录</t>
    <phoneticPr fontId="67" type="noConversion"/>
  </si>
  <si>
    <t>STUDYID, USUBJID, EXTRT, EXSTDTC</t>
    <phoneticPr fontId="67" type="noConversion"/>
  </si>
  <si>
    <t>PR</t>
    <phoneticPr fontId="67" type="noConversion"/>
  </si>
  <si>
    <t>诊疗操作</t>
    <phoneticPr fontId="67" type="noConversion"/>
  </si>
  <si>
    <t>每个受试者每次诊疗操作一条记录</t>
    <phoneticPr fontId="67" type="noConversion"/>
  </si>
  <si>
    <t>STUDYID, USUBJID, PRTRT, PRSTDTC</t>
    <phoneticPr fontId="67" type="noConversion"/>
  </si>
  <si>
    <t>AE</t>
    <phoneticPr fontId="67" type="noConversion"/>
  </si>
  <si>
    <t>不良事件</t>
    <phoneticPr fontId="67" type="noConversion"/>
  </si>
  <si>
    <t>事件类</t>
    <phoneticPr fontId="67" type="noConversion"/>
  </si>
  <si>
    <t>每个受试者每例次不良事件一条记录</t>
    <phoneticPr fontId="67" type="noConversion"/>
  </si>
  <si>
    <t>STUDYID, USUBJID, AEDECOD, AESTDTC</t>
    <phoneticPr fontId="67" type="noConversion"/>
  </si>
  <si>
    <t>DS</t>
    <phoneticPr fontId="67" type="noConversion"/>
  </si>
  <si>
    <t>处置</t>
    <phoneticPr fontId="67" type="noConversion"/>
  </si>
  <si>
    <t>每个受试者每个完成状态或每个方案里程碑事件一条记录</t>
    <phoneticPr fontId="67" type="noConversion"/>
  </si>
  <si>
    <t>STUDYID, USUBJID, DSDECOD, DSSTDTC</t>
    <phoneticPr fontId="67" type="noConversion"/>
  </si>
  <si>
    <t>方案偏离</t>
    <phoneticPr fontId="67" type="noConversion"/>
  </si>
  <si>
    <t>每个受试者每例次方案偏离一条记录</t>
    <phoneticPr fontId="67" type="noConversion"/>
  </si>
  <si>
    <t>STUDYID, USUBJID, DVTERM, DVSTDTC</t>
    <phoneticPr fontId="67" type="noConversion"/>
  </si>
  <si>
    <t>MH</t>
    <phoneticPr fontId="67" type="noConversion"/>
  </si>
  <si>
    <t>病史</t>
    <phoneticPr fontId="67" type="noConversion"/>
  </si>
  <si>
    <t>每个受试者每个病史一条记录</t>
    <phoneticPr fontId="67" type="noConversion"/>
  </si>
  <si>
    <t>发现类</t>
    <phoneticPr fontId="67" type="noConversion"/>
  </si>
  <si>
    <t>EG</t>
    <phoneticPr fontId="67" type="noConversion"/>
  </si>
  <si>
    <t>心电图</t>
    <phoneticPr fontId="67" type="noConversion"/>
  </si>
  <si>
    <t>每个受试者每个访视每个时间点每次心电每个发现一条记录</t>
    <phoneticPr fontId="67" type="noConversion"/>
  </si>
  <si>
    <t>不满足的入选/排除标准</t>
    <phoneticPr fontId="67" type="noConversion"/>
  </si>
  <si>
    <t>每个受试者每条不符合的入选/排除标准条记录</t>
    <phoneticPr fontId="67" type="noConversion"/>
  </si>
  <si>
    <t>STUDYID, USUBJID, IETESTCD</t>
    <phoneticPr fontId="67" type="noConversion"/>
  </si>
  <si>
    <t>LB</t>
    <phoneticPr fontId="67" type="noConversion"/>
  </si>
  <si>
    <t>实验室检查</t>
    <phoneticPr fontId="67" type="noConversion"/>
  </si>
  <si>
    <t>每个受试者每个访视每个时间点每个实验室检查一条记录</t>
    <phoneticPr fontId="67" type="noConversion"/>
  </si>
  <si>
    <t>药代动力学浓度</t>
    <phoneticPr fontId="67" type="noConversion"/>
  </si>
  <si>
    <t>每个受试者每个分析物每个访视每个时间点每个浓度或每个样本特征一条记录</t>
    <phoneticPr fontId="67" type="noConversion"/>
  </si>
  <si>
    <t>STUDYID, USUBJID, PCTESTCD, VISITNUM, PCTPTREF, PCTPTNUM</t>
    <phoneticPr fontId="67" type="noConversion"/>
  </si>
  <si>
    <t>PE</t>
    <phoneticPr fontId="67" type="noConversion"/>
  </si>
  <si>
    <t>体格检查</t>
    <phoneticPr fontId="67" type="noConversion"/>
  </si>
  <si>
    <t>每个受试者每个访视每个身体系统检查或异常情况一条记录</t>
    <phoneticPr fontId="67" type="noConversion"/>
  </si>
  <si>
    <t>STUDYID, USUBJID, PETESTCD, VISITNUM</t>
    <phoneticPr fontId="67" type="noConversion"/>
  </si>
  <si>
    <t>PP</t>
    <phoneticPr fontId="67" type="noConversion"/>
  </si>
  <si>
    <t>药代动力学参数</t>
    <phoneticPr fontId="67" type="noConversion"/>
  </si>
  <si>
    <t>每个受试者每组时间浓度或每个建模方法每个PK参数一条记录</t>
    <phoneticPr fontId="67" type="noConversion"/>
  </si>
  <si>
    <t>STUDYID, USUBJID, PPTESTCD, PPCAT, VISITNUM, PPTPTREF</t>
    <phoneticPr fontId="67" type="noConversion"/>
  </si>
  <si>
    <t>问卷与量表</t>
    <phoneticPr fontId="67" type="noConversion"/>
  </si>
  <si>
    <t>每个受试者每个访视每个时间点每个问卷或量表每项问题一条记录</t>
    <phoneticPr fontId="67" type="noConversion"/>
  </si>
  <si>
    <t>STUDYID, USUBJID, QSCAT, QSTESTCD, VISITNUM, QSTPTREF, QSTPTNUM</t>
    <phoneticPr fontId="67" type="noConversion"/>
  </si>
  <si>
    <t>疾病效应/状态评估</t>
    <phoneticPr fontId="67" type="noConversion"/>
  </si>
  <si>
    <t>每个受试者每个访视每个时间点每个评估者每个评估一条记录</t>
    <phoneticPr fontId="67" type="noConversion"/>
  </si>
  <si>
    <t>受试者状态</t>
    <phoneticPr fontId="67" type="noConversion"/>
  </si>
  <si>
    <t>每个受试者每个访视每个状态一条记录</t>
    <phoneticPr fontId="67" type="noConversion"/>
  </si>
  <si>
    <t>肿瘤/病灶测量</t>
    <phoneticPr fontId="67" type="noConversion"/>
  </si>
  <si>
    <t>每个受试者每个访视每个评估者每个评估项一条记录</t>
    <phoneticPr fontId="67" type="noConversion"/>
  </si>
  <si>
    <t>肿瘤/病灶标识</t>
    <phoneticPr fontId="67" type="noConversion"/>
  </si>
  <si>
    <t>每个受试者每个标识的肿瘤每个评估者一条记录</t>
    <phoneticPr fontId="67" type="noConversion"/>
  </si>
  <si>
    <t>VS</t>
    <phoneticPr fontId="67" type="noConversion"/>
  </si>
  <si>
    <t>生命体征</t>
    <phoneticPr fontId="67" type="noConversion"/>
  </si>
  <si>
    <t>每个受试者每个访视每个时间点每个生命体征测量一条记录</t>
    <phoneticPr fontId="67" type="noConversion"/>
  </si>
  <si>
    <t>STUDYID, USUBJID, VSTESTCD, VISITNUM</t>
    <phoneticPr fontId="67" type="noConversion"/>
  </si>
  <si>
    <t>TA</t>
    <phoneticPr fontId="67" type="noConversion"/>
  </si>
  <si>
    <t>试验分组</t>
    <phoneticPr fontId="67" type="noConversion"/>
  </si>
  <si>
    <t>试验设计</t>
    <phoneticPr fontId="67" type="noConversion"/>
  </si>
  <si>
    <t>每个试验组每个计划元素一条记录</t>
    <phoneticPr fontId="67" type="noConversion"/>
  </si>
  <si>
    <t>STUDYID, ARMCD,TAETORD</t>
    <phoneticPr fontId="67" type="noConversion"/>
  </si>
  <si>
    <t>TE</t>
    <phoneticPr fontId="67" type="noConversion"/>
  </si>
  <si>
    <t>试验元素</t>
    <phoneticPr fontId="67" type="noConversion"/>
  </si>
  <si>
    <t>每个计划元素一条记录</t>
    <phoneticPr fontId="67" type="noConversion"/>
  </si>
  <si>
    <t>STUDYID, ETCD</t>
    <phoneticPr fontId="67" type="noConversion"/>
  </si>
  <si>
    <t>TI</t>
    <phoneticPr fontId="67" type="noConversion"/>
  </si>
  <si>
    <t>试验入选/排除标准</t>
    <phoneticPr fontId="67" type="noConversion"/>
  </si>
  <si>
    <t>每条入选/排除标准一条记录</t>
    <phoneticPr fontId="67" type="noConversion"/>
  </si>
  <si>
    <t>TS</t>
    <phoneticPr fontId="67" type="noConversion"/>
  </si>
  <si>
    <t>试验概要</t>
    <phoneticPr fontId="67" type="noConversion"/>
  </si>
  <si>
    <t>每个实验概要参数值一条记录</t>
    <phoneticPr fontId="67" type="noConversion"/>
  </si>
  <si>
    <t>STUDYID, TSPARMCD, TSSEQ</t>
    <phoneticPr fontId="67" type="noConversion"/>
  </si>
  <si>
    <t>TV</t>
    <phoneticPr fontId="67" type="noConversion"/>
  </si>
  <si>
    <t>试验访视</t>
    <phoneticPr fontId="67" type="noConversion"/>
  </si>
  <si>
    <t>每个分组每个计划访视一条记录</t>
    <phoneticPr fontId="67" type="noConversion"/>
  </si>
  <si>
    <t>STUDYID, VISITNUM, ARMCD</t>
    <phoneticPr fontId="67" type="noConversion"/>
  </si>
  <si>
    <t>关系数据</t>
    <phoneticPr fontId="67" type="noConversion"/>
  </si>
  <si>
    <t>补充修饰语数据集</t>
    <phoneticPr fontId="67" type="noConversion"/>
  </si>
  <si>
    <t>一个域一个修饰变量一条记录</t>
    <phoneticPr fontId="67" type="noConversion"/>
  </si>
  <si>
    <t>STUDYID, RDOMAIN, USUBJID, IDVAR, IDVARVAL, QNAM</t>
    <phoneticPr fontId="67" type="noConversion"/>
  </si>
  <si>
    <t>分叉条件</t>
  </si>
  <si>
    <t>TABRANCH</t>
    <phoneticPr fontId="67" type="noConversion"/>
  </si>
  <si>
    <t>正常值范围内为阴性，范围外为阳性</t>
    <phoneticPr fontId="67" type="noConversion"/>
  </si>
  <si>
    <t>umol/L</t>
    <phoneticPr fontId="67" type="noConversion"/>
  </si>
  <si>
    <t>U/L</t>
    <phoneticPr fontId="67" type="noConversion"/>
  </si>
  <si>
    <t>mmol/L</t>
    <phoneticPr fontId="67" type="noConversion"/>
  </si>
  <si>
    <t>UREA</t>
    <phoneticPr fontId="67" type="noConversion"/>
  </si>
  <si>
    <t>不转</t>
    <phoneticPr fontId="67" type="noConversion"/>
  </si>
  <si>
    <t>乘转换因子</t>
    <phoneticPr fontId="67" type="noConversion"/>
  </si>
  <si>
    <t>CKMB</t>
    <phoneticPr fontId="67" type="noConversion"/>
  </si>
  <si>
    <t>RBC</t>
    <phoneticPr fontId="67" type="noConversion"/>
  </si>
  <si>
    <t>血生化</t>
  </si>
  <si>
    <t>输血四项</t>
  </si>
  <si>
    <t>凝血功能</t>
  </si>
  <si>
    <t>血常规</t>
  </si>
  <si>
    <t>尿常规</t>
  </si>
  <si>
    <t>ISSPID</t>
    <phoneticPr fontId="67" type="noConversion"/>
  </si>
  <si>
    <t>ISSTAT</t>
    <phoneticPr fontId="67" type="noConversion"/>
  </si>
  <si>
    <t>ISREASND</t>
    <phoneticPr fontId="67" type="noConversion"/>
  </si>
  <si>
    <t>ISNAM</t>
    <phoneticPr fontId="67" type="noConversion"/>
  </si>
  <si>
    <t>CMDECOD</t>
    <phoneticPr fontId="67" type="noConversion"/>
  </si>
  <si>
    <t>ISLLOQ</t>
    <phoneticPr fontId="67" type="noConversion"/>
  </si>
  <si>
    <t>HGB</t>
    <phoneticPr fontId="67" type="noConversion"/>
  </si>
  <si>
    <t>MHSTDY</t>
    <phoneticPr fontId="67" type="noConversion"/>
  </si>
  <si>
    <t>RSSTAT</t>
  </si>
  <si>
    <t>RSREASND</t>
  </si>
  <si>
    <t>27.1</t>
    <phoneticPr fontId="67" type="noConversion"/>
  </si>
  <si>
    <t>RSEVAL</t>
    <phoneticPr fontId="67" type="noConversion"/>
  </si>
  <si>
    <t>TREVAL</t>
    <phoneticPr fontId="67" type="noConversion"/>
  </si>
  <si>
    <t>TUEVAL</t>
    <phoneticPr fontId="67" type="noConversion"/>
  </si>
  <si>
    <t>与ORRES匹配</t>
    <phoneticPr fontId="67" type="noConversion"/>
  </si>
  <si>
    <t>将STRESC转换为数值型</t>
    <phoneticPr fontId="67" type="noConversion"/>
  </si>
  <si>
    <t>与ORRESU匹配</t>
    <phoneticPr fontId="67" type="noConversion"/>
  </si>
  <si>
    <t>与TV.VISITNUM匹配</t>
    <phoneticPr fontId="67" type="noConversion"/>
  </si>
  <si>
    <t>DTC早于RFXSTDTC则填充为"SCREENING";DTC晚于或等于RFXSTDTC，早于或小于RFXENDTC则填充为"TREATMENT";DTC晚于RFENDTC则填充为"FOLLOW-UP";</t>
    <phoneticPr fontId="67" type="noConversion"/>
  </si>
  <si>
    <t>将CRF中记录的日期和时间通过"T"连接起来</t>
    <phoneticPr fontId="67" type="noConversion"/>
  </si>
  <si>
    <t>与TV.VISIT匹配</t>
    <phoneticPr fontId="67" type="noConversion"/>
  </si>
  <si>
    <t>影像学检查</t>
  </si>
  <si>
    <t>颈部</t>
  </si>
  <si>
    <t>胸部</t>
  </si>
  <si>
    <t>腹部</t>
  </si>
  <si>
    <t>盆部</t>
  </si>
  <si>
    <t>其他部位</t>
  </si>
  <si>
    <t>妊娠检查</t>
  </si>
  <si>
    <t>梅毒特异性抗体</t>
  </si>
  <si>
    <t>白细胞计数（WBC）</t>
  </si>
  <si>
    <t>红细胞计数（RBC）</t>
  </si>
  <si>
    <t>血红蛋白（Hb）</t>
  </si>
  <si>
    <t>中性粒细胞计数（NEUT）</t>
  </si>
  <si>
    <t>血小板计数（PLT）</t>
  </si>
  <si>
    <t>中性粒细胞百分比（N%）</t>
  </si>
  <si>
    <t>嗜酸性粒细胞百分比（EO%）</t>
  </si>
  <si>
    <t>嗜碱性粒细胞百分比（BASO%）</t>
  </si>
  <si>
    <t>红细胞</t>
  </si>
  <si>
    <t>尿酮体（KET）</t>
  </si>
  <si>
    <t>尿酸碱度（pH）</t>
  </si>
  <si>
    <t>便红细胞</t>
  </si>
  <si>
    <t>LBORRES in ("阴性","无","0","偶见"） then do; LBSRTESC="阴性";LBSTRESN=.;  LBSTRESU=""; LBSTNRLO=""; LBSTNRHI=""; LBSTNRC="阴性";end;else do;LBSRTESC="阳性";LBSTRESN=.;  LBSTRESU=""; LBSTNRLO=""; LBSTNRHI=""; LBSTNRC="阴性";</t>
    <phoneticPr fontId="67" type="noConversion"/>
  </si>
  <si>
    <t>便常规</t>
  </si>
  <si>
    <t>便白细胞</t>
  </si>
  <si>
    <t>门冬氨酸氨基转移酶（AST）</t>
  </si>
  <si>
    <t>碱性磷酸酶（ALP）</t>
  </si>
  <si>
    <t>γ-谷氨酰转移酶（GGT）</t>
  </si>
  <si>
    <t>尿素（UREA）</t>
  </si>
  <si>
    <t>尿素氮（BUN）</t>
  </si>
  <si>
    <t>总胆红素（TBIL）</t>
  </si>
  <si>
    <t>直接胆红素（DBIL）</t>
  </si>
  <si>
    <t>总蛋白（TP）</t>
  </si>
  <si>
    <t>白蛋白（ALB）</t>
  </si>
  <si>
    <t>总胆固醇（TCHO）</t>
  </si>
  <si>
    <t>甘油三酯（TG）</t>
  </si>
  <si>
    <t>低密度脂蛋白(LDLC)</t>
  </si>
  <si>
    <t>高密度脂蛋白(HDLC)</t>
  </si>
  <si>
    <t>总二氧化碳（TCO2）</t>
  </si>
  <si>
    <t>乳酸脱氢酶（LDH）</t>
  </si>
  <si>
    <t>尿酸（UA）</t>
  </si>
  <si>
    <t>凝血酶原时间（PT）</t>
  </si>
  <si>
    <t>活化部分凝血活酶时间（APTT）</t>
  </si>
  <si>
    <t>肌红蛋白</t>
  </si>
  <si>
    <t>甲状腺功能</t>
  </si>
  <si>
    <t>血清游离三碘甲腺原氨酸（FT3）</t>
  </si>
  <si>
    <t>血清游离甲状腺素（FT4）</t>
  </si>
  <si>
    <t>T细胞亚群</t>
  </si>
  <si>
    <t>心脏超声</t>
  </si>
  <si>
    <t>各版本方案指定入排标准，详见CSDRG</t>
    <phoneticPr fontId="67" type="noConversion"/>
  </si>
  <si>
    <t>根据方案定义的组别与受试者被分配的组别匹配，填写ETCD，与ELEMENT匹配</t>
    <phoneticPr fontId="67" type="noConversion"/>
  </si>
  <si>
    <t>根据方案定义的组别与受试者被分配的组别匹配，填写ELEMENT,与ETCD匹配</t>
    <phoneticPr fontId="67" type="noConversion"/>
  </si>
  <si>
    <t>依照TE中顺序排序</t>
  </si>
  <si>
    <t>根据ETCD计算每个ETCD的开始日期</t>
  </si>
  <si>
    <t>根据ETCD计算每个ETCD的结束日期</t>
  </si>
  <si>
    <t>首次给药日期，通过排序SUBJID EXDAT取出每个人的首个观测 cats(EXDAT,"T",EXTIM)</t>
    <phoneticPr fontId="67" type="noConversion"/>
  </si>
  <si>
    <t>末次给药日期，通过排序SUBJID EXDAT取出每个人的末个观测 cats(EXDAT,"T",EXTIM)</t>
    <phoneticPr fontId="67" type="noConversion"/>
  </si>
  <si>
    <t>如果 DSSCYN="否" 则等于 "筛选失败";其他均为空值;</t>
    <phoneticPr fontId="67" type="noConversion"/>
  </si>
  <si>
    <t>根据实际情况计算得</t>
  </si>
  <si>
    <t>方案各版本号，详见CSDRG</t>
    <phoneticPr fontId="67" type="noConversion"/>
  </si>
  <si>
    <r>
      <rPr>
        <sz val="11"/>
        <rFont val="微软雅黑"/>
        <family val="3"/>
        <charset val="134"/>
        <scheme val="minor"/>
      </rPr>
      <t>Char</t>
    </r>
  </si>
  <si>
    <r>
      <rPr>
        <sz val="11"/>
        <rFont val="微软雅黑"/>
        <family val="3"/>
        <charset val="134"/>
        <scheme val="minor"/>
      </rPr>
      <t>DOMAIN</t>
    </r>
  </si>
  <si>
    <r>
      <rPr>
        <sz val="11"/>
        <rFont val="微软雅黑"/>
        <family val="3"/>
        <charset val="134"/>
        <scheme val="minor"/>
      </rPr>
      <t>USUBJID</t>
    </r>
  </si>
  <si>
    <r>
      <rPr>
        <sz val="11"/>
        <rFont val="微软雅黑"/>
        <family val="3"/>
        <charset val="134"/>
        <scheme val="minor"/>
      </rPr>
      <t>VISITNUM</t>
    </r>
  </si>
  <si>
    <r>
      <rPr>
        <sz val="11"/>
        <rFont val="微软雅黑"/>
        <family val="3"/>
        <charset val="134"/>
        <scheme val="minor"/>
      </rPr>
      <t>Num</t>
    </r>
  </si>
  <si>
    <r>
      <rPr>
        <sz val="11"/>
        <rFont val="微软雅黑"/>
        <family val="3"/>
        <charset val="134"/>
        <scheme val="minor"/>
      </rPr>
      <t>Req</t>
    </r>
  </si>
  <si>
    <r>
      <rPr>
        <sz val="11"/>
        <rFont val="微软雅黑"/>
        <family val="3"/>
        <charset val="134"/>
        <scheme val="minor"/>
      </rPr>
      <t>VISIT</t>
    </r>
  </si>
  <si>
    <r>
      <rPr>
        <sz val="11"/>
        <rFont val="微软雅黑"/>
        <family val="3"/>
        <charset val="134"/>
        <scheme val="minor"/>
      </rPr>
      <t>Perm</t>
    </r>
  </si>
  <si>
    <t>(EVAL)</t>
    <phoneticPr fontId="67" type="noConversion"/>
  </si>
  <si>
    <t>EVAL</t>
  </si>
  <si>
    <t>3</t>
  </si>
  <si>
    <t>36</t>
  </si>
  <si>
    <t>与DM.ARM匹配</t>
    <phoneticPr fontId="67" type="noConversion"/>
  </si>
  <si>
    <t>将SITEID和SUBSCID用"-"连接起来</t>
    <phoneticPr fontId="67" type="noConversion"/>
  </si>
  <si>
    <t>将TESTNUMC转化为数值</t>
    <phoneticPr fontId="67" type="noConversion"/>
  </si>
  <si>
    <t>QSORRESU</t>
    <phoneticPr fontId="67" type="noConversion"/>
  </si>
  <si>
    <t>PRO_LBCAT</t>
  </si>
  <si>
    <t>PRO_LBTESTCD</t>
  </si>
  <si>
    <t>PRO_PPCAT</t>
  </si>
  <si>
    <t>PPTEST_CDISC</t>
  </si>
  <si>
    <t>PPTESTCD_code</t>
  </si>
  <si>
    <t>PPTESTNUM</t>
  </si>
  <si>
    <t>PPTESTNUM2</t>
  </si>
  <si>
    <t>RTF_code</t>
  </si>
  <si>
    <t>Drive Method</t>
  </si>
  <si>
    <t>钠（Na）</t>
  </si>
  <si>
    <t>钾（K）</t>
  </si>
  <si>
    <t>钙（Ca2）</t>
  </si>
  <si>
    <t>氯（Cl）</t>
  </si>
  <si>
    <t>Vz_obs</t>
    <phoneticPr fontId="68" type="noConversion"/>
  </si>
  <si>
    <t>Cl_obs</t>
  </si>
  <si>
    <t>MHTERM1</t>
    <phoneticPr fontId="67" type="noConversion"/>
  </si>
  <si>
    <t>参照时点日期/时间</t>
    <phoneticPr fontId="67" type="noConversion"/>
  </si>
  <si>
    <t>(PKPARMCD)</t>
    <phoneticPr fontId="67" type="noConversion"/>
  </si>
  <si>
    <t>(PKPARM)</t>
    <phoneticPr fontId="67" type="noConversion"/>
  </si>
  <si>
    <t>STUDYID, USUBJID, CMTRT, CMSTDTC, CMDOSFRQ, CMDOSTOT</t>
    <phoneticPr fontId="67" type="noConversion"/>
  </si>
  <si>
    <t>STUDYID, USUBJID, EGTESTCD, VISITNUM, EGDTC</t>
    <phoneticPr fontId="67" type="noConversion"/>
  </si>
  <si>
    <t>STUDYID, USUBJID, LBTESTCD, LBSPEC, VISITNUM, LBTPTREF, LBTPTNUM, LBDTC</t>
    <phoneticPr fontId="67" type="noConversion"/>
  </si>
  <si>
    <t>STUDYID, USUBJID, MHCAT, MHDECOD, MHSTDTC</t>
    <phoneticPr fontId="67" type="noConversion"/>
  </si>
  <si>
    <t>STUDYID, USUBJID, RSCAT, RSTESTCD, RSDTC</t>
    <phoneticPr fontId="67" type="noConversion"/>
  </si>
  <si>
    <t>STUDYID, USUBJID, ELEMENT, EPOCH, SESTDTC</t>
    <phoneticPr fontId="67" type="noConversion"/>
  </si>
  <si>
    <t>STUDYID, USUBJID, SSDTC</t>
    <phoneticPr fontId="67" type="noConversion"/>
  </si>
  <si>
    <t>STUDYID, TIVERS, IETESTCD</t>
    <phoneticPr fontId="67" type="noConversion"/>
  </si>
  <si>
    <t>STUDYID, USUBJID, TRLNKID, TRGRPID, TRTESTCD, TRDTC</t>
    <phoneticPr fontId="67" type="noConversion"/>
  </si>
  <si>
    <t>STUDYID, USUBJID, TUTESTCD, TULNKID, TULOC, TUDTC</t>
    <phoneticPr fontId="67" type="noConversion"/>
  </si>
  <si>
    <t>TOBACCO</t>
    <phoneticPr fontId="67" type="noConversion"/>
  </si>
  <si>
    <t>是否有吸烟史</t>
    <phoneticPr fontId="67" type="noConversion"/>
  </si>
  <si>
    <t>ALCOHOL</t>
  </si>
  <si>
    <t>是否有饮酒史</t>
    <phoneticPr fontId="67" type="noConversion"/>
  </si>
  <si>
    <r>
      <rPr>
        <sz val="11"/>
        <color theme="1"/>
        <rFont val="等线"/>
        <family val="3"/>
        <charset val="134"/>
      </rPr>
      <t>研究标识符</t>
    </r>
  </si>
  <si>
    <r>
      <rPr>
        <sz val="11"/>
        <color theme="1"/>
        <rFont val="等线"/>
        <family val="3"/>
        <charset val="134"/>
      </rPr>
      <t>设为</t>
    </r>
    <r>
      <rPr>
        <sz val="11"/>
        <color theme="1"/>
        <rFont val="Calibri"/>
        <family val="2"/>
      </rPr>
      <t>"MJR-MR001-01"</t>
    </r>
    <phoneticPr fontId="67" type="noConversion"/>
  </si>
  <si>
    <r>
      <rPr>
        <sz val="11"/>
        <color theme="1"/>
        <rFont val="等线"/>
        <family val="3"/>
        <charset val="134"/>
      </rPr>
      <t>域名缩写</t>
    </r>
  </si>
  <si>
    <r>
      <rPr>
        <sz val="11"/>
        <color theme="1"/>
        <rFont val="等线"/>
        <family val="3"/>
        <charset val="134"/>
      </rPr>
      <t>受试者唯一标识符</t>
    </r>
  </si>
  <si>
    <r>
      <rPr>
        <sz val="11"/>
        <color theme="1"/>
        <rFont val="等线"/>
        <family val="3"/>
        <charset val="134"/>
      </rPr>
      <t>将</t>
    </r>
    <r>
      <rPr>
        <sz val="11"/>
        <color theme="1"/>
        <rFont val="Calibri"/>
        <family val="2"/>
      </rPr>
      <t>SITEID</t>
    </r>
    <r>
      <rPr>
        <sz val="11"/>
        <color theme="1"/>
        <rFont val="等线"/>
        <family val="3"/>
        <charset val="134"/>
      </rPr>
      <t>和</t>
    </r>
    <r>
      <rPr>
        <sz val="11"/>
        <color theme="1"/>
        <rFont val="Calibri"/>
        <family val="2"/>
      </rPr>
      <t>SUBSCID</t>
    </r>
    <r>
      <rPr>
        <sz val="11"/>
        <color theme="1"/>
        <rFont val="等线"/>
        <family val="3"/>
        <charset val="134"/>
      </rPr>
      <t>和</t>
    </r>
    <r>
      <rPr>
        <sz val="11"/>
        <color theme="1"/>
        <rFont val="Calibri"/>
        <family val="2"/>
      </rPr>
      <t>SUBJID</t>
    </r>
    <r>
      <rPr>
        <sz val="11"/>
        <color theme="1"/>
        <rFont val="等线"/>
        <family val="3"/>
        <charset val="134"/>
      </rPr>
      <t>用</t>
    </r>
    <r>
      <rPr>
        <sz val="11"/>
        <color theme="1"/>
        <rFont val="Calibri"/>
        <family val="2"/>
      </rPr>
      <t>"-"</t>
    </r>
    <r>
      <rPr>
        <sz val="11"/>
        <color theme="1"/>
        <rFont val="等线"/>
        <family val="3"/>
        <charset val="134"/>
      </rPr>
      <t>连接起来</t>
    </r>
    <phoneticPr fontId="67" type="noConversion"/>
  </si>
  <si>
    <r>
      <rPr>
        <sz val="11"/>
        <color theme="1"/>
        <rFont val="等线"/>
        <family val="3"/>
        <charset val="134"/>
      </rPr>
      <t>序号</t>
    </r>
  </si>
  <si>
    <r>
      <rPr>
        <sz val="11"/>
        <color theme="1"/>
        <rFont val="等线"/>
        <family val="3"/>
        <charset val="134"/>
      </rPr>
      <t>检查项简称</t>
    </r>
  </si>
  <si>
    <r>
      <rPr>
        <sz val="11"/>
        <color theme="1"/>
        <rFont val="等线"/>
        <family val="3"/>
        <charset val="134"/>
      </rPr>
      <t>检查项名称</t>
    </r>
    <phoneticPr fontId="67" type="noConversion"/>
  </si>
  <si>
    <r>
      <rPr>
        <sz val="11"/>
        <color theme="1"/>
        <rFont val="等线"/>
        <family val="3"/>
        <charset val="134"/>
      </rPr>
      <t>检查项序号</t>
    </r>
    <phoneticPr fontId="67" type="noConversion"/>
  </si>
  <si>
    <r>
      <rPr>
        <sz val="11"/>
        <color theme="1"/>
        <rFont val="等线"/>
        <family val="3"/>
        <charset val="134"/>
      </rPr>
      <t>按照方案</t>
    </r>
    <r>
      <rPr>
        <sz val="11"/>
        <color theme="1"/>
        <rFont val="Calibri"/>
        <family val="2"/>
      </rPr>
      <t>TEST</t>
    </r>
    <r>
      <rPr>
        <sz val="11"/>
        <color theme="1"/>
        <rFont val="等线"/>
        <family val="3"/>
        <charset val="134"/>
      </rPr>
      <t>顺序</t>
    </r>
  </si>
  <si>
    <r>
      <rPr>
        <sz val="11"/>
        <color theme="1"/>
        <rFont val="等线"/>
        <family val="3"/>
        <charset val="134"/>
      </rPr>
      <t>按照方案</t>
    </r>
    <r>
      <rPr>
        <sz val="11"/>
        <color theme="1"/>
        <rFont val="Calibri"/>
        <family val="2"/>
      </rPr>
      <t>CAT</t>
    </r>
    <r>
      <rPr>
        <sz val="11"/>
        <color theme="1"/>
        <rFont val="等线"/>
        <family val="3"/>
        <charset val="134"/>
      </rPr>
      <t>顺序</t>
    </r>
    <phoneticPr fontId="67" type="noConversion"/>
  </si>
  <si>
    <r>
      <rPr>
        <sz val="11"/>
        <color theme="1"/>
        <rFont val="等线"/>
        <family val="3"/>
        <charset val="134"/>
      </rPr>
      <t>与</t>
    </r>
    <r>
      <rPr>
        <sz val="11"/>
        <color theme="1"/>
        <rFont val="Calibri"/>
        <family val="2"/>
      </rPr>
      <t>ORRES</t>
    </r>
    <r>
      <rPr>
        <sz val="11"/>
        <color theme="1"/>
        <rFont val="等线"/>
        <family val="3"/>
        <charset val="134"/>
      </rPr>
      <t>匹配</t>
    </r>
    <phoneticPr fontId="67" type="noConversion"/>
  </si>
  <si>
    <r>
      <rPr>
        <sz val="11"/>
        <color theme="1"/>
        <rFont val="等线"/>
        <family val="3"/>
        <charset val="134"/>
      </rPr>
      <t>未做状态</t>
    </r>
  </si>
  <si>
    <r>
      <rPr>
        <sz val="11"/>
        <color theme="1"/>
        <rFont val="等线"/>
        <family val="3"/>
        <charset val="134"/>
      </rPr>
      <t>未做原因</t>
    </r>
  </si>
  <si>
    <r>
      <rPr>
        <sz val="11"/>
        <color theme="1"/>
        <rFont val="等线"/>
        <family val="3"/>
        <charset val="134"/>
      </rPr>
      <t>给药前的最后一次存在结果值的检查，则填充</t>
    </r>
    <r>
      <rPr>
        <sz val="11"/>
        <color theme="1"/>
        <rFont val="Calibri"/>
        <family val="2"/>
      </rPr>
      <t>"Y"</t>
    </r>
    <r>
      <rPr>
        <sz val="11"/>
        <color theme="1"/>
        <rFont val="等线"/>
        <family val="3"/>
        <charset val="134"/>
      </rPr>
      <t>否则填充空值</t>
    </r>
    <phoneticPr fontId="67" type="noConversion"/>
  </si>
  <si>
    <r>
      <rPr>
        <sz val="11"/>
        <color theme="1"/>
        <rFont val="等线"/>
        <family val="3"/>
        <charset val="134"/>
      </rPr>
      <t>访视编号</t>
    </r>
  </si>
  <si>
    <r>
      <rPr>
        <sz val="11"/>
        <color theme="1"/>
        <rFont val="等线"/>
        <family val="3"/>
        <charset val="134"/>
      </rPr>
      <t>与</t>
    </r>
    <r>
      <rPr>
        <sz val="11"/>
        <color theme="1"/>
        <rFont val="Calibri"/>
        <family val="2"/>
      </rPr>
      <t>TV.VISITNUM</t>
    </r>
    <r>
      <rPr>
        <sz val="11"/>
        <color theme="1"/>
        <rFont val="等线"/>
        <family val="3"/>
        <charset val="134"/>
      </rPr>
      <t>匹配</t>
    </r>
    <phoneticPr fontId="67" type="noConversion"/>
  </si>
  <si>
    <r>
      <rPr>
        <sz val="11"/>
        <color theme="1"/>
        <rFont val="等线"/>
        <family val="3"/>
        <charset val="134"/>
      </rPr>
      <t>访视名称</t>
    </r>
  </si>
  <si>
    <r>
      <rPr>
        <sz val="11"/>
        <color theme="1"/>
        <rFont val="等线"/>
        <family val="3"/>
        <charset val="134"/>
      </rPr>
      <t>与</t>
    </r>
    <r>
      <rPr>
        <sz val="11"/>
        <color theme="1"/>
        <rFont val="Calibri"/>
        <family val="2"/>
      </rPr>
      <t>TV.VISIT</t>
    </r>
    <r>
      <rPr>
        <sz val="11"/>
        <color theme="1"/>
        <rFont val="等线"/>
        <family val="3"/>
        <charset val="134"/>
      </rPr>
      <t>匹配</t>
    </r>
    <phoneticPr fontId="67" type="noConversion"/>
  </si>
  <si>
    <r>
      <rPr>
        <sz val="11"/>
        <color rgb="FF000000"/>
        <rFont val="等线"/>
        <family val="3"/>
        <charset val="134"/>
      </rPr>
      <t>时期</t>
    </r>
  </si>
  <si>
    <r>
      <t>DTC</t>
    </r>
    <r>
      <rPr>
        <sz val="11"/>
        <color rgb="FF000000"/>
        <rFont val="等线"/>
        <family val="3"/>
        <charset val="134"/>
      </rPr>
      <t>早于</t>
    </r>
    <r>
      <rPr>
        <sz val="11"/>
        <color rgb="FF000000"/>
        <rFont val="Calibri"/>
        <family val="2"/>
      </rPr>
      <t>RFXSTDTC</t>
    </r>
    <r>
      <rPr>
        <sz val="11"/>
        <color rgb="FF000000"/>
        <rFont val="等线"/>
        <family val="3"/>
        <charset val="134"/>
      </rPr>
      <t>则填充为</t>
    </r>
    <r>
      <rPr>
        <sz val="11"/>
        <color rgb="FF000000"/>
        <rFont val="Calibri"/>
        <family val="2"/>
      </rPr>
      <t>"SCREENING";DTC</t>
    </r>
    <r>
      <rPr>
        <sz val="11"/>
        <color rgb="FF000000"/>
        <rFont val="等线"/>
        <family val="3"/>
        <charset val="134"/>
      </rPr>
      <t>晚于或等于</t>
    </r>
    <r>
      <rPr>
        <sz val="11"/>
        <color rgb="FF000000"/>
        <rFont val="Calibri"/>
        <family val="2"/>
      </rPr>
      <t>RFXSTDTC</t>
    </r>
    <r>
      <rPr>
        <sz val="11"/>
        <color rgb="FF000000"/>
        <rFont val="等线"/>
        <family val="3"/>
        <charset val="134"/>
      </rPr>
      <t>，早于或小于</t>
    </r>
    <r>
      <rPr>
        <sz val="11"/>
        <color rgb="FF000000"/>
        <rFont val="Calibri"/>
        <family val="2"/>
      </rPr>
      <t>RFXENDTC</t>
    </r>
    <r>
      <rPr>
        <sz val="11"/>
        <color rgb="FF000000"/>
        <rFont val="等线"/>
        <family val="3"/>
        <charset val="134"/>
      </rPr>
      <t>则填充为</t>
    </r>
    <r>
      <rPr>
        <sz val="11"/>
        <color rgb="FF000000"/>
        <rFont val="Calibri"/>
        <family val="2"/>
      </rPr>
      <t>"TREATMENT";DTC</t>
    </r>
    <r>
      <rPr>
        <sz val="11"/>
        <color rgb="FF000000"/>
        <rFont val="等线"/>
        <family val="3"/>
        <charset val="134"/>
      </rPr>
      <t>晚于</t>
    </r>
    <r>
      <rPr>
        <sz val="11"/>
        <color rgb="FF000000"/>
        <rFont val="Calibri"/>
        <family val="2"/>
      </rPr>
      <t>RFENDTC</t>
    </r>
    <r>
      <rPr>
        <sz val="11"/>
        <color rgb="FF000000"/>
        <rFont val="等线"/>
        <family val="3"/>
        <charset val="134"/>
      </rPr>
      <t>则填充为</t>
    </r>
    <r>
      <rPr>
        <sz val="11"/>
        <color rgb="FF000000"/>
        <rFont val="Calibri"/>
        <family val="2"/>
      </rPr>
      <t>"FOLLOW-UP";</t>
    </r>
    <phoneticPr fontId="67" type="noConversion"/>
  </si>
  <si>
    <r>
      <rPr>
        <sz val="11"/>
        <color theme="1"/>
        <rFont val="等线"/>
        <family val="3"/>
        <charset val="134"/>
      </rPr>
      <t>检查日期</t>
    </r>
    <r>
      <rPr>
        <sz val="11"/>
        <color theme="1"/>
        <rFont val="Calibri"/>
        <family val="2"/>
      </rPr>
      <t>/</t>
    </r>
    <r>
      <rPr>
        <sz val="11"/>
        <color theme="1"/>
        <rFont val="等线"/>
        <family val="3"/>
        <charset val="134"/>
      </rPr>
      <t>时间</t>
    </r>
  </si>
  <si>
    <r>
      <rPr>
        <sz val="11"/>
        <color theme="1"/>
        <rFont val="等线"/>
        <family val="3"/>
        <charset val="134"/>
      </rPr>
      <t>检查日</t>
    </r>
  </si>
  <si>
    <r>
      <rPr>
        <sz val="11"/>
        <color theme="1"/>
        <rFont val="等线"/>
        <family val="3"/>
        <charset val="134"/>
      </rPr>
      <t>其他情况详细说明</t>
    </r>
    <phoneticPr fontId="67" type="noConversion"/>
  </si>
  <si>
    <r>
      <rPr>
        <sz val="11"/>
        <color theme="1"/>
        <rFont val="等线"/>
        <family val="3"/>
        <charset val="134"/>
      </rPr>
      <t>将</t>
    </r>
    <r>
      <rPr>
        <sz val="11"/>
        <color theme="1"/>
        <rFont val="Calibri"/>
        <family val="2"/>
      </rPr>
      <t>STRESC</t>
    </r>
    <r>
      <rPr>
        <sz val="11"/>
        <color theme="1"/>
        <rFont val="等线"/>
        <family val="3"/>
        <charset val="134"/>
      </rPr>
      <t>转换为数值型</t>
    </r>
    <phoneticPr fontId="67" type="noConversion"/>
  </si>
  <si>
    <r>
      <rPr>
        <sz val="11"/>
        <color theme="1"/>
        <rFont val="等线"/>
        <family val="3"/>
        <charset val="134"/>
      </rPr>
      <t>与</t>
    </r>
    <r>
      <rPr>
        <sz val="11"/>
        <color theme="1"/>
        <rFont val="Calibri"/>
        <family val="2"/>
      </rPr>
      <t>ORRESU</t>
    </r>
    <r>
      <rPr>
        <sz val="11"/>
        <color theme="1"/>
        <rFont val="等线"/>
        <family val="3"/>
        <charset val="134"/>
      </rPr>
      <t>匹配</t>
    </r>
    <phoneticPr fontId="67" type="noConversion"/>
  </si>
  <si>
    <r>
      <rPr>
        <sz val="11"/>
        <color theme="1"/>
        <rFont val="等线"/>
        <family val="3"/>
        <charset val="134"/>
      </rPr>
      <t>将</t>
    </r>
    <r>
      <rPr>
        <sz val="11"/>
        <color theme="1"/>
        <rFont val="Calibri"/>
        <family val="2"/>
      </rPr>
      <t>CRF</t>
    </r>
    <r>
      <rPr>
        <sz val="11"/>
        <color theme="1"/>
        <rFont val="等线"/>
        <family val="3"/>
        <charset val="134"/>
      </rPr>
      <t>中记录的日期和时间通过</t>
    </r>
    <r>
      <rPr>
        <sz val="11"/>
        <color theme="1"/>
        <rFont val="Calibri"/>
        <family val="2"/>
      </rPr>
      <t>"T"</t>
    </r>
    <r>
      <rPr>
        <sz val="11"/>
        <color theme="1"/>
        <rFont val="等线"/>
        <family val="3"/>
        <charset val="134"/>
      </rPr>
      <t>连接起来</t>
    </r>
    <phoneticPr fontId="67" type="noConversion"/>
  </si>
  <si>
    <r>
      <rPr>
        <sz val="11"/>
        <color theme="1"/>
        <rFont val="等线"/>
        <family val="3"/>
        <charset val="134"/>
      </rPr>
      <t>标准化正常值范围</t>
    </r>
    <r>
      <rPr>
        <sz val="11"/>
        <color theme="1"/>
        <rFont val="Calibri"/>
        <family val="2"/>
      </rPr>
      <t>(</t>
    </r>
    <r>
      <rPr>
        <sz val="11"/>
        <color theme="1"/>
        <rFont val="等线"/>
        <family val="3"/>
        <charset val="134"/>
      </rPr>
      <t>文本结果</t>
    </r>
    <r>
      <rPr>
        <sz val="11"/>
        <color theme="1"/>
        <rFont val="Calibri"/>
        <family val="2"/>
      </rPr>
      <t>)</t>
    </r>
  </si>
  <si>
    <r>
      <rPr>
        <sz val="11"/>
        <color theme="1"/>
        <rFont val="等线"/>
        <family val="3"/>
        <charset val="134"/>
      </rPr>
      <t>低于范围下限是</t>
    </r>
    <r>
      <rPr>
        <sz val="11"/>
        <color theme="1"/>
        <rFont val="Calibri"/>
        <family val="2"/>
      </rPr>
      <t>LOW</t>
    </r>
    <r>
      <rPr>
        <sz val="11"/>
        <color theme="1"/>
        <rFont val="等线"/>
        <family val="3"/>
        <charset val="134"/>
      </rPr>
      <t>，高于范围上限是</t>
    </r>
    <r>
      <rPr>
        <sz val="11"/>
        <color theme="1"/>
        <rFont val="Calibri"/>
        <family val="2"/>
      </rPr>
      <t>HIGH,</t>
    </r>
    <r>
      <rPr>
        <sz val="11"/>
        <color theme="1"/>
        <rFont val="等线"/>
        <family val="3"/>
        <charset val="134"/>
      </rPr>
      <t>在范围之内是</t>
    </r>
    <r>
      <rPr>
        <sz val="11"/>
        <color theme="1"/>
        <rFont val="Calibri"/>
        <family val="2"/>
      </rPr>
      <t>NORMAL</t>
    </r>
  </si>
  <si>
    <r>
      <rPr>
        <sz val="11"/>
        <color theme="1"/>
        <rFont val="等线"/>
        <family val="3"/>
        <charset val="134"/>
      </rPr>
      <t>临床情况详述</t>
    </r>
  </si>
  <si>
    <r>
      <rPr>
        <sz val="11"/>
        <color theme="1"/>
        <rFont val="等线"/>
        <family val="3"/>
        <charset val="134"/>
      </rPr>
      <t>问题简称</t>
    </r>
  </si>
  <si>
    <r>
      <rPr>
        <sz val="11"/>
        <color theme="1"/>
        <rFont val="等线"/>
        <family val="3"/>
        <charset val="134"/>
      </rPr>
      <t>问题名称</t>
    </r>
  </si>
  <si>
    <r>
      <rPr>
        <sz val="11"/>
        <color theme="1"/>
        <rFont val="等线"/>
        <family val="3"/>
        <charset val="134"/>
      </rPr>
      <t>评估日期</t>
    </r>
    <r>
      <rPr>
        <sz val="11"/>
        <color theme="1"/>
        <rFont val="Calibri"/>
        <family val="2"/>
      </rPr>
      <t>/</t>
    </r>
    <r>
      <rPr>
        <sz val="11"/>
        <color theme="1"/>
        <rFont val="等线"/>
        <family val="3"/>
        <charset val="134"/>
      </rPr>
      <t>时间</t>
    </r>
  </si>
  <si>
    <r>
      <rPr>
        <sz val="11"/>
        <color theme="1"/>
        <rFont val="等线"/>
        <family val="3"/>
        <charset val="134"/>
      </rPr>
      <t>评估日</t>
    </r>
  </si>
  <si>
    <t>LBMETHOD</t>
    <phoneticPr fontId="67" type="noConversion"/>
  </si>
  <si>
    <r>
      <rPr>
        <sz val="11"/>
        <color theme="1"/>
        <rFont val="等线"/>
        <family val="3"/>
        <charset val="134"/>
      </rPr>
      <t>检测项简称</t>
    </r>
  </si>
  <si>
    <r>
      <rPr>
        <sz val="11"/>
        <color theme="1"/>
        <rFont val="等线"/>
        <family val="3"/>
        <charset val="134"/>
      </rPr>
      <t>检测项名称</t>
    </r>
  </si>
  <si>
    <r>
      <rPr>
        <sz val="11"/>
        <color theme="1"/>
        <rFont val="等线"/>
        <family val="3"/>
        <charset val="134"/>
      </rPr>
      <t>原始正常值范围下限</t>
    </r>
  </si>
  <si>
    <r>
      <rPr>
        <sz val="11"/>
        <color theme="1"/>
        <rFont val="等线"/>
        <family val="3"/>
        <charset val="134"/>
      </rPr>
      <t>原始正常值范围上限</t>
    </r>
  </si>
  <si>
    <r>
      <rPr>
        <sz val="11"/>
        <color theme="1"/>
        <rFont val="等线"/>
        <family val="3"/>
        <charset val="134"/>
      </rPr>
      <t>标准化正常值范围下限</t>
    </r>
  </si>
  <si>
    <r>
      <rPr>
        <sz val="11"/>
        <color theme="1"/>
        <rFont val="等线"/>
        <family val="3"/>
        <charset val="134"/>
      </rPr>
      <t>由中心制定正常值范围的下限</t>
    </r>
    <phoneticPr fontId="67" type="noConversion"/>
  </si>
  <si>
    <r>
      <rPr>
        <sz val="11"/>
        <color theme="1"/>
        <rFont val="等线"/>
        <family val="3"/>
        <charset val="134"/>
      </rPr>
      <t>标准化正常值范围上限</t>
    </r>
  </si>
  <si>
    <r>
      <rPr>
        <sz val="11"/>
        <color theme="1"/>
        <rFont val="等线"/>
        <family val="3"/>
        <charset val="134"/>
      </rPr>
      <t>由中心制定正常值范围的上限</t>
    </r>
    <phoneticPr fontId="67" type="noConversion"/>
  </si>
  <si>
    <r>
      <rPr>
        <sz val="11"/>
        <color theme="1"/>
        <rFont val="等线"/>
        <family val="3"/>
        <charset val="134"/>
      </rPr>
      <t>通过结果值与上下限比较得到</t>
    </r>
    <r>
      <rPr>
        <sz val="11"/>
        <color theme="1"/>
        <rFont val="Calibri"/>
        <family val="2"/>
      </rPr>
      <t>"HIGH"</t>
    </r>
    <r>
      <rPr>
        <sz val="11"/>
        <color theme="1"/>
        <rFont val="等线"/>
        <family val="3"/>
        <charset val="134"/>
      </rPr>
      <t>、</t>
    </r>
    <r>
      <rPr>
        <sz val="11"/>
        <color theme="1"/>
        <rFont val="Calibri"/>
        <family val="2"/>
      </rPr>
      <t>"NORMAL"</t>
    </r>
    <r>
      <rPr>
        <sz val="11"/>
        <color theme="1"/>
        <rFont val="等线"/>
        <family val="3"/>
        <charset val="134"/>
      </rPr>
      <t>、</t>
    </r>
    <r>
      <rPr>
        <sz val="11"/>
        <color theme="1"/>
        <rFont val="Calibri"/>
        <family val="2"/>
      </rPr>
      <t>"LOW"</t>
    </r>
    <phoneticPr fontId="67" type="noConversion"/>
  </si>
  <si>
    <r>
      <rPr>
        <sz val="11"/>
        <color theme="1"/>
        <rFont val="等线"/>
        <family val="3"/>
        <charset val="134"/>
      </rPr>
      <t>检测方法</t>
    </r>
  </si>
  <si>
    <r>
      <rPr>
        <sz val="11"/>
        <rFont val="等线"/>
        <family val="3"/>
        <charset val="134"/>
      </rPr>
      <t>临床意义</t>
    </r>
  </si>
  <si>
    <r>
      <rPr>
        <sz val="11"/>
        <color theme="1"/>
        <rFont val="等线"/>
        <family val="3"/>
        <charset val="134"/>
      </rPr>
      <t>样本采集日期</t>
    </r>
    <r>
      <rPr>
        <sz val="11"/>
        <color theme="1"/>
        <rFont val="Calibri"/>
        <family val="2"/>
      </rPr>
      <t>/</t>
    </r>
    <r>
      <rPr>
        <sz val="11"/>
        <color theme="1"/>
        <rFont val="等线"/>
        <family val="3"/>
        <charset val="134"/>
      </rPr>
      <t>时间</t>
    </r>
  </si>
  <si>
    <r>
      <rPr>
        <sz val="11"/>
        <color theme="1"/>
        <rFont val="等线"/>
        <family val="3"/>
        <charset val="134"/>
      </rPr>
      <t>样本采集日</t>
    </r>
  </si>
  <si>
    <r>
      <rPr>
        <sz val="11"/>
        <rFont val="等线"/>
        <family val="3"/>
        <charset val="134"/>
      </rPr>
      <t>类别编号</t>
    </r>
  </si>
  <si>
    <r>
      <rPr>
        <sz val="11"/>
        <rFont val="等线"/>
        <family val="3"/>
        <charset val="134"/>
      </rPr>
      <t>检测项编号</t>
    </r>
  </si>
  <si>
    <r>
      <rPr>
        <sz val="11"/>
        <rFont val="等线"/>
        <family val="3"/>
        <charset val="134"/>
      </rPr>
      <t>射血分数</t>
    </r>
  </si>
  <si>
    <t>HBVDNA</t>
  </si>
  <si>
    <t>HBVDNA</t>
    <phoneticPr fontId="67" type="noConversion"/>
  </si>
  <si>
    <t>4</t>
  </si>
  <si>
    <t>4</t>
    <phoneticPr fontId="67" type="noConversion"/>
  </si>
  <si>
    <t>根据特定描述进行转换</t>
    <phoneticPr fontId="67" type="noConversion"/>
  </si>
  <si>
    <t>便潜血</t>
  </si>
  <si>
    <t>0-3个/高倍视野,3-5个/高倍视野等均视为阳性</t>
    <phoneticPr fontId="67" type="noConversion"/>
  </si>
  <si>
    <t>WBC</t>
    <phoneticPr fontId="67" type="noConversion"/>
  </si>
  <si>
    <t>10^9/L</t>
    <phoneticPr fontId="67" type="noConversion"/>
  </si>
  <si>
    <t>N</t>
  </si>
  <si>
    <t>L</t>
  </si>
  <si>
    <t>M</t>
  </si>
  <si>
    <t>先赋值 3 最后汇总具体内容</t>
    <phoneticPr fontId="67" type="noConversion"/>
  </si>
  <si>
    <t>RATIO</t>
  </si>
  <si>
    <t>肌酐清除率</t>
  </si>
  <si>
    <t>9</t>
    <phoneticPr fontId="67" type="noConversion"/>
  </si>
  <si>
    <t>肌酐清除率</t>
    <phoneticPr fontId="67" type="noConversion"/>
  </si>
  <si>
    <t>CREATCLR</t>
    <phoneticPr fontId="72" type="noConversion"/>
  </si>
  <si>
    <t>mL/min</t>
  </si>
  <si>
    <t>糖类抗原CA72-4</t>
  </si>
  <si>
    <t>糖类抗原19-9</t>
  </si>
  <si>
    <t>癌胚抗原</t>
  </si>
  <si>
    <t>胃蛋白酶原I</t>
  </si>
  <si>
    <t>胃蛋白酶原II</t>
  </si>
  <si>
    <t>胃蛋白酶原I/II</t>
  </si>
  <si>
    <t>糖链抗原242</t>
  </si>
  <si>
    <t>AFP</t>
  </si>
  <si>
    <t>PIVKA-II</t>
  </si>
  <si>
    <t>肿瘤标志物</t>
  </si>
  <si>
    <t>TUMA1</t>
    <phoneticPr fontId="67" type="noConversion"/>
  </si>
  <si>
    <t>TUMA2</t>
  </si>
  <si>
    <t>TUMA3</t>
  </si>
  <si>
    <t>TUMA4</t>
  </si>
  <si>
    <t>TUMA5</t>
  </si>
  <si>
    <t>TUMA7</t>
  </si>
  <si>
    <t>TUMA8</t>
  </si>
  <si>
    <t>TUMA9</t>
  </si>
  <si>
    <t>TUMA10</t>
  </si>
  <si>
    <t>骨扫描</t>
  </si>
  <si>
    <t>胃镜</t>
  </si>
  <si>
    <t>mg/L</t>
  </si>
  <si>
    <t>白蛋白</t>
  </si>
  <si>
    <t>总胆汁酸</t>
  </si>
  <si>
    <t>MICR</t>
  </si>
  <si>
    <t>ALT</t>
    <phoneticPr fontId="67" type="noConversion"/>
  </si>
  <si>
    <t>T</t>
    <phoneticPr fontId="67" type="noConversion"/>
  </si>
  <si>
    <t>I</t>
    <phoneticPr fontId="67" type="noConversion"/>
  </si>
  <si>
    <t>MB</t>
    <phoneticPr fontId="67" type="noConversion"/>
  </si>
  <si>
    <t>TRFL</t>
    <phoneticPr fontId="67" type="noConversion"/>
  </si>
  <si>
    <t>CREAT</t>
    <phoneticPr fontId="67" type="noConversion"/>
  </si>
  <si>
    <t>(STENRF)</t>
    <phoneticPr fontId="67" type="noConversion"/>
  </si>
  <si>
    <t>STENRF</t>
    <phoneticPr fontId="67" type="noConversion"/>
  </si>
  <si>
    <t>AEENDY</t>
    <phoneticPr fontId="67" type="noConversion"/>
  </si>
  <si>
    <t>AEENTPT</t>
    <phoneticPr fontId="67" type="noConversion"/>
  </si>
  <si>
    <t>AEENRTPT</t>
    <phoneticPr fontId="67" type="noConversion"/>
  </si>
  <si>
    <t>CMONGO</t>
    <phoneticPr fontId="67" type="noConversion"/>
  </si>
  <si>
    <t>AEENRF</t>
  </si>
  <si>
    <t>CMSTRF</t>
  </si>
  <si>
    <t>CMENRF</t>
  </si>
  <si>
    <t>CMSTRTPT</t>
  </si>
  <si>
    <t>CMENRTPT</t>
    <phoneticPr fontId="67" type="noConversion"/>
  </si>
  <si>
    <t>CMENTPT</t>
  </si>
  <si>
    <t>(STENRF)</t>
  </si>
  <si>
    <t>STENRF</t>
  </si>
  <si>
    <t>CMSTTPT</t>
    <phoneticPr fontId="67" type="noConversion"/>
  </si>
  <si>
    <t>MHENRF</t>
  </si>
  <si>
    <t>MHENRTPT</t>
  </si>
  <si>
    <t>MHENTPT</t>
  </si>
  <si>
    <r>
      <rPr>
        <sz val="11"/>
        <color theme="1"/>
        <rFont val="等线"/>
        <family val="3"/>
        <charset val="134"/>
      </rPr>
      <t>自定义标识符</t>
    </r>
  </si>
  <si>
    <r>
      <rPr>
        <sz val="11"/>
        <color theme="1"/>
        <rFont val="等线"/>
        <family val="3"/>
        <charset val="134"/>
      </rPr>
      <t>病史报告名称</t>
    </r>
  </si>
  <si>
    <r>
      <rPr>
        <sz val="11"/>
        <color theme="1"/>
        <rFont val="等线"/>
        <family val="3"/>
        <charset val="134"/>
      </rPr>
      <t>标准化名称</t>
    </r>
  </si>
  <si>
    <r>
      <rPr>
        <sz val="11"/>
        <color theme="1"/>
        <rFont val="等线"/>
        <family val="3"/>
        <charset val="134"/>
      </rPr>
      <t>系统器官分类</t>
    </r>
  </si>
  <si>
    <r>
      <rPr>
        <sz val="11"/>
        <color theme="1"/>
        <rFont val="等线"/>
        <family val="3"/>
        <charset val="134"/>
      </rPr>
      <t>开始日</t>
    </r>
    <phoneticPr fontId="67" type="noConversion"/>
  </si>
  <si>
    <r>
      <rPr>
        <sz val="11"/>
        <color theme="1"/>
        <rFont val="等线"/>
        <family val="3"/>
        <charset val="134"/>
      </rPr>
      <t>结束参考时间点</t>
    </r>
    <phoneticPr fontId="67" type="noConversion"/>
  </si>
  <si>
    <r>
      <rPr>
        <sz val="11"/>
        <color theme="1"/>
        <rFont val="等线"/>
        <family val="3"/>
        <charset val="134"/>
      </rPr>
      <t>取受试者最后一个访视日期</t>
    </r>
    <phoneticPr fontId="67" type="noConversion"/>
  </si>
  <si>
    <r>
      <rPr>
        <sz val="11"/>
        <color theme="1"/>
        <rFont val="等线"/>
        <family val="3"/>
        <charset val="134"/>
      </rPr>
      <t>是否仍持续</t>
    </r>
    <phoneticPr fontId="67" type="noConversion"/>
  </si>
  <si>
    <r>
      <rPr>
        <sz val="11"/>
        <color theme="1"/>
        <rFont val="等线"/>
        <family val="3"/>
        <charset val="134"/>
      </rPr>
      <t>词典名称</t>
    </r>
  </si>
  <si>
    <r>
      <rPr>
        <sz val="11"/>
        <color theme="1"/>
        <rFont val="等线"/>
        <family val="3"/>
        <charset val="134"/>
      </rPr>
      <t>词典版本</t>
    </r>
  </si>
  <si>
    <r>
      <rPr>
        <sz val="11"/>
        <color theme="1"/>
        <rFont val="等线"/>
        <family val="3"/>
        <charset val="134"/>
      </rPr>
      <t>病史报告名称</t>
    </r>
    <r>
      <rPr>
        <sz val="11"/>
        <color theme="1"/>
        <rFont val="Calibri"/>
        <family val="2"/>
      </rPr>
      <t>1</t>
    </r>
    <phoneticPr fontId="67" type="noConversion"/>
  </si>
  <si>
    <r>
      <rPr>
        <sz val="11"/>
        <color theme="1"/>
        <rFont val="等线"/>
        <family val="3"/>
        <charset val="134"/>
      </rPr>
      <t>开始日期</t>
    </r>
    <r>
      <rPr>
        <sz val="11"/>
        <color theme="1"/>
        <rFont val="Calibri"/>
        <family val="2"/>
      </rPr>
      <t>/</t>
    </r>
    <r>
      <rPr>
        <sz val="11"/>
        <color theme="1"/>
        <rFont val="等线"/>
        <family val="3"/>
        <charset val="134"/>
      </rPr>
      <t>时间</t>
    </r>
    <phoneticPr fontId="67" type="noConversion"/>
  </si>
  <si>
    <r>
      <rPr>
        <sz val="11"/>
        <color theme="1"/>
        <rFont val="等线"/>
        <family val="3"/>
        <charset val="134"/>
      </rPr>
      <t>结束日期</t>
    </r>
    <r>
      <rPr>
        <sz val="11"/>
        <color theme="1"/>
        <rFont val="Calibri"/>
        <family val="2"/>
      </rPr>
      <t>/</t>
    </r>
    <r>
      <rPr>
        <sz val="11"/>
        <color theme="1"/>
        <rFont val="等线"/>
        <family val="3"/>
        <charset val="134"/>
      </rPr>
      <t>时间</t>
    </r>
  </si>
  <si>
    <r>
      <rPr>
        <sz val="11"/>
        <color theme="1"/>
        <rFont val="等线"/>
        <family val="3"/>
        <charset val="134"/>
      </rPr>
      <t>结束日期</t>
    </r>
    <r>
      <rPr>
        <sz val="11"/>
        <color theme="1"/>
        <rFont val="Calibri"/>
        <family val="2"/>
      </rPr>
      <t>/</t>
    </r>
    <r>
      <rPr>
        <sz val="11"/>
        <color theme="1"/>
        <rFont val="等线"/>
        <family val="3"/>
        <charset val="134"/>
      </rPr>
      <t>时间相对参考期的状态</t>
    </r>
    <phoneticPr fontId="67" type="noConversion"/>
  </si>
  <si>
    <r>
      <rPr>
        <sz val="11"/>
        <color theme="1"/>
        <rFont val="等线"/>
        <family val="3"/>
        <charset val="134"/>
      </rPr>
      <t>结束日期</t>
    </r>
    <r>
      <rPr>
        <sz val="11"/>
        <color theme="1"/>
        <rFont val="Calibri"/>
        <family val="2"/>
      </rPr>
      <t>/</t>
    </r>
    <r>
      <rPr>
        <sz val="11"/>
        <color theme="1"/>
        <rFont val="等线"/>
        <family val="3"/>
        <charset val="134"/>
      </rPr>
      <t>时间结束参考时间点时的状态</t>
    </r>
    <phoneticPr fontId="67" type="noConversion"/>
  </si>
  <si>
    <r>
      <rPr>
        <sz val="11"/>
        <color theme="1"/>
        <rFont val="等线"/>
        <family val="3"/>
        <charset val="134"/>
      </rPr>
      <t>肿瘤治疗是</t>
    </r>
    <r>
      <rPr>
        <sz val="11"/>
        <color theme="1"/>
        <rFont val="Calibri"/>
        <family val="2"/>
      </rPr>
      <t>/</t>
    </r>
    <r>
      <rPr>
        <sz val="11"/>
        <color theme="1"/>
        <rFont val="等线"/>
        <family val="3"/>
        <charset val="134"/>
      </rPr>
      <t>否</t>
    </r>
  </si>
  <si>
    <r>
      <rPr>
        <sz val="11"/>
        <color theme="1"/>
        <rFont val="等线"/>
        <family val="3"/>
        <charset val="134"/>
      </rPr>
      <t>治疗报告名称</t>
    </r>
  </si>
  <si>
    <r>
      <rPr>
        <sz val="11"/>
        <color theme="1"/>
        <rFont val="等线"/>
        <family val="3"/>
        <charset val="134"/>
      </rPr>
      <t>适应症</t>
    </r>
  </si>
  <si>
    <r>
      <rPr>
        <sz val="11"/>
        <color theme="1"/>
        <rFont val="等线"/>
        <family val="3"/>
        <charset val="134"/>
      </rPr>
      <t>其他适应症</t>
    </r>
  </si>
  <si>
    <r>
      <rPr>
        <sz val="11"/>
        <color theme="1"/>
        <rFont val="等线"/>
        <family val="3"/>
        <charset val="134"/>
      </rPr>
      <t>相关</t>
    </r>
    <r>
      <rPr>
        <sz val="11"/>
        <color theme="1"/>
        <rFont val="Calibri"/>
        <family val="2"/>
      </rPr>
      <t>AE</t>
    </r>
    <r>
      <rPr>
        <sz val="11"/>
        <color theme="1"/>
        <rFont val="等线"/>
        <family val="3"/>
        <charset val="134"/>
      </rPr>
      <t>编号</t>
    </r>
  </si>
  <si>
    <r>
      <rPr>
        <sz val="11"/>
        <color theme="1"/>
        <rFont val="等线"/>
        <family val="3"/>
        <charset val="134"/>
      </rPr>
      <t>相关</t>
    </r>
    <r>
      <rPr>
        <sz val="11"/>
        <color theme="1"/>
        <rFont val="Calibri"/>
        <family val="2"/>
      </rPr>
      <t>MH</t>
    </r>
    <r>
      <rPr>
        <sz val="11"/>
        <color theme="1"/>
        <rFont val="等线"/>
        <family val="3"/>
        <charset val="134"/>
      </rPr>
      <t>编号</t>
    </r>
  </si>
  <si>
    <r>
      <rPr>
        <sz val="11"/>
        <color theme="1"/>
        <rFont val="等线"/>
        <family val="3"/>
        <charset val="134"/>
      </rPr>
      <t>化疗方案</t>
    </r>
  </si>
  <si>
    <r>
      <rPr>
        <sz val="11"/>
        <color theme="1"/>
        <rFont val="等线"/>
        <family val="3"/>
        <charset val="134"/>
      </rPr>
      <t>最佳治疗效果</t>
    </r>
  </si>
  <si>
    <r>
      <rPr>
        <sz val="11"/>
        <color theme="1"/>
        <rFont val="等线"/>
        <family val="3"/>
        <charset val="134"/>
      </rPr>
      <t>剂量单位</t>
    </r>
  </si>
  <si>
    <r>
      <rPr>
        <sz val="11"/>
        <color theme="1"/>
        <rFont val="等线"/>
        <family val="3"/>
        <charset val="134"/>
      </rPr>
      <t>其他剂量单位</t>
    </r>
  </si>
  <si>
    <r>
      <rPr>
        <sz val="11"/>
        <color theme="1"/>
        <rFont val="等线"/>
        <family val="3"/>
        <charset val="134"/>
      </rPr>
      <t>频率</t>
    </r>
  </si>
  <si>
    <r>
      <rPr>
        <sz val="11"/>
        <color theme="1"/>
        <rFont val="等线"/>
        <family val="3"/>
        <charset val="134"/>
      </rPr>
      <t>其他频率</t>
    </r>
  </si>
  <si>
    <r>
      <rPr>
        <sz val="11"/>
        <color theme="1"/>
        <rFont val="等线"/>
        <family val="3"/>
        <charset val="134"/>
      </rPr>
      <t>每日总剂量</t>
    </r>
  </si>
  <si>
    <r>
      <rPr>
        <sz val="11"/>
        <color theme="1"/>
        <rFont val="等线"/>
        <family val="3"/>
        <charset val="134"/>
      </rPr>
      <t>给药途径</t>
    </r>
  </si>
  <si>
    <r>
      <rPr>
        <sz val="11"/>
        <color theme="1"/>
        <rFont val="等线"/>
        <family val="3"/>
        <charset val="134"/>
      </rPr>
      <t>其他给药途径</t>
    </r>
  </si>
  <si>
    <r>
      <rPr>
        <sz val="11"/>
        <color theme="1"/>
        <rFont val="等线"/>
        <family val="3"/>
        <charset val="134"/>
      </rPr>
      <t>开始日期</t>
    </r>
    <r>
      <rPr>
        <sz val="11"/>
        <color theme="1"/>
        <rFont val="Calibri"/>
        <family val="2"/>
      </rPr>
      <t>/</t>
    </r>
    <r>
      <rPr>
        <sz val="11"/>
        <color theme="1"/>
        <rFont val="等线"/>
        <family val="3"/>
        <charset val="134"/>
      </rPr>
      <t>时间</t>
    </r>
  </si>
  <si>
    <r>
      <rPr>
        <sz val="11"/>
        <color theme="1"/>
        <rFont val="等线"/>
        <family val="3"/>
        <charset val="134"/>
      </rPr>
      <t>开始日</t>
    </r>
  </si>
  <si>
    <r>
      <rPr>
        <sz val="11"/>
        <color theme="1"/>
        <rFont val="等线"/>
        <family val="3"/>
        <charset val="134"/>
      </rPr>
      <t>结束日</t>
    </r>
  </si>
  <si>
    <r>
      <rPr>
        <sz val="11"/>
        <color theme="1"/>
        <rFont val="等线"/>
        <family val="3"/>
        <charset val="134"/>
      </rPr>
      <t>开始日期</t>
    </r>
    <r>
      <rPr>
        <sz val="11"/>
        <color theme="1"/>
        <rFont val="Calibri"/>
        <family val="2"/>
      </rPr>
      <t>/</t>
    </r>
    <r>
      <rPr>
        <sz val="11"/>
        <color theme="1"/>
        <rFont val="等线"/>
        <family val="3"/>
        <charset val="134"/>
      </rPr>
      <t>时间相对参考期的状态</t>
    </r>
    <phoneticPr fontId="67" type="noConversion"/>
  </si>
  <si>
    <r>
      <rPr>
        <sz val="11"/>
        <color theme="1"/>
        <rFont val="等线"/>
        <family val="3"/>
        <charset val="134"/>
      </rPr>
      <t>开始日期</t>
    </r>
    <r>
      <rPr>
        <sz val="11"/>
        <color theme="1"/>
        <rFont val="Calibri"/>
        <family val="2"/>
      </rPr>
      <t>/</t>
    </r>
    <r>
      <rPr>
        <sz val="11"/>
        <color theme="1"/>
        <rFont val="等线"/>
        <family val="3"/>
        <charset val="134"/>
      </rPr>
      <t>时间开始参考时间点时的状态</t>
    </r>
    <phoneticPr fontId="67" type="noConversion"/>
  </si>
  <si>
    <r>
      <rPr>
        <sz val="11"/>
        <color theme="1"/>
        <rFont val="等线"/>
        <family val="3"/>
        <charset val="134"/>
      </rPr>
      <t>开始参考时间点</t>
    </r>
    <phoneticPr fontId="67" type="noConversion"/>
  </si>
  <si>
    <r>
      <rPr>
        <sz val="11"/>
        <color theme="1"/>
        <rFont val="等线"/>
        <family val="3"/>
        <charset val="134"/>
      </rPr>
      <t>取受试者签署知情同意日期</t>
    </r>
    <phoneticPr fontId="67" type="noConversion"/>
  </si>
  <si>
    <r>
      <rPr>
        <sz val="11"/>
        <color theme="1"/>
        <rFont val="等线"/>
        <family val="3"/>
        <charset val="134"/>
      </rPr>
      <t>是否仍持续</t>
    </r>
  </si>
  <si>
    <r>
      <rPr>
        <sz val="11"/>
        <color theme="1"/>
        <rFont val="等线"/>
        <family val="3"/>
        <charset val="134"/>
      </rPr>
      <t>化疗类型</t>
    </r>
  </si>
  <si>
    <r>
      <rPr>
        <sz val="11"/>
        <color theme="1"/>
        <rFont val="等线"/>
        <family val="3"/>
        <charset val="134"/>
      </rPr>
      <t>其他化疗类型</t>
    </r>
  </si>
  <si>
    <r>
      <rPr>
        <sz val="11"/>
        <color theme="1"/>
        <rFont val="等线"/>
        <family val="3"/>
        <charset val="134"/>
      </rPr>
      <t>放射治疗部位</t>
    </r>
  </si>
  <si>
    <r>
      <t>ATC1</t>
    </r>
    <r>
      <rPr>
        <sz val="11"/>
        <color theme="1"/>
        <rFont val="等线"/>
        <family val="3"/>
        <charset val="134"/>
      </rPr>
      <t>级术语</t>
    </r>
  </si>
  <si>
    <r>
      <t>ATC1</t>
    </r>
    <r>
      <rPr>
        <sz val="11"/>
        <color theme="1"/>
        <rFont val="等线"/>
        <family val="3"/>
        <charset val="134"/>
      </rPr>
      <t>级术语代码</t>
    </r>
  </si>
  <si>
    <r>
      <t>ATC2</t>
    </r>
    <r>
      <rPr>
        <sz val="11"/>
        <color theme="1"/>
        <rFont val="等线"/>
        <family val="3"/>
        <charset val="134"/>
      </rPr>
      <t>级术语</t>
    </r>
  </si>
  <si>
    <r>
      <t>ATC2</t>
    </r>
    <r>
      <rPr>
        <sz val="11"/>
        <color theme="1"/>
        <rFont val="等线"/>
        <family val="3"/>
        <charset val="134"/>
      </rPr>
      <t>级术语代码</t>
    </r>
  </si>
  <si>
    <r>
      <t>ATC3</t>
    </r>
    <r>
      <rPr>
        <sz val="11"/>
        <color theme="1"/>
        <rFont val="等线"/>
        <family val="3"/>
        <charset val="134"/>
      </rPr>
      <t>级术语</t>
    </r>
  </si>
  <si>
    <r>
      <t>ATC3</t>
    </r>
    <r>
      <rPr>
        <sz val="11"/>
        <color theme="1"/>
        <rFont val="等线"/>
        <family val="3"/>
        <charset val="134"/>
      </rPr>
      <t>级术语代码</t>
    </r>
  </si>
  <si>
    <r>
      <t>ATC4</t>
    </r>
    <r>
      <rPr>
        <sz val="11"/>
        <color theme="1"/>
        <rFont val="等线"/>
        <family val="3"/>
        <charset val="134"/>
      </rPr>
      <t>级术语</t>
    </r>
  </si>
  <si>
    <r>
      <t>ATC4</t>
    </r>
    <r>
      <rPr>
        <sz val="11"/>
        <color theme="1"/>
        <rFont val="等线"/>
        <family val="3"/>
        <charset val="134"/>
      </rPr>
      <t>级术语代码</t>
    </r>
  </si>
  <si>
    <r>
      <rPr>
        <sz val="11"/>
        <color theme="1"/>
        <rFont val="等线"/>
        <family val="3"/>
        <charset val="134"/>
      </rPr>
      <t>不良事件报告名称</t>
    </r>
  </si>
  <si>
    <r>
      <rPr>
        <sz val="11"/>
        <color theme="1"/>
        <rFont val="等线"/>
        <family val="3"/>
        <charset val="134"/>
      </rPr>
      <t>低位语</t>
    </r>
  </si>
  <si>
    <r>
      <rPr>
        <sz val="11"/>
        <color theme="1"/>
        <rFont val="等线"/>
        <family val="3"/>
        <charset val="134"/>
      </rPr>
      <t>低位语编码</t>
    </r>
  </si>
  <si>
    <r>
      <rPr>
        <sz val="11"/>
        <color theme="1"/>
        <rFont val="等线"/>
        <family val="3"/>
        <charset val="134"/>
      </rPr>
      <t>首选语编码</t>
    </r>
  </si>
  <si>
    <r>
      <rPr>
        <sz val="11"/>
        <color theme="1"/>
        <rFont val="等线"/>
        <family val="3"/>
        <charset val="134"/>
      </rPr>
      <t>高位语</t>
    </r>
  </si>
  <si>
    <r>
      <rPr>
        <sz val="11"/>
        <color theme="1"/>
        <rFont val="等线"/>
        <family val="3"/>
        <charset val="134"/>
      </rPr>
      <t>高位语编码</t>
    </r>
  </si>
  <si>
    <r>
      <rPr>
        <sz val="11"/>
        <color theme="1"/>
        <rFont val="等线"/>
        <family val="3"/>
        <charset val="134"/>
      </rPr>
      <t>高位组语</t>
    </r>
  </si>
  <si>
    <r>
      <rPr>
        <sz val="11"/>
        <color theme="1"/>
        <rFont val="等线"/>
        <family val="3"/>
        <charset val="134"/>
      </rPr>
      <t>高位组语编码</t>
    </r>
  </si>
  <si>
    <r>
      <rPr>
        <sz val="11"/>
        <color theme="1"/>
        <rFont val="等线"/>
        <family val="3"/>
        <charset val="134"/>
      </rPr>
      <t>系统器官分类编码</t>
    </r>
  </si>
  <si>
    <r>
      <rPr>
        <sz val="11"/>
        <color theme="1"/>
        <rFont val="等线"/>
        <family val="3"/>
        <charset val="134"/>
      </rPr>
      <t>主系统器官分类</t>
    </r>
  </si>
  <si>
    <r>
      <rPr>
        <sz val="11"/>
        <color theme="1"/>
        <rFont val="等线"/>
        <family val="3"/>
        <charset val="134"/>
      </rPr>
      <t>主系统器官分类编码</t>
    </r>
  </si>
  <si>
    <r>
      <rPr>
        <sz val="11"/>
        <color theme="1"/>
        <rFont val="等线"/>
        <family val="3"/>
        <charset val="134"/>
      </rPr>
      <t>严重事件</t>
    </r>
  </si>
  <si>
    <r>
      <rPr>
        <sz val="11"/>
        <rFont val="等线"/>
        <family val="3"/>
        <charset val="134"/>
      </rPr>
      <t>对研究治疗采取的措施</t>
    </r>
  </si>
  <si>
    <r>
      <rPr>
        <sz val="11"/>
        <rFont val="等线"/>
        <family val="3"/>
        <charset val="134"/>
      </rPr>
      <t>对</t>
    </r>
    <r>
      <rPr>
        <sz val="11"/>
        <rFont val="Calibri"/>
        <family val="2"/>
      </rPr>
      <t>AE</t>
    </r>
    <r>
      <rPr>
        <sz val="11"/>
        <rFont val="等线"/>
        <family val="3"/>
        <charset val="134"/>
      </rPr>
      <t>采取的措施</t>
    </r>
  </si>
  <si>
    <r>
      <rPr>
        <sz val="11"/>
        <rFont val="等线"/>
        <family val="3"/>
        <charset val="134"/>
      </rPr>
      <t>采取的用药编号</t>
    </r>
    <r>
      <rPr>
        <sz val="11"/>
        <rFont val="Calibri"/>
        <family val="2"/>
      </rPr>
      <t>CMSEQ</t>
    </r>
  </si>
  <si>
    <r>
      <rPr>
        <sz val="11"/>
        <rFont val="等线"/>
        <family val="3"/>
        <charset val="134"/>
      </rPr>
      <t>采取的干预编号</t>
    </r>
    <r>
      <rPr>
        <sz val="11"/>
        <rFont val="Calibri"/>
        <family val="2"/>
      </rPr>
      <t>PRSEQ</t>
    </r>
  </si>
  <si>
    <r>
      <rPr>
        <sz val="11"/>
        <rFont val="等线"/>
        <family val="3"/>
        <charset val="134"/>
      </rPr>
      <t>对</t>
    </r>
    <r>
      <rPr>
        <sz val="11"/>
        <rFont val="Calibri"/>
        <family val="2"/>
      </rPr>
      <t>AE</t>
    </r>
    <r>
      <rPr>
        <sz val="11"/>
        <rFont val="等线"/>
        <family val="3"/>
        <charset val="134"/>
      </rPr>
      <t>采取的其他措施</t>
    </r>
  </si>
  <si>
    <r>
      <rPr>
        <sz val="11"/>
        <color theme="1"/>
        <rFont val="等线"/>
        <family val="3"/>
        <charset val="134"/>
      </rPr>
      <t>转归</t>
    </r>
  </si>
  <si>
    <r>
      <rPr>
        <sz val="11"/>
        <color theme="1"/>
        <rFont val="等线"/>
        <family val="3"/>
        <charset val="134"/>
      </rPr>
      <t>导致永久或显著的残疾或功能障碍</t>
    </r>
  </si>
  <si>
    <r>
      <rPr>
        <sz val="11"/>
        <color theme="1"/>
        <rFont val="等线"/>
        <family val="3"/>
        <charset val="134"/>
      </rPr>
      <t>导致死亡</t>
    </r>
  </si>
  <si>
    <r>
      <rPr>
        <sz val="11"/>
        <color theme="1"/>
        <rFont val="等线"/>
        <family val="3"/>
        <charset val="134"/>
      </rPr>
      <t>导致住院或住院时间延长</t>
    </r>
  </si>
  <si>
    <r>
      <rPr>
        <sz val="11"/>
        <color theme="1"/>
        <rFont val="等线"/>
        <family val="3"/>
        <charset val="134"/>
      </rPr>
      <t>危及生命</t>
    </r>
  </si>
  <si>
    <r>
      <rPr>
        <sz val="11"/>
        <color theme="1"/>
        <rFont val="等线"/>
        <family val="3"/>
        <charset val="134"/>
      </rPr>
      <t>其他重要的医学事件</t>
    </r>
    <phoneticPr fontId="67" type="noConversion"/>
  </si>
  <si>
    <r>
      <rPr>
        <sz val="11"/>
        <color theme="1"/>
        <rFont val="等线"/>
        <family val="3"/>
        <charset val="134"/>
      </rPr>
      <t>其他重要的医学事件详述</t>
    </r>
    <phoneticPr fontId="67" type="noConversion"/>
  </si>
  <si>
    <r>
      <rPr>
        <sz val="11"/>
        <color theme="1"/>
        <rFont val="等线"/>
        <family val="3"/>
        <charset val="134"/>
      </rPr>
      <t>毒性分级</t>
    </r>
  </si>
  <si>
    <r>
      <rPr>
        <sz val="11"/>
        <color theme="1"/>
        <rFont val="等线"/>
        <family val="3"/>
        <charset val="134"/>
      </rPr>
      <t>结束日期</t>
    </r>
    <r>
      <rPr>
        <sz val="11"/>
        <color theme="1"/>
        <rFont val="Calibri"/>
        <family val="2"/>
      </rPr>
      <t>/</t>
    </r>
    <r>
      <rPr>
        <sz val="11"/>
        <color theme="1"/>
        <rFont val="等线"/>
        <family val="3"/>
        <charset val="134"/>
      </rPr>
      <t>时间</t>
    </r>
    <phoneticPr fontId="67" type="noConversion"/>
  </si>
  <si>
    <r>
      <rPr>
        <sz val="11"/>
        <color theme="1"/>
        <rFont val="等线"/>
        <family val="3"/>
        <charset val="134"/>
      </rPr>
      <t>是否为导致停药的不良事件</t>
    </r>
    <phoneticPr fontId="67" type="noConversion"/>
  </si>
  <si>
    <r>
      <rPr>
        <sz val="11"/>
        <color theme="1"/>
        <rFont val="等线"/>
        <family val="3"/>
        <charset val="134"/>
      </rPr>
      <t>是否为治疗中出现的不良事件</t>
    </r>
  </si>
  <si>
    <r>
      <rPr>
        <sz val="11"/>
        <color theme="1"/>
        <rFont val="等线"/>
        <family val="3"/>
        <charset val="134"/>
      </rPr>
      <t>是否为不良事件</t>
    </r>
  </si>
  <si>
    <r>
      <rPr>
        <sz val="11"/>
        <color theme="1"/>
        <rFont val="等线"/>
        <family val="3"/>
        <charset val="134"/>
      </rPr>
      <t>是否为重要不良事件</t>
    </r>
  </si>
  <si>
    <r>
      <rPr>
        <sz val="11"/>
        <color theme="1"/>
        <rFont val="等线"/>
        <family val="3"/>
        <charset val="134"/>
      </rPr>
      <t>是否为免疫相关不良事件</t>
    </r>
  </si>
  <si>
    <t>PRSTRTPT</t>
    <phoneticPr fontId="67" type="noConversion"/>
  </si>
  <si>
    <t>PRSTTPT</t>
  </si>
  <si>
    <t>PRENRTPT</t>
  </si>
  <si>
    <t>PRENTPT</t>
  </si>
  <si>
    <r>
      <rPr>
        <sz val="11"/>
        <color theme="1"/>
        <rFont val="等线"/>
        <family val="3"/>
        <charset val="134"/>
      </rPr>
      <t>操作报告名称</t>
    </r>
  </si>
  <si>
    <r>
      <rPr>
        <sz val="11"/>
        <color theme="1"/>
        <rFont val="等线"/>
        <family val="3"/>
        <charset val="134"/>
      </rPr>
      <t>治疗原因详述</t>
    </r>
    <phoneticPr fontId="67" type="noConversion"/>
  </si>
  <si>
    <r>
      <rPr>
        <sz val="11"/>
        <color theme="1"/>
        <rFont val="等线"/>
        <family val="3"/>
        <charset val="134"/>
      </rPr>
      <t>肿瘤分期</t>
    </r>
  </si>
  <si>
    <r>
      <rPr>
        <sz val="11"/>
        <color theme="1"/>
        <rFont val="等线"/>
        <family val="3"/>
        <charset val="134"/>
      </rPr>
      <t>是否转移</t>
    </r>
  </si>
  <si>
    <r>
      <rPr>
        <sz val="11"/>
        <color theme="1"/>
        <rFont val="等线"/>
        <family val="3"/>
        <charset val="134"/>
      </rPr>
      <t>转移部位</t>
    </r>
    <phoneticPr fontId="67" type="noConversion"/>
  </si>
  <si>
    <t>NK</t>
    <phoneticPr fontId="67" type="noConversion"/>
  </si>
  <si>
    <t>CH</t>
    <phoneticPr fontId="67" type="noConversion"/>
  </si>
  <si>
    <t>输血四项</t>
    <phoneticPr fontId="67" type="noConversion"/>
  </si>
  <si>
    <t>HBCAB</t>
    <phoneticPr fontId="67" type="noConversion"/>
  </si>
  <si>
    <t>10^12/L</t>
    <phoneticPr fontId="67" type="noConversion"/>
  </si>
  <si>
    <t>NEUT</t>
    <phoneticPr fontId="67" type="noConversion"/>
  </si>
  <si>
    <t>ng/mL</t>
    <phoneticPr fontId="67" type="noConversion"/>
  </si>
  <si>
    <t>U/mL</t>
  </si>
  <si>
    <t>ug/L</t>
  </si>
  <si>
    <t>糖链抗原125(CA-125)</t>
  </si>
  <si>
    <t>mAU/mL</t>
  </si>
  <si>
    <t>肝功八项</t>
  </si>
  <si>
    <t>谷胱甘肽还原酶</t>
  </si>
  <si>
    <t>ng/L</t>
  </si>
  <si>
    <t>MHSTRF</t>
    <phoneticPr fontId="67" type="noConversion"/>
  </si>
  <si>
    <t>MHSTRTPT</t>
    <phoneticPr fontId="67" type="noConversion"/>
  </si>
  <si>
    <t>MHSTTPT</t>
    <phoneticPr fontId="67" type="noConversion"/>
  </si>
  <si>
    <t>DLTYN</t>
    <phoneticPr fontId="67" type="noConversion"/>
  </si>
  <si>
    <t>是否发生DLT事件</t>
    <phoneticPr fontId="67" type="noConversion"/>
  </si>
  <si>
    <t>DLTDTC</t>
    <phoneticPr fontId="67" type="noConversion"/>
  </si>
  <si>
    <t>DLT事件发生日期</t>
    <phoneticPr fontId="67" type="noConversion"/>
  </si>
  <si>
    <t>DLTTYPE</t>
    <phoneticPr fontId="67" type="noConversion"/>
  </si>
  <si>
    <t>DLT类别</t>
    <phoneticPr fontId="67" type="noConversion"/>
  </si>
  <si>
    <t>EGSPEC1</t>
    <phoneticPr fontId="67" type="noConversion"/>
  </si>
  <si>
    <t>DVTERM2</t>
    <phoneticPr fontId="68" type="noConversion"/>
  </si>
  <si>
    <t>DVTERM3</t>
    <phoneticPr fontId="68" type="noConversion"/>
  </si>
  <si>
    <t>DVTERM4</t>
    <phoneticPr fontId="68" type="noConversion"/>
  </si>
  <si>
    <t>DVEFF2</t>
    <phoneticPr fontId="67" type="noConversion"/>
  </si>
  <si>
    <t>研究结束和出组检查取最晚日期</t>
    <phoneticPr fontId="67" type="noConversion"/>
  </si>
  <si>
    <t>IU/mL</t>
  </si>
  <si>
    <t>心肌酶谱</t>
  </si>
  <si>
    <t>MB</t>
  </si>
  <si>
    <t>肌钙蛋白T/I</t>
  </si>
  <si>
    <t>个/uL</t>
  </si>
  <si>
    <t>超声检查</t>
  </si>
  <si>
    <t>肝胆胰脾</t>
  </si>
  <si>
    <t>OB2</t>
  </si>
  <si>
    <t>粪便分析</t>
  </si>
  <si>
    <t>粪便华支睾吸虫卵</t>
  </si>
  <si>
    <t>粪便寄生虫卵</t>
  </si>
  <si>
    <t>激素检查</t>
  </si>
  <si>
    <t>β-人绒毛膜促性腺激素</t>
  </si>
  <si>
    <t>mIU/mL</t>
  </si>
  <si>
    <t>垂体泌乳素</t>
  </si>
  <si>
    <t>ng/mL</t>
  </si>
  <si>
    <t>雌二醇</t>
  </si>
  <si>
    <t>pg/mL</t>
  </si>
  <si>
    <t>促黄体生成素</t>
  </si>
  <si>
    <t>促卵泡生成素</t>
  </si>
  <si>
    <t>睾酮</t>
  </si>
  <si>
    <t>孕酮</t>
  </si>
  <si>
    <t>RT3</t>
  </si>
  <si>
    <t>T3FR</t>
  </si>
  <si>
    <t>检验</t>
  </si>
  <si>
    <t>甲胎蛋白</t>
  </si>
  <si>
    <t>异常凝血酶原</t>
  </si>
  <si>
    <t>尿常规_尿白细胞酯酶</t>
  </si>
  <si>
    <t>ULEUKASE</t>
  </si>
  <si>
    <t>尿常规_尿红细胞形态信息</t>
  </si>
  <si>
    <t>UERCE</t>
  </si>
  <si>
    <t>尿常规_尿结晶</t>
  </si>
  <si>
    <t>UCRYSTA</t>
  </si>
  <si>
    <t>尿常规_尿隐血</t>
  </si>
  <si>
    <t>UOCCBLD</t>
  </si>
  <si>
    <t>尿胆红素</t>
  </si>
  <si>
    <t>UBILI</t>
  </si>
  <si>
    <t>尿胆原</t>
  </si>
  <si>
    <t>UROBIL</t>
  </si>
  <si>
    <t>尿淀粉酶</t>
  </si>
  <si>
    <t>凝血功能_D-二聚体测定</t>
  </si>
  <si>
    <t>DDIMER</t>
  </si>
  <si>
    <t>癌症抗原125</t>
  </si>
  <si>
    <t>CA125AG</t>
  </si>
  <si>
    <t>癌症抗原19-9</t>
  </si>
  <si>
    <t>CA19_9AG</t>
  </si>
  <si>
    <t>癌症抗原242</t>
  </si>
  <si>
    <t>CA242AG</t>
  </si>
  <si>
    <t>癌症抗原CA72-4</t>
  </si>
  <si>
    <t>CA72_4AG</t>
  </si>
  <si>
    <t>白介素-10</t>
  </si>
  <si>
    <t>INTLK10</t>
  </si>
  <si>
    <t>白介素-12</t>
  </si>
  <si>
    <t>INTLK12</t>
  </si>
  <si>
    <t>白介素-17A</t>
  </si>
  <si>
    <t>INTLK17</t>
  </si>
  <si>
    <t>白介素-1β</t>
  </si>
  <si>
    <t>INTLK1B</t>
  </si>
  <si>
    <t>白介素-2</t>
  </si>
  <si>
    <t>INTLK2</t>
  </si>
  <si>
    <t>白介素-4</t>
  </si>
  <si>
    <t>INTLK4</t>
  </si>
  <si>
    <t>白介素-5</t>
  </si>
  <si>
    <t>INTLK5</t>
  </si>
  <si>
    <t>白介素-6</t>
  </si>
  <si>
    <t>INTLK6</t>
  </si>
  <si>
    <t>白介素-8</t>
  </si>
  <si>
    <t>INTLK8</t>
  </si>
  <si>
    <t>促肾上腺皮质激素</t>
  </si>
  <si>
    <t>ACTH</t>
  </si>
  <si>
    <t>干扰素-α</t>
  </si>
  <si>
    <t>IFNA</t>
  </si>
  <si>
    <t>干扰素-γ</t>
  </si>
  <si>
    <t>IFNG</t>
  </si>
  <si>
    <t>皮质醇</t>
  </si>
  <si>
    <t>CORTISOL</t>
  </si>
  <si>
    <t>μg/dl</t>
  </si>
  <si>
    <t>双侧下肢静脉彩超</t>
  </si>
  <si>
    <t>OB1</t>
  </si>
  <si>
    <t>糖类抗原15-3</t>
  </si>
  <si>
    <t>CA15_3AG</t>
  </si>
  <si>
    <t>铁蛋白</t>
  </si>
  <si>
    <t>FERRITIN</t>
  </si>
  <si>
    <t>μg/l</t>
  </si>
  <si>
    <t>细胞角蛋白19片段</t>
  </si>
  <si>
    <t>CYFRA211</t>
  </si>
  <si>
    <t>肿瘤二项_癌胚抗原</t>
  </si>
  <si>
    <t>CEA</t>
  </si>
  <si>
    <t>肿瘤坏死因子-α</t>
  </si>
  <si>
    <t>TNFA</t>
  </si>
  <si>
    <t>抗乙型肝炎病毒表面抗体</t>
  </si>
  <si>
    <t>OHBSAG2</t>
  </si>
  <si>
    <t>乙肝病毒定量</t>
  </si>
  <si>
    <t>OHBSAG1</t>
  </si>
  <si>
    <t>高敏肌钙蛋白-I</t>
  </si>
  <si>
    <t>HSCTN</t>
  </si>
  <si>
    <t>CRP</t>
  </si>
  <si>
    <t>红细胞比容</t>
  </si>
  <si>
    <t>HCT</t>
  </si>
  <si>
    <t>红细胞计数</t>
  </si>
  <si>
    <t>1^12/L</t>
  </si>
  <si>
    <t>血常规_红细胞容积</t>
  </si>
  <si>
    <t>MCV</t>
  </si>
  <si>
    <t>CHGB</t>
  </si>
  <si>
    <t>OALB</t>
  </si>
  <si>
    <t>低密度脂蛋白胆固醇</t>
  </si>
  <si>
    <t>LDL</t>
  </si>
  <si>
    <t>mg/dL</t>
  </si>
  <si>
    <t>淀粉酶</t>
  </si>
  <si>
    <t>AMYLASE</t>
  </si>
  <si>
    <t>非高密度脂蛋白胆固醇</t>
  </si>
  <si>
    <t>NONHDL</t>
  </si>
  <si>
    <t>TROPONT</t>
  </si>
  <si>
    <t>极低密度脂蛋白胆固醇</t>
  </si>
  <si>
    <t>VLDL</t>
  </si>
  <si>
    <t>间接胆红素</t>
  </si>
  <si>
    <t>OBILIND</t>
  </si>
  <si>
    <t>umol/L</t>
  </si>
  <si>
    <t>氯</t>
  </si>
  <si>
    <t>OCL</t>
  </si>
  <si>
    <t>镁离子（Mg）</t>
  </si>
  <si>
    <t>MG</t>
  </si>
  <si>
    <t>钠</t>
  </si>
  <si>
    <t>ONA</t>
  </si>
  <si>
    <t>葡萄糖</t>
  </si>
  <si>
    <t>无机磷</t>
  </si>
  <si>
    <t>P</t>
  </si>
  <si>
    <t>mmol./L</t>
  </si>
  <si>
    <t>脂肪酶</t>
  </si>
  <si>
    <t>LIPASET</t>
  </si>
  <si>
    <t>直接胆红素</t>
  </si>
  <si>
    <t>OBILDIR</t>
  </si>
  <si>
    <t>总胆红素</t>
  </si>
  <si>
    <t>OBILI</t>
  </si>
  <si>
    <t>肝、胆、胰、脾彩超检查</t>
  </si>
  <si>
    <t>CODOUL</t>
  </si>
  <si>
    <t>3</t>
    <phoneticPr fontId="67" type="noConversion"/>
  </si>
  <si>
    <t>肾功能</t>
  </si>
  <si>
    <t>腹膜</t>
  </si>
  <si>
    <t>PERI</t>
  </si>
  <si>
    <t>LGPS</t>
  </si>
  <si>
    <t>浅表淋巴结彩色多普勒超声检查</t>
  </si>
  <si>
    <t>肾上腺</t>
  </si>
  <si>
    <t>ADGL</t>
  </si>
  <si>
    <t>FCSE</t>
  </si>
  <si>
    <t>FPE</t>
  </si>
  <si>
    <t>GLRE</t>
  </si>
  <si>
    <t>BOSC</t>
  </si>
  <si>
    <t>BHCG</t>
  </si>
  <si>
    <t>PIPR</t>
  </si>
  <si>
    <t>ESTR</t>
  </si>
  <si>
    <t>LUHO</t>
  </si>
  <si>
    <t>FOSH</t>
  </si>
  <si>
    <t>TOST</t>
  </si>
  <si>
    <t>PROG</t>
  </si>
  <si>
    <t>三碘甲状原氨酸</t>
  </si>
  <si>
    <t>游离三碘甲状原氨酸</t>
  </si>
  <si>
    <t>APT</t>
  </si>
  <si>
    <t>UAMYLASE</t>
  </si>
  <si>
    <t>肌酐</t>
  </si>
  <si>
    <t>UREAT</t>
  </si>
  <si>
    <t>GAST</t>
  </si>
  <si>
    <t>C反应蛋白</t>
  </si>
  <si>
    <t>血红蛋白浓度(比色法)</t>
  </si>
  <si>
    <t>β 2微球蛋白</t>
  </si>
  <si>
    <t>α羟基丁酸脱氢酶</t>
  </si>
  <si>
    <t>LADEDR</t>
  </si>
  <si>
    <t>TOBIAC</t>
  </si>
  <si>
    <t>γ-谷氨酰基转移酶</t>
  </si>
  <si>
    <t>OGGT</t>
  </si>
  <si>
    <t>非高密度脂蛋白胆固醇(mg/dL)</t>
  </si>
  <si>
    <t>ONONHDL</t>
  </si>
  <si>
    <t>极低密度脂蛋白胆固醇(mg/dL)</t>
  </si>
  <si>
    <t>OVLDL</t>
  </si>
  <si>
    <t>OGLUC</t>
  </si>
  <si>
    <t>ng/mL(FEU)</t>
  </si>
  <si>
    <t>血生化</t>
    <phoneticPr fontId="67" type="noConversion"/>
  </si>
  <si>
    <t>1</t>
    <phoneticPr fontId="67" type="noConversion"/>
  </si>
  <si>
    <t>值的转换</t>
  </si>
  <si>
    <t>BASO</t>
    <phoneticPr fontId="67" type="noConversion"/>
  </si>
  <si>
    <t>if LBORRES in ("阴性","阳性") then LBSTRESC=LBORRES;
if index(LBORRES,"&lt;") then LBSTRESC="阴性";
if index(LBORRES,"&gt;") then LBSTRESC="阳性";
if index(LBORRES,"无反应性") then LBSTRESC="阴性";
if index(LBORRES,"有反应性") then LBSTRESC="阳性";
if LBORNRLO &lt;= LBORRES &lt;=LBORNRHI then LBSTRESC="阴性" else LBSTRESC="阳性";
LBSTNRLO="";LBSTNRHI="";LBSTNRC="阴性"</t>
    <phoneticPr fontId="67" type="noConversion"/>
  </si>
  <si>
    <t>RATIO</t>
    <phoneticPr fontId="67" type="noConversion"/>
  </si>
  <si>
    <t>胃蛋白酶II</t>
  </si>
  <si>
    <t>TUMA6</t>
    <phoneticPr fontId="67" type="noConversion"/>
  </si>
  <si>
    <t>TUMA11</t>
  </si>
  <si>
    <t>if LBORRES in ("阴性","阳性") then LBSTRESC=LBORRES;
index(LBORNRLO_HI,"阴性") and ^index(LBORRES,"阴性") then "阳性"
if index(LBORRES,"&lt;") then LBSTRESC="阴性";
if index(LBORRES,"&gt;") then LBSTRESC="阳性";
if index(LBORRES,"无反应性") then LBSTRESC="阴性";
if index(LBORRES,"有反应性") then LBSTRESC="阳性";
if LBORNRLO &lt;= LBORRES &lt;=LBORNRHI then LBSTRESC="阴性" else LBSTRESC="阳性";
LBSTNRLO="";LBSTNRHI="";LBSTNRC="阴性"</t>
    <phoneticPr fontId="67" type="noConversion"/>
  </si>
  <si>
    <t>0</t>
    <phoneticPr fontId="67" type="noConversion"/>
  </si>
  <si>
    <t>指定值阴性</t>
    <phoneticPr fontId="67" type="noConversion"/>
  </si>
  <si>
    <t>10</t>
    <phoneticPr fontId="67" type="noConversion"/>
  </si>
  <si>
    <t>11</t>
    <phoneticPr fontId="67" type="noConversion"/>
  </si>
  <si>
    <t>12</t>
    <phoneticPr fontId="67" type="noConversion"/>
  </si>
  <si>
    <t>LBCLSIGS1</t>
    <phoneticPr fontId="67" type="noConversion"/>
  </si>
  <si>
    <t>LBCLSIGS2</t>
    <phoneticPr fontId="67" type="noConversion"/>
  </si>
  <si>
    <t>LBCLSIGS3</t>
  </si>
  <si>
    <t>LBCLSIGS4</t>
  </si>
  <si>
    <t>LBCLSIGS5</t>
  </si>
  <si>
    <t>LBCLSIGS6</t>
  </si>
  <si>
    <r>
      <rPr>
        <sz val="11"/>
        <color theme="1"/>
        <rFont val="等线"/>
        <family val="3"/>
        <charset val="134"/>
      </rPr>
      <t>临床情况详述</t>
    </r>
    <r>
      <rPr>
        <sz val="11"/>
        <color theme="1"/>
        <rFont val="Calibri"/>
        <family val="2"/>
      </rPr>
      <t>1</t>
    </r>
    <phoneticPr fontId="67" type="noConversion"/>
  </si>
  <si>
    <r>
      <rPr>
        <sz val="11"/>
        <color theme="1"/>
        <rFont val="等线"/>
        <family val="3"/>
        <charset val="134"/>
      </rPr>
      <t>临床情况详述</t>
    </r>
    <r>
      <rPr>
        <sz val="11"/>
        <color theme="1"/>
        <rFont val="Calibri"/>
        <family val="2"/>
      </rPr>
      <t>2</t>
    </r>
    <phoneticPr fontId="67" type="noConversion"/>
  </si>
  <si>
    <r>
      <rPr>
        <sz val="11"/>
        <color theme="1"/>
        <rFont val="等线"/>
        <family val="3"/>
        <charset val="134"/>
      </rPr>
      <t>临床情况详述</t>
    </r>
    <r>
      <rPr>
        <sz val="11"/>
        <color theme="1"/>
        <rFont val="Calibri"/>
        <family val="2"/>
      </rPr>
      <t>3</t>
    </r>
    <r>
      <rPr>
        <sz val="11"/>
        <color theme="1"/>
        <rFont val="微软雅黑"/>
        <family val="2"/>
        <charset val="134"/>
        <scheme val="minor"/>
      </rPr>
      <t/>
    </r>
  </si>
  <si>
    <r>
      <rPr>
        <sz val="11"/>
        <color theme="1"/>
        <rFont val="等线"/>
        <family val="3"/>
        <charset val="134"/>
      </rPr>
      <t>临床情况详述</t>
    </r>
    <r>
      <rPr>
        <sz val="11"/>
        <color theme="1"/>
        <rFont val="Calibri"/>
        <family val="2"/>
      </rPr>
      <t>4</t>
    </r>
    <r>
      <rPr>
        <sz val="11"/>
        <color theme="1"/>
        <rFont val="微软雅黑"/>
        <family val="2"/>
        <charset val="134"/>
        <scheme val="minor"/>
      </rPr>
      <t/>
    </r>
  </si>
  <si>
    <r>
      <rPr>
        <sz val="11"/>
        <color theme="1"/>
        <rFont val="等线"/>
        <family val="3"/>
        <charset val="134"/>
      </rPr>
      <t>临床情况详述</t>
    </r>
    <r>
      <rPr>
        <sz val="11"/>
        <color theme="1"/>
        <rFont val="Calibri"/>
        <family val="2"/>
      </rPr>
      <t>5</t>
    </r>
    <r>
      <rPr>
        <sz val="11"/>
        <color theme="1"/>
        <rFont val="微软雅黑"/>
        <family val="2"/>
        <charset val="134"/>
        <scheme val="minor"/>
      </rPr>
      <t/>
    </r>
  </si>
  <si>
    <r>
      <rPr>
        <sz val="11"/>
        <color theme="1"/>
        <rFont val="等线"/>
        <family val="3"/>
        <charset val="134"/>
      </rPr>
      <t>临床情况详述</t>
    </r>
    <r>
      <rPr>
        <sz val="11"/>
        <color theme="1"/>
        <rFont val="Calibri"/>
        <family val="2"/>
      </rPr>
      <t>6</t>
    </r>
    <r>
      <rPr>
        <sz val="11"/>
        <color theme="1"/>
        <rFont val="微软雅黑"/>
        <family val="2"/>
        <charset val="134"/>
        <scheme val="minor"/>
      </rPr>
      <t/>
    </r>
  </si>
  <si>
    <t>AESOSP</t>
    <phoneticPr fontId="67" type="noConversion"/>
  </si>
  <si>
    <t>TRLOBXFL</t>
    <phoneticPr fontId="67" type="noConversion"/>
  </si>
  <si>
    <t>Variable Qualifier</t>
    <phoneticPr fontId="67" type="noConversion"/>
  </si>
  <si>
    <t>Record Qualifier</t>
    <phoneticPr fontId="67" type="noConversion"/>
  </si>
  <si>
    <t>EGLOBXFL</t>
    <phoneticPr fontId="67" type="noConversion"/>
  </si>
  <si>
    <t>QSLOBXFL</t>
    <phoneticPr fontId="67" type="noConversion"/>
  </si>
  <si>
    <t>ISNRIND</t>
    <phoneticPr fontId="67" type="noConversion"/>
  </si>
  <si>
    <t>相对参考范围指示符</t>
  </si>
  <si>
    <t>ISSTNRLO</t>
    <phoneticPr fontId="67" type="noConversion"/>
  </si>
  <si>
    <t>ISSTNRHI</t>
    <phoneticPr fontId="67" type="noConversion"/>
  </si>
  <si>
    <t>ISORNRHI</t>
    <phoneticPr fontId="67" type="noConversion"/>
  </si>
  <si>
    <t>ISORNRLO</t>
    <phoneticPr fontId="67" type="noConversion"/>
  </si>
  <si>
    <t>HGBG</t>
    <phoneticPr fontId="67" type="noConversion"/>
  </si>
  <si>
    <t>g/L</t>
    <phoneticPr fontId="67" type="noConversion"/>
  </si>
  <si>
    <t>ng/L</t>
    <phoneticPr fontId="67" type="noConversion"/>
  </si>
  <si>
    <t>HCKMB</t>
    <phoneticPr fontId="67" type="noConversion"/>
  </si>
  <si>
    <t>HTNT</t>
    <phoneticPr fontId="67" type="noConversion"/>
  </si>
  <si>
    <t>HTNI</t>
    <phoneticPr fontId="67" type="noConversion"/>
  </si>
  <si>
    <t>HMB</t>
    <phoneticPr fontId="67" type="noConversion"/>
  </si>
  <si>
    <t>EGTPT</t>
  </si>
  <si>
    <t>EGTPTNUM</t>
  </si>
  <si>
    <t>神经元特异性烯醇化酶</t>
  </si>
  <si>
    <t>糖类抗原125</t>
  </si>
  <si>
    <t>糖类抗原153</t>
  </si>
  <si>
    <t>鳞状上皮细胞癌抗原</t>
  </si>
  <si>
    <t>胃泌素释放肽前体</t>
  </si>
  <si>
    <t>TUMA12</t>
  </si>
  <si>
    <t>TUMA13</t>
  </si>
  <si>
    <t>TUMA14</t>
  </si>
  <si>
    <t>TUMA15</t>
  </si>
  <si>
    <t>TUMA16</t>
  </si>
  <si>
    <t>TUMA17</t>
  </si>
  <si>
    <t>甲功五项</t>
  </si>
  <si>
    <t>降钙素原</t>
  </si>
  <si>
    <t>PROC</t>
    <phoneticPr fontId="67" type="noConversion"/>
  </si>
  <si>
    <t>ng/mL(FEU)</t>
    <phoneticPr fontId="67" type="noConversion"/>
  </si>
  <si>
    <t>OWBC</t>
    <phoneticPr fontId="67" type="noConversion"/>
  </si>
  <si>
    <t>OFTR</t>
    <phoneticPr fontId="67" type="noConversion"/>
  </si>
  <si>
    <t>OFTH</t>
    <phoneticPr fontId="67" type="noConversion"/>
  </si>
  <si>
    <t>OTSH</t>
    <phoneticPr fontId="67" type="noConversion"/>
  </si>
  <si>
    <t>OTRI</t>
    <phoneticPr fontId="67" type="noConversion"/>
  </si>
  <si>
    <t>OTHO</t>
    <phoneticPr fontId="67" type="noConversion"/>
  </si>
  <si>
    <t>pmol/L</t>
  </si>
  <si>
    <t>uIU/mL</t>
  </si>
  <si>
    <t>nmol/L</t>
  </si>
  <si>
    <t>V</t>
    <phoneticPr fontId="67" type="noConversion"/>
  </si>
  <si>
    <t>2</t>
    <phoneticPr fontId="67" type="noConversion"/>
  </si>
  <si>
    <t>AUClast</t>
    <phoneticPr fontId="67" type="noConversion"/>
  </si>
  <si>
    <t>AUC{\sub 0-last}</t>
    <phoneticPr fontId="67" type="noConversion"/>
  </si>
  <si>
    <t>5</t>
    <phoneticPr fontId="67" type="noConversion"/>
  </si>
  <si>
    <t>6</t>
    <phoneticPr fontId="67" type="noConversion"/>
  </si>
  <si>
    <t>7</t>
    <phoneticPr fontId="67" type="noConversion"/>
  </si>
  <si>
    <t>CL</t>
    <phoneticPr fontId="67" type="noConversion"/>
  </si>
  <si>
    <t>8</t>
    <phoneticPr fontId="67" type="noConversion"/>
  </si>
  <si>
    <t>t{\sub 1/2}</t>
  </si>
  <si>
    <t>C{\sub tau}</t>
  </si>
  <si>
    <t>C{\sub avg}</t>
    <phoneticPr fontId="67" type="noConversion"/>
  </si>
  <si>
    <t>AUC{\sub 0-tau}</t>
  </si>
  <si>
    <t>肝功能</t>
  </si>
  <si>
    <t>OK</t>
    <phoneticPr fontId="67" type="noConversion"/>
  </si>
  <si>
    <t>ORBC</t>
    <phoneticPr fontId="67" type="noConversion"/>
  </si>
  <si>
    <t>OAST</t>
    <phoneticPr fontId="67" type="noConversion"/>
  </si>
  <si>
    <t>尿干化学+镜检</t>
  </si>
  <si>
    <t>cells/HPF</t>
  </si>
  <si>
    <t>MRBC</t>
    <phoneticPr fontId="67" type="noConversion"/>
  </si>
  <si>
    <t>MWBC</t>
    <phoneticPr fontId="67" type="noConversion"/>
  </si>
  <si>
    <t>MGLU</t>
    <phoneticPr fontId="67" type="noConversion"/>
  </si>
  <si>
    <t>MPRO</t>
    <phoneticPr fontId="67" type="noConversion"/>
  </si>
  <si>
    <t>ORBCN</t>
    <phoneticPr fontId="67" type="noConversion"/>
  </si>
  <si>
    <t>Variable</t>
  </si>
  <si>
    <t>Where Clause</t>
  </si>
  <si>
    <t>Label</t>
  </si>
  <si>
    <t>Pages</t>
  </si>
  <si>
    <t>Method</t>
  </si>
  <si>
    <t>Comment</t>
  </si>
  <si>
    <t>TSPARMCD EQ "TITLE"</t>
  </si>
  <si>
    <t>Trial Title</t>
  </si>
  <si>
    <t/>
  </si>
  <si>
    <t>评价双特异性抗体MR001在晚期实体瘤患者中的安全性、耐受性、药代动力学和初步抗肿瘤活性的临床研究</t>
  </si>
  <si>
    <t>TSPARMCD EQ "SPONSOR"</t>
  </si>
  <si>
    <t>Clinical Study Sponsor</t>
  </si>
  <si>
    <t>深圳市迈加瑞生物技术有限公司</t>
  </si>
  <si>
    <t>TSPARMCD EQ "HLTSUBJI"</t>
  </si>
  <si>
    <t>Healthy Subject Indicator</t>
  </si>
  <si>
    <t>TSPARMCD EQ "TPHASE"</t>
  </si>
  <si>
    <t>Trial Phase Classification</t>
  </si>
  <si>
    <t>PHASE I TRIAL</t>
  </si>
  <si>
    <t>TSPARMCD EQ "TTYPE"</t>
  </si>
  <si>
    <t>Trial Type</t>
  </si>
  <si>
    <t>DOSE FINDING</t>
  </si>
  <si>
    <t>TSPARMCD EQ "TBLIND"</t>
  </si>
  <si>
    <t>Trial Blinding Schema</t>
  </si>
  <si>
    <t>OPEN LABEL</t>
  </si>
  <si>
    <t>TSPARMCD EQ "STYPE"</t>
  </si>
  <si>
    <t>Study Type</t>
  </si>
  <si>
    <t>INTERVENTIONAL</t>
  </si>
  <si>
    <t>TSPARMCD EQ "OBJPRIM"</t>
  </si>
  <si>
    <t>Trial Primary Objective</t>
  </si>
  <si>
    <t>评估双特异性抗体MR001在晚期实体瘤患者中的安全性和耐受性</t>
  </si>
  <si>
    <t>TSPARMCD EQ "OBJSEC"</t>
  </si>
  <si>
    <t>Trial Secondary Objective</t>
  </si>
  <si>
    <t>评估双特异性抗体MR001在晚期实体瘤患者中的药代动力学特征，获取初步药代动力学参数</t>
  </si>
  <si>
    <t>TSPARMCD EQ "OUTMSPRI"</t>
  </si>
  <si>
    <t>Primary Outcome Measure</t>
  </si>
  <si>
    <t>AE发生率及其严重程度；探索剂量限制性毒性（DLT）和最大耐受量（MTD）；ORR 、DCR、OS、PFS、DOR</t>
  </si>
  <si>
    <t>TSPARMCD EQ "OUTMSSEC"</t>
  </si>
  <si>
    <t>Secondary Outcome Measure</t>
  </si>
  <si>
    <t>评价双特异性抗体MR001在晚期实体瘤患者中的客观缓解率（ORR）</t>
  </si>
  <si>
    <t>TSPARMCD EQ "PLANSUB"</t>
  </si>
  <si>
    <t>Planned Number of Subjects</t>
  </si>
  <si>
    <t>47</t>
  </si>
  <si>
    <t>TSPARMCD EQ "ACTSUB"</t>
  </si>
  <si>
    <t>Actual Number of Subjects</t>
  </si>
  <si>
    <t>22</t>
  </si>
  <si>
    <t>TSPARMCD EQ "SSTDTC"</t>
  </si>
  <si>
    <t>Study Start Date</t>
  </si>
  <si>
    <t>2023-11-28</t>
  </si>
  <si>
    <t>TSPARMCD EQ "SENDTC"</t>
  </si>
  <si>
    <t>Study End Date</t>
  </si>
  <si>
    <t>TSPARMCD EQ "LENGTH"</t>
  </si>
  <si>
    <t>Trial Length</t>
  </si>
  <si>
    <t>TSPARMCD EQ "SEXPOP"</t>
  </si>
  <si>
    <t>Sex of Participants</t>
  </si>
  <si>
    <t>BOTH</t>
  </si>
  <si>
    <t>TSPARMCD EQ "AGEMAX"</t>
  </si>
  <si>
    <t>Planned Maximum Age of Subjects</t>
  </si>
  <si>
    <t>P75Y</t>
  </si>
  <si>
    <t>TSPARMCD EQ "AGEMIN"</t>
  </si>
  <si>
    <t>Planned Minimum Age of Subjects</t>
  </si>
  <si>
    <t>P18Y</t>
  </si>
  <si>
    <t>TSPARMCD EQ "RANDOM"</t>
  </si>
  <si>
    <t>Trial is Randomized</t>
  </si>
  <si>
    <t>TSPARMCD EQ "TINDTP"</t>
  </si>
  <si>
    <t>Trial Intent Type</t>
  </si>
  <si>
    <t>TREATMENT</t>
  </si>
  <si>
    <t>TSPARMCD EQ "TRT"</t>
  </si>
  <si>
    <t>Investigational Therapy or Treatment</t>
  </si>
  <si>
    <t>注射用MR001双特异性抗体</t>
  </si>
  <si>
    <t>TSPARMCD EQ "PCLAS"</t>
  </si>
  <si>
    <t>Pharmacologic Class</t>
  </si>
  <si>
    <t>Antibody or Antibody Fragment [APC]</t>
  </si>
  <si>
    <t>TSPARMCD EQ "TDIGRP"</t>
  </si>
  <si>
    <t>Diagnosis Group</t>
  </si>
  <si>
    <t>晚期实体瘤</t>
  </si>
  <si>
    <t>TSPARMCD EQ "THERAREA"</t>
  </si>
  <si>
    <t>Therapeutic Area</t>
  </si>
  <si>
    <t>Immunology</t>
  </si>
  <si>
    <t>TSPARMCD EQ "INTMODEL"</t>
  </si>
  <si>
    <t>Intervention Model</t>
  </si>
  <si>
    <t>SEQUENTIAL</t>
  </si>
  <si>
    <t>TSPARMCD EQ "INTTYPE"</t>
  </si>
  <si>
    <t>Intervention Type</t>
  </si>
  <si>
    <t>DRUG</t>
  </si>
  <si>
    <t>TSPARMCD EQ "DOSE"</t>
  </si>
  <si>
    <t>Dose per Administration</t>
  </si>
  <si>
    <t>0.1/0.5</t>
  </si>
  <si>
    <t>TSPARMCD EQ "DOSU"</t>
  </si>
  <si>
    <t>Dose Units</t>
  </si>
  <si>
    <t>mg/kg</t>
  </si>
  <si>
    <t>TSPARMCD EQ "DOSFRM"</t>
  </si>
  <si>
    <t>Dose Form</t>
  </si>
  <si>
    <t>INJECTION, POWDER, LYOPHILIZED, FOR SOLUTION</t>
  </si>
  <si>
    <t>TSPARMCD EQ "DOSFRQ"</t>
  </si>
  <si>
    <t>Dosing Frequency</t>
  </si>
  <si>
    <t>ONCE</t>
  </si>
  <si>
    <t>TSPARMCD EQ "ROUTE"</t>
  </si>
  <si>
    <t>Route of Administration</t>
  </si>
  <si>
    <t>INTRAVENOUS DRIP</t>
  </si>
  <si>
    <t>TSPARMCD EQ "REGID"</t>
  </si>
  <si>
    <t>Registry Identifier</t>
  </si>
  <si>
    <t>NCT06134531</t>
  </si>
  <si>
    <t>TSPARMCD EQ "DCUTDESC"</t>
  </si>
  <si>
    <t>Data Cutoff Description</t>
  </si>
  <si>
    <t>TSPARMCD EQ "DCUTDTC"</t>
  </si>
  <si>
    <t>Data Cutoff Date</t>
  </si>
  <si>
    <t>TSPARMCD EQ "FCNTRY"</t>
  </si>
  <si>
    <t>Planned Country of Investigational Sites</t>
  </si>
  <si>
    <t>CHN</t>
  </si>
  <si>
    <t>TSPARMCD EQ "NARMS"</t>
  </si>
  <si>
    <t>Planned Number of Arms</t>
  </si>
  <si>
    <t>9</t>
  </si>
  <si>
    <t>TSPARMCD EQ "NCOHORT"</t>
  </si>
  <si>
    <t>Number of Groups/Cohorts</t>
  </si>
  <si>
    <t>TSPARMCD EQ "SDTMVER"</t>
  </si>
  <si>
    <t>SDTM Version</t>
  </si>
  <si>
    <t>1.7</t>
  </si>
  <si>
    <t>TSPARMCD EQ "SDTIGVER"</t>
  </si>
  <si>
    <t>SDTM IG Version</t>
  </si>
  <si>
    <t>3.2</t>
  </si>
  <si>
    <t>TSPARMCD EQ "STOPRULE"</t>
  </si>
  <si>
    <t>Study Stop Rules</t>
  </si>
  <si>
    <t>LBTESTCD EQ "NK"</t>
  </si>
  <si>
    <t>LBTESTCD EQ "CH"</t>
  </si>
  <si>
    <t>LBTESTCD EQ "AB"</t>
  </si>
  <si>
    <t>LBTESTCD EQ "PE"</t>
  </si>
  <si>
    <t>LBTESTCD EQ "HCG"</t>
  </si>
  <si>
    <t>血妊娠</t>
  </si>
  <si>
    <t>LBTESTCD EQ "HBSAG"</t>
  </si>
  <si>
    <t>乙肝病毒表面抗原</t>
  </si>
  <si>
    <t>LBTESTCD EQ "HBCAB"</t>
  </si>
  <si>
    <t>乙肝核心抗体</t>
  </si>
  <si>
    <t>LBTESTCD EQ "OTH"</t>
  </si>
  <si>
    <t>LBTESTCD EQ "HCVAB"</t>
  </si>
  <si>
    <t>丙肝抗体</t>
  </si>
  <si>
    <t>LBTESTCD EQ "HIV"</t>
  </si>
  <si>
    <t>HIV抗体</t>
  </si>
  <si>
    <t>LBTESTCD EQ "TP"</t>
  </si>
  <si>
    <t>LBTESTCD EQ "WBC"</t>
  </si>
  <si>
    <t>LBTESTCD EQ "RBC"</t>
  </si>
  <si>
    <t>LBTESTCD EQ "HBVDNA"</t>
  </si>
  <si>
    <t>LBTESTCD EQ "HGB"</t>
  </si>
  <si>
    <t>LBTESTCD EQ "NEUT"</t>
  </si>
  <si>
    <t>LBTESTCD EQ "PLT"</t>
  </si>
  <si>
    <t>LBTESTCD EQ "LYM"</t>
  </si>
  <si>
    <t>淋巴细胞计数（LY）</t>
  </si>
  <si>
    <t>LBTESTCD EQ "NEUTCE"</t>
  </si>
  <si>
    <t>LBTESTCD EQ "LYMCE"</t>
  </si>
  <si>
    <t>淋巴细胞百分比（L%）</t>
  </si>
  <si>
    <t>LBTESTCD EQ "MONOCE"</t>
  </si>
  <si>
    <t>单核细胞百分比（M%）</t>
  </si>
  <si>
    <t>LBTESTCD EQ "EOS"</t>
  </si>
  <si>
    <t>LBTESTCD EQ "BASO"</t>
  </si>
  <si>
    <t>LBTESTCD EQ "ULEU"</t>
  </si>
  <si>
    <t>尿白细胞</t>
  </si>
  <si>
    <t>LBTESTCD EQ "OB"</t>
  </si>
  <si>
    <t>LBTESTCD EQ "UPROT"</t>
  </si>
  <si>
    <t>尿蛋白</t>
  </si>
  <si>
    <t>LBTESTCD EQ "UKET"</t>
  </si>
  <si>
    <t>LBTESTCD EQ "UGLUC"</t>
  </si>
  <si>
    <t>尿糖（GLU）</t>
  </si>
  <si>
    <t>LBTESTCD EQ "PH"</t>
  </si>
  <si>
    <t>LBTESTCD EQ "FRBC"</t>
  </si>
  <si>
    <t>LBTESTCD EQ "FWBC"</t>
  </si>
  <si>
    <t>LBTESTCD EQ "FOB"</t>
  </si>
  <si>
    <t>LBTESTCD EQ "ALT"</t>
  </si>
  <si>
    <t>丙氨酸氨基转移酶（ALT）</t>
  </si>
  <si>
    <t>LBTESTCD EQ "AST"</t>
  </si>
  <si>
    <t>LBTESTCD EQ "ALP"</t>
  </si>
  <si>
    <t>LBTESTCD EQ "GGT"</t>
  </si>
  <si>
    <t>LBTESTCD EQ "GLUC"</t>
  </si>
  <si>
    <t>空腹葡萄糖（GLU）</t>
  </si>
  <si>
    <t>LBTESTCD EQ "HUREA"</t>
  </si>
  <si>
    <t>LBTESTCD EQ "HBUN"</t>
  </si>
  <si>
    <t>LBTESTCD EQ "BILI"</t>
  </si>
  <si>
    <t>LBTESTCD EQ "BILIND"</t>
  </si>
  <si>
    <t>LBTESTCD EQ "CREAT"</t>
  </si>
  <si>
    <t>血肌酐（CREA）</t>
  </si>
  <si>
    <t>LBTESTCD EQ "PROT"</t>
  </si>
  <si>
    <t>LBTESTCD EQ "ALB"</t>
  </si>
  <si>
    <t>LBTESTCD EQ "TCHO"</t>
  </si>
  <si>
    <t>LBTESTCD EQ "TRIG"</t>
  </si>
  <si>
    <t>LBTESTCD EQ "LDLC"</t>
  </si>
  <si>
    <t>LBTESTCD EQ "HDLC"</t>
  </si>
  <si>
    <t>LBTESTCD EQ "NA"</t>
  </si>
  <si>
    <t>LBTESTCD EQ "K"</t>
  </si>
  <si>
    <t>LBTESTCD EQ "CA"</t>
  </si>
  <si>
    <t>LBTESTCD EQ "CL"</t>
  </si>
  <si>
    <t>LBTESTCD EQ "TCO2"</t>
  </si>
  <si>
    <t>LBTESTCD EQ "LDH"</t>
  </si>
  <si>
    <t>LBTESTCD EQ "CK"</t>
  </si>
  <si>
    <t>肌酸激酶</t>
  </si>
  <si>
    <t>LBTESTCD EQ "UA"</t>
  </si>
  <si>
    <t>LBTESTCD EQ "PT"</t>
  </si>
  <si>
    <t>LBTESTCD EQ "APTT"</t>
  </si>
  <si>
    <t>LBTESTCD EQ "INR"</t>
  </si>
  <si>
    <t>国际标准化比值（INR）</t>
  </si>
  <si>
    <t>LBTESTCD EQ "HCKMB"</t>
  </si>
  <si>
    <t>血生化肌酸激酶同工酶</t>
  </si>
  <si>
    <t>LBTESTCD EQ "CKMB"</t>
  </si>
  <si>
    <t>肌酸激酶同工酶</t>
  </si>
  <si>
    <t>LBTESTCD EQ "MB"</t>
  </si>
  <si>
    <t>LBTESTCD EQ "TI"</t>
  </si>
  <si>
    <t>LBTESTCD EQ "FT3"</t>
  </si>
  <si>
    <t>LBTESTCD EQ "FT4"</t>
  </si>
  <si>
    <t>LBTESTCD EQ "TSH"</t>
  </si>
  <si>
    <t>促甲状腺激素（TSH）</t>
  </si>
  <si>
    <t>LBTESTCD EQ "CD4"</t>
  </si>
  <si>
    <t>LBTESTCD EQ "CD8"</t>
  </si>
  <si>
    <t>LBTESTCD EQ "CDRA"</t>
  </si>
  <si>
    <t>LBTESTCD EQ "B"</t>
  </si>
  <si>
    <t>LBTESTCD EQ "OB1"</t>
  </si>
  <si>
    <t>LBTESTCD EQ "UERCE"</t>
  </si>
  <si>
    <t>LBTESTCD EQ "UCRYSTA"</t>
  </si>
  <si>
    <t>LBTESTCD EQ "DDIMER"</t>
  </si>
  <si>
    <t>LBTESTCD EQ "MCV"</t>
  </si>
  <si>
    <t>LBTESTCD EQ "P"</t>
  </si>
  <si>
    <t>LBTESTCD EQ "HTNT"</t>
  </si>
  <si>
    <t>血生化肌钙蛋白T</t>
  </si>
  <si>
    <t>LBTESTCD EQ "HTNI"</t>
  </si>
  <si>
    <t>血生化肌钙蛋白I</t>
  </si>
  <si>
    <t>LBTESTCD EQ "HMB"</t>
  </si>
  <si>
    <t>血生化肌红蛋白</t>
  </si>
  <si>
    <t>LBTESTCD EQ "CREATCLR"</t>
  </si>
  <si>
    <t>LBTESTCD EQ "TUMA2"</t>
  </si>
  <si>
    <t>LBTESTCD EQ "TUMA9"</t>
  </si>
  <si>
    <t>LBTESTCD EQ "TUMA3"</t>
  </si>
  <si>
    <t>LBTESTCD EQ "TUMA10"</t>
  </si>
  <si>
    <t>LBTESTCD EQ "TUMA11"</t>
  </si>
  <si>
    <t>LBTESTCD EQ "PROC"</t>
  </si>
  <si>
    <t>LBTESTCD EQ "FCSE"</t>
  </si>
  <si>
    <t>LBTESTCD EQ "FPE"</t>
  </si>
  <si>
    <t>LBTESTCD EQ "HCT"</t>
  </si>
  <si>
    <t>LBTESTCD EQ "HGBG"</t>
  </si>
  <si>
    <t>血红蛋白(g/L)</t>
  </si>
  <si>
    <t>LBTESTCD EQ "ORBC"</t>
  </si>
  <si>
    <t>血红细胞</t>
  </si>
  <si>
    <t>LBTESTCD EQ "OB2"</t>
  </si>
  <si>
    <t>LBTESTCD EQ "OK"</t>
  </si>
  <si>
    <t>钾</t>
  </si>
  <si>
    <t>LBTESTCD EQ "BHCG"</t>
  </si>
  <si>
    <t>LBTESTCD EQ "PIPR"</t>
  </si>
  <si>
    <t>LBTESTCD EQ "OAST"</t>
  </si>
  <si>
    <t>天门冬氨酸氨基转移酶</t>
  </si>
  <si>
    <t>LBTESTCD EQ "ESTR"</t>
  </si>
  <si>
    <t>LBTESTCD EQ "MPRO"</t>
  </si>
  <si>
    <t>蛋白质(白蛋白)</t>
  </si>
  <si>
    <t>LBTESTCD EQ "LUHO"</t>
  </si>
  <si>
    <t>LBTESTCD EQ "MGLU"</t>
  </si>
  <si>
    <t>葡萄糖(尿)</t>
  </si>
  <si>
    <t>LBTESTCD EQ "FOSH"</t>
  </si>
  <si>
    <t>LBTESTCD EQ "MRBC"</t>
  </si>
  <si>
    <t>红细胞(镜检)</t>
  </si>
  <si>
    <t>LBTESTCD EQ "TOST"</t>
  </si>
  <si>
    <t>LBTESTCD EQ "MWBC"</t>
  </si>
  <si>
    <t>白细胞(镜检)</t>
  </si>
  <si>
    <t>LBTESTCD EQ "PROG"</t>
  </si>
  <si>
    <t>LBTESTCD EQ "INTLK10"</t>
  </si>
  <si>
    <t>LBTESTCD EQ "UOCCBLD"</t>
  </si>
  <si>
    <t>LBTESTCD EQ "INTLK12"</t>
  </si>
  <si>
    <t>LBTESTCD EQ "INTLK17"</t>
  </si>
  <si>
    <t>LBTESTCD EQ "INTLK1B"</t>
  </si>
  <si>
    <t>LBTESTCD EQ "CA125AG"</t>
  </si>
  <si>
    <t>LBTESTCD EQ "INTLK2"</t>
  </si>
  <si>
    <t>LBTESTCD EQ "CA19_9AG"</t>
  </si>
  <si>
    <t>LBTESTCD EQ "INTLK4"</t>
  </si>
  <si>
    <t>LBTESTCD EQ "CA242AG"</t>
  </si>
  <si>
    <t>LBTESTCD EQ "INTLK5"</t>
  </si>
  <si>
    <t>LBTESTCD EQ "CA72_4AG"</t>
  </si>
  <si>
    <t>LBTESTCD EQ "INTLK6"</t>
  </si>
  <si>
    <t>LBTESTCD EQ "OHBSAG2"</t>
  </si>
  <si>
    <t>LBTESTCD EQ "INTLK8"</t>
  </si>
  <si>
    <t>LBTESTCD EQ "ORBCN"</t>
  </si>
  <si>
    <t>LBTESTCD EQ "ACTH"</t>
  </si>
  <si>
    <t>LBTESTCD EQ "CHGB"</t>
  </si>
  <si>
    <t>LBTESTCD EQ "IFNA"</t>
  </si>
  <si>
    <t>LBTESTCD EQ "LIPASET"</t>
  </si>
  <si>
    <t>LBTESTCD EQ "IFNG"</t>
  </si>
  <si>
    <t>LBTESTCD EQ "CORTISOL"</t>
  </si>
  <si>
    <t>LBTESTCD EQ "FERRITIN"</t>
  </si>
  <si>
    <t>LBTESTCD EQ "RT3"</t>
  </si>
  <si>
    <t>LBTESTCD EQ "TNFA"</t>
  </si>
  <si>
    <t>LBTESTCD EQ "T3FR"</t>
  </si>
  <si>
    <t>LBTESTCD EQ "UBILI"</t>
  </si>
  <si>
    <t>LBTESTCD EQ "UROBIL"</t>
  </si>
  <si>
    <t>LBTESTCD EQ "CA15_3AG"</t>
  </si>
  <si>
    <t>LBTESTCD EQ "CYFRA211"</t>
  </si>
  <si>
    <t>计划外检查细胞角蛋白19片段</t>
  </si>
  <si>
    <t>LBTESTCD EQ "CEA"</t>
  </si>
  <si>
    <t>LBTESTCD EQ "OALB"</t>
  </si>
  <si>
    <t>LBTESTCD EQ "NONHDL"</t>
  </si>
  <si>
    <t>LBTESTCD EQ "OBILIND"</t>
  </si>
  <si>
    <t>LBTESTCD EQ "OCL"</t>
  </si>
  <si>
    <t>LBTESTCD EQ "MG"</t>
  </si>
  <si>
    <t>LBTESTCD EQ "ONA"</t>
  </si>
  <si>
    <t>LBTESTCD EQ "OBILDIR"</t>
  </si>
  <si>
    <t>LBTESTCD EQ "OBILI"</t>
  </si>
  <si>
    <t>LBTESTCD EQ "ULEUKASE"</t>
  </si>
  <si>
    <t>LBTESTCD EQ "HSCTN"</t>
  </si>
  <si>
    <t>LBTESTCD EQ "TUMA1"</t>
  </si>
  <si>
    <t>LBTESTCD EQ "BOSC"</t>
  </si>
  <si>
    <t>LBTESTCD EQ "GAST"</t>
  </si>
  <si>
    <t>LBTESTCD EQ "TUMA12"</t>
  </si>
  <si>
    <t>LBTESTCD EQ "TUMA13"</t>
  </si>
  <si>
    <t>LBTESTCD EQ "PERI"</t>
  </si>
  <si>
    <t>LBTESTCD EQ "TUMA14"</t>
  </si>
  <si>
    <t>LBTESTCD EQ "LGPS"</t>
  </si>
  <si>
    <t>LBTESTCD EQ "ADGL"</t>
  </si>
  <si>
    <t>LBTESTCD EQ "TUMA15"</t>
  </si>
  <si>
    <t>LBTESTCD EQ "UAMYLASE"</t>
  </si>
  <si>
    <t>LBTESTCD EQ "CRP"</t>
  </si>
  <si>
    <t>LBTESTCD EQ "TUMA16"</t>
  </si>
  <si>
    <t>LBTESTCD EQ "OHBSAG1"</t>
  </si>
  <si>
    <t>LBTESTCD EQ "TUMA4"</t>
  </si>
  <si>
    <t>LBTESTCD EQ "TUMA17"</t>
  </si>
  <si>
    <t>LBTESTCD EQ "OGGT"</t>
  </si>
  <si>
    <t>LBTESTCD EQ "AMYLASE"</t>
  </si>
  <si>
    <t>LBTESTCD EQ "TUMA5"</t>
  </si>
  <si>
    <t>LBTESTCD EQ "GLRE"</t>
  </si>
  <si>
    <t>LBTESTCD EQ "OWBC"</t>
  </si>
  <si>
    <t>白细胞计数</t>
  </si>
  <si>
    <t>LBTESTCD EQ "TROPONT"</t>
  </si>
  <si>
    <t>肌钙蛋白T(ng/L)</t>
  </si>
  <si>
    <t>LBTESTCD EQ "LADEDR"</t>
  </si>
  <si>
    <t>LBTESTCD EQ "OGLUC"</t>
  </si>
  <si>
    <t>LBTESTCD EQ "TUMA6"</t>
  </si>
  <si>
    <t>LBTESTCD EQ "TUMA7"</t>
  </si>
  <si>
    <t>LBTESTCD EQ "TUMA8"</t>
  </si>
  <si>
    <t>LBTESTCD EQ "OFTR"</t>
  </si>
  <si>
    <t>计划外检查游离三碘甲状原氨酸</t>
  </si>
  <si>
    <t>LBTESTCD EQ "OFTH"</t>
  </si>
  <si>
    <t>计划外检查游离甲状腺素</t>
  </si>
  <si>
    <t>LBTESTCD EQ "OTSH"</t>
  </si>
  <si>
    <t>计划外检查促甲状腺激素</t>
  </si>
  <si>
    <t>LBTESTCD EQ "OTRI"</t>
  </si>
  <si>
    <t>计划外检查三碘甲状原氨酸</t>
  </si>
  <si>
    <t>LBTESTCD EQ "OTHO"</t>
  </si>
  <si>
    <t>计划外检查甲状腺激素</t>
  </si>
  <si>
    <t>LBTESTCD EQ "TOBIAC"</t>
  </si>
  <si>
    <t>LBTESTCD EQ "LDL"</t>
  </si>
  <si>
    <t>LBTESTCD EQ "UREAT"</t>
  </si>
  <si>
    <t>LBTESTCD EQ "MICR"</t>
  </si>
  <si>
    <t>LBTESTCD EQ "ONONHDL"</t>
  </si>
  <si>
    <t>LBTESTCD EQ "VLDL"</t>
  </si>
  <si>
    <t>LBTESTCD EQ "OVLDL"</t>
  </si>
  <si>
    <t>LBTESTCD EQ "CODOUL"</t>
  </si>
  <si>
    <t>LBTESTCD EQ "AFP"</t>
  </si>
  <si>
    <t>LBTESTCD EQ "APT"</t>
  </si>
  <si>
    <t>VSTESTCD EQ "HEIGHT"</t>
  </si>
  <si>
    <t>身高</t>
  </si>
  <si>
    <t>VSTESTCD EQ "WEIGHT"</t>
  </si>
  <si>
    <t>体重</t>
  </si>
  <si>
    <t>VSTESTCD EQ "BMI"</t>
  </si>
  <si>
    <t>BMI（系统计算）</t>
  </si>
  <si>
    <t>VSTESTCD EQ "TEMP"</t>
  </si>
  <si>
    <t>体温</t>
  </si>
  <si>
    <t>VSTESTCD EQ "PULSE"</t>
  </si>
  <si>
    <t>脉搏</t>
  </si>
  <si>
    <t>VSTESTCD EQ "SYSBP"</t>
  </si>
  <si>
    <t>收缩压</t>
  </si>
  <si>
    <t>VSTESTCD EQ "DIABP"</t>
  </si>
  <si>
    <t>舒张压</t>
  </si>
  <si>
    <t>VSTESTCD EQ "RESP"</t>
  </si>
  <si>
    <t>呼吸频率</t>
  </si>
  <si>
    <t>PETESTCD EQ "PEOTH"</t>
  </si>
  <si>
    <t>一般情况</t>
  </si>
  <si>
    <t>PETESTCD EQ "SKIN"</t>
  </si>
  <si>
    <t>皮肤黏膜</t>
  </si>
  <si>
    <t>PETESTCD EQ "LN"</t>
  </si>
  <si>
    <t>全身浅表淋巴结</t>
  </si>
  <si>
    <t>PETESTCD EQ "HE"</t>
  </si>
  <si>
    <t>头部及其器官</t>
  </si>
  <si>
    <t>PETESTCD EQ "NE"</t>
  </si>
  <si>
    <t>PETESTCD EQ "THOR"</t>
  </si>
  <si>
    <t>PETESTCD EQ "ABDO"</t>
  </si>
  <si>
    <t>PETESTCD EQ "MUSC"</t>
  </si>
  <si>
    <t>脊柱及四肢</t>
  </si>
  <si>
    <t>PETESTCD EQ "NEPS"</t>
  </si>
  <si>
    <t>神经系统</t>
  </si>
  <si>
    <t>PC</t>
  </si>
  <si>
    <t>PCORRES</t>
  </si>
  <si>
    <t>PCTESTCD EQ "MR001"</t>
  </si>
  <si>
    <t>MR001</t>
  </si>
  <si>
    <t>PCTESTCD EQ "IL_6"</t>
  </si>
  <si>
    <t>IL-6</t>
  </si>
  <si>
    <t>PCTESTCD EQ "TNF_A"</t>
  </si>
  <si>
    <t>TNF-α</t>
  </si>
  <si>
    <t>PCTESTCD EQ "TGF_B1"</t>
  </si>
  <si>
    <t>TGF-β1</t>
  </si>
  <si>
    <t>PCTESTCD EQ "CD4"</t>
  </si>
  <si>
    <t>CD4+T细胞数量</t>
  </si>
  <si>
    <t>PCTESTCD EQ "CD8"</t>
  </si>
  <si>
    <t>CD8+T细胞数量</t>
  </si>
  <si>
    <t>PCTESTCD EQ "CD4/CD8"</t>
  </si>
  <si>
    <t>CD4+T细胞/CD8+T细胞</t>
  </si>
  <si>
    <t>PCTESTCD EQ "TREG"</t>
  </si>
  <si>
    <t>Treg细胞比例</t>
  </si>
  <si>
    <t>PCTESTCD EQ "TH17"</t>
  </si>
  <si>
    <t>Th17细胞比例</t>
  </si>
  <si>
    <t>PCTESTCD EQ "TH1"</t>
  </si>
  <si>
    <t>Th1细胞比例</t>
  </si>
  <si>
    <t>PCTESTCD EQ "TH2"</t>
  </si>
  <si>
    <t>Th2细胞比例</t>
  </si>
  <si>
    <t>PCTESTCD EQ "RECOCC"</t>
  </si>
  <si>
    <t>MR001在CD4+T细胞的受体占有率</t>
  </si>
  <si>
    <t>PPTESTCD EQ "CMAX"</t>
  </si>
  <si>
    <t>PPTESTCD EQ "TMAX"</t>
  </si>
  <si>
    <t>PPTESTCD EQ "LAMZHL"</t>
  </si>
  <si>
    <t>PPTESTCD EQ "AUCLST"</t>
  </si>
  <si>
    <t>PPTESTCD EQ "AUCIFO"</t>
  </si>
  <si>
    <t>PPTESTCD EQ "AUCPEO"</t>
  </si>
  <si>
    <t>PPTESTCD EQ "CLFO"</t>
  </si>
  <si>
    <t>PPTESTCD EQ "VZFO"</t>
  </si>
  <si>
    <t>PPTESTCD EQ "RACAUC"</t>
  </si>
  <si>
    <t>Ratio of multiple administration and single administration of aucimo</t>
  </si>
  <si>
    <t>PPTESTCD EQ "RACCMAX"</t>
  </si>
  <si>
    <t>Cmax multiple dose and single dose ratio</t>
  </si>
  <si>
    <t>EGTESTCD EQ "PRAG"</t>
  </si>
  <si>
    <t>PR间期</t>
  </si>
  <si>
    <t>EGTESTCD EQ "QRSAG"</t>
  </si>
  <si>
    <t>QRS间期</t>
  </si>
  <si>
    <t>EGTESTCD EQ "QTCFAG"</t>
  </si>
  <si>
    <t>QTcF间期</t>
  </si>
  <si>
    <t>EGTESTCD EQ "QTAG"</t>
  </si>
  <si>
    <t>QT间期</t>
  </si>
  <si>
    <t>EGTESTCD EQ "RRAG"</t>
  </si>
  <si>
    <t>RR间期</t>
  </si>
  <si>
    <t>EGTESTCD EQ "INTP"</t>
  </si>
  <si>
    <t>临床意义判定</t>
  </si>
  <si>
    <t>EGTESTCD EQ "PULSE"</t>
  </si>
  <si>
    <t>心率</t>
  </si>
  <si>
    <t>CT/CodelistID</t>
  </si>
  <si>
    <t>CT/Codelist Name</t>
  </si>
  <si>
    <t>Data Type</t>
  </si>
  <si>
    <t>cdnum</t>
  </si>
  <si>
    <t>Term Decoded</t>
  </si>
  <si>
    <t>Term  Dictionaries</t>
  </si>
  <si>
    <t>Version</t>
  </si>
  <si>
    <t>flag</t>
  </si>
  <si>
    <t>对研究治疗采取的措施</t>
  </si>
  <si>
    <t>不适用</t>
  </si>
  <si>
    <t>剂量未变（继续用药）</t>
  </si>
  <si>
    <t>输液中断(暂停用药）</t>
  </si>
  <si>
    <t>延迟用药</t>
  </si>
  <si>
    <t>永久停药</t>
  </si>
  <si>
    <t>MR001(0.1mg/kg),ONCE,CYCLE 1</t>
  </si>
  <si>
    <t>MR001(0.5mg/kg),ONCE,CYCLE 1</t>
  </si>
  <si>
    <t>MR001(2mg/kg),Q2W,CYCLE 12</t>
  </si>
  <si>
    <t>MR001(2mg/kg),Q3W,CYCLE 4</t>
  </si>
  <si>
    <t>MR001(6mg/kg),Q2W,CYCLE 12</t>
  </si>
  <si>
    <t>MR001(6mg/kg),Q3W,CYCLE 4</t>
  </si>
  <si>
    <t>MR001(6mg/kg),Q3W,CYCLE 12</t>
  </si>
  <si>
    <t>MR001(10mg/kg),Q3W,CYCLE 4</t>
  </si>
  <si>
    <t>MR001(15mg/kg),Q3W,CYCLE 4</t>
  </si>
  <si>
    <t>P1_0.1</t>
  </si>
  <si>
    <t>P1_0.5</t>
  </si>
  <si>
    <t>P1_2</t>
  </si>
  <si>
    <t>P1_6</t>
  </si>
  <si>
    <t>P1_10</t>
  </si>
  <si>
    <t>P1_15</t>
  </si>
  <si>
    <t>P2A_2</t>
  </si>
  <si>
    <t>P2B_6</t>
  </si>
  <si>
    <t>P2C_6</t>
  </si>
  <si>
    <t>周岁</t>
  </si>
  <si>
    <t>临床意义</t>
  </si>
  <si>
    <t>未查</t>
  </si>
  <si>
    <t>未做</t>
  </si>
  <si>
    <t>异常无临床意义</t>
  </si>
  <si>
    <t>异常有临床意义</t>
  </si>
  <si>
    <t>正常</t>
  </si>
  <si>
    <t>合并用药/新的抗肿瘤用药</t>
  </si>
  <si>
    <t>后续抗肿瘤治疗</t>
  </si>
  <si>
    <t>既往其他肿瘤治疗史</t>
  </si>
  <si>
    <t>既往肿瘤放疗史</t>
  </si>
  <si>
    <t>既往肿瘤化疗史</t>
  </si>
  <si>
    <t>用药史</t>
  </si>
  <si>
    <t>EC</t>
  </si>
  <si>
    <t>IS</t>
  </si>
  <si>
    <t>RS</t>
  </si>
  <si>
    <t>SS</t>
  </si>
  <si>
    <t>TR</t>
  </si>
  <si>
    <t>TU</t>
  </si>
  <si>
    <t>DISPOSITION EVENT</t>
  </si>
  <si>
    <t>PROTOCOL MILESTONE</t>
  </si>
  <si>
    <t>获得知情同意</t>
  </si>
  <si>
    <t>筛选入组成功</t>
  </si>
  <si>
    <t>筛选入组失败</t>
  </si>
  <si>
    <t>死亡</t>
  </si>
  <si>
    <t>提前退出试验</t>
  </si>
  <si>
    <t>完成末次给药</t>
  </si>
  <si>
    <t>完成试验</t>
  </si>
  <si>
    <t>完成首次给药</t>
  </si>
  <si>
    <t>未完成末次给药</t>
  </si>
  <si>
    <t>GCP原则</t>
  </si>
  <si>
    <t>其他</t>
  </si>
  <si>
    <t>入排标准</t>
  </si>
  <si>
    <t>研究访视</t>
  </si>
  <si>
    <t>研究用药</t>
  </si>
  <si>
    <t>超温</t>
  </si>
  <si>
    <t>更新ICF签署不及时</t>
  </si>
  <si>
    <t>检查项超窗</t>
  </si>
  <si>
    <t>检查项误做</t>
  </si>
  <si>
    <t>筛选期体格检查超窗</t>
  </si>
  <si>
    <t>违反入排标准</t>
  </si>
  <si>
    <t>未回收包装盒</t>
  </si>
  <si>
    <t>未完成方案规定检查项</t>
  </si>
  <si>
    <t>温度记录丢失</t>
  </si>
  <si>
    <t>药物保存超温</t>
  </si>
  <si>
    <t>药物使用超窗</t>
  </si>
  <si>
    <t>PD分级(严重程度)</t>
  </si>
  <si>
    <t>轻度</t>
  </si>
  <si>
    <t>重度</t>
  </si>
  <si>
    <t>12导联心电图</t>
  </si>
  <si>
    <t>EG Test or Examination</t>
  </si>
  <si>
    <t>EG Test or Examination Short Name</t>
  </si>
  <si>
    <t>PRAG</t>
  </si>
  <si>
    <t>QRSAG</t>
  </si>
  <si>
    <t>QTCFAG</t>
  </si>
  <si>
    <t>QTAG</t>
  </si>
  <si>
    <t>RRAG</t>
  </si>
  <si>
    <t>INTP</t>
  </si>
  <si>
    <t>PULSE</t>
  </si>
  <si>
    <t>筛选/基线期</t>
  </si>
  <si>
    <t>MR001(0.1mg/kg),ONCE</t>
  </si>
  <si>
    <t>MR001(0.5mg/kg),ONCE</t>
  </si>
  <si>
    <t>MR001(2mg/kg),Q3W</t>
  </si>
  <si>
    <t>MR001(6mg/kg),Q3W</t>
  </si>
  <si>
    <t>MR001(10mg/kg),Q3W</t>
  </si>
  <si>
    <t>MR001(15mg/kg),Q3W</t>
  </si>
  <si>
    <t>MR001(2mg/kg),Q2W</t>
  </si>
  <si>
    <t>MR001(6mg/kg),Q2W</t>
  </si>
  <si>
    <t>FOLLOW UP</t>
  </si>
  <si>
    <t>FOLLOW-UP</t>
  </si>
  <si>
    <t>SCREENING</t>
  </si>
  <si>
    <t>SCRN</t>
  </si>
  <si>
    <t>TRT01</t>
  </si>
  <si>
    <t>TRT02</t>
  </si>
  <si>
    <t>TRT03</t>
  </si>
  <si>
    <t>TRT04</t>
  </si>
  <si>
    <t>TRT05</t>
  </si>
  <si>
    <t>TRT06</t>
  </si>
  <si>
    <t>TRT07</t>
  </si>
  <si>
    <t>TRT08</t>
  </si>
  <si>
    <t>FLP</t>
  </si>
  <si>
    <t>汉族</t>
  </si>
  <si>
    <t>研究者</t>
  </si>
  <si>
    <t>频率</t>
  </si>
  <si>
    <t>3W（每三周一次）</t>
  </si>
  <si>
    <t>4W（每四周一次）</t>
  </si>
  <si>
    <t>BID（每日两次）</t>
  </si>
  <si>
    <t>BIW（每周两次）</t>
  </si>
  <si>
    <t>once（一次）</t>
  </si>
  <si>
    <t>prn（必要时）</t>
  </si>
  <si>
    <t>q3h（三小时一次）</t>
  </si>
  <si>
    <t>q4h（四小时一次）</t>
  </si>
  <si>
    <t>q6h（六小时一次）</t>
  </si>
  <si>
    <t>q8h（八小时一次）</t>
  </si>
  <si>
    <t>q12h（十二小时一次）</t>
  </si>
  <si>
    <t>QD（每日一次）</t>
  </si>
  <si>
    <t>st （立即）</t>
  </si>
  <si>
    <t>TID（每日三次）</t>
  </si>
  <si>
    <t>UNK（未知）</t>
  </si>
  <si>
    <t>每两周一次</t>
  </si>
  <si>
    <t>每日两次</t>
  </si>
  <si>
    <t>每日一次</t>
  </si>
  <si>
    <t>每三周一次</t>
  </si>
  <si>
    <t>每四周一次</t>
  </si>
  <si>
    <t>每周一次</t>
  </si>
  <si>
    <t>EXCLUSION</t>
  </si>
  <si>
    <t>INCLUSION</t>
  </si>
  <si>
    <t>CD4+T淋巴细胞计数＞200个/μL</t>
  </si>
  <si>
    <t>CD4+T淋巴细胞计数＞350个/μL</t>
  </si>
  <si>
    <t>ECOG评分体能状态为0-2</t>
  </si>
  <si>
    <t>备孕期、妊娠期、哺乳期女性</t>
  </si>
  <si>
    <t>标准治疗失败或对标准治疗不耐受或拒绝接受标准治疗的经组织学或细胞学证实的晚期转移性实体瘤患者</t>
  </si>
  <si>
    <t>对试验药物或辅料过敏者</t>
  </si>
  <si>
    <t>根据RECIST 1.1标准，至少有1处可评估靶病灶</t>
  </si>
  <si>
    <t>既往存在严重肾脏疾病病史者，如慢性肾炎、肾功能不全等</t>
  </si>
  <si>
    <t>既往存在严重心脏疾病病史者</t>
  </si>
  <si>
    <t>既往患有自身免疫性疾病，需使用糖皮质激素或免疫抑制药物者</t>
  </si>
  <si>
    <t>经药物治疗后仍无法控制的高血压</t>
  </si>
  <si>
    <t>经药物治疗后仍无法控制的高血压（收缩压＞170 mmHg或舒张压＞100 mmHg）</t>
  </si>
  <si>
    <t>目前存在未控制的活动性感染</t>
  </si>
  <si>
    <t>年龄≥18岁且≤75岁</t>
  </si>
  <si>
    <t>年龄≥18岁且≤75岁（含临界值）</t>
  </si>
  <si>
    <t>筛选前2周内至试验结束后3个月内无生育计划且同意在试验期间采取有效的非药物避孕措施</t>
  </si>
  <si>
    <t>筛选前2周内至试验结束后3个月内无生育计划且同意在试验期间采取有效的药物或非药物避孕措施</t>
  </si>
  <si>
    <t>筛选前5年内发生其他恶性肿瘤，之前曾以根治为目的进行治疗的子宫颈原位癌、皮肤鳞状细胞癌或基底细胞癌除外</t>
  </si>
  <si>
    <t>筛选前28天内接种过新冠疫苗或筛选前3个月内接种过其他疫苗或计划在试验期间接种疫苗者</t>
  </si>
  <si>
    <t>筛选时有活动性乙型肝炎、丙型肝炎、梅毒特异性抗体及人类免疫缺陷病毒（HIV）抗体筛查结果为阳性患者</t>
  </si>
  <si>
    <t>首次给药前14天内接受过输血和/或集落刺激因子相关治疗</t>
  </si>
  <si>
    <t>首次给药前14天内接受系统性类固醇治疗且经研究者判定治疗期间需要长期使用系统性类固醇治疗的受试者</t>
  </si>
  <si>
    <t>首次给药前28天内参加过任何其他干预性临床试验</t>
  </si>
  <si>
    <t>首次给药前28天内或5个半衰期内接受过重大外科和/或抗肿瘤治疗，且未能从这些干预措施的毒性中恢复者，脱发除外</t>
  </si>
  <si>
    <t>首次给药前28天内接受过输血和/或集落刺激因子相关治疗</t>
  </si>
  <si>
    <t>首次给药前28天内接受过重大外科和/或抗肿瘤治疗，且未能从这些干预措施的毒性中恢复者，脱发除外</t>
  </si>
  <si>
    <t>同时入组另一项临床研究，除非该研究是一项观察性临床研究或处于一项干预性研究的随访期</t>
  </si>
  <si>
    <t>未经控制的合并症或癌性疼痛</t>
  </si>
  <si>
    <t>未经有效控制的活动性脑转移或有脑膜转移的受试者</t>
  </si>
  <si>
    <t>有适宜的器官以及造血功能，根据实验室检查，无严重的器官功能异常</t>
  </si>
  <si>
    <t>有适宜的器官以及造血功能，根据以下实验室检查，无严重的器官功能异常：</t>
  </si>
  <si>
    <t>预期生存期≥3个月</t>
  </si>
  <si>
    <t>EXCL01</t>
  </si>
  <si>
    <t>EXCL02</t>
  </si>
  <si>
    <t>EXCL03</t>
  </si>
  <si>
    <t>EXCL04</t>
  </si>
  <si>
    <t>EXCL05</t>
  </si>
  <si>
    <t>EXCL06</t>
  </si>
  <si>
    <t>EXCL07</t>
  </si>
  <si>
    <t>EXCL08</t>
  </si>
  <si>
    <t>EXCL09</t>
  </si>
  <si>
    <t>EXCL10</t>
  </si>
  <si>
    <t>EXCL11</t>
  </si>
  <si>
    <t>EXCL12</t>
  </si>
  <si>
    <t>EXCL13</t>
  </si>
  <si>
    <t>EXCL14</t>
  </si>
  <si>
    <t>EXCL15</t>
  </si>
  <si>
    <t>EXCL16</t>
  </si>
  <si>
    <t>EXCL17</t>
  </si>
  <si>
    <t>INCL01</t>
  </si>
  <si>
    <t>INCL02</t>
  </si>
  <si>
    <t>INCL03</t>
  </si>
  <si>
    <t>INCL04</t>
  </si>
  <si>
    <t>INCL05</t>
  </si>
  <si>
    <t>INCL06</t>
  </si>
  <si>
    <t>INCL07</t>
  </si>
  <si>
    <t>INCL08</t>
  </si>
  <si>
    <t>INCL09</t>
  </si>
  <si>
    <t>ISCAT</t>
  </si>
  <si>
    <t>ANALYTE</t>
  </si>
  <si>
    <t>滴度</t>
  </si>
  <si>
    <t>抗MR001抗体</t>
  </si>
  <si>
    <t>ISTESTCD</t>
  </si>
  <si>
    <t>ANTI</t>
  </si>
  <si>
    <t>TITRE</t>
  </si>
  <si>
    <t>LB Test or Examination</t>
  </si>
  <si>
    <t>LB Test or Examination Short Name</t>
  </si>
  <si>
    <t>NK</t>
  </si>
  <si>
    <t>LYM</t>
  </si>
  <si>
    <t>NEUTCE</t>
  </si>
  <si>
    <t>LYMCE</t>
  </si>
  <si>
    <t>MONOCE</t>
  </si>
  <si>
    <t>UPROT</t>
  </si>
  <si>
    <t>UGLUC</t>
  </si>
  <si>
    <t>FRBC</t>
  </si>
  <si>
    <t>FWBC</t>
  </si>
  <si>
    <t>HUREA</t>
  </si>
  <si>
    <t>HBUN</t>
  </si>
  <si>
    <t>HCKMB</t>
  </si>
  <si>
    <t>HTNT</t>
  </si>
  <si>
    <t>HTNI</t>
  </si>
  <si>
    <t>HMB</t>
  </si>
  <si>
    <t>CREATCLR</t>
  </si>
  <si>
    <t>PROC</t>
  </si>
  <si>
    <t>HGBG</t>
  </si>
  <si>
    <t>ORBC</t>
  </si>
  <si>
    <t>OK</t>
  </si>
  <si>
    <t>OAST</t>
  </si>
  <si>
    <t>MPRO</t>
  </si>
  <si>
    <t>MGLU</t>
  </si>
  <si>
    <t>MRBC</t>
  </si>
  <si>
    <t>MWBC</t>
  </si>
  <si>
    <t>ORBCN</t>
  </si>
  <si>
    <t>TUMA1</t>
  </si>
  <si>
    <t>OWBC</t>
  </si>
  <si>
    <t>TUMA6</t>
  </si>
  <si>
    <t>OFTR</t>
  </si>
  <si>
    <t>OFTH</t>
  </si>
  <si>
    <t>OTSH</t>
  </si>
  <si>
    <t>OTRI</t>
  </si>
  <si>
    <t>OTHO</t>
  </si>
  <si>
    <t>肺</t>
  </si>
  <si>
    <t>腹膜后</t>
  </si>
  <si>
    <t>腹膜腔</t>
  </si>
  <si>
    <t>腹腔</t>
  </si>
  <si>
    <t>腹直肌</t>
  </si>
  <si>
    <t>肝</t>
  </si>
  <si>
    <t>肝脏</t>
  </si>
  <si>
    <t>淋巴结</t>
  </si>
  <si>
    <t>门静脉</t>
  </si>
  <si>
    <t>脑</t>
  </si>
  <si>
    <t>脾</t>
  </si>
  <si>
    <t>乳腺</t>
  </si>
  <si>
    <t>双肺</t>
  </si>
  <si>
    <t>网膜</t>
  </si>
  <si>
    <t>网膜、腹膜</t>
  </si>
  <si>
    <t>胸膜</t>
  </si>
  <si>
    <t>腰2</t>
  </si>
  <si>
    <t>胰腺</t>
  </si>
  <si>
    <t>右肺</t>
  </si>
  <si>
    <t>右肾</t>
  </si>
  <si>
    <t>右胸膜</t>
  </si>
  <si>
    <t>子宫</t>
  </si>
  <si>
    <t>左肺</t>
  </si>
  <si>
    <t>左肺门</t>
  </si>
  <si>
    <t>CT</t>
  </si>
  <si>
    <t>MRI</t>
  </si>
  <si>
    <t>PET/CT</t>
  </si>
  <si>
    <t>电化学发光分析法</t>
  </si>
  <si>
    <t>既往/现病史</t>
  </si>
  <si>
    <t>既往/现肿瘤史</t>
  </si>
  <si>
    <t>NOT DONE</t>
  </si>
  <si>
    <t>HIGH</t>
  </si>
  <si>
    <t>LOW</t>
  </si>
  <si>
    <t>NORMAL</t>
  </si>
  <si>
    <t>后代先天异常或致畸</t>
  </si>
  <si>
    <t>是否仍持续</t>
  </si>
  <si>
    <t>是否为育龄妇女</t>
  </si>
  <si>
    <t>否</t>
  </si>
  <si>
    <t>是</t>
  </si>
  <si>
    <t>iRECIST</t>
  </si>
  <si>
    <t>RECIST 1.1</t>
  </si>
  <si>
    <t>是否有新发病灶</t>
  </si>
  <si>
    <t>肿瘤靶病灶评估结果</t>
  </si>
  <si>
    <t>肿瘤非靶病灶评估结果</t>
  </si>
  <si>
    <t>总体评估</t>
  </si>
  <si>
    <t>NEWLPROG</t>
  </si>
  <si>
    <t>NTRGRESP</t>
  </si>
  <si>
    <t>OVRLRESP</t>
  </si>
  <si>
    <t>TRGRESP</t>
  </si>
  <si>
    <t>转归</t>
  </si>
  <si>
    <t>不详</t>
  </si>
  <si>
    <t>好转</t>
  </si>
  <si>
    <t>痊愈/解决无后遗症</t>
  </si>
  <si>
    <t>未好转</t>
  </si>
  <si>
    <t>PC Test or Examination</t>
  </si>
  <si>
    <t>PC Test or Examination Short Name</t>
  </si>
  <si>
    <t>IL_6</t>
  </si>
  <si>
    <t>TNF_A</t>
  </si>
  <si>
    <t>TGF_B1</t>
  </si>
  <si>
    <t>TREG</t>
  </si>
  <si>
    <t>TH17</t>
  </si>
  <si>
    <t>TH1</t>
  </si>
  <si>
    <t>TH2</t>
  </si>
  <si>
    <t>RECOCC</t>
  </si>
  <si>
    <t>PCTPT</t>
  </si>
  <si>
    <t>-2h</t>
  </si>
  <si>
    <t>0.083h</t>
  </si>
  <si>
    <t>1h</t>
  </si>
  <si>
    <t>2h</t>
  </si>
  <si>
    <t>4h</t>
  </si>
  <si>
    <t>8h</t>
  </si>
  <si>
    <t>24h</t>
  </si>
  <si>
    <t>48h</t>
  </si>
  <si>
    <t>96h</t>
  </si>
  <si>
    <t>120h</t>
  </si>
  <si>
    <t>144h</t>
  </si>
  <si>
    <t>168h</t>
  </si>
  <si>
    <t>240h</t>
  </si>
  <si>
    <t>336h</t>
  </si>
  <si>
    <t>PCTPTNUM</t>
  </si>
  <si>
    <t>-2</t>
  </si>
  <si>
    <t>0</t>
  </si>
  <si>
    <t>1</t>
  </si>
  <si>
    <t>2</t>
  </si>
  <si>
    <t>8</t>
  </si>
  <si>
    <t>24</t>
  </si>
  <si>
    <t>48</t>
  </si>
  <si>
    <t>96</t>
  </si>
  <si>
    <t>120</t>
  </si>
  <si>
    <t>144</t>
  </si>
  <si>
    <t>168</t>
  </si>
  <si>
    <t>240</t>
  </si>
  <si>
    <t>336</t>
  </si>
  <si>
    <t>体格检查</t>
  </si>
  <si>
    <t>PE Test or Examination</t>
  </si>
  <si>
    <t>PETESTCD</t>
  </si>
  <si>
    <t>PE Test or Examination Short Name</t>
  </si>
  <si>
    <t>PEOTH</t>
  </si>
  <si>
    <t>SKIN</t>
  </si>
  <si>
    <t>LN</t>
  </si>
  <si>
    <t>HE</t>
  </si>
  <si>
    <t>NE</t>
  </si>
  <si>
    <t>THOR</t>
  </si>
  <si>
    <t>ABDO</t>
  </si>
  <si>
    <t>MUSC</t>
  </si>
  <si>
    <t>NEPS</t>
  </si>
  <si>
    <t>PP Test or Examination</t>
  </si>
  <si>
    <t>PP Test or Examination Short Name</t>
  </si>
  <si>
    <t>RACAUC</t>
  </si>
  <si>
    <t>RACCMAX</t>
  </si>
  <si>
    <t>Events/uL(B)</t>
  </si>
  <si>
    <t>h</t>
  </si>
  <si>
    <t>h*ng/mL</t>
  </si>
  <si>
    <t>mL</t>
  </si>
  <si>
    <t>mL/h</t>
  </si>
  <si>
    <t>单次给药血样采集</t>
  </si>
  <si>
    <t>多次给药血样采集</t>
  </si>
  <si>
    <t>合并治疗</t>
  </si>
  <si>
    <t>手术史</t>
  </si>
  <si>
    <t>肿瘤诊断</t>
  </si>
  <si>
    <t>ECOG评分项</t>
  </si>
  <si>
    <t>ASIAN</t>
  </si>
  <si>
    <t>其他给药途径</t>
  </si>
  <si>
    <t>IV 微量泵</t>
  </si>
  <si>
    <t>IV,微量泵</t>
  </si>
  <si>
    <t>IV，微量泵</t>
  </si>
  <si>
    <t>IV微量</t>
  </si>
  <si>
    <t>IV微量泵</t>
  </si>
  <si>
    <t>UK</t>
  </si>
  <si>
    <t>滴眼</t>
  </si>
  <si>
    <t>动脉推注</t>
  </si>
  <si>
    <t>腹部外敷</t>
  </si>
  <si>
    <t>肛门塞入</t>
  </si>
  <si>
    <t>管饲给药</t>
  </si>
  <si>
    <t>灌肠</t>
  </si>
  <si>
    <t>肌肉注射</t>
  </si>
  <si>
    <t>静脉泵入</t>
  </si>
  <si>
    <t>静脉滴注</t>
  </si>
  <si>
    <t>静脉滴注，加入三升</t>
  </si>
  <si>
    <t>静脉点滴</t>
  </si>
  <si>
    <t>静脉推注</t>
  </si>
  <si>
    <t>静脉注射</t>
  </si>
  <si>
    <t>局麻</t>
  </si>
  <si>
    <t>口服</t>
  </si>
  <si>
    <t>皮试</t>
  </si>
  <si>
    <t>皮下注射</t>
  </si>
  <si>
    <t>气管内滴入</t>
  </si>
  <si>
    <t>塞肛</t>
  </si>
  <si>
    <t>湿敷</t>
  </si>
  <si>
    <t>漱口</t>
  </si>
  <si>
    <t>外用</t>
  </si>
  <si>
    <t>微泵静注</t>
  </si>
  <si>
    <t>微量泵</t>
  </si>
  <si>
    <t>未知</t>
  </si>
  <si>
    <t>雾化吸入</t>
  </si>
  <si>
    <t>吸入</t>
  </si>
  <si>
    <t>男</t>
  </si>
  <si>
    <t>女</t>
  </si>
  <si>
    <t>BLOOD</t>
  </si>
  <si>
    <t>PLASMA</t>
  </si>
  <si>
    <t>SERUM</t>
  </si>
  <si>
    <t>生存</t>
  </si>
  <si>
    <t>生存随访</t>
  </si>
  <si>
    <t>SURVSTAT</t>
  </si>
  <si>
    <t>SSWAY</t>
  </si>
  <si>
    <t>随访方式</t>
  </si>
  <si>
    <t>本院随访</t>
  </si>
  <si>
    <t>电话</t>
  </si>
  <si>
    <t>电话联系</t>
  </si>
  <si>
    <t>电话随访</t>
  </si>
  <si>
    <t>面诊</t>
  </si>
  <si>
    <t>开始日期/时间开始参考时间点时的状态</t>
  </si>
  <si>
    <t>AFTER</t>
  </si>
  <si>
    <t>BEFORE</t>
  </si>
  <si>
    <t>开始日期/时间相对参考期的状态</t>
  </si>
  <si>
    <t>BEFORE/DURING</t>
  </si>
  <si>
    <t>结束日期/时间结束参考时间点时的状态</t>
  </si>
  <si>
    <t>COINCIDENT</t>
  </si>
  <si>
    <t>DURING</t>
  </si>
  <si>
    <t>结束日期/时间相对参考期的状态</t>
  </si>
  <si>
    <t>DURING/AFTER</t>
  </si>
  <si>
    <t>ONGOING</t>
  </si>
  <si>
    <t>UNKNOWN</t>
  </si>
  <si>
    <t>病灶状态</t>
  </si>
  <si>
    <t>最长直径或淋巴结短轴</t>
  </si>
  <si>
    <t>DISSTA</t>
  </si>
  <si>
    <t>LDSALN</t>
  </si>
  <si>
    <t>TS Parameter</t>
  </si>
  <si>
    <t>TS Parameter Short Name</t>
  </si>
  <si>
    <t>TITLE</t>
  </si>
  <si>
    <t>SPONSOR</t>
  </si>
  <si>
    <t>HLTSUBJI</t>
  </si>
  <si>
    <t>TPHASE</t>
  </si>
  <si>
    <t>TTYPE</t>
  </si>
  <si>
    <t>TBLIND</t>
  </si>
  <si>
    <t>STYPE</t>
  </si>
  <si>
    <t>OBJPRIM</t>
  </si>
  <si>
    <t>OBJSEC</t>
  </si>
  <si>
    <t>OUTMSPRI</t>
  </si>
  <si>
    <t>OUTMSSEC</t>
  </si>
  <si>
    <t>PLANSUB</t>
  </si>
  <si>
    <t>ACTSUB</t>
  </si>
  <si>
    <t>SSTDTC</t>
  </si>
  <si>
    <t>SENDTC</t>
  </si>
  <si>
    <t>LENGTH</t>
  </si>
  <si>
    <t>SEXPOP</t>
  </si>
  <si>
    <t>AGEMAX</t>
  </si>
  <si>
    <t>AGEMIN</t>
  </si>
  <si>
    <t>RANDOM</t>
  </si>
  <si>
    <t>TINDTP</t>
  </si>
  <si>
    <t>TRT</t>
  </si>
  <si>
    <t>PCLAS</t>
  </si>
  <si>
    <t>TDIGRP</t>
  </si>
  <si>
    <t>THERAREA</t>
  </si>
  <si>
    <t>INTMODEL</t>
  </si>
  <si>
    <t>INTTYPE</t>
  </si>
  <si>
    <t>DOSE</t>
  </si>
  <si>
    <t>DOSU</t>
  </si>
  <si>
    <t>DOSFRM</t>
  </si>
  <si>
    <t>DOSFRQ</t>
  </si>
  <si>
    <t>REGID</t>
  </si>
  <si>
    <t>DCUTDESC</t>
  </si>
  <si>
    <t>DCUTDTC</t>
  </si>
  <si>
    <t>FCNTRY</t>
  </si>
  <si>
    <t>NARMS</t>
  </si>
  <si>
    <t>NCOHORT</t>
  </si>
  <si>
    <t>SDTMVER</t>
  </si>
  <si>
    <t>SDTIGVER</t>
  </si>
  <si>
    <t>STOPRULE</t>
  </si>
  <si>
    <t>肿瘤评估</t>
  </si>
  <si>
    <t>TUMIDENT</t>
  </si>
  <si>
    <t>/HPF</t>
  </si>
  <si>
    <t>/uL</t>
  </si>
  <si>
    <t>?</t>
  </si>
  <si>
    <t>10^12/L</t>
  </si>
  <si>
    <t>cell/ul</t>
  </si>
  <si>
    <t>cells/uL</t>
  </si>
  <si>
    <t>Cells/uL</t>
  </si>
  <si>
    <t>g</t>
  </si>
  <si>
    <t>Gy</t>
  </si>
  <si>
    <t>GY/28F</t>
  </si>
  <si>
    <t>iu</t>
  </si>
  <si>
    <t>IU</t>
  </si>
  <si>
    <t>IU/ml</t>
  </si>
  <si>
    <t>L/L</t>
  </si>
  <si>
    <t>mg</t>
  </si>
  <si>
    <t>mg/m^2</t>
  </si>
  <si>
    <t>mIU/L</t>
  </si>
  <si>
    <t>Miu/l</t>
  </si>
  <si>
    <t>mIU/ml</t>
  </si>
  <si>
    <t>ml</t>
  </si>
  <si>
    <t>ML</t>
  </si>
  <si>
    <t>mm</t>
  </si>
  <si>
    <t>ms</t>
  </si>
  <si>
    <t>ng/dl</t>
  </si>
  <si>
    <t>ng/ml</t>
  </si>
  <si>
    <t>ng/ML</t>
  </si>
  <si>
    <t>ng/ml(FEU)</t>
  </si>
  <si>
    <t>ng/ml（FEU）</t>
  </si>
  <si>
    <t>ng/mL（FEU）</t>
  </si>
  <si>
    <t>PEIU/ml</t>
  </si>
  <si>
    <t>PEIU/mL</t>
  </si>
  <si>
    <t>pg/ml</t>
  </si>
  <si>
    <t>s</t>
  </si>
  <si>
    <t>S</t>
  </si>
  <si>
    <t>S/CO</t>
  </si>
  <si>
    <t>sec</t>
  </si>
  <si>
    <t>U/ml</t>
  </si>
  <si>
    <t>ug</t>
  </si>
  <si>
    <t>uk</t>
  </si>
  <si>
    <t>um</t>
  </si>
  <si>
    <t>μg/L</t>
  </si>
  <si>
    <t>ΜIU/mL</t>
  </si>
  <si>
    <t>μmol/L</t>
  </si>
  <si>
    <t>次/分</t>
  </si>
  <si>
    <t>滴</t>
  </si>
  <si>
    <t>分</t>
  </si>
  <si>
    <t>个/HP</t>
  </si>
  <si>
    <t>个/ul</t>
  </si>
  <si>
    <t>个/UL</t>
  </si>
  <si>
    <t>粒</t>
  </si>
  <si>
    <t>秒</t>
  </si>
  <si>
    <t>片</t>
  </si>
  <si>
    <t>筛选/基线期(D-28～D-1)</t>
  </si>
  <si>
    <t>C1D1</t>
  </si>
  <si>
    <t>C1D5±1</t>
  </si>
  <si>
    <t>C1D8±1</t>
  </si>
  <si>
    <t>C1D15±3</t>
  </si>
  <si>
    <t>C1D21±3</t>
  </si>
  <si>
    <t>治疗结束/提前退出</t>
  </si>
  <si>
    <t>计划外检查</t>
  </si>
  <si>
    <t>研究总结</t>
  </si>
  <si>
    <t>随访期</t>
  </si>
  <si>
    <t>C2D1</t>
  </si>
  <si>
    <t>C2D5±1</t>
  </si>
  <si>
    <t>C2D8±1</t>
  </si>
  <si>
    <t>C2D15±3</t>
  </si>
  <si>
    <t>C2D21±3</t>
  </si>
  <si>
    <t>C3D1</t>
  </si>
  <si>
    <t>C3D5±1</t>
  </si>
  <si>
    <t>C3D8±1</t>
  </si>
  <si>
    <t>C3D15±3</t>
  </si>
  <si>
    <t>C4D1</t>
  </si>
  <si>
    <t>C4D5±1</t>
  </si>
  <si>
    <t>C4D15±3</t>
  </si>
  <si>
    <t>筛选/基线期(D-28～D-2)</t>
  </si>
  <si>
    <t>C1D-1</t>
  </si>
  <si>
    <t>C2D-1</t>
  </si>
  <si>
    <t>C2D1±3</t>
  </si>
  <si>
    <t>C3D-1</t>
  </si>
  <si>
    <t>C3D1±3</t>
  </si>
  <si>
    <t>C4D-1</t>
  </si>
  <si>
    <t>C4D1±3</t>
  </si>
  <si>
    <t>C5D-1</t>
  </si>
  <si>
    <t>C5D1±3</t>
  </si>
  <si>
    <t>C6D-1</t>
  </si>
  <si>
    <t>C6D1±3</t>
  </si>
  <si>
    <t>C7D-1</t>
  </si>
  <si>
    <t>C7D1±3</t>
  </si>
  <si>
    <t>C8D-1</t>
  </si>
  <si>
    <t>C8D1±3</t>
  </si>
  <si>
    <t>C9D-1</t>
  </si>
  <si>
    <t>C9D1</t>
  </si>
  <si>
    <t>C9D1±3</t>
  </si>
  <si>
    <t>C10D-1</t>
  </si>
  <si>
    <t>C10D1±3</t>
  </si>
  <si>
    <t>C11D-1</t>
  </si>
  <si>
    <t>C11D1±3</t>
  </si>
  <si>
    <t>C12D-1</t>
  </si>
  <si>
    <t>C12D1±3</t>
  </si>
  <si>
    <t>C3D14</t>
  </si>
  <si>
    <t>5</t>
  </si>
  <si>
    <t>6</t>
  </si>
  <si>
    <t>7</t>
  </si>
  <si>
    <t>10</t>
  </si>
  <si>
    <t>11</t>
  </si>
  <si>
    <t>12</t>
  </si>
  <si>
    <t>13</t>
  </si>
  <si>
    <t>14</t>
  </si>
  <si>
    <t>15</t>
  </si>
  <si>
    <t>16</t>
  </si>
  <si>
    <t>17</t>
  </si>
  <si>
    <t>18</t>
  </si>
  <si>
    <t>19</t>
  </si>
  <si>
    <t>20</t>
  </si>
  <si>
    <t>21</t>
  </si>
  <si>
    <t>23</t>
  </si>
  <si>
    <t>25</t>
  </si>
  <si>
    <t>26</t>
  </si>
  <si>
    <t>27</t>
  </si>
  <si>
    <t>28</t>
  </si>
  <si>
    <t>29</t>
  </si>
  <si>
    <t>30</t>
  </si>
  <si>
    <t>31</t>
  </si>
  <si>
    <t>32</t>
  </si>
  <si>
    <t>33</t>
  </si>
  <si>
    <t>34</t>
  </si>
  <si>
    <t>35</t>
  </si>
  <si>
    <t>37</t>
  </si>
  <si>
    <t>38</t>
  </si>
  <si>
    <t>39</t>
  </si>
  <si>
    <t>40</t>
  </si>
  <si>
    <t>41</t>
  </si>
  <si>
    <t>42</t>
  </si>
  <si>
    <t>43</t>
  </si>
  <si>
    <t>44</t>
  </si>
  <si>
    <t>45</t>
  </si>
  <si>
    <t>46</t>
  </si>
  <si>
    <t>VSCAT</t>
  </si>
  <si>
    <t>身高/体重/BMI</t>
  </si>
  <si>
    <t>生命体征</t>
  </si>
  <si>
    <t>℃</t>
  </si>
  <si>
    <t>cm</t>
  </si>
  <si>
    <t>kg</t>
  </si>
  <si>
    <t>kg/m2</t>
  </si>
  <si>
    <t>mmHg</t>
  </si>
  <si>
    <t>次/分钟</t>
  </si>
  <si>
    <t>VS Test or Examination</t>
  </si>
  <si>
    <t>VS Test or Examination Short Name</t>
  </si>
  <si>
    <t>HEIGHT</t>
  </si>
  <si>
    <t>WEIGHT</t>
  </si>
  <si>
    <t>BMI</t>
  </si>
  <si>
    <t>TEMP</t>
  </si>
  <si>
    <t>SYSBP</t>
  </si>
  <si>
    <t>DIABP</t>
  </si>
  <si>
    <t>RESP</t>
  </si>
  <si>
    <t>2026-03-15</t>
  </si>
  <si>
    <t>P839D</t>
  </si>
  <si>
    <t>PRIMARY ANALYSIS</t>
  </si>
  <si>
    <t>操作失败</t>
  </si>
  <si>
    <t>C5D1</t>
  </si>
  <si>
    <t>C6D1</t>
  </si>
  <si>
    <t>C7D1</t>
  </si>
  <si>
    <t>C8D1</t>
  </si>
  <si>
    <t>C10D1</t>
  </si>
  <si>
    <t>C11D1</t>
  </si>
  <si>
    <t>C12D1</t>
  </si>
  <si>
    <t>Page</t>
  </si>
  <si>
    <t>seqnum</t>
  </si>
  <si>
    <t>contents</t>
  </si>
  <si>
    <t>FillColor</t>
  </si>
  <si>
    <t>font</t>
  </si>
  <si>
    <t>FreeText</t>
  </si>
  <si>
    <t>SVSTDTC/SVENDTC</t>
  </si>
  <si>
    <t>#BFFFFF</t>
  </si>
  <si>
    <t>SV (受试者访视)</t>
  </si>
  <si>
    <t>STUDYID = MJR-MR001-01</t>
  </si>
  <si>
    <t>DM (人口学)</t>
  </si>
  <si>
    <t>IE (不满足的入选/ 排除标准)</t>
  </si>
  <si>
    <t>#96FF96</t>
  </si>
  <si>
    <t>SUPPIE.QVAL when QNAM=RFICDTC</t>
  </si>
  <si>
    <t>SUBSCID</t>
  </si>
  <si>
    <t>SUPPDM.QVAL when QNAM=ETHNICOT</t>
  </si>
  <si>
    <t>SUPPDM.QVAL when QNAM=CHBEYN</t>
  </si>
  <si>
    <t>VS (生命体征)</t>
  </si>
  <si>
    <t>不递交</t>
  </si>
  <si>
    <t>VSSTAT=未做 when VSTESTCD=VSALL</t>
  </si>
  <si>
    <t>VSCAT=身高/体重/BMI</t>
  </si>
  <si>
    <t>MH (病史)</t>
  </si>
  <si>
    <t>SUPPMH.QVAL when QNAM=MHONGO</t>
  </si>
  <si>
    <t>MHCAT=既往/现病史</t>
  </si>
  <si>
    <t>PRCAT=肿瘤诊断</t>
  </si>
  <si>
    <t>PR (干预活动)</t>
  </si>
  <si>
    <t>SUPPPR.QVAL when QNAM=PROLS</t>
  </si>
  <si>
    <t>SUPPPR.QVAL when QNAM=PROLOC</t>
  </si>
  <si>
    <t>SUPPPR.QVAL when QNAM=PROMET</t>
  </si>
  <si>
    <t>MHCAT=既往肿瘤史</t>
  </si>
  <si>
    <t>SUPPMH.QVAL when QNAM=MHTTYN</t>
  </si>
  <si>
    <t>CM (既往/合并用药)</t>
  </si>
  <si>
    <t>SUPPCM.QVAL when QNAM=CMPG</t>
  </si>
  <si>
    <t>SUPPCM.QVAL when QNAM=CMDOSFRO</t>
  </si>
  <si>
    <t>CMCAT=既往肿瘤化疗史</t>
  </si>
  <si>
    <t>CMTRT</t>
  </si>
  <si>
    <t>SUPPCM.QVAL when QNAM=CMBO</t>
  </si>
  <si>
    <t>SUPPCM.QVAL=是 when QNAM=CTHTP</t>
  </si>
  <si>
    <t>SUPPCM.QVAL=是 when QNAM=CTHTPOTH</t>
  </si>
  <si>
    <t>SUPPCM.QVAL when QNAM=CMLOC</t>
  </si>
  <si>
    <t>CMCAT=既往肿瘤放疗史</t>
  </si>
  <si>
    <t>CMCAT=既往其他肿瘤治疗史</t>
  </si>
  <si>
    <t>PRCAT=手术史</t>
  </si>
  <si>
    <t>SUPPCM.QVAL when QNAM=CMONGO</t>
  </si>
  <si>
    <t>CMCAT=用药史</t>
  </si>
  <si>
    <t>VSORRES when VSTESTCD=SYSBP</t>
  </si>
  <si>
    <t>VSORRES when VSTESTCD=RESP</t>
  </si>
  <si>
    <t>VSORRES when VSTESTCD=DIABP</t>
  </si>
  <si>
    <t>VSORRES when VSTESTCD=TEMP</t>
  </si>
  <si>
    <t>SUPPVS.QVAL when QNAM=VSCLSIG</t>
  </si>
  <si>
    <t>VSORRES when VSTESTCD=PULSE</t>
  </si>
  <si>
    <t>SUPPVS.QVAL when QNAM=VSSPEC</t>
  </si>
  <si>
    <t>PE  (体格检查)</t>
  </si>
  <si>
    <t>PEORRES when PETESTCD=HE</t>
  </si>
  <si>
    <t>PEORRES when PETESTCD=THOR</t>
  </si>
  <si>
    <t>PESTAT=未做 when PETESTCD=PEALL</t>
  </si>
  <si>
    <t>PEORRES when PETESTCD=SKIN</t>
  </si>
  <si>
    <t>PEORRES when PETESTCD=ABDO</t>
  </si>
  <si>
    <t>PEORRES when PETESTCD=NEPS</t>
  </si>
  <si>
    <t>PEORRES when PETESTCD=PEOTH</t>
  </si>
  <si>
    <t>SUPPPE.QVAL when QNAM=PECOM</t>
  </si>
  <si>
    <t>PEORRES when PETESTCD=LN</t>
  </si>
  <si>
    <t>PEORRES when PETESTCD=NE</t>
  </si>
  <si>
    <t>PEORRES when PETESTCD=MUSC</t>
  </si>
  <si>
    <t>PECAT=体格检查</t>
  </si>
  <si>
    <t>QSSTAT=未做</t>
  </si>
  <si>
    <t>QS  (问卷)</t>
  </si>
  <si>
    <t>QSCAT=ECOG</t>
  </si>
  <si>
    <t>QSTESTCD=ECOG</t>
  </si>
  <si>
    <t>QSTEST=ECOG评分</t>
  </si>
  <si>
    <t>QSORRESU=分</t>
  </si>
  <si>
    <t>LBCAT=影像学检查</t>
  </si>
  <si>
    <t>LBTEST=腹部</t>
  </si>
  <si>
    <t>LBORRES when LBTESTCD=OTH</t>
  </si>
  <si>
    <t>LBSTAT=未做 when LBTESTCD=LBALL</t>
  </si>
  <si>
    <t>LBTEST=其他部位</t>
  </si>
  <si>
    <t>SUPPLB.QVAL when QNAM=LBCLSIGS</t>
  </si>
  <si>
    <t>LBORRES when LBTESTCD=PE</t>
  </si>
  <si>
    <t>LBMETHOD</t>
  </si>
  <si>
    <t>LBTEST=胸部</t>
  </si>
  <si>
    <t>LBTEST=盆腔部</t>
  </si>
  <si>
    <t>LBTEST=颈部</t>
  </si>
  <si>
    <t>LBORRES when LBTESTCD=NK</t>
  </si>
  <si>
    <t>LBORRES when LBTESTCD=CH</t>
  </si>
  <si>
    <t>LBORRES when LBTESTCD=AB</t>
  </si>
  <si>
    <t>LB (实验室检查)</t>
  </si>
  <si>
    <t>LBCAT=妊娠检查</t>
  </si>
  <si>
    <t>LBTEST=尿妊娠</t>
  </si>
  <si>
    <t>LBTEST=血妊娠</t>
  </si>
  <si>
    <t>LBORRES when LBTESTCD=HCG</t>
  </si>
  <si>
    <t>LBORRES when LBTESTCD=UHCG</t>
  </si>
  <si>
    <t>LBCAT=输血四项</t>
  </si>
  <si>
    <t>LBORRES when LBTESTCD=HBSAG</t>
  </si>
  <si>
    <t>LBORRES when LBTESTCD=HIV</t>
  </si>
  <si>
    <t>LBORRES when LBTESTCD=TP</t>
  </si>
  <si>
    <t>LBORRES when LBTESTCD=HCVAB</t>
  </si>
  <si>
    <t>SUPPLB.QVAL when QNAM=LBCLSIG</t>
  </si>
  <si>
    <t>LBORRES when LBTESTCD=HBCAB</t>
  </si>
  <si>
    <t>EG  ( 心电图)</t>
  </si>
  <si>
    <t>EGTEST=平均校正QT间期</t>
  </si>
  <si>
    <t>EGTEST=QRS间期</t>
  </si>
  <si>
    <t>EGTEST=QT间期</t>
  </si>
  <si>
    <t>EGTEST=RR间期</t>
  </si>
  <si>
    <t>EGTEST=心率</t>
  </si>
  <si>
    <t>EGTEST=临床意义判定</t>
  </si>
  <si>
    <t>EGORRES when EGTESTCD=INTP</t>
  </si>
  <si>
    <t>EGORRES when EGTESTCD=PRAG</t>
  </si>
  <si>
    <t>EGORRES when EGTESTCD=QRSAG</t>
  </si>
  <si>
    <t>EGORRES when EGTESTCD=RRAG</t>
  </si>
  <si>
    <t>EGORRES when EGTESTCD=QTAG</t>
  </si>
  <si>
    <t>EGORRES when EGTESTCD=EGHRMN</t>
  </si>
  <si>
    <t>EGORRES when EGTESTCD=QTCLAG</t>
  </si>
  <si>
    <t>EGSTAT=未做 when EGTESTCD=INTP</t>
  </si>
  <si>
    <t>SUPPEG.QVAL when QNAM=EGSPEC</t>
  </si>
  <si>
    <t>EGTEST=PR间期</t>
  </si>
  <si>
    <t>EGCAT=12导联心电图</t>
  </si>
  <si>
    <t>EGORRESU</t>
  </si>
  <si>
    <t>LBORRES when LBTESTCD=WBC</t>
  </si>
  <si>
    <t>LBORRES when LBTESTCD=HGB</t>
  </si>
  <si>
    <t>LBORRES when LBTESTCD=RBC</t>
  </si>
  <si>
    <t>LBORRES when LBTESTCD=NEUT</t>
  </si>
  <si>
    <t>LBORRES when LBTESTCD=NEUTCE</t>
  </si>
  <si>
    <t>LBORRES when LBTESTCD=LYMCE</t>
  </si>
  <si>
    <t>LBORRES when LBTESTCD=MONOCE</t>
  </si>
  <si>
    <t>LBORRES when LBTESTCD=LYM</t>
  </si>
  <si>
    <t>LBORRES when LBTESTCD=PLT</t>
  </si>
  <si>
    <t>LBCAT=血常规</t>
  </si>
  <si>
    <t>LBORRES when LBTESTCD=EOS</t>
  </si>
  <si>
    <t>LBORRES when LBTESTCD=BASO</t>
  </si>
  <si>
    <t>LBCAT=尿常规</t>
  </si>
  <si>
    <t>LBORRES when LBTESTCD=OB</t>
  </si>
  <si>
    <t>LBORRES when LBTESTCD=UKET</t>
  </si>
  <si>
    <t>LBORRES when LBTESTCD=UPROT</t>
  </si>
  <si>
    <t>LBORRES when LBTESTCD=PH</t>
  </si>
  <si>
    <t>LBORRES when LBTESTCD=ULEU</t>
  </si>
  <si>
    <t>LBORRES when LBTESTCD=UGLUC</t>
  </si>
  <si>
    <t>LBCAT=便常规</t>
  </si>
  <si>
    <t>LBORRES when LBTESTCD=FWBC</t>
  </si>
  <si>
    <t>LBORRES when LBTESTCD=FOB</t>
  </si>
  <si>
    <t>LBORRES when LBTESTCD=FRBC</t>
  </si>
  <si>
    <t>LBCAT=血生化</t>
  </si>
  <si>
    <t>LBORRES when LBTESTCD=HBUN</t>
  </si>
  <si>
    <t>LBORRES when LBTESTCD=CA</t>
  </si>
  <si>
    <t>LBORRES when LBTESTCD=CL</t>
  </si>
  <si>
    <t>LBORRES when LBTESTCD=TRIG</t>
  </si>
  <si>
    <t>LBORRES when LBTESTCD=GLUC</t>
  </si>
  <si>
    <t>LBORRES when LBTESTCD=ALP</t>
  </si>
  <si>
    <t>LBORRES when LBTESTCD=BILI</t>
  </si>
  <si>
    <t>LBORRES when LBTESTCD=HUREA</t>
  </si>
  <si>
    <t>LBORRES when LBTESTCD=BILIND</t>
  </si>
  <si>
    <t>LBORRES when LBTESTCD=ALB</t>
  </si>
  <si>
    <t>LBORRES when LBTESTCD=GGT</t>
  </si>
  <si>
    <t>LBORRES when LBTESTCD=AST</t>
  </si>
  <si>
    <t>LBORRES when LBTESTCD=ALT</t>
  </si>
  <si>
    <t>LBORRES when LBTESTCD=CREAT</t>
  </si>
  <si>
    <t>LBORRES when LBTESTCD=PROT</t>
  </si>
  <si>
    <t>LBORRES when LBTESTCD=NA</t>
  </si>
  <si>
    <t>LBORRES when LBTESTCD=TCO2</t>
  </si>
  <si>
    <t>LBORRES when LBTESTCD=CK</t>
  </si>
  <si>
    <t>LBORRES when LBTESTCD=LDH</t>
  </si>
  <si>
    <t>LBORRES when LBTESTCD=UA</t>
  </si>
  <si>
    <t>LBORRES when LBTESTCD=K</t>
  </si>
  <si>
    <t>LBORRES when LBTESTCD=CKMB</t>
  </si>
  <si>
    <t>LBORRES when LBTESTCD=TCHO</t>
  </si>
  <si>
    <t>LBORRES when LBTESTCD=LDLC</t>
  </si>
  <si>
    <t>LBORRES when LBTESTCD=HDLC</t>
  </si>
  <si>
    <t>LBCAT=凝血功能</t>
  </si>
  <si>
    <t>LBORRES when LBTESTCD=PT</t>
  </si>
  <si>
    <t>LBORRES when LBTESTCD=APTT</t>
  </si>
  <si>
    <t>LBORRES when LBTESTCD=INR</t>
  </si>
  <si>
    <t>LBCAT=心肌酶谱</t>
  </si>
  <si>
    <t>LBORRES when LBTESTCD=MB</t>
  </si>
  <si>
    <t>LBORRES when LBTESTCD=TI</t>
  </si>
  <si>
    <t>LBCAT=甲状腺功能</t>
  </si>
  <si>
    <t>LBORRES when LBTESTCD=FT3</t>
  </si>
  <si>
    <t>LBORRES when LBTESTCD=FT4</t>
  </si>
  <si>
    <t>LBORRES when LBTESTCD=TSH</t>
  </si>
  <si>
    <t>LBORRES when LBTESTCD=CD8</t>
  </si>
  <si>
    <t>LBORRES when LBTESTCD=CD4</t>
  </si>
  <si>
    <t>LBORRES when LBTESTCD=CDRA</t>
  </si>
  <si>
    <t>LBCAT=T细胞亚群</t>
  </si>
  <si>
    <t>LBORRES when LBTESTCD=INTP</t>
  </si>
  <si>
    <t>LBCAT=心脏超声</t>
  </si>
  <si>
    <t>LBTEST=心脏超声</t>
  </si>
  <si>
    <t>SUPPLB.QVAL when QNAM=LBLVEF</t>
  </si>
  <si>
    <t>PCMETHOD =ELISA</t>
  </si>
  <si>
    <t>PCREASND=备注
当未采集勾选时</t>
  </si>
  <si>
    <t>SUPPPC.QVAL when QNAM=PCDESC
当未采集未勾选时</t>
  </si>
  <si>
    <t>PCSPEC =SERUM</t>
  </si>
  <si>
    <t>PC (药代动力学浓度)</t>
  </si>
  <si>
    <t>PCDTC</t>
  </si>
  <si>
    <t>PCTPT时间点部分</t>
  </si>
  <si>
    <t>PCSTAT =NOT DONE</t>
  </si>
  <si>
    <t>PCGRPID = PK采血</t>
  </si>
  <si>
    <t>PCMETHOD =FLOW CYTOMETRY</t>
  </si>
  <si>
    <t>PCSPEC =BLOOD</t>
  </si>
  <si>
    <t>PCGRPID = PD采血</t>
  </si>
  <si>
    <t>ISSPEC =BLOOD</t>
  </si>
  <si>
    <t>ISTPT时间点部分</t>
  </si>
  <si>
    <t>ISDTC</t>
  </si>
  <si>
    <t>SUPPIS.QVAL when QNAM=ISDESC
当未采集未勾选时</t>
  </si>
  <si>
    <t>ISSTAT =NOT DONE</t>
  </si>
  <si>
    <t>IS (免疫相关检测)</t>
  </si>
  <si>
    <t>ISREASND=备注
当未采集勾选时</t>
  </si>
  <si>
    <t>PCGRPID = RO采血</t>
  </si>
  <si>
    <t>PCGRPID = IPT采血</t>
  </si>
  <si>
    <t>SUPPDM.QVAL="筛选失败" when QNAM=STATUS</t>
  </si>
  <si>
    <t>SUPPIE.QVAL when QNAM=TIDAT</t>
  </si>
  <si>
    <t>IECAT=INCLUSION</t>
  </si>
  <si>
    <t>IEORRES=Y where IETESTCD=选中编号</t>
  </si>
  <si>
    <t>SUPPDM.QVAL="筛选成功" when QNAM=STATUS</t>
  </si>
  <si>
    <t>IECAT=EXCLUSION</t>
  </si>
  <si>
    <t>IEORRES=N where IETESTCD=选中编号</t>
  </si>
  <si>
    <t>SUPPIE.QVAL when QNAM=TIVERS</t>
  </si>
  <si>
    <t>DS (处置)</t>
  </si>
  <si>
    <t>DSDECOD=完成</t>
  </si>
  <si>
    <t>SUPPDM.QVAL="已入组" when QNAM=STATUSE</t>
  </si>
  <si>
    <t>TESTNUMC</t>
  </si>
  <si>
    <t>SUPPDM.QVAL when QNAM=SCRSPEC</t>
  </si>
  <si>
    <t>SUPPDM.QVAL when QNAM=SCRREA</t>
  </si>
  <si>
    <t>SUPPDM.QVAL when QNAM=RANDDT</t>
  </si>
  <si>
    <t>SUPPDM.QVAL="未入组" when QNAM=STATUSE</t>
  </si>
  <si>
    <t>EC (收集的暴露量)</t>
  </si>
  <si>
    <t>#FFFF96</t>
  </si>
  <si>
    <t>SUPPEX.QVAL when QNAM=EXPDOSE</t>
  </si>
  <si>
    <t>SUPPEX.QVAL when QNAM=EXPDOSU</t>
  </si>
  <si>
    <t>SUPPEC.QVAL when QNAM=ECPDOSE</t>
  </si>
  <si>
    <t>SUPPEC.QVAL when QNAM=ECPDOSU</t>
  </si>
  <si>
    <t>EXDOSE</t>
  </si>
  <si>
    <t>DSDECOD=“未给药”
当日期为空时</t>
  </si>
  <si>
    <t>EXSTDTC</t>
  </si>
  <si>
    <t>EX (暴露)</t>
  </si>
  <si>
    <t>DSDECOD=“完成”
当日期不为空时</t>
  </si>
  <si>
    <t>SUPPEX.QVAL when QNAM=EXIRYN</t>
  </si>
  <si>
    <t>SUPPEC.QVAL when QNAM=ECIRYN</t>
  </si>
  <si>
    <t>SUPPEX.QVAL when QNAM=EXIRRE</t>
  </si>
  <si>
    <t>SUPPEC.QVAL when QNAM=EXIRRE</t>
  </si>
  <si>
    <t>TU (肿瘤/病变区域)</t>
  </si>
  <si>
    <t>TRGRPID=肿瘤评估_靶病灶</t>
  </si>
  <si>
    <t>TUTEST=肿瘤评估</t>
  </si>
  <si>
    <t>SUPPTR.QVAL when QNAM=PART</t>
  </si>
  <si>
    <t>TUMETHOD</t>
  </si>
  <si>
    <t>TUORRES=肿瘤评估_靶病灶</t>
  </si>
  <si>
    <t>TUDTC</t>
  </si>
  <si>
    <t>TULOC</t>
  </si>
  <si>
    <t>TRORRESU</t>
  </si>
  <si>
    <t>TRDTC</t>
  </si>
  <si>
    <t>TRMETHOD</t>
  </si>
  <si>
    <t>SUPPTR.QVAL when QNAM=ORGAN</t>
  </si>
  <si>
    <t>TULNKID</t>
  </si>
  <si>
    <t>TRORRES</t>
  </si>
  <si>
    <t>SUPPTU.QVAL when QNAM=TUPART</t>
  </si>
  <si>
    <t>TRTEST=最长直径或淋巴结短轴</t>
  </si>
  <si>
    <t>TRLNKID</t>
  </si>
  <si>
    <t>TR (肿瘤/病变结果)</t>
  </si>
  <si>
    <t>TUORRES=肿瘤评估_非靶病灶</t>
  </si>
  <si>
    <t>TRGRPID=肿瘤评估_非靶病灶</t>
  </si>
  <si>
    <t>TUORRES=肿瘤评估_新病灶</t>
  </si>
  <si>
    <t>RS(疾病反应和临床分类)</t>
  </si>
  <si>
    <t>RSTEST=
肿瘤靶病灶评估/
肿瘤非靶病灶评估/
新发病灶评估/
总体评估</t>
  </si>
  <si>
    <t>RSORRES</t>
  </si>
  <si>
    <t>RSDTC</t>
  </si>
  <si>
    <t>RSCAT=RECIST 1.1</t>
  </si>
  <si>
    <t>TRGRPID=肿瘤总体评估</t>
  </si>
  <si>
    <t>TRTEST=靶病灶总径</t>
  </si>
  <si>
    <t>RSCAT=IRECIST</t>
  </si>
  <si>
    <t>SS (生存状况)</t>
  </si>
  <si>
    <t>SSDTC</t>
  </si>
  <si>
    <t>SUPPSS.QVAL when QNAM=SSWAY</t>
  </si>
  <si>
    <t>SSORRES</t>
  </si>
  <si>
    <t>SUPPSS.QVAL when QNAM=SSSFS</t>
  </si>
  <si>
    <t>SUPPSS.QVAL when QNAM=DTHDTC</t>
  </si>
  <si>
    <t>SSCAT=生存随访</t>
  </si>
  <si>
    <t>SSTEST=生存随访</t>
  </si>
  <si>
    <t>SSTESTCD=SURVSTAT</t>
  </si>
  <si>
    <t>CMCAT=合并用药/新的抗肿瘤用药</t>
  </si>
  <si>
    <t>SUPPCM.QVAL when QNAM=CMDOSUO</t>
  </si>
  <si>
    <t>SUPPCM.QVAL when QNAM=CMAENO</t>
  </si>
  <si>
    <t>SUPPCM.QVAL when QNAM=CMMHNO</t>
  </si>
  <si>
    <t>SUPPCM.QVAL when QNAM=CMROUOTH</t>
  </si>
  <si>
    <t>SUPPCM.QVAL when QNAM=CMINDCO</t>
  </si>
  <si>
    <t>PRCAT=合并治疗/新的抗肿瘤治疗</t>
  </si>
  <si>
    <t>SUPPCM.QVAL when QNAM=PRINDCO</t>
  </si>
  <si>
    <t>SUPPPR.QVAL when QNAM=PRONGO</t>
  </si>
  <si>
    <t>PRINDC</t>
  </si>
  <si>
    <t>SUPPAE.QVAL=是 when QNAM=AEYN</t>
  </si>
  <si>
    <t>SUPPAE.QVAL when QNAM=AEPRNO</t>
  </si>
  <si>
    <t>AESMIE</t>
  </si>
  <si>
    <t>SUPPAE.QVAL when QNAM=AEACTOTH</t>
  </si>
  <si>
    <t>AESDISAB</t>
  </si>
  <si>
    <t>AEACN</t>
  </si>
  <si>
    <t>SUPPAE.QVAL when QNAM=AEIMP</t>
  </si>
  <si>
    <t>SUPPAE.QVAL when QNAM=AEACT</t>
  </si>
  <si>
    <t>AESDTH</t>
  </si>
  <si>
    <t>SUPPAE.QVAL when QNAM=AEDIS</t>
  </si>
  <si>
    <t>AESHOSP</t>
  </si>
  <si>
    <t>AETOXGR</t>
  </si>
  <si>
    <t>SUPPAE.QVAL when QNAM=AECMNO</t>
  </si>
  <si>
    <t>AE (不良事件)</t>
  </si>
  <si>
    <t>AESLIFE</t>
  </si>
  <si>
    <t>SUPPAE.QVAL when QNAM=AEIRYN</t>
  </si>
  <si>
    <t>SUPPDM.QVAL when QNAM=DLTDTC</t>
  </si>
  <si>
    <t>SUPPDM.QVAL when QNAM=DLTYN</t>
  </si>
  <si>
    <t>SUPPDM.QVAL when QNAM=DLTTYPE</t>
  </si>
  <si>
    <t>SUPPDM.QVAL when QNAM=DSDTC</t>
  </si>
  <si>
    <t>SUPPDM.QVAL when QNAM=DSDECOD</t>
  </si>
  <si>
    <t>SUPPDM.QVAL when QNAM=DSYN</t>
  </si>
  <si>
    <t>SUPPDM.QVAL when QNAM=DSOTH</t>
  </si>
  <si>
    <t>SUPPDS.QVAL when QNAM=DSOTH</t>
  </si>
  <si>
    <t>SUPPDM.QVAL when QNAM=DTHREA</t>
  </si>
  <si>
    <t>Length</t>
    <phoneticPr fontId="67" type="noConversion"/>
  </si>
  <si>
    <t>Source</t>
    <phoneticPr fontId="67" type="noConversion"/>
  </si>
  <si>
    <t>Structure</t>
    <phoneticPr fontId="67" type="noConversion"/>
  </si>
  <si>
    <t>Label</t>
    <phoneticPr fontId="67" type="noConversion"/>
  </si>
  <si>
    <t>SubClass</t>
    <phoneticPr fontId="67" type="noConversion"/>
  </si>
  <si>
    <t>Key Variables</t>
    <phoneticPr fontId="67" type="noConversion"/>
  </si>
  <si>
    <t>Standard</t>
    <phoneticPr fontId="67" type="noConversion"/>
  </si>
  <si>
    <t>Has No Data</t>
    <phoneticPr fontId="67" type="noConversion"/>
  </si>
  <si>
    <t>Repeating</t>
    <phoneticPr fontId="67" type="noConversion"/>
  </si>
  <si>
    <t>Reference Data</t>
    <phoneticPr fontId="67" type="noConversion"/>
  </si>
  <si>
    <t>Comment</t>
    <phoneticPr fontId="67" type="noConversion"/>
  </si>
  <si>
    <t>Developer Notes</t>
    <phoneticPr fontId="67" type="noConversion"/>
  </si>
  <si>
    <t>SDTMIG 3.2</t>
    <phoneticPr fontId="67" type="noConversion"/>
  </si>
  <si>
    <t>No</t>
    <phoneticPr fontId="67" type="noConversion"/>
  </si>
  <si>
    <t>Yes</t>
    <phoneticPr fontId="67" type="noConversion"/>
  </si>
  <si>
    <t>Controlled Terms or Format</t>
    <phoneticPr fontId="67" type="noConversion"/>
  </si>
  <si>
    <t>Origin</t>
    <phoneticPr fontId="67" type="noConversion"/>
  </si>
  <si>
    <t>Collected</t>
    <phoneticPr fontId="67" type="noConversion"/>
  </si>
  <si>
    <t>Investigator</t>
    <phoneticPr fontId="67" type="noConversion"/>
  </si>
  <si>
    <t>Vendor</t>
    <phoneticPr fontId="67" type="noConversion"/>
  </si>
  <si>
    <t>DVSTDY</t>
  </si>
  <si>
    <t>Vendor</t>
    <phoneticPr fontId="67" type="noConversion"/>
  </si>
  <si>
    <t>WHORRUG</t>
    <phoneticPr fontId="67" type="noConversion"/>
  </si>
  <si>
    <t>Text</t>
    <phoneticPr fontId="67" type="noConversion"/>
  </si>
  <si>
    <t>OUT</t>
    <phoneticPr fontId="67" type="noConversion"/>
  </si>
  <si>
    <r>
      <rPr>
        <sz val="11"/>
        <color rgb="FFC00000"/>
        <rFont val="等线"/>
        <family val="3"/>
        <charset val="134"/>
      </rPr>
      <t>后代先天异常或致畸</t>
    </r>
  </si>
  <si>
    <t>ACT</t>
    <phoneticPr fontId="67" type="noConversion"/>
  </si>
  <si>
    <t>ACN</t>
    <phoneticPr fontId="67" type="noConversion"/>
  </si>
  <si>
    <t>AEREL</t>
    <phoneticPr fontId="67" type="noConversion"/>
  </si>
  <si>
    <t>*</t>
    <phoneticPr fontId="67" type="noConversion"/>
  </si>
  <si>
    <t>ISO8601</t>
  </si>
  <si>
    <t>(DOMAIN)</t>
    <phoneticPr fontId="67" type="noConversion"/>
  </si>
  <si>
    <t>Variable Name</t>
    <phoneticPr fontId="67" type="noConversion"/>
  </si>
  <si>
    <t>Variable Label</t>
    <phoneticPr fontId="67" type="noConversion"/>
  </si>
  <si>
    <t>SUPPAE</t>
    <phoneticPr fontId="67" type="noConversion"/>
  </si>
  <si>
    <t>SUPPCM</t>
    <phoneticPr fontId="67" type="noConversion"/>
  </si>
  <si>
    <t>SUPPDM</t>
    <phoneticPr fontId="67" type="noConversion"/>
  </si>
  <si>
    <t>SUPPDS</t>
    <phoneticPr fontId="67" type="noConversion"/>
  </si>
  <si>
    <t>SUPPDV</t>
    <phoneticPr fontId="67" type="noConversion"/>
  </si>
  <si>
    <t>SUPPEC</t>
    <phoneticPr fontId="67" type="noConversion"/>
  </si>
  <si>
    <t>SUPPEG</t>
    <phoneticPr fontId="67" type="noConversion"/>
  </si>
  <si>
    <t>SUPPEX</t>
    <phoneticPr fontId="67" type="noConversion"/>
  </si>
  <si>
    <t>SUPPIE</t>
    <phoneticPr fontId="67" type="noConversion"/>
  </si>
  <si>
    <t>SUPPIS</t>
    <phoneticPr fontId="67" type="noConversion"/>
  </si>
  <si>
    <t>SUPPLB</t>
    <phoneticPr fontId="67" type="noConversion"/>
  </si>
  <si>
    <t>SUPPMH</t>
    <phoneticPr fontId="67" type="noConversion"/>
  </si>
  <si>
    <t>SUPPPC</t>
    <phoneticPr fontId="67" type="noConversion"/>
  </si>
  <si>
    <t>SUPPPE</t>
    <phoneticPr fontId="67" type="noConversion"/>
  </si>
  <si>
    <t>SUPPPP</t>
    <phoneticPr fontId="67" type="noConversion"/>
  </si>
  <si>
    <t>SUPPPR</t>
    <phoneticPr fontId="67" type="noConversion"/>
  </si>
  <si>
    <t>SUPPSS</t>
    <phoneticPr fontId="67" type="noConversion"/>
  </si>
  <si>
    <t>SUPPTU</t>
    <phoneticPr fontId="67" type="noConversion"/>
  </si>
  <si>
    <t>SUPPVS</t>
    <phoneticPr fontId="67" type="noConversion"/>
  </si>
  <si>
    <t>1</t>
    <phoneticPr fontId="67" type="noConversion"/>
  </si>
  <si>
    <t>2</t>
    <phoneticPr fontId="67" type="noConversion"/>
  </si>
  <si>
    <t>3</t>
    <phoneticPr fontId="67" type="noConversion"/>
  </si>
  <si>
    <r>
      <rPr>
        <sz val="11"/>
        <color theme="1"/>
        <rFont val="宋体"/>
        <family val="3"/>
        <charset val="134"/>
      </rPr>
      <t>研究标识符</t>
    </r>
  </si>
  <si>
    <r>
      <rPr>
        <sz val="11"/>
        <color theme="1"/>
        <rFont val="宋体"/>
        <family val="3"/>
        <charset val="134"/>
      </rPr>
      <t>关联域名缩写</t>
    </r>
  </si>
  <si>
    <r>
      <rPr>
        <sz val="11"/>
        <color theme="1"/>
        <rFont val="宋体"/>
        <family val="3"/>
        <charset val="134"/>
      </rPr>
      <t>受试者唯一标识符</t>
    </r>
  </si>
  <si>
    <r>
      <rPr>
        <sz val="11"/>
        <color theme="1"/>
        <rFont val="宋体"/>
        <family val="3"/>
        <charset val="134"/>
      </rPr>
      <t>标识变量</t>
    </r>
  </si>
  <si>
    <r>
      <rPr>
        <sz val="11"/>
        <color theme="1"/>
        <rFont val="宋体"/>
        <family val="3"/>
        <charset val="134"/>
      </rPr>
      <t>标识变量值</t>
    </r>
  </si>
  <si>
    <r>
      <rPr>
        <sz val="11"/>
        <color theme="1"/>
        <rFont val="宋体"/>
        <family val="3"/>
        <charset val="134"/>
      </rPr>
      <t>修饰语变量名称</t>
    </r>
  </si>
  <si>
    <r>
      <rPr>
        <sz val="11"/>
        <color theme="1"/>
        <rFont val="宋体"/>
        <family val="3"/>
        <charset val="134"/>
      </rPr>
      <t>修饰语变量标签</t>
    </r>
  </si>
  <si>
    <r>
      <rPr>
        <sz val="11"/>
        <color theme="1"/>
        <rFont val="宋体"/>
        <family val="3"/>
        <charset val="134"/>
      </rPr>
      <t>数据值</t>
    </r>
  </si>
  <si>
    <r>
      <rPr>
        <sz val="11"/>
        <color theme="1"/>
        <rFont val="宋体"/>
        <family val="3"/>
        <charset val="134"/>
      </rPr>
      <t>来源</t>
    </r>
  </si>
  <si>
    <r>
      <rPr>
        <sz val="11"/>
        <color theme="1"/>
        <rFont val="宋体"/>
        <family val="3"/>
        <charset val="134"/>
      </rPr>
      <t>评估者</t>
    </r>
  </si>
  <si>
    <r>
      <rPr>
        <sz val="11"/>
        <color theme="1"/>
        <rFont val="宋体"/>
        <family val="3"/>
        <charset val="134"/>
      </rPr>
      <t>设为</t>
    </r>
    <r>
      <rPr>
        <sz val="11"/>
        <color theme="1"/>
        <rFont val="Calibri"/>
        <family val="2"/>
      </rPr>
      <t>"MJR-MR001-01"</t>
    </r>
    <phoneticPr fontId="67" type="noConversion"/>
  </si>
  <si>
    <r>
      <rPr>
        <sz val="11"/>
        <color theme="1"/>
        <rFont val="宋体"/>
        <family val="3"/>
        <charset val="134"/>
      </rPr>
      <t>域名缩写</t>
    </r>
  </si>
  <si>
    <r>
      <rPr>
        <sz val="11"/>
        <color theme="1"/>
        <rFont val="宋体"/>
        <family val="3"/>
        <charset val="134"/>
      </rPr>
      <t>序号</t>
    </r>
  </si>
  <si>
    <r>
      <rPr>
        <sz val="11"/>
        <color theme="1"/>
        <rFont val="宋体"/>
        <family val="3"/>
        <charset val="134"/>
      </rPr>
      <t>组合</t>
    </r>
    <r>
      <rPr>
        <sz val="11"/>
        <color theme="1"/>
        <rFont val="Calibri"/>
        <family val="2"/>
      </rPr>
      <t>ID</t>
    </r>
  </si>
  <si>
    <r>
      <rPr>
        <sz val="11"/>
        <color theme="1"/>
        <rFont val="宋体"/>
        <family val="3"/>
        <charset val="134"/>
      </rPr>
      <t>试验概要参数简称</t>
    </r>
  </si>
  <si>
    <r>
      <rPr>
        <sz val="11"/>
        <color theme="1"/>
        <rFont val="宋体"/>
        <family val="3"/>
        <charset val="134"/>
      </rPr>
      <t>试验概要参数</t>
    </r>
  </si>
  <si>
    <r>
      <rPr>
        <sz val="11"/>
        <color theme="1"/>
        <rFont val="宋体"/>
        <family val="3"/>
        <charset val="134"/>
      </rPr>
      <t>参数值</t>
    </r>
  </si>
  <si>
    <r>
      <rPr>
        <sz val="11"/>
        <color theme="1"/>
        <rFont val="宋体"/>
        <family val="3"/>
        <charset val="134"/>
      </rPr>
      <t>参数值编码</t>
    </r>
  </si>
  <si>
    <r>
      <rPr>
        <sz val="11"/>
        <color theme="1"/>
        <rFont val="宋体"/>
        <family val="3"/>
        <charset val="134"/>
      </rPr>
      <t>参考术语集名称</t>
    </r>
  </si>
  <si>
    <r>
      <rPr>
        <sz val="11"/>
        <color theme="1"/>
        <rFont val="宋体"/>
        <family val="3"/>
        <charset val="134"/>
      </rPr>
      <t>参考术语集版本</t>
    </r>
  </si>
  <si>
    <r>
      <rPr>
        <sz val="11"/>
        <color theme="1"/>
        <rFont val="宋体"/>
        <family val="3"/>
        <charset val="134"/>
      </rPr>
      <t>元素编码</t>
    </r>
  </si>
  <si>
    <r>
      <rPr>
        <sz val="11"/>
        <color theme="1"/>
        <rFont val="宋体"/>
        <family val="3"/>
        <charset val="134"/>
      </rPr>
      <t>元素描述</t>
    </r>
  </si>
  <si>
    <r>
      <rPr>
        <sz val="11"/>
        <color theme="1"/>
        <rFont val="宋体"/>
        <family val="3"/>
        <charset val="134"/>
      </rPr>
      <t>元素开始规则</t>
    </r>
  </si>
  <si>
    <r>
      <rPr>
        <sz val="11"/>
        <color theme="1"/>
        <rFont val="宋体"/>
        <family val="3"/>
        <charset val="134"/>
      </rPr>
      <t>元素结束规则</t>
    </r>
  </si>
  <si>
    <r>
      <rPr>
        <sz val="11"/>
        <color theme="1"/>
        <rFont val="等线"/>
        <family val="3"/>
        <charset val="134"/>
      </rPr>
      <t>相对参考范围指示符</t>
    </r>
    <phoneticPr fontId="67" type="noConversion"/>
  </si>
  <si>
    <r>
      <rPr>
        <sz val="11"/>
        <color theme="1"/>
        <rFont val="微软雅黑"/>
        <family val="3"/>
        <charset val="134"/>
      </rPr>
      <t>研究标识符</t>
    </r>
  </si>
  <si>
    <r>
      <rPr>
        <sz val="11"/>
        <color theme="1"/>
        <rFont val="微软雅黑"/>
        <family val="3"/>
        <charset val="134"/>
      </rPr>
      <t>设为</t>
    </r>
    <r>
      <rPr>
        <sz val="11"/>
        <color theme="1"/>
        <rFont val="Calibri"/>
        <family val="2"/>
      </rPr>
      <t>"MJR-MR001-01"</t>
    </r>
    <phoneticPr fontId="67" type="noConversion"/>
  </si>
  <si>
    <r>
      <rPr>
        <sz val="11"/>
        <color theme="1"/>
        <rFont val="微软雅黑"/>
        <family val="3"/>
        <charset val="134"/>
      </rPr>
      <t>域名缩写</t>
    </r>
  </si>
  <si>
    <r>
      <rPr>
        <sz val="11"/>
        <color theme="1"/>
        <rFont val="微软雅黑"/>
        <family val="3"/>
        <charset val="134"/>
      </rPr>
      <t>受试者唯一标识符</t>
    </r>
  </si>
  <si>
    <r>
      <rPr>
        <sz val="11"/>
        <color theme="1"/>
        <rFont val="微软雅黑"/>
        <family val="3"/>
        <charset val="134"/>
      </rPr>
      <t>将</t>
    </r>
    <r>
      <rPr>
        <sz val="11"/>
        <color theme="1"/>
        <rFont val="Calibri"/>
        <family val="2"/>
      </rPr>
      <t>SITEID</t>
    </r>
    <r>
      <rPr>
        <sz val="11"/>
        <color theme="1"/>
        <rFont val="微软雅黑"/>
        <family val="3"/>
        <charset val="134"/>
      </rPr>
      <t>和</t>
    </r>
    <r>
      <rPr>
        <sz val="11"/>
        <color theme="1"/>
        <rFont val="Calibri"/>
        <family val="2"/>
      </rPr>
      <t>SUBSCID</t>
    </r>
    <r>
      <rPr>
        <sz val="11"/>
        <color theme="1"/>
        <rFont val="微软雅黑"/>
        <family val="3"/>
        <charset val="134"/>
      </rPr>
      <t>和</t>
    </r>
    <r>
      <rPr>
        <sz val="11"/>
        <color theme="1"/>
        <rFont val="Calibri"/>
        <family val="2"/>
      </rPr>
      <t>SUBJID</t>
    </r>
    <r>
      <rPr>
        <sz val="11"/>
        <color theme="1"/>
        <rFont val="微软雅黑"/>
        <family val="3"/>
        <charset val="134"/>
      </rPr>
      <t>用</t>
    </r>
    <r>
      <rPr>
        <sz val="11"/>
        <color theme="1"/>
        <rFont val="Calibri"/>
        <family val="2"/>
      </rPr>
      <t>"-"</t>
    </r>
    <r>
      <rPr>
        <sz val="11"/>
        <color theme="1"/>
        <rFont val="微软雅黑"/>
        <family val="3"/>
        <charset val="134"/>
      </rPr>
      <t>连接起来</t>
    </r>
    <phoneticPr fontId="67" type="noConversion"/>
  </si>
  <si>
    <r>
      <rPr>
        <sz val="11"/>
        <color theme="1"/>
        <rFont val="微软雅黑"/>
        <family val="3"/>
        <charset val="134"/>
      </rPr>
      <t>序号</t>
    </r>
  </si>
  <si>
    <r>
      <rPr>
        <sz val="11"/>
        <color theme="1"/>
        <rFont val="微软雅黑"/>
        <family val="3"/>
        <charset val="134"/>
      </rPr>
      <t>检查项简称</t>
    </r>
  </si>
  <si>
    <r>
      <rPr>
        <sz val="11"/>
        <color theme="1"/>
        <rFont val="微软雅黑"/>
        <family val="3"/>
        <charset val="134"/>
      </rPr>
      <t>检查项名称</t>
    </r>
  </si>
  <si>
    <r>
      <rPr>
        <sz val="11"/>
        <color theme="1"/>
        <rFont val="微软雅黑"/>
        <family val="3"/>
        <charset val="134"/>
      </rPr>
      <t>与</t>
    </r>
    <r>
      <rPr>
        <sz val="11"/>
        <color theme="1"/>
        <rFont val="Calibri"/>
        <family val="2"/>
      </rPr>
      <t>ORRES</t>
    </r>
    <r>
      <rPr>
        <sz val="11"/>
        <color theme="1"/>
        <rFont val="微软雅黑"/>
        <family val="3"/>
        <charset val="134"/>
      </rPr>
      <t>匹配</t>
    </r>
    <phoneticPr fontId="67" type="noConversion"/>
  </si>
  <si>
    <r>
      <rPr>
        <sz val="11"/>
        <color theme="1"/>
        <rFont val="微软雅黑"/>
        <family val="3"/>
        <charset val="134"/>
      </rPr>
      <t>将</t>
    </r>
    <r>
      <rPr>
        <sz val="11"/>
        <color theme="1"/>
        <rFont val="Calibri"/>
        <family val="2"/>
      </rPr>
      <t>STRESC</t>
    </r>
    <r>
      <rPr>
        <sz val="11"/>
        <color theme="1"/>
        <rFont val="微软雅黑"/>
        <family val="3"/>
        <charset val="134"/>
      </rPr>
      <t>转换为数值型</t>
    </r>
    <phoneticPr fontId="67" type="noConversion"/>
  </si>
  <si>
    <r>
      <rPr>
        <sz val="11"/>
        <color theme="1"/>
        <rFont val="微软雅黑"/>
        <family val="3"/>
        <charset val="134"/>
      </rPr>
      <t>与</t>
    </r>
    <r>
      <rPr>
        <sz val="11"/>
        <color theme="1"/>
        <rFont val="Calibri"/>
        <family val="2"/>
      </rPr>
      <t>ORRESU</t>
    </r>
    <r>
      <rPr>
        <sz val="11"/>
        <color theme="1"/>
        <rFont val="微软雅黑"/>
        <family val="3"/>
        <charset val="134"/>
      </rPr>
      <t>匹配</t>
    </r>
    <phoneticPr fontId="67" type="noConversion"/>
  </si>
  <si>
    <r>
      <rPr>
        <sz val="11"/>
        <color theme="1"/>
        <rFont val="微软雅黑"/>
        <family val="3"/>
        <charset val="134"/>
      </rPr>
      <t>未做状态</t>
    </r>
  </si>
  <si>
    <r>
      <rPr>
        <sz val="11"/>
        <color theme="1"/>
        <rFont val="微软雅黑"/>
        <family val="3"/>
        <charset val="134"/>
      </rPr>
      <t>未做原因</t>
    </r>
  </si>
  <si>
    <r>
      <rPr>
        <sz val="11"/>
        <color theme="1"/>
        <rFont val="微软雅黑"/>
        <family val="3"/>
        <charset val="134"/>
      </rPr>
      <t>访视编号</t>
    </r>
  </si>
  <si>
    <r>
      <rPr>
        <sz val="11"/>
        <color theme="1"/>
        <rFont val="微软雅黑"/>
        <family val="3"/>
        <charset val="134"/>
      </rPr>
      <t>与</t>
    </r>
    <r>
      <rPr>
        <sz val="11"/>
        <color theme="1"/>
        <rFont val="Calibri"/>
        <family val="2"/>
      </rPr>
      <t>TV.VISITNUM</t>
    </r>
    <r>
      <rPr>
        <sz val="11"/>
        <color theme="1"/>
        <rFont val="微软雅黑"/>
        <family val="3"/>
        <charset val="134"/>
      </rPr>
      <t>匹配</t>
    </r>
    <phoneticPr fontId="67" type="noConversion"/>
  </si>
  <si>
    <r>
      <rPr>
        <sz val="11"/>
        <color theme="1"/>
        <rFont val="微软雅黑"/>
        <family val="3"/>
        <charset val="134"/>
      </rPr>
      <t>访视名称</t>
    </r>
  </si>
  <si>
    <r>
      <rPr>
        <sz val="11"/>
        <color theme="1"/>
        <rFont val="微软雅黑"/>
        <family val="3"/>
        <charset val="134"/>
      </rPr>
      <t>与</t>
    </r>
    <r>
      <rPr>
        <sz val="11"/>
        <color theme="1"/>
        <rFont val="Calibri"/>
        <family val="2"/>
      </rPr>
      <t>TV.VISIT</t>
    </r>
    <r>
      <rPr>
        <sz val="11"/>
        <color theme="1"/>
        <rFont val="微软雅黑"/>
        <family val="3"/>
        <charset val="134"/>
      </rPr>
      <t>匹配</t>
    </r>
    <phoneticPr fontId="67" type="noConversion"/>
  </si>
  <si>
    <r>
      <t>DTC</t>
    </r>
    <r>
      <rPr>
        <sz val="11"/>
        <color rgb="FF000000"/>
        <rFont val="微软雅黑"/>
        <family val="3"/>
        <charset val="134"/>
      </rPr>
      <t>早于</t>
    </r>
    <r>
      <rPr>
        <sz val="11"/>
        <color rgb="FF000000"/>
        <rFont val="Calibri"/>
        <family val="2"/>
      </rPr>
      <t>RFXSTDTC</t>
    </r>
    <r>
      <rPr>
        <sz val="11"/>
        <color rgb="FF000000"/>
        <rFont val="微软雅黑"/>
        <family val="3"/>
        <charset val="134"/>
      </rPr>
      <t>则填充为</t>
    </r>
    <r>
      <rPr>
        <sz val="11"/>
        <color rgb="FF000000"/>
        <rFont val="Calibri"/>
        <family val="2"/>
      </rPr>
      <t>"SCREENING";DTC</t>
    </r>
    <r>
      <rPr>
        <sz val="11"/>
        <color rgb="FF000000"/>
        <rFont val="微软雅黑"/>
        <family val="3"/>
        <charset val="134"/>
      </rPr>
      <t>晚于或等于</t>
    </r>
    <r>
      <rPr>
        <sz val="11"/>
        <color rgb="FF000000"/>
        <rFont val="Calibri"/>
        <family val="2"/>
      </rPr>
      <t>RFXSTDTC</t>
    </r>
    <r>
      <rPr>
        <sz val="11"/>
        <color rgb="FF000000"/>
        <rFont val="微软雅黑"/>
        <family val="3"/>
        <charset val="134"/>
      </rPr>
      <t>，早于或小于</t>
    </r>
    <r>
      <rPr>
        <sz val="11"/>
        <color rgb="FF000000"/>
        <rFont val="Calibri"/>
        <family val="2"/>
      </rPr>
      <t>RFXENDTC</t>
    </r>
    <r>
      <rPr>
        <sz val="11"/>
        <color rgb="FF000000"/>
        <rFont val="微软雅黑"/>
        <family val="3"/>
        <charset val="134"/>
      </rPr>
      <t>则填充为</t>
    </r>
    <r>
      <rPr>
        <sz val="11"/>
        <color rgb="FF000000"/>
        <rFont val="Calibri"/>
        <family val="2"/>
      </rPr>
      <t>"TREATMENT";DTC</t>
    </r>
    <r>
      <rPr>
        <sz val="11"/>
        <color rgb="FF000000"/>
        <rFont val="微软雅黑"/>
        <family val="3"/>
        <charset val="134"/>
      </rPr>
      <t>晚于</t>
    </r>
    <r>
      <rPr>
        <sz val="11"/>
        <color rgb="FF000000"/>
        <rFont val="Calibri"/>
        <family val="2"/>
      </rPr>
      <t>RFENDTC</t>
    </r>
    <r>
      <rPr>
        <sz val="11"/>
        <color rgb="FF000000"/>
        <rFont val="微软雅黑"/>
        <family val="3"/>
        <charset val="134"/>
      </rPr>
      <t>则填充为</t>
    </r>
    <r>
      <rPr>
        <sz val="11"/>
        <color rgb="FF000000"/>
        <rFont val="Calibri"/>
        <family val="2"/>
      </rPr>
      <t>"FOLLOW-UP";</t>
    </r>
    <phoneticPr fontId="67" type="noConversion"/>
  </si>
  <si>
    <r>
      <rPr>
        <sz val="11"/>
        <color theme="1"/>
        <rFont val="微软雅黑"/>
        <family val="3"/>
        <charset val="134"/>
      </rPr>
      <t>检查日期</t>
    </r>
    <r>
      <rPr>
        <sz val="11"/>
        <color theme="1"/>
        <rFont val="Calibri"/>
        <family val="2"/>
      </rPr>
      <t>/</t>
    </r>
    <r>
      <rPr>
        <sz val="11"/>
        <color theme="1"/>
        <rFont val="微软雅黑"/>
        <family val="3"/>
        <charset val="134"/>
      </rPr>
      <t>时间</t>
    </r>
  </si>
  <si>
    <r>
      <rPr>
        <sz val="11"/>
        <color theme="1"/>
        <rFont val="微软雅黑"/>
        <family val="3"/>
        <charset val="134"/>
      </rPr>
      <t>将</t>
    </r>
    <r>
      <rPr>
        <sz val="11"/>
        <color theme="1"/>
        <rFont val="Calibri"/>
        <family val="2"/>
      </rPr>
      <t>CRF</t>
    </r>
    <r>
      <rPr>
        <sz val="11"/>
        <color theme="1"/>
        <rFont val="微软雅黑"/>
        <family val="3"/>
        <charset val="134"/>
      </rPr>
      <t>中记录的日期和时间通过</t>
    </r>
    <r>
      <rPr>
        <sz val="11"/>
        <color theme="1"/>
        <rFont val="Calibri"/>
        <family val="2"/>
      </rPr>
      <t>"T"</t>
    </r>
    <r>
      <rPr>
        <sz val="11"/>
        <color theme="1"/>
        <rFont val="微软雅黑"/>
        <family val="3"/>
        <charset val="134"/>
      </rPr>
      <t>连接起来</t>
    </r>
    <phoneticPr fontId="67" type="noConversion"/>
  </si>
  <si>
    <r>
      <rPr>
        <sz val="11"/>
        <color theme="1"/>
        <rFont val="微软雅黑"/>
        <family val="3"/>
        <charset val="134"/>
      </rPr>
      <t>检查日</t>
    </r>
  </si>
  <si>
    <r>
      <rPr>
        <sz val="11"/>
        <color theme="1"/>
        <rFont val="微软雅黑"/>
        <family val="2"/>
      </rPr>
      <t>研究标识符</t>
    </r>
  </si>
  <si>
    <r>
      <rPr>
        <sz val="11"/>
        <color theme="1"/>
        <rFont val="微软雅黑"/>
        <family val="2"/>
      </rPr>
      <t>设为</t>
    </r>
    <r>
      <rPr>
        <sz val="11"/>
        <color theme="1"/>
        <rFont val="Calibri"/>
        <family val="2"/>
      </rPr>
      <t>"MJR-MR001-01"</t>
    </r>
    <phoneticPr fontId="67" type="noConversion"/>
  </si>
  <si>
    <r>
      <rPr>
        <sz val="11"/>
        <color theme="1"/>
        <rFont val="微软雅黑"/>
        <family val="2"/>
      </rPr>
      <t>域名缩写</t>
    </r>
  </si>
  <si>
    <r>
      <rPr>
        <sz val="11"/>
        <color theme="1"/>
        <rFont val="微软雅黑"/>
        <family val="2"/>
      </rPr>
      <t>受试者唯一标识符</t>
    </r>
  </si>
  <si>
    <r>
      <rPr>
        <sz val="11"/>
        <color theme="1"/>
        <rFont val="微软雅黑"/>
        <family val="2"/>
      </rPr>
      <t>将</t>
    </r>
    <r>
      <rPr>
        <sz val="11"/>
        <color theme="1"/>
        <rFont val="Calibri"/>
        <family val="2"/>
      </rPr>
      <t>SITEID</t>
    </r>
    <r>
      <rPr>
        <sz val="11"/>
        <color theme="1"/>
        <rFont val="微软雅黑"/>
        <family val="2"/>
      </rPr>
      <t>和</t>
    </r>
    <r>
      <rPr>
        <sz val="11"/>
        <color theme="1"/>
        <rFont val="Calibri"/>
        <family val="2"/>
      </rPr>
      <t>SUBSCID</t>
    </r>
    <r>
      <rPr>
        <sz val="11"/>
        <color theme="1"/>
        <rFont val="微软雅黑"/>
        <family val="2"/>
      </rPr>
      <t>和</t>
    </r>
    <r>
      <rPr>
        <sz val="11"/>
        <color theme="1"/>
        <rFont val="Calibri"/>
        <family val="2"/>
      </rPr>
      <t>SUBJID</t>
    </r>
    <r>
      <rPr>
        <sz val="11"/>
        <color theme="1"/>
        <rFont val="微软雅黑"/>
        <family val="2"/>
      </rPr>
      <t>用</t>
    </r>
    <r>
      <rPr>
        <sz val="11"/>
        <color theme="1"/>
        <rFont val="Calibri"/>
        <family val="2"/>
      </rPr>
      <t>"-"</t>
    </r>
    <r>
      <rPr>
        <sz val="11"/>
        <color theme="1"/>
        <rFont val="微软雅黑"/>
        <family val="2"/>
      </rPr>
      <t>连接起来</t>
    </r>
    <phoneticPr fontId="67" type="noConversion"/>
  </si>
  <si>
    <r>
      <rPr>
        <sz val="11"/>
        <color theme="1"/>
        <rFont val="微软雅黑"/>
        <family val="2"/>
      </rPr>
      <t>序号</t>
    </r>
  </si>
  <si>
    <r>
      <rPr>
        <sz val="11"/>
        <color theme="1"/>
        <rFont val="微软雅黑"/>
        <family val="2"/>
      </rPr>
      <t>检查项简称</t>
    </r>
  </si>
  <si>
    <r>
      <rPr>
        <sz val="11"/>
        <color theme="1"/>
        <rFont val="微软雅黑"/>
        <family val="2"/>
      </rPr>
      <t>检查项名称</t>
    </r>
  </si>
  <si>
    <r>
      <rPr>
        <sz val="11"/>
        <color theme="1"/>
        <rFont val="微软雅黑"/>
        <family val="2"/>
      </rPr>
      <t>原始结果</t>
    </r>
  </si>
  <si>
    <r>
      <rPr>
        <sz val="11"/>
        <color theme="1"/>
        <rFont val="微软雅黑"/>
        <family val="2"/>
      </rPr>
      <t>原始单位</t>
    </r>
  </si>
  <si>
    <r>
      <rPr>
        <sz val="11"/>
        <color theme="1"/>
        <rFont val="微软雅黑"/>
        <family val="2"/>
      </rPr>
      <t>标准化结果</t>
    </r>
  </si>
  <si>
    <r>
      <rPr>
        <sz val="11"/>
        <color theme="1"/>
        <rFont val="微软雅黑"/>
        <family val="2"/>
      </rPr>
      <t>与</t>
    </r>
    <r>
      <rPr>
        <sz val="11"/>
        <color theme="1"/>
        <rFont val="Calibri"/>
        <family val="2"/>
      </rPr>
      <t>ORRES</t>
    </r>
    <r>
      <rPr>
        <sz val="11"/>
        <color theme="1"/>
        <rFont val="微软雅黑"/>
        <family val="2"/>
      </rPr>
      <t>匹配</t>
    </r>
    <phoneticPr fontId="67" type="noConversion"/>
  </si>
  <si>
    <r>
      <rPr>
        <sz val="11"/>
        <color theme="1"/>
        <rFont val="微软雅黑"/>
        <family val="2"/>
      </rPr>
      <t>标准化结果</t>
    </r>
    <r>
      <rPr>
        <sz val="11"/>
        <color theme="1"/>
        <rFont val="Calibri"/>
        <family val="2"/>
      </rPr>
      <t>(N)</t>
    </r>
  </si>
  <si>
    <r>
      <rPr>
        <sz val="11"/>
        <color theme="1"/>
        <rFont val="微软雅黑"/>
        <family val="2"/>
      </rPr>
      <t>将</t>
    </r>
    <r>
      <rPr>
        <sz val="11"/>
        <color theme="1"/>
        <rFont val="Calibri"/>
        <family val="2"/>
      </rPr>
      <t>STRESC</t>
    </r>
    <r>
      <rPr>
        <sz val="11"/>
        <color theme="1"/>
        <rFont val="微软雅黑"/>
        <family val="2"/>
      </rPr>
      <t>转换为数值型</t>
    </r>
    <phoneticPr fontId="67" type="noConversion"/>
  </si>
  <si>
    <r>
      <rPr>
        <sz val="11"/>
        <color theme="1"/>
        <rFont val="微软雅黑"/>
        <family val="2"/>
      </rPr>
      <t>标准化单位</t>
    </r>
  </si>
  <si>
    <r>
      <rPr>
        <sz val="11"/>
        <color theme="1"/>
        <rFont val="微软雅黑"/>
        <family val="2"/>
      </rPr>
      <t>与</t>
    </r>
    <r>
      <rPr>
        <sz val="11"/>
        <color theme="1"/>
        <rFont val="Calibri"/>
        <family val="2"/>
      </rPr>
      <t>ORRESU</t>
    </r>
    <r>
      <rPr>
        <sz val="11"/>
        <color theme="1"/>
        <rFont val="微软雅黑"/>
        <family val="2"/>
      </rPr>
      <t>匹配</t>
    </r>
    <phoneticPr fontId="67" type="noConversion"/>
  </si>
  <si>
    <r>
      <rPr>
        <sz val="11"/>
        <color theme="1"/>
        <rFont val="微软雅黑"/>
        <family val="2"/>
      </rPr>
      <t>未做状态</t>
    </r>
  </si>
  <si>
    <r>
      <rPr>
        <sz val="11"/>
        <color theme="1"/>
        <rFont val="微软雅黑"/>
        <family val="2"/>
      </rPr>
      <t>未做原因</t>
    </r>
  </si>
  <si>
    <r>
      <rPr>
        <sz val="11"/>
        <color theme="1"/>
        <rFont val="微软雅黑"/>
        <family val="2"/>
      </rPr>
      <t>访视编号</t>
    </r>
  </si>
  <si>
    <r>
      <rPr>
        <sz val="11"/>
        <color theme="1"/>
        <rFont val="微软雅黑"/>
        <family val="2"/>
      </rPr>
      <t>与</t>
    </r>
    <r>
      <rPr>
        <sz val="11"/>
        <color theme="1"/>
        <rFont val="Calibri"/>
        <family val="2"/>
      </rPr>
      <t>TV.VISITNUM</t>
    </r>
    <r>
      <rPr>
        <sz val="11"/>
        <color theme="1"/>
        <rFont val="微软雅黑"/>
        <family val="2"/>
      </rPr>
      <t>匹配</t>
    </r>
    <phoneticPr fontId="67" type="noConversion"/>
  </si>
  <si>
    <r>
      <rPr>
        <sz val="11"/>
        <color theme="1"/>
        <rFont val="微软雅黑"/>
        <family val="2"/>
      </rPr>
      <t>访视名称</t>
    </r>
  </si>
  <si>
    <r>
      <rPr>
        <sz val="11"/>
        <color theme="1"/>
        <rFont val="微软雅黑"/>
        <family val="2"/>
      </rPr>
      <t>与</t>
    </r>
    <r>
      <rPr>
        <sz val="11"/>
        <color theme="1"/>
        <rFont val="Calibri"/>
        <family val="2"/>
      </rPr>
      <t>TV.VISIT</t>
    </r>
    <r>
      <rPr>
        <sz val="11"/>
        <color theme="1"/>
        <rFont val="微软雅黑"/>
        <family val="2"/>
      </rPr>
      <t>匹配</t>
    </r>
    <phoneticPr fontId="67" type="noConversion"/>
  </si>
  <si>
    <r>
      <rPr>
        <sz val="11"/>
        <color rgb="FF000000"/>
        <rFont val="微软雅黑"/>
        <family val="2"/>
      </rPr>
      <t>时期</t>
    </r>
  </si>
  <si>
    <r>
      <t>DTC</t>
    </r>
    <r>
      <rPr>
        <sz val="11"/>
        <color rgb="FF000000"/>
        <rFont val="微软雅黑"/>
        <family val="2"/>
      </rPr>
      <t>早于</t>
    </r>
    <r>
      <rPr>
        <sz val="11"/>
        <color rgb="FF000000"/>
        <rFont val="Calibri"/>
        <family val="2"/>
      </rPr>
      <t>RFXSTDTC</t>
    </r>
    <r>
      <rPr>
        <sz val="11"/>
        <color rgb="FF000000"/>
        <rFont val="微软雅黑"/>
        <family val="2"/>
      </rPr>
      <t>则填充为</t>
    </r>
    <r>
      <rPr>
        <sz val="11"/>
        <color rgb="FF000000"/>
        <rFont val="Calibri"/>
        <family val="2"/>
      </rPr>
      <t>"SCREENING";DTC</t>
    </r>
    <r>
      <rPr>
        <sz val="11"/>
        <color rgb="FF000000"/>
        <rFont val="微软雅黑"/>
        <family val="2"/>
      </rPr>
      <t>晚于或等于</t>
    </r>
    <r>
      <rPr>
        <sz val="11"/>
        <color rgb="FF000000"/>
        <rFont val="Calibri"/>
        <family val="2"/>
      </rPr>
      <t>RFXSTDTC</t>
    </r>
    <r>
      <rPr>
        <sz val="11"/>
        <color rgb="FF000000"/>
        <rFont val="微软雅黑"/>
        <family val="2"/>
      </rPr>
      <t>，早于或小于</t>
    </r>
    <r>
      <rPr>
        <sz val="11"/>
        <color rgb="FF000000"/>
        <rFont val="Calibri"/>
        <family val="2"/>
      </rPr>
      <t>RFXENDTC</t>
    </r>
    <r>
      <rPr>
        <sz val="11"/>
        <color rgb="FF000000"/>
        <rFont val="微软雅黑"/>
        <family val="2"/>
      </rPr>
      <t>则填充为</t>
    </r>
    <r>
      <rPr>
        <sz val="11"/>
        <color rgb="FF000000"/>
        <rFont val="Calibri"/>
        <family val="2"/>
      </rPr>
      <t>"TREATMENT";DTC</t>
    </r>
    <r>
      <rPr>
        <sz val="11"/>
        <color rgb="FF000000"/>
        <rFont val="微软雅黑"/>
        <family val="2"/>
      </rPr>
      <t>晚于</t>
    </r>
    <r>
      <rPr>
        <sz val="11"/>
        <color rgb="FF000000"/>
        <rFont val="Calibri"/>
        <family val="2"/>
      </rPr>
      <t>RFENDTC</t>
    </r>
    <r>
      <rPr>
        <sz val="11"/>
        <color rgb="FF000000"/>
        <rFont val="微软雅黑"/>
        <family val="2"/>
      </rPr>
      <t>则填充为</t>
    </r>
    <r>
      <rPr>
        <sz val="11"/>
        <color rgb="FF000000"/>
        <rFont val="Calibri"/>
        <family val="2"/>
      </rPr>
      <t>"FOLLOW-UP";</t>
    </r>
    <phoneticPr fontId="67" type="noConversion"/>
  </si>
  <si>
    <r>
      <rPr>
        <sz val="11"/>
        <color theme="1"/>
        <rFont val="微软雅黑"/>
        <family val="2"/>
      </rPr>
      <t>检查日期</t>
    </r>
    <r>
      <rPr>
        <sz val="11"/>
        <color theme="1"/>
        <rFont val="Calibri"/>
        <family val="2"/>
      </rPr>
      <t>/</t>
    </r>
    <r>
      <rPr>
        <sz val="11"/>
        <color theme="1"/>
        <rFont val="微软雅黑"/>
        <family val="2"/>
      </rPr>
      <t>时间</t>
    </r>
  </si>
  <si>
    <r>
      <rPr>
        <sz val="11"/>
        <color theme="1"/>
        <rFont val="微软雅黑"/>
        <family val="2"/>
      </rPr>
      <t>将</t>
    </r>
    <r>
      <rPr>
        <sz val="11"/>
        <color theme="1"/>
        <rFont val="Calibri"/>
        <family val="2"/>
      </rPr>
      <t>CRF</t>
    </r>
    <r>
      <rPr>
        <sz val="11"/>
        <color theme="1"/>
        <rFont val="微软雅黑"/>
        <family val="2"/>
      </rPr>
      <t>中记录的日期和时间通过</t>
    </r>
    <r>
      <rPr>
        <sz val="11"/>
        <color theme="1"/>
        <rFont val="Calibri"/>
        <family val="2"/>
      </rPr>
      <t>"T"</t>
    </r>
    <r>
      <rPr>
        <sz val="11"/>
        <color theme="1"/>
        <rFont val="微软雅黑"/>
        <family val="2"/>
      </rPr>
      <t>连接起来</t>
    </r>
    <phoneticPr fontId="67" type="noConversion"/>
  </si>
  <si>
    <r>
      <rPr>
        <sz val="11"/>
        <color theme="1"/>
        <rFont val="微软雅黑"/>
        <family val="2"/>
      </rPr>
      <t>检查日</t>
    </r>
  </si>
  <si>
    <r>
      <rPr>
        <sz val="11"/>
        <color theme="1"/>
        <rFont val="微软雅黑"/>
        <family val="2"/>
      </rPr>
      <t>计划时间点</t>
    </r>
    <phoneticPr fontId="67" type="noConversion"/>
  </si>
  <si>
    <r>
      <rPr>
        <sz val="11"/>
        <color theme="1"/>
        <rFont val="微软雅黑"/>
        <family val="2"/>
      </rPr>
      <t>计划时间点数值</t>
    </r>
    <phoneticPr fontId="67" type="noConversion"/>
  </si>
  <si>
    <r>
      <rPr>
        <sz val="11"/>
        <color theme="1"/>
        <rFont val="微软雅黑"/>
        <family val="2"/>
      </rPr>
      <t>临床情况详述</t>
    </r>
  </si>
  <si>
    <r>
      <rPr>
        <sz val="11"/>
        <color theme="1"/>
        <rFont val="微软雅黑"/>
        <family val="2"/>
      </rPr>
      <t>临床情况详述</t>
    </r>
    <r>
      <rPr>
        <sz val="11"/>
        <color theme="1"/>
        <rFont val="Calibri"/>
        <family val="2"/>
      </rPr>
      <t>1</t>
    </r>
    <phoneticPr fontId="67" type="noConversion"/>
  </si>
  <si>
    <r>
      <rPr>
        <sz val="11"/>
        <color theme="1"/>
        <rFont val="等线"/>
        <family val="3"/>
        <charset val="134"/>
      </rPr>
      <t>相关性</t>
    </r>
    <phoneticPr fontId="67" type="noConversion"/>
  </si>
  <si>
    <r>
      <rPr>
        <sz val="11"/>
        <color theme="1"/>
        <rFont val="微软雅黑"/>
        <family val="3"/>
        <charset val="134"/>
      </rPr>
      <t>实验室</t>
    </r>
    <r>
      <rPr>
        <sz val="11"/>
        <color theme="1"/>
        <rFont val="Calibri"/>
        <family val="2"/>
      </rPr>
      <t>/</t>
    </r>
    <r>
      <rPr>
        <sz val="11"/>
        <color theme="1"/>
        <rFont val="微软雅黑"/>
        <family val="3"/>
        <charset val="134"/>
      </rPr>
      <t>供应商名称</t>
    </r>
  </si>
  <si>
    <r>
      <rPr>
        <sz val="11"/>
        <color theme="1"/>
        <rFont val="微软雅黑"/>
        <family val="3"/>
        <charset val="134"/>
      </rPr>
      <t>样本类型</t>
    </r>
  </si>
  <si>
    <r>
      <rPr>
        <sz val="11"/>
        <color theme="1"/>
        <rFont val="微软雅黑"/>
        <family val="3"/>
        <charset val="134"/>
      </rPr>
      <t>定量下限</t>
    </r>
  </si>
  <si>
    <r>
      <rPr>
        <sz val="11"/>
        <color theme="1"/>
        <rFont val="微软雅黑"/>
        <family val="3"/>
        <charset val="134"/>
      </rPr>
      <t>采集日期</t>
    </r>
    <r>
      <rPr>
        <sz val="11"/>
        <color theme="1"/>
        <rFont val="Calibri"/>
        <family val="2"/>
      </rPr>
      <t>/</t>
    </r>
    <r>
      <rPr>
        <sz val="11"/>
        <color theme="1"/>
        <rFont val="微软雅黑"/>
        <family val="3"/>
        <charset val="134"/>
      </rPr>
      <t>时间</t>
    </r>
  </si>
  <si>
    <r>
      <rPr>
        <sz val="11"/>
        <color theme="1"/>
        <rFont val="微软雅黑"/>
        <family val="3"/>
        <charset val="134"/>
      </rPr>
      <t>采集日</t>
    </r>
  </si>
  <si>
    <r>
      <rPr>
        <sz val="11"/>
        <color theme="1"/>
        <rFont val="微软雅黑"/>
        <family val="3"/>
        <charset val="134"/>
      </rPr>
      <t>计划时点名称</t>
    </r>
  </si>
  <si>
    <r>
      <rPr>
        <sz val="11"/>
        <color theme="1"/>
        <rFont val="微软雅黑"/>
        <family val="3"/>
        <charset val="134"/>
      </rPr>
      <t>计划时点编号</t>
    </r>
  </si>
  <si>
    <r>
      <rPr>
        <sz val="11"/>
        <color theme="1"/>
        <rFont val="微软雅黑"/>
        <family val="3"/>
        <charset val="134"/>
      </rPr>
      <t>与</t>
    </r>
    <r>
      <rPr>
        <sz val="11"/>
        <color theme="1"/>
        <rFont val="Calibri"/>
        <family val="2"/>
      </rPr>
      <t>TPT</t>
    </r>
    <r>
      <rPr>
        <sz val="11"/>
        <color theme="1"/>
        <rFont val="微软雅黑"/>
        <family val="3"/>
        <charset val="134"/>
      </rPr>
      <t>匹配</t>
    </r>
    <phoneticPr fontId="67" type="noConversion"/>
  </si>
  <si>
    <r>
      <rPr>
        <sz val="11"/>
        <color theme="1"/>
        <rFont val="微软雅黑"/>
        <family val="3"/>
        <charset val="134"/>
      </rPr>
      <t>参照时点</t>
    </r>
  </si>
  <si>
    <r>
      <rPr>
        <sz val="11"/>
        <color theme="1"/>
        <rFont val="微软雅黑"/>
        <family val="3"/>
        <charset val="134"/>
      </rPr>
      <t>根据方案规定采血点填写</t>
    </r>
    <phoneticPr fontId="67" type="noConversion"/>
  </si>
  <si>
    <r>
      <rPr>
        <sz val="11"/>
        <color theme="1"/>
        <rFont val="微软雅黑"/>
        <family val="3"/>
        <charset val="134"/>
      </rPr>
      <t>参照时点日期</t>
    </r>
    <r>
      <rPr>
        <sz val="11"/>
        <color theme="1"/>
        <rFont val="Calibri"/>
        <family val="2"/>
      </rPr>
      <t>/</t>
    </r>
    <r>
      <rPr>
        <sz val="11"/>
        <color theme="1"/>
        <rFont val="微软雅黑"/>
        <family val="3"/>
        <charset val="134"/>
      </rPr>
      <t>时间</t>
    </r>
  </si>
  <si>
    <r>
      <rPr>
        <sz val="11"/>
        <color theme="1"/>
        <rFont val="微软雅黑"/>
        <family val="2"/>
      </rPr>
      <t>自定义标识符</t>
    </r>
  </si>
  <si>
    <r>
      <rPr>
        <sz val="11"/>
        <color theme="1"/>
        <rFont val="微软雅黑"/>
        <family val="2"/>
      </rPr>
      <t>检测项简称</t>
    </r>
  </si>
  <si>
    <r>
      <rPr>
        <sz val="11"/>
        <color theme="1"/>
        <rFont val="微软雅黑"/>
        <family val="2"/>
      </rPr>
      <t>检测项名称</t>
    </r>
  </si>
  <si>
    <r>
      <rPr>
        <sz val="11"/>
        <color theme="1"/>
        <rFont val="微软雅黑"/>
        <family val="2"/>
      </rPr>
      <t>原始正常值范围下限</t>
    </r>
  </si>
  <si>
    <r>
      <rPr>
        <sz val="11"/>
        <color theme="1"/>
        <rFont val="微软雅黑"/>
        <family val="2"/>
      </rPr>
      <t>原始正常值范围上限</t>
    </r>
  </si>
  <si>
    <r>
      <rPr>
        <sz val="11"/>
        <color theme="1"/>
        <rFont val="微软雅黑"/>
        <family val="2"/>
      </rPr>
      <t>标准化正常值范围下限</t>
    </r>
  </si>
  <si>
    <r>
      <rPr>
        <sz val="11"/>
        <color theme="1"/>
        <rFont val="微软雅黑"/>
        <family val="2"/>
      </rPr>
      <t>由检测单位制定正常值范围的下限</t>
    </r>
    <phoneticPr fontId="67" type="noConversion"/>
  </si>
  <si>
    <r>
      <rPr>
        <sz val="11"/>
        <color theme="1"/>
        <rFont val="微软雅黑"/>
        <family val="2"/>
      </rPr>
      <t>标准化正常值范围上限</t>
    </r>
  </si>
  <si>
    <r>
      <rPr>
        <sz val="11"/>
        <color theme="1"/>
        <rFont val="微软雅黑"/>
        <family val="2"/>
      </rPr>
      <t>由检测单位制定正常值范围的上限</t>
    </r>
    <phoneticPr fontId="67" type="noConversion"/>
  </si>
  <si>
    <r>
      <rPr>
        <sz val="11"/>
        <color theme="1"/>
        <rFont val="微软雅黑"/>
        <family val="2"/>
      </rPr>
      <t>相对参考范围指示符</t>
    </r>
  </si>
  <si>
    <r>
      <rPr>
        <sz val="11"/>
        <color theme="1"/>
        <rFont val="微软雅黑"/>
        <family val="2"/>
      </rPr>
      <t>通过结果值与上下限比较得到</t>
    </r>
    <r>
      <rPr>
        <sz val="11"/>
        <color theme="1"/>
        <rFont val="Calibri"/>
        <family val="2"/>
      </rPr>
      <t>"HIGH"</t>
    </r>
    <r>
      <rPr>
        <sz val="11"/>
        <color theme="1"/>
        <rFont val="微软雅黑"/>
        <family val="2"/>
      </rPr>
      <t>、</t>
    </r>
    <r>
      <rPr>
        <sz val="11"/>
        <color theme="1"/>
        <rFont val="Calibri"/>
        <family val="2"/>
      </rPr>
      <t>"NORMAL"</t>
    </r>
    <r>
      <rPr>
        <sz val="11"/>
        <color theme="1"/>
        <rFont val="微软雅黑"/>
        <family val="2"/>
      </rPr>
      <t>、</t>
    </r>
    <r>
      <rPr>
        <sz val="11"/>
        <color theme="1"/>
        <rFont val="Calibri"/>
        <family val="2"/>
      </rPr>
      <t>"LOW"</t>
    </r>
    <phoneticPr fontId="67" type="noConversion"/>
  </si>
  <si>
    <r>
      <rPr>
        <sz val="11"/>
        <color theme="1"/>
        <rFont val="微软雅黑"/>
        <family val="2"/>
      </rPr>
      <t>实验室</t>
    </r>
    <r>
      <rPr>
        <sz val="11"/>
        <color theme="1"/>
        <rFont val="Calibri"/>
        <family val="2"/>
      </rPr>
      <t>/</t>
    </r>
    <r>
      <rPr>
        <sz val="11"/>
        <color theme="1"/>
        <rFont val="微软雅黑"/>
        <family val="2"/>
      </rPr>
      <t>供应商名称</t>
    </r>
  </si>
  <si>
    <r>
      <rPr>
        <sz val="11"/>
        <color theme="1"/>
        <rFont val="微软雅黑"/>
        <family val="2"/>
      </rPr>
      <t>样本类型</t>
    </r>
  </si>
  <si>
    <r>
      <rPr>
        <sz val="11"/>
        <color theme="1"/>
        <rFont val="微软雅黑"/>
        <family val="2"/>
      </rPr>
      <t>检测方法</t>
    </r>
  </si>
  <si>
    <r>
      <rPr>
        <sz val="11"/>
        <color theme="1"/>
        <rFont val="微软雅黑"/>
        <family val="2"/>
      </rPr>
      <t>定量下限</t>
    </r>
  </si>
  <si>
    <r>
      <rPr>
        <sz val="11"/>
        <color theme="1"/>
        <rFont val="微软雅黑"/>
        <family val="2"/>
      </rPr>
      <t>采集日期</t>
    </r>
    <r>
      <rPr>
        <sz val="11"/>
        <color theme="1"/>
        <rFont val="Calibri"/>
        <family val="2"/>
      </rPr>
      <t>/</t>
    </r>
    <r>
      <rPr>
        <sz val="11"/>
        <color theme="1"/>
        <rFont val="微软雅黑"/>
        <family val="2"/>
      </rPr>
      <t>时间</t>
    </r>
  </si>
  <si>
    <r>
      <rPr>
        <sz val="11"/>
        <color theme="1"/>
        <rFont val="微软雅黑"/>
        <family val="2"/>
      </rPr>
      <t>采集日</t>
    </r>
  </si>
  <si>
    <r>
      <rPr>
        <sz val="11"/>
        <color theme="1"/>
        <rFont val="微软雅黑"/>
        <family val="2"/>
      </rPr>
      <t>计划时点名称</t>
    </r>
  </si>
  <si>
    <r>
      <rPr>
        <sz val="11"/>
        <color theme="1"/>
        <rFont val="微软雅黑"/>
        <family val="2"/>
      </rPr>
      <t>计划时点编号</t>
    </r>
  </si>
  <si>
    <r>
      <rPr>
        <sz val="11"/>
        <color theme="1"/>
        <rFont val="微软雅黑"/>
        <family val="2"/>
      </rPr>
      <t>与</t>
    </r>
    <r>
      <rPr>
        <sz val="11"/>
        <color theme="1"/>
        <rFont val="Calibri"/>
        <family val="2"/>
      </rPr>
      <t>TPT</t>
    </r>
    <r>
      <rPr>
        <sz val="11"/>
        <color theme="1"/>
        <rFont val="微软雅黑"/>
        <family val="2"/>
      </rPr>
      <t>匹配</t>
    </r>
    <phoneticPr fontId="67" type="noConversion"/>
  </si>
  <si>
    <r>
      <rPr>
        <sz val="11"/>
        <color theme="1"/>
        <rFont val="微软雅黑"/>
        <family val="2"/>
      </rPr>
      <t>参照时点</t>
    </r>
  </si>
  <si>
    <r>
      <rPr>
        <sz val="11"/>
        <color theme="1"/>
        <rFont val="微软雅黑"/>
        <family val="2"/>
      </rPr>
      <t>根据方案规定采血点填写</t>
    </r>
    <phoneticPr fontId="67" type="noConversion"/>
  </si>
  <si>
    <r>
      <rPr>
        <sz val="11"/>
        <color theme="1"/>
        <rFont val="微软雅黑"/>
        <family val="2"/>
      </rPr>
      <t>参照时点日期</t>
    </r>
    <r>
      <rPr>
        <sz val="11"/>
        <color theme="1"/>
        <rFont val="Calibri"/>
        <family val="2"/>
      </rPr>
      <t>/</t>
    </r>
    <r>
      <rPr>
        <sz val="11"/>
        <color theme="1"/>
        <rFont val="微软雅黑"/>
        <family val="2"/>
      </rPr>
      <t>时间</t>
    </r>
  </si>
  <si>
    <r>
      <rPr>
        <sz val="11"/>
        <color theme="1"/>
        <rFont val="微软雅黑"/>
        <family val="2"/>
      </rPr>
      <t>计划采血点</t>
    </r>
  </si>
  <si>
    <r>
      <rPr>
        <sz val="11"/>
        <color theme="1"/>
        <rFont val="微软雅黑"/>
        <family val="2"/>
      </rPr>
      <t>计划采血点数值型</t>
    </r>
  </si>
  <si>
    <r>
      <rPr>
        <sz val="11"/>
        <color theme="1"/>
        <rFont val="微软雅黑"/>
        <family val="2"/>
      </rPr>
      <t>备注</t>
    </r>
  </si>
  <si>
    <r>
      <rPr>
        <sz val="11"/>
        <color theme="1"/>
        <rFont val="微软雅黑"/>
        <family val="2"/>
      </rPr>
      <t>方案偏离报告名称</t>
    </r>
  </si>
  <si>
    <r>
      <rPr>
        <sz val="11"/>
        <color theme="1"/>
        <rFont val="微软雅黑"/>
        <family val="2"/>
      </rPr>
      <t>方案偏离报告名称</t>
    </r>
    <r>
      <rPr>
        <sz val="11"/>
        <color theme="1"/>
        <rFont val="Calibri"/>
        <family val="2"/>
      </rPr>
      <t>1</t>
    </r>
    <phoneticPr fontId="67" type="noConversion"/>
  </si>
  <si>
    <r>
      <rPr>
        <sz val="11"/>
        <color theme="1"/>
        <rFont val="微软雅黑"/>
        <family val="2"/>
      </rPr>
      <t>方案偏离报告名称</t>
    </r>
    <r>
      <rPr>
        <sz val="11"/>
        <color theme="1"/>
        <rFont val="Calibri"/>
        <family val="2"/>
      </rPr>
      <t>2</t>
    </r>
    <phoneticPr fontId="67" type="noConversion"/>
  </si>
  <si>
    <r>
      <rPr>
        <sz val="11"/>
        <color theme="1"/>
        <rFont val="微软雅黑"/>
        <family val="2"/>
      </rPr>
      <t>方案偏离报告名称</t>
    </r>
    <r>
      <rPr>
        <sz val="11"/>
        <color theme="1"/>
        <rFont val="Calibri"/>
        <family val="2"/>
      </rPr>
      <t>3</t>
    </r>
    <phoneticPr fontId="67" type="noConversion"/>
  </si>
  <si>
    <r>
      <rPr>
        <sz val="11"/>
        <color theme="1"/>
        <rFont val="微软雅黑"/>
        <family val="2"/>
      </rPr>
      <t>方案偏离报告名称</t>
    </r>
    <r>
      <rPr>
        <sz val="11"/>
        <color theme="1"/>
        <rFont val="Calibri"/>
        <family val="2"/>
      </rPr>
      <t>4</t>
    </r>
    <phoneticPr fontId="67" type="noConversion"/>
  </si>
  <si>
    <r>
      <rPr>
        <sz val="11"/>
        <color theme="1"/>
        <rFont val="微软雅黑"/>
        <family val="2"/>
      </rPr>
      <t>开始日期</t>
    </r>
    <r>
      <rPr>
        <sz val="11"/>
        <color theme="1"/>
        <rFont val="Calibri"/>
        <family val="2"/>
      </rPr>
      <t>/</t>
    </r>
    <r>
      <rPr>
        <sz val="11"/>
        <color theme="1"/>
        <rFont val="微软雅黑"/>
        <family val="2"/>
      </rPr>
      <t>时间</t>
    </r>
  </si>
  <si>
    <r>
      <rPr>
        <sz val="11"/>
        <color theme="1"/>
        <rFont val="微软雅黑"/>
        <family val="2"/>
      </rPr>
      <t>开始日</t>
    </r>
    <phoneticPr fontId="67" type="noConversion"/>
  </si>
  <si>
    <r>
      <t>PD</t>
    </r>
    <r>
      <rPr>
        <sz val="11"/>
        <color theme="1"/>
        <rFont val="微软雅黑"/>
        <family val="2"/>
      </rPr>
      <t>分级</t>
    </r>
    <r>
      <rPr>
        <sz val="11"/>
        <color theme="1"/>
        <rFont val="Calibri"/>
        <family val="2"/>
      </rPr>
      <t>(</t>
    </r>
    <r>
      <rPr>
        <sz val="11"/>
        <color theme="1"/>
        <rFont val="微软雅黑"/>
        <family val="2"/>
      </rPr>
      <t>严重程度</t>
    </r>
    <r>
      <rPr>
        <sz val="11"/>
        <color theme="1"/>
        <rFont val="Calibri"/>
        <family val="2"/>
      </rPr>
      <t>)</t>
    </r>
    <phoneticPr fontId="67" type="noConversion"/>
  </si>
  <si>
    <r>
      <t>PD</t>
    </r>
    <r>
      <rPr>
        <sz val="11"/>
        <color theme="1"/>
        <rFont val="微软雅黑"/>
        <family val="2"/>
      </rPr>
      <t>处理情况</t>
    </r>
  </si>
  <si>
    <r>
      <t>PD</t>
    </r>
    <r>
      <rPr>
        <sz val="11"/>
        <color theme="1"/>
        <rFont val="微软雅黑"/>
        <family val="2"/>
      </rPr>
      <t>处理情况</t>
    </r>
    <r>
      <rPr>
        <sz val="11"/>
        <color theme="1"/>
        <rFont val="Calibri"/>
        <family val="2"/>
      </rPr>
      <t>1</t>
    </r>
    <phoneticPr fontId="67" type="noConversion"/>
  </si>
  <si>
    <r>
      <t>PD</t>
    </r>
    <r>
      <rPr>
        <sz val="11"/>
        <color theme="1"/>
        <rFont val="微软雅黑"/>
        <family val="2"/>
      </rPr>
      <t>处理情况</t>
    </r>
    <r>
      <rPr>
        <sz val="11"/>
        <color theme="1"/>
        <rFont val="Calibri"/>
        <family val="2"/>
      </rPr>
      <t>2</t>
    </r>
    <phoneticPr fontId="67" type="noConversion"/>
  </si>
  <si>
    <r>
      <t>PD</t>
    </r>
    <r>
      <rPr>
        <sz val="11"/>
        <color theme="1"/>
        <rFont val="微软雅黑"/>
        <family val="2"/>
      </rPr>
      <t>发生访视</t>
    </r>
    <r>
      <rPr>
        <sz val="11"/>
        <color theme="1"/>
        <rFont val="Calibri"/>
        <family val="2"/>
      </rPr>
      <t>3</t>
    </r>
    <phoneticPr fontId="67" type="noConversion"/>
  </si>
  <si>
    <r>
      <rPr>
        <sz val="11"/>
        <color theme="1"/>
        <rFont val="微软雅黑"/>
        <family val="2"/>
      </rPr>
      <t>记录日期</t>
    </r>
  </si>
  <si>
    <r>
      <rPr>
        <sz val="11"/>
        <color theme="1"/>
        <rFont val="微软雅黑"/>
        <family val="2"/>
      </rPr>
      <t>研究中心编号</t>
    </r>
  </si>
  <si>
    <r>
      <rPr>
        <sz val="11"/>
        <color theme="1"/>
        <rFont val="微软雅黑"/>
        <family val="2"/>
      </rPr>
      <t>研究中心名称</t>
    </r>
  </si>
  <si>
    <r>
      <rPr>
        <sz val="11"/>
        <color theme="1"/>
        <rFont val="微软雅黑"/>
        <family val="3"/>
        <charset val="134"/>
      </rPr>
      <t>状态简称</t>
    </r>
  </si>
  <si>
    <r>
      <rPr>
        <sz val="11"/>
        <color theme="1"/>
        <rFont val="微软雅黑"/>
        <family val="3"/>
        <charset val="134"/>
      </rPr>
      <t>状态名称</t>
    </r>
  </si>
  <si>
    <r>
      <rPr>
        <sz val="11"/>
        <color theme="1"/>
        <rFont val="微软雅黑"/>
        <family val="3"/>
        <charset val="134"/>
      </rPr>
      <t>随访方式</t>
    </r>
    <phoneticPr fontId="67" type="noConversion"/>
  </si>
  <si>
    <r>
      <rPr>
        <sz val="11"/>
        <color theme="1"/>
        <rFont val="微软雅黑"/>
        <family val="3"/>
        <charset val="134"/>
      </rPr>
      <t>被随访人员</t>
    </r>
    <phoneticPr fontId="67" type="noConversion"/>
  </si>
  <si>
    <r>
      <rPr>
        <sz val="11"/>
        <color theme="1"/>
        <rFont val="微软雅黑"/>
        <family val="3"/>
        <charset val="134"/>
      </rPr>
      <t>最终确定存活日期</t>
    </r>
    <phoneticPr fontId="67" type="noConversion"/>
  </si>
  <si>
    <r>
      <rPr>
        <sz val="11"/>
        <color theme="1"/>
        <rFont val="微软雅黑"/>
        <family val="3"/>
        <charset val="134"/>
      </rPr>
      <t>评估项简称</t>
    </r>
  </si>
  <si>
    <r>
      <rPr>
        <sz val="11"/>
        <color theme="1"/>
        <rFont val="微软雅黑"/>
        <family val="3"/>
        <charset val="134"/>
      </rPr>
      <t>与</t>
    </r>
    <r>
      <rPr>
        <sz val="11"/>
        <color theme="1"/>
        <rFont val="Calibri"/>
        <family val="2"/>
      </rPr>
      <t>TEST</t>
    </r>
    <r>
      <rPr>
        <sz val="11"/>
        <color theme="1"/>
        <rFont val="微软雅黑"/>
        <family val="3"/>
        <charset val="134"/>
      </rPr>
      <t>匹配</t>
    </r>
    <phoneticPr fontId="67" type="noConversion"/>
  </si>
  <si>
    <r>
      <rPr>
        <sz val="11"/>
        <color theme="1"/>
        <rFont val="微软雅黑"/>
        <family val="3"/>
        <charset val="134"/>
      </rPr>
      <t>评估项名称</t>
    </r>
  </si>
  <si>
    <r>
      <rPr>
        <sz val="11"/>
        <color theme="1"/>
        <rFont val="微软雅黑"/>
        <family val="3"/>
        <charset val="134"/>
      </rPr>
      <t>如果无</t>
    </r>
    <r>
      <rPr>
        <sz val="11"/>
        <color theme="1"/>
        <rFont val="Calibri"/>
        <family val="2"/>
      </rPr>
      <t>irecist</t>
    </r>
    <r>
      <rPr>
        <sz val="11"/>
        <color theme="1"/>
        <rFont val="微软雅黑"/>
        <family val="3"/>
        <charset val="134"/>
      </rPr>
      <t>结果则填充</t>
    </r>
    <r>
      <rPr>
        <sz val="11"/>
        <color theme="1"/>
        <rFont val="Calibri"/>
        <family val="2"/>
      </rPr>
      <t>"NOT DONE"</t>
    </r>
    <phoneticPr fontId="67" type="noConversion"/>
  </si>
  <si>
    <r>
      <rPr>
        <sz val="11"/>
        <color theme="1"/>
        <rFont val="微软雅黑"/>
        <family val="3"/>
        <charset val="134"/>
      </rPr>
      <t>如果无</t>
    </r>
    <r>
      <rPr>
        <sz val="11"/>
        <color theme="1"/>
        <rFont val="Calibri"/>
        <family val="2"/>
      </rPr>
      <t>irecist</t>
    </r>
    <r>
      <rPr>
        <sz val="11"/>
        <color theme="1"/>
        <rFont val="微软雅黑"/>
        <family val="3"/>
        <charset val="134"/>
      </rPr>
      <t>结果则</t>
    </r>
    <r>
      <rPr>
        <sz val="11"/>
        <color theme="1"/>
        <rFont val="Calibri"/>
        <family val="2"/>
      </rPr>
      <t>"</t>
    </r>
    <r>
      <rPr>
        <sz val="11"/>
        <color theme="1"/>
        <rFont val="微软雅黑"/>
        <family val="3"/>
        <charset val="134"/>
      </rPr>
      <t>受试者进行评价时执行方案版本未要求进行</t>
    </r>
    <r>
      <rPr>
        <sz val="11"/>
        <color theme="1"/>
        <rFont val="Calibri"/>
        <family val="2"/>
      </rPr>
      <t>iRECIST</t>
    </r>
    <r>
      <rPr>
        <sz val="11"/>
        <color theme="1"/>
        <rFont val="微软雅黑"/>
        <family val="3"/>
        <charset val="134"/>
      </rPr>
      <t>评价</t>
    </r>
    <r>
      <rPr>
        <sz val="11"/>
        <color theme="1"/>
        <rFont val="Calibri"/>
        <family val="2"/>
      </rPr>
      <t>"</t>
    </r>
    <r>
      <rPr>
        <sz val="11"/>
        <color theme="1"/>
        <rFont val="微软雅黑"/>
        <family val="3"/>
        <charset val="134"/>
      </rPr>
      <t>进行说明解释</t>
    </r>
    <phoneticPr fontId="67" type="noConversion"/>
  </si>
  <si>
    <r>
      <rPr>
        <sz val="11"/>
        <color theme="1"/>
        <rFont val="微软雅黑"/>
        <family val="3"/>
        <charset val="134"/>
      </rPr>
      <t>评估者</t>
    </r>
    <phoneticPr fontId="67" type="noConversion"/>
  </si>
  <si>
    <r>
      <rPr>
        <sz val="11"/>
        <color theme="1"/>
        <rFont val="微软雅黑"/>
        <family val="3"/>
        <charset val="134"/>
      </rPr>
      <t>设为</t>
    </r>
    <r>
      <rPr>
        <sz val="11"/>
        <color theme="1"/>
        <rFont val="Calibri"/>
        <family val="2"/>
      </rPr>
      <t>“</t>
    </r>
    <r>
      <rPr>
        <sz val="11"/>
        <color theme="1"/>
        <rFont val="微软雅黑"/>
        <family val="3"/>
        <charset val="134"/>
      </rPr>
      <t>研究者</t>
    </r>
    <r>
      <rPr>
        <sz val="11"/>
        <color theme="1"/>
        <rFont val="Calibri"/>
        <family val="2"/>
      </rPr>
      <t>”</t>
    </r>
  </si>
  <si>
    <r>
      <rPr>
        <sz val="11"/>
        <color theme="1"/>
        <rFont val="微软雅黑"/>
        <family val="3"/>
        <charset val="134"/>
      </rPr>
      <t>与</t>
    </r>
    <r>
      <rPr>
        <sz val="11"/>
        <color theme="1"/>
        <rFont val="Calibri"/>
        <family val="2"/>
      </rPr>
      <t>TPT</t>
    </r>
    <r>
      <rPr>
        <sz val="11"/>
        <color theme="1"/>
        <rFont val="微软雅黑"/>
        <family val="3"/>
        <charset val="134"/>
      </rPr>
      <t>的时间先后顺序匹配数值序号</t>
    </r>
    <phoneticPr fontId="67" type="noConversion"/>
  </si>
  <si>
    <r>
      <rPr>
        <sz val="11"/>
        <color theme="1"/>
        <rFont val="微软雅黑"/>
        <family val="3"/>
        <charset val="134"/>
      </rPr>
      <t>时期</t>
    </r>
  </si>
  <si>
    <r>
      <rPr>
        <sz val="11"/>
        <color theme="1"/>
        <rFont val="微软雅黑"/>
        <family val="3"/>
        <charset val="134"/>
      </rPr>
      <t>组合</t>
    </r>
    <r>
      <rPr>
        <sz val="11"/>
        <color theme="1"/>
        <rFont val="Calibri"/>
        <family val="2"/>
      </rPr>
      <t>ID</t>
    </r>
  </si>
  <si>
    <r>
      <rPr>
        <sz val="11"/>
        <color theme="1"/>
        <rFont val="微软雅黑"/>
        <family val="3"/>
        <charset val="134"/>
      </rPr>
      <t>链接</t>
    </r>
    <r>
      <rPr>
        <sz val="11"/>
        <color theme="1"/>
        <rFont val="Calibri"/>
        <family val="2"/>
      </rPr>
      <t>ID</t>
    </r>
  </si>
  <si>
    <r>
      <rPr>
        <sz val="11"/>
        <color theme="1"/>
        <rFont val="微软雅黑"/>
        <family val="3"/>
        <charset val="134"/>
      </rPr>
      <t>检查方法</t>
    </r>
  </si>
  <si>
    <r>
      <rPr>
        <sz val="11"/>
        <color theme="1"/>
        <rFont val="微软雅黑"/>
        <family val="3"/>
        <charset val="134"/>
      </rPr>
      <t>给药前的最后一次存在结果值的检查，则填充</t>
    </r>
    <r>
      <rPr>
        <sz val="11"/>
        <color theme="1"/>
        <rFont val="Calibri"/>
        <family val="2"/>
      </rPr>
      <t>"Y"</t>
    </r>
    <r>
      <rPr>
        <sz val="11"/>
        <color theme="1"/>
        <rFont val="微软雅黑"/>
        <family val="3"/>
        <charset val="134"/>
      </rPr>
      <t>否则填充空值</t>
    </r>
    <phoneticPr fontId="67" type="noConversion"/>
  </si>
  <si>
    <r>
      <rPr>
        <sz val="11"/>
        <color theme="1"/>
        <rFont val="微软雅黑"/>
        <family val="3"/>
        <charset val="134"/>
      </rPr>
      <t>评估者</t>
    </r>
  </si>
  <si>
    <r>
      <rPr>
        <sz val="11"/>
        <color theme="1"/>
        <rFont val="微软雅黑"/>
        <family val="3"/>
        <charset val="134"/>
      </rPr>
      <t>链接</t>
    </r>
    <r>
      <rPr>
        <sz val="11"/>
        <color theme="1"/>
        <rFont val="Calibri"/>
        <family val="2"/>
      </rPr>
      <t>ID</t>
    </r>
    <phoneticPr fontId="67" type="noConversion"/>
  </si>
  <si>
    <r>
      <rPr>
        <sz val="11"/>
        <color theme="1"/>
        <rFont val="微软雅黑"/>
        <family val="3"/>
        <charset val="134"/>
      </rPr>
      <t>详细部位</t>
    </r>
  </si>
  <si>
    <r>
      <rPr>
        <sz val="11"/>
        <color theme="1"/>
        <rFont val="微软雅黑"/>
        <family val="3"/>
        <charset val="134"/>
      </rPr>
      <t>设为</t>
    </r>
    <r>
      <rPr>
        <sz val="11"/>
        <color theme="1"/>
        <rFont val="Calibri"/>
        <family val="2"/>
      </rPr>
      <t>“</t>
    </r>
    <r>
      <rPr>
        <sz val="11"/>
        <color theme="1"/>
        <rFont val="微软雅黑"/>
        <family val="3"/>
        <charset val="134"/>
      </rPr>
      <t>研究者</t>
    </r>
    <r>
      <rPr>
        <sz val="11"/>
        <color theme="1"/>
        <rFont val="Calibri"/>
        <family val="2"/>
      </rPr>
      <t>”</t>
    </r>
    <phoneticPr fontId="67" type="noConversion"/>
  </si>
  <si>
    <r>
      <rPr>
        <sz val="11"/>
        <color theme="1"/>
        <rFont val="微软雅黑"/>
        <family val="3"/>
        <charset val="134"/>
      </rPr>
      <t>每个</t>
    </r>
    <r>
      <rPr>
        <sz val="11"/>
        <color theme="1"/>
        <rFont val="Calibri"/>
        <family val="2"/>
      </rPr>
      <t>TEST</t>
    </r>
    <r>
      <rPr>
        <sz val="11"/>
        <color theme="1"/>
        <rFont val="微软雅黑"/>
        <family val="3"/>
        <charset val="134"/>
      </rPr>
      <t>内根据先后采血顺序记录的序列号</t>
    </r>
    <phoneticPr fontId="67" type="noConversion"/>
  </si>
  <si>
    <r>
      <rPr>
        <sz val="11"/>
        <color theme="1"/>
        <rFont val="微软雅黑"/>
        <family val="3"/>
        <charset val="134"/>
      </rPr>
      <t>样本采集日期</t>
    </r>
    <r>
      <rPr>
        <sz val="11"/>
        <color theme="1"/>
        <rFont val="Calibri"/>
        <family val="2"/>
      </rPr>
      <t>/</t>
    </r>
    <r>
      <rPr>
        <sz val="11"/>
        <color theme="1"/>
        <rFont val="微软雅黑"/>
        <family val="3"/>
        <charset val="134"/>
      </rPr>
      <t>时间</t>
    </r>
  </si>
  <si>
    <r>
      <rPr>
        <sz val="11"/>
        <color theme="1"/>
        <rFont val="微软雅黑"/>
        <family val="3"/>
        <charset val="134"/>
      </rPr>
      <t>样本采集日</t>
    </r>
  </si>
  <si>
    <r>
      <rPr>
        <sz val="11"/>
        <color theme="1"/>
        <rFont val="微软雅黑"/>
        <family val="3"/>
        <charset val="134"/>
      </rPr>
      <t>计划采血点</t>
    </r>
    <phoneticPr fontId="67" type="noConversion"/>
  </si>
  <si>
    <r>
      <rPr>
        <sz val="11"/>
        <color theme="1"/>
        <rFont val="微软雅黑"/>
        <family val="3"/>
        <charset val="134"/>
      </rPr>
      <t>计划采血点数值型</t>
    </r>
    <phoneticPr fontId="67" type="noConversion"/>
  </si>
  <si>
    <r>
      <rPr>
        <sz val="11"/>
        <color theme="1"/>
        <rFont val="微软雅黑"/>
        <family val="3"/>
        <charset val="134"/>
      </rPr>
      <t>备注</t>
    </r>
    <phoneticPr fontId="67" type="noConversion"/>
  </si>
  <si>
    <r>
      <rPr>
        <sz val="11"/>
        <rFont val="微软雅黑"/>
        <family val="3"/>
        <charset val="134"/>
      </rPr>
      <t>单次给药血样采集</t>
    </r>
    <phoneticPr fontId="67" type="noConversion"/>
  </si>
  <si>
    <r>
      <t>AUC{\sub 0-</t>
    </r>
    <r>
      <rPr>
        <sz val="11"/>
        <rFont val="微软雅黑"/>
        <family val="3"/>
        <charset val="134"/>
      </rPr>
      <t>∞</t>
    </r>
    <r>
      <rPr>
        <sz val="11"/>
        <rFont val="Calibri"/>
        <family val="2"/>
      </rPr>
      <t>}</t>
    </r>
  </si>
  <si>
    <r>
      <t>MRT{\sub 0-</t>
    </r>
    <r>
      <rPr>
        <sz val="11"/>
        <rFont val="微软雅黑"/>
        <family val="3"/>
        <charset val="134"/>
      </rPr>
      <t>∞</t>
    </r>
    <r>
      <rPr>
        <sz val="11"/>
        <rFont val="Calibri"/>
        <family val="2"/>
      </rPr>
      <t>}/F</t>
    </r>
  </si>
  <si>
    <r>
      <rPr>
        <sz val="11"/>
        <rFont val="微软雅黑"/>
        <family val="3"/>
        <charset val="134"/>
      </rPr>
      <t>多次给药血样采集</t>
    </r>
    <phoneticPr fontId="67" type="noConversion"/>
  </si>
  <si>
    <r>
      <rPr>
        <sz val="11"/>
        <color theme="1"/>
        <rFont val="等线"/>
        <family val="2"/>
        <charset val="134"/>
      </rPr>
      <t>将</t>
    </r>
    <r>
      <rPr>
        <sz val="11"/>
        <color theme="1"/>
        <rFont val="Calibri"/>
        <family val="2"/>
      </rPr>
      <t>SITEID</t>
    </r>
    <r>
      <rPr>
        <sz val="11"/>
        <color theme="1"/>
        <rFont val="等线"/>
        <family val="2"/>
        <charset val="134"/>
      </rPr>
      <t>和</t>
    </r>
    <r>
      <rPr>
        <sz val="11"/>
        <color theme="1"/>
        <rFont val="Calibri"/>
        <family val="2"/>
      </rPr>
      <t>SUBSCID</t>
    </r>
    <r>
      <rPr>
        <sz val="11"/>
        <color theme="1"/>
        <rFont val="等线"/>
        <family val="2"/>
        <charset val="134"/>
      </rPr>
      <t>和</t>
    </r>
    <r>
      <rPr>
        <sz val="11"/>
        <color theme="1"/>
        <rFont val="Calibri"/>
        <family val="2"/>
      </rPr>
      <t>SUBJID</t>
    </r>
    <r>
      <rPr>
        <sz val="11"/>
        <color theme="1"/>
        <rFont val="等线"/>
        <family val="2"/>
        <charset val="134"/>
      </rPr>
      <t>用</t>
    </r>
    <r>
      <rPr>
        <sz val="11"/>
        <color theme="1"/>
        <rFont val="Calibri"/>
        <family val="2"/>
      </rPr>
      <t>"-"</t>
    </r>
    <r>
      <rPr>
        <sz val="11"/>
        <color theme="1"/>
        <rFont val="等线"/>
        <family val="2"/>
        <charset val="134"/>
      </rPr>
      <t>连接起来</t>
    </r>
    <phoneticPr fontId="67" type="noConversion"/>
  </si>
  <si>
    <t>old_LBTESTCD</t>
    <phoneticPr fontId="67" type="noConversion"/>
  </si>
  <si>
    <t>LBTESTCD</t>
    <phoneticPr fontId="67" type="noConversion"/>
  </si>
  <si>
    <t>UNPLANFL</t>
    <phoneticPr fontId="67" type="noConversion"/>
  </si>
  <si>
    <r>
      <rPr>
        <sz val="18"/>
        <color theme="1"/>
        <rFont val="等线"/>
        <family val="3"/>
        <charset val="134"/>
      </rPr>
      <t>影像学检查</t>
    </r>
  </si>
  <si>
    <r>
      <rPr>
        <sz val="18"/>
        <color theme="1"/>
        <rFont val="等线"/>
        <family val="3"/>
        <charset val="134"/>
      </rPr>
      <t>腹部</t>
    </r>
  </si>
  <si>
    <t>ABDOMEN</t>
    <phoneticPr fontId="67" type="noConversion"/>
  </si>
  <si>
    <r>
      <rPr>
        <sz val="18"/>
        <color theme="1"/>
        <rFont val="等线"/>
        <family val="3"/>
        <charset val="134"/>
      </rPr>
      <t>影像学检查</t>
    </r>
    <phoneticPr fontId="67" type="noConversion"/>
  </si>
  <si>
    <r>
      <rPr>
        <sz val="18"/>
        <color theme="1"/>
        <rFont val="等线"/>
        <family val="3"/>
        <charset val="134"/>
      </rPr>
      <t>胸部</t>
    </r>
  </si>
  <si>
    <t>CHEST</t>
  </si>
  <si>
    <t>颈部</t>
    <phoneticPr fontId="67" type="noConversion"/>
  </si>
  <si>
    <t>NECK</t>
  </si>
  <si>
    <t>其他部位</t>
    <phoneticPr fontId="67" type="noConversion"/>
  </si>
  <si>
    <t>OTHER</t>
    <phoneticPr fontId="67" type="noConversion"/>
  </si>
  <si>
    <r>
      <rPr>
        <sz val="18"/>
        <color theme="1"/>
        <rFont val="等线"/>
        <family val="3"/>
        <charset val="134"/>
      </rPr>
      <t>盆部</t>
    </r>
  </si>
  <si>
    <t>PELVIS</t>
  </si>
  <si>
    <r>
      <rPr>
        <sz val="18"/>
        <color theme="1"/>
        <rFont val="等线"/>
        <family val="3"/>
        <charset val="134"/>
      </rPr>
      <t>妊娠检查</t>
    </r>
    <phoneticPr fontId="67" type="noConversion"/>
  </si>
  <si>
    <r>
      <rPr>
        <sz val="18"/>
        <color theme="1"/>
        <rFont val="等线"/>
        <family val="3"/>
        <charset val="134"/>
      </rPr>
      <t>血妊娠</t>
    </r>
    <phoneticPr fontId="67" type="noConversion"/>
  </si>
  <si>
    <t>HCGND</t>
    <phoneticPr fontId="68" type="noConversion"/>
  </si>
  <si>
    <t>HCGND</t>
  </si>
  <si>
    <r>
      <rPr>
        <sz val="18"/>
        <color theme="1"/>
        <rFont val="等线"/>
        <family val="3"/>
        <charset val="134"/>
      </rPr>
      <t>妊娠检查</t>
    </r>
  </si>
  <si>
    <r>
      <rPr>
        <sz val="18"/>
        <color theme="1"/>
        <rFont val="等线"/>
        <family val="3"/>
        <charset val="134"/>
      </rPr>
      <t>尿妊娠</t>
    </r>
    <phoneticPr fontId="67" type="noConversion"/>
  </si>
  <si>
    <t>UHCGND</t>
    <phoneticPr fontId="67" type="noConversion"/>
  </si>
  <si>
    <t>UHCGND</t>
  </si>
  <si>
    <r>
      <rPr>
        <sz val="18"/>
        <color theme="1"/>
        <rFont val="等线"/>
        <family val="3"/>
        <charset val="134"/>
      </rPr>
      <t>其他计划外检查</t>
    </r>
  </si>
  <si>
    <r>
      <rPr>
        <sz val="18"/>
        <color theme="1"/>
        <rFont val="等线"/>
        <family val="3"/>
        <charset val="134"/>
      </rPr>
      <t>输血四项</t>
    </r>
    <r>
      <rPr>
        <sz val="18"/>
        <color theme="1"/>
        <rFont val="Calibri"/>
        <family val="2"/>
      </rPr>
      <t>_</t>
    </r>
    <r>
      <rPr>
        <sz val="18"/>
        <color theme="1"/>
        <rFont val="等线"/>
        <family val="3"/>
        <charset val="134"/>
      </rPr>
      <t>抗乙型肝炎病毒表面抗体</t>
    </r>
  </si>
  <si>
    <t>抗乙型肝炎病毒表面抗体</t>
    <phoneticPr fontId="67" type="noConversion"/>
  </si>
  <si>
    <t>Anti hepatitis B virus surface antibody</t>
    <phoneticPr fontId="67" type="noConversion"/>
  </si>
  <si>
    <t>AHBVSAB</t>
    <phoneticPr fontId="67" type="noConversion"/>
  </si>
  <si>
    <r>
      <rPr>
        <sz val="18"/>
        <color theme="1"/>
        <rFont val="等线"/>
        <family val="3"/>
        <charset val="134"/>
      </rPr>
      <t>输血四项</t>
    </r>
  </si>
  <si>
    <r>
      <rPr>
        <sz val="18"/>
        <color theme="1"/>
        <rFont val="等线"/>
        <family val="3"/>
        <charset val="134"/>
      </rPr>
      <t>乙肝核心抗体</t>
    </r>
    <phoneticPr fontId="67" type="noConversion"/>
  </si>
  <si>
    <r>
      <rPr>
        <sz val="18"/>
        <color theme="1"/>
        <rFont val="等线"/>
        <family val="3"/>
        <charset val="134"/>
      </rPr>
      <t>输血四项</t>
    </r>
    <phoneticPr fontId="67" type="noConversion"/>
  </si>
  <si>
    <r>
      <rPr>
        <sz val="18"/>
        <color theme="1"/>
        <rFont val="等线"/>
        <family val="3"/>
        <charset val="134"/>
      </rPr>
      <t>乙肝病毒表面抗原</t>
    </r>
    <phoneticPr fontId="67" type="noConversion"/>
  </si>
  <si>
    <r>
      <rPr>
        <sz val="18"/>
        <color theme="1"/>
        <rFont val="宋体"/>
        <family val="2"/>
        <charset val="134"/>
      </rPr>
      <t>乙肝病毒</t>
    </r>
    <r>
      <rPr>
        <sz val="18"/>
        <color theme="1"/>
        <rFont val="Calibri"/>
        <family val="2"/>
      </rPr>
      <t>DNA</t>
    </r>
    <phoneticPr fontId="67" type="noConversion"/>
  </si>
  <si>
    <r>
      <rPr>
        <sz val="18"/>
        <color theme="1"/>
        <rFont val="等线"/>
        <family val="3"/>
        <charset val="134"/>
      </rPr>
      <t>输血四项</t>
    </r>
    <r>
      <rPr>
        <sz val="18"/>
        <color theme="1"/>
        <rFont val="Calibri"/>
        <family val="2"/>
      </rPr>
      <t>_</t>
    </r>
    <r>
      <rPr>
        <sz val="18"/>
        <color theme="1"/>
        <rFont val="等线"/>
        <family val="3"/>
        <charset val="134"/>
      </rPr>
      <t>乙肝病毒定量</t>
    </r>
    <phoneticPr fontId="67" type="noConversion"/>
  </si>
  <si>
    <t>Hepatitis B virus quantification</t>
    <phoneticPr fontId="67" type="noConversion"/>
  </si>
  <si>
    <r>
      <rPr>
        <sz val="18"/>
        <color theme="1"/>
        <rFont val="等线"/>
        <family val="3"/>
        <charset val="134"/>
      </rPr>
      <t>丙肝抗体</t>
    </r>
    <phoneticPr fontId="67" type="noConversion"/>
  </si>
  <si>
    <t>HCCAB</t>
  </si>
  <si>
    <r>
      <t>HIV</t>
    </r>
    <r>
      <rPr>
        <sz val="18"/>
        <color theme="1"/>
        <rFont val="等线"/>
        <family val="3"/>
        <charset val="134"/>
      </rPr>
      <t>抗体</t>
    </r>
    <phoneticPr fontId="67" type="noConversion"/>
  </si>
  <si>
    <t>HIV1AB</t>
  </si>
  <si>
    <r>
      <rPr>
        <sz val="18"/>
        <color theme="1"/>
        <rFont val="等线"/>
        <family val="3"/>
        <charset val="134"/>
      </rPr>
      <t>梅毒特异性抗体</t>
    </r>
  </si>
  <si>
    <t>TPAAB</t>
  </si>
  <si>
    <r>
      <rPr>
        <sz val="18"/>
        <color theme="1"/>
        <rFont val="等线"/>
        <family val="3"/>
        <charset val="134"/>
      </rPr>
      <t>血常规</t>
    </r>
  </si>
  <si>
    <r>
      <rPr>
        <sz val="18"/>
        <color theme="1"/>
        <rFont val="等线"/>
        <family val="3"/>
        <charset val="134"/>
      </rPr>
      <t>嗜碱性粒细胞百分比（</t>
    </r>
    <r>
      <rPr>
        <sz val="18"/>
        <color theme="1"/>
        <rFont val="Calibri"/>
        <family val="2"/>
      </rPr>
      <t>BASO%</t>
    </r>
    <r>
      <rPr>
        <sz val="18"/>
        <color theme="1"/>
        <rFont val="等线"/>
        <family val="3"/>
        <charset val="134"/>
      </rPr>
      <t>）</t>
    </r>
  </si>
  <si>
    <t>BASOLE</t>
  </si>
  <si>
    <r>
      <rPr>
        <sz val="18"/>
        <color theme="1"/>
        <rFont val="等线"/>
        <family val="3"/>
        <charset val="134"/>
      </rPr>
      <t>血常规</t>
    </r>
    <r>
      <rPr>
        <sz val="18"/>
        <color theme="1"/>
        <rFont val="Calibri"/>
        <family val="2"/>
      </rPr>
      <t>_C</t>
    </r>
    <r>
      <rPr>
        <sz val="18"/>
        <color theme="1"/>
        <rFont val="等线"/>
        <family val="3"/>
        <charset val="134"/>
      </rPr>
      <t>反应蛋白</t>
    </r>
  </si>
  <si>
    <r>
      <t>C</t>
    </r>
    <r>
      <rPr>
        <sz val="18"/>
        <color theme="1"/>
        <rFont val="等线"/>
        <family val="3"/>
        <charset val="134"/>
      </rPr>
      <t>反应蛋白</t>
    </r>
  </si>
  <si>
    <r>
      <rPr>
        <sz val="18"/>
        <color theme="1"/>
        <rFont val="等线"/>
        <family val="3"/>
        <charset val="134"/>
      </rPr>
      <t>嗜酸性粒细胞百分比（</t>
    </r>
    <r>
      <rPr>
        <sz val="18"/>
        <color theme="1"/>
        <rFont val="Calibri"/>
        <family val="2"/>
      </rPr>
      <t>EO%</t>
    </r>
    <r>
      <rPr>
        <sz val="18"/>
        <color theme="1"/>
        <rFont val="等线"/>
        <family val="3"/>
        <charset val="134"/>
      </rPr>
      <t>）</t>
    </r>
  </si>
  <si>
    <t>EOSLE</t>
  </si>
  <si>
    <r>
      <rPr>
        <sz val="18"/>
        <color theme="1"/>
        <rFont val="等线"/>
        <family val="3"/>
        <charset val="134"/>
      </rPr>
      <t>血常规</t>
    </r>
    <r>
      <rPr>
        <sz val="18"/>
        <color theme="1"/>
        <rFont val="Calibri"/>
        <family val="2"/>
      </rPr>
      <t>_</t>
    </r>
    <r>
      <rPr>
        <sz val="18"/>
        <color theme="1"/>
        <rFont val="等线"/>
        <family val="3"/>
        <charset val="134"/>
      </rPr>
      <t>红细胞比容</t>
    </r>
  </si>
  <si>
    <r>
      <rPr>
        <sz val="18"/>
        <color theme="1"/>
        <rFont val="等线"/>
        <family val="3"/>
        <charset val="134"/>
      </rPr>
      <t>红细胞比容</t>
    </r>
  </si>
  <si>
    <r>
      <rPr>
        <sz val="18"/>
        <color theme="1"/>
        <rFont val="等线"/>
        <family val="3"/>
        <charset val="134"/>
      </rPr>
      <t>血常规</t>
    </r>
    <r>
      <rPr>
        <sz val="18"/>
        <color theme="1"/>
        <rFont val="Calibri"/>
        <family val="2"/>
      </rPr>
      <t>_</t>
    </r>
    <r>
      <rPr>
        <sz val="18"/>
        <color theme="1"/>
        <rFont val="等线"/>
        <family val="3"/>
        <charset val="134"/>
      </rPr>
      <t>红细胞容积</t>
    </r>
  </si>
  <si>
    <t>红细胞容积</t>
    <phoneticPr fontId="67" type="noConversion"/>
  </si>
  <si>
    <r>
      <rPr>
        <sz val="18"/>
        <color theme="1"/>
        <rFont val="等线"/>
        <family val="3"/>
        <charset val="134"/>
      </rPr>
      <t>血红蛋白（</t>
    </r>
    <r>
      <rPr>
        <sz val="18"/>
        <color theme="1"/>
        <rFont val="Calibri"/>
        <family val="2"/>
      </rPr>
      <t>Hb</t>
    </r>
    <r>
      <rPr>
        <sz val="18"/>
        <color theme="1"/>
        <rFont val="等线"/>
        <family val="3"/>
        <charset val="134"/>
      </rPr>
      <t>）</t>
    </r>
  </si>
  <si>
    <r>
      <rPr>
        <sz val="18"/>
        <color theme="1"/>
        <rFont val="等线"/>
        <family val="3"/>
        <charset val="134"/>
      </rPr>
      <t>血常规</t>
    </r>
    <r>
      <rPr>
        <sz val="18"/>
        <color theme="1"/>
        <rFont val="Calibri"/>
        <family val="2"/>
      </rPr>
      <t>_</t>
    </r>
    <r>
      <rPr>
        <sz val="18"/>
        <color theme="1"/>
        <rFont val="等线"/>
        <family val="3"/>
        <charset val="134"/>
      </rPr>
      <t>血红蛋白量</t>
    </r>
  </si>
  <si>
    <r>
      <rPr>
        <sz val="18"/>
        <color theme="1"/>
        <rFont val="等线"/>
        <family val="3"/>
        <charset val="134"/>
      </rPr>
      <t>血常规</t>
    </r>
    <r>
      <rPr>
        <sz val="18"/>
        <color theme="1"/>
        <rFont val="Calibri"/>
        <family val="2"/>
      </rPr>
      <t>_</t>
    </r>
    <r>
      <rPr>
        <sz val="18"/>
        <color theme="1"/>
        <rFont val="等线"/>
        <family val="3"/>
        <charset val="134"/>
      </rPr>
      <t>血红蛋白</t>
    </r>
  </si>
  <si>
    <r>
      <rPr>
        <sz val="18"/>
        <color theme="1"/>
        <rFont val="等线"/>
        <family val="3"/>
        <charset val="134"/>
      </rPr>
      <t>淋巴细胞计数（</t>
    </r>
    <r>
      <rPr>
        <sz val="18"/>
        <color theme="1"/>
        <rFont val="Calibri"/>
        <family val="2"/>
      </rPr>
      <t>LY</t>
    </r>
    <r>
      <rPr>
        <sz val="18"/>
        <color theme="1"/>
        <rFont val="等线"/>
        <family val="3"/>
        <charset val="134"/>
      </rPr>
      <t>）</t>
    </r>
    <phoneticPr fontId="67" type="noConversion"/>
  </si>
  <si>
    <r>
      <rPr>
        <sz val="18"/>
        <color theme="1"/>
        <rFont val="等线"/>
        <family val="3"/>
        <charset val="134"/>
      </rPr>
      <t>淋巴细胞百分比（</t>
    </r>
    <r>
      <rPr>
        <sz val="18"/>
        <color theme="1"/>
        <rFont val="Calibri"/>
        <family val="2"/>
      </rPr>
      <t>L%</t>
    </r>
    <r>
      <rPr>
        <sz val="18"/>
        <color theme="1"/>
        <rFont val="等线"/>
        <family val="3"/>
        <charset val="134"/>
      </rPr>
      <t>）</t>
    </r>
    <phoneticPr fontId="67" type="noConversion"/>
  </si>
  <si>
    <t>LYMLE</t>
  </si>
  <si>
    <r>
      <rPr>
        <sz val="18"/>
        <color theme="1"/>
        <rFont val="等线"/>
        <family val="3"/>
        <charset val="134"/>
      </rPr>
      <t>血常规</t>
    </r>
    <r>
      <rPr>
        <sz val="18"/>
        <color theme="1"/>
        <rFont val="Calibri"/>
        <family val="2"/>
      </rPr>
      <t>_</t>
    </r>
    <r>
      <rPr>
        <sz val="18"/>
        <color theme="1"/>
        <rFont val="等线"/>
        <family val="3"/>
        <charset val="134"/>
      </rPr>
      <t>血红蛋白浓度</t>
    </r>
    <r>
      <rPr>
        <sz val="18"/>
        <color theme="1"/>
        <rFont val="Calibri"/>
        <family val="2"/>
      </rPr>
      <t>(</t>
    </r>
    <r>
      <rPr>
        <sz val="18"/>
        <color theme="1"/>
        <rFont val="等线"/>
        <family val="3"/>
        <charset val="134"/>
      </rPr>
      <t>比色法</t>
    </r>
    <r>
      <rPr>
        <sz val="18"/>
        <color theme="1"/>
        <rFont val="Calibri"/>
        <family val="2"/>
      </rPr>
      <t>)</t>
    </r>
  </si>
  <si>
    <r>
      <rPr>
        <sz val="18"/>
        <color theme="1"/>
        <rFont val="等线"/>
        <family val="3"/>
        <charset val="134"/>
      </rPr>
      <t>血红蛋白浓度</t>
    </r>
    <r>
      <rPr>
        <sz val="18"/>
        <color theme="1"/>
        <rFont val="Calibri"/>
        <family val="2"/>
      </rPr>
      <t>(</t>
    </r>
    <r>
      <rPr>
        <sz val="18"/>
        <color theme="1"/>
        <rFont val="等线"/>
        <family val="3"/>
        <charset val="134"/>
      </rPr>
      <t>比色法</t>
    </r>
    <r>
      <rPr>
        <sz val="18"/>
        <color theme="1"/>
        <rFont val="Calibri"/>
        <family val="2"/>
      </rPr>
      <t>)</t>
    </r>
  </si>
  <si>
    <t>MCHC</t>
  </si>
  <si>
    <r>
      <rPr>
        <sz val="18"/>
        <color theme="1"/>
        <rFont val="等线"/>
        <family val="3"/>
        <charset val="134"/>
      </rPr>
      <t>单核细胞百分比（</t>
    </r>
    <r>
      <rPr>
        <sz val="18"/>
        <color theme="1"/>
        <rFont val="Calibri"/>
        <family val="2"/>
      </rPr>
      <t>M%</t>
    </r>
    <r>
      <rPr>
        <sz val="18"/>
        <color theme="1"/>
        <rFont val="等线"/>
        <family val="3"/>
        <charset val="134"/>
      </rPr>
      <t>）</t>
    </r>
    <phoneticPr fontId="67" type="noConversion"/>
  </si>
  <si>
    <t>MONOLE</t>
  </si>
  <si>
    <r>
      <rPr>
        <sz val="18"/>
        <color theme="1"/>
        <rFont val="等线"/>
        <family val="3"/>
        <charset val="134"/>
      </rPr>
      <t>中性粒细胞计数（</t>
    </r>
    <r>
      <rPr>
        <sz val="18"/>
        <color theme="1"/>
        <rFont val="Calibri"/>
        <family val="2"/>
      </rPr>
      <t>NEUT</t>
    </r>
    <r>
      <rPr>
        <sz val="18"/>
        <color theme="1"/>
        <rFont val="等线"/>
        <family val="3"/>
        <charset val="134"/>
      </rPr>
      <t>）</t>
    </r>
  </si>
  <si>
    <r>
      <rPr>
        <sz val="18"/>
        <color theme="1"/>
        <rFont val="等线"/>
        <family val="3"/>
        <charset val="134"/>
      </rPr>
      <t>中性粒细胞百分比（</t>
    </r>
    <r>
      <rPr>
        <sz val="18"/>
        <color theme="1"/>
        <rFont val="Calibri"/>
        <family val="2"/>
      </rPr>
      <t>N%</t>
    </r>
    <r>
      <rPr>
        <sz val="18"/>
        <color theme="1"/>
        <rFont val="等线"/>
        <family val="3"/>
        <charset val="134"/>
      </rPr>
      <t>）</t>
    </r>
  </si>
  <si>
    <t>NEUTLE</t>
  </si>
  <si>
    <r>
      <rPr>
        <sz val="18"/>
        <color theme="1"/>
        <rFont val="等线"/>
        <family val="3"/>
        <charset val="134"/>
      </rPr>
      <t>血小板计数（</t>
    </r>
    <r>
      <rPr>
        <sz val="18"/>
        <color theme="1"/>
        <rFont val="Calibri"/>
        <family val="2"/>
      </rPr>
      <t>PLT</t>
    </r>
    <r>
      <rPr>
        <sz val="18"/>
        <color theme="1"/>
        <rFont val="等线"/>
        <family val="3"/>
        <charset val="134"/>
      </rPr>
      <t>）</t>
    </r>
  </si>
  <si>
    <t>PLAT</t>
  </si>
  <si>
    <r>
      <rPr>
        <sz val="18"/>
        <color theme="1"/>
        <rFont val="等线"/>
        <family val="3"/>
        <charset val="134"/>
      </rPr>
      <t>血常规</t>
    </r>
    <r>
      <rPr>
        <sz val="18"/>
        <color theme="1"/>
        <rFont val="Calibri"/>
        <family val="2"/>
      </rPr>
      <t>_</t>
    </r>
    <r>
      <rPr>
        <sz val="18"/>
        <color theme="1"/>
        <rFont val="等线"/>
        <family val="3"/>
        <charset val="134"/>
      </rPr>
      <t>血红细胞</t>
    </r>
    <phoneticPr fontId="67" type="noConversion"/>
  </si>
  <si>
    <r>
      <rPr>
        <sz val="18"/>
        <color theme="1"/>
        <rFont val="等线"/>
        <family val="3"/>
        <charset val="134"/>
      </rPr>
      <t>红细胞计数（</t>
    </r>
    <r>
      <rPr>
        <sz val="18"/>
        <color theme="1"/>
        <rFont val="Calibri"/>
        <family val="2"/>
      </rPr>
      <t>RBC</t>
    </r>
    <r>
      <rPr>
        <sz val="18"/>
        <color theme="1"/>
        <rFont val="等线"/>
        <family val="3"/>
        <charset val="134"/>
      </rPr>
      <t>）</t>
    </r>
  </si>
  <si>
    <r>
      <rPr>
        <sz val="18"/>
        <color theme="1"/>
        <rFont val="等线"/>
        <family val="3"/>
        <charset val="134"/>
      </rPr>
      <t>血常规</t>
    </r>
    <r>
      <rPr>
        <sz val="18"/>
        <color theme="1"/>
        <rFont val="Calibri"/>
        <family val="2"/>
      </rPr>
      <t>_</t>
    </r>
    <r>
      <rPr>
        <sz val="18"/>
        <color theme="1"/>
        <rFont val="等线"/>
        <family val="3"/>
        <charset val="134"/>
      </rPr>
      <t>红细胞计数</t>
    </r>
  </si>
  <si>
    <r>
      <rPr>
        <sz val="18"/>
        <color theme="1"/>
        <rFont val="等线"/>
        <family val="3"/>
        <charset val="134"/>
      </rPr>
      <t>血常规</t>
    </r>
    <r>
      <rPr>
        <sz val="18"/>
        <color theme="1"/>
        <rFont val="Calibri"/>
        <family val="2"/>
      </rPr>
      <t>_</t>
    </r>
    <r>
      <rPr>
        <sz val="18"/>
        <color theme="1"/>
        <rFont val="等线"/>
        <family val="3"/>
        <charset val="134"/>
      </rPr>
      <t>白细胞计数</t>
    </r>
    <phoneticPr fontId="67" type="noConversion"/>
  </si>
  <si>
    <r>
      <rPr>
        <sz val="18"/>
        <color theme="1"/>
        <rFont val="等线"/>
        <family val="3"/>
        <charset val="134"/>
      </rPr>
      <t>白细胞计数（</t>
    </r>
    <r>
      <rPr>
        <sz val="18"/>
        <color theme="1"/>
        <rFont val="Calibri"/>
        <family val="2"/>
      </rPr>
      <t>WBC</t>
    </r>
    <r>
      <rPr>
        <sz val="18"/>
        <color theme="1"/>
        <rFont val="等线"/>
        <family val="3"/>
        <charset val="134"/>
      </rPr>
      <t>）</t>
    </r>
  </si>
  <si>
    <r>
      <rPr>
        <sz val="18"/>
        <color theme="1"/>
        <rFont val="等线"/>
        <family val="3"/>
        <charset val="134"/>
      </rPr>
      <t>血常规</t>
    </r>
    <phoneticPr fontId="67" type="noConversion"/>
  </si>
  <si>
    <r>
      <rPr>
        <sz val="18"/>
        <color theme="1"/>
        <rFont val="等线"/>
        <family val="3"/>
        <charset val="134"/>
      </rPr>
      <t>尿常规</t>
    </r>
    <r>
      <rPr>
        <sz val="18"/>
        <color theme="1"/>
        <rFont val="Calibri"/>
        <family val="2"/>
      </rPr>
      <t>_</t>
    </r>
    <r>
      <rPr>
        <sz val="18"/>
        <color theme="1"/>
        <rFont val="等线"/>
        <family val="3"/>
        <charset val="134"/>
      </rPr>
      <t>尿结晶</t>
    </r>
  </si>
  <si>
    <r>
      <rPr>
        <sz val="18"/>
        <color theme="1"/>
        <rFont val="等线"/>
        <family val="3"/>
        <charset val="134"/>
      </rPr>
      <t>尿常规</t>
    </r>
  </si>
  <si>
    <t>尿结晶</t>
    <phoneticPr fontId="67" type="noConversion"/>
  </si>
  <si>
    <t>CRYSTALS</t>
  </si>
  <si>
    <r>
      <rPr>
        <sz val="18"/>
        <color theme="1"/>
        <rFont val="等线"/>
        <family val="3"/>
        <charset val="134"/>
      </rPr>
      <t>个</t>
    </r>
    <r>
      <rPr>
        <sz val="18"/>
        <color theme="1"/>
        <rFont val="Calibri"/>
        <family val="2"/>
      </rPr>
      <t>/uL</t>
    </r>
  </si>
  <si>
    <r>
      <rPr>
        <sz val="18"/>
        <color theme="1"/>
        <rFont val="等线"/>
        <family val="3"/>
        <charset val="134"/>
      </rPr>
      <t>尿糖（</t>
    </r>
    <r>
      <rPr>
        <sz val="18"/>
        <color theme="1"/>
        <rFont val="Calibri"/>
        <family val="2"/>
      </rPr>
      <t>GLU</t>
    </r>
    <r>
      <rPr>
        <sz val="18"/>
        <color theme="1"/>
        <rFont val="等线"/>
        <family val="3"/>
        <charset val="134"/>
      </rPr>
      <t>）</t>
    </r>
    <phoneticPr fontId="67" type="noConversion"/>
  </si>
  <si>
    <t>GLUCEXR</t>
  </si>
  <si>
    <r>
      <rPr>
        <sz val="18"/>
        <color theme="1"/>
        <rFont val="等线"/>
        <family val="3"/>
        <charset val="134"/>
      </rPr>
      <t>尿酮体（</t>
    </r>
    <r>
      <rPr>
        <sz val="18"/>
        <color theme="1"/>
        <rFont val="Calibri"/>
        <family val="2"/>
      </rPr>
      <t>KET</t>
    </r>
    <r>
      <rPr>
        <sz val="18"/>
        <color theme="1"/>
        <rFont val="等线"/>
        <family val="3"/>
        <charset val="134"/>
      </rPr>
      <t>）</t>
    </r>
  </si>
  <si>
    <t>KETONES</t>
  </si>
  <si>
    <r>
      <rPr>
        <sz val="18"/>
        <color theme="1"/>
        <rFont val="等线"/>
        <family val="3"/>
        <charset val="134"/>
      </rPr>
      <t>尿常规</t>
    </r>
    <r>
      <rPr>
        <sz val="18"/>
        <color theme="1"/>
        <rFont val="Calibri"/>
        <family val="2"/>
      </rPr>
      <t>_</t>
    </r>
    <r>
      <rPr>
        <sz val="18"/>
        <color theme="1"/>
        <rFont val="等线"/>
        <family val="3"/>
        <charset val="134"/>
      </rPr>
      <t>尿白细胞酯酶</t>
    </r>
  </si>
  <si>
    <t>尿白细胞酯酶</t>
    <phoneticPr fontId="67" type="noConversion"/>
  </si>
  <si>
    <t>LEUKASE</t>
  </si>
  <si>
    <r>
      <rPr>
        <sz val="18"/>
        <color theme="1"/>
        <rFont val="等线"/>
        <family val="3"/>
        <charset val="134"/>
      </rPr>
      <t>尿酸碱度（</t>
    </r>
    <r>
      <rPr>
        <sz val="18"/>
        <color theme="1"/>
        <rFont val="Calibri"/>
        <family val="2"/>
      </rPr>
      <t>pH</t>
    </r>
    <r>
      <rPr>
        <sz val="18"/>
        <color theme="1"/>
        <rFont val="等线"/>
        <family val="3"/>
        <charset val="134"/>
      </rPr>
      <t>）</t>
    </r>
  </si>
  <si>
    <r>
      <rPr>
        <sz val="18"/>
        <color theme="1"/>
        <rFont val="等线"/>
        <family val="3"/>
        <charset val="134"/>
      </rPr>
      <t>尿蛋白</t>
    </r>
    <phoneticPr fontId="67" type="noConversion"/>
  </si>
  <si>
    <t>PROTEXR</t>
  </si>
  <si>
    <r>
      <rPr>
        <sz val="18"/>
        <color theme="1"/>
        <rFont val="等线"/>
        <family val="3"/>
        <charset val="134"/>
      </rPr>
      <t>尿常规</t>
    </r>
    <r>
      <rPr>
        <sz val="18"/>
        <color theme="1"/>
        <rFont val="Calibri"/>
        <family val="2"/>
      </rPr>
      <t>_</t>
    </r>
    <r>
      <rPr>
        <sz val="18"/>
        <color theme="1"/>
        <rFont val="等线"/>
        <family val="3"/>
        <charset val="134"/>
      </rPr>
      <t>尿红细胞形态信息</t>
    </r>
  </si>
  <si>
    <t>尿红细胞形态信息</t>
    <phoneticPr fontId="67" type="noConversion"/>
  </si>
  <si>
    <t>RBCMORPH</t>
  </si>
  <si>
    <r>
      <rPr>
        <sz val="18"/>
        <color theme="1"/>
        <rFont val="等线"/>
        <family val="3"/>
        <charset val="134"/>
      </rPr>
      <t>尿</t>
    </r>
    <r>
      <rPr>
        <sz val="18"/>
        <color theme="1"/>
        <rFont val="Calibri"/>
        <family val="2"/>
      </rPr>
      <t>_</t>
    </r>
    <r>
      <rPr>
        <sz val="18"/>
        <color theme="1"/>
        <rFont val="等线"/>
        <family val="3"/>
        <charset val="134"/>
      </rPr>
      <t>尿淀粉酶</t>
    </r>
  </si>
  <si>
    <r>
      <rPr>
        <sz val="18"/>
        <color theme="1"/>
        <rFont val="等线"/>
        <family val="3"/>
        <charset val="134"/>
      </rPr>
      <t>尿淀粉酶</t>
    </r>
  </si>
  <si>
    <t>UAMYLASE</t>
    <phoneticPr fontId="67" type="noConversion"/>
  </si>
  <si>
    <r>
      <rPr>
        <sz val="18"/>
        <color theme="1"/>
        <rFont val="等线"/>
        <family val="3"/>
        <charset val="134"/>
      </rPr>
      <t>尿常规</t>
    </r>
    <r>
      <rPr>
        <sz val="18"/>
        <color theme="1"/>
        <rFont val="Calibri"/>
        <family val="2"/>
      </rPr>
      <t>_</t>
    </r>
    <r>
      <rPr>
        <sz val="18"/>
        <color theme="1"/>
        <rFont val="等线"/>
        <family val="3"/>
        <charset val="134"/>
      </rPr>
      <t>尿胆红素</t>
    </r>
  </si>
  <si>
    <t>尿胆红素</t>
    <phoneticPr fontId="67" type="noConversion"/>
  </si>
  <si>
    <t>UBILI</t>
    <phoneticPr fontId="67" type="noConversion"/>
  </si>
  <si>
    <r>
      <rPr>
        <sz val="18"/>
        <color theme="1"/>
        <rFont val="等线"/>
        <family val="3"/>
        <charset val="134"/>
      </rPr>
      <t>尿常规</t>
    </r>
    <r>
      <rPr>
        <sz val="18"/>
        <color theme="1"/>
        <rFont val="Calibri"/>
        <family val="2"/>
      </rPr>
      <t>_</t>
    </r>
    <r>
      <rPr>
        <sz val="18"/>
        <color theme="1"/>
        <rFont val="等线"/>
        <family val="3"/>
        <charset val="134"/>
      </rPr>
      <t>尿隐血</t>
    </r>
  </si>
  <si>
    <t>尿隐血</t>
    <phoneticPr fontId="67" type="noConversion"/>
  </si>
  <si>
    <t>UOCCBLD</t>
    <phoneticPr fontId="67" type="noConversion"/>
  </si>
  <si>
    <r>
      <rPr>
        <sz val="18"/>
        <color theme="1"/>
        <rFont val="等线"/>
        <family val="3"/>
        <charset val="134"/>
      </rPr>
      <t>红细胞</t>
    </r>
  </si>
  <si>
    <t>URBC</t>
    <phoneticPr fontId="67" type="noConversion"/>
  </si>
  <si>
    <t>URBC</t>
  </si>
  <si>
    <r>
      <rPr>
        <sz val="18"/>
        <color theme="1"/>
        <rFont val="等线"/>
        <family val="3"/>
        <charset val="134"/>
      </rPr>
      <t>尿常规</t>
    </r>
    <r>
      <rPr>
        <sz val="18"/>
        <color theme="1"/>
        <rFont val="Calibri"/>
        <family val="2"/>
      </rPr>
      <t>_</t>
    </r>
    <r>
      <rPr>
        <sz val="18"/>
        <color theme="1"/>
        <rFont val="等线"/>
        <family val="3"/>
        <charset val="134"/>
      </rPr>
      <t>尿胆原</t>
    </r>
  </si>
  <si>
    <r>
      <rPr>
        <sz val="18"/>
        <color theme="1"/>
        <rFont val="等线"/>
        <family val="3"/>
        <charset val="134"/>
      </rPr>
      <t>尿胆原</t>
    </r>
  </si>
  <si>
    <t>UROBIL</t>
    <phoneticPr fontId="67" type="noConversion"/>
  </si>
  <si>
    <r>
      <rPr>
        <sz val="18"/>
        <color theme="1"/>
        <rFont val="等线"/>
        <family val="3"/>
        <charset val="134"/>
      </rPr>
      <t>尿白细胞</t>
    </r>
    <phoneticPr fontId="67" type="noConversion"/>
  </si>
  <si>
    <t>LEUKASE</t>
    <phoneticPr fontId="67" type="noConversion"/>
  </si>
  <si>
    <t>UWBC</t>
    <phoneticPr fontId="67" type="noConversion"/>
  </si>
  <si>
    <r>
      <rPr>
        <sz val="18"/>
        <color theme="1"/>
        <rFont val="等线"/>
        <family val="3"/>
        <charset val="134"/>
      </rPr>
      <t>便常规</t>
    </r>
    <phoneticPr fontId="67" type="noConversion"/>
  </si>
  <si>
    <t>便红细胞</t>
    <phoneticPr fontId="67" type="noConversion"/>
  </si>
  <si>
    <r>
      <rPr>
        <sz val="18"/>
        <color theme="1"/>
        <rFont val="等线"/>
        <family val="3"/>
        <charset val="134"/>
      </rPr>
      <t>便常规</t>
    </r>
  </si>
  <si>
    <r>
      <rPr>
        <sz val="18"/>
        <color theme="1"/>
        <rFont val="等线"/>
        <family val="3"/>
        <charset val="134"/>
      </rPr>
      <t>便白细胞</t>
    </r>
  </si>
  <si>
    <r>
      <rPr>
        <sz val="18"/>
        <color theme="1"/>
        <rFont val="等线"/>
        <family val="3"/>
        <charset val="134"/>
      </rPr>
      <t>便潜血</t>
    </r>
  </si>
  <si>
    <t>OCCBLD</t>
    <phoneticPr fontId="67" type="noConversion"/>
  </si>
  <si>
    <r>
      <rPr>
        <sz val="18"/>
        <color theme="1"/>
        <rFont val="等线"/>
        <family val="3"/>
        <charset val="134"/>
      </rPr>
      <t>血生化</t>
    </r>
    <r>
      <rPr>
        <sz val="18"/>
        <color theme="1"/>
        <rFont val="Calibri"/>
        <family val="2"/>
      </rPr>
      <t>_α</t>
    </r>
    <r>
      <rPr>
        <sz val="18"/>
        <color theme="1"/>
        <rFont val="等线"/>
        <family val="3"/>
        <charset val="134"/>
      </rPr>
      <t>羟基丁酸脱氢酶</t>
    </r>
  </si>
  <si>
    <r>
      <rPr>
        <sz val="18"/>
        <color theme="1"/>
        <rFont val="等线"/>
        <family val="3"/>
        <charset val="134"/>
      </rPr>
      <t>血生化</t>
    </r>
  </si>
  <si>
    <r>
      <t>α</t>
    </r>
    <r>
      <rPr>
        <sz val="18"/>
        <color theme="1"/>
        <rFont val="等线"/>
        <family val="3"/>
        <charset val="134"/>
      </rPr>
      <t>羟基丁酸脱氢酶</t>
    </r>
  </si>
  <si>
    <t>AHBDH</t>
  </si>
  <si>
    <r>
      <rPr>
        <sz val="18"/>
        <color theme="1"/>
        <rFont val="等线"/>
        <family val="3"/>
        <charset val="134"/>
      </rPr>
      <t>白蛋白（</t>
    </r>
    <r>
      <rPr>
        <sz val="18"/>
        <color theme="1"/>
        <rFont val="Calibri"/>
        <family val="2"/>
      </rPr>
      <t>ALB</t>
    </r>
    <r>
      <rPr>
        <sz val="18"/>
        <color theme="1"/>
        <rFont val="等线"/>
        <family val="3"/>
        <charset val="134"/>
      </rPr>
      <t>）</t>
    </r>
  </si>
  <si>
    <r>
      <rPr>
        <sz val="18"/>
        <color theme="1"/>
        <rFont val="等线"/>
        <family val="3"/>
        <charset val="134"/>
      </rPr>
      <t>血生化</t>
    </r>
    <r>
      <rPr>
        <sz val="18"/>
        <color theme="1"/>
        <rFont val="Calibri"/>
        <family val="2"/>
      </rPr>
      <t>_</t>
    </r>
    <r>
      <rPr>
        <sz val="18"/>
        <color theme="1"/>
        <rFont val="等线"/>
        <family val="3"/>
        <charset val="134"/>
      </rPr>
      <t>白蛋白</t>
    </r>
  </si>
  <si>
    <r>
      <rPr>
        <sz val="18"/>
        <color theme="1"/>
        <rFont val="等线"/>
        <family val="3"/>
        <charset val="134"/>
      </rPr>
      <t>碱性磷酸酶（</t>
    </r>
    <r>
      <rPr>
        <sz val="18"/>
        <color theme="1"/>
        <rFont val="Calibri"/>
        <family val="2"/>
      </rPr>
      <t>ALP</t>
    </r>
    <r>
      <rPr>
        <sz val="18"/>
        <color theme="1"/>
        <rFont val="等线"/>
        <family val="3"/>
        <charset val="134"/>
      </rPr>
      <t>）</t>
    </r>
  </si>
  <si>
    <r>
      <rPr>
        <sz val="18"/>
        <color theme="1"/>
        <rFont val="等线"/>
        <family val="3"/>
        <charset val="134"/>
      </rPr>
      <t>丙氨酸氨基转移酶（</t>
    </r>
    <r>
      <rPr>
        <sz val="18"/>
        <color theme="1"/>
        <rFont val="Calibri"/>
        <family val="2"/>
      </rPr>
      <t>ALT</t>
    </r>
    <r>
      <rPr>
        <sz val="18"/>
        <color theme="1"/>
        <rFont val="等线"/>
        <family val="3"/>
        <charset val="134"/>
      </rPr>
      <t>）</t>
    </r>
    <phoneticPr fontId="67" type="noConversion"/>
  </si>
  <si>
    <r>
      <rPr>
        <sz val="18"/>
        <color theme="1"/>
        <rFont val="等线"/>
        <family val="3"/>
        <charset val="134"/>
      </rPr>
      <t>血生化</t>
    </r>
    <r>
      <rPr>
        <sz val="18"/>
        <color theme="1"/>
        <rFont val="Calibri"/>
        <family val="2"/>
      </rPr>
      <t>_</t>
    </r>
    <r>
      <rPr>
        <sz val="18"/>
        <color theme="1"/>
        <rFont val="等线"/>
        <family val="3"/>
        <charset val="134"/>
      </rPr>
      <t>淀粉酶</t>
    </r>
  </si>
  <si>
    <r>
      <rPr>
        <sz val="18"/>
        <color theme="1"/>
        <rFont val="等线"/>
        <family val="3"/>
        <charset val="134"/>
      </rPr>
      <t>淀粉酶</t>
    </r>
  </si>
  <si>
    <r>
      <rPr>
        <sz val="18"/>
        <color theme="1"/>
        <rFont val="等线"/>
        <family val="3"/>
        <charset val="134"/>
      </rPr>
      <t>门冬氨酸氨基转移酶（</t>
    </r>
    <r>
      <rPr>
        <sz val="18"/>
        <color theme="1"/>
        <rFont val="Calibri"/>
        <family val="2"/>
      </rPr>
      <t>AST</t>
    </r>
    <r>
      <rPr>
        <sz val="18"/>
        <color theme="1"/>
        <rFont val="等线"/>
        <family val="3"/>
        <charset val="134"/>
      </rPr>
      <t>）</t>
    </r>
  </si>
  <si>
    <t>AST</t>
    <phoneticPr fontId="67" type="noConversion"/>
  </si>
  <si>
    <r>
      <rPr>
        <sz val="18"/>
        <color theme="1"/>
        <rFont val="等线"/>
        <family val="3"/>
        <charset val="134"/>
      </rPr>
      <t>肝功能</t>
    </r>
    <r>
      <rPr>
        <sz val="18"/>
        <color theme="1"/>
        <rFont val="Calibri"/>
        <family val="2"/>
      </rPr>
      <t>_</t>
    </r>
    <r>
      <rPr>
        <sz val="18"/>
        <color theme="1"/>
        <rFont val="等线"/>
        <family val="3"/>
        <charset val="134"/>
      </rPr>
      <t>天门冬氨酸氨基转移酶</t>
    </r>
    <r>
      <rPr>
        <sz val="18"/>
        <color theme="1"/>
        <rFont val="Calibri"/>
        <family val="2"/>
      </rPr>
      <t>(AST)</t>
    </r>
    <r>
      <rPr>
        <sz val="18"/>
        <color theme="1"/>
        <rFont val="等线"/>
        <family val="3"/>
        <charset val="134"/>
      </rPr>
      <t>测定</t>
    </r>
    <r>
      <rPr>
        <sz val="18"/>
        <color theme="1"/>
        <rFont val="Calibri"/>
        <family val="2"/>
      </rPr>
      <t>(</t>
    </r>
    <r>
      <rPr>
        <sz val="18"/>
        <color theme="1"/>
        <rFont val="等线"/>
        <family val="3"/>
        <charset val="134"/>
      </rPr>
      <t>急</t>
    </r>
    <r>
      <rPr>
        <sz val="18"/>
        <color theme="1"/>
        <rFont val="Calibri"/>
        <family val="2"/>
      </rPr>
      <t>)</t>
    </r>
    <phoneticPr fontId="67" type="noConversion"/>
  </si>
  <si>
    <r>
      <rPr>
        <sz val="18"/>
        <color theme="1"/>
        <rFont val="等线"/>
        <family val="3"/>
        <charset val="134"/>
      </rPr>
      <t>血生化</t>
    </r>
    <r>
      <rPr>
        <sz val="18"/>
        <color theme="1"/>
        <rFont val="Calibri"/>
        <family val="2"/>
      </rPr>
      <t>_β 2</t>
    </r>
    <r>
      <rPr>
        <sz val="18"/>
        <color theme="1"/>
        <rFont val="等线"/>
        <family val="3"/>
        <charset val="134"/>
      </rPr>
      <t>微球蛋白</t>
    </r>
  </si>
  <si>
    <r>
      <t>β 2</t>
    </r>
    <r>
      <rPr>
        <sz val="18"/>
        <color theme="1"/>
        <rFont val="等线"/>
        <family val="3"/>
        <charset val="134"/>
      </rPr>
      <t>微球蛋白</t>
    </r>
  </si>
  <si>
    <t>B2MICG</t>
  </si>
  <si>
    <r>
      <rPr>
        <sz val="18"/>
        <color theme="1"/>
        <rFont val="等线"/>
        <family val="3"/>
        <charset val="134"/>
      </rPr>
      <t>直接胆红素（</t>
    </r>
    <r>
      <rPr>
        <sz val="18"/>
        <color theme="1"/>
        <rFont val="Calibri"/>
        <family val="2"/>
      </rPr>
      <t>DBIL</t>
    </r>
    <r>
      <rPr>
        <sz val="18"/>
        <color theme="1"/>
        <rFont val="等线"/>
        <family val="3"/>
        <charset val="134"/>
      </rPr>
      <t>）</t>
    </r>
  </si>
  <si>
    <t>BILDIR</t>
  </si>
  <si>
    <r>
      <rPr>
        <sz val="18"/>
        <color theme="1"/>
        <rFont val="等线"/>
        <family val="3"/>
        <charset val="134"/>
      </rPr>
      <t>血生化</t>
    </r>
    <r>
      <rPr>
        <sz val="18"/>
        <color theme="1"/>
        <rFont val="Calibri"/>
        <family val="2"/>
      </rPr>
      <t>_</t>
    </r>
    <r>
      <rPr>
        <sz val="18"/>
        <color theme="1"/>
        <rFont val="等线"/>
        <family val="3"/>
        <charset val="134"/>
      </rPr>
      <t>直接胆红素</t>
    </r>
  </si>
  <si>
    <r>
      <rPr>
        <sz val="18"/>
        <color theme="1"/>
        <rFont val="等线"/>
        <family val="3"/>
        <charset val="134"/>
      </rPr>
      <t>血生化</t>
    </r>
    <r>
      <rPr>
        <sz val="18"/>
        <color theme="1"/>
        <rFont val="Calibri"/>
        <family val="2"/>
      </rPr>
      <t>_</t>
    </r>
    <r>
      <rPr>
        <sz val="18"/>
        <color theme="1"/>
        <rFont val="等线"/>
        <family val="3"/>
        <charset val="134"/>
      </rPr>
      <t>总胆汁酸</t>
    </r>
  </si>
  <si>
    <r>
      <rPr>
        <sz val="18"/>
        <color theme="1"/>
        <rFont val="等线"/>
        <family val="3"/>
        <charset val="134"/>
      </rPr>
      <t>总胆汁酸</t>
    </r>
  </si>
  <si>
    <t>BILEAC</t>
  </si>
  <si>
    <r>
      <rPr>
        <sz val="18"/>
        <color theme="1"/>
        <rFont val="等线"/>
        <family val="3"/>
        <charset val="134"/>
      </rPr>
      <t>总胆红素（</t>
    </r>
    <r>
      <rPr>
        <sz val="18"/>
        <color theme="1"/>
        <rFont val="Calibri"/>
        <family val="2"/>
      </rPr>
      <t>TBIL</t>
    </r>
    <r>
      <rPr>
        <sz val="18"/>
        <color theme="1"/>
        <rFont val="等线"/>
        <family val="3"/>
        <charset val="134"/>
      </rPr>
      <t>）</t>
    </r>
  </si>
  <si>
    <r>
      <rPr>
        <sz val="18"/>
        <color theme="1"/>
        <rFont val="等线"/>
        <family val="3"/>
        <charset val="134"/>
      </rPr>
      <t>血生化</t>
    </r>
    <r>
      <rPr>
        <sz val="18"/>
        <color theme="1"/>
        <rFont val="Calibri"/>
        <family val="2"/>
      </rPr>
      <t>_</t>
    </r>
    <r>
      <rPr>
        <sz val="18"/>
        <color theme="1"/>
        <rFont val="等线"/>
        <family val="3"/>
        <charset val="134"/>
      </rPr>
      <t>总胆红素</t>
    </r>
  </si>
  <si>
    <r>
      <rPr>
        <sz val="18"/>
        <color theme="1"/>
        <rFont val="等线"/>
        <family val="3"/>
        <charset val="134"/>
      </rPr>
      <t>血生化</t>
    </r>
    <r>
      <rPr>
        <sz val="18"/>
        <color theme="1"/>
        <rFont val="Calibri"/>
        <family val="2"/>
      </rPr>
      <t>_</t>
    </r>
    <r>
      <rPr>
        <sz val="18"/>
        <color theme="1"/>
        <rFont val="等线"/>
        <family val="3"/>
        <charset val="134"/>
      </rPr>
      <t>间接胆红素</t>
    </r>
  </si>
  <si>
    <r>
      <rPr>
        <sz val="18"/>
        <color theme="1"/>
        <rFont val="等线"/>
        <family val="3"/>
        <charset val="134"/>
      </rPr>
      <t>间接胆红素</t>
    </r>
  </si>
  <si>
    <t>OBILIND</t>
    <phoneticPr fontId="67" type="noConversion"/>
  </si>
  <si>
    <r>
      <rPr>
        <sz val="18"/>
        <color theme="1"/>
        <rFont val="等线"/>
        <family val="3"/>
        <charset val="134"/>
      </rPr>
      <t>钙（</t>
    </r>
    <r>
      <rPr>
        <sz val="18"/>
        <color theme="1"/>
        <rFont val="Calibri"/>
        <family val="2"/>
      </rPr>
      <t>Ca2</t>
    </r>
    <r>
      <rPr>
        <sz val="18"/>
        <color theme="1"/>
        <rFont val="等线"/>
        <family val="3"/>
        <charset val="134"/>
      </rPr>
      <t>）</t>
    </r>
  </si>
  <si>
    <r>
      <rPr>
        <sz val="18"/>
        <color theme="1"/>
        <rFont val="等线"/>
        <family val="3"/>
        <charset val="134"/>
      </rPr>
      <t>总胆固醇（</t>
    </r>
    <r>
      <rPr>
        <sz val="18"/>
        <color theme="1"/>
        <rFont val="Calibri"/>
        <family val="2"/>
      </rPr>
      <t>TCHO</t>
    </r>
    <r>
      <rPr>
        <sz val="18"/>
        <color theme="1"/>
        <rFont val="等线"/>
        <family val="3"/>
        <charset val="134"/>
      </rPr>
      <t>）</t>
    </r>
  </si>
  <si>
    <t>CHOL</t>
  </si>
  <si>
    <r>
      <rPr>
        <sz val="18"/>
        <color theme="1"/>
        <rFont val="等线"/>
        <family val="3"/>
        <charset val="134"/>
      </rPr>
      <t>肌酸激酶</t>
    </r>
    <phoneticPr fontId="67" type="noConversion"/>
  </si>
  <si>
    <r>
      <rPr>
        <sz val="18"/>
        <color theme="1"/>
        <rFont val="等线"/>
        <family val="3"/>
        <charset val="134"/>
      </rPr>
      <t>氯（</t>
    </r>
    <r>
      <rPr>
        <sz val="18"/>
        <color theme="1"/>
        <rFont val="Calibri"/>
        <family val="2"/>
      </rPr>
      <t>Cl</t>
    </r>
    <r>
      <rPr>
        <sz val="18"/>
        <color theme="1"/>
        <rFont val="等线"/>
        <family val="3"/>
        <charset val="134"/>
      </rPr>
      <t>）</t>
    </r>
  </si>
  <si>
    <r>
      <rPr>
        <sz val="18"/>
        <color theme="1"/>
        <rFont val="等线"/>
        <family val="3"/>
        <charset val="134"/>
      </rPr>
      <t>血生化</t>
    </r>
    <r>
      <rPr>
        <sz val="18"/>
        <color theme="1"/>
        <rFont val="Calibri"/>
        <family val="2"/>
      </rPr>
      <t>_</t>
    </r>
    <r>
      <rPr>
        <sz val="18"/>
        <color theme="1"/>
        <rFont val="等线"/>
        <family val="3"/>
        <charset val="134"/>
      </rPr>
      <t>氯</t>
    </r>
  </si>
  <si>
    <r>
      <rPr>
        <sz val="18"/>
        <color theme="1"/>
        <rFont val="等线"/>
        <family val="3"/>
        <charset val="134"/>
      </rPr>
      <t>总二氧化碳（</t>
    </r>
    <r>
      <rPr>
        <sz val="18"/>
        <color theme="1"/>
        <rFont val="Calibri"/>
        <family val="2"/>
      </rPr>
      <t>TCO2</t>
    </r>
    <r>
      <rPr>
        <sz val="18"/>
        <color theme="1"/>
        <rFont val="等线"/>
        <family val="3"/>
        <charset val="134"/>
      </rPr>
      <t>）</t>
    </r>
  </si>
  <si>
    <t>CO2</t>
  </si>
  <si>
    <r>
      <rPr>
        <sz val="18"/>
        <color theme="1"/>
        <rFont val="等线"/>
        <family val="3"/>
        <charset val="134"/>
      </rPr>
      <t>血肌酐（</t>
    </r>
    <r>
      <rPr>
        <sz val="18"/>
        <color theme="1"/>
        <rFont val="Calibri"/>
        <family val="2"/>
      </rPr>
      <t>CREA</t>
    </r>
    <r>
      <rPr>
        <sz val="18"/>
        <color theme="1"/>
        <rFont val="等线"/>
        <family val="3"/>
        <charset val="134"/>
      </rPr>
      <t>）</t>
    </r>
    <phoneticPr fontId="67" type="noConversion"/>
  </si>
  <si>
    <r>
      <rPr>
        <sz val="18"/>
        <color theme="1"/>
        <rFont val="等线"/>
        <family val="3"/>
        <charset val="134"/>
      </rPr>
      <t>肌酐清除率</t>
    </r>
    <phoneticPr fontId="67" type="noConversion"/>
  </si>
  <si>
    <r>
      <rPr>
        <sz val="18"/>
        <color theme="1"/>
        <rFont val="等线"/>
        <family val="3"/>
        <charset val="134"/>
      </rPr>
      <t>肌酐清除率</t>
    </r>
  </si>
  <si>
    <r>
      <rPr>
        <sz val="18"/>
        <color theme="1"/>
        <rFont val="等线"/>
        <family val="3"/>
        <charset val="134"/>
      </rPr>
      <t>铁蛋白</t>
    </r>
  </si>
  <si>
    <t>FERRITIN</t>
    <phoneticPr fontId="67" type="noConversion"/>
  </si>
  <si>
    <r>
      <t>γ-</t>
    </r>
    <r>
      <rPr>
        <sz val="18"/>
        <color theme="1"/>
        <rFont val="等线"/>
        <family val="3"/>
        <charset val="134"/>
      </rPr>
      <t>谷氨酰转移酶（</t>
    </r>
    <r>
      <rPr>
        <sz val="18"/>
        <color theme="1"/>
        <rFont val="Calibri"/>
        <family val="2"/>
      </rPr>
      <t>GGT</t>
    </r>
    <r>
      <rPr>
        <sz val="18"/>
        <color theme="1"/>
        <rFont val="等线"/>
        <family val="3"/>
        <charset val="134"/>
      </rPr>
      <t>）</t>
    </r>
  </si>
  <si>
    <r>
      <rPr>
        <sz val="18"/>
        <color theme="1"/>
        <rFont val="等线"/>
        <family val="3"/>
        <charset val="134"/>
      </rPr>
      <t>血生化</t>
    </r>
    <r>
      <rPr>
        <sz val="18"/>
        <color theme="1"/>
        <rFont val="Calibri"/>
        <family val="2"/>
      </rPr>
      <t>_γ-</t>
    </r>
    <r>
      <rPr>
        <sz val="18"/>
        <color theme="1"/>
        <rFont val="等线"/>
        <family val="3"/>
        <charset val="134"/>
      </rPr>
      <t>谷氨酰基转移酶</t>
    </r>
  </si>
  <si>
    <r>
      <rPr>
        <sz val="18"/>
        <color theme="1"/>
        <rFont val="等线"/>
        <family val="3"/>
        <charset val="134"/>
      </rPr>
      <t>肝功八项</t>
    </r>
    <r>
      <rPr>
        <sz val="18"/>
        <color theme="1"/>
        <rFont val="Calibri"/>
        <family val="2"/>
      </rPr>
      <t>_</t>
    </r>
    <r>
      <rPr>
        <sz val="18"/>
        <color theme="1"/>
        <rFont val="等线"/>
        <family val="3"/>
        <charset val="134"/>
      </rPr>
      <t>谷胱甘肽还原酶</t>
    </r>
  </si>
  <si>
    <r>
      <rPr>
        <sz val="18"/>
        <color theme="1"/>
        <rFont val="等线"/>
        <family val="3"/>
        <charset val="134"/>
      </rPr>
      <t>谷胱甘肽还原酶</t>
    </r>
  </si>
  <si>
    <r>
      <rPr>
        <sz val="18"/>
        <color theme="1"/>
        <rFont val="等线"/>
        <family val="3"/>
        <charset val="134"/>
      </rPr>
      <t>血生化</t>
    </r>
    <phoneticPr fontId="67" type="noConversion"/>
  </si>
  <si>
    <r>
      <rPr>
        <sz val="18"/>
        <color theme="1"/>
        <rFont val="等线"/>
        <family val="3"/>
        <charset val="134"/>
      </rPr>
      <t>空腹葡萄糖（</t>
    </r>
    <r>
      <rPr>
        <sz val="18"/>
        <color theme="1"/>
        <rFont val="Calibri"/>
        <family val="2"/>
      </rPr>
      <t>GLU</t>
    </r>
    <r>
      <rPr>
        <sz val="18"/>
        <color theme="1"/>
        <rFont val="等线"/>
        <family val="3"/>
        <charset val="134"/>
      </rPr>
      <t>）</t>
    </r>
    <phoneticPr fontId="67" type="noConversion"/>
  </si>
  <si>
    <r>
      <rPr>
        <sz val="18"/>
        <color theme="1"/>
        <rFont val="等线"/>
        <family val="3"/>
        <charset val="134"/>
      </rPr>
      <t>血生化</t>
    </r>
    <r>
      <rPr>
        <sz val="18"/>
        <color theme="1"/>
        <rFont val="Calibri"/>
        <family val="2"/>
      </rPr>
      <t>_</t>
    </r>
    <r>
      <rPr>
        <sz val="18"/>
        <color theme="1"/>
        <rFont val="等线"/>
        <family val="3"/>
        <charset val="134"/>
      </rPr>
      <t>葡萄糖</t>
    </r>
  </si>
  <si>
    <r>
      <rPr>
        <sz val="18"/>
        <color theme="1"/>
        <rFont val="等线"/>
        <family val="3"/>
        <charset val="134"/>
      </rPr>
      <t>高密度脂蛋白</t>
    </r>
    <r>
      <rPr>
        <sz val="18"/>
        <color theme="1"/>
        <rFont val="Calibri"/>
        <family val="2"/>
      </rPr>
      <t>(HDLC)</t>
    </r>
  </si>
  <si>
    <t>HDL</t>
  </si>
  <si>
    <r>
      <rPr>
        <sz val="18"/>
        <color theme="1"/>
        <rFont val="等线"/>
        <family val="3"/>
        <charset val="134"/>
      </rPr>
      <t>钾（</t>
    </r>
    <r>
      <rPr>
        <sz val="18"/>
        <color theme="1"/>
        <rFont val="Calibri"/>
        <family val="2"/>
      </rPr>
      <t>K</t>
    </r>
    <r>
      <rPr>
        <sz val="18"/>
        <color theme="1"/>
        <rFont val="等线"/>
        <family val="3"/>
        <charset val="134"/>
      </rPr>
      <t>）</t>
    </r>
  </si>
  <si>
    <r>
      <rPr>
        <sz val="18"/>
        <color theme="1"/>
        <rFont val="等线"/>
        <family val="3"/>
        <charset val="134"/>
      </rPr>
      <t>肝功能</t>
    </r>
    <r>
      <rPr>
        <sz val="18"/>
        <color theme="1"/>
        <rFont val="Calibri"/>
        <family val="2"/>
      </rPr>
      <t>_</t>
    </r>
    <r>
      <rPr>
        <sz val="18"/>
        <color theme="1"/>
        <rFont val="等线"/>
        <family val="3"/>
        <charset val="134"/>
      </rPr>
      <t>钾</t>
    </r>
    <phoneticPr fontId="67" type="noConversion"/>
  </si>
  <si>
    <r>
      <rPr>
        <sz val="18"/>
        <color theme="1"/>
        <rFont val="等线"/>
        <family val="3"/>
        <charset val="134"/>
      </rPr>
      <t>乳酸脱氢酶（</t>
    </r>
    <r>
      <rPr>
        <sz val="18"/>
        <color theme="1"/>
        <rFont val="Calibri"/>
        <family val="2"/>
      </rPr>
      <t>LDH</t>
    </r>
    <r>
      <rPr>
        <sz val="18"/>
        <color theme="1"/>
        <rFont val="等线"/>
        <family val="3"/>
        <charset val="134"/>
      </rPr>
      <t>）</t>
    </r>
  </si>
  <si>
    <r>
      <rPr>
        <sz val="18"/>
        <color theme="1"/>
        <rFont val="等线"/>
        <family val="3"/>
        <charset val="134"/>
      </rPr>
      <t>血生化</t>
    </r>
    <r>
      <rPr>
        <sz val="18"/>
        <color theme="1"/>
        <rFont val="Calibri"/>
        <family val="2"/>
      </rPr>
      <t>_</t>
    </r>
    <r>
      <rPr>
        <sz val="18"/>
        <color theme="1"/>
        <rFont val="等线"/>
        <family val="3"/>
        <charset val="134"/>
      </rPr>
      <t>低密度脂蛋白胆固醇</t>
    </r>
  </si>
  <si>
    <r>
      <rPr>
        <sz val="18"/>
        <color theme="1"/>
        <rFont val="等线"/>
        <family val="3"/>
        <charset val="134"/>
      </rPr>
      <t>低密度脂蛋白</t>
    </r>
    <r>
      <rPr>
        <sz val="18"/>
        <color theme="1"/>
        <rFont val="Calibri"/>
        <family val="2"/>
      </rPr>
      <t>(LDLC)</t>
    </r>
  </si>
  <si>
    <r>
      <rPr>
        <sz val="18"/>
        <color theme="1"/>
        <rFont val="等线"/>
        <family val="3"/>
        <charset val="134"/>
      </rPr>
      <t>血生化</t>
    </r>
    <r>
      <rPr>
        <sz val="18"/>
        <color theme="1"/>
        <rFont val="Calibri"/>
        <family val="2"/>
      </rPr>
      <t>_</t>
    </r>
    <r>
      <rPr>
        <sz val="18"/>
        <color theme="1"/>
        <rFont val="等线"/>
        <family val="3"/>
        <charset val="134"/>
      </rPr>
      <t>脂肪酶</t>
    </r>
  </si>
  <si>
    <r>
      <rPr>
        <sz val="18"/>
        <color theme="1"/>
        <rFont val="等线"/>
        <family val="3"/>
        <charset val="134"/>
      </rPr>
      <t>脂肪酶</t>
    </r>
  </si>
  <si>
    <r>
      <rPr>
        <sz val="18"/>
        <color theme="1"/>
        <rFont val="等线"/>
        <family val="3"/>
        <charset val="134"/>
      </rPr>
      <t>生化</t>
    </r>
    <r>
      <rPr>
        <sz val="18"/>
        <color theme="1"/>
        <rFont val="Calibri"/>
        <family val="2"/>
      </rPr>
      <t>_</t>
    </r>
    <r>
      <rPr>
        <sz val="18"/>
        <color theme="1"/>
        <rFont val="等线"/>
        <family val="3"/>
        <charset val="134"/>
      </rPr>
      <t>脂肪酶</t>
    </r>
  </si>
  <si>
    <r>
      <rPr>
        <sz val="18"/>
        <color theme="1"/>
        <rFont val="等线"/>
        <family val="3"/>
        <charset val="134"/>
      </rPr>
      <t>血生化</t>
    </r>
    <r>
      <rPr>
        <sz val="18"/>
        <color theme="1"/>
        <rFont val="Calibri"/>
        <family val="2"/>
      </rPr>
      <t>_</t>
    </r>
    <r>
      <rPr>
        <sz val="18"/>
        <color theme="1"/>
        <rFont val="等线"/>
        <family val="3"/>
        <charset val="134"/>
      </rPr>
      <t>镁离子（</t>
    </r>
    <r>
      <rPr>
        <sz val="18"/>
        <color theme="1"/>
        <rFont val="Calibri"/>
        <family val="2"/>
      </rPr>
      <t>Mg</t>
    </r>
    <r>
      <rPr>
        <sz val="18"/>
        <color theme="1"/>
        <rFont val="等线"/>
        <family val="3"/>
        <charset val="134"/>
      </rPr>
      <t>）</t>
    </r>
  </si>
  <si>
    <r>
      <rPr>
        <sz val="18"/>
        <color theme="1"/>
        <rFont val="等线"/>
        <family val="3"/>
        <charset val="134"/>
      </rPr>
      <t>镁离子（</t>
    </r>
    <r>
      <rPr>
        <sz val="18"/>
        <color theme="1"/>
        <rFont val="Calibri"/>
        <family val="2"/>
      </rPr>
      <t>Mg</t>
    </r>
    <r>
      <rPr>
        <sz val="18"/>
        <color theme="1"/>
        <rFont val="等线"/>
        <family val="3"/>
        <charset val="134"/>
      </rPr>
      <t>）</t>
    </r>
  </si>
  <si>
    <r>
      <rPr>
        <sz val="18"/>
        <color theme="1"/>
        <rFont val="等线"/>
        <family val="3"/>
        <charset val="134"/>
      </rPr>
      <t>血生化</t>
    </r>
    <r>
      <rPr>
        <sz val="18"/>
        <color theme="1"/>
        <rFont val="Calibri"/>
        <family val="2"/>
      </rPr>
      <t>_</t>
    </r>
    <r>
      <rPr>
        <sz val="18"/>
        <color theme="1"/>
        <rFont val="等线"/>
        <family val="3"/>
        <charset val="134"/>
      </rPr>
      <t>镁离子</t>
    </r>
  </si>
  <si>
    <r>
      <rPr>
        <sz val="18"/>
        <color theme="1"/>
        <rFont val="等线"/>
        <family val="3"/>
        <charset val="134"/>
      </rPr>
      <t>血生化</t>
    </r>
    <r>
      <rPr>
        <sz val="18"/>
        <color theme="1"/>
        <rFont val="Calibri"/>
        <family val="2"/>
      </rPr>
      <t>_</t>
    </r>
    <r>
      <rPr>
        <sz val="18"/>
        <color theme="1"/>
        <rFont val="等线"/>
        <family val="3"/>
        <charset val="134"/>
      </rPr>
      <t>镁</t>
    </r>
  </si>
  <si>
    <r>
      <rPr>
        <sz val="18"/>
        <color theme="1"/>
        <rFont val="等线"/>
        <family val="3"/>
        <charset val="134"/>
      </rPr>
      <t>血生化</t>
    </r>
    <r>
      <rPr>
        <sz val="18"/>
        <color theme="1"/>
        <rFont val="Calibri"/>
        <family val="2"/>
      </rPr>
      <t>_</t>
    </r>
    <r>
      <rPr>
        <sz val="18"/>
        <color theme="1"/>
        <rFont val="等线"/>
        <family val="3"/>
        <charset val="134"/>
      </rPr>
      <t>非高密度脂蛋白胆固醇</t>
    </r>
  </si>
  <si>
    <r>
      <rPr>
        <sz val="18"/>
        <color theme="1"/>
        <rFont val="等线"/>
        <family val="3"/>
        <charset val="134"/>
      </rPr>
      <t>非高密度脂蛋白胆固醇</t>
    </r>
  </si>
  <si>
    <r>
      <rPr>
        <sz val="18"/>
        <color theme="1"/>
        <rFont val="等线"/>
        <family val="3"/>
        <charset val="134"/>
      </rPr>
      <t>血生化</t>
    </r>
    <r>
      <rPr>
        <sz val="18"/>
        <color theme="1"/>
        <rFont val="Calibri"/>
        <family val="2"/>
      </rPr>
      <t>_</t>
    </r>
    <r>
      <rPr>
        <sz val="18"/>
        <color theme="1"/>
        <rFont val="等线"/>
        <family val="3"/>
        <charset val="134"/>
      </rPr>
      <t>非高密度脂蛋白胆固醇</t>
    </r>
    <r>
      <rPr>
        <sz val="18"/>
        <color theme="1"/>
        <rFont val="Calibri"/>
        <family val="2"/>
      </rPr>
      <t>dL</t>
    </r>
  </si>
  <si>
    <r>
      <rPr>
        <sz val="18"/>
        <color theme="1"/>
        <rFont val="等线"/>
        <family val="3"/>
        <charset val="134"/>
      </rPr>
      <t>血样</t>
    </r>
    <r>
      <rPr>
        <sz val="18"/>
        <color theme="1"/>
        <rFont val="Calibri"/>
        <family val="2"/>
      </rPr>
      <t>_</t>
    </r>
    <r>
      <rPr>
        <sz val="18"/>
        <color theme="1"/>
        <rFont val="等线"/>
        <family val="3"/>
        <charset val="134"/>
      </rPr>
      <t>降钙素原</t>
    </r>
    <phoneticPr fontId="67" type="noConversion"/>
  </si>
  <si>
    <r>
      <rPr>
        <sz val="18"/>
        <color theme="1"/>
        <rFont val="等线"/>
        <family val="3"/>
        <charset val="134"/>
      </rPr>
      <t>降钙素原</t>
    </r>
  </si>
  <si>
    <t>PCT</t>
    <phoneticPr fontId="67" type="noConversion"/>
  </si>
  <si>
    <r>
      <rPr>
        <sz val="18"/>
        <color theme="1"/>
        <rFont val="等线"/>
        <family val="3"/>
        <charset val="134"/>
      </rPr>
      <t>血液</t>
    </r>
    <r>
      <rPr>
        <sz val="18"/>
        <color theme="1"/>
        <rFont val="Calibri"/>
        <family val="2"/>
      </rPr>
      <t>_</t>
    </r>
    <r>
      <rPr>
        <sz val="18"/>
        <color theme="1"/>
        <rFont val="等线"/>
        <family val="3"/>
        <charset val="134"/>
      </rPr>
      <t>降钙素原</t>
    </r>
    <phoneticPr fontId="67" type="noConversion"/>
  </si>
  <si>
    <t>PCT</t>
  </si>
  <si>
    <r>
      <rPr>
        <sz val="18"/>
        <color theme="1"/>
        <rFont val="等线"/>
        <family val="3"/>
        <charset val="134"/>
      </rPr>
      <t>血生化</t>
    </r>
    <r>
      <rPr>
        <sz val="18"/>
        <color theme="1"/>
        <rFont val="Calibri"/>
        <family val="2"/>
      </rPr>
      <t>_</t>
    </r>
    <r>
      <rPr>
        <sz val="18"/>
        <color theme="1"/>
        <rFont val="等线"/>
        <family val="3"/>
        <charset val="134"/>
      </rPr>
      <t>无机磷</t>
    </r>
  </si>
  <si>
    <r>
      <rPr>
        <sz val="18"/>
        <color theme="1"/>
        <rFont val="等线"/>
        <family val="3"/>
        <charset val="134"/>
      </rPr>
      <t>无机磷</t>
    </r>
  </si>
  <si>
    <t>PHOS</t>
  </si>
  <si>
    <r>
      <rPr>
        <sz val="18"/>
        <color theme="1"/>
        <rFont val="等线"/>
        <family val="3"/>
        <charset val="134"/>
      </rPr>
      <t>总蛋白（</t>
    </r>
    <r>
      <rPr>
        <sz val="18"/>
        <color theme="1"/>
        <rFont val="Calibri"/>
        <family val="2"/>
      </rPr>
      <t>TP</t>
    </r>
    <r>
      <rPr>
        <sz val="18"/>
        <color theme="1"/>
        <rFont val="等线"/>
        <family val="3"/>
        <charset val="134"/>
      </rPr>
      <t>）</t>
    </r>
  </si>
  <si>
    <r>
      <rPr>
        <sz val="18"/>
        <color theme="1"/>
        <rFont val="等线"/>
        <family val="3"/>
        <charset val="134"/>
      </rPr>
      <t>钠（</t>
    </r>
    <r>
      <rPr>
        <sz val="18"/>
        <color theme="1"/>
        <rFont val="Calibri"/>
        <family val="2"/>
      </rPr>
      <t>Na</t>
    </r>
    <r>
      <rPr>
        <sz val="18"/>
        <color theme="1"/>
        <rFont val="等线"/>
        <family val="3"/>
        <charset val="134"/>
      </rPr>
      <t>）</t>
    </r>
  </si>
  <si>
    <t>SODIUM</t>
  </si>
  <si>
    <r>
      <rPr>
        <sz val="18"/>
        <color theme="1"/>
        <rFont val="等线"/>
        <family val="3"/>
        <charset val="134"/>
      </rPr>
      <t>血生化</t>
    </r>
    <r>
      <rPr>
        <sz val="18"/>
        <color theme="1"/>
        <rFont val="Calibri"/>
        <family val="2"/>
      </rPr>
      <t>_</t>
    </r>
    <r>
      <rPr>
        <sz val="18"/>
        <color theme="1"/>
        <rFont val="等线"/>
        <family val="3"/>
        <charset val="134"/>
      </rPr>
      <t>钠</t>
    </r>
  </si>
  <si>
    <r>
      <rPr>
        <sz val="18"/>
        <color theme="1"/>
        <rFont val="等线"/>
        <family val="3"/>
        <charset val="134"/>
      </rPr>
      <t>甘油三酯（</t>
    </r>
    <r>
      <rPr>
        <sz val="18"/>
        <color theme="1"/>
        <rFont val="Calibri"/>
        <family val="2"/>
      </rPr>
      <t>TG</t>
    </r>
    <r>
      <rPr>
        <sz val="18"/>
        <color theme="1"/>
        <rFont val="等线"/>
        <family val="3"/>
        <charset val="134"/>
      </rPr>
      <t>）</t>
    </r>
  </si>
  <si>
    <r>
      <rPr>
        <sz val="18"/>
        <color theme="1"/>
        <rFont val="等线"/>
        <family val="3"/>
        <charset val="134"/>
      </rPr>
      <t>肾功能</t>
    </r>
    <r>
      <rPr>
        <sz val="18"/>
        <color theme="1"/>
        <rFont val="Calibri"/>
        <family val="2"/>
      </rPr>
      <t>_</t>
    </r>
    <r>
      <rPr>
        <sz val="18"/>
        <color theme="1"/>
        <rFont val="等线"/>
        <family val="3"/>
        <charset val="134"/>
      </rPr>
      <t>肌酐</t>
    </r>
  </si>
  <si>
    <t>肌酐</t>
    <phoneticPr fontId="67" type="noConversion"/>
  </si>
  <si>
    <t>UREAT</t>
    <phoneticPr fontId="67" type="noConversion"/>
  </si>
  <si>
    <t>UCREAT</t>
    <phoneticPr fontId="67" type="noConversion"/>
  </si>
  <si>
    <r>
      <rPr>
        <sz val="18"/>
        <color theme="1"/>
        <rFont val="等线"/>
        <family val="3"/>
        <charset val="134"/>
      </rPr>
      <t>尿酸（</t>
    </r>
    <r>
      <rPr>
        <sz val="18"/>
        <color theme="1"/>
        <rFont val="Calibri"/>
        <family val="2"/>
      </rPr>
      <t>UA</t>
    </r>
    <r>
      <rPr>
        <sz val="18"/>
        <color theme="1"/>
        <rFont val="等线"/>
        <family val="3"/>
        <charset val="134"/>
      </rPr>
      <t>）</t>
    </r>
  </si>
  <si>
    <t>URATE</t>
  </si>
  <si>
    <r>
      <rPr>
        <sz val="18"/>
        <color theme="1"/>
        <rFont val="等线"/>
        <family val="3"/>
        <charset val="134"/>
      </rPr>
      <t>尿素（</t>
    </r>
    <r>
      <rPr>
        <sz val="18"/>
        <color theme="1"/>
        <rFont val="Calibri"/>
        <family val="2"/>
      </rPr>
      <t>UREA</t>
    </r>
    <r>
      <rPr>
        <sz val="18"/>
        <color theme="1"/>
        <rFont val="等线"/>
        <family val="3"/>
        <charset val="134"/>
      </rPr>
      <t>）</t>
    </r>
  </si>
  <si>
    <t>UREA</t>
  </si>
  <si>
    <r>
      <rPr>
        <sz val="18"/>
        <color theme="1"/>
        <rFont val="等线"/>
        <family val="3"/>
        <charset val="134"/>
      </rPr>
      <t>尿素氮（</t>
    </r>
    <r>
      <rPr>
        <sz val="18"/>
        <color theme="1"/>
        <rFont val="Calibri"/>
        <family val="2"/>
      </rPr>
      <t>BUN</t>
    </r>
    <r>
      <rPr>
        <sz val="18"/>
        <color theme="1"/>
        <rFont val="等线"/>
        <family val="3"/>
        <charset val="134"/>
      </rPr>
      <t>）</t>
    </r>
  </si>
  <si>
    <t>UREAN</t>
    <phoneticPr fontId="67" type="noConversion"/>
  </si>
  <si>
    <r>
      <rPr>
        <sz val="18"/>
        <color theme="1"/>
        <rFont val="等线"/>
        <family val="3"/>
        <charset val="134"/>
      </rPr>
      <t>血生化</t>
    </r>
    <r>
      <rPr>
        <sz val="18"/>
        <color theme="1"/>
        <rFont val="Calibri"/>
        <family val="2"/>
      </rPr>
      <t>_</t>
    </r>
    <r>
      <rPr>
        <sz val="18"/>
        <color theme="1"/>
        <rFont val="等线"/>
        <family val="3"/>
        <charset val="134"/>
      </rPr>
      <t>极低密度脂蛋白胆固醇</t>
    </r>
    <r>
      <rPr>
        <sz val="18"/>
        <color theme="1"/>
        <rFont val="Calibri"/>
        <family val="2"/>
      </rPr>
      <t>dL</t>
    </r>
  </si>
  <si>
    <r>
      <rPr>
        <sz val="18"/>
        <color theme="1"/>
        <rFont val="等线"/>
        <family val="3"/>
        <charset val="134"/>
      </rPr>
      <t>极低密度脂蛋白胆固醇</t>
    </r>
  </si>
  <si>
    <r>
      <rPr>
        <sz val="18"/>
        <color theme="1"/>
        <rFont val="等线"/>
        <family val="3"/>
        <charset val="134"/>
      </rPr>
      <t>血生化</t>
    </r>
    <r>
      <rPr>
        <sz val="18"/>
        <color theme="1"/>
        <rFont val="Calibri"/>
        <family val="2"/>
      </rPr>
      <t>_</t>
    </r>
    <r>
      <rPr>
        <sz val="18"/>
        <color theme="1"/>
        <rFont val="等线"/>
        <family val="3"/>
        <charset val="134"/>
      </rPr>
      <t>极低密度脂蛋白胆固醇</t>
    </r>
  </si>
  <si>
    <r>
      <rPr>
        <sz val="18"/>
        <color theme="1"/>
        <rFont val="等线"/>
        <family val="3"/>
        <charset val="134"/>
      </rPr>
      <t>凝血功能</t>
    </r>
  </si>
  <si>
    <r>
      <rPr>
        <sz val="18"/>
        <color theme="1"/>
        <rFont val="等线"/>
        <family val="3"/>
        <charset val="134"/>
      </rPr>
      <t>活化部分凝血活酶时间（</t>
    </r>
    <r>
      <rPr>
        <sz val="18"/>
        <color theme="1"/>
        <rFont val="Calibri"/>
        <family val="2"/>
      </rPr>
      <t>APTT</t>
    </r>
    <r>
      <rPr>
        <sz val="18"/>
        <color theme="1"/>
        <rFont val="等线"/>
        <family val="3"/>
        <charset val="134"/>
      </rPr>
      <t>）</t>
    </r>
    <phoneticPr fontId="67" type="noConversion"/>
  </si>
  <si>
    <r>
      <t xml:space="preserve">D </t>
    </r>
    <r>
      <rPr>
        <sz val="18"/>
        <color theme="1"/>
        <rFont val="等线"/>
        <family val="3"/>
        <charset val="134"/>
      </rPr>
      <t>二聚体测定</t>
    </r>
  </si>
  <si>
    <r>
      <t>D-</t>
    </r>
    <r>
      <rPr>
        <sz val="18"/>
        <color theme="1"/>
        <rFont val="等线"/>
        <family val="3"/>
        <charset val="134"/>
      </rPr>
      <t>二聚体</t>
    </r>
    <phoneticPr fontId="67" type="noConversion"/>
  </si>
  <si>
    <r>
      <t>D</t>
    </r>
    <r>
      <rPr>
        <sz val="18"/>
        <color theme="1"/>
        <rFont val="等线"/>
        <family val="3"/>
        <charset val="134"/>
      </rPr>
      <t>二聚体测定</t>
    </r>
  </si>
  <si>
    <r>
      <rPr>
        <sz val="18"/>
        <color theme="1"/>
        <rFont val="等线"/>
        <family val="3"/>
        <charset val="134"/>
      </rPr>
      <t>凝血功能</t>
    </r>
    <r>
      <rPr>
        <sz val="18"/>
        <color theme="1"/>
        <rFont val="Calibri"/>
        <family val="2"/>
      </rPr>
      <t xml:space="preserve">_D </t>
    </r>
    <r>
      <rPr>
        <sz val="18"/>
        <color theme="1"/>
        <rFont val="等线"/>
        <family val="3"/>
        <charset val="134"/>
      </rPr>
      <t>二聚体测定</t>
    </r>
  </si>
  <si>
    <r>
      <rPr>
        <sz val="18"/>
        <color theme="1"/>
        <rFont val="等线"/>
        <family val="3"/>
        <charset val="134"/>
      </rPr>
      <t>凝血功能</t>
    </r>
    <r>
      <rPr>
        <sz val="18"/>
        <color theme="1"/>
        <rFont val="Calibri"/>
        <family val="2"/>
      </rPr>
      <t>_D-</t>
    </r>
    <r>
      <rPr>
        <sz val="18"/>
        <color theme="1"/>
        <rFont val="等线"/>
        <family val="3"/>
        <charset val="134"/>
      </rPr>
      <t>二聚体测定</t>
    </r>
  </si>
  <si>
    <r>
      <rPr>
        <sz val="18"/>
        <color theme="1"/>
        <rFont val="等线"/>
        <family val="3"/>
        <charset val="134"/>
      </rPr>
      <t>国际标准化比值（</t>
    </r>
    <r>
      <rPr>
        <sz val="18"/>
        <color theme="1"/>
        <rFont val="Calibri"/>
        <family val="2"/>
      </rPr>
      <t>INR</t>
    </r>
    <r>
      <rPr>
        <sz val="18"/>
        <color theme="1"/>
        <rFont val="等线"/>
        <family val="3"/>
        <charset val="134"/>
      </rPr>
      <t>）</t>
    </r>
    <phoneticPr fontId="67" type="noConversion"/>
  </si>
  <si>
    <r>
      <rPr>
        <sz val="18"/>
        <color theme="1"/>
        <rFont val="等线"/>
        <family val="3"/>
        <charset val="134"/>
      </rPr>
      <t>凝血酶原时间（</t>
    </r>
    <r>
      <rPr>
        <sz val="18"/>
        <color theme="1"/>
        <rFont val="Calibri"/>
        <family val="2"/>
      </rPr>
      <t>PT</t>
    </r>
    <r>
      <rPr>
        <sz val="18"/>
        <color theme="1"/>
        <rFont val="等线"/>
        <family val="3"/>
        <charset val="134"/>
      </rPr>
      <t>）</t>
    </r>
  </si>
  <si>
    <r>
      <rPr>
        <sz val="18"/>
        <color theme="1"/>
        <rFont val="等线"/>
        <family val="3"/>
        <charset val="134"/>
      </rPr>
      <t>心肌酶谱</t>
    </r>
    <phoneticPr fontId="67" type="noConversion"/>
  </si>
  <si>
    <r>
      <rPr>
        <sz val="18"/>
        <color theme="1"/>
        <rFont val="等线"/>
        <family val="3"/>
        <charset val="134"/>
      </rPr>
      <t>肌酸激酶同工酶</t>
    </r>
    <phoneticPr fontId="67" type="noConversion"/>
  </si>
  <si>
    <r>
      <rPr>
        <sz val="18"/>
        <color theme="1"/>
        <rFont val="等线"/>
        <family val="3"/>
        <charset val="134"/>
      </rPr>
      <t>肌红蛋白</t>
    </r>
  </si>
  <si>
    <t>MGB</t>
  </si>
  <si>
    <r>
      <rPr>
        <sz val="18"/>
        <color theme="1"/>
        <rFont val="等线"/>
        <family val="3"/>
        <charset val="134"/>
      </rPr>
      <t>心肌酶谱</t>
    </r>
  </si>
  <si>
    <r>
      <rPr>
        <sz val="18"/>
        <color theme="1"/>
        <rFont val="等线"/>
        <family val="3"/>
        <charset val="134"/>
      </rPr>
      <t>心肌酶谱</t>
    </r>
    <r>
      <rPr>
        <sz val="18"/>
        <color theme="1"/>
        <rFont val="Calibri"/>
        <family val="2"/>
      </rPr>
      <t>_</t>
    </r>
    <r>
      <rPr>
        <sz val="18"/>
        <color theme="1"/>
        <rFont val="等线"/>
        <family val="3"/>
        <charset val="134"/>
      </rPr>
      <t>高敏肌钙蛋白</t>
    </r>
    <r>
      <rPr>
        <sz val="18"/>
        <color theme="1"/>
        <rFont val="Calibri"/>
        <family val="2"/>
      </rPr>
      <t>-I</t>
    </r>
  </si>
  <si>
    <r>
      <rPr>
        <sz val="18"/>
        <color theme="1"/>
        <rFont val="等线"/>
        <family val="3"/>
        <charset val="134"/>
      </rPr>
      <t>肌钙蛋白</t>
    </r>
    <r>
      <rPr>
        <sz val="18"/>
        <color theme="1"/>
        <rFont val="Calibri"/>
        <family val="2"/>
      </rPr>
      <t>-I</t>
    </r>
    <phoneticPr fontId="67" type="noConversion"/>
  </si>
  <si>
    <t>TROPONI</t>
    <phoneticPr fontId="67" type="noConversion"/>
  </si>
  <si>
    <t>TROPONI</t>
  </si>
  <si>
    <r>
      <rPr>
        <sz val="18"/>
        <color theme="1"/>
        <rFont val="等线"/>
        <family val="3"/>
        <charset val="134"/>
      </rPr>
      <t>肌钙蛋白</t>
    </r>
    <r>
      <rPr>
        <sz val="18"/>
        <color theme="1"/>
        <rFont val="Calibri"/>
        <family val="2"/>
      </rPr>
      <t>T/I</t>
    </r>
  </si>
  <si>
    <t>TROPONIN</t>
    <phoneticPr fontId="67" type="noConversion"/>
  </si>
  <si>
    <r>
      <t>肌钙蛋白</t>
    </r>
    <r>
      <rPr>
        <sz val="18"/>
        <color theme="1"/>
        <rFont val="Calibri"/>
        <family val="3"/>
        <charset val="134"/>
      </rPr>
      <t>T</t>
    </r>
  </si>
  <si>
    <r>
      <rPr>
        <sz val="18"/>
        <color theme="1"/>
        <rFont val="等线"/>
        <family val="3"/>
        <charset val="134"/>
      </rPr>
      <t>血生化</t>
    </r>
    <r>
      <rPr>
        <sz val="18"/>
        <color theme="1"/>
        <rFont val="Calibri"/>
        <family val="2"/>
      </rPr>
      <t>_</t>
    </r>
    <r>
      <rPr>
        <sz val="18"/>
        <color theme="1"/>
        <rFont val="等线"/>
        <family val="3"/>
        <charset val="134"/>
      </rPr>
      <t>肌钙蛋白</t>
    </r>
    <r>
      <rPr>
        <sz val="18"/>
        <color theme="1"/>
        <rFont val="Calibri"/>
        <family val="2"/>
      </rPr>
      <t>T</t>
    </r>
  </si>
  <si>
    <r>
      <t>肌钙蛋白</t>
    </r>
    <r>
      <rPr>
        <sz val="18"/>
        <color theme="1"/>
        <rFont val="Calibri"/>
        <family val="2"/>
      </rPr>
      <t>T</t>
    </r>
  </si>
  <si>
    <r>
      <rPr>
        <sz val="18"/>
        <color theme="1"/>
        <rFont val="等线"/>
        <family val="3"/>
        <charset val="134"/>
      </rPr>
      <t>甲功五项</t>
    </r>
    <r>
      <rPr>
        <sz val="18"/>
        <color theme="1"/>
        <rFont val="Calibri"/>
        <family val="2"/>
      </rPr>
      <t>_</t>
    </r>
    <r>
      <rPr>
        <sz val="18"/>
        <color theme="1"/>
        <rFont val="等线"/>
        <family val="3"/>
        <charset val="134"/>
      </rPr>
      <t>三碘甲状原氨酸</t>
    </r>
    <phoneticPr fontId="67" type="noConversion"/>
  </si>
  <si>
    <r>
      <rPr>
        <sz val="18"/>
        <color theme="1"/>
        <rFont val="等线"/>
        <family val="3"/>
        <charset val="134"/>
      </rPr>
      <t>甲状腺功能</t>
    </r>
  </si>
  <si>
    <t>三碘甲状原氨酸</t>
    <phoneticPr fontId="67" type="noConversion"/>
  </si>
  <si>
    <t>T3</t>
  </si>
  <si>
    <r>
      <rPr>
        <sz val="18"/>
        <color theme="1"/>
        <rFont val="等线"/>
        <family val="3"/>
        <charset val="134"/>
      </rPr>
      <t>甲状腺功能</t>
    </r>
    <r>
      <rPr>
        <sz val="18"/>
        <color theme="1"/>
        <rFont val="Calibri"/>
        <family val="2"/>
      </rPr>
      <t>_</t>
    </r>
    <r>
      <rPr>
        <sz val="18"/>
        <color theme="1"/>
        <rFont val="等线"/>
        <family val="3"/>
        <charset val="134"/>
      </rPr>
      <t>三碘甲状原氨酸</t>
    </r>
  </si>
  <si>
    <r>
      <rPr>
        <sz val="18"/>
        <color theme="1"/>
        <rFont val="等线"/>
        <family val="3"/>
        <charset val="134"/>
      </rPr>
      <t>三碘甲状原氨酸</t>
    </r>
  </si>
  <si>
    <t>T3</t>
    <phoneticPr fontId="67" type="noConversion"/>
  </si>
  <si>
    <r>
      <rPr>
        <sz val="18"/>
        <color theme="1"/>
        <rFont val="等线"/>
        <family val="3"/>
        <charset val="134"/>
      </rPr>
      <t>血清游离三碘甲腺原氨酸（</t>
    </r>
    <r>
      <rPr>
        <sz val="18"/>
        <color theme="1"/>
        <rFont val="Calibri"/>
        <family val="2"/>
      </rPr>
      <t>FT3</t>
    </r>
    <r>
      <rPr>
        <sz val="18"/>
        <color theme="1"/>
        <rFont val="等线"/>
        <family val="3"/>
        <charset val="134"/>
      </rPr>
      <t>）</t>
    </r>
  </si>
  <si>
    <t>T3FR</t>
    <phoneticPr fontId="67" type="noConversion"/>
  </si>
  <si>
    <r>
      <rPr>
        <sz val="18"/>
        <color theme="1"/>
        <rFont val="等线"/>
        <family val="3"/>
        <charset val="134"/>
      </rPr>
      <t>其他计划外检查</t>
    </r>
    <phoneticPr fontId="67" type="noConversion"/>
  </si>
  <si>
    <r>
      <rPr>
        <sz val="18"/>
        <color theme="1"/>
        <rFont val="等线"/>
        <family val="3"/>
        <charset val="134"/>
      </rPr>
      <t>甲功五项</t>
    </r>
    <r>
      <rPr>
        <sz val="18"/>
        <color theme="1"/>
        <rFont val="Calibri"/>
        <family val="2"/>
      </rPr>
      <t>_</t>
    </r>
    <r>
      <rPr>
        <sz val="18"/>
        <color theme="1"/>
        <rFont val="等线"/>
        <family val="3"/>
        <charset val="134"/>
      </rPr>
      <t>游离三碘甲状原氨酸</t>
    </r>
    <phoneticPr fontId="67" type="noConversion"/>
  </si>
  <si>
    <r>
      <rPr>
        <sz val="18"/>
        <color theme="1"/>
        <rFont val="等线"/>
        <family val="3"/>
        <charset val="134"/>
      </rPr>
      <t>甲状腺功能</t>
    </r>
    <r>
      <rPr>
        <sz val="18"/>
        <color theme="1"/>
        <rFont val="Calibri"/>
        <family val="2"/>
      </rPr>
      <t>_</t>
    </r>
    <r>
      <rPr>
        <sz val="18"/>
        <color theme="1"/>
        <rFont val="等线"/>
        <family val="3"/>
        <charset val="134"/>
      </rPr>
      <t>游离三碘甲状原氨酸</t>
    </r>
  </si>
  <si>
    <r>
      <rPr>
        <sz val="18"/>
        <color theme="1"/>
        <rFont val="等线"/>
        <family val="3"/>
        <charset val="134"/>
      </rPr>
      <t>甲功五项</t>
    </r>
    <r>
      <rPr>
        <sz val="18"/>
        <color theme="1"/>
        <rFont val="Calibri"/>
        <family val="2"/>
      </rPr>
      <t>_</t>
    </r>
    <r>
      <rPr>
        <sz val="18"/>
        <color theme="1"/>
        <rFont val="等线"/>
        <family val="3"/>
        <charset val="134"/>
      </rPr>
      <t>甲状腺激素</t>
    </r>
    <phoneticPr fontId="67" type="noConversion"/>
  </si>
  <si>
    <t>甲状腺激素</t>
    <phoneticPr fontId="67" type="noConversion"/>
  </si>
  <si>
    <t>T4</t>
  </si>
  <si>
    <r>
      <rPr>
        <sz val="18"/>
        <color theme="1"/>
        <rFont val="等线"/>
        <family val="3"/>
        <charset val="134"/>
      </rPr>
      <t>血清游离甲状腺素（</t>
    </r>
    <r>
      <rPr>
        <sz val="18"/>
        <color theme="1"/>
        <rFont val="Calibri"/>
        <family val="2"/>
      </rPr>
      <t>FT4</t>
    </r>
    <r>
      <rPr>
        <sz val="18"/>
        <color theme="1"/>
        <rFont val="等线"/>
        <family val="3"/>
        <charset val="134"/>
      </rPr>
      <t>）</t>
    </r>
  </si>
  <si>
    <t>T4FR</t>
  </si>
  <si>
    <r>
      <rPr>
        <sz val="18"/>
        <color theme="1"/>
        <rFont val="等线"/>
        <family val="3"/>
        <charset val="134"/>
      </rPr>
      <t>甲功五项</t>
    </r>
    <r>
      <rPr>
        <sz val="18"/>
        <color theme="1"/>
        <rFont val="Calibri"/>
        <family val="2"/>
      </rPr>
      <t>_</t>
    </r>
    <r>
      <rPr>
        <sz val="18"/>
        <color theme="1"/>
        <rFont val="等线"/>
        <family val="3"/>
        <charset val="134"/>
      </rPr>
      <t>游离甲状腺素</t>
    </r>
    <phoneticPr fontId="67" type="noConversion"/>
  </si>
  <si>
    <r>
      <rPr>
        <sz val="18"/>
        <color theme="1"/>
        <rFont val="等线"/>
        <family val="3"/>
        <charset val="134"/>
      </rPr>
      <t>甲功五项</t>
    </r>
    <r>
      <rPr>
        <sz val="18"/>
        <color theme="1"/>
        <rFont val="Calibri"/>
        <family val="2"/>
      </rPr>
      <t>_</t>
    </r>
    <r>
      <rPr>
        <sz val="18"/>
        <color theme="1"/>
        <rFont val="等线"/>
        <family val="3"/>
        <charset val="134"/>
      </rPr>
      <t>促甲状腺激素</t>
    </r>
    <phoneticPr fontId="67" type="noConversion"/>
  </si>
  <si>
    <r>
      <rPr>
        <sz val="18"/>
        <color theme="1"/>
        <rFont val="等线"/>
        <family val="3"/>
        <charset val="134"/>
      </rPr>
      <t>促甲状腺激素（</t>
    </r>
    <r>
      <rPr>
        <sz val="18"/>
        <color theme="1"/>
        <rFont val="Calibri"/>
        <family val="2"/>
      </rPr>
      <t>TSH</t>
    </r>
    <r>
      <rPr>
        <sz val="18"/>
        <color theme="1"/>
        <rFont val="等线"/>
        <family val="3"/>
        <charset val="134"/>
      </rPr>
      <t>）</t>
    </r>
    <phoneticPr fontId="67" type="noConversion"/>
  </si>
  <si>
    <r>
      <t>T</t>
    </r>
    <r>
      <rPr>
        <sz val="18"/>
        <color theme="1"/>
        <rFont val="等线"/>
        <family val="3"/>
        <charset val="134"/>
      </rPr>
      <t>细胞亚群</t>
    </r>
  </si>
  <si>
    <t>CD28TGP</t>
    <phoneticPr fontId="67" type="noConversion"/>
  </si>
  <si>
    <t>CDRA</t>
    <phoneticPr fontId="67" type="noConversion"/>
  </si>
  <si>
    <t>CD4CD8</t>
    <phoneticPr fontId="67" type="noConversion"/>
  </si>
  <si>
    <r>
      <rPr>
        <sz val="18"/>
        <color theme="1"/>
        <rFont val="等线"/>
        <family val="3"/>
        <charset val="134"/>
      </rPr>
      <t>超声</t>
    </r>
    <r>
      <rPr>
        <sz val="18"/>
        <color theme="1"/>
        <rFont val="Calibri"/>
        <family val="2"/>
      </rPr>
      <t>_</t>
    </r>
    <r>
      <rPr>
        <sz val="18"/>
        <color theme="1"/>
        <rFont val="等线"/>
        <family val="3"/>
        <charset val="134"/>
      </rPr>
      <t>肾上腺</t>
    </r>
  </si>
  <si>
    <r>
      <rPr>
        <sz val="18"/>
        <color theme="1"/>
        <rFont val="等线"/>
        <family val="3"/>
        <charset val="134"/>
      </rPr>
      <t>超声检查</t>
    </r>
  </si>
  <si>
    <t>肾上腺</t>
    <phoneticPr fontId="67" type="noConversion"/>
  </si>
  <si>
    <t>ADREGL</t>
    <phoneticPr fontId="67" type="noConversion"/>
  </si>
  <si>
    <r>
      <rPr>
        <sz val="18"/>
        <color theme="1"/>
        <rFont val="等线"/>
        <family val="3"/>
        <charset val="134"/>
      </rPr>
      <t>超声</t>
    </r>
    <r>
      <rPr>
        <sz val="18"/>
        <color theme="1"/>
        <rFont val="Calibri"/>
        <family val="2"/>
      </rPr>
      <t>_</t>
    </r>
    <r>
      <rPr>
        <sz val="18"/>
        <color theme="1"/>
        <rFont val="等线"/>
        <family val="3"/>
        <charset val="134"/>
      </rPr>
      <t>双侧下肢静脉彩超</t>
    </r>
  </si>
  <si>
    <t>双侧下肢静脉</t>
    <phoneticPr fontId="67" type="noConversion"/>
  </si>
  <si>
    <t>Bilateral lower limb veins</t>
    <phoneticPr fontId="67" type="noConversion"/>
  </si>
  <si>
    <t>BLLVEIN</t>
    <phoneticPr fontId="67" type="noConversion"/>
  </si>
  <si>
    <r>
      <rPr>
        <sz val="18"/>
        <color theme="1"/>
        <rFont val="等线"/>
        <family val="3"/>
        <charset val="134"/>
      </rPr>
      <t>心脏超声</t>
    </r>
    <phoneticPr fontId="67" type="noConversion"/>
  </si>
  <si>
    <t>HEART</t>
    <phoneticPr fontId="67" type="noConversion"/>
  </si>
  <si>
    <t>ECHOCARD</t>
    <phoneticPr fontId="67" type="noConversion"/>
  </si>
  <si>
    <r>
      <rPr>
        <sz val="18"/>
        <color theme="1"/>
        <rFont val="等线"/>
        <family val="3"/>
        <charset val="134"/>
      </rPr>
      <t>超声</t>
    </r>
    <r>
      <rPr>
        <sz val="18"/>
        <color theme="1"/>
        <rFont val="Calibri"/>
        <family val="2"/>
      </rPr>
      <t>_</t>
    </r>
    <r>
      <rPr>
        <sz val="18"/>
        <color theme="1"/>
        <rFont val="等线"/>
        <family val="3"/>
        <charset val="134"/>
      </rPr>
      <t>肝胆胰脾</t>
    </r>
  </si>
  <si>
    <t>肝胆胰脾</t>
    <phoneticPr fontId="67" type="noConversion"/>
  </si>
  <si>
    <t>LGPS</t>
    <phoneticPr fontId="67" type="noConversion"/>
  </si>
  <si>
    <r>
      <rPr>
        <sz val="18"/>
        <color theme="1"/>
        <rFont val="等线"/>
        <family val="3"/>
        <charset val="134"/>
      </rPr>
      <t>影像学检查</t>
    </r>
    <r>
      <rPr>
        <sz val="18"/>
        <color theme="1"/>
        <rFont val="Calibri"/>
        <family val="2"/>
      </rPr>
      <t>_</t>
    </r>
    <r>
      <rPr>
        <sz val="18"/>
        <color theme="1"/>
        <rFont val="等线"/>
        <family val="3"/>
        <charset val="134"/>
      </rPr>
      <t>肝、胆、胰、脾彩超检查</t>
    </r>
  </si>
  <si>
    <t>Liver, gallbladder, pancreas, spleen</t>
    <phoneticPr fontId="67" type="noConversion"/>
  </si>
  <si>
    <r>
      <rPr>
        <sz val="18"/>
        <color theme="1"/>
        <rFont val="等线"/>
        <family val="3"/>
        <charset val="134"/>
      </rPr>
      <t>超声</t>
    </r>
    <r>
      <rPr>
        <sz val="18"/>
        <color theme="1"/>
        <rFont val="Calibri"/>
        <family val="2"/>
      </rPr>
      <t>_</t>
    </r>
    <r>
      <rPr>
        <sz val="18"/>
        <color theme="1"/>
        <rFont val="等线"/>
        <family val="3"/>
        <charset val="134"/>
      </rPr>
      <t>腹膜</t>
    </r>
  </si>
  <si>
    <r>
      <rPr>
        <sz val="18"/>
        <color theme="1"/>
        <rFont val="等线"/>
        <family val="3"/>
        <charset val="134"/>
      </rPr>
      <t>超声检查</t>
    </r>
    <phoneticPr fontId="67" type="noConversion"/>
  </si>
  <si>
    <t>腹膜</t>
    <phoneticPr fontId="67" type="noConversion"/>
  </si>
  <si>
    <r>
      <rPr>
        <sz val="18"/>
        <color theme="1"/>
        <rFont val="等线"/>
        <family val="3"/>
        <charset val="134"/>
      </rPr>
      <t>超声检查</t>
    </r>
    <r>
      <rPr>
        <sz val="18"/>
        <color theme="1"/>
        <rFont val="Calibri"/>
        <family val="2"/>
      </rPr>
      <t>_</t>
    </r>
    <r>
      <rPr>
        <sz val="18"/>
        <color theme="1"/>
        <rFont val="等线"/>
        <family val="3"/>
        <charset val="134"/>
      </rPr>
      <t>浅表淋巴结彩色多普勒超声检查</t>
    </r>
  </si>
  <si>
    <t>浅表淋巴结</t>
    <phoneticPr fontId="67" type="noConversion"/>
  </si>
  <si>
    <t>SUPERFICIAL LYMPH NODE</t>
  </si>
  <si>
    <t>SUPERLY</t>
    <phoneticPr fontId="67" type="noConversion"/>
  </si>
  <si>
    <r>
      <rPr>
        <sz val="18"/>
        <color theme="1"/>
        <rFont val="等线"/>
        <family val="3"/>
        <charset val="134"/>
      </rPr>
      <t>检验</t>
    </r>
    <r>
      <rPr>
        <sz val="18"/>
        <color theme="1"/>
        <rFont val="Calibri"/>
        <family val="2"/>
      </rPr>
      <t>_</t>
    </r>
    <r>
      <rPr>
        <sz val="18"/>
        <color theme="1"/>
        <rFont val="等线"/>
        <family val="3"/>
        <charset val="134"/>
      </rPr>
      <t>甲胎蛋白</t>
    </r>
  </si>
  <si>
    <r>
      <rPr>
        <sz val="18"/>
        <color theme="1"/>
        <rFont val="等线"/>
        <family val="3"/>
        <charset val="134"/>
      </rPr>
      <t>肿瘤标志物</t>
    </r>
  </si>
  <si>
    <r>
      <rPr>
        <sz val="18"/>
        <color theme="1"/>
        <rFont val="等线"/>
        <family val="3"/>
        <charset val="134"/>
      </rPr>
      <t>甲胎蛋白</t>
    </r>
    <r>
      <rPr>
        <sz val="18"/>
        <color theme="1"/>
        <rFont val="Calibri"/>
        <family val="2"/>
      </rPr>
      <t>(AFP)</t>
    </r>
  </si>
  <si>
    <r>
      <rPr>
        <sz val="18"/>
        <color theme="1"/>
        <rFont val="等线"/>
        <family val="3"/>
        <charset val="134"/>
      </rPr>
      <t>标志物血清（粉）</t>
    </r>
    <r>
      <rPr>
        <sz val="18"/>
        <color theme="1"/>
        <rFont val="Calibri"/>
        <family val="2"/>
      </rPr>
      <t>_</t>
    </r>
    <r>
      <rPr>
        <sz val="18"/>
        <color theme="1"/>
        <rFont val="等线"/>
        <family val="3"/>
        <charset val="134"/>
      </rPr>
      <t>糖链抗原</t>
    </r>
    <r>
      <rPr>
        <sz val="18"/>
        <color theme="1"/>
        <rFont val="Calibri"/>
        <family val="2"/>
      </rPr>
      <t>125</t>
    </r>
  </si>
  <si>
    <r>
      <rPr>
        <sz val="18"/>
        <color theme="1"/>
        <rFont val="等线"/>
        <family val="3"/>
        <charset val="134"/>
      </rPr>
      <t>糖类抗原</t>
    </r>
    <r>
      <rPr>
        <sz val="18"/>
        <color theme="1"/>
        <rFont val="Calibri"/>
        <family val="2"/>
      </rPr>
      <t>125</t>
    </r>
  </si>
  <si>
    <r>
      <rPr>
        <sz val="18"/>
        <color theme="1"/>
        <rFont val="等线"/>
        <family val="3"/>
        <charset val="134"/>
      </rPr>
      <t>糖类抗原</t>
    </r>
    <r>
      <rPr>
        <sz val="18"/>
        <color theme="1"/>
        <rFont val="Calibri"/>
        <family val="2"/>
      </rPr>
      <t>125_</t>
    </r>
    <r>
      <rPr>
        <sz val="18"/>
        <color theme="1"/>
        <rFont val="等线"/>
        <family val="3"/>
        <charset val="134"/>
      </rPr>
      <t>糖类抗原</t>
    </r>
    <r>
      <rPr>
        <sz val="18"/>
        <color theme="1"/>
        <rFont val="Calibri"/>
        <family val="2"/>
      </rPr>
      <t>125</t>
    </r>
  </si>
  <si>
    <r>
      <rPr>
        <sz val="18"/>
        <color theme="1"/>
        <rFont val="等线"/>
        <family val="3"/>
        <charset val="134"/>
      </rPr>
      <t>检验</t>
    </r>
    <r>
      <rPr>
        <sz val="18"/>
        <color theme="1"/>
        <rFont val="Calibri"/>
        <family val="2"/>
      </rPr>
      <t>_</t>
    </r>
    <r>
      <rPr>
        <sz val="18"/>
        <color theme="1"/>
        <rFont val="等线"/>
        <family val="3"/>
        <charset val="134"/>
      </rPr>
      <t>糖链抗原</t>
    </r>
    <r>
      <rPr>
        <sz val="18"/>
        <color theme="1"/>
        <rFont val="Calibri"/>
        <family val="2"/>
      </rPr>
      <t>125</t>
    </r>
  </si>
  <si>
    <r>
      <rPr>
        <sz val="18"/>
        <color theme="1"/>
        <rFont val="等线"/>
        <family val="3"/>
        <charset val="134"/>
      </rPr>
      <t>糖链抗原</t>
    </r>
    <r>
      <rPr>
        <sz val="18"/>
        <color theme="1"/>
        <rFont val="Calibri"/>
        <family val="2"/>
      </rPr>
      <t>125(CA-125)</t>
    </r>
  </si>
  <si>
    <r>
      <rPr>
        <sz val="18"/>
        <color theme="1"/>
        <rFont val="等线"/>
        <family val="3"/>
        <charset val="134"/>
      </rPr>
      <t>糖类抗原</t>
    </r>
    <r>
      <rPr>
        <sz val="18"/>
        <color theme="1"/>
        <rFont val="Calibri"/>
        <family val="2"/>
      </rPr>
      <t>15-3_</t>
    </r>
    <r>
      <rPr>
        <sz val="18"/>
        <color theme="1"/>
        <rFont val="等线"/>
        <family val="3"/>
        <charset val="134"/>
      </rPr>
      <t>糖类抗原</t>
    </r>
    <r>
      <rPr>
        <sz val="18"/>
        <color theme="1"/>
        <rFont val="Calibri"/>
        <family val="2"/>
      </rPr>
      <t>15-3</t>
    </r>
  </si>
  <si>
    <r>
      <rPr>
        <sz val="18"/>
        <color theme="1"/>
        <rFont val="等线"/>
        <family val="3"/>
        <charset val="134"/>
      </rPr>
      <t>糖类抗原</t>
    </r>
    <r>
      <rPr>
        <sz val="18"/>
        <color theme="1"/>
        <rFont val="Calibri"/>
        <family val="2"/>
      </rPr>
      <t>15-3</t>
    </r>
  </si>
  <si>
    <r>
      <rPr>
        <sz val="18"/>
        <color theme="1"/>
        <rFont val="等线"/>
        <family val="3"/>
        <charset val="134"/>
      </rPr>
      <t>糖类抗原</t>
    </r>
    <r>
      <rPr>
        <sz val="18"/>
        <color theme="1"/>
        <rFont val="Calibri"/>
        <family val="2"/>
      </rPr>
      <t>153</t>
    </r>
  </si>
  <si>
    <r>
      <rPr>
        <sz val="18"/>
        <color theme="1"/>
        <rFont val="等线"/>
        <family val="3"/>
        <charset val="134"/>
      </rPr>
      <t>标志物血清（粉）</t>
    </r>
    <r>
      <rPr>
        <sz val="18"/>
        <color theme="1"/>
        <rFont val="Calibri"/>
        <family val="2"/>
      </rPr>
      <t>_</t>
    </r>
    <r>
      <rPr>
        <sz val="18"/>
        <color theme="1"/>
        <rFont val="等线"/>
        <family val="3"/>
        <charset val="134"/>
      </rPr>
      <t>糖链抗原</t>
    </r>
    <r>
      <rPr>
        <sz val="18"/>
        <color theme="1"/>
        <rFont val="Calibri"/>
        <family val="2"/>
      </rPr>
      <t>19-9</t>
    </r>
  </si>
  <si>
    <r>
      <rPr>
        <sz val="18"/>
        <color theme="1"/>
        <rFont val="等线"/>
        <family val="3"/>
        <charset val="134"/>
      </rPr>
      <t>糖类抗原</t>
    </r>
    <r>
      <rPr>
        <sz val="18"/>
        <color theme="1"/>
        <rFont val="Calibri"/>
        <family val="2"/>
      </rPr>
      <t>19-9</t>
    </r>
  </si>
  <si>
    <r>
      <rPr>
        <sz val="18"/>
        <color theme="1"/>
        <rFont val="等线"/>
        <family val="3"/>
        <charset val="134"/>
      </rPr>
      <t>糖类抗原</t>
    </r>
    <r>
      <rPr>
        <sz val="18"/>
        <color theme="1"/>
        <rFont val="Calibri"/>
        <family val="2"/>
      </rPr>
      <t>19-9_</t>
    </r>
    <r>
      <rPr>
        <sz val="18"/>
        <color theme="1"/>
        <rFont val="等线"/>
        <family val="3"/>
        <charset val="134"/>
      </rPr>
      <t>糖类抗原</t>
    </r>
    <r>
      <rPr>
        <sz val="18"/>
        <color theme="1"/>
        <rFont val="Calibri"/>
        <family val="2"/>
      </rPr>
      <t>19-9</t>
    </r>
  </si>
  <si>
    <r>
      <rPr>
        <sz val="18"/>
        <color theme="1"/>
        <rFont val="等线"/>
        <family val="3"/>
        <charset val="134"/>
      </rPr>
      <t>检验</t>
    </r>
    <r>
      <rPr>
        <sz val="18"/>
        <color theme="1"/>
        <rFont val="Calibri"/>
        <family val="2"/>
      </rPr>
      <t>_</t>
    </r>
    <r>
      <rPr>
        <sz val="18"/>
        <color theme="1"/>
        <rFont val="等线"/>
        <family val="3"/>
        <charset val="134"/>
      </rPr>
      <t>糖链抗原</t>
    </r>
    <r>
      <rPr>
        <sz val="18"/>
        <color theme="1"/>
        <rFont val="Calibri"/>
        <family val="2"/>
      </rPr>
      <t>19-9</t>
    </r>
  </si>
  <si>
    <r>
      <rPr>
        <sz val="18"/>
        <color theme="1"/>
        <rFont val="等线"/>
        <family val="3"/>
        <charset val="134"/>
      </rPr>
      <t>糖链抗原</t>
    </r>
    <r>
      <rPr>
        <sz val="18"/>
        <color theme="1"/>
        <rFont val="Calibri"/>
        <family val="2"/>
      </rPr>
      <t>19-9(CA19-9)</t>
    </r>
    <phoneticPr fontId="67" type="noConversion"/>
  </si>
  <si>
    <r>
      <rPr>
        <sz val="18"/>
        <color theme="1"/>
        <rFont val="等线"/>
        <family val="3"/>
        <charset val="134"/>
      </rPr>
      <t>糖链抗原</t>
    </r>
    <r>
      <rPr>
        <sz val="18"/>
        <color theme="1"/>
        <rFont val="Calibri"/>
        <family val="2"/>
      </rPr>
      <t>19-9</t>
    </r>
    <r>
      <rPr>
        <sz val="18"/>
        <color theme="1"/>
        <rFont val="等线"/>
        <family val="3"/>
        <charset val="134"/>
      </rPr>
      <t>（</t>
    </r>
    <r>
      <rPr>
        <sz val="18"/>
        <color theme="1"/>
        <rFont val="Calibri"/>
        <family val="2"/>
      </rPr>
      <t>CA19-9</t>
    </r>
    <r>
      <rPr>
        <sz val="18"/>
        <color theme="1"/>
        <rFont val="等线"/>
        <family val="3"/>
        <charset val="134"/>
      </rPr>
      <t>）</t>
    </r>
    <phoneticPr fontId="67" type="noConversion"/>
  </si>
  <si>
    <r>
      <rPr>
        <sz val="18"/>
        <color theme="1"/>
        <rFont val="等线"/>
        <family val="3"/>
        <charset val="134"/>
      </rPr>
      <t>糖类抗原</t>
    </r>
    <r>
      <rPr>
        <sz val="18"/>
        <color theme="1"/>
        <rFont val="Calibri"/>
        <family val="2"/>
      </rPr>
      <t>19-9</t>
    </r>
    <phoneticPr fontId="67" type="noConversion"/>
  </si>
  <si>
    <r>
      <rPr>
        <sz val="18"/>
        <color theme="1"/>
        <rFont val="等线"/>
        <family val="3"/>
        <charset val="134"/>
      </rPr>
      <t>标志物血清（粉）</t>
    </r>
    <r>
      <rPr>
        <sz val="18"/>
        <color theme="1"/>
        <rFont val="Calibri"/>
        <family val="2"/>
      </rPr>
      <t>_</t>
    </r>
    <r>
      <rPr>
        <sz val="18"/>
        <color theme="1"/>
        <rFont val="等线"/>
        <family val="3"/>
        <charset val="134"/>
      </rPr>
      <t>糖链抗原</t>
    </r>
    <r>
      <rPr>
        <sz val="18"/>
        <color theme="1"/>
        <rFont val="Calibri"/>
        <family val="2"/>
      </rPr>
      <t>242</t>
    </r>
  </si>
  <si>
    <r>
      <rPr>
        <sz val="18"/>
        <color theme="1"/>
        <rFont val="等线"/>
        <family val="3"/>
        <charset val="134"/>
      </rPr>
      <t>糖类抗原</t>
    </r>
    <r>
      <rPr>
        <sz val="18"/>
        <color theme="1"/>
        <rFont val="Calibri"/>
        <family val="2"/>
      </rPr>
      <t>242</t>
    </r>
    <phoneticPr fontId="67" type="noConversion"/>
  </si>
  <si>
    <r>
      <rPr>
        <sz val="18"/>
        <color theme="1"/>
        <rFont val="等线"/>
        <family val="3"/>
        <charset val="134"/>
      </rPr>
      <t>糖链抗原</t>
    </r>
    <r>
      <rPr>
        <sz val="18"/>
        <color theme="1"/>
        <rFont val="Calibri"/>
        <family val="2"/>
      </rPr>
      <t>242</t>
    </r>
  </si>
  <si>
    <r>
      <rPr>
        <sz val="18"/>
        <color theme="1"/>
        <rFont val="等线"/>
        <family val="3"/>
        <charset val="134"/>
      </rPr>
      <t>标志物血清（粉）</t>
    </r>
    <r>
      <rPr>
        <sz val="18"/>
        <color theme="1"/>
        <rFont val="Calibri"/>
        <family val="2"/>
      </rPr>
      <t>_</t>
    </r>
    <r>
      <rPr>
        <sz val="18"/>
        <color theme="1"/>
        <rFont val="等线"/>
        <family val="3"/>
        <charset val="134"/>
      </rPr>
      <t>糖链抗原</t>
    </r>
    <r>
      <rPr>
        <sz val="18"/>
        <color theme="1"/>
        <rFont val="Calibri"/>
        <family val="2"/>
      </rPr>
      <t>CA72-4</t>
    </r>
  </si>
  <si>
    <r>
      <rPr>
        <sz val="18"/>
        <color theme="1"/>
        <rFont val="等线"/>
        <family val="3"/>
        <charset val="134"/>
      </rPr>
      <t>糖类抗原</t>
    </r>
    <r>
      <rPr>
        <sz val="18"/>
        <color theme="1"/>
        <rFont val="Calibri"/>
        <family val="2"/>
      </rPr>
      <t>CA72-4</t>
    </r>
    <phoneticPr fontId="67" type="noConversion"/>
  </si>
  <si>
    <r>
      <rPr>
        <sz val="18"/>
        <color theme="1"/>
        <rFont val="等线"/>
        <family val="3"/>
        <charset val="134"/>
      </rPr>
      <t>糖类抗原</t>
    </r>
    <r>
      <rPr>
        <sz val="18"/>
        <color theme="1"/>
        <rFont val="Calibri"/>
        <family val="2"/>
      </rPr>
      <t>72-4_</t>
    </r>
    <r>
      <rPr>
        <sz val="18"/>
        <color theme="1"/>
        <rFont val="等线"/>
        <family val="3"/>
        <charset val="134"/>
      </rPr>
      <t>糖类抗原</t>
    </r>
    <r>
      <rPr>
        <sz val="18"/>
        <color theme="1"/>
        <rFont val="Calibri"/>
        <family val="2"/>
      </rPr>
      <t>72-4</t>
    </r>
  </si>
  <si>
    <r>
      <rPr>
        <sz val="18"/>
        <color theme="1"/>
        <rFont val="等线"/>
        <family val="3"/>
        <charset val="134"/>
      </rPr>
      <t>糖类抗原</t>
    </r>
    <r>
      <rPr>
        <sz val="18"/>
        <color theme="1"/>
        <rFont val="Calibri"/>
        <family val="2"/>
      </rPr>
      <t>CA72-4</t>
    </r>
  </si>
  <si>
    <r>
      <rPr>
        <sz val="18"/>
        <color theme="1"/>
        <rFont val="等线"/>
        <family val="3"/>
        <charset val="134"/>
      </rPr>
      <t>肿瘤二项</t>
    </r>
    <r>
      <rPr>
        <sz val="18"/>
        <color theme="1"/>
        <rFont val="Calibri"/>
        <family val="2"/>
      </rPr>
      <t>_</t>
    </r>
    <r>
      <rPr>
        <sz val="18"/>
        <color theme="1"/>
        <rFont val="等线"/>
        <family val="3"/>
        <charset val="134"/>
      </rPr>
      <t>癌胚抗原</t>
    </r>
  </si>
  <si>
    <t>癌胚抗原</t>
    <phoneticPr fontId="67" type="noConversion"/>
  </si>
  <si>
    <r>
      <rPr>
        <sz val="18"/>
        <color theme="1"/>
        <rFont val="等线"/>
        <family val="3"/>
        <charset val="134"/>
      </rPr>
      <t>检验</t>
    </r>
    <r>
      <rPr>
        <sz val="18"/>
        <color theme="1"/>
        <rFont val="Calibri"/>
        <family val="2"/>
      </rPr>
      <t>_</t>
    </r>
    <r>
      <rPr>
        <sz val="18"/>
        <color theme="1"/>
        <rFont val="等线"/>
        <family val="3"/>
        <charset val="134"/>
      </rPr>
      <t>癌胚抗原</t>
    </r>
  </si>
  <si>
    <r>
      <rPr>
        <sz val="18"/>
        <color theme="1"/>
        <rFont val="等线"/>
        <family val="3"/>
        <charset val="134"/>
      </rPr>
      <t>癌胚抗原</t>
    </r>
  </si>
  <si>
    <t>TUMA3</t>
    <phoneticPr fontId="67" type="noConversion"/>
  </si>
  <si>
    <r>
      <rPr>
        <sz val="18"/>
        <color theme="1"/>
        <rFont val="等线"/>
        <family val="3"/>
        <charset val="134"/>
      </rPr>
      <t>癌胚抗原</t>
    </r>
    <r>
      <rPr>
        <sz val="18"/>
        <color theme="1"/>
        <rFont val="Calibri"/>
        <family val="2"/>
      </rPr>
      <t>(CEA)</t>
    </r>
  </si>
  <si>
    <r>
      <rPr>
        <sz val="18"/>
        <color theme="1"/>
        <rFont val="等线"/>
        <family val="3"/>
        <charset val="134"/>
      </rPr>
      <t>细胞角蛋白</t>
    </r>
    <r>
      <rPr>
        <sz val="18"/>
        <color theme="1"/>
        <rFont val="Calibri"/>
        <family val="2"/>
      </rPr>
      <t>19</t>
    </r>
    <r>
      <rPr>
        <sz val="18"/>
        <color theme="1"/>
        <rFont val="等线"/>
        <family val="3"/>
        <charset val="134"/>
      </rPr>
      <t>片段</t>
    </r>
    <r>
      <rPr>
        <sz val="18"/>
        <color theme="1"/>
        <rFont val="Calibri"/>
        <family val="2"/>
      </rPr>
      <t>_</t>
    </r>
    <r>
      <rPr>
        <sz val="18"/>
        <color theme="1"/>
        <rFont val="等线"/>
        <family val="3"/>
        <charset val="134"/>
      </rPr>
      <t>细胞角蛋白</t>
    </r>
    <r>
      <rPr>
        <sz val="18"/>
        <color theme="1"/>
        <rFont val="Calibri"/>
        <family val="2"/>
      </rPr>
      <t>19</t>
    </r>
    <r>
      <rPr>
        <sz val="18"/>
        <color theme="1"/>
        <rFont val="等线"/>
        <family val="3"/>
        <charset val="134"/>
      </rPr>
      <t>片段</t>
    </r>
    <phoneticPr fontId="67" type="noConversion"/>
  </si>
  <si>
    <r>
      <rPr>
        <sz val="18"/>
        <color theme="1"/>
        <rFont val="等线"/>
        <family val="3"/>
        <charset val="134"/>
      </rPr>
      <t>细胞角蛋白</t>
    </r>
    <r>
      <rPr>
        <sz val="18"/>
        <color theme="1"/>
        <rFont val="Calibri"/>
        <family val="2"/>
      </rPr>
      <t>19</t>
    </r>
    <r>
      <rPr>
        <sz val="18"/>
        <color theme="1"/>
        <rFont val="等线"/>
        <family val="3"/>
        <charset val="134"/>
      </rPr>
      <t>片段</t>
    </r>
  </si>
  <si>
    <t>CYFRA211</t>
    <phoneticPr fontId="67" type="noConversion"/>
  </si>
  <si>
    <r>
      <rPr>
        <sz val="18"/>
        <color theme="1"/>
        <rFont val="等线"/>
        <family val="3"/>
        <charset val="134"/>
      </rPr>
      <t>干扰素</t>
    </r>
    <r>
      <rPr>
        <sz val="18"/>
        <color theme="1"/>
        <rFont val="Calibri"/>
        <family val="2"/>
      </rPr>
      <t>-α</t>
    </r>
  </si>
  <si>
    <r>
      <rPr>
        <sz val="18"/>
        <color theme="1"/>
        <rFont val="等线"/>
        <family val="3"/>
        <charset val="134"/>
      </rPr>
      <t>干扰素</t>
    </r>
    <r>
      <rPr>
        <sz val="18"/>
        <color theme="1"/>
        <rFont val="Calibri"/>
        <family val="2"/>
      </rPr>
      <t>-γ</t>
    </r>
  </si>
  <si>
    <r>
      <rPr>
        <sz val="18"/>
        <color theme="1"/>
        <rFont val="等线"/>
        <family val="3"/>
        <charset val="134"/>
      </rPr>
      <t>白介素</t>
    </r>
    <r>
      <rPr>
        <sz val="18"/>
        <color theme="1"/>
        <rFont val="Calibri"/>
        <family val="2"/>
      </rPr>
      <t>-10</t>
    </r>
  </si>
  <si>
    <r>
      <rPr>
        <sz val="18"/>
        <color theme="1"/>
        <rFont val="等线"/>
        <family val="3"/>
        <charset val="134"/>
      </rPr>
      <t>白介素</t>
    </r>
    <r>
      <rPr>
        <sz val="18"/>
        <color theme="1"/>
        <rFont val="Calibri"/>
        <family val="2"/>
      </rPr>
      <t>-12</t>
    </r>
  </si>
  <si>
    <r>
      <rPr>
        <sz val="18"/>
        <color theme="1"/>
        <rFont val="等线"/>
        <family val="3"/>
        <charset val="134"/>
      </rPr>
      <t>白介素</t>
    </r>
    <r>
      <rPr>
        <sz val="18"/>
        <color theme="1"/>
        <rFont val="Calibri"/>
        <family val="2"/>
      </rPr>
      <t>-17A</t>
    </r>
  </si>
  <si>
    <r>
      <rPr>
        <sz val="18"/>
        <color theme="1"/>
        <rFont val="等线"/>
        <family val="3"/>
        <charset val="134"/>
      </rPr>
      <t>白介素</t>
    </r>
    <r>
      <rPr>
        <sz val="18"/>
        <color theme="1"/>
        <rFont val="Calibri"/>
        <family val="2"/>
      </rPr>
      <t>-1β</t>
    </r>
  </si>
  <si>
    <r>
      <rPr>
        <sz val="18"/>
        <color theme="1"/>
        <rFont val="等线"/>
        <family val="3"/>
        <charset val="134"/>
      </rPr>
      <t>白介素</t>
    </r>
    <r>
      <rPr>
        <sz val="18"/>
        <color theme="1"/>
        <rFont val="Calibri"/>
        <family val="2"/>
      </rPr>
      <t>-2</t>
    </r>
  </si>
  <si>
    <r>
      <rPr>
        <sz val="18"/>
        <color theme="1"/>
        <rFont val="等线"/>
        <family val="3"/>
        <charset val="134"/>
      </rPr>
      <t>白介素</t>
    </r>
    <r>
      <rPr>
        <sz val="18"/>
        <color theme="1"/>
        <rFont val="Calibri"/>
        <family val="2"/>
      </rPr>
      <t>-4</t>
    </r>
  </si>
  <si>
    <r>
      <rPr>
        <sz val="18"/>
        <color theme="1"/>
        <rFont val="等线"/>
        <family val="3"/>
        <charset val="134"/>
      </rPr>
      <t>白介素</t>
    </r>
    <r>
      <rPr>
        <sz val="18"/>
        <color theme="1"/>
        <rFont val="Calibri"/>
        <family val="2"/>
      </rPr>
      <t>-5</t>
    </r>
  </si>
  <si>
    <r>
      <rPr>
        <sz val="18"/>
        <color theme="1"/>
        <rFont val="等线"/>
        <family val="3"/>
        <charset val="134"/>
      </rPr>
      <t>白介素</t>
    </r>
    <r>
      <rPr>
        <sz val="18"/>
        <color theme="1"/>
        <rFont val="Calibri"/>
        <family val="2"/>
      </rPr>
      <t>-6</t>
    </r>
  </si>
  <si>
    <r>
      <rPr>
        <sz val="18"/>
        <color theme="1"/>
        <rFont val="等线"/>
        <family val="3"/>
        <charset val="134"/>
      </rPr>
      <t>白介素</t>
    </r>
    <r>
      <rPr>
        <sz val="18"/>
        <color theme="1"/>
        <rFont val="Calibri"/>
        <family val="2"/>
      </rPr>
      <t>-8</t>
    </r>
  </si>
  <si>
    <t>INTLK8</t>
    <phoneticPr fontId="67" type="noConversion"/>
  </si>
  <si>
    <r>
      <rPr>
        <sz val="18"/>
        <color theme="1"/>
        <rFont val="等线"/>
        <family val="3"/>
        <charset val="134"/>
      </rPr>
      <t>神经元特异性烯醇化酶</t>
    </r>
  </si>
  <si>
    <t>NSE</t>
    <phoneticPr fontId="67" type="noConversion"/>
  </si>
  <si>
    <r>
      <rPr>
        <sz val="18"/>
        <color theme="1"/>
        <rFont val="等线"/>
        <family val="3"/>
        <charset val="134"/>
      </rPr>
      <t>胃蛋白酶原</t>
    </r>
    <r>
      <rPr>
        <sz val="18"/>
        <color theme="1"/>
        <rFont val="Calibri"/>
        <family val="2"/>
      </rPr>
      <t>I/II</t>
    </r>
  </si>
  <si>
    <t>PEPSNG</t>
  </si>
  <si>
    <r>
      <rPr>
        <sz val="18"/>
        <color theme="1"/>
        <rFont val="等线"/>
        <family val="3"/>
        <charset val="134"/>
      </rPr>
      <t>胃蛋白酶原</t>
    </r>
    <r>
      <rPr>
        <sz val="18"/>
        <color theme="1"/>
        <rFont val="Calibri"/>
        <family val="2"/>
      </rPr>
      <t>I</t>
    </r>
  </si>
  <si>
    <t>PEPSNGI</t>
  </si>
  <si>
    <r>
      <rPr>
        <sz val="18"/>
        <color theme="1"/>
        <rFont val="等线"/>
        <family val="3"/>
        <charset val="134"/>
      </rPr>
      <t>胃蛋白酶原</t>
    </r>
    <r>
      <rPr>
        <sz val="18"/>
        <color theme="1"/>
        <rFont val="Calibri"/>
        <family val="2"/>
      </rPr>
      <t>II</t>
    </r>
  </si>
  <si>
    <t>PEPSNGII</t>
    <phoneticPr fontId="67" type="noConversion"/>
  </si>
  <si>
    <r>
      <rPr>
        <sz val="18"/>
        <color theme="1"/>
        <rFont val="等线"/>
        <family val="3"/>
        <charset val="134"/>
      </rPr>
      <t>胃蛋白酶</t>
    </r>
    <r>
      <rPr>
        <sz val="18"/>
        <color theme="1"/>
        <rFont val="Calibri"/>
        <family val="2"/>
      </rPr>
      <t>II</t>
    </r>
    <phoneticPr fontId="67" type="noConversion"/>
  </si>
  <si>
    <t>PEPSNGII</t>
  </si>
  <si>
    <r>
      <rPr>
        <sz val="18"/>
        <color theme="1"/>
        <rFont val="等线"/>
        <family val="3"/>
        <charset val="134"/>
      </rPr>
      <t>检验</t>
    </r>
    <r>
      <rPr>
        <sz val="18"/>
        <color theme="1"/>
        <rFont val="Calibri"/>
        <family val="2"/>
      </rPr>
      <t>_</t>
    </r>
    <r>
      <rPr>
        <sz val="18"/>
        <color theme="1"/>
        <rFont val="等线"/>
        <family val="3"/>
        <charset val="134"/>
      </rPr>
      <t>异常凝血酶原</t>
    </r>
    <phoneticPr fontId="67" type="noConversion"/>
  </si>
  <si>
    <r>
      <t>异常凝血酶原</t>
    </r>
    <r>
      <rPr>
        <sz val="18"/>
        <color theme="1"/>
        <rFont val="Calibri"/>
        <family val="2"/>
      </rPr>
      <t>(PIVKA-II)</t>
    </r>
  </si>
  <si>
    <t>PIVKAII</t>
    <phoneticPr fontId="67" type="noConversion"/>
  </si>
  <si>
    <r>
      <rPr>
        <sz val="18"/>
        <color theme="1"/>
        <rFont val="等线"/>
        <family val="3"/>
        <charset val="134"/>
      </rPr>
      <t>异常凝血酶原</t>
    </r>
    <r>
      <rPr>
        <sz val="18"/>
        <color theme="1"/>
        <rFont val="Calibri"/>
        <family val="2"/>
      </rPr>
      <t>(PIVKA-II)</t>
    </r>
    <r>
      <rPr>
        <sz val="18"/>
        <color theme="1"/>
        <rFont val="等线"/>
        <family val="3"/>
        <charset val="134"/>
      </rPr>
      <t>检测</t>
    </r>
    <r>
      <rPr>
        <sz val="18"/>
        <color theme="1"/>
        <rFont val="Calibri"/>
        <family val="2"/>
      </rPr>
      <t>(PIVKA-II)</t>
    </r>
    <phoneticPr fontId="67" type="noConversion"/>
  </si>
  <si>
    <r>
      <rPr>
        <sz val="18"/>
        <color theme="1"/>
        <rFont val="等线"/>
        <family val="3"/>
        <charset val="134"/>
      </rPr>
      <t>胃泌素释放肽前体</t>
    </r>
  </si>
  <si>
    <t>PROGRP</t>
  </si>
  <si>
    <r>
      <rPr>
        <sz val="18"/>
        <color theme="1"/>
        <rFont val="等线"/>
        <family val="3"/>
        <charset val="134"/>
      </rPr>
      <t>鳞状上皮细胞癌抗原</t>
    </r>
  </si>
  <si>
    <t>SCCAG</t>
  </si>
  <si>
    <r>
      <rPr>
        <sz val="18"/>
        <color theme="1"/>
        <rFont val="等线"/>
        <family val="3"/>
        <charset val="134"/>
      </rPr>
      <t>肿瘤坏死因子</t>
    </r>
    <r>
      <rPr>
        <sz val="18"/>
        <color theme="1"/>
        <rFont val="Calibri"/>
        <family val="2"/>
      </rPr>
      <t>-α</t>
    </r>
  </si>
  <si>
    <t>TNF</t>
  </si>
  <si>
    <r>
      <rPr>
        <sz val="18"/>
        <color theme="1"/>
        <rFont val="等线"/>
        <family val="3"/>
        <charset val="134"/>
      </rPr>
      <t>粪便分析</t>
    </r>
    <r>
      <rPr>
        <sz val="18"/>
        <color theme="1"/>
        <rFont val="Calibri"/>
        <family val="2"/>
      </rPr>
      <t>_</t>
    </r>
    <r>
      <rPr>
        <sz val="18"/>
        <color theme="1"/>
        <rFont val="等线"/>
        <family val="3"/>
        <charset val="134"/>
      </rPr>
      <t>粪便华支睾吸虫卵</t>
    </r>
  </si>
  <si>
    <t>寄生虫检测</t>
    <phoneticPr fontId="67" type="noConversion"/>
  </si>
  <si>
    <r>
      <rPr>
        <sz val="18"/>
        <color theme="1"/>
        <rFont val="等线"/>
        <family val="3"/>
        <charset val="134"/>
      </rPr>
      <t>粪便华支睾吸虫卵</t>
    </r>
  </si>
  <si>
    <r>
      <rPr>
        <sz val="18"/>
        <color theme="1"/>
        <rFont val="等线"/>
        <family val="3"/>
        <charset val="134"/>
      </rPr>
      <t>粪便分析</t>
    </r>
    <r>
      <rPr>
        <sz val="18"/>
        <color theme="1"/>
        <rFont val="Calibri"/>
        <family val="2"/>
      </rPr>
      <t>_</t>
    </r>
    <r>
      <rPr>
        <sz val="18"/>
        <color theme="1"/>
        <rFont val="等线"/>
        <family val="3"/>
        <charset val="134"/>
      </rPr>
      <t>粪便寄生虫卵</t>
    </r>
  </si>
  <si>
    <t>粪便寄生虫卵</t>
    <phoneticPr fontId="67" type="noConversion"/>
  </si>
  <si>
    <r>
      <rPr>
        <sz val="18"/>
        <color theme="1"/>
        <rFont val="等线"/>
        <family val="3"/>
        <charset val="134"/>
      </rPr>
      <t>骨扫描</t>
    </r>
    <r>
      <rPr>
        <sz val="18"/>
        <color theme="1"/>
        <rFont val="Calibri"/>
        <family val="2"/>
      </rPr>
      <t>_</t>
    </r>
    <r>
      <rPr>
        <sz val="18"/>
        <color theme="1"/>
        <rFont val="等线"/>
        <family val="3"/>
        <charset val="134"/>
      </rPr>
      <t>骨扫描</t>
    </r>
  </si>
  <si>
    <r>
      <rPr>
        <sz val="18"/>
        <color theme="1"/>
        <rFont val="等线"/>
        <family val="3"/>
        <charset val="134"/>
      </rPr>
      <t>骨扫描</t>
    </r>
  </si>
  <si>
    <r>
      <rPr>
        <sz val="18"/>
        <color theme="1"/>
        <rFont val="等线"/>
        <family val="3"/>
        <charset val="134"/>
      </rPr>
      <t>促肾上腺皮质激素</t>
    </r>
  </si>
  <si>
    <r>
      <rPr>
        <sz val="18"/>
        <color theme="1"/>
        <rFont val="等线"/>
        <family val="3"/>
        <charset val="134"/>
      </rPr>
      <t>皮质醇</t>
    </r>
  </si>
  <si>
    <t>激素检查</t>
    <phoneticPr fontId="67" type="noConversion"/>
  </si>
  <si>
    <r>
      <rPr>
        <sz val="18"/>
        <color theme="1"/>
        <rFont val="等线"/>
        <family val="3"/>
        <charset val="134"/>
      </rPr>
      <t>激素检查</t>
    </r>
    <r>
      <rPr>
        <sz val="18"/>
        <color theme="1"/>
        <rFont val="Calibri"/>
        <family val="2"/>
      </rPr>
      <t>_</t>
    </r>
    <r>
      <rPr>
        <sz val="18"/>
        <color theme="1"/>
        <rFont val="等线"/>
        <family val="3"/>
        <charset val="134"/>
      </rPr>
      <t>雌二醇</t>
    </r>
  </si>
  <si>
    <r>
      <rPr>
        <sz val="18"/>
        <color theme="1"/>
        <rFont val="等线"/>
        <family val="3"/>
        <charset val="134"/>
      </rPr>
      <t>激素检查</t>
    </r>
  </si>
  <si>
    <r>
      <rPr>
        <sz val="18"/>
        <color theme="1"/>
        <rFont val="等线"/>
        <family val="3"/>
        <charset val="134"/>
      </rPr>
      <t>雌二醇</t>
    </r>
  </si>
  <si>
    <t>ESTRDIOL</t>
    <phoneticPr fontId="67" type="noConversion"/>
  </si>
  <si>
    <r>
      <rPr>
        <sz val="18"/>
        <color theme="1"/>
        <rFont val="等线"/>
        <family val="3"/>
        <charset val="134"/>
      </rPr>
      <t>激素检查</t>
    </r>
    <r>
      <rPr>
        <sz val="18"/>
        <color theme="1"/>
        <rFont val="Calibri"/>
        <family val="2"/>
      </rPr>
      <t>_</t>
    </r>
    <r>
      <rPr>
        <sz val="18"/>
        <color theme="1"/>
        <rFont val="等线"/>
        <family val="3"/>
        <charset val="134"/>
      </rPr>
      <t>促卵泡生成素</t>
    </r>
  </si>
  <si>
    <r>
      <rPr>
        <sz val="18"/>
        <color theme="1"/>
        <rFont val="等线"/>
        <family val="3"/>
        <charset val="134"/>
      </rPr>
      <t>促卵泡生成素</t>
    </r>
  </si>
  <si>
    <t>FSH</t>
  </si>
  <si>
    <r>
      <rPr>
        <sz val="18"/>
        <color theme="1"/>
        <rFont val="等线"/>
        <family val="3"/>
        <charset val="134"/>
      </rPr>
      <t>激素检查</t>
    </r>
    <r>
      <rPr>
        <sz val="18"/>
        <color theme="1"/>
        <rFont val="Calibri"/>
        <family val="2"/>
      </rPr>
      <t>_β-</t>
    </r>
    <r>
      <rPr>
        <sz val="18"/>
        <color theme="1"/>
        <rFont val="等线"/>
        <family val="3"/>
        <charset val="134"/>
      </rPr>
      <t>人绒毛膜促性腺激素</t>
    </r>
  </si>
  <si>
    <r>
      <t>β-</t>
    </r>
    <r>
      <rPr>
        <sz val="18"/>
        <color theme="1"/>
        <rFont val="等线"/>
        <family val="3"/>
        <charset val="134"/>
      </rPr>
      <t>人绒毛膜促性腺激素</t>
    </r>
  </si>
  <si>
    <r>
      <rPr>
        <sz val="18"/>
        <color theme="1"/>
        <rFont val="等线"/>
        <family val="3"/>
        <charset val="134"/>
      </rPr>
      <t>激素检查</t>
    </r>
    <r>
      <rPr>
        <sz val="18"/>
        <color theme="1"/>
        <rFont val="Calibri"/>
        <family val="2"/>
      </rPr>
      <t>_</t>
    </r>
    <r>
      <rPr>
        <sz val="18"/>
        <color theme="1"/>
        <rFont val="等线"/>
        <family val="3"/>
        <charset val="134"/>
      </rPr>
      <t>促黄体生成素</t>
    </r>
  </si>
  <si>
    <r>
      <rPr>
        <sz val="18"/>
        <color theme="1"/>
        <rFont val="等线"/>
        <family val="3"/>
        <charset val="134"/>
      </rPr>
      <t>促黄体生成素</t>
    </r>
  </si>
  <si>
    <t>LH</t>
  </si>
  <si>
    <r>
      <rPr>
        <sz val="18"/>
        <color theme="1"/>
        <rFont val="等线"/>
        <family val="3"/>
        <charset val="134"/>
      </rPr>
      <t>激素检查</t>
    </r>
    <r>
      <rPr>
        <sz val="18"/>
        <color theme="1"/>
        <rFont val="Calibri"/>
        <family val="2"/>
      </rPr>
      <t>_</t>
    </r>
    <r>
      <rPr>
        <sz val="18"/>
        <color theme="1"/>
        <rFont val="等线"/>
        <family val="3"/>
        <charset val="134"/>
      </rPr>
      <t>孕酮</t>
    </r>
  </si>
  <si>
    <r>
      <rPr>
        <sz val="18"/>
        <color theme="1"/>
        <rFont val="等线"/>
        <family val="3"/>
        <charset val="134"/>
      </rPr>
      <t>孕酮</t>
    </r>
  </si>
  <si>
    <t>PROGEST</t>
  </si>
  <si>
    <r>
      <rPr>
        <sz val="18"/>
        <color theme="1"/>
        <rFont val="等线"/>
        <family val="3"/>
        <charset val="134"/>
      </rPr>
      <t>激素检查</t>
    </r>
    <r>
      <rPr>
        <sz val="18"/>
        <color theme="1"/>
        <rFont val="Calibri"/>
        <family val="2"/>
      </rPr>
      <t>_</t>
    </r>
    <r>
      <rPr>
        <sz val="18"/>
        <color theme="1"/>
        <rFont val="等线"/>
        <family val="3"/>
        <charset val="134"/>
      </rPr>
      <t>垂体泌乳素</t>
    </r>
  </si>
  <si>
    <r>
      <rPr>
        <sz val="18"/>
        <color theme="1"/>
        <rFont val="等线"/>
        <family val="3"/>
        <charset val="134"/>
      </rPr>
      <t>垂体泌乳素</t>
    </r>
  </si>
  <si>
    <t>PROLCTN</t>
    <phoneticPr fontId="67" type="noConversion"/>
  </si>
  <si>
    <r>
      <rPr>
        <sz val="18"/>
        <color theme="1"/>
        <rFont val="等线"/>
        <family val="3"/>
        <charset val="134"/>
      </rPr>
      <t>激素检查</t>
    </r>
    <r>
      <rPr>
        <sz val="18"/>
        <color theme="1"/>
        <rFont val="Calibri"/>
        <family val="2"/>
      </rPr>
      <t>_</t>
    </r>
    <r>
      <rPr>
        <sz val="18"/>
        <color theme="1"/>
        <rFont val="等线"/>
        <family val="3"/>
        <charset val="134"/>
      </rPr>
      <t>睾酮</t>
    </r>
  </si>
  <si>
    <r>
      <rPr>
        <sz val="18"/>
        <color theme="1"/>
        <rFont val="等线"/>
        <family val="3"/>
        <charset val="134"/>
      </rPr>
      <t>睾酮</t>
    </r>
  </si>
  <si>
    <t>TESTOS</t>
  </si>
  <si>
    <r>
      <rPr>
        <sz val="18"/>
        <color theme="1"/>
        <rFont val="等线"/>
        <family val="3"/>
        <charset val="134"/>
      </rPr>
      <t>尿干化学</t>
    </r>
    <r>
      <rPr>
        <sz val="18"/>
        <color theme="1"/>
        <rFont val="Calibri"/>
        <family val="2"/>
      </rPr>
      <t>+</t>
    </r>
    <r>
      <rPr>
        <sz val="18"/>
        <color theme="1"/>
        <rFont val="等线"/>
        <family val="3"/>
        <charset val="134"/>
      </rPr>
      <t>镜检</t>
    </r>
    <r>
      <rPr>
        <sz val="18"/>
        <color theme="1"/>
        <rFont val="Calibri"/>
        <family val="2"/>
      </rPr>
      <t>_</t>
    </r>
    <r>
      <rPr>
        <sz val="18"/>
        <color theme="1"/>
        <rFont val="等线"/>
        <family val="3"/>
        <charset val="134"/>
      </rPr>
      <t>红细胞</t>
    </r>
    <r>
      <rPr>
        <sz val="18"/>
        <color theme="1"/>
        <rFont val="Calibri"/>
        <family val="2"/>
      </rPr>
      <t>(</t>
    </r>
    <r>
      <rPr>
        <sz val="18"/>
        <color theme="1"/>
        <rFont val="等线"/>
        <family val="3"/>
        <charset val="134"/>
      </rPr>
      <t>镜检</t>
    </r>
    <r>
      <rPr>
        <sz val="18"/>
        <color theme="1"/>
        <rFont val="Calibri"/>
        <family val="2"/>
      </rPr>
      <t>)</t>
    </r>
    <phoneticPr fontId="67" type="noConversion"/>
  </si>
  <si>
    <r>
      <rPr>
        <sz val="18"/>
        <color theme="1"/>
        <rFont val="等线"/>
        <family val="3"/>
        <charset val="134"/>
      </rPr>
      <t>尿干化学</t>
    </r>
    <r>
      <rPr>
        <sz val="18"/>
        <color theme="1"/>
        <rFont val="Calibri"/>
        <family val="2"/>
      </rPr>
      <t>+</t>
    </r>
    <r>
      <rPr>
        <sz val="18"/>
        <color theme="1"/>
        <rFont val="等线"/>
        <family val="3"/>
        <charset val="134"/>
      </rPr>
      <t>镜检</t>
    </r>
  </si>
  <si>
    <t>17</t>
    <phoneticPr fontId="67" type="noConversion"/>
  </si>
  <si>
    <r>
      <rPr>
        <sz val="18"/>
        <color theme="1"/>
        <rFont val="等线"/>
        <family val="3"/>
        <charset val="134"/>
      </rPr>
      <t>红细胞</t>
    </r>
    <r>
      <rPr>
        <sz val="18"/>
        <color theme="1"/>
        <rFont val="Calibri"/>
        <family val="2"/>
      </rPr>
      <t>(</t>
    </r>
    <r>
      <rPr>
        <sz val="18"/>
        <color theme="1"/>
        <rFont val="等线"/>
        <family val="3"/>
        <charset val="134"/>
      </rPr>
      <t>镜检</t>
    </r>
    <r>
      <rPr>
        <sz val="18"/>
        <color theme="1"/>
        <rFont val="Calibri"/>
        <family val="2"/>
      </rPr>
      <t>)</t>
    </r>
    <phoneticPr fontId="67" type="noConversion"/>
  </si>
  <si>
    <r>
      <rPr>
        <sz val="18"/>
        <color theme="1"/>
        <rFont val="等线"/>
        <family val="3"/>
        <charset val="134"/>
      </rPr>
      <t>尿干化学</t>
    </r>
    <r>
      <rPr>
        <sz val="18"/>
        <color theme="1"/>
        <rFont val="Calibri"/>
        <family val="2"/>
      </rPr>
      <t>+</t>
    </r>
    <r>
      <rPr>
        <sz val="18"/>
        <color theme="1"/>
        <rFont val="等线"/>
        <family val="3"/>
        <charset val="134"/>
      </rPr>
      <t>镜检</t>
    </r>
    <r>
      <rPr>
        <sz val="18"/>
        <color theme="1"/>
        <rFont val="Calibri"/>
        <family val="2"/>
      </rPr>
      <t>_</t>
    </r>
    <r>
      <rPr>
        <sz val="18"/>
        <color theme="1"/>
        <rFont val="等线"/>
        <family val="3"/>
        <charset val="134"/>
      </rPr>
      <t>白细胞</t>
    </r>
    <r>
      <rPr>
        <sz val="18"/>
        <color theme="1"/>
        <rFont val="Calibri"/>
        <family val="2"/>
      </rPr>
      <t>(</t>
    </r>
    <r>
      <rPr>
        <sz val="18"/>
        <color theme="1"/>
        <rFont val="等线"/>
        <family val="3"/>
        <charset val="134"/>
      </rPr>
      <t>镜检</t>
    </r>
    <r>
      <rPr>
        <sz val="18"/>
        <color theme="1"/>
        <rFont val="Calibri"/>
        <family val="2"/>
      </rPr>
      <t>)</t>
    </r>
    <phoneticPr fontId="67" type="noConversion"/>
  </si>
  <si>
    <r>
      <rPr>
        <sz val="18"/>
        <color theme="1"/>
        <rFont val="等线"/>
        <family val="3"/>
        <charset val="134"/>
      </rPr>
      <t>白细胞</t>
    </r>
    <r>
      <rPr>
        <sz val="18"/>
        <color theme="1"/>
        <rFont val="Calibri"/>
        <family val="2"/>
      </rPr>
      <t>(</t>
    </r>
    <r>
      <rPr>
        <sz val="18"/>
        <color theme="1"/>
        <rFont val="等线"/>
        <family val="3"/>
        <charset val="134"/>
      </rPr>
      <t>镜检</t>
    </r>
    <r>
      <rPr>
        <sz val="18"/>
        <color theme="1"/>
        <rFont val="Calibri"/>
        <family val="2"/>
      </rPr>
      <t>)</t>
    </r>
    <phoneticPr fontId="67" type="noConversion"/>
  </si>
  <si>
    <r>
      <rPr>
        <sz val="18"/>
        <color theme="1"/>
        <rFont val="等线"/>
        <family val="3"/>
        <charset val="134"/>
      </rPr>
      <t>尿干化学</t>
    </r>
    <r>
      <rPr>
        <sz val="18"/>
        <color theme="1"/>
        <rFont val="Calibri"/>
        <family val="2"/>
      </rPr>
      <t>+</t>
    </r>
    <r>
      <rPr>
        <sz val="18"/>
        <color theme="1"/>
        <rFont val="等线"/>
        <family val="3"/>
        <charset val="134"/>
      </rPr>
      <t>镜检</t>
    </r>
    <r>
      <rPr>
        <sz val="18"/>
        <color theme="1"/>
        <rFont val="Calibri"/>
        <family val="2"/>
      </rPr>
      <t>_</t>
    </r>
    <r>
      <rPr>
        <sz val="18"/>
        <color theme="1"/>
        <rFont val="等线"/>
        <family val="3"/>
        <charset val="134"/>
      </rPr>
      <t>蛋白质</t>
    </r>
    <r>
      <rPr>
        <sz val="18"/>
        <color theme="1"/>
        <rFont val="Calibri"/>
        <family val="2"/>
      </rPr>
      <t>(</t>
    </r>
    <r>
      <rPr>
        <sz val="18"/>
        <color theme="1"/>
        <rFont val="等线"/>
        <family val="3"/>
        <charset val="134"/>
      </rPr>
      <t>白蛋白</t>
    </r>
    <r>
      <rPr>
        <sz val="18"/>
        <color theme="1"/>
        <rFont val="Calibri"/>
        <family val="2"/>
      </rPr>
      <t>)</t>
    </r>
    <phoneticPr fontId="67" type="noConversion"/>
  </si>
  <si>
    <r>
      <rPr>
        <sz val="18"/>
        <color theme="1"/>
        <rFont val="等线"/>
        <family val="3"/>
        <charset val="134"/>
      </rPr>
      <t>蛋白质</t>
    </r>
    <r>
      <rPr>
        <sz val="18"/>
        <color theme="1"/>
        <rFont val="Calibri"/>
        <family val="2"/>
      </rPr>
      <t>(</t>
    </r>
    <r>
      <rPr>
        <sz val="18"/>
        <color theme="1"/>
        <rFont val="等线"/>
        <family val="3"/>
        <charset val="134"/>
      </rPr>
      <t>白蛋白</t>
    </r>
    <r>
      <rPr>
        <sz val="18"/>
        <color theme="1"/>
        <rFont val="Calibri"/>
        <family val="2"/>
      </rPr>
      <t>)</t>
    </r>
    <phoneticPr fontId="67" type="noConversion"/>
  </si>
  <si>
    <t>UALB</t>
    <phoneticPr fontId="67" type="noConversion"/>
  </si>
  <si>
    <r>
      <rPr>
        <sz val="18"/>
        <color theme="1"/>
        <rFont val="等线"/>
        <family val="3"/>
        <charset val="134"/>
      </rPr>
      <t>尿干化学</t>
    </r>
    <r>
      <rPr>
        <sz val="18"/>
        <color theme="1"/>
        <rFont val="Calibri"/>
        <family val="2"/>
      </rPr>
      <t>+</t>
    </r>
    <r>
      <rPr>
        <sz val="18"/>
        <color theme="1"/>
        <rFont val="等线"/>
        <family val="3"/>
        <charset val="134"/>
      </rPr>
      <t>镜检</t>
    </r>
    <r>
      <rPr>
        <sz val="18"/>
        <color theme="1"/>
        <rFont val="Calibri"/>
        <family val="2"/>
      </rPr>
      <t>_</t>
    </r>
    <r>
      <rPr>
        <sz val="18"/>
        <color theme="1"/>
        <rFont val="等线"/>
        <family val="3"/>
        <charset val="134"/>
      </rPr>
      <t>葡萄糖</t>
    </r>
    <r>
      <rPr>
        <sz val="18"/>
        <color theme="1"/>
        <rFont val="Calibri"/>
        <family val="2"/>
      </rPr>
      <t>(</t>
    </r>
    <r>
      <rPr>
        <sz val="18"/>
        <color theme="1"/>
        <rFont val="等线"/>
        <family val="3"/>
        <charset val="134"/>
      </rPr>
      <t>尿</t>
    </r>
    <r>
      <rPr>
        <sz val="18"/>
        <color theme="1"/>
        <rFont val="Calibri"/>
        <family val="2"/>
      </rPr>
      <t>)</t>
    </r>
    <phoneticPr fontId="67" type="noConversion"/>
  </si>
  <si>
    <r>
      <rPr>
        <sz val="18"/>
        <color theme="1"/>
        <rFont val="等线"/>
        <family val="3"/>
        <charset val="134"/>
      </rPr>
      <t>葡萄糖</t>
    </r>
    <r>
      <rPr>
        <sz val="18"/>
        <color theme="1"/>
        <rFont val="Calibri"/>
        <family val="2"/>
      </rPr>
      <t>(</t>
    </r>
    <r>
      <rPr>
        <sz val="18"/>
        <color theme="1"/>
        <rFont val="等线"/>
        <family val="3"/>
        <charset val="134"/>
      </rPr>
      <t>尿</t>
    </r>
    <r>
      <rPr>
        <sz val="18"/>
        <color theme="1"/>
        <rFont val="Calibri"/>
        <family val="2"/>
      </rPr>
      <t>)</t>
    </r>
    <phoneticPr fontId="67" type="noConversion"/>
  </si>
  <si>
    <t>UGLUCEXR</t>
    <phoneticPr fontId="67" type="noConversion"/>
  </si>
  <si>
    <r>
      <rPr>
        <sz val="18"/>
        <color theme="1"/>
        <rFont val="等线"/>
        <family val="3"/>
        <charset val="134"/>
      </rPr>
      <t>胃镜</t>
    </r>
    <r>
      <rPr>
        <sz val="18"/>
        <color theme="1"/>
        <rFont val="Calibri"/>
        <family val="2"/>
      </rPr>
      <t>_</t>
    </r>
    <r>
      <rPr>
        <sz val="18"/>
        <color theme="1"/>
        <rFont val="等线"/>
        <family val="3"/>
        <charset val="134"/>
      </rPr>
      <t>胃镜</t>
    </r>
  </si>
  <si>
    <r>
      <rPr>
        <sz val="18"/>
        <color theme="1"/>
        <rFont val="等线"/>
        <family val="3"/>
        <charset val="134"/>
      </rPr>
      <t>胃镜</t>
    </r>
  </si>
  <si>
    <t>胃镜</t>
    <phoneticPr fontId="67" type="noConversion"/>
  </si>
  <si>
    <t>gastroscope</t>
  </si>
  <si>
    <t>GAST</t>
    <phoneticPr fontId="67" type="noConversion"/>
  </si>
  <si>
    <t>HCT</t>
    <phoneticPr fontId="68" type="noConversion"/>
  </si>
  <si>
    <r>
      <t>MHTERM</t>
    </r>
    <r>
      <rPr>
        <sz val="11"/>
        <color theme="1"/>
        <rFont val="宋体"/>
        <family val="2"/>
        <charset val="134"/>
      </rPr>
      <t>有截断</t>
    </r>
    <phoneticPr fontId="67" type="noConversion"/>
  </si>
  <si>
    <t>每个USUBJID内记录的序列号</t>
  </si>
  <si>
    <t>每个TSPARM内记录的序列号</t>
  </si>
  <si>
    <t>每自定义组TSPARM内记录的序列号</t>
  </si>
  <si>
    <t>如果DTC在RFSTDTC之后，DY=DTC-RFSTDTC+1；如果DTC在RFSTDTC之前DY=DTC-RFSTDTC</t>
  </si>
  <si>
    <t>CRF中的受控术语已映射为与CDISC受控术语一致</t>
  </si>
  <si>
    <t>DTC早于RFXSTDTC则填充为"SCREENING";DTC晚于或等于RFXSTDTC，早于或小于RFXENDTC则填充为"TREATMENT";DTC晚于RFENDTC则填充为"FOLLOW-UP"</t>
  </si>
  <si>
    <t>D1 所进行的检查将依据其实际采集/执行的时间顺序，按方案规定分别归属至以下计划时间点：给药前、给药后 2±0.5 h、4±0.5 h、6±0.5 h 和 24±0.5 h</t>
  </si>
  <si>
    <t>D1 所进行的检查将依据其实际采集/执行的时间顺序，按方案规定分别归属至以下计划时间点：1 2 3 4 5</t>
  </si>
  <si>
    <t>如果AESTDTC晚于或等于首次给药日期，则填充"Y",否则填充空值</t>
  </si>
  <si>
    <t>当CMCAT等于“用药史”或“既往及合并用药/新的抗肿瘤用药”时；ATC05编码不为空时，CMDECOD等于ATC05编码，否则取ATC04、ATC03、药物名称</t>
  </si>
  <si>
    <t>每个TEST内记录的序列号</t>
  </si>
  <si>
    <t>出现严重安全性问题、质量问题、申办者经费不足、专利纠纷、自主要求终止、药监部门或伦理委员会要求终止，经各方讨论后终止研究</t>
  </si>
  <si>
    <t>筛选时有活动性乙型肝炎、丙型肝炎、梅毒特异性抗体及人类免疫缺陷病毒抗体筛查结果为阳性患者</t>
  </si>
  <si>
    <t>研究者认为可能增加受试者风险或干扰试验结果的其他任何情况，认为不适宜进入本项试验者</t>
  </si>
  <si>
    <t>有适宜的器官以及造血功能，无严重的器官功能异常</t>
  </si>
  <si>
    <t>自愿参加试验并签署知情同意书</t>
  </si>
  <si>
    <t>评价双特异性抗体MR001在晚期实体瘤患者中的安全性、耐受性、药代动力学和初步抗肿瘤活性的临床研究</t>
    <phoneticPr fontId="67" type="noConversion"/>
  </si>
  <si>
    <t>MEDDRA</t>
    <phoneticPr fontId="67" type="noConversion"/>
  </si>
  <si>
    <t>WHODRUG</t>
    <phoneticPr fontId="67" type="noConversion"/>
  </si>
  <si>
    <t>ONCRSR</t>
    <phoneticPr fontId="67" type="noConversion"/>
  </si>
  <si>
    <t>LBORNRLO</t>
    <phoneticPr fontId="67" type="noConversion"/>
  </si>
  <si>
    <r>
      <rPr>
        <sz val="11"/>
        <color theme="1"/>
        <rFont val="宋体"/>
        <family val="2"/>
        <charset val="134"/>
      </rPr>
      <t>由</t>
    </r>
    <r>
      <rPr>
        <sz val="11"/>
        <color theme="1"/>
        <rFont val="Calibri"/>
        <family val="2"/>
      </rPr>
      <t>LBORNRLO</t>
    </r>
    <r>
      <rPr>
        <sz val="11"/>
        <color theme="1"/>
        <rFont val="宋体"/>
        <family val="2"/>
        <charset val="134"/>
      </rPr>
      <t>转换</t>
    </r>
    <phoneticPr fontId="67" type="noConversion"/>
  </si>
  <si>
    <t>LBORNRHI</t>
    <phoneticPr fontId="67" type="noConversion"/>
  </si>
  <si>
    <r>
      <rPr>
        <sz val="11"/>
        <color theme="1"/>
        <rFont val="宋体"/>
        <family val="2"/>
        <charset val="134"/>
      </rPr>
      <t>由</t>
    </r>
    <r>
      <rPr>
        <sz val="11"/>
        <color theme="1"/>
        <rFont val="Calibri"/>
        <family val="2"/>
      </rPr>
      <t>LBORNRHI</t>
    </r>
    <r>
      <rPr>
        <sz val="11"/>
        <color theme="1"/>
        <rFont val="宋体"/>
        <family val="2"/>
        <charset val="134"/>
      </rPr>
      <t>转换</t>
    </r>
    <phoneticPr fontId="67" type="noConversion"/>
  </si>
  <si>
    <t>用"~"连接LBORNRLO和LBORNRHI</t>
    <phoneticPr fontId="67" type="noConversion"/>
  </si>
  <si>
    <t>入选/排除标准</t>
    <phoneticPr fontId="67" type="noConversion"/>
  </si>
  <si>
    <t>入选/排除标准类别</t>
    <phoneticPr fontId="67" type="noConversion"/>
  </si>
  <si>
    <t>入选/排除标准原始结果</t>
    <phoneticPr fontId="67" type="noConversion"/>
  </si>
  <si>
    <t>入选/排除标准标准化结果</t>
    <phoneticPr fontId="67" type="noConversion"/>
  </si>
  <si>
    <t>处置事件类别</t>
    <phoneticPr fontId="67" type="noConversion"/>
  </si>
  <si>
    <t>处置事件标准化名称</t>
    <phoneticPr fontId="67" type="noConversion"/>
  </si>
  <si>
    <t>处置事件报告名称</t>
    <phoneticPr fontId="67" type="noConversion"/>
  </si>
  <si>
    <t>检查项编号</t>
  </si>
  <si>
    <t>未做原因</t>
  </si>
  <si>
    <t>检查日期/时间</t>
  </si>
  <si>
    <t>检查日</t>
  </si>
  <si>
    <t>标准化正常值范围(文本结果)</t>
  </si>
  <si>
    <t>临床情况详述</t>
  </si>
  <si>
    <t>生命体征类别</t>
    <phoneticPr fontId="67" type="noConversion"/>
  </si>
  <si>
    <t>生命体征类别编号</t>
    <phoneticPr fontId="67" type="noConversion"/>
  </si>
  <si>
    <t>生命体征原始结果</t>
    <phoneticPr fontId="67" type="noConversion"/>
  </si>
  <si>
    <t>生命体征原始单位</t>
    <phoneticPr fontId="67" type="noConversion"/>
  </si>
  <si>
    <t>生命体征标准化结果</t>
    <phoneticPr fontId="67" type="noConversion"/>
  </si>
  <si>
    <t>生命体征标准化结果(N)</t>
    <phoneticPr fontId="67" type="noConversion"/>
  </si>
  <si>
    <t>生命体征标准化单位</t>
    <phoneticPr fontId="67" type="noConversion"/>
  </si>
  <si>
    <t>VSLOBXFL</t>
    <phoneticPr fontId="67" type="noConversion"/>
  </si>
  <si>
    <t>暴露前末次观测标志</t>
    <phoneticPr fontId="67" type="noConversion"/>
  </si>
  <si>
    <t>死亡标志</t>
  </si>
  <si>
    <t>基线标志</t>
  </si>
  <si>
    <t>数据有截断</t>
    <phoneticPr fontId="67" type="noConversion"/>
  </si>
  <si>
    <t>体格检查类别</t>
    <phoneticPr fontId="67" type="noConversion"/>
  </si>
  <si>
    <t>体格检查类别序号</t>
    <phoneticPr fontId="67" type="noConversion"/>
  </si>
  <si>
    <t>体格检查原始结果</t>
    <phoneticPr fontId="67" type="noConversion"/>
  </si>
  <si>
    <t>体格检查标准化结果</t>
    <phoneticPr fontId="67" type="noConversion"/>
  </si>
  <si>
    <t>问卷类别</t>
    <phoneticPr fontId="67" type="noConversion"/>
  </si>
  <si>
    <t>问卷原始结果</t>
    <phoneticPr fontId="67" type="noConversion"/>
  </si>
  <si>
    <t>问卷原始单位</t>
    <phoneticPr fontId="67" type="noConversion"/>
  </si>
  <si>
    <t>问卷标准化结果</t>
    <phoneticPr fontId="67" type="noConversion"/>
  </si>
  <si>
    <r>
      <rPr>
        <sz val="11"/>
        <color theme="1"/>
        <rFont val="等线"/>
        <family val="3"/>
        <charset val="134"/>
      </rPr>
      <t>问卷标准化结果</t>
    </r>
    <r>
      <rPr>
        <sz val="11"/>
        <color theme="1"/>
        <rFont val="Calibri"/>
        <family val="2"/>
      </rPr>
      <t>(N)</t>
    </r>
    <phoneticPr fontId="67" type="noConversion"/>
  </si>
  <si>
    <t>问卷标准化单位</t>
    <phoneticPr fontId="67" type="noConversion"/>
  </si>
  <si>
    <t>实验室检查类别</t>
    <phoneticPr fontId="67" type="noConversion"/>
  </si>
  <si>
    <t>实验室检查原始结果</t>
    <phoneticPr fontId="67" type="noConversion"/>
  </si>
  <si>
    <t>实验室检查原始单位</t>
    <phoneticPr fontId="67" type="noConversion"/>
  </si>
  <si>
    <t>实验室检查标准化结果</t>
    <phoneticPr fontId="67" type="noConversion"/>
  </si>
  <si>
    <r>
      <rPr>
        <sz val="11"/>
        <color theme="1"/>
        <rFont val="等线"/>
        <family val="3"/>
        <charset val="134"/>
      </rPr>
      <t>实验室检查标准化结果</t>
    </r>
    <r>
      <rPr>
        <sz val="11"/>
        <color theme="1"/>
        <rFont val="Calibri"/>
        <family val="2"/>
      </rPr>
      <t>(N)</t>
    </r>
    <phoneticPr fontId="67" type="noConversion"/>
  </si>
  <si>
    <t>实验室检查标准化单位</t>
    <phoneticPr fontId="67" type="noConversion"/>
  </si>
  <si>
    <r>
      <rPr>
        <sz val="11"/>
        <color theme="1"/>
        <rFont val="微软雅黑"/>
        <family val="2"/>
        <charset val="134"/>
      </rPr>
      <t>心电图</t>
    </r>
    <r>
      <rPr>
        <sz val="11"/>
        <color theme="1"/>
        <rFont val="微软雅黑"/>
        <family val="2"/>
      </rPr>
      <t>类别</t>
    </r>
    <phoneticPr fontId="67" type="noConversion"/>
  </si>
  <si>
    <t>心电图原始结果</t>
    <phoneticPr fontId="67" type="noConversion"/>
  </si>
  <si>
    <t>心电图原始单位</t>
    <phoneticPr fontId="67" type="noConversion"/>
  </si>
  <si>
    <t>心电图标准化结果</t>
    <phoneticPr fontId="67" type="noConversion"/>
  </si>
  <si>
    <r>
      <rPr>
        <sz val="11"/>
        <color theme="1"/>
        <rFont val="微软雅黑"/>
        <family val="2"/>
      </rPr>
      <t>心电图标准化结果</t>
    </r>
    <r>
      <rPr>
        <sz val="11"/>
        <color theme="1"/>
        <rFont val="Calibri"/>
        <family val="2"/>
      </rPr>
      <t>(N)</t>
    </r>
    <phoneticPr fontId="67" type="noConversion"/>
  </si>
  <si>
    <t>心电图标准化单位</t>
    <phoneticPr fontId="67" type="noConversion"/>
  </si>
  <si>
    <t>操作类别</t>
    <phoneticPr fontId="67" type="noConversion"/>
  </si>
  <si>
    <t>合并用药类别</t>
    <phoneticPr fontId="67" type="noConversion"/>
  </si>
  <si>
    <r>
      <rPr>
        <sz val="18"/>
        <color theme="1"/>
        <rFont val="等线"/>
        <family val="3"/>
        <charset val="134"/>
      </rPr>
      <t>氯（</t>
    </r>
    <r>
      <rPr>
        <sz val="18"/>
        <color theme="1"/>
        <rFont val="Calibri"/>
        <family val="2"/>
      </rPr>
      <t>Cl</t>
    </r>
    <r>
      <rPr>
        <sz val="18"/>
        <color theme="1"/>
        <rFont val="等线"/>
        <family val="3"/>
        <charset val="134"/>
      </rPr>
      <t>）</t>
    </r>
    <phoneticPr fontId="68" type="noConversion"/>
  </si>
  <si>
    <t>病史类别</t>
    <phoneticPr fontId="67" type="noConversion"/>
  </si>
  <si>
    <r>
      <rPr>
        <sz val="11"/>
        <color theme="1"/>
        <rFont val="微软雅黑"/>
        <family val="2"/>
        <charset val="134"/>
      </rPr>
      <t>免疫原性</t>
    </r>
    <r>
      <rPr>
        <sz val="11"/>
        <color theme="1"/>
        <rFont val="微软雅黑"/>
        <family val="2"/>
      </rPr>
      <t>类别</t>
    </r>
    <phoneticPr fontId="67" type="noConversion"/>
  </si>
  <si>
    <r>
      <t>方案偏离</t>
    </r>
    <r>
      <rPr>
        <sz val="11"/>
        <color theme="1"/>
        <rFont val="微软雅黑"/>
        <family val="2"/>
      </rPr>
      <t>类别</t>
    </r>
    <phoneticPr fontId="67" type="noConversion"/>
  </si>
  <si>
    <t>方案偏离子类</t>
    <phoneticPr fontId="67" type="noConversion"/>
  </si>
  <si>
    <t>受试者状态类别</t>
    <phoneticPr fontId="67" type="noConversion"/>
  </si>
  <si>
    <t>受试者状态原始结果</t>
    <phoneticPr fontId="67" type="noConversion"/>
  </si>
  <si>
    <t>受试者状态标准化结果</t>
    <phoneticPr fontId="67" type="noConversion"/>
  </si>
  <si>
    <t>疾病效应类别</t>
    <phoneticPr fontId="67" type="noConversion"/>
  </si>
  <si>
    <t>疾病效应原始结果</t>
    <phoneticPr fontId="67" type="noConversion"/>
  </si>
  <si>
    <t>疾病效应标准化结果</t>
    <phoneticPr fontId="67" type="noConversion"/>
  </si>
  <si>
    <t>病灶测量原始结果</t>
    <phoneticPr fontId="67" type="noConversion"/>
  </si>
  <si>
    <t>病灶测量原始单位</t>
    <phoneticPr fontId="67" type="noConversion"/>
  </si>
  <si>
    <t>病灶测量标准化结果</t>
    <phoneticPr fontId="67" type="noConversion"/>
  </si>
  <si>
    <r>
      <rPr>
        <sz val="11"/>
        <color theme="1"/>
        <rFont val="微软雅黑"/>
        <family val="3"/>
        <charset val="134"/>
      </rPr>
      <t>病灶测量标准化结果</t>
    </r>
    <r>
      <rPr>
        <sz val="11"/>
        <color theme="1"/>
        <rFont val="Calibri"/>
        <family val="2"/>
      </rPr>
      <t>(N)</t>
    </r>
    <phoneticPr fontId="67" type="noConversion"/>
  </si>
  <si>
    <t>病灶测量标准化单位</t>
    <phoneticPr fontId="67" type="noConversion"/>
  </si>
  <si>
    <t>病灶部位</t>
    <phoneticPr fontId="67" type="noConversion"/>
  </si>
  <si>
    <t>肿瘤/病灶简称</t>
    <phoneticPr fontId="67" type="noConversion"/>
  </si>
  <si>
    <t>肿瘤/病灶名称</t>
    <phoneticPr fontId="67" type="noConversion"/>
  </si>
  <si>
    <t>肿瘤/病灶原始结果</t>
    <phoneticPr fontId="67" type="noConversion"/>
  </si>
  <si>
    <t>肿瘤/病灶标准化结果</t>
    <phoneticPr fontId="67" type="noConversion"/>
  </si>
  <si>
    <r>
      <rPr>
        <sz val="11"/>
        <color theme="1"/>
        <rFont val="宋体"/>
        <family val="3"/>
        <charset val="134"/>
      </rPr>
      <t>药代动力学分类</t>
    </r>
    <r>
      <rPr>
        <sz val="11"/>
        <color theme="1"/>
        <rFont val="微软雅黑"/>
        <family val="3"/>
        <charset val="134"/>
      </rPr>
      <t>简称</t>
    </r>
    <phoneticPr fontId="67" type="noConversion"/>
  </si>
  <si>
    <r>
      <rPr>
        <sz val="11"/>
        <color theme="1"/>
        <rFont val="宋体"/>
        <family val="3"/>
        <charset val="134"/>
      </rPr>
      <t>药代动力学分类</t>
    </r>
    <r>
      <rPr>
        <sz val="11"/>
        <color theme="1"/>
        <rFont val="微软雅黑"/>
        <family val="3"/>
        <charset val="134"/>
      </rPr>
      <t>名称</t>
    </r>
    <phoneticPr fontId="67" type="noConversion"/>
  </si>
  <si>
    <t>药代动力学类别</t>
    <phoneticPr fontId="67" type="noConversion"/>
  </si>
  <si>
    <r>
      <rPr>
        <sz val="11"/>
        <color theme="1"/>
        <rFont val="宋体"/>
        <family val="3"/>
        <charset val="134"/>
      </rPr>
      <t>药代动力学</t>
    </r>
    <r>
      <rPr>
        <sz val="11"/>
        <color theme="1"/>
        <rFont val="微软雅黑"/>
        <family val="3"/>
        <charset val="134"/>
      </rPr>
      <t>原始结果</t>
    </r>
    <phoneticPr fontId="67" type="noConversion"/>
  </si>
  <si>
    <r>
      <rPr>
        <sz val="11"/>
        <color theme="1"/>
        <rFont val="宋体"/>
        <family val="3"/>
        <charset val="134"/>
      </rPr>
      <t>药代动力学</t>
    </r>
    <r>
      <rPr>
        <sz val="11"/>
        <color theme="1"/>
        <rFont val="微软雅黑"/>
        <family val="3"/>
        <charset val="134"/>
      </rPr>
      <t>原始单位</t>
    </r>
    <phoneticPr fontId="67" type="noConversion"/>
  </si>
  <si>
    <t>药代动力学标准化结果</t>
    <phoneticPr fontId="67" type="noConversion"/>
  </si>
  <si>
    <r>
      <rPr>
        <sz val="11"/>
        <color theme="1"/>
        <rFont val="微软雅黑"/>
        <family val="3"/>
        <charset val="134"/>
      </rPr>
      <t>药代动力学标准化结果</t>
    </r>
    <r>
      <rPr>
        <sz val="11"/>
        <color theme="1"/>
        <rFont val="Calibri"/>
        <family val="2"/>
      </rPr>
      <t>(N)</t>
    </r>
    <phoneticPr fontId="67" type="noConversion"/>
  </si>
  <si>
    <t>药代动力学标准化单位</t>
    <phoneticPr fontId="67" type="noConversion"/>
  </si>
  <si>
    <t>参数简称</t>
    <phoneticPr fontId="67" type="noConversion"/>
  </si>
  <si>
    <t>参数类别</t>
    <phoneticPr fontId="67" type="noConversion"/>
  </si>
  <si>
    <t>参数原始结果</t>
    <phoneticPr fontId="67" type="noConversion"/>
  </si>
  <si>
    <t>参数原始单位</t>
    <phoneticPr fontId="67" type="noConversion"/>
  </si>
  <si>
    <t>参数标准化结果</t>
    <phoneticPr fontId="67" type="noConversion"/>
  </si>
  <si>
    <t>参数标准化结果(N)</t>
    <phoneticPr fontId="67" type="noConversion"/>
  </si>
  <si>
    <t>参数标准化单位</t>
    <phoneticPr fontId="6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</si>
</sst>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76" formatCode="[$-409]mmmm\ d\,\ yyyy;@"/>
    <numFmt numFmtId="177" formatCode="[$-409]d\-mmm\-yyyy;@"/>
    <numFmt numFmtId="178" formatCode="_ \¥* #,##0.00_ ;_ \¥* \-#,##0.00_ ;_ \¥* &quot;-&quot;??_ ;_ @_ "/>
    <numFmt numFmtId="179" formatCode="_-* #,##0.00_-;\-* #,##0.00_-;_-* &quot;-&quot;??_-;_-@_-"/>
    <numFmt numFmtId="180" formatCode="_(&quot;$&quot;* #,##0.00_);_(&quot;$&quot;* \(#,##0.00\);_(&quot;$&quot;* &quot;-&quot;??_);_(@_)"/>
    <numFmt numFmtId="181" formatCode="_-&quot;£&quot;* #,##0.00_-;\-&quot;£&quot;* #,##0.00_-;_-&quot;£&quot;* &quot;-&quot;??_-;_-@_-"/>
  </numFmts>
  <fonts count="103">
    <font>
      <sz val="11"/>
      <color theme="1"/>
      <name val="微软雅黑"/>
      <charset val="134"/>
      <scheme val="minor"/>
    </font>
    <font>
      <sz val="11"/>
      <color theme="1"/>
      <name val="微软雅黑"/>
      <family val="2"/>
      <charset val="134"/>
      <scheme val="minor"/>
    </font>
    <font>
      <sz val="11"/>
      <color theme="1"/>
      <name val="微软雅黑"/>
      <family val="2"/>
      <charset val="134"/>
      <scheme val="minor"/>
    </font>
    <font>
      <sz val="11"/>
      <name val="Calibri"/>
      <family val="2"/>
    </font>
    <font>
      <sz val="11"/>
      <name val="宋体"/>
      <family val="3"/>
      <charset val="134"/>
    </font>
    <font>
      <sz val="11"/>
      <color theme="1"/>
      <name val="Calibri"/>
      <family val="2"/>
    </font>
    <font>
      <sz val="11"/>
      <color theme="1"/>
      <name val="宋体"/>
      <family val="3"/>
      <charset val="134"/>
    </font>
    <font>
      <sz val="11"/>
      <name val="微软雅黑"/>
      <family val="3"/>
      <charset val="134"/>
      <scheme val="minor"/>
    </font>
    <font>
      <sz val="11"/>
      <color rgb="FFC00000"/>
      <name val="Calibri"/>
      <family val="2"/>
    </font>
    <font>
      <sz val="11"/>
      <color theme="1"/>
      <name val="宋体"/>
      <family val="3"/>
      <charset val="134"/>
    </font>
    <font>
      <sz val="11"/>
      <color theme="1"/>
      <name val="微软雅黑"/>
      <family val="3"/>
      <charset val="134"/>
      <scheme val="minor"/>
    </font>
    <font>
      <sz val="10"/>
      <name val="Arial"/>
      <family val="2"/>
    </font>
    <font>
      <sz val="11"/>
      <color indexed="8"/>
      <name val="Calibri"/>
      <family val="2"/>
    </font>
    <font>
      <b/>
      <sz val="11"/>
      <color indexed="52"/>
      <name val="Calibri"/>
      <family val="2"/>
    </font>
    <font>
      <b/>
      <sz val="11"/>
      <color indexed="8"/>
      <name val="Calibri"/>
      <family val="2"/>
    </font>
    <font>
      <u/>
      <sz val="10"/>
      <color indexed="12"/>
      <name val="Arial"/>
      <family val="2"/>
    </font>
    <font>
      <sz val="11"/>
      <color indexed="9"/>
      <name val="Calibri"/>
      <family val="2"/>
    </font>
    <font>
      <sz val="11"/>
      <color rgb="FF006100"/>
      <name val="微软雅黑"/>
      <family val="3"/>
      <charset val="134"/>
      <scheme val="minor"/>
    </font>
    <font>
      <sz val="10"/>
      <color indexed="8"/>
      <name val="Arial"/>
      <family val="2"/>
    </font>
    <font>
      <sz val="11"/>
      <color theme="0"/>
      <name val="微软雅黑"/>
      <family val="3"/>
      <charset val="134"/>
      <scheme val="minor"/>
    </font>
    <font>
      <sz val="11"/>
      <color indexed="62"/>
      <name val="Calibri"/>
      <family val="2"/>
    </font>
    <font>
      <sz val="12"/>
      <color theme="1"/>
      <name val="微软雅黑"/>
      <family val="3"/>
      <charset val="134"/>
      <scheme val="minor"/>
    </font>
    <font>
      <sz val="11"/>
      <color theme="1"/>
      <name val="Arial"/>
      <family val="2"/>
    </font>
    <font>
      <sz val="12"/>
      <color indexed="8"/>
      <name val="Calibri"/>
      <family val="2"/>
    </font>
    <font>
      <sz val="11"/>
      <color rgb="FF9C6500"/>
      <name val="微软雅黑"/>
      <family val="3"/>
      <charset val="134"/>
      <scheme val="minor"/>
    </font>
    <font>
      <sz val="10"/>
      <name val="MS Sans Serif"/>
      <family val="1"/>
    </font>
    <font>
      <b/>
      <sz val="11"/>
      <color indexed="63"/>
      <name val="Calibri"/>
      <family val="2"/>
    </font>
    <font>
      <sz val="11"/>
      <color indexed="17"/>
      <name val="Calibri"/>
      <family val="2"/>
    </font>
    <font>
      <sz val="11"/>
      <color indexed="10"/>
      <name val="Calibri"/>
      <family val="2"/>
    </font>
    <font>
      <sz val="11"/>
      <color rgb="FFFF0000"/>
      <name val="微软雅黑"/>
      <family val="3"/>
      <charset val="134"/>
      <scheme val="minor"/>
    </font>
    <font>
      <b/>
      <sz val="11"/>
      <color rgb="FFFA7D00"/>
      <name val="微软雅黑"/>
      <family val="3"/>
      <charset val="134"/>
      <scheme val="minor"/>
    </font>
    <font>
      <b/>
      <sz val="11"/>
      <color theme="0"/>
      <name val="微软雅黑"/>
      <family val="3"/>
      <charset val="134"/>
      <scheme val="minor"/>
    </font>
    <font>
      <b/>
      <sz val="11"/>
      <color indexed="9"/>
      <name val="Calibri"/>
      <family val="2"/>
    </font>
    <font>
      <sz val="11"/>
      <color rgb="FF9C0006"/>
      <name val="微软雅黑"/>
      <family val="3"/>
      <charset val="134"/>
      <scheme val="minor"/>
    </font>
    <font>
      <sz val="11"/>
      <color indexed="20"/>
      <name val="Calibri"/>
      <family val="2"/>
    </font>
    <font>
      <b/>
      <sz val="15"/>
      <color theme="3"/>
      <name val="微软雅黑"/>
      <family val="3"/>
      <charset val="134"/>
      <scheme val="minor"/>
    </font>
    <font>
      <b/>
      <sz val="15"/>
      <color indexed="56"/>
      <name val="Calibri"/>
      <family val="2"/>
    </font>
    <font>
      <sz val="12"/>
      <name val="Arial"/>
      <family val="2"/>
    </font>
    <font>
      <sz val="11"/>
      <name val="Arial"/>
      <family val="2"/>
    </font>
    <font>
      <b/>
      <sz val="11"/>
      <color theme="3"/>
      <name val="微软雅黑"/>
      <family val="3"/>
      <charset val="134"/>
      <scheme val="minor"/>
    </font>
    <font>
      <b/>
      <sz val="18"/>
      <color theme="3"/>
      <name val="微软雅黑"/>
      <family val="3"/>
      <charset val="134"/>
      <scheme val="major"/>
    </font>
    <font>
      <b/>
      <sz val="13"/>
      <color theme="3"/>
      <name val="微软雅黑"/>
      <family val="3"/>
      <charset val="134"/>
      <scheme val="minor"/>
    </font>
    <font>
      <b/>
      <sz val="13"/>
      <color indexed="56"/>
      <name val="Calibri"/>
      <family val="2"/>
    </font>
    <font>
      <sz val="11"/>
      <color rgb="FFFA7D00"/>
      <name val="微软雅黑"/>
      <family val="3"/>
      <charset val="134"/>
      <scheme val="minor"/>
    </font>
    <font>
      <b/>
      <sz val="11"/>
      <color rgb="FF3F3F3F"/>
      <name val="微软雅黑"/>
      <family val="3"/>
      <charset val="134"/>
      <scheme val="minor"/>
    </font>
    <font>
      <b/>
      <sz val="11"/>
      <color theme="1"/>
      <name val="微软雅黑"/>
      <family val="3"/>
      <charset val="134"/>
      <scheme val="minor"/>
    </font>
    <font>
      <sz val="11"/>
      <color indexed="8"/>
      <name val="Arial"/>
      <family val="2"/>
    </font>
    <font>
      <i/>
      <sz val="11"/>
      <color indexed="23"/>
      <name val="Calibri"/>
      <family val="2"/>
    </font>
    <font>
      <sz val="11"/>
      <color indexed="52"/>
      <name val="Calibri"/>
      <family val="2"/>
    </font>
    <font>
      <sz val="11"/>
      <color rgb="FF3F3F76"/>
      <name val="微软雅黑"/>
      <family val="3"/>
      <charset val="134"/>
      <scheme val="minor"/>
    </font>
    <font>
      <u/>
      <sz val="11"/>
      <color indexed="12"/>
      <name val="Calibri"/>
      <family val="2"/>
    </font>
    <font>
      <i/>
      <sz val="11"/>
      <color rgb="FF7F7F7F"/>
      <name val="微软雅黑"/>
      <family val="3"/>
      <charset val="134"/>
      <scheme val="minor"/>
    </font>
    <font>
      <b/>
      <sz val="18"/>
      <color indexed="56"/>
      <name val="Cambria"/>
      <family val="1"/>
    </font>
    <font>
      <u/>
      <sz val="10"/>
      <color indexed="12"/>
      <name val="MS Sans Serif"/>
      <family val="1"/>
    </font>
    <font>
      <u/>
      <sz val="11"/>
      <color theme="10"/>
      <name val="微软雅黑"/>
      <family val="3"/>
      <charset val="134"/>
      <scheme val="minor"/>
    </font>
    <font>
      <sz val="11"/>
      <color theme="1"/>
      <name val="微软雅黑"/>
      <family val="3"/>
      <charset val="134"/>
      <scheme val="minor"/>
    </font>
    <font>
      <b/>
      <sz val="11"/>
      <color indexed="56"/>
      <name val="Calibri"/>
      <family val="2"/>
    </font>
    <font>
      <u/>
      <sz val="11"/>
      <color indexed="12"/>
      <name val="宋体"/>
      <family val="3"/>
      <charset val="134"/>
    </font>
    <font>
      <u/>
      <sz val="8"/>
      <color theme="10"/>
      <name val="Arial"/>
      <family val="2"/>
    </font>
    <font>
      <sz val="11"/>
      <color indexed="60"/>
      <name val="Calibri"/>
      <family val="2"/>
    </font>
    <font>
      <sz val="8"/>
      <name val="Arial"/>
      <family val="2"/>
    </font>
    <font>
      <sz val="10"/>
      <color theme="1"/>
      <name val="Arial"/>
      <family val="2"/>
    </font>
    <font>
      <sz val="10"/>
      <name val="Tahoma"/>
      <family val="2"/>
    </font>
    <font>
      <sz val="10"/>
      <color rgb="FF000000"/>
      <name val="Times New Roman"/>
      <family val="1"/>
    </font>
    <font>
      <b/>
      <sz val="9"/>
      <color theme="1"/>
      <name val="Verdana"/>
      <family val="2"/>
    </font>
    <font>
      <sz val="8"/>
      <name val="Arial Unicode MS"/>
      <family val="2"/>
      <charset val="134"/>
    </font>
    <font>
      <sz val="11"/>
      <color rgb="FFC00000"/>
      <name val="宋体"/>
      <family val="3"/>
      <charset val="134"/>
    </font>
    <font>
      <sz val="9"/>
      <name val="微软雅黑"/>
      <family val="3"/>
      <charset val="134"/>
      <scheme val="minor"/>
    </font>
    <font>
      <sz val="9"/>
      <name val="微软雅黑"/>
      <family val="2"/>
      <charset val="134"/>
      <scheme val="minor"/>
    </font>
    <font>
      <sz val="11"/>
      <color theme="1"/>
      <name val="微软雅黑"/>
      <family val="2"/>
      <charset val="134"/>
      <scheme val="minor"/>
    </font>
    <font>
      <sz val="11"/>
      <color rgb="FF000000"/>
      <name val="微软雅黑"/>
      <family val="3"/>
      <charset val="134"/>
      <scheme val="minor"/>
    </font>
    <font>
      <sz val="9"/>
      <name val="微软雅黑"/>
      <family val="3"/>
      <charset val="134"/>
      <scheme val="minor"/>
    </font>
    <font>
      <sz val="9"/>
      <name val="宋体"/>
      <family val="3"/>
      <charset val="134"/>
    </font>
    <font>
      <sz val="11"/>
      <color indexed="8"/>
      <name val="微软雅黑"/>
      <family val="2"/>
      <scheme val="minor"/>
    </font>
    <font>
      <sz val="10"/>
      <color theme="1"/>
      <name val="Calibri"/>
      <family val="2"/>
    </font>
    <font>
      <sz val="11"/>
      <color theme="1"/>
      <name val="等线"/>
      <family val="3"/>
      <charset val="134"/>
    </font>
    <font>
      <sz val="11"/>
      <color rgb="FF000000"/>
      <name val="Calibri"/>
      <family val="2"/>
    </font>
    <font>
      <sz val="11"/>
      <color rgb="FF000000"/>
      <name val="等线"/>
      <family val="3"/>
      <charset val="134"/>
    </font>
    <font>
      <sz val="11"/>
      <name val="等线"/>
      <family val="3"/>
      <charset val="134"/>
    </font>
    <font>
      <sz val="15"/>
      <color theme="1"/>
      <name val="微软雅黑"/>
      <family val="3"/>
      <charset val="134"/>
      <scheme val="minor"/>
    </font>
    <font>
      <sz val="11"/>
      <color theme="1"/>
      <name val="Calibri"/>
      <family val="3"/>
      <charset val="134"/>
    </font>
    <font>
      <sz val="11"/>
      <color theme="1"/>
      <name val="等线"/>
      <family val="2"/>
      <charset val="134"/>
    </font>
    <font>
      <sz val="11"/>
      <color theme="1"/>
      <name val="宋体"/>
      <family val="2"/>
      <charset val="134"/>
    </font>
    <font>
      <sz val="11"/>
      <color theme="1"/>
      <name val="微软雅黑"/>
      <family val="2"/>
      <charset val="134"/>
    </font>
    <font>
      <sz val="11"/>
      <color theme="1"/>
      <name val="微软雅黑"/>
      <family val="2"/>
    </font>
    <font>
      <sz val="11"/>
      <color rgb="FFC00000"/>
      <name val="等线"/>
      <family val="3"/>
      <charset val="134"/>
    </font>
    <font>
      <sz val="11"/>
      <color theme="1"/>
      <name val="微软雅黑"/>
      <family val="3"/>
      <charset val="134"/>
    </font>
    <font>
      <sz val="11"/>
      <color rgb="FF000000"/>
      <name val="微软雅黑"/>
      <family val="3"/>
      <charset val="134"/>
    </font>
    <font>
      <sz val="11"/>
      <color rgb="FF000000"/>
      <name val="微软雅黑"/>
      <family val="2"/>
    </font>
    <font>
      <sz val="11"/>
      <name val="微软雅黑"/>
      <family val="3"/>
      <charset val="134"/>
    </font>
    <font>
      <sz val="11"/>
      <color theme="1"/>
      <name val="Calibri"/>
      <family val="2"/>
      <charset val="134"/>
    </font>
    <font>
      <sz val="18"/>
      <color theme="1"/>
      <name val="Calibri"/>
      <family val="2"/>
    </font>
    <font>
      <b/>
      <sz val="20"/>
      <color theme="1"/>
      <name val="Calibri"/>
      <family val="2"/>
    </font>
    <font>
      <sz val="18"/>
      <color theme="1"/>
      <name val="等线"/>
      <family val="3"/>
      <charset val="134"/>
    </font>
    <font>
      <b/>
      <sz val="20"/>
      <color theme="1"/>
      <name val="Calibri"/>
      <family val="3"/>
    </font>
    <font>
      <b/>
      <sz val="20"/>
      <color theme="1"/>
      <name val="微软雅黑"/>
      <family val="3"/>
      <charset val="134"/>
      <scheme val="minor"/>
    </font>
    <font>
      <sz val="18"/>
      <color theme="1"/>
      <name val="Calibri"/>
      <family val="2"/>
      <charset val="134"/>
    </font>
    <font>
      <sz val="18"/>
      <color theme="1"/>
      <name val="宋体"/>
      <family val="2"/>
      <charset val="134"/>
    </font>
    <font>
      <sz val="18"/>
      <color theme="1"/>
      <name val="Calibri"/>
      <family val="3"/>
      <charset val="134"/>
    </font>
    <font>
      <sz val="18"/>
      <color theme="1"/>
      <name val="宋体"/>
      <family val="3"/>
      <charset val="134"/>
    </font>
    <font>
      <sz val="18"/>
      <color rgb="FFFF0000"/>
      <name val="Calibri"/>
      <family val="2"/>
    </font>
    <font>
      <sz val="11"/>
      <color theme="1"/>
      <name val="微软雅黑"/>
      <family val="2"/>
      <charset val="134"/>
      <scheme val="major"/>
    </font>
    <font>
      <sz val="11"/>
      <color rgb="FF000000"/>
      <name val="宋体"/>
      <family val="2"/>
      <charset val="134"/>
    </font>
  </fonts>
  <fills count="64">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5" tint="0.79992065187536243"/>
        <bgColor indexed="64"/>
      </patternFill>
    </fill>
    <fill>
      <patternFill patternType="solid">
        <fgColor theme="4" tint="0.59999389629810485"/>
        <bgColor indexed="64"/>
      </patternFill>
    </fill>
    <fill>
      <patternFill patternType="solid">
        <fgColor theme="6" tint="0.79992065187536243"/>
        <bgColor indexed="64"/>
      </patternFill>
    </fill>
    <fill>
      <patternFill patternType="solid">
        <fgColor indexed="22"/>
        <bgColor indexed="64"/>
      </patternFill>
    </fill>
    <fill>
      <patternFill patternType="solid">
        <fgColor theme="8" tint="0.59999389629810485"/>
        <bgColor indexed="64"/>
      </patternFill>
    </fill>
    <fill>
      <patternFill patternType="solid">
        <fgColor theme="4" tint="0.79992065187536243"/>
        <bgColor indexed="64"/>
      </patternFill>
    </fill>
    <fill>
      <patternFill patternType="solid">
        <fgColor theme="5" tint="0.59999389629810485"/>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indexed="45"/>
        <bgColor indexed="64"/>
      </patternFill>
    </fill>
    <fill>
      <patternFill patternType="solid">
        <fgColor theme="6" tint="0.59999389629810485"/>
        <bgColor indexed="64"/>
      </patternFill>
    </fill>
    <fill>
      <patternFill patternType="solid">
        <fgColor theme="9" tint="0.79992065187536243"/>
        <bgColor indexed="64"/>
      </patternFill>
    </fill>
    <fill>
      <patternFill patternType="solid">
        <fgColor indexed="36"/>
        <bgColor indexed="64"/>
      </patternFill>
    </fill>
    <fill>
      <patternFill patternType="solid">
        <fgColor indexed="44"/>
        <bgColor indexed="64"/>
      </patternFill>
    </fill>
    <fill>
      <patternFill patternType="solid">
        <fgColor rgb="FFC6EFCE"/>
        <bgColor indexed="64"/>
      </patternFill>
    </fill>
    <fill>
      <patternFill patternType="solid">
        <fgColor indexed="31"/>
        <bgColor indexed="64"/>
      </patternFill>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29"/>
        <bgColor indexed="64"/>
      </patternFill>
    </fill>
    <fill>
      <patternFill patternType="solid">
        <fgColor rgb="FFFFEB9C"/>
        <bgColor indexed="64"/>
      </patternFill>
    </fill>
    <fill>
      <patternFill patternType="solid">
        <fgColor indexed="42"/>
        <bgColor indexed="64"/>
      </patternFill>
    </fill>
    <fill>
      <patternFill patternType="solid">
        <fgColor theme="9" tint="0.39991454817346722"/>
        <bgColor indexed="64"/>
      </patternFill>
    </fill>
    <fill>
      <patternFill patternType="solid">
        <fgColor theme="9" tint="0.59999389629810485"/>
        <bgColor indexed="64"/>
      </patternFill>
    </fill>
    <fill>
      <patternFill patternType="solid">
        <fgColor indexed="30"/>
        <bgColor indexed="64"/>
      </patternFill>
    </fill>
    <fill>
      <patternFill patternType="solid">
        <fgColor indexed="57"/>
        <bgColor indexed="64"/>
      </patternFill>
    </fill>
    <fill>
      <patternFill patternType="solid">
        <fgColor indexed="11"/>
        <bgColor indexed="64"/>
      </patternFill>
    </fill>
    <fill>
      <patternFill patternType="solid">
        <fgColor indexed="46"/>
        <bgColor indexed="64"/>
      </patternFill>
    </fill>
    <fill>
      <patternFill patternType="solid">
        <fgColor indexed="62"/>
        <bgColor indexed="64"/>
      </patternFill>
    </fill>
    <fill>
      <patternFill patternType="solid">
        <fgColor indexed="10"/>
        <bgColor indexed="64"/>
      </patternFill>
    </fill>
    <fill>
      <patternFill patternType="solid">
        <fgColor rgb="FFF2F2F2"/>
        <bgColor indexed="64"/>
      </patternFill>
    </fill>
    <fill>
      <patternFill patternType="solid">
        <fgColor theme="4"/>
        <bgColor indexed="64"/>
      </patternFill>
    </fill>
    <fill>
      <patternFill patternType="solid">
        <fgColor rgb="FFFFFFCC"/>
        <bgColor indexed="64"/>
      </patternFill>
    </fill>
    <fill>
      <patternFill patternType="solid">
        <fgColor theme="4" tint="0.39991454817346722"/>
        <bgColor indexed="64"/>
      </patternFill>
    </fill>
    <fill>
      <patternFill patternType="solid">
        <fgColor theme="8"/>
        <bgColor indexed="64"/>
      </patternFill>
    </fill>
    <fill>
      <patternFill patternType="solid">
        <fgColor theme="7" tint="0.39991454817346722"/>
        <bgColor indexed="64"/>
      </patternFill>
    </fill>
    <fill>
      <patternFill patternType="solid">
        <fgColor theme="8" tint="0.39991454817346722"/>
        <bgColor indexed="64"/>
      </patternFill>
    </fill>
    <fill>
      <patternFill patternType="solid">
        <fgColor theme="6" tint="0.39991454817346722"/>
        <bgColor indexed="64"/>
      </patternFill>
    </fill>
    <fill>
      <patternFill patternType="solid">
        <fgColor indexed="49"/>
        <bgColor indexed="64"/>
      </patternFill>
    </fill>
    <fill>
      <patternFill patternType="solid">
        <fgColor rgb="FFA5A5A5"/>
        <bgColor indexed="64"/>
      </patternFill>
    </fill>
    <fill>
      <patternFill patternType="solid">
        <fgColor theme="5" tint="0.39991454817346722"/>
        <bgColor indexed="64"/>
      </patternFill>
    </fill>
    <fill>
      <patternFill patternType="solid">
        <fgColor indexed="53"/>
        <bgColor indexed="64"/>
      </patternFill>
    </fill>
    <fill>
      <patternFill patternType="solid">
        <fgColor indexed="55"/>
        <bgColor indexed="64"/>
      </patternFill>
    </fill>
    <fill>
      <patternFill patternType="solid">
        <fgColor indexed="52"/>
        <bgColor indexed="64"/>
      </patternFill>
    </fill>
    <fill>
      <patternFill patternType="solid">
        <fgColor rgb="FFFFC7CE"/>
        <bgColor indexed="64"/>
      </patternFill>
    </fill>
    <fill>
      <patternFill patternType="solid">
        <fgColor indexed="51"/>
        <bgColor indexed="64"/>
      </patternFill>
    </fill>
    <fill>
      <patternFill patternType="solid">
        <fgColor theme="6"/>
        <bgColor indexed="64"/>
      </patternFill>
    </fill>
    <fill>
      <patternFill patternType="solid">
        <fgColor theme="9"/>
        <bgColor indexed="64"/>
      </patternFill>
    </fill>
    <fill>
      <patternFill patternType="solid">
        <fgColor rgb="FFFFCC99"/>
        <bgColor indexed="64"/>
      </patternFill>
    </fill>
    <fill>
      <patternFill patternType="solid">
        <fgColor indexed="43"/>
        <bgColor indexed="64"/>
      </patternFill>
    </fill>
    <fill>
      <patternFill patternType="solid">
        <fgColor rgb="FFB2B2B2"/>
        <bgColor indexed="64"/>
      </patternFill>
    </fill>
    <fill>
      <patternFill patternType="solid">
        <fgColor rgb="FFD3D3D3"/>
        <bgColor indexed="64"/>
      </patternFill>
    </fill>
    <fill>
      <patternFill patternType="solid">
        <fgColor theme="2" tint="-0.2499160740989410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00"/>
        <bgColor indexed="64"/>
      </patternFill>
    </fill>
    <fill>
      <patternFill patternType="solid">
        <fgColor theme="2"/>
        <bgColor indexed="64"/>
      </patternFill>
    </fill>
  </fills>
  <borders count="20">
    <border>
      <left/>
      <right/>
      <top/>
      <bottom/>
      <diagonal/>
    </border>
    <border>
      <left/>
      <right/>
      <top/>
      <bottom style="thick">
        <color theme="4" tint="0.499984740745262"/>
      </bottom>
      <diagonal/>
    </border>
    <border>
      <left style="thin">
        <color indexed="23"/>
      </left>
      <right style="thin">
        <color indexed="23"/>
      </right>
      <top style="thin">
        <color indexed="23"/>
      </top>
      <bottom style="thin">
        <color indexed="23"/>
      </bottom>
      <diagonal/>
    </border>
    <border>
      <left style="thin">
        <color rgb="FF7F7F7F"/>
      </left>
      <right style="thin">
        <color rgb="FF7F7F7F"/>
      </right>
      <top style="thin">
        <color rgb="FF7F7F7F"/>
      </top>
      <bottom style="thin">
        <color rgb="FF7F7F7F"/>
      </bottom>
      <diagonal/>
    </border>
    <border>
      <left/>
      <right/>
      <top style="thin">
        <color indexed="62"/>
      </top>
      <bottom style="double">
        <color indexed="62"/>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indexed="62"/>
      </bottom>
      <diagonal/>
    </border>
    <border>
      <left/>
      <right/>
      <top/>
      <bottom style="thick">
        <color indexed="22"/>
      </bottom>
      <diagonal/>
    </border>
    <border>
      <left/>
      <right/>
      <top/>
      <bottom style="double">
        <color indexed="52"/>
      </bottom>
      <diagonal/>
    </border>
    <border>
      <left/>
      <right/>
      <top/>
      <bottom style="medium">
        <color theme="4" tint="0.39991454817346722"/>
      </bottom>
      <diagonal/>
    </border>
    <border>
      <left/>
      <right/>
      <top/>
      <bottom style="medium">
        <color indexed="30"/>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9644">
    <xf numFmtId="0" fontId="0" fillId="0" borderId="0"/>
    <xf numFmtId="177" fontId="10" fillId="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7"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10" fillId="7" borderId="0" applyNumberFormat="0" applyBorder="0" applyAlignment="0" applyProtection="0"/>
    <xf numFmtId="177" fontId="10" fillId="8"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6"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2" borderId="0" applyNumberFormat="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1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7" borderId="0" applyNumberFormat="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3" fillId="9" borderId="2" applyNumberFormat="0" applyAlignment="0" applyProtection="0"/>
    <xf numFmtId="177" fontId="16" fillId="18"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2" fillId="1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6" fontId="17" fillId="2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7" fontId="10" fillId="10" borderId="0" applyNumberFormat="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8"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177" fontId="13" fillId="9" borderId="2" applyNumberFormat="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176" fontId="19" fillId="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9" fontId="10"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176" fontId="12" fillId="2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7" fontId="10" fillId="5"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176" fontId="13" fillId="9" borderId="2" applyNumberFormat="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176" fontId="10" fillId="6" borderId="0" applyNumberFormat="0" applyBorder="0" applyAlignment="0" applyProtection="0"/>
    <xf numFmtId="176" fontId="12" fillId="0" borderId="0"/>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9" fillId="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177" fontId="12" fillId="24"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8" fontId="10" fillId="0" borderId="0" applyFont="0" applyFill="0" applyBorder="0" applyAlignment="0" applyProtection="0">
      <alignment vertical="center"/>
    </xf>
    <xf numFmtId="176" fontId="16" fillId="1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6" fontId="21" fillId="0" borderId="0"/>
    <xf numFmtId="176" fontId="21" fillId="0" borderId="0"/>
    <xf numFmtId="177" fontId="11" fillId="0" borderId="0"/>
    <xf numFmtId="43" fontId="10" fillId="0" borderId="0" applyFont="0" applyFill="0" applyBorder="0" applyAlignment="0" applyProtection="0">
      <alignment vertical="center"/>
    </xf>
    <xf numFmtId="177" fontId="10" fillId="6" borderId="0" applyNumberFormat="0" applyBorder="0" applyAlignment="0" applyProtection="0"/>
    <xf numFmtId="43"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2" fillId="17" borderId="0" applyNumberFormat="0" applyBorder="0" applyAlignment="0" applyProtection="0"/>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176" fontId="10" fillId="0" borderId="0"/>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4" borderId="0" applyNumberFormat="0" applyBorder="0" applyAlignment="0" applyProtection="0"/>
    <xf numFmtId="176" fontId="16" fillId="2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2" fillId="2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6" fontId="22"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177" fontId="24" fillId="26" borderId="0" applyNumberFormat="0" applyBorder="0" applyAlignment="0" applyProtection="0"/>
    <xf numFmtId="177"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5" fillId="0" borderId="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177" fontId="12" fillId="27" borderId="0" applyNumberFormat="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8"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1" borderId="0" applyNumberFormat="0" applyBorder="0" applyAlignment="0" applyProtection="0"/>
    <xf numFmtId="43"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8"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7" fontId="10" fillId="7" borderId="0" applyNumberFormat="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3" borderId="0" applyNumberFormat="0" applyBorder="0" applyAlignment="0" applyProtection="0"/>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9" fillId="28" borderId="0" applyNumberFormat="0" applyBorder="0" applyAlignment="0" applyProtection="0"/>
    <xf numFmtId="43" fontId="11" fillId="0" borderId="0" applyFont="0" applyFill="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8" borderId="0" applyNumberFormat="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5"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2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6"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7" fontId="10" fillId="13"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11" borderId="0" applyNumberFormat="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176" fontId="10" fillId="0" borderId="0"/>
    <xf numFmtId="177" fontId="10" fillId="16" borderId="0" applyNumberFormat="0" applyBorder="0" applyAlignment="0" applyProtection="0"/>
    <xf numFmtId="43" fontId="10" fillId="0" borderId="0" applyFont="0" applyFill="0" applyBorder="0" applyAlignment="0" applyProtection="0">
      <alignment vertical="center"/>
    </xf>
    <xf numFmtId="176" fontId="10" fillId="6" borderId="0" applyNumberFormat="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176"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176"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176"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6" fontId="10" fillId="14" borderId="0" applyNumberFormat="0" applyBorder="0" applyAlignment="0" applyProtection="0"/>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177" fontId="11" fillId="0" borderId="0"/>
    <xf numFmtId="177" fontId="9"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6" borderId="0" applyNumberFormat="0" applyBorder="0" applyAlignment="0" applyProtection="0"/>
    <xf numFmtId="176"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7" fillId="27" borderId="0" applyNumberFormat="0" applyBorder="0" applyAlignment="0" applyProtection="0"/>
    <xf numFmtId="43" fontId="10" fillId="0" borderId="0" applyFont="0" applyFill="0" applyBorder="0" applyAlignment="0" applyProtection="0">
      <alignment vertical="center"/>
    </xf>
    <xf numFmtId="177" fontId="10" fillId="10" borderId="0" applyNumberFormat="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7" fillId="2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7" fontId="10" fillId="10" borderId="0" applyNumberFormat="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6" fontId="23"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6" fontId="12" fillId="0" borderId="0"/>
    <xf numFmtId="176" fontId="10" fillId="11"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7" fontId="10" fillId="5" borderId="0" applyNumberFormat="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1" borderId="0" applyNumberFormat="0" applyBorder="0" applyAlignment="0" applyProtection="0"/>
    <xf numFmtId="177" fontId="12"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0" borderId="0" applyNumberFormat="0" applyBorder="0" applyAlignment="0" applyProtection="0"/>
    <xf numFmtId="177" fontId="10" fillId="11"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6" fillId="30"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177" fontId="20" fillId="23" borderId="2" applyNumberFormat="0" applyAlignment="0" applyProtection="0"/>
    <xf numFmtId="43" fontId="11" fillId="0" borderId="0" applyFont="0" applyFill="0" applyBorder="0" applyAlignment="0" applyProtection="0"/>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7" fontId="10" fillId="11" borderId="0" applyNumberFormat="0" applyBorder="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0" fillId="8" borderId="0" applyNumberFormat="0" applyBorder="0" applyAlignment="0" applyProtection="0"/>
    <xf numFmtId="177" fontId="25" fillId="22" borderId="6" applyNumberFormat="0" applyFont="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177" fontId="20" fillId="23" borderId="2" applyNumberFormat="0" applyAlignment="0" applyProtection="0"/>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177" fontId="20" fillId="23" borderId="2" applyNumberFormat="0" applyAlignment="0" applyProtection="0"/>
    <xf numFmtId="176" fontId="10" fillId="0" borderId="0"/>
    <xf numFmtId="176"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7" fontId="10" fillId="11" borderId="0" applyNumberFormat="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7" borderId="0" applyNumberFormat="0" applyBorder="0" applyAlignment="0" applyProtection="0"/>
    <xf numFmtId="176"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176" fontId="10" fillId="11"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6" fontId="10" fillId="11" borderId="0" applyNumberFormat="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176"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25" fillId="0" borderId="0"/>
    <xf numFmtId="177"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176" fontId="20" fillId="23" borderId="2" applyNumberFormat="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7" fontId="10" fillId="11" borderId="0" applyNumberFormat="0" applyBorder="0" applyAlignment="0" applyProtection="0"/>
    <xf numFmtId="176" fontId="20" fillId="23" borderId="2" applyNumberFormat="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176" fontId="20" fillId="23" borderId="2" applyNumberFormat="0" applyAlignment="0" applyProtection="0"/>
    <xf numFmtId="176"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2" borderId="0" applyNumberFormat="0" applyBorder="0" applyAlignment="0" applyProtection="0"/>
    <xf numFmtId="176" fontId="10" fillId="11" borderId="0" applyNumberFormat="0" applyBorder="0" applyAlignment="0" applyProtection="0"/>
    <xf numFmtId="176" fontId="20" fillId="23" borderId="2" applyNumberFormat="0" applyAlignment="0" applyProtection="0"/>
    <xf numFmtId="177" fontId="10" fillId="11" borderId="0" applyNumberFormat="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7" fontId="10" fillId="5" borderId="0" applyNumberFormat="0" applyBorder="0" applyAlignment="0" applyProtection="0"/>
    <xf numFmtId="177" fontId="13" fillId="9" borderId="2" applyNumberFormat="0" applyAlignment="0" applyProtection="0"/>
    <xf numFmtId="9"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7" fontId="10" fillId="11" borderId="0" applyNumberFormat="0" applyBorder="0" applyAlignment="0" applyProtection="0"/>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29" borderId="0" applyNumberFormat="0" applyBorder="0" applyAlignment="0" applyProtection="0"/>
    <xf numFmtId="177" fontId="20" fillId="23" borderId="2" applyNumberFormat="0" applyAlignment="0" applyProtection="0"/>
    <xf numFmtId="177" fontId="10" fillId="11"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1"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14"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6"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1" borderId="0" applyNumberFormat="0" applyBorder="0" applyAlignment="0" applyProtection="0"/>
    <xf numFmtId="177" fontId="18"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7" fontId="18" fillId="22" borderId="6" applyNumberFormat="0" applyFont="0" applyAlignment="0" applyProtection="0"/>
    <xf numFmtId="177" fontId="10" fillId="5"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7" fontId="13" fillId="9" borderId="2" applyNumberFormat="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3" fillId="9" borderId="2" applyNumberFormat="0" applyAlignment="0" applyProtection="0"/>
    <xf numFmtId="178"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7" fontId="10" fillId="11"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6" fillId="3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2" fillId="23"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32" borderId="0" applyNumberFormat="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7" fontId="20" fillId="23" borderId="2" applyNumberFormat="0" applyAlignment="0" applyProtection="0"/>
    <xf numFmtId="177" fontId="10" fillId="16" borderId="0" applyNumberFormat="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7" fontId="18" fillId="22" borderId="6" applyNumberFormat="0" applyFont="0" applyAlignment="0" applyProtection="0"/>
    <xf numFmtId="177" fontId="10" fillId="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6" fontId="10" fillId="13"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6" borderId="0" applyNumberFormat="0" applyBorder="0" applyAlignment="0" applyProtection="0"/>
    <xf numFmtId="178" fontId="10" fillId="0" borderId="0" applyFont="0" applyFill="0" applyBorder="0" applyAlignment="0" applyProtection="0">
      <alignment vertical="center"/>
    </xf>
    <xf numFmtId="177" fontId="10" fillId="1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1" fillId="0" borderId="0"/>
    <xf numFmtId="177" fontId="12" fillId="15" borderId="0" applyNumberFormat="0" applyBorder="0" applyAlignment="0" applyProtection="0"/>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6" fontId="21" fillId="0" borderId="0"/>
    <xf numFmtId="177" fontId="11" fillId="0" borderId="0"/>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177" fontId="10" fillId="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176" fontId="10" fillId="6" borderId="0" applyNumberFormat="0" applyBorder="0" applyAlignment="0" applyProtection="0"/>
    <xf numFmtId="43" fontId="10" fillId="0" borderId="0" applyFont="0" applyFill="0" applyBorder="0" applyAlignment="0" applyProtection="0">
      <alignment vertical="center"/>
    </xf>
    <xf numFmtId="176" fontId="10" fillId="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1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4" borderId="0" applyNumberFormat="0" applyBorder="0" applyAlignment="0" applyProtection="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6" fontId="10" fillId="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6" borderId="0" applyNumberFormat="0" applyBorder="0" applyAlignment="0" applyProtection="0"/>
    <xf numFmtId="43" fontId="11" fillId="0" borderId="0" applyFont="0" applyFill="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43" fontId="10" fillId="0" borderId="0" applyFont="0" applyFill="0" applyBorder="0" applyAlignment="0" applyProtection="0">
      <alignment vertical="center"/>
    </xf>
    <xf numFmtId="176" fontId="10" fillId="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1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6" fontId="11" fillId="0" borderId="0"/>
    <xf numFmtId="177" fontId="25" fillId="0" borderId="0"/>
    <xf numFmtId="177" fontId="10" fillId="6" borderId="0" applyNumberFormat="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25"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10" fillId="7" borderId="0" applyNumberFormat="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6" fontId="10" fillId="17" borderId="0" applyNumberFormat="0" applyBorder="0" applyAlignment="0" applyProtection="0"/>
    <xf numFmtId="177" fontId="10" fillId="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6" fontId="11" fillId="0" borderId="0"/>
    <xf numFmtId="176" fontId="11" fillId="0" borderId="0"/>
    <xf numFmtId="178" fontId="10" fillId="0" borderId="0" applyFont="0" applyFill="0" applyBorder="0" applyAlignment="0" applyProtection="0">
      <alignment vertical="center"/>
    </xf>
    <xf numFmtId="177" fontId="10" fillId="6" borderId="0" applyNumberFormat="0" applyBorder="0" applyAlignment="0" applyProtection="0"/>
    <xf numFmtId="177" fontId="10" fillId="6" borderId="0" applyNumberFormat="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6" fontId="2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7" fontId="10" fillId="12" borderId="0" applyNumberFormat="0" applyBorder="0" applyAlignment="0" applyProtection="0"/>
    <xf numFmtId="177" fontId="10" fillId="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25" fillId="0" borderId="0"/>
    <xf numFmtId="178" fontId="10" fillId="0" borderId="0" applyFont="0" applyFill="0" applyBorder="0" applyAlignment="0" applyProtection="0">
      <alignment vertical="center"/>
    </xf>
    <xf numFmtId="177" fontId="10" fillId="6" borderId="0" applyNumberFormat="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176"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3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6" fontId="26" fillId="9" borderId="11" applyNumberFormat="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6"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7" fontId="10" fillId="14" borderId="0" applyNumberFormat="0" applyBorder="0" applyAlignment="0" applyProtection="0"/>
    <xf numFmtId="176" fontId="21" fillId="0" borderId="0"/>
    <xf numFmtId="43"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6" fontId="10" fillId="6" borderId="0" applyNumberFormat="0" applyBorder="0" applyAlignment="0" applyProtection="0"/>
    <xf numFmtId="177" fontId="10" fillId="6" borderId="0" applyNumberFormat="0" applyBorder="0" applyAlignment="0" applyProtection="0"/>
    <xf numFmtId="177" fontId="10" fillId="7" borderId="0" applyNumberFormat="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7" borderId="0" applyNumberFormat="0" applyBorder="0" applyAlignment="0" applyProtection="0"/>
    <xf numFmtId="177" fontId="9" fillId="0" borderId="0"/>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6" borderId="0" applyNumberFormat="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29"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29"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7" fontId="10" fillId="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177" fontId="10" fillId="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6" fontId="22" fillId="7" borderId="0" applyNumberFormat="0" applyBorder="0" applyAlignment="0" applyProtection="0"/>
    <xf numFmtId="43" fontId="11" fillId="0" borderId="0" applyFont="0" applyFill="0" applyBorder="0" applyAlignment="0" applyProtection="0"/>
    <xf numFmtId="177" fontId="10" fillId="6" borderId="0" applyNumberFormat="0" applyBorder="0" applyAlignment="0" applyProtection="0"/>
    <xf numFmtId="177" fontId="28" fillId="0" borderId="0" applyNumberForma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176" fontId="29" fillId="0" borderId="0" applyNumberForma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176" fontId="10" fillId="6" borderId="0" applyNumberFormat="0" applyBorder="0" applyAlignment="0" applyProtection="0"/>
    <xf numFmtId="177" fontId="29" fillId="0" borderId="0" applyNumberFormat="0" applyFill="0" applyBorder="0" applyAlignment="0" applyProtection="0"/>
    <xf numFmtId="43" fontId="11" fillId="0" borderId="0" applyFont="0" applyFill="0" applyBorder="0" applyAlignment="0" applyProtection="0"/>
    <xf numFmtId="176" fontId="10" fillId="29" borderId="0" applyNumberFormat="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7"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6" fontId="10" fillId="13"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177" fontId="10" fillId="0" borderId="0"/>
    <xf numFmtId="178" fontId="10" fillId="0" borderId="0" applyFont="0" applyFill="0" applyBorder="0" applyAlignment="0" applyProtection="0">
      <alignment vertical="center"/>
    </xf>
    <xf numFmtId="176" fontId="10" fillId="13"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7" fontId="10" fillId="8" borderId="0" applyNumberFormat="0" applyBorder="0" applyAlignment="0" applyProtection="0"/>
    <xf numFmtId="177" fontId="10" fillId="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6" borderId="0" applyNumberFormat="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177" fontId="16" fillId="34"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6" fillId="35"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176" fontId="10" fillId="12" borderId="0" applyNumberFormat="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30" fillId="36" borderId="3"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2"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7" fontId="10" fillId="7" borderId="0" applyNumberFormat="0" applyBorder="0" applyAlignment="0" applyProtection="0"/>
    <xf numFmtId="43"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7" fontId="10" fillId="0" borderId="0"/>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6" fontId="10" fillId="0" borderId="0"/>
    <xf numFmtId="176" fontId="10" fillId="0" borderId="0"/>
    <xf numFmtId="177" fontId="10" fillId="7" borderId="0" applyNumberFormat="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7" borderId="0" applyNumberFormat="0" applyBorder="0" applyAlignment="0" applyProtection="0"/>
    <xf numFmtId="177" fontId="10" fillId="0" borderId="0"/>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7" fontId="18" fillId="22" borderId="6" applyNumberFormat="0" applyFont="0" applyAlignment="0" applyProtection="0"/>
    <xf numFmtId="43" fontId="10" fillId="0" borderId="0" applyFont="0" applyFill="0" applyBorder="0" applyAlignment="0" applyProtection="0">
      <alignment vertical="center"/>
    </xf>
    <xf numFmtId="176" fontId="10" fillId="0" borderId="0"/>
    <xf numFmtId="176" fontId="10" fillId="0" borderId="0"/>
    <xf numFmtId="177" fontId="10" fillId="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7" fontId="10" fillId="7" borderId="0" applyNumberFormat="0" applyBorder="0" applyAlignment="0" applyProtection="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7" fontId="18" fillId="22" borderId="6" applyNumberFormat="0" applyFont="0" applyAlignment="0" applyProtection="0"/>
    <xf numFmtId="177" fontId="18" fillId="22" borderId="6" applyNumberFormat="0" applyFont="0" applyAlignment="0" applyProtection="0"/>
    <xf numFmtId="43" fontId="11" fillId="0" borderId="0" applyFont="0" applyFill="0" applyBorder="0" applyAlignment="0" applyProtection="0"/>
    <xf numFmtId="177" fontId="10" fillId="7" borderId="0" applyNumberFormat="0" applyBorder="0" applyAlignment="0" applyProtection="0"/>
    <xf numFmtId="177" fontId="10" fillId="13" borderId="0" applyNumberFormat="0" applyBorder="0" applyAlignment="0" applyProtection="0"/>
    <xf numFmtId="43" fontId="10" fillId="0" borderId="0" applyFont="0" applyFill="0" applyBorder="0" applyAlignment="0" applyProtection="0">
      <alignment vertical="center"/>
    </xf>
    <xf numFmtId="176" fontId="10" fillId="1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6" borderId="0" applyNumberFormat="0" applyBorder="0" applyAlignment="0" applyProtection="0"/>
    <xf numFmtId="177" fontId="13" fillId="9" borderId="2" applyNumberForma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6" fontId="10" fillId="0" borderId="0"/>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6" fontId="10" fillId="0" borderId="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6" fontId="10" fillId="0" borderId="0"/>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43" fontId="11" fillId="0" borderId="0" applyFont="0" applyFill="0" applyBorder="0" applyAlignment="0" applyProtection="0"/>
    <xf numFmtId="176" fontId="10" fillId="0" borderId="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6" fontId="10" fillId="0" borderId="0"/>
    <xf numFmtId="177" fontId="10" fillId="12" borderId="0" applyNumberFormat="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2" borderId="0" applyNumberFormat="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6" borderId="0" applyNumberFormat="0" applyBorder="0" applyAlignment="0" applyProtection="0"/>
    <xf numFmtId="177" fontId="10" fillId="1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7"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6" borderId="0" applyNumberFormat="0" applyBorder="0" applyAlignment="0" applyProtection="0"/>
    <xf numFmtId="177" fontId="10" fillId="12"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22" fillId="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29"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7" fontId="10" fillId="6" borderId="0" applyNumberFormat="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5" borderId="0" applyNumberFormat="0" applyBorder="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177" fontId="9" fillId="0" borderId="0"/>
    <xf numFmtId="43" fontId="11" fillId="0" borderId="0" applyFont="0" applyFill="0" applyBorder="0" applyAlignment="0" applyProtection="0"/>
    <xf numFmtId="176" fontId="16" fillId="30"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6" fontId="10" fillId="5"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177" fontId="10" fillId="6" borderId="0" applyNumberFormat="0" applyBorder="0" applyAlignment="0" applyProtection="0"/>
    <xf numFmtId="177" fontId="10" fillId="0" borderId="0"/>
    <xf numFmtId="176"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4"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7" fontId="10" fillId="6"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6"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8" borderId="0" applyNumberFormat="0" applyBorder="0" applyAlignment="0" applyProtection="0"/>
    <xf numFmtId="177" fontId="10" fillId="17"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2" fillId="27"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2" fillId="27" borderId="0" applyNumberFormat="0" applyBorder="0" applyAlignment="0" applyProtection="0"/>
    <xf numFmtId="176"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7" borderId="0" applyNumberFormat="0" applyBorder="0" applyAlignment="0" applyProtection="0"/>
    <xf numFmtId="176" fontId="11" fillId="0" borderId="0"/>
    <xf numFmtId="176" fontId="10" fillId="8" borderId="0" applyNumberFormat="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6" fontId="11" fillId="0" borderId="0"/>
    <xf numFmtId="176" fontId="2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43" fontId="11" fillId="0" borderId="0" applyFont="0" applyFill="0" applyBorder="0" applyAlignment="0" applyProtection="0"/>
    <xf numFmtId="176" fontId="10" fillId="8" borderId="0" applyNumberFormat="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6"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8" borderId="0" applyNumberFormat="0" applyBorder="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177" fontId="14" fillId="0" borderId="4" applyNumberFormat="0" applyFill="0" applyAlignment="0" applyProtection="0"/>
    <xf numFmtId="177" fontId="10" fillId="8" borderId="0" applyNumberFormat="0" applyBorder="0" applyAlignment="0" applyProtection="0"/>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176" fontId="19" fillId="37" borderId="0" applyNumberFormat="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8"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8" borderId="0" applyNumberFormat="0" applyBorder="0" applyAlignment="0" applyProtection="0"/>
    <xf numFmtId="43" fontId="11" fillId="0" borderId="0" applyFont="0" applyFill="0" applyBorder="0" applyAlignment="0" applyProtection="0"/>
    <xf numFmtId="177" fontId="10" fillId="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6" fontId="12" fillId="38" borderId="5" applyNumberFormat="0" applyFont="0" applyAlignment="0" applyProtection="0"/>
    <xf numFmtId="177" fontId="10" fillId="13"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9" fontId="10" fillId="0" borderId="0" applyFont="0" applyFill="0" applyBorder="0" applyAlignment="0" applyProtection="0"/>
    <xf numFmtId="177" fontId="10" fillId="0" borderId="0"/>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7" fontId="10" fillId="0" borderId="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7" fontId="10" fillId="8"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7" fontId="10" fillId="13"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8"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8"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8" borderId="0" applyNumberFormat="0" applyBorder="0" applyAlignment="0" applyProtection="0"/>
    <xf numFmtId="177" fontId="10" fillId="8" borderId="0" applyNumberFormat="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5"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5"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177" fontId="10" fillId="8" borderId="0" applyNumberFormat="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8"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0" borderId="0"/>
    <xf numFmtId="177" fontId="13" fillId="9" borderId="2" applyNumberFormat="0" applyAlignment="0" applyProtection="0"/>
    <xf numFmtId="177" fontId="12" fillId="33"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17" borderId="0" applyNumberFormat="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6" fontId="10" fillId="1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0" fillId="0" borderId="0"/>
    <xf numFmtId="177" fontId="13" fillId="9" borderId="2" applyNumberFormat="0" applyAlignment="0" applyProtection="0"/>
    <xf numFmtId="177" fontId="10" fillId="13"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3" fillId="9" borderId="2" applyNumberFormat="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8" borderId="0" applyNumberFormat="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29"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7" fontId="12" fillId="2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6" fontId="22"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29"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3" fillId="9" borderId="2" applyNumberFormat="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8" borderId="0" applyNumberFormat="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10" fillId="8" borderId="0" applyNumberFormat="0" applyBorder="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8" borderId="0" applyNumberFormat="0" applyBorder="0" applyAlignment="0" applyProtection="0"/>
    <xf numFmtId="176" fontId="10" fillId="13" borderId="0" applyNumberFormat="0" applyBorder="0" applyAlignment="0" applyProtection="0"/>
    <xf numFmtId="43" fontId="10" fillId="0" borderId="0" applyFont="0" applyFill="0" applyBorder="0" applyAlignment="0" applyProtection="0">
      <alignment vertical="center"/>
    </xf>
    <xf numFmtId="176"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7" borderId="0" applyNumberFormat="0" applyBorder="0" applyAlignment="0" applyProtection="0"/>
    <xf numFmtId="177" fontId="10" fillId="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6" fontId="10" fillId="13"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3"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7" borderId="0" applyNumberFormat="0" applyBorder="0" applyAlignment="0" applyProtection="0"/>
    <xf numFmtId="176" fontId="10" fillId="13" borderId="0" applyNumberFormat="0" applyBorder="0" applyAlignment="0" applyProtection="0"/>
    <xf numFmtId="177" fontId="12" fillId="3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176" fontId="12" fillId="33"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6" fontId="10" fillId="13" borderId="0" applyNumberFormat="0" applyBorder="0" applyAlignment="0" applyProtection="0"/>
    <xf numFmtId="176" fontId="10" fillId="13" borderId="0" applyNumberFormat="0" applyBorder="0" applyAlignment="0" applyProtection="0"/>
    <xf numFmtId="177" fontId="11" fillId="0" borderId="0"/>
    <xf numFmtId="177"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176" fontId="19" fillId="39"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177" fontId="10" fillId="13" borderId="0" applyNumberFormat="0" applyBorder="0" applyAlignment="0" applyProtection="0"/>
    <xf numFmtId="177" fontId="11" fillId="0" borderId="0"/>
    <xf numFmtId="177"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7" fontId="10" fillId="0" borderId="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7" fontId="10" fillId="0" borderId="0"/>
    <xf numFmtId="177" fontId="10" fillId="13"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2" borderId="0" applyNumberFormat="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6" fontId="10" fillId="12"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7" fontId="10" fillId="14" borderId="0" applyNumberFormat="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13" borderId="0" applyNumberFormat="0" applyBorder="0" applyAlignment="0" applyProtection="0"/>
    <xf numFmtId="177" fontId="12" fillId="2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176" fontId="10" fillId="13"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7" borderId="0" applyNumberFormat="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6" fontId="11" fillId="0" borderId="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0" fillId="13" borderId="0" applyNumberFormat="0" applyBorder="0" applyAlignment="0" applyProtection="0"/>
    <xf numFmtId="43" fontId="11" fillId="0" borderId="0" applyFont="0" applyFill="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3"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2" borderId="0" applyNumberFormat="0" applyBorder="0" applyAlignment="0" applyProtection="0"/>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7" fontId="12" fillId="19" borderId="0" applyNumberFormat="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19" borderId="0" applyNumberFormat="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22" fillId="13" borderId="0" applyNumberFormat="0" applyBorder="0" applyAlignment="0" applyProtection="0"/>
    <xf numFmtId="177" fontId="19" fillId="3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6" fontId="19" fillId="39" borderId="0" applyNumberFormat="0" applyBorder="0" applyAlignment="0" applyProtection="0"/>
    <xf numFmtId="177" fontId="20" fillId="23" borderId="2" applyNumberFormat="0" applyAlignment="0" applyProtection="0"/>
    <xf numFmtId="177" fontId="10" fillId="0" borderId="0"/>
    <xf numFmtId="177" fontId="13" fillId="9" borderId="2" applyNumberFormat="0" applyAlignment="0" applyProtection="0"/>
    <xf numFmtId="178" fontId="10" fillId="0" borderId="0" applyFont="0" applyFill="0" applyBorder="0" applyAlignment="0" applyProtection="0">
      <alignment vertical="center"/>
    </xf>
    <xf numFmtId="177" fontId="10" fillId="13"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177" fontId="10" fillId="7" borderId="0" applyNumberFormat="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6" fillId="32"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3" borderId="0" applyNumberFormat="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7" borderId="0" applyNumberFormat="0" applyBorder="0" applyAlignment="0" applyProtection="0"/>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6" fontId="10" fillId="14" borderId="0" applyNumberFormat="0" applyBorder="0" applyAlignment="0" applyProtection="0"/>
    <xf numFmtId="43" fontId="10" fillId="0" borderId="0" applyFont="0" applyFill="0" applyBorder="0" applyAlignment="0" applyProtection="0">
      <alignment vertical="center"/>
    </xf>
    <xf numFmtId="176" fontId="10" fillId="14"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14" borderId="0" applyNumberFormat="0" applyBorder="0" applyAlignment="0" applyProtection="0"/>
    <xf numFmtId="177" fontId="11" fillId="0" borderId="0"/>
    <xf numFmtId="177" fontId="11" fillId="0" borderId="0"/>
    <xf numFmtId="43" fontId="11" fillId="0" borderId="0" applyFont="0" applyFill="0" applyBorder="0" applyAlignment="0" applyProtection="0"/>
    <xf numFmtId="176" fontId="10" fillId="14"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7" fontId="10" fillId="14" borderId="0" applyNumberFormat="0" applyBorder="0" applyAlignment="0" applyProtection="0"/>
    <xf numFmtId="177" fontId="10" fillId="14" borderId="0" applyNumberFormat="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177"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7" fontId="11" fillId="0" borderId="0"/>
    <xf numFmtId="177" fontId="11" fillId="0" borderId="0"/>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0" fillId="0" borderId="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14" borderId="0" applyNumberFormat="0" applyBorder="0" applyAlignment="0" applyProtection="0"/>
    <xf numFmtId="177"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9" fillId="40"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7" fontId="11" fillId="0" borderId="0"/>
    <xf numFmtId="177" fontId="11" fillId="0" borderId="0"/>
    <xf numFmtId="177" fontId="10" fillId="29"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176" fontId="10" fillId="0" borderId="0"/>
    <xf numFmtId="177" fontId="12" fillId="25" borderId="0" applyNumberFormat="0" applyBorder="0" applyAlignment="0" applyProtection="0"/>
    <xf numFmtId="43" fontId="11" fillId="0" borderId="0" applyFont="0" applyFill="0" applyBorder="0" applyAlignment="0" applyProtection="0"/>
    <xf numFmtId="177" fontId="10" fillId="14" borderId="0" applyNumberFormat="0" applyBorder="0" applyAlignment="0" applyProtection="0"/>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6" fontId="10" fillId="0" borderId="0"/>
    <xf numFmtId="176" fontId="12" fillId="25" borderId="0" applyNumberFormat="0" applyBorder="0" applyAlignment="0" applyProtection="0"/>
    <xf numFmtId="177" fontId="10" fillId="14" borderId="0" applyNumberFormat="0" applyBorder="0" applyAlignment="0" applyProtection="0"/>
    <xf numFmtId="176" fontId="10" fillId="0" borderId="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4" borderId="0" applyNumberFormat="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4"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22" fillId="1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176" fontId="10" fillId="0" borderId="0"/>
    <xf numFmtId="177" fontId="10" fillId="12"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176" fontId="10" fillId="0" borderId="0"/>
    <xf numFmtId="177" fontId="10" fillId="1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4" borderId="0" applyNumberFormat="0" applyBorder="0" applyAlignment="0" applyProtection="0"/>
    <xf numFmtId="43" fontId="10" fillId="0" borderId="0" applyFont="0" applyFill="0" applyBorder="0" applyAlignment="0" applyProtection="0">
      <alignment vertical="center"/>
    </xf>
    <xf numFmtId="177" fontId="10" fillId="14" borderId="0" applyNumberFormat="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6"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177" fontId="10" fillId="17"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7" fontId="10" fillId="17" borderId="0" applyNumberFormat="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6" fontId="11" fillId="0" borderId="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9" fillId="41" borderId="0" applyNumberFormat="0" applyBorder="0" applyAlignment="0" applyProtection="0"/>
    <xf numFmtId="43"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29"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7" fontId="18" fillId="22" borderId="6" applyNumberFormat="0" applyFont="0" applyAlignment="0" applyProtection="0"/>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176" fontId="10" fillId="1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9" fillId="42" borderId="0" applyNumberFormat="0" applyBorder="0" applyAlignment="0" applyProtection="0"/>
    <xf numFmtId="43" fontId="10" fillId="0" borderId="0" applyFont="0" applyFill="0" applyBorder="0" applyAlignment="0" applyProtection="0">
      <alignment vertical="center"/>
    </xf>
    <xf numFmtId="177" fontId="10"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7" fontId="13" fillId="9" borderId="2" applyNumberFormat="0" applyAlignment="0" applyProtection="0"/>
    <xf numFmtId="177" fontId="10" fillId="17" borderId="0" applyNumberFormat="0" applyBorder="0" applyAlignment="0" applyProtection="0"/>
    <xf numFmtId="43" fontId="11" fillId="0" borderId="0" applyFont="0" applyFill="0" applyBorder="0" applyAlignment="0" applyProtection="0"/>
    <xf numFmtId="177" fontId="18" fillId="22" borderId="6" applyNumberFormat="0" applyFont="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7" fontId="13" fillId="9" borderId="2" applyNumberFormat="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6" fontId="23"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7" borderId="0" applyNumberFormat="0" applyBorder="0" applyAlignment="0" applyProtection="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6" fontId="10" fillId="17"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9" fillId="0" borderId="0"/>
    <xf numFmtId="177"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2" fillId="32" borderId="0" applyNumberFormat="0" applyBorder="0" applyAlignment="0" applyProtection="0"/>
    <xf numFmtId="43" fontId="10" fillId="0" borderId="0" applyFont="0" applyFill="0" applyBorder="0" applyAlignment="0" applyProtection="0">
      <alignment vertical="center"/>
    </xf>
    <xf numFmtId="177" fontId="10" fillId="17" borderId="0" applyNumberFormat="0" applyBorder="0" applyAlignment="0" applyProtection="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2" fillId="3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6" fontId="19" fillId="43" borderId="0" applyNumberFormat="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6" fillId="44"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17" borderId="0" applyNumberFormat="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7" fontId="10" fillId="10" borderId="0" applyNumberFormat="0" applyBorder="0" applyAlignment="0" applyProtection="0"/>
    <xf numFmtId="177" fontId="10" fillId="0" borderId="0"/>
    <xf numFmtId="178" fontId="10" fillId="0" borderId="0" applyFont="0" applyFill="0" applyBorder="0" applyAlignment="0" applyProtection="0">
      <alignment vertical="center"/>
    </xf>
    <xf numFmtId="177" fontId="10" fillId="1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7" fontId="10" fillId="1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6" fontId="19" fillId="28" borderId="0" applyNumberFormat="0" applyBorder="0" applyAlignment="0" applyProtection="0"/>
    <xf numFmtId="178" fontId="10" fillId="0" borderId="0" applyFont="0" applyFill="0" applyBorder="0" applyAlignment="0" applyProtection="0">
      <alignment vertical="center"/>
    </xf>
    <xf numFmtId="176" fontId="10" fillId="5" borderId="0" applyNumberFormat="0" applyBorder="0" applyAlignment="0" applyProtection="0"/>
    <xf numFmtId="177" fontId="10" fillId="10" borderId="0" applyNumberFormat="0" applyBorder="0" applyAlignment="0" applyProtection="0"/>
    <xf numFmtId="176" fontId="10" fillId="0" borderId="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7" fontId="10" fillId="1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7" borderId="0" applyNumberFormat="0" applyBorder="0" applyAlignment="0" applyProtection="0"/>
    <xf numFmtId="177" fontId="10" fillId="0" borderId="0"/>
    <xf numFmtId="176" fontId="10" fillId="0" borderId="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8" borderId="0" applyNumberFormat="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0" fillId="1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0" fillId="14"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23" fillId="0" borderId="0"/>
    <xf numFmtId="176" fontId="11" fillId="0" borderId="0"/>
    <xf numFmtId="177" fontId="10" fillId="1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7" fontId="12" fillId="1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7"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30" fillId="36" borderId="3"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0" fillId="29" borderId="0" applyNumberFormat="0" applyBorder="0" applyAlignment="0" applyProtection="0"/>
    <xf numFmtId="43" fontId="10" fillId="0" borderId="0" applyFont="0" applyFill="0" applyBorder="0" applyAlignment="0" applyProtection="0">
      <alignment vertical="center"/>
    </xf>
    <xf numFmtId="176"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43" fontId="11" fillId="0" borderId="0" applyFont="0" applyFill="0" applyBorder="0" applyAlignment="0" applyProtection="0"/>
    <xf numFmtId="176"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6" fontId="25"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7" borderId="0" applyNumberFormat="0" applyBorder="0" applyAlignment="0" applyProtection="0"/>
    <xf numFmtId="176"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7" borderId="0" applyNumberFormat="0" applyBorder="0" applyAlignment="0" applyProtection="0"/>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30" fillId="36" borderId="3"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177" fontId="10" fillId="7"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3" fillId="9" borderId="2" applyNumberFormat="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7" fontId="10" fillId="5" borderId="0" applyNumberFormat="0" applyBorder="0" applyAlignment="0" applyProtection="0"/>
    <xf numFmtId="43"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7"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177" fontId="10" fillId="7" borderId="0" applyNumberFormat="0" applyBorder="0" applyAlignment="0" applyProtection="0"/>
    <xf numFmtId="43" fontId="10" fillId="0" borderId="0" applyFont="0" applyFill="0" applyBorder="0" applyAlignment="0" applyProtection="0">
      <alignment vertical="center"/>
    </xf>
    <xf numFmtId="177" fontId="10" fillId="12" borderId="0" applyNumberFormat="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7" fontId="10" fillId="12" borderId="0" applyNumberFormat="0" applyBorder="0" applyAlignment="0" applyProtection="0"/>
    <xf numFmtId="177" fontId="10" fillId="7" borderId="0" applyNumberFormat="0" applyBorder="0" applyAlignment="0" applyProtection="0"/>
    <xf numFmtId="176" fontId="30" fillId="36" borderId="3"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29" borderId="0" applyNumberFormat="0" applyBorder="0" applyAlignment="0" applyProtection="0"/>
    <xf numFmtId="178" fontId="10" fillId="0" borderId="0" applyFont="0" applyFill="0" applyBorder="0" applyAlignment="0" applyProtection="0">
      <alignment vertical="center"/>
    </xf>
    <xf numFmtId="176" fontId="10" fillId="7"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6" fontId="19" fillId="4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7" fontId="16" fillId="44"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7" fontId="10" fillId="0" borderId="0"/>
    <xf numFmtId="176" fontId="11" fillId="0" borderId="0"/>
    <xf numFmtId="43" fontId="11" fillId="0" borderId="0" applyFont="0" applyFill="0" applyBorder="0" applyAlignment="0" applyProtection="0"/>
    <xf numFmtId="177" fontId="10" fillId="7" borderId="0" applyNumberFormat="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7" borderId="0" applyNumberFormat="0" applyBorder="0" applyAlignment="0" applyProtection="0"/>
    <xf numFmtId="43" fontId="11" fillId="0" borderId="0" applyFont="0" applyFill="0" applyBorder="0" applyAlignment="0" applyProtection="0"/>
    <xf numFmtId="177" fontId="10" fillId="7" borderId="0" applyNumberFormat="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7" fontId="10" fillId="7" borderId="0" applyNumberFormat="0" applyBorder="0" applyAlignment="0" applyProtection="0"/>
    <xf numFmtId="176" fontId="11" fillId="0" borderId="0"/>
    <xf numFmtId="43" fontId="11" fillId="0" borderId="0" applyFont="0" applyFill="0" applyBorder="0" applyAlignment="0" applyProtection="0"/>
    <xf numFmtId="177" fontId="10" fillId="12" borderId="0" applyNumberFormat="0" applyBorder="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7" borderId="0" applyNumberFormat="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5" borderId="0" applyNumberFormat="0" applyBorder="0" applyAlignment="0" applyProtection="0"/>
    <xf numFmtId="176" fontId="10" fillId="12" borderId="0" applyNumberFormat="0" applyBorder="0" applyAlignment="0" applyProtection="0"/>
    <xf numFmtId="176" fontId="10" fillId="12" borderId="0" applyNumberFormat="0" applyBorder="0" applyAlignment="0" applyProtection="0"/>
    <xf numFmtId="177" fontId="10" fillId="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12" borderId="0" applyNumberFormat="0" applyBorder="0" applyAlignment="0" applyProtection="0"/>
    <xf numFmtId="177" fontId="10" fillId="5" borderId="0" applyNumberFormat="0" applyBorder="0" applyAlignment="0" applyProtection="0"/>
    <xf numFmtId="176" fontId="10" fillId="12" borderId="0" applyNumberFormat="0" applyBorder="0" applyAlignment="0" applyProtection="0"/>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2" borderId="0" applyNumberFormat="0" applyBorder="0" applyAlignment="0" applyProtection="0"/>
    <xf numFmtId="176"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9" fillId="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9" fillId="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0" fillId="12" borderId="0" applyNumberFormat="0" applyBorder="0" applyAlignment="0" applyProtection="0"/>
    <xf numFmtId="176" fontId="11" fillId="0" borderId="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2"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12"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176" fontId="11" fillId="0" borderId="0"/>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0"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7" fontId="10" fillId="12"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7" fontId="10" fillId="12" borderId="0" applyNumberFormat="0" applyBorder="0" applyAlignment="0" applyProtection="0"/>
    <xf numFmtId="176" fontId="10" fillId="0" borderId="0"/>
    <xf numFmtId="177" fontId="10" fillId="12"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7" fontId="10" fillId="12"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2"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2" borderId="0" applyNumberFormat="0" applyBorder="0" applyAlignment="0" applyProtection="0"/>
    <xf numFmtId="177" fontId="10" fillId="12" borderId="0" applyNumberFormat="0" applyBorder="0" applyAlignment="0" applyProtection="0"/>
    <xf numFmtId="177" fontId="10" fillId="12" borderId="0" applyNumberFormat="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6" fontId="11" fillId="0" borderId="0"/>
    <xf numFmtId="176" fontId="21" fillId="0" borderId="0"/>
    <xf numFmtId="43" fontId="11" fillId="0" borderId="0" applyFont="0" applyFill="0" applyBorder="0" applyAlignment="0" applyProtection="0"/>
    <xf numFmtId="176" fontId="10" fillId="0" borderId="0"/>
    <xf numFmtId="177" fontId="10" fillId="12" borderId="0" applyNumberFormat="0" applyBorder="0" applyAlignment="0" applyProtection="0"/>
    <xf numFmtId="176" fontId="10" fillId="0" borderId="0"/>
    <xf numFmtId="178" fontId="10" fillId="0" borderId="0" applyFont="0" applyFill="0" applyBorder="0" applyAlignment="0" applyProtection="0">
      <alignment vertical="center"/>
    </xf>
    <xf numFmtId="177" fontId="10" fillId="12"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7" fontId="10" fillId="12"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22" fillId="1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177" fontId="12" fillId="38" borderId="5"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6" fillId="32" borderId="0" applyNumberFormat="0" applyBorder="0" applyAlignment="0" applyProtection="0"/>
    <xf numFmtId="176" fontId="2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5"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31" fillId="45" borderId="8"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4" fillId="0" borderId="4" applyNumberFormat="0" applyFill="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9" fillId="39"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9" fillId="46" borderId="0" applyNumberFormat="0" applyBorder="0" applyAlignment="0" applyProtection="0"/>
    <xf numFmtId="177" fontId="10" fillId="0" borderId="0"/>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9" fillId="43"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6"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6" borderId="0" applyNumberFormat="0" applyBorder="0" applyAlignment="0" applyProtection="0"/>
    <xf numFmtId="176" fontId="10" fillId="16"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6" fillId="4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177" fontId="10" fillId="16" borderId="0" applyNumberFormat="0" applyBorder="0" applyAlignment="0" applyProtection="0"/>
    <xf numFmtId="177" fontId="10" fillId="16" borderId="0" applyNumberFormat="0" applyBorder="0" applyAlignment="0" applyProtection="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32" fillId="48" borderId="1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2" fillId="16" borderId="0" applyNumberFormat="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176" fontId="10" fillId="0" borderId="0"/>
    <xf numFmtId="177" fontId="10" fillId="16" borderId="0" applyNumberFormat="0" applyBorder="0" applyAlignment="0" applyProtection="0"/>
    <xf numFmtId="43" fontId="11" fillId="0" borderId="0" applyFont="0" applyFill="0" applyBorder="0" applyAlignment="0" applyProtection="0"/>
    <xf numFmtId="176" fontId="10" fillId="0" borderId="0"/>
    <xf numFmtId="177" fontId="10" fillId="16" borderId="0" applyNumberFormat="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6" fillId="49" borderId="0" applyNumberFormat="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6"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19" fillId="28" borderId="0" applyNumberFormat="0" applyBorder="0" applyAlignment="0" applyProtection="0"/>
    <xf numFmtId="178" fontId="10" fillId="0" borderId="0" applyFont="0" applyFill="0" applyBorder="0" applyAlignment="0" applyProtection="0">
      <alignment vertical="center"/>
    </xf>
    <xf numFmtId="177" fontId="12" fillId="33"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3"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5" borderId="0" applyNumberFormat="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5" borderId="0" applyNumberFormat="0" applyBorder="0" applyAlignment="0" applyProtection="0"/>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6" fontId="10" fillId="5"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7" fontId="9"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5" borderId="0" applyNumberFormat="0" applyBorder="0" applyAlignment="0" applyProtection="0"/>
    <xf numFmtId="178" fontId="10" fillId="0" borderId="0" applyFont="0" applyFill="0" applyBorder="0" applyAlignment="0" applyProtection="0">
      <alignment vertical="center"/>
    </xf>
    <xf numFmtId="176" fontId="10" fillId="0" borderId="0">
      <alignment vertical="center"/>
    </xf>
    <xf numFmtId="43" fontId="11" fillId="0" borderId="0" applyFont="0" applyFill="0" applyBorder="0" applyAlignment="0" applyProtection="0"/>
    <xf numFmtId="176" fontId="10" fillId="5"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43" fontId="10" fillId="0" borderId="0" applyFont="0" applyFill="0" applyBorder="0" applyAlignment="0" applyProtection="0">
      <alignment vertical="center"/>
    </xf>
    <xf numFmtId="176" fontId="23"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0" fillId="5"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9"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5" borderId="0" applyNumberFormat="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2" fillId="5"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5" borderId="0" applyNumberFormat="0" applyBorder="0" applyAlignment="0" applyProtection="0"/>
    <xf numFmtId="177" fontId="13" fillId="9" borderId="2" applyNumberFormat="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177" fontId="14" fillId="0" borderId="4" applyNumberFormat="0" applyFill="0" applyAlignment="0" applyProtection="0"/>
    <xf numFmtId="176" fontId="10" fillId="0" borderId="0"/>
    <xf numFmtId="177" fontId="10" fillId="5" borderId="0" applyNumberFormat="0" applyBorder="0" applyAlignment="0" applyProtection="0"/>
    <xf numFmtId="43" fontId="11" fillId="0" borderId="0" applyFont="0" applyFill="0" applyBorder="0" applyAlignment="0" applyProtection="0"/>
    <xf numFmtId="176" fontId="10" fillId="0" borderId="0"/>
    <xf numFmtId="177"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1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23" fillId="0" borderId="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43" fontId="11" fillId="0" borderId="0" applyFont="0" applyFill="0" applyBorder="0" applyAlignment="0" applyProtection="0"/>
    <xf numFmtId="177" fontId="10" fillId="0" borderId="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6" fontId="10" fillId="0" borderId="0"/>
    <xf numFmtId="178" fontId="10" fillId="0" borderId="0" applyFont="0" applyFill="0" applyBorder="0" applyAlignment="0" applyProtection="0">
      <alignment vertical="center"/>
    </xf>
    <xf numFmtId="176"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6" fontId="12" fillId="1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10"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33" fillId="5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7" fontId="13" fillId="9" borderId="2" applyNumberFormat="0" applyAlignment="0" applyProtection="0"/>
    <xf numFmtId="176" fontId="19" fillId="46"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10"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8" fillId="0" borderId="0" applyNumberForma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7" fontId="13" fillId="9" borderId="2" applyNumberFormat="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10"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10" borderId="0" applyNumberFormat="0" applyBorder="0" applyAlignment="0" applyProtection="0"/>
    <xf numFmtId="176" fontId="22" fillId="10"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5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29" borderId="0" applyNumberFormat="0" applyBorder="0" applyAlignment="0" applyProtection="0"/>
    <xf numFmtId="178" fontId="10" fillId="0" borderId="0" applyFont="0" applyFill="0" applyBorder="0" applyAlignment="0" applyProtection="0">
      <alignment vertical="center"/>
    </xf>
    <xf numFmtId="176" fontId="10" fillId="29" borderId="0" applyNumberFormat="0" applyBorder="0" applyAlignment="0" applyProtection="0"/>
    <xf numFmtId="178" fontId="10" fillId="0" borderId="0" applyFont="0" applyFill="0" applyBorder="0" applyAlignment="0" applyProtection="0">
      <alignment vertical="center"/>
    </xf>
    <xf numFmtId="176" fontId="10" fillId="29"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29"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51"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2" fillId="51"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9" fillId="3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6" fillId="3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6" fillId="3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6" fontId="25" fillId="22" borderId="6" applyNumberFormat="0" applyFont="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6" fontId="10" fillId="29"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0" fillId="29" borderId="0" applyNumberFormat="0" applyBorder="0" applyAlignment="0" applyProtection="0"/>
    <xf numFmtId="176" fontId="19" fillId="41" borderId="0" applyNumberFormat="0" applyBorder="0" applyAlignment="0" applyProtection="0"/>
    <xf numFmtId="177" fontId="10" fillId="29" borderId="0" applyNumberFormat="0" applyBorder="0" applyAlignment="0" applyProtection="0"/>
    <xf numFmtId="43" fontId="11" fillId="0" borderId="0" applyFont="0" applyFill="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29" borderId="0" applyNumberFormat="0" applyBorder="0" applyAlignment="0" applyProtection="0"/>
    <xf numFmtId="43" fontId="11" fillId="0" borderId="0" applyFont="0" applyFill="0" applyBorder="0" applyAlignment="0" applyProtection="0"/>
    <xf numFmtId="176" fontId="10" fillId="29"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29" borderId="0" applyNumberFormat="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29"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6" fillId="31"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6" fillId="18"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7" fontId="10" fillId="29" borderId="0" applyNumberFormat="0" applyBorder="0" applyAlignment="0" applyProtection="0"/>
    <xf numFmtId="177" fontId="16" fillId="44" borderId="0" applyNumberFormat="0" applyBorder="0" applyAlignment="0" applyProtection="0"/>
    <xf numFmtId="177" fontId="10" fillId="29" borderId="0" applyNumberFormat="0" applyBorder="0" applyAlignment="0" applyProtection="0"/>
    <xf numFmtId="177" fontId="16" fillId="47"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2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29" borderId="0" applyNumberFormat="0" applyBorder="0" applyAlignment="0" applyProtection="0"/>
    <xf numFmtId="177" fontId="13" fillId="9" borderId="2" applyNumberFormat="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22"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0" fillId="29"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29" borderId="0" applyNumberFormat="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29"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7"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12"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6"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5" borderId="0" applyNumberFormat="0" applyBorder="0" applyAlignment="0" applyProtection="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10" fillId="5"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10"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29"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7" fontId="10" fillId="29"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6" fillId="18"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6" fillId="30" borderId="0" applyNumberFormat="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9" fillId="39"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23" fillId="0" borderId="0"/>
    <xf numFmtId="43" fontId="11" fillId="0" borderId="0" applyFont="0" applyFill="0" applyBorder="0" applyAlignment="0" applyProtection="0"/>
    <xf numFmtId="177" fontId="16" fillId="25" borderId="0" applyNumberFormat="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6" fontId="19" fillId="46" borderId="0" applyNumberFormat="0" applyBorder="0" applyAlignment="0" applyProtection="0"/>
    <xf numFmtId="177" fontId="16" fillId="25"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1" fillId="0" borderId="0" applyFont="0" applyFill="0" applyBorder="0" applyAlignment="0" applyProtection="0"/>
    <xf numFmtId="177" fontId="19" fillId="46"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6" fillId="32" borderId="0" applyNumberFormat="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33" fillId="5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9" fillId="43" borderId="0" applyNumberFormat="0" applyBorder="0" applyAlignment="0" applyProtection="0"/>
    <xf numFmtId="176" fontId="10" fillId="0" borderId="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33" fillId="50"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9" fillId="43" borderId="0" applyNumberFormat="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9" fillId="43"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6" fillId="18" borderId="0" applyNumberFormat="0" applyBorder="0" applyAlignment="0" applyProtection="0"/>
    <xf numFmtId="176"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6" fontId="19" fillId="41" borderId="0" applyNumberFormat="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6" fontId="19" fillId="41"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6" fillId="18"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9" fillId="4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6" fillId="44" borderId="0" applyNumberFormat="0" applyBorder="0" applyAlignment="0" applyProtection="0"/>
    <xf numFmtId="177" fontId="20" fillId="23"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9" fillId="42" borderId="0" applyNumberFormat="0" applyBorder="0" applyAlignment="0" applyProtection="0"/>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6" fontId="19" fillId="42"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6" fillId="44" borderId="0" applyNumberFormat="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6" fillId="44"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9" fillId="42" borderId="0" applyNumberFormat="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9" fillId="28"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6" fillId="49"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6" fillId="49" borderId="0" applyNumberFormat="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9" fillId="28"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9" fillId="2"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6" fillId="3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6" fillId="35"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9" fillId="5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9" fillId="52"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6" fillId="31"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9" fillId="52" borderId="0" applyNumberFormat="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7" fontId="19" fillId="3" borderId="0" applyNumberFormat="0" applyBorder="0" applyAlignment="0" applyProtection="0"/>
    <xf numFmtId="43" fontId="11" fillId="0" borderId="0" applyFont="0" applyFill="0" applyBorder="0" applyAlignment="0" applyProtection="0"/>
    <xf numFmtId="177" fontId="19" fillId="40" borderId="0" applyNumberFormat="0" applyBorder="0" applyAlignment="0" applyProtection="0"/>
    <xf numFmtId="43" fontId="11" fillId="0" borderId="0" applyFont="0" applyFill="0" applyBorder="0" applyAlignment="0" applyProtection="0"/>
    <xf numFmtId="176" fontId="19" fillId="53" borderId="0" applyNumberFormat="0" applyBorder="0" applyAlignment="0" applyProtection="0"/>
    <xf numFmtId="178" fontId="10" fillId="0" borderId="0" applyFont="0" applyFill="0" applyBorder="0" applyAlignment="0" applyProtection="0">
      <alignment vertical="center"/>
    </xf>
    <xf numFmtId="176" fontId="19" fillId="53" borderId="0" applyNumberFormat="0" applyBorder="0" applyAlignment="0" applyProtection="0"/>
    <xf numFmtId="178" fontId="10" fillId="0" borderId="0" applyFont="0" applyFill="0" applyBorder="0" applyAlignment="0" applyProtection="0">
      <alignment vertical="center"/>
    </xf>
    <xf numFmtId="177" fontId="16" fillId="47"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9" fillId="53" borderId="0" applyNumberFormat="0" applyBorder="0" applyAlignment="0" applyProtection="0"/>
    <xf numFmtId="177" fontId="34" fillId="15"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7" fontId="26" fillId="9" borderId="11" applyNumberFormat="0" applyAlignment="0" applyProtection="0"/>
    <xf numFmtId="177" fontId="34" fillId="15"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7" fontId="26" fillId="9" borderId="11" applyNumberFormat="0" applyAlignment="0" applyProtection="0"/>
    <xf numFmtId="176" fontId="33" fillId="5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7" fontId="26" fillId="9" borderId="11" applyNumberFormat="0" applyAlignment="0" applyProtection="0"/>
    <xf numFmtId="177" fontId="34" fillId="15"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33" fillId="50"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34" fillId="1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34" fillId="15" borderId="0" applyNumberFormat="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33" fillId="50" borderId="0" applyNumberFormat="0" applyBorder="0" applyAlignment="0" applyProtection="0"/>
    <xf numFmtId="177" fontId="30" fillId="36" borderId="3" applyNumberFormat="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177" fontId="10" fillId="0" borderId="0"/>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7" fontId="13" fillId="9" borderId="2" applyNumberFormat="0" applyAlignment="0" applyProtection="0"/>
    <xf numFmtId="177" fontId="10" fillId="0" borderId="0"/>
    <xf numFmtId="177" fontId="13" fillId="9" borderId="2" applyNumberFormat="0" applyAlignment="0" applyProtection="0"/>
    <xf numFmtId="177" fontId="13" fillId="9" borderId="2" applyNumberFormat="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1" fillId="0" borderId="0"/>
    <xf numFmtId="177" fontId="10" fillId="0" borderId="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176" fontId="25"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7" fontId="10" fillId="0" borderId="0"/>
    <xf numFmtId="176" fontId="10" fillId="0" borderId="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176" fontId="10" fillId="0" borderId="0"/>
    <xf numFmtId="177" fontId="13" fillId="9" borderId="2" applyNumberFormat="0" applyAlignment="0" applyProtection="0"/>
    <xf numFmtId="176" fontId="10" fillId="0" borderId="0"/>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176" fontId="10" fillId="0" borderId="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7" fontId="10" fillId="0" borderId="0"/>
    <xf numFmtId="177" fontId="13" fillId="9" borderId="2" applyNumberFormat="0" applyAlignment="0" applyProtection="0"/>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6" fontId="23" fillId="0" borderId="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176" fontId="11" fillId="0" borderId="0"/>
    <xf numFmtId="178"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177" fontId="13" fillId="9" borderId="2" applyNumberFormat="0" applyAlignment="0" applyProtection="0"/>
    <xf numFmtId="176" fontId="11" fillId="0" borderId="0"/>
    <xf numFmtId="178"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177" fontId="13" fillId="9" borderId="2" applyNumberFormat="0" applyAlignment="0" applyProtection="0"/>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177" fontId="13" fillId="9"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177" fontId="13" fillId="9" borderId="2" applyNumberFormat="0" applyAlignment="0" applyProtection="0"/>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7" fontId="13" fillId="9" borderId="2" applyNumberFormat="0" applyAlignment="0" applyProtection="0"/>
    <xf numFmtId="43" fontId="10" fillId="0" borderId="0" applyFont="0" applyFill="0" applyBorder="0" applyAlignment="0" applyProtection="0">
      <alignment vertical="center"/>
    </xf>
    <xf numFmtId="177" fontId="13" fillId="9"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3" fillId="9"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3" fillId="9"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3" fillId="9" borderId="2" applyNumberFormat="0" applyAlignment="0" applyProtection="0"/>
    <xf numFmtId="177" fontId="18" fillId="22" borderId="6" applyNumberFormat="0" applyFont="0" applyAlignment="0" applyProtection="0"/>
    <xf numFmtId="176" fontId="13" fillId="9"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3" fillId="9" borderId="2" applyNumberFormat="0" applyAlignment="0" applyProtection="0"/>
    <xf numFmtId="43" fontId="11" fillId="0" borderId="0" applyFont="0" applyFill="0" applyBorder="0" applyAlignment="0" applyProtection="0"/>
    <xf numFmtId="176" fontId="13" fillId="9"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3" fillId="9" borderId="2" applyNumberFormat="0" applyAlignment="0" applyProtection="0"/>
    <xf numFmtId="177" fontId="18" fillId="22" borderId="6" applyNumberFormat="0" applyFont="0" applyAlignment="0" applyProtection="0"/>
    <xf numFmtId="43" fontId="11" fillId="0" borderId="0" applyFont="0" applyFill="0" applyBorder="0" applyAlignment="0" applyProtection="0"/>
    <xf numFmtId="176" fontId="13" fillId="9" borderId="2" applyNumberFormat="0" applyAlignment="0" applyProtection="0"/>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3" fillId="9"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3" fillId="9" borderId="2" applyNumberFormat="0" applyAlignment="0" applyProtection="0"/>
    <xf numFmtId="177" fontId="30" fillId="36" borderId="3"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32" fillId="48" borderId="12" applyNumberFormat="0" applyAlignment="0" applyProtection="0"/>
    <xf numFmtId="43" fontId="11" fillId="0" borderId="0" applyFont="0" applyFill="0" applyBorder="0" applyAlignment="0" applyProtection="0"/>
    <xf numFmtId="176" fontId="31" fillId="45" borderId="8"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32" fillId="48" borderId="12" applyNumberFormat="0" applyAlignment="0" applyProtection="0"/>
    <xf numFmtId="177" fontId="31" fillId="45" borderId="8"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2"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1"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38" borderId="5"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176"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25"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9"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9"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8" fillId="0" borderId="0" applyNumberForma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7"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35" fillId="0" borderId="13" applyNumberFormat="0" applyFill="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35" fillId="0" borderId="13" applyNumberFormat="0" applyFill="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36" fillId="0" borderId="14" applyNumberFormat="0" applyFill="0" applyAlignment="0" applyProtection="0"/>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36" fillId="0" borderId="14" applyNumberFormat="0" applyFill="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37"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38"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6" fontId="2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39" fillId="0" borderId="0" applyNumberForma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40" fillId="0" borderId="0" applyNumberForma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2" fillId="38" borderId="5"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41" fillId="0" borderId="1"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41" fillId="0" borderId="1"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42" fillId="0" borderId="15"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43" fillId="0" borderId="9"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176" fontId="10" fillId="0" borderId="0"/>
    <xf numFmtId="43" fontId="11" fillId="0" borderId="0" applyFont="0" applyFill="0" applyBorder="0" applyAlignment="0" applyProtection="0"/>
    <xf numFmtId="176" fontId="10" fillId="0" borderId="0"/>
    <xf numFmtId="176" fontId="10" fillId="0" borderId="0"/>
    <xf numFmtId="43" fontId="11" fillId="0" borderId="0" applyFont="0" applyFill="0" applyBorder="0" applyAlignment="0" applyProtection="0"/>
    <xf numFmtId="176" fontId="21"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176" fontId="10" fillId="0" borderId="0"/>
    <xf numFmtId="176" fontId="12"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7" fontId="37"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5"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7" fontId="14" fillId="0" borderId="4" applyNumberFormat="0" applyFill="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3"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11" fillId="0" borderId="0"/>
    <xf numFmtId="176" fontId="10" fillId="0" borderId="0"/>
    <xf numFmtId="176" fontId="44" fillId="36" borderId="7"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176" fontId="10" fillId="0" borderId="0"/>
    <xf numFmtId="176" fontId="10" fillId="0" borderId="0"/>
    <xf numFmtId="43" fontId="11" fillId="0" borderId="0" applyFont="0" applyFill="0" applyBorder="0" applyAlignment="0" applyProtection="0"/>
    <xf numFmtId="176" fontId="10" fillId="0" borderId="0"/>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2" fillId="0" borderId="0"/>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177" fontId="45" fillId="0" borderId="10"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46" fillId="38" borderId="5"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5" fillId="0" borderId="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43" fontId="11" fillId="0" borderId="0" applyFont="0" applyFill="0" applyBorder="0" applyAlignment="0" applyProtection="0"/>
    <xf numFmtId="176" fontId="10" fillId="0" borderId="0"/>
    <xf numFmtId="176" fontId="10" fillId="0" borderId="0"/>
    <xf numFmtId="177" fontId="25" fillId="22" borderId="6" applyNumberFormat="0" applyFont="0" applyAlignment="0" applyProtection="0"/>
    <xf numFmtId="43" fontId="11" fillId="0" borderId="0" applyFont="0" applyFill="0" applyBorder="0" applyAlignment="0" applyProtection="0"/>
    <xf numFmtId="176" fontId="10" fillId="0" borderId="0"/>
    <xf numFmtId="176" fontId="10" fillId="0" borderId="0"/>
    <xf numFmtId="177" fontId="25"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6" fontId="25"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25"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25"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25" fillId="22" borderId="6" applyNumberFormat="0" applyFont="0" applyAlignment="0" applyProtection="0"/>
    <xf numFmtId="43" fontId="11" fillId="0" borderId="0" applyFont="0" applyFill="0" applyBorder="0" applyAlignment="0" applyProtection="0"/>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176" fontId="11" fillId="0" borderId="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37"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7" fontId="37"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176" fontId="11" fillId="0" borderId="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6" fontId="2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25"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177" fontId="25"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25"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0" fontId="5"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37"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37"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6" fontId="11" fillId="0" borderId="0"/>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176" fontId="11" fillId="0" borderId="0"/>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9"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25"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25"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25"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5"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2" fillId="0" borderId="0"/>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23"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177"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0" fontId="10" fillId="0" borderId="0"/>
    <xf numFmtId="43" fontId="11" fillId="0" borderId="0" applyFont="0" applyFill="0" applyBorder="0" applyAlignment="0" applyProtection="0"/>
    <xf numFmtId="176" fontId="10" fillId="0" borderId="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1" fillId="0" borderId="0"/>
    <xf numFmtId="177"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3"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47" fillId="0" borderId="0" applyNumberForma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7" fontId="9" fillId="0" borderId="0"/>
    <xf numFmtId="177" fontId="9"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25" fillId="22" borderId="6" applyNumberFormat="0" applyFont="0" applyAlignment="0" applyProtection="0"/>
    <xf numFmtId="43" fontId="11" fillId="0" borderId="0" applyFont="0" applyFill="0" applyBorder="0" applyAlignment="0" applyProtection="0"/>
    <xf numFmtId="177"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9" fillId="0" borderId="0"/>
    <xf numFmtId="176" fontId="11"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6" fontId="46" fillId="38" borderId="5"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6" fontId="12" fillId="0" borderId="0"/>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23"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0" fontId="10" fillId="0" borderId="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0"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177"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43" fontId="11" fillId="0" borderId="0" applyFont="0" applyFill="0" applyBorder="0" applyAlignment="0" applyProtection="0"/>
    <xf numFmtId="43" fontId="11" fillId="0" borderId="0" applyFont="0" applyFill="0" applyBorder="0" applyAlignment="0" applyProtection="0"/>
    <xf numFmtId="177" fontId="12" fillId="0" borderId="0"/>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7" fontId="10" fillId="0" borderId="0"/>
    <xf numFmtId="43" fontId="11" fillId="0" borderId="0" applyFont="0" applyFill="0" applyBorder="0" applyAlignment="0" applyProtection="0"/>
    <xf numFmtId="177" fontId="12"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1" fillId="0" borderId="0"/>
    <xf numFmtId="43" fontId="11" fillId="0" borderId="0" applyFont="0" applyFill="0" applyBorder="0" applyAlignment="0" applyProtection="0"/>
    <xf numFmtId="177"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2"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48" fillId="0" borderId="16" applyNumberFormat="0" applyFill="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6" fontId="12"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43" fontId="11" fillId="0" borderId="0" applyFont="0" applyFill="0" applyBorder="0" applyAlignment="0" applyProtection="0"/>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9"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43" fontId="11" fillId="0" borderId="0" applyFont="0" applyFill="0" applyBorder="0" applyAlignment="0" applyProtection="0"/>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6" fontId="2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21" fillId="0" borderId="0"/>
    <xf numFmtId="176" fontId="2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177"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42" fillId="0" borderId="15"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6" fontId="10"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49" fillId="54" borderId="3"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2"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7" fontId="26" fillId="9" borderId="11" applyNumberForma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25"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177" fontId="48" fillId="0" borderId="16" applyNumberFormat="0" applyFill="0" applyAlignment="0" applyProtection="0"/>
    <xf numFmtId="176" fontId="48" fillId="0" borderId="16"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0" fillId="23"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5" fillId="22" borderId="6" applyNumberFormat="0" applyFont="0" applyAlignment="0" applyProtection="0"/>
    <xf numFmtId="43" fontId="10" fillId="0" borderId="0" applyFont="0" applyFill="0" applyBorder="0" applyAlignment="0" applyProtection="0">
      <alignment vertical="center"/>
    </xf>
    <xf numFmtId="177" fontId="9"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6"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0" fillId="0" borderId="0"/>
    <xf numFmtId="43" fontId="11" fillId="0" borderId="0" applyFont="0" applyFill="0" applyBorder="0" applyAlignment="0" applyProtection="0"/>
    <xf numFmtId="177" fontId="10" fillId="0" borderId="0"/>
    <xf numFmtId="43" fontId="10" fillId="0" borderId="0" applyFont="0" applyFill="0" applyBorder="0" applyAlignment="0" applyProtection="0">
      <alignment vertical="center"/>
    </xf>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6" fontId="11" fillId="0" borderId="0"/>
    <xf numFmtId="176" fontId="10"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6" fontId="10"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2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6" fontId="11" fillId="0" borderId="0"/>
    <xf numFmtId="43" fontId="11" fillId="0" borderId="0" applyFont="0" applyFill="0" applyBorder="0" applyAlignment="0" applyProtection="0"/>
    <xf numFmtId="177" fontId="10" fillId="0" borderId="0"/>
    <xf numFmtId="177" fontId="11" fillId="0" borderId="0"/>
    <xf numFmtId="43" fontId="11" fillId="0" borderId="0" applyFont="0" applyFill="0" applyBorder="0" applyAlignment="0" applyProtection="0"/>
    <xf numFmtId="177" fontId="11" fillId="0" borderId="0"/>
    <xf numFmtId="177"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176" fontId="10" fillId="0" borderId="0"/>
    <xf numFmtId="176" fontId="21" fillId="0" borderId="0"/>
    <xf numFmtId="177" fontId="11" fillId="0" borderId="0"/>
    <xf numFmtId="177"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177" fontId="11" fillId="0" borderId="0"/>
    <xf numFmtId="43" fontId="11" fillId="0" borderId="0" applyFont="0" applyFill="0" applyBorder="0" applyAlignment="0" applyProtection="0"/>
    <xf numFmtId="177" fontId="11" fillId="0" borderId="0"/>
    <xf numFmtId="177" fontId="11" fillId="0" borderId="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6" fontId="2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25"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2"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7" fontId="12" fillId="22" borderId="6" applyNumberFormat="0" applyFont="0" applyAlignment="0" applyProtection="0"/>
    <xf numFmtId="43" fontId="11" fillId="0" borderId="0" applyFont="0" applyFill="0" applyBorder="0" applyAlignment="0" applyProtection="0"/>
    <xf numFmtId="176" fontId="11" fillId="0" borderId="0"/>
    <xf numFmtId="177" fontId="12" fillId="22" borderId="6" applyNumberFormat="0" applyFont="0" applyAlignment="0" applyProtection="0"/>
    <xf numFmtId="43" fontId="11" fillId="0" borderId="0" applyFont="0" applyFill="0" applyBorder="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4" fillId="0" borderId="4" applyNumberFormat="0" applyFill="0" applyAlignment="0" applyProtection="0"/>
    <xf numFmtId="43" fontId="11" fillId="0" borderId="0" applyFont="0" applyFill="0" applyBorder="0" applyAlignment="0" applyProtection="0"/>
    <xf numFmtId="176" fontId="14" fillId="0" borderId="4" applyNumberFormat="0" applyFill="0" applyAlignment="0" applyProtection="0"/>
    <xf numFmtId="43" fontId="11" fillId="0" borderId="0" applyFont="0" applyFill="0" applyBorder="0" applyAlignment="0" applyProtection="0"/>
    <xf numFmtId="176" fontId="14" fillId="0" borderId="4"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7" fontId="18" fillId="22" borderId="6" applyNumberFormat="0" applyFont="0" applyAlignment="0" applyProtection="0"/>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7" fontId="14" fillId="0" borderId="4" applyNumberFormat="0" applyFill="0" applyAlignment="0" applyProtection="0"/>
    <xf numFmtId="177" fontId="18" fillId="22" borderId="6" applyNumberFormat="0" applyFont="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176" fontId="11" fillId="0" borderId="0"/>
    <xf numFmtId="43" fontId="11" fillId="0" borderId="0" applyFont="0" applyFill="0" applyBorder="0" applyAlignment="0" applyProtection="0"/>
    <xf numFmtId="176" fontId="11" fillId="0" borderId="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0" fillId="23" borderId="2" applyNumberForma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6" fontId="12" fillId="38" borderId="5"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25"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176" fontId="12"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0" fillId="0" borderId="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50"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42" fillId="0" borderId="15" applyNumberFormat="0" applyFill="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7" fontId="41" fillId="0" borderId="1" applyNumberFormat="0" applyFill="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2" fillId="38" borderId="5"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7" fontId="12" fillId="38" borderId="5"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21" fillId="0" borderId="0"/>
    <xf numFmtId="43" fontId="11" fillId="0" borderId="0" applyFont="0" applyFill="0" applyBorder="0" applyAlignment="0" applyProtection="0"/>
    <xf numFmtId="176" fontId="11" fillId="0" borderId="0"/>
    <xf numFmtId="176" fontId="10" fillId="0" borderId="0"/>
    <xf numFmtId="43" fontId="11" fillId="0" borderId="0" applyFont="0" applyFill="0" applyBorder="0" applyAlignment="0" applyProtection="0"/>
    <xf numFmtId="176" fontId="11" fillId="0" borderId="0"/>
    <xf numFmtId="176" fontId="10"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12" fillId="38" borderId="5" applyNumberFormat="0" applyFont="0" applyAlignment="0" applyProtection="0"/>
    <xf numFmtId="43" fontId="11" fillId="0" borderId="0" applyFont="0" applyFill="0" applyBorder="0" applyAlignment="0" applyProtection="0"/>
    <xf numFmtId="176" fontId="12" fillId="38" borderId="5" applyNumberFormat="0" applyFont="0" applyAlignment="0" applyProtection="0"/>
    <xf numFmtId="43" fontId="11" fillId="0" borderId="0" applyFont="0" applyFill="0" applyBorder="0" applyAlignment="0" applyProtection="0"/>
    <xf numFmtId="176"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12"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5"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14" fillId="0" borderId="4" applyNumberFormat="0" applyFill="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25"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6" fontId="11" fillId="0" borderId="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6" fontId="25"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23" fillId="0" borderId="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6"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7" fontId="20" fillId="23" borderId="2" applyNumberForma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6" fontId="51" fillId="0" borderId="0" applyNumberForma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51" fillId="0" borderId="0" applyNumberForma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1" fillId="0" borderId="0" applyFont="0" applyFill="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1" fillId="0" borderId="0" applyFon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7" fontId="25"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40" fillId="0" borderId="0" applyNumberForma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52" fillId="0" borderId="0" applyNumberForma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9"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2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12" fillId="38" borderId="5" applyNumberFormat="0" applyFon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53" fillId="0" borderId="0" applyNumberFormat="0" applyFill="0" applyBorder="0" applyAlignment="0" applyProtection="0"/>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2" fillId="0" borderId="0"/>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5" fillId="0" borderId="0" applyNumberFormat="0" applyFill="0" applyBorder="0" applyAlignment="0" applyProtection="0">
      <alignment vertical="top"/>
      <protection locked="0"/>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43" fillId="0" borderId="9"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9" fillId="0" borderId="0"/>
    <xf numFmtId="177" fontId="9"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9" fillId="0" borderId="0"/>
    <xf numFmtId="177" fontId="9"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6" fontId="11" fillId="0" borderId="0"/>
    <xf numFmtId="176" fontId="11" fillId="0" borderId="0"/>
    <xf numFmtId="177" fontId="12" fillId="22" borderId="6" applyNumberFormat="0" applyFont="0" applyAlignment="0" applyProtection="0"/>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37" fillId="0" borderId="0"/>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37" fillId="0" borderId="0"/>
    <xf numFmtId="177" fontId="12"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5"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9" fillId="0" borderId="0"/>
    <xf numFmtId="177" fontId="9"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0" fillId="0" borderId="0"/>
    <xf numFmtId="176" fontId="12" fillId="38" borderId="5"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2" fillId="38" borderId="5"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9" fillId="0" borderId="0"/>
    <xf numFmtId="177" fontId="9" fillId="0" borderId="0"/>
    <xf numFmtId="177" fontId="20" fillId="23" borderId="2" applyNumberFormat="0" applyAlignment="0" applyProtection="0"/>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6" fontId="12" fillId="38" borderId="5" applyNumberFormat="0" applyFont="0" applyAlignment="0" applyProtection="0"/>
    <xf numFmtId="177" fontId="50"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7" fontId="9" fillId="0" borderId="0"/>
    <xf numFmtId="177" fontId="9"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7" fontId="10" fillId="0" borderId="0"/>
    <xf numFmtId="43" fontId="10" fillId="0" borderId="0" applyFont="0" applyFill="0" applyBorder="0" applyAlignment="0" applyProtection="0">
      <alignment vertical="center"/>
    </xf>
    <xf numFmtId="176" fontId="10" fillId="0" borderId="0"/>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7" fontId="9" fillId="0" borderId="0"/>
    <xf numFmtId="177" fontId="9"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7"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5"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9" fontId="11" fillId="0" borderId="0" applyFont="0" applyFill="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0" fontId="10" fillId="0" borderId="0"/>
    <xf numFmtId="0"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1" fillId="0" borderId="0"/>
    <xf numFmtId="43" fontId="10" fillId="0" borderId="0" applyFont="0" applyFill="0" applyBorder="0" applyAlignment="0" applyProtection="0">
      <alignment vertical="center"/>
    </xf>
    <xf numFmtId="176" fontId="11" fillId="0" borderId="0"/>
    <xf numFmtId="176" fontId="11" fillId="0" borderId="0"/>
    <xf numFmtId="43" fontId="10" fillId="0" borderId="0" applyFont="0" applyFill="0" applyBorder="0" applyAlignment="0" applyProtection="0">
      <alignment vertical="center"/>
    </xf>
    <xf numFmtId="176" fontId="11" fillId="0" borderId="0"/>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7"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0" fillId="0" borderId="0"/>
    <xf numFmtId="177" fontId="14" fillId="0" borderId="4" applyNumberFormat="0" applyFill="0" applyAlignment="0" applyProtection="0"/>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4" fillId="0" borderId="4"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7" fontId="11" fillId="0" borderId="0"/>
    <xf numFmtId="177" fontId="2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7" fontId="11" fillId="0" borderId="0"/>
    <xf numFmtId="177" fontId="25" fillId="0" borderId="0"/>
    <xf numFmtId="43" fontId="10" fillId="0" borderId="0" applyFont="0" applyFill="0" applyBorder="0" applyAlignment="0" applyProtection="0">
      <alignment vertical="center"/>
    </xf>
    <xf numFmtId="176" fontId="11" fillId="0" borderId="0"/>
    <xf numFmtId="177" fontId="11" fillId="0" borderId="0"/>
    <xf numFmtId="177" fontId="25" fillId="0" borderId="0"/>
    <xf numFmtId="43" fontId="10" fillId="0" borderId="0" applyFont="0" applyFill="0" applyBorder="0" applyAlignment="0" applyProtection="0">
      <alignment vertical="center"/>
    </xf>
    <xf numFmtId="176" fontId="11" fillId="0" borderId="0"/>
    <xf numFmtId="177" fontId="25" fillId="0" borderId="0"/>
    <xf numFmtId="177" fontId="2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7" fontId="25" fillId="0" borderId="0"/>
    <xf numFmtId="43"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54" fillId="0" borderId="0" applyNumberForma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35" fillId="0" borderId="13" applyNumberFormat="0" applyFill="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41" fillId="0" borderId="1"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39" fillId="0" borderId="17"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0"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5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55"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6" fontId="11" fillId="0" borderId="0"/>
    <xf numFmtId="43" fontId="10" fillId="0" borderId="0" applyFont="0" applyFill="0" applyBorder="0" applyAlignment="0" applyProtection="0">
      <alignment vertical="center"/>
    </xf>
    <xf numFmtId="176" fontId="12" fillId="0" borderId="0"/>
    <xf numFmtId="176" fontId="11" fillId="0" borderId="0"/>
    <xf numFmtId="43" fontId="10" fillId="0" borderId="0" applyFont="0" applyFill="0" applyBorder="0" applyAlignment="0" applyProtection="0">
      <alignment vertical="center"/>
    </xf>
    <xf numFmtId="176" fontId="12" fillId="0" borderId="0"/>
    <xf numFmtId="176" fontId="11" fillId="0" borderId="0"/>
    <xf numFmtId="178" fontId="10" fillId="0" borderId="0" applyFont="0" applyFill="0" applyBorder="0" applyAlignment="0" applyProtection="0">
      <alignment vertical="center"/>
    </xf>
    <xf numFmtId="177" fontId="18"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7" fillId="20" borderId="0" applyNumberFormat="0" applyBorder="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43"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38" borderId="5"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7" fillId="2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177" fontId="9" fillId="0" borderId="0"/>
    <xf numFmtId="178" fontId="10" fillId="0" borderId="0" applyFont="0" applyFill="0" applyBorder="0" applyAlignment="0" applyProtection="0">
      <alignment vertical="center"/>
    </xf>
    <xf numFmtId="177" fontId="19" fillId="37"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1" fillId="0" borderId="0"/>
    <xf numFmtId="178" fontId="10" fillId="0" borderId="0" applyFont="0" applyFill="0" applyBorder="0" applyAlignment="0" applyProtection="0">
      <alignment vertical="center"/>
    </xf>
    <xf numFmtId="177" fontId="19" fillId="2" borderId="0" applyNumberFormat="0" applyBorder="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30" fillId="36" borderId="3"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177" fontId="25"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45" fillId="0" borderId="10" applyNumberFormat="0" applyFill="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1" fillId="0" borderId="0"/>
    <xf numFmtId="176" fontId="11"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1" fillId="0" borderId="0"/>
    <xf numFmtId="176" fontId="2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177" fontId="11" fillId="0" borderId="0"/>
    <xf numFmtId="177" fontId="11" fillId="0" borderId="0"/>
    <xf numFmtId="43" fontId="10" fillId="0" borderId="0" applyFont="0" applyFill="0" applyBorder="0" applyAlignment="0" applyProtection="0">
      <alignment vertical="center"/>
    </xf>
    <xf numFmtId="176" fontId="10" fillId="0" borderId="0"/>
    <xf numFmtId="177" fontId="11" fillId="0" borderId="0"/>
    <xf numFmtId="177"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1" fillId="0" borderId="0"/>
    <xf numFmtId="176" fontId="2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7" fontId="11" fillId="0" borderId="0"/>
    <xf numFmtId="177"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0"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0" fontId="11" fillId="0" borderId="0"/>
    <xf numFmtId="43" fontId="10" fillId="0" borderId="0" applyFont="0" applyFill="0" applyBorder="0" applyAlignment="0" applyProtection="0">
      <alignment vertical="center"/>
    </xf>
    <xf numFmtId="176" fontId="2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2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43"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6" fillId="9" borderId="11"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1" fillId="0" borderId="0"/>
    <xf numFmtId="176" fontId="11" fillId="0" borderId="0"/>
    <xf numFmtId="177" fontId="18" fillId="22" borderId="6" applyNumberFormat="0" applyFont="0" applyAlignment="0" applyProtection="0"/>
    <xf numFmtId="43" fontId="10" fillId="0" borderId="0" applyFont="0" applyFill="0" applyBorder="0" applyAlignment="0" applyProtection="0">
      <alignment vertical="center"/>
    </xf>
    <xf numFmtId="176" fontId="11" fillId="0" borderId="0"/>
    <xf numFmtId="176" fontId="11" fillId="0" borderId="0"/>
    <xf numFmtId="177" fontId="18" fillId="22" borderId="6" applyNumberFormat="0" applyFont="0" applyAlignment="0" applyProtection="0"/>
    <xf numFmtId="43" fontId="10" fillId="0" borderId="0" applyFont="0" applyFill="0" applyBorder="0" applyAlignment="0" applyProtection="0">
      <alignment vertical="center"/>
    </xf>
    <xf numFmtId="176" fontId="11" fillId="0" borderId="0"/>
    <xf numFmtId="176" fontId="11" fillId="0" borderId="0"/>
    <xf numFmtId="43"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0" fillId="23" borderId="2" applyNumberFormat="0" applyAlignment="0" applyProtection="0"/>
    <xf numFmtId="43"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47" fillId="0" borderId="0" applyNumberFormat="0" applyFill="0" applyBorder="0" applyAlignment="0" applyProtection="0"/>
    <xf numFmtId="177" fontId="20" fillId="23" borderId="2" applyNumberFormat="0" applyAlignment="0" applyProtection="0"/>
    <xf numFmtId="43" fontId="10" fillId="0" borderId="0" applyFont="0" applyFill="0" applyBorder="0" applyAlignment="0" applyProtection="0">
      <alignment vertical="center"/>
    </xf>
    <xf numFmtId="177" fontId="51" fillId="0" borderId="0" applyNumberFormat="0" applyFill="0" applyBorder="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6" fontId="23" fillId="0" borderId="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25"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20" fillId="23" borderId="2" applyNumberForma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7" fontId="12" fillId="22" borderId="6" applyNumberFormat="0" applyFont="0" applyAlignment="0" applyProtection="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8" fontId="10" fillId="0" borderId="0" applyFont="0" applyFill="0" applyBorder="0" applyAlignment="0" applyProtection="0">
      <alignment vertical="center"/>
    </xf>
    <xf numFmtId="43" fontId="10" fillId="0" borderId="0" applyFont="0" applyFill="0" applyBorder="0" applyAlignment="0" applyProtection="0">
      <alignment vertical="center"/>
    </xf>
    <xf numFmtId="176" fontId="10" fillId="0" borderId="0"/>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43" fontId="10" fillId="0" borderId="0" applyFont="0" applyFill="0" applyBorder="0" applyAlignment="0" applyProtection="0">
      <alignment vertical="center"/>
    </xf>
    <xf numFmtId="181" fontId="10" fillId="0" borderId="0" applyFont="0" applyFill="0" applyBorder="0" applyAlignment="0" applyProtection="0"/>
    <xf numFmtId="181" fontId="10" fillId="0" borderId="0" applyFont="0" applyFill="0" applyBorder="0" applyAlignment="0" applyProtection="0"/>
    <xf numFmtId="180" fontId="11" fillId="0" borderId="0" applyFont="0" applyFill="0" applyBorder="0" applyAlignment="0" applyProtection="0"/>
    <xf numFmtId="180" fontId="11" fillId="0" borderId="0" applyFont="0" applyFill="0" applyBorder="0" applyAlignment="0" applyProtection="0"/>
    <xf numFmtId="176" fontId="47" fillId="0" borderId="0" applyNumberFormat="0" applyFill="0" applyBorder="0" applyAlignment="0" applyProtection="0"/>
    <xf numFmtId="177" fontId="27" fillId="27" borderId="0" applyNumberFormat="0" applyBorder="0" applyAlignment="0" applyProtection="0"/>
    <xf numFmtId="176" fontId="17" fillId="20" borderId="0" applyNumberFormat="0" applyBorder="0" applyAlignment="0" applyProtection="0"/>
    <xf numFmtId="177" fontId="12" fillId="22" borderId="6" applyNumberFormat="0" applyFont="0" applyAlignment="0" applyProtection="0"/>
    <xf numFmtId="177" fontId="27" fillId="27" borderId="0" applyNumberFormat="0" applyBorder="0" applyAlignment="0" applyProtection="0"/>
    <xf numFmtId="177" fontId="17" fillId="20" borderId="0" applyNumberFormat="0" applyBorder="0" applyAlignment="0" applyProtection="0"/>
    <xf numFmtId="176" fontId="11" fillId="0" borderId="0"/>
    <xf numFmtId="178" fontId="10" fillId="0" borderId="0" applyFont="0" applyFill="0" applyBorder="0" applyAlignment="0" applyProtection="0">
      <alignment vertical="center"/>
    </xf>
    <xf numFmtId="176" fontId="27" fillId="27" borderId="0" applyNumberFormat="0" applyBorder="0" applyAlignment="0" applyProtection="0"/>
    <xf numFmtId="178" fontId="10" fillId="0" borderId="0" applyFont="0" applyFill="0" applyBorder="0" applyAlignment="0" applyProtection="0">
      <alignment vertical="center"/>
    </xf>
    <xf numFmtId="177" fontId="17" fillId="20" borderId="0" applyNumberFormat="0" applyBorder="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36" fillId="0" borderId="14" applyNumberFormat="0" applyFill="0" applyAlignment="0" applyProtection="0"/>
    <xf numFmtId="178" fontId="10" fillId="0" borderId="0" applyFont="0" applyFill="0" applyBorder="0" applyAlignment="0" applyProtection="0">
      <alignment vertical="center"/>
    </xf>
    <xf numFmtId="177" fontId="35" fillId="0" borderId="13" applyNumberFormat="0" applyFill="0" applyAlignment="0" applyProtection="0"/>
    <xf numFmtId="177" fontId="56" fillId="0" borderId="18" applyNumberFormat="0" applyFill="0" applyAlignment="0" applyProtection="0"/>
    <xf numFmtId="176" fontId="39" fillId="0" borderId="17" applyNumberFormat="0" applyFill="0" applyAlignment="0" applyProtection="0"/>
    <xf numFmtId="176" fontId="39" fillId="0" borderId="17" applyNumberFormat="0" applyFill="0" applyAlignment="0" applyProtection="0"/>
    <xf numFmtId="177" fontId="56" fillId="0" borderId="18" applyNumberFormat="0" applyFill="0" applyAlignment="0" applyProtection="0"/>
    <xf numFmtId="176" fontId="56" fillId="0" borderId="18" applyNumberFormat="0" applyFill="0" applyAlignment="0" applyProtection="0"/>
    <xf numFmtId="177" fontId="39" fillId="0" borderId="17" applyNumberFormat="0" applyFill="0" applyAlignment="0" applyProtection="0"/>
    <xf numFmtId="177" fontId="18" fillId="22" borderId="6" applyNumberFormat="0" applyFont="0" applyAlignment="0" applyProtection="0"/>
    <xf numFmtId="177" fontId="56" fillId="0" borderId="0" applyNumberFormat="0" applyFill="0" applyBorder="0" applyAlignment="0" applyProtection="0"/>
    <xf numFmtId="176" fontId="39" fillId="0" borderId="0" applyNumberFormat="0" applyFill="0" applyBorder="0" applyAlignment="0" applyProtection="0"/>
    <xf numFmtId="176" fontId="39" fillId="0" borderId="0" applyNumberFormat="0" applyFill="0" applyBorder="0" applyAlignment="0" applyProtection="0"/>
    <xf numFmtId="177" fontId="56" fillId="0" borderId="0" applyNumberFormat="0" applyFill="0" applyBorder="0" applyAlignment="0" applyProtection="0"/>
    <xf numFmtId="176" fontId="56" fillId="0" borderId="0" applyNumberFormat="0" applyFill="0" applyBorder="0" applyAlignment="0" applyProtection="0"/>
    <xf numFmtId="177" fontId="39" fillId="0" borderId="0" applyNumberFormat="0" applyFill="0" applyBorder="0" applyAlignment="0" applyProtection="0"/>
    <xf numFmtId="176" fontId="12" fillId="0" borderId="0"/>
    <xf numFmtId="178" fontId="10" fillId="0" borderId="0" applyFont="0" applyFill="0" applyBorder="0" applyAlignment="0" applyProtection="0">
      <alignment vertical="center"/>
    </xf>
    <xf numFmtId="177" fontId="57"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6" fontId="15" fillId="0" borderId="0" applyNumberFormat="0" applyFill="0" applyBorder="0" applyAlignment="0" applyProtection="0">
      <alignment vertical="top"/>
      <protection locked="0"/>
    </xf>
    <xf numFmtId="177" fontId="14" fillId="0" borderId="4" applyNumberFormat="0" applyFill="0" applyAlignment="0" applyProtection="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33" fillId="50" borderId="0" applyNumberFormat="0" applyBorder="0" applyAlignment="0" applyProtection="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7" fontId="14" fillId="0" borderId="4" applyNumberFormat="0" applyFill="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50" fillId="0" borderId="0" applyNumberFormat="0" applyFill="0" applyBorder="0" applyAlignment="0" applyProtection="0">
      <alignment vertical="top"/>
      <protection locked="0"/>
    </xf>
    <xf numFmtId="176" fontId="12" fillId="0" borderId="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11" fillId="0" borderId="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6" fontId="12" fillId="0" borderId="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7" fontId="26" fillId="9" borderId="11" applyNumberFormat="0" applyAlignment="0" applyProtection="0"/>
    <xf numFmtId="176" fontId="15" fillId="0" borderId="0" applyNumberFormat="0" applyFill="0" applyBorder="0" applyAlignment="0" applyProtection="0">
      <alignment vertical="top"/>
      <protection locked="0"/>
    </xf>
    <xf numFmtId="176" fontId="58" fillId="0" borderId="0" applyNumberFormat="0" applyFill="0" applyBorder="0" applyAlignment="0" applyProtection="0">
      <alignment vertical="top"/>
      <protection locked="0"/>
    </xf>
    <xf numFmtId="177" fontId="15" fillId="0" borderId="0" applyNumberFormat="0" applyFill="0" applyBorder="0" applyAlignment="0" applyProtection="0">
      <alignment vertical="top"/>
      <protection locked="0"/>
    </xf>
    <xf numFmtId="177" fontId="57"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57"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6" fontId="11" fillId="0" borderId="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2" fillId="38" borderId="5" applyNumberFormat="0" applyFont="0" applyAlignment="0" applyProtection="0"/>
    <xf numFmtId="176" fontId="11" fillId="0" borderId="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53" fillId="0" borderId="0" applyNumberFormat="0" applyFill="0" applyBorder="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53" fillId="0" borderId="0" applyNumberFormat="0" applyFill="0" applyBorder="0" applyAlignment="0" applyProtection="0"/>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6" fontId="15" fillId="0" borderId="0" applyNumberFormat="0" applyFill="0" applyBorder="0" applyAlignment="0" applyProtection="0">
      <alignment vertical="top"/>
      <protection locked="0"/>
    </xf>
    <xf numFmtId="176" fontId="46" fillId="38" borderId="5" applyNumberFormat="0" applyFont="0" applyAlignment="0" applyProtection="0"/>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6" fontId="46" fillId="38" borderId="5" applyNumberFormat="0" applyFont="0" applyAlignment="0" applyProtection="0"/>
    <xf numFmtId="176" fontId="11" fillId="0" borderId="0"/>
    <xf numFmtId="176" fontId="15" fillId="0" borderId="0" applyNumberFormat="0" applyFill="0" applyBorder="0" applyAlignment="0" applyProtection="0">
      <alignment vertical="top"/>
      <protection locked="0"/>
    </xf>
    <xf numFmtId="176" fontId="46" fillId="38" borderId="5" applyNumberFormat="0" applyFont="0" applyAlignment="0" applyProtection="0"/>
    <xf numFmtId="176" fontId="11" fillId="0" borderId="0"/>
    <xf numFmtId="176" fontId="15" fillId="0" borderId="0" applyNumberFormat="0" applyFill="0" applyBorder="0" applyAlignment="0" applyProtection="0">
      <alignment vertical="top"/>
      <protection locked="0"/>
    </xf>
    <xf numFmtId="176" fontId="46" fillId="38" borderId="5" applyNumberFormat="0" applyFont="0" applyAlignment="0" applyProtection="0"/>
    <xf numFmtId="176" fontId="11" fillId="0" borderId="0"/>
    <xf numFmtId="177" fontId="18" fillId="22" borderId="6" applyNumberFormat="0" applyFont="0" applyAlignment="0" applyProtection="0"/>
    <xf numFmtId="176" fontId="15" fillId="0" borderId="0" applyNumberFormat="0" applyFill="0" applyBorder="0" applyAlignment="0" applyProtection="0">
      <alignment vertical="top"/>
      <protection locked="0"/>
    </xf>
    <xf numFmtId="176" fontId="46" fillId="38" borderId="5"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15" fillId="0" borderId="0" applyNumberFormat="0" applyFill="0" applyBorder="0" applyAlignment="0" applyProtection="0">
      <alignment vertical="top"/>
      <protection locked="0"/>
    </xf>
    <xf numFmtId="176" fontId="11" fillId="0" borderId="0"/>
    <xf numFmtId="176" fontId="15" fillId="0" borderId="0" applyNumberFormat="0" applyFill="0" applyBorder="0" applyAlignment="0" applyProtection="0">
      <alignment vertical="top"/>
      <protection locked="0"/>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5" fillId="0" borderId="0" applyNumberFormat="0" applyFill="0" applyBorder="0" applyAlignment="0" applyProtection="0">
      <alignment vertical="top"/>
      <protection locked="0"/>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6" fontId="49" fillId="54" borderId="3"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10" fillId="0" borderId="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6" fontId="49" fillId="54" borderId="3"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20" fillId="23" borderId="2" applyNumberFormat="0" applyAlignment="0" applyProtection="0"/>
    <xf numFmtId="178" fontId="10" fillId="0" borderId="0" applyFont="0" applyFill="0" applyBorder="0" applyAlignment="0" applyProtection="0">
      <alignment vertical="center"/>
    </xf>
    <xf numFmtId="176" fontId="12" fillId="0" borderId="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8" fontId="10" fillId="0" borderId="0" applyFont="0" applyFill="0" applyBorder="0" applyAlignment="0" applyProtection="0">
      <alignment vertical="center"/>
    </xf>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6"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11" fillId="0" borderId="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7" fontId="20" fillId="23" borderId="2" applyNumberForma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8" fontId="10" fillId="0" borderId="0" applyFont="0" applyFill="0" applyBorder="0" applyAlignment="0" applyProtection="0">
      <alignment vertical="center"/>
    </xf>
    <xf numFmtId="177" fontId="20" fillId="23" borderId="2" applyNumberFormat="0" applyAlignment="0" applyProtection="0"/>
    <xf numFmtId="176" fontId="11" fillId="0" borderId="0"/>
    <xf numFmtId="176" fontId="43" fillId="0" borderId="9" applyNumberFormat="0" applyFill="0" applyAlignment="0" applyProtection="0"/>
    <xf numFmtId="177" fontId="24" fillId="26" borderId="0" applyNumberFormat="0" applyBorder="0" applyAlignment="0" applyProtection="0"/>
    <xf numFmtId="177" fontId="59" fillId="55" borderId="0" applyNumberFormat="0" applyBorder="0" applyAlignment="0" applyProtection="0"/>
    <xf numFmtId="177" fontId="59" fillId="55" borderId="0" applyNumberFormat="0" applyBorder="0" applyAlignment="0" applyProtection="0"/>
    <xf numFmtId="176" fontId="24" fillId="26" borderId="0" applyNumberFormat="0" applyBorder="0" applyAlignment="0" applyProtection="0"/>
    <xf numFmtId="177" fontId="59" fillId="55" borderId="0" applyNumberFormat="0" applyBorder="0" applyAlignment="0" applyProtection="0"/>
    <xf numFmtId="176" fontId="24" fillId="26" borderId="0" applyNumberFormat="0" applyBorder="0" applyAlignment="0" applyProtection="0"/>
    <xf numFmtId="177" fontId="59" fillId="55" borderId="0" applyNumberFormat="0" applyBorder="0" applyAlignment="0" applyProtection="0"/>
    <xf numFmtId="177" fontId="24" fillId="26" borderId="0" applyNumberFormat="0" applyBorder="0" applyAlignment="0" applyProtection="0"/>
    <xf numFmtId="176" fontId="59" fillId="55" borderId="0" applyNumberFormat="0" applyBorder="0" applyAlignment="0" applyProtection="0"/>
    <xf numFmtId="177" fontId="24" fillId="26" borderId="0" applyNumberFormat="0" applyBorder="0" applyAlignment="0" applyProtection="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6" fontId="11" fillId="0" borderId="0"/>
    <xf numFmtId="177" fontId="12"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7" fontId="12" fillId="0" borderId="0"/>
    <xf numFmtId="176" fontId="11" fillId="0" borderId="0"/>
    <xf numFmtId="177"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7" fontId="12" fillId="22" borderId="6" applyNumberFormat="0" applyFont="0" applyAlignment="0" applyProtection="0"/>
    <xf numFmtId="176" fontId="11" fillId="0" borderId="0"/>
    <xf numFmtId="176" fontId="11" fillId="0" borderId="0"/>
    <xf numFmtId="177" fontId="12" fillId="22" borderId="6" applyNumberFormat="0" applyFont="0" applyAlignment="0" applyProtection="0"/>
    <xf numFmtId="176" fontId="11" fillId="0" borderId="0"/>
    <xf numFmtId="176" fontId="11" fillId="0" borderId="0"/>
    <xf numFmtId="176" fontId="12" fillId="38" borderId="5" applyNumberFormat="0" applyFont="0" applyAlignment="0" applyProtection="0"/>
    <xf numFmtId="177" fontId="25"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7" fontId="11" fillId="0" borderId="0"/>
    <xf numFmtId="176" fontId="11" fillId="0" borderId="0"/>
    <xf numFmtId="176" fontId="11" fillId="0" borderId="0"/>
    <xf numFmtId="176" fontId="1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6" fontId="10" fillId="0" borderId="0"/>
    <xf numFmtId="176"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6" fontId="10" fillId="0" borderId="0"/>
    <xf numFmtId="178" fontId="10" fillId="0" borderId="0" applyFont="0" applyFill="0" applyBorder="0" applyAlignment="0" applyProtection="0">
      <alignment vertical="center"/>
    </xf>
    <xf numFmtId="0" fontId="11" fillId="0" borderId="0"/>
    <xf numFmtId="177" fontId="10" fillId="0" borderId="0"/>
    <xf numFmtId="177" fontId="10" fillId="0" borderId="0"/>
    <xf numFmtId="177" fontId="10" fillId="0" borderId="0"/>
    <xf numFmtId="177" fontId="10" fillId="0" borderId="0"/>
    <xf numFmtId="177" fontId="10" fillId="0" borderId="0"/>
    <xf numFmtId="176" fontId="10" fillId="0" borderId="0"/>
    <xf numFmtId="177" fontId="10" fillId="0" borderId="0"/>
    <xf numFmtId="176" fontId="10" fillId="0" borderId="0"/>
    <xf numFmtId="177" fontId="10" fillId="0" borderId="0"/>
    <xf numFmtId="176" fontId="10" fillId="0" borderId="0"/>
    <xf numFmtId="177" fontId="10" fillId="0" borderId="0"/>
    <xf numFmtId="177" fontId="10" fillId="0" borderId="0"/>
    <xf numFmtId="176" fontId="11" fillId="0" borderId="0"/>
    <xf numFmtId="176" fontId="11" fillId="0" borderId="0"/>
    <xf numFmtId="176" fontId="11" fillId="0" borderId="0"/>
    <xf numFmtId="176" fontId="11" fillId="0" borderId="0"/>
    <xf numFmtId="176" fontId="10" fillId="0" borderId="0"/>
    <xf numFmtId="176" fontId="12" fillId="38" borderId="5" applyNumberFormat="0" applyFont="0" applyAlignment="0" applyProtection="0"/>
    <xf numFmtId="176" fontId="11" fillId="0" borderId="0"/>
    <xf numFmtId="176" fontId="10" fillId="0" borderId="0"/>
    <xf numFmtId="176" fontId="12" fillId="38" borderId="5" applyNumberFormat="0" applyFont="0" applyAlignment="0" applyProtection="0"/>
    <xf numFmtId="176" fontId="11" fillId="0" borderId="0"/>
    <xf numFmtId="176" fontId="10" fillId="0" borderId="0"/>
    <xf numFmtId="176" fontId="12" fillId="38" borderId="5" applyNumberFormat="0" applyFont="0" applyAlignment="0" applyProtection="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0" fillId="0" borderId="0"/>
    <xf numFmtId="178" fontId="10" fillId="0" borderId="0" applyFont="0" applyFill="0" applyBorder="0" applyAlignment="0" applyProtection="0">
      <alignment vertical="center"/>
    </xf>
    <xf numFmtId="176" fontId="11" fillId="0" borderId="0"/>
    <xf numFmtId="176" fontId="10" fillId="0" borderId="0"/>
    <xf numFmtId="178" fontId="10" fillId="0" borderId="0" applyFont="0" applyFill="0" applyBorder="0" applyAlignment="0" applyProtection="0">
      <alignment vertical="center"/>
    </xf>
    <xf numFmtId="176" fontId="11"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7" fontId="12"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1" fillId="0" borderId="0"/>
    <xf numFmtId="176" fontId="21" fillId="0" borderId="0"/>
    <xf numFmtId="176" fontId="11" fillId="0" borderId="0"/>
    <xf numFmtId="176" fontId="21" fillId="0" borderId="0"/>
    <xf numFmtId="176" fontId="11" fillId="0" borderId="0"/>
    <xf numFmtId="176" fontId="21" fillId="0" borderId="0"/>
    <xf numFmtId="176" fontId="11" fillId="0" borderId="0"/>
    <xf numFmtId="176" fontId="21"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7" fontId="10" fillId="0" borderId="0"/>
    <xf numFmtId="178" fontId="10" fillId="0" borderId="0" applyFont="0" applyFill="0" applyBorder="0" applyAlignment="0" applyProtection="0">
      <alignment vertical="center"/>
    </xf>
    <xf numFmtId="176" fontId="10" fillId="0" borderId="0"/>
    <xf numFmtId="176" fontId="10" fillId="0" borderId="0"/>
    <xf numFmtId="177"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21"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4" fillId="0" borderId="4" applyNumberFormat="0" applyFill="0" applyAlignment="0" applyProtection="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1"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1"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2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23"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23" fillId="0" borderId="0"/>
    <xf numFmtId="176" fontId="23" fillId="0" borderId="0"/>
    <xf numFmtId="176" fontId="23" fillId="0" borderId="0"/>
    <xf numFmtId="176" fontId="23" fillId="0" borderId="0"/>
    <xf numFmtId="176" fontId="23" fillId="0" borderId="0"/>
    <xf numFmtId="176" fontId="11" fillId="0" borderId="0"/>
    <xf numFmtId="177" fontId="25" fillId="0" borderId="0"/>
    <xf numFmtId="176" fontId="11" fillId="0" borderId="0"/>
    <xf numFmtId="176" fontId="11" fillId="0" borderId="0"/>
    <xf numFmtId="176" fontId="11" fillId="0" borderId="0"/>
    <xf numFmtId="176" fontId="11" fillId="0" borderId="0"/>
    <xf numFmtId="176" fontId="11" fillId="0" borderId="0"/>
    <xf numFmtId="176" fontId="23" fillId="0" borderId="0"/>
    <xf numFmtId="177" fontId="11" fillId="0" borderId="0"/>
    <xf numFmtId="176" fontId="11" fillId="0" borderId="0"/>
    <xf numFmtId="176" fontId="23" fillId="0" borderId="0"/>
    <xf numFmtId="178" fontId="10" fillId="0" borderId="0" applyFont="0" applyFill="0" applyBorder="0" applyAlignment="0" applyProtection="0">
      <alignment vertical="center"/>
    </xf>
    <xf numFmtId="176" fontId="23" fillId="0" borderId="0"/>
    <xf numFmtId="176" fontId="11" fillId="0" borderId="0"/>
    <xf numFmtId="177" fontId="11" fillId="0" borderId="0"/>
    <xf numFmtId="178" fontId="10" fillId="0" borderId="0" applyFont="0" applyFill="0" applyBorder="0" applyAlignment="0" applyProtection="0">
      <alignment vertical="center"/>
    </xf>
    <xf numFmtId="176" fontId="11" fillId="0" borderId="0"/>
    <xf numFmtId="176" fontId="23"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23" fillId="0" borderId="0"/>
    <xf numFmtId="176" fontId="23" fillId="0" borderId="0"/>
    <xf numFmtId="176" fontId="23" fillId="0" borderId="0"/>
    <xf numFmtId="176" fontId="11" fillId="0" borderId="0"/>
    <xf numFmtId="176" fontId="11" fillId="0" borderId="0"/>
    <xf numFmtId="176" fontId="11" fillId="0" borderId="0"/>
    <xf numFmtId="177" fontId="11" fillId="0" borderId="0"/>
    <xf numFmtId="176" fontId="23" fillId="0" borderId="0"/>
    <xf numFmtId="178" fontId="10" fillId="0" borderId="0" applyFont="0" applyFill="0" applyBorder="0" applyAlignment="0" applyProtection="0">
      <alignment vertical="center"/>
    </xf>
    <xf numFmtId="176" fontId="11" fillId="0" borderId="0"/>
    <xf numFmtId="176" fontId="23"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6" fontId="23" fillId="0" borderId="0"/>
    <xf numFmtId="176" fontId="11" fillId="0" borderId="0"/>
    <xf numFmtId="176" fontId="23" fillId="0" borderId="0"/>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0" fillId="0" borderId="0"/>
    <xf numFmtId="176" fontId="10" fillId="0" borderId="0"/>
    <xf numFmtId="176" fontId="23" fillId="0" borderId="0"/>
    <xf numFmtId="176" fontId="23" fillId="0" borderId="0"/>
    <xf numFmtId="178" fontId="10" fillId="0" borderId="0" applyFont="0" applyFill="0" applyBorder="0" applyAlignment="0" applyProtection="0">
      <alignment vertical="center"/>
    </xf>
    <xf numFmtId="176" fontId="23" fillId="0" borderId="0"/>
    <xf numFmtId="177" fontId="10" fillId="0" borderId="0"/>
    <xf numFmtId="178" fontId="10" fillId="0" borderId="0" applyFont="0" applyFill="0" applyBorder="0" applyAlignment="0" applyProtection="0">
      <alignment vertical="center"/>
    </xf>
    <xf numFmtId="176" fontId="23" fillId="0" borderId="0"/>
    <xf numFmtId="176" fontId="11" fillId="0" borderId="0"/>
    <xf numFmtId="178" fontId="10" fillId="0" borderId="0" applyFont="0" applyFill="0" applyBorder="0" applyAlignment="0" applyProtection="0">
      <alignment vertical="center"/>
    </xf>
    <xf numFmtId="176" fontId="23" fillId="0" borderId="0"/>
    <xf numFmtId="176" fontId="11" fillId="0" borderId="0"/>
    <xf numFmtId="176" fontId="11" fillId="0" borderId="0"/>
    <xf numFmtId="176" fontId="11" fillId="0" borderId="0"/>
    <xf numFmtId="176" fontId="11" fillId="0" borderId="0"/>
    <xf numFmtId="176" fontId="23" fillId="0" borderId="0"/>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23" fillId="0" borderId="0"/>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11" fillId="0" borderId="0"/>
    <xf numFmtId="176" fontId="23" fillId="0" borderId="0"/>
    <xf numFmtId="178" fontId="10" fillId="0" borderId="0" applyFont="0" applyFill="0" applyBorder="0" applyAlignment="0" applyProtection="0">
      <alignment vertical="center"/>
    </xf>
    <xf numFmtId="176" fontId="11" fillId="0" borderId="0"/>
    <xf numFmtId="176" fontId="23" fillId="0" borderId="0"/>
    <xf numFmtId="176" fontId="23" fillId="0" borderId="0"/>
    <xf numFmtId="176" fontId="23"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7"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6" fontId="11" fillId="0" borderId="0"/>
    <xf numFmtId="176" fontId="11" fillId="0" borderId="0"/>
    <xf numFmtId="176" fontId="11" fillId="0" borderId="0"/>
    <xf numFmtId="177" fontId="11" fillId="0" borderId="0"/>
    <xf numFmtId="177" fontId="11" fillId="0" borderId="0"/>
    <xf numFmtId="177"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23" fillId="0" borderId="0"/>
    <xf numFmtId="177" fontId="11"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8" fillId="22" borderId="6" applyNumberFormat="0" applyFont="0" applyAlignment="0" applyProtection="0"/>
    <xf numFmtId="177" fontId="18" fillId="0" borderId="0"/>
    <xf numFmtId="177" fontId="18" fillId="0" borderId="0"/>
    <xf numFmtId="176" fontId="25" fillId="0" borderId="0"/>
    <xf numFmtId="176" fontId="11" fillId="0" borderId="0"/>
    <xf numFmtId="177" fontId="25" fillId="0" borderId="0"/>
    <xf numFmtId="177" fontId="11" fillId="0" borderId="0"/>
    <xf numFmtId="177" fontId="11" fillId="0" borderId="0"/>
    <xf numFmtId="176" fontId="23" fillId="0" borderId="0"/>
    <xf numFmtId="177" fontId="11" fillId="0" borderId="0"/>
    <xf numFmtId="176" fontId="11" fillId="0" borderId="0"/>
    <xf numFmtId="176" fontId="11"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23" fillId="0" borderId="0"/>
    <xf numFmtId="177" fontId="25" fillId="0" borderId="0"/>
    <xf numFmtId="176" fontId="23" fillId="0" borderId="0"/>
    <xf numFmtId="176" fontId="23" fillId="0" borderId="0"/>
    <xf numFmtId="176" fontId="11" fillId="0" borderId="0"/>
    <xf numFmtId="178" fontId="10" fillId="0" borderId="0" applyFont="0" applyFill="0" applyBorder="0" applyAlignment="0" applyProtection="0">
      <alignment vertical="center"/>
    </xf>
    <xf numFmtId="176" fontId="23" fillId="0" borderId="0"/>
    <xf numFmtId="176" fontId="11" fillId="0" borderId="0"/>
    <xf numFmtId="178" fontId="10" fillId="0" borderId="0" applyFont="0" applyFill="0" applyBorder="0" applyAlignment="0" applyProtection="0">
      <alignment vertical="center"/>
    </xf>
    <xf numFmtId="176" fontId="23"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25" fillId="0" borderId="0"/>
    <xf numFmtId="176" fontId="12"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7" fontId="25" fillId="0" borderId="0"/>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23" fillId="0" borderId="0"/>
    <xf numFmtId="178" fontId="10" fillId="0" borderId="0" applyFont="0" applyFill="0" applyBorder="0" applyAlignment="0" applyProtection="0">
      <alignment vertical="center"/>
    </xf>
    <xf numFmtId="176" fontId="11" fillId="0" borderId="0"/>
    <xf numFmtId="176" fontId="23"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25"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12" fillId="0" borderId="0"/>
    <xf numFmtId="178" fontId="10" fillId="0" borderId="0" applyFont="0" applyFill="0" applyBorder="0" applyAlignment="0" applyProtection="0">
      <alignment vertical="center"/>
    </xf>
    <xf numFmtId="176" fontId="25"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5" fillId="0" borderId="0"/>
    <xf numFmtId="178" fontId="10" fillId="0" borderId="0" applyFont="0" applyFill="0" applyBorder="0" applyAlignment="0" applyProtection="0">
      <alignment vertical="center"/>
    </xf>
    <xf numFmtId="177" fontId="10" fillId="0" borderId="0"/>
    <xf numFmtId="177" fontId="12" fillId="22" borderId="6" applyNumberFormat="0" applyFont="0" applyAlignment="0" applyProtection="0"/>
    <xf numFmtId="177"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5"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25"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23" fillId="0" borderId="0"/>
    <xf numFmtId="178" fontId="10" fillId="0" borderId="0" applyFont="0" applyFill="0" applyBorder="0" applyAlignment="0" applyProtection="0">
      <alignment vertical="center"/>
    </xf>
    <xf numFmtId="176" fontId="11" fillId="0" borderId="0"/>
    <xf numFmtId="177" fontId="25" fillId="0" borderId="0"/>
    <xf numFmtId="178" fontId="10" fillId="0" borderId="0" applyFont="0" applyFill="0" applyBorder="0" applyAlignment="0" applyProtection="0">
      <alignment vertical="center"/>
    </xf>
    <xf numFmtId="176" fontId="11" fillId="0" borderId="0"/>
    <xf numFmtId="176" fontId="25" fillId="0" borderId="0"/>
    <xf numFmtId="177" fontId="37" fillId="0" borderId="0"/>
    <xf numFmtId="177" fontId="37"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21" fillId="0" borderId="0"/>
    <xf numFmtId="177" fontId="10" fillId="0" borderId="0"/>
    <xf numFmtId="176" fontId="10" fillId="0" borderId="0"/>
    <xf numFmtId="176" fontId="10" fillId="0" borderId="0"/>
    <xf numFmtId="176" fontId="10" fillId="0" borderId="0"/>
    <xf numFmtId="177" fontId="12" fillId="22" borderId="6" applyNumberFormat="0" applyFont="0" applyAlignment="0" applyProtection="0"/>
    <xf numFmtId="178" fontId="10" fillId="0" borderId="0" applyFont="0" applyFill="0" applyBorder="0" applyAlignment="0" applyProtection="0">
      <alignment vertical="center"/>
    </xf>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21" fillId="0" borderId="0"/>
    <xf numFmtId="176" fontId="21" fillId="0" borderId="0"/>
    <xf numFmtId="176" fontId="21" fillId="0" borderId="0"/>
    <xf numFmtId="178" fontId="10" fillId="0" borderId="0" applyFont="0" applyFill="0" applyBorder="0" applyAlignment="0" applyProtection="0">
      <alignment vertical="center"/>
    </xf>
    <xf numFmtId="176" fontId="21" fillId="0" borderId="0"/>
    <xf numFmtId="178" fontId="10" fillId="0" borderId="0" applyFont="0" applyFill="0" applyBorder="0" applyAlignment="0" applyProtection="0">
      <alignment vertical="center"/>
    </xf>
    <xf numFmtId="176" fontId="21" fillId="0" borderId="0"/>
    <xf numFmtId="176" fontId="21" fillId="0" borderId="0"/>
    <xf numFmtId="176" fontId="21" fillId="0" borderId="0"/>
    <xf numFmtId="176" fontId="21"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0"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7" fontId="25"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10" fillId="0" borderId="0"/>
    <xf numFmtId="178" fontId="10" fillId="0" borderId="0" applyFont="0" applyFill="0" applyBorder="0" applyAlignment="0" applyProtection="0">
      <alignment vertical="center"/>
    </xf>
    <xf numFmtId="176" fontId="11" fillId="0" borderId="0"/>
    <xf numFmtId="176" fontId="10" fillId="0" borderId="0"/>
    <xf numFmtId="177" fontId="12" fillId="0" borderId="0"/>
    <xf numFmtId="177" fontId="11" fillId="0" borderId="0"/>
    <xf numFmtId="177" fontId="12" fillId="0" borderId="0"/>
    <xf numFmtId="176" fontId="11" fillId="0" borderId="0"/>
    <xf numFmtId="176" fontId="38" fillId="0" borderId="0"/>
    <xf numFmtId="177" fontId="10" fillId="0" borderId="0"/>
    <xf numFmtId="178" fontId="10" fillId="0" borderId="0" applyFont="0" applyFill="0" applyBorder="0" applyAlignment="0" applyProtection="0">
      <alignment vertical="center"/>
    </xf>
    <xf numFmtId="177" fontId="10" fillId="0" borderId="0"/>
    <xf numFmtId="177" fontId="11" fillId="0" borderId="0"/>
    <xf numFmtId="177" fontId="10" fillId="0" borderId="0"/>
    <xf numFmtId="176" fontId="10" fillId="0" borderId="0"/>
    <xf numFmtId="176" fontId="11" fillId="0" borderId="0"/>
    <xf numFmtId="177" fontId="10" fillId="0" borderId="0">
      <alignment vertical="center"/>
    </xf>
    <xf numFmtId="176" fontId="10" fillId="0" borderId="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6" fontId="11" fillId="0" borderId="0"/>
    <xf numFmtId="176" fontId="12" fillId="0" borderId="0"/>
    <xf numFmtId="178" fontId="10" fillId="0" borderId="0" applyFont="0" applyFill="0" applyBorder="0" applyAlignment="0" applyProtection="0">
      <alignment vertical="center"/>
    </xf>
    <xf numFmtId="177" fontId="10" fillId="0" borderId="0"/>
    <xf numFmtId="177" fontId="10" fillId="0" borderId="0"/>
    <xf numFmtId="176" fontId="11" fillId="0" borderId="0"/>
    <xf numFmtId="176" fontId="12"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9" fillId="0" borderId="0"/>
    <xf numFmtId="177" fontId="9"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8" fontId="10" fillId="0" borderId="0" applyFont="0" applyFill="0" applyBorder="0" applyAlignment="0" applyProtection="0">
      <alignment vertical="center"/>
    </xf>
    <xf numFmtId="177" fontId="10"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8" fontId="10" fillId="0" borderId="0" applyFont="0" applyFill="0" applyBorder="0" applyAlignment="0" applyProtection="0">
      <alignment vertical="center"/>
    </xf>
    <xf numFmtId="176" fontId="11" fillId="0" borderId="0"/>
    <xf numFmtId="177" fontId="10" fillId="0" borderId="0"/>
    <xf numFmtId="177" fontId="10" fillId="0" borderId="0"/>
    <xf numFmtId="176" fontId="12"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6" fontId="11"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0" fillId="0" borderId="0"/>
    <xf numFmtId="176" fontId="11" fillId="0" borderId="0"/>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0"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7" fontId="12" fillId="38" borderId="5"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8" fontId="10" fillId="0" borderId="0" applyFont="0" applyFill="0" applyBorder="0" applyAlignment="0" applyProtection="0">
      <alignment vertical="center"/>
    </xf>
    <xf numFmtId="176" fontId="10" fillId="0" borderId="0"/>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6" fontId="10" fillId="0" borderId="0"/>
    <xf numFmtId="177" fontId="10" fillId="0" borderId="0"/>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0" fillId="0" borderId="0"/>
    <xf numFmtId="177" fontId="11" fillId="0" borderId="0"/>
    <xf numFmtId="177" fontId="11" fillId="0" borderId="0"/>
    <xf numFmtId="178" fontId="10" fillId="0" borderId="0" applyFont="0" applyFill="0" applyBorder="0" applyAlignment="0" applyProtection="0">
      <alignment vertical="center"/>
    </xf>
    <xf numFmtId="176" fontId="10" fillId="0" borderId="0"/>
    <xf numFmtId="177" fontId="11" fillId="0" borderId="0"/>
    <xf numFmtId="177" fontId="11" fillId="0" borderId="0"/>
    <xf numFmtId="176" fontId="10" fillId="0" borderId="0"/>
    <xf numFmtId="176" fontId="10" fillId="0" borderId="0"/>
    <xf numFmtId="177" fontId="18" fillId="22" borderId="6" applyNumberFormat="0" applyFont="0" applyAlignment="0" applyProtection="0"/>
    <xf numFmtId="176" fontId="10" fillId="0" borderId="0"/>
    <xf numFmtId="178" fontId="10" fillId="0" borderId="0" applyFont="0" applyFill="0" applyBorder="0" applyAlignment="0" applyProtection="0">
      <alignment vertical="center"/>
    </xf>
    <xf numFmtId="177" fontId="10" fillId="0" borderId="0"/>
    <xf numFmtId="176" fontId="10" fillId="0" borderId="0"/>
    <xf numFmtId="176" fontId="10" fillId="0" borderId="0"/>
    <xf numFmtId="176" fontId="10" fillId="0" borderId="0"/>
    <xf numFmtId="177" fontId="11" fillId="0" borderId="0"/>
    <xf numFmtId="177" fontId="18"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0" borderId="0"/>
    <xf numFmtId="178" fontId="10" fillId="0" borderId="0" applyFont="0" applyFill="0" applyBorder="0" applyAlignment="0" applyProtection="0">
      <alignment vertical="center"/>
    </xf>
    <xf numFmtId="177" fontId="11" fillId="0" borderId="0"/>
    <xf numFmtId="176" fontId="11" fillId="0" borderId="0"/>
    <xf numFmtId="177" fontId="12" fillId="0" borderId="0"/>
    <xf numFmtId="178"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176" fontId="11" fillId="0" borderId="0"/>
    <xf numFmtId="177" fontId="12" fillId="0" borderId="0"/>
    <xf numFmtId="177" fontId="12" fillId="0" borderId="0"/>
    <xf numFmtId="178"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0" borderId="0"/>
    <xf numFmtId="178" fontId="10" fillId="0" borderId="0" applyFont="0" applyFill="0" applyBorder="0" applyAlignment="0" applyProtection="0">
      <alignment vertical="center"/>
    </xf>
    <xf numFmtId="177" fontId="12" fillId="0" borderId="0"/>
    <xf numFmtId="176" fontId="11" fillId="0" borderId="0"/>
    <xf numFmtId="177" fontId="12" fillId="0" borderId="0"/>
    <xf numFmtId="177" fontId="12" fillId="0" borderId="0"/>
    <xf numFmtId="176" fontId="6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25" fillId="0" borderId="0"/>
    <xf numFmtId="177" fontId="25" fillId="0" borderId="0"/>
    <xf numFmtId="176" fontId="11" fillId="0" borderId="0"/>
    <xf numFmtId="177" fontId="25" fillId="0" borderId="0"/>
    <xf numFmtId="177" fontId="25"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6" fontId="10" fillId="0" borderId="0"/>
    <xf numFmtId="177" fontId="11"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1" fillId="0" borderId="0"/>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6" fontId="25" fillId="22" borderId="6" applyNumberFormat="0" applyFont="0" applyAlignment="0" applyProtection="0"/>
    <xf numFmtId="177" fontId="10" fillId="0" borderId="0"/>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8" fillId="22" borderId="6" applyNumberFormat="0" applyFont="0" applyAlignment="0" applyProtection="0"/>
    <xf numFmtId="177" fontId="10" fillId="0" borderId="0"/>
    <xf numFmtId="177" fontId="18" fillId="22" borderId="6" applyNumberFormat="0" applyFont="0" applyAlignment="0" applyProtection="0"/>
    <xf numFmtId="177" fontId="10" fillId="0" borderId="0"/>
    <xf numFmtId="177" fontId="18" fillId="22" borderId="6" applyNumberFormat="0" applyFont="0" applyAlignment="0" applyProtection="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7" fontId="10" fillId="0" borderId="0"/>
    <xf numFmtId="177" fontId="10" fillId="0" borderId="0"/>
    <xf numFmtId="178" fontId="10" fillId="0" borderId="0" applyFont="0" applyFill="0" applyBorder="0" applyAlignment="0" applyProtection="0">
      <alignment vertical="center"/>
    </xf>
    <xf numFmtId="177" fontId="18" fillId="22" borderId="6" applyNumberFormat="0" applyFont="0" applyAlignment="0" applyProtection="0"/>
    <xf numFmtId="177" fontId="10" fillId="0" borderId="0"/>
    <xf numFmtId="177" fontId="18" fillId="22" borderId="6" applyNumberFormat="0" applyFont="0" applyAlignment="0" applyProtection="0"/>
    <xf numFmtId="177" fontId="10" fillId="0" borderId="0"/>
    <xf numFmtId="177" fontId="18" fillId="22" borderId="6" applyNumberFormat="0" applyFont="0" applyAlignment="0" applyProtection="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8" fontId="10" fillId="0" borderId="0" applyFont="0" applyFill="0" applyBorder="0" applyAlignment="0" applyProtection="0">
      <alignment vertical="center"/>
    </xf>
    <xf numFmtId="177" fontId="10" fillId="0" borderId="0"/>
    <xf numFmtId="177" fontId="10" fillId="0" borderId="0"/>
    <xf numFmtId="177" fontId="10" fillId="0" borderId="0"/>
    <xf numFmtId="177" fontId="10" fillId="0" borderId="0"/>
    <xf numFmtId="177" fontId="11"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6" fontId="11" fillId="0" borderId="0"/>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7" fontId="37"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7" fontId="10" fillId="0" borderId="0"/>
    <xf numFmtId="176" fontId="10" fillId="0" borderId="0"/>
    <xf numFmtId="177" fontId="37"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6" fontId="12" fillId="0" borderId="0"/>
    <xf numFmtId="178" fontId="10" fillId="0" borderId="0" applyFont="0" applyFill="0" applyBorder="0" applyAlignment="0" applyProtection="0">
      <alignment vertical="center"/>
    </xf>
    <xf numFmtId="176" fontId="12" fillId="0" borderId="0"/>
    <xf numFmtId="176" fontId="12" fillId="0" borderId="0"/>
    <xf numFmtId="176" fontId="12" fillId="0" borderId="0"/>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11"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7" fontId="18" fillId="22" borderId="6" applyNumberFormat="0" applyFont="0" applyAlignment="0" applyProtection="0"/>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7" fontId="10"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6" fontId="12" fillId="0" borderId="0"/>
    <xf numFmtId="177" fontId="11"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1" fillId="0" borderId="0"/>
    <xf numFmtId="176" fontId="12" fillId="0" borderId="0"/>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7" fontId="11" fillId="0" borderId="0"/>
    <xf numFmtId="177"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1" fillId="0" borderId="0"/>
    <xf numFmtId="177" fontId="11" fillId="0" borderId="0"/>
    <xf numFmtId="177" fontId="11" fillId="0" borderId="0"/>
    <xf numFmtId="177" fontId="11" fillId="0" borderId="0"/>
    <xf numFmtId="177" fontId="11" fillId="0" borderId="0"/>
    <xf numFmtId="177"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6" fontId="11" fillId="0" borderId="0"/>
    <xf numFmtId="176" fontId="12" fillId="0" borderId="0"/>
    <xf numFmtId="176" fontId="11" fillId="0" borderId="0"/>
    <xf numFmtId="176" fontId="12" fillId="0" borderId="0"/>
    <xf numFmtId="176" fontId="12" fillId="0" borderId="0"/>
    <xf numFmtId="176" fontId="12" fillId="0" borderId="0"/>
    <xf numFmtId="177" fontId="25"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6" fontId="11" fillId="0" borderId="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6" fontId="11" fillId="0" borderId="0"/>
    <xf numFmtId="176" fontId="12" fillId="0" borderId="0"/>
    <xf numFmtId="177" fontId="11" fillId="0" borderId="0"/>
    <xf numFmtId="176" fontId="21" fillId="0" borderId="0"/>
    <xf numFmtId="177" fontId="11" fillId="0" borderId="0"/>
    <xf numFmtId="176" fontId="11" fillId="0" borderId="0"/>
    <xf numFmtId="177" fontId="11" fillId="0" borderId="0"/>
    <xf numFmtId="177" fontId="11" fillId="0" borderId="0"/>
    <xf numFmtId="177" fontId="11" fillId="0" borderId="0"/>
    <xf numFmtId="177" fontId="9" fillId="0" borderId="0"/>
    <xf numFmtId="178" fontId="10" fillId="0" borderId="0" applyFont="0" applyFill="0" applyBorder="0" applyAlignment="0" applyProtection="0">
      <alignment vertical="center"/>
    </xf>
    <xf numFmtId="177" fontId="11" fillId="0" borderId="0"/>
    <xf numFmtId="177" fontId="11" fillId="0" borderId="0"/>
    <xf numFmtId="177" fontId="9"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7" fontId="12" fillId="22" borderId="6" applyNumberFormat="0" applyFont="0" applyAlignment="0" applyProtection="0"/>
    <xf numFmtId="176" fontId="12" fillId="0" borderId="0"/>
    <xf numFmtId="178" fontId="10" fillId="0" borderId="0" applyFont="0" applyFill="0" applyBorder="0" applyAlignment="0" applyProtection="0">
      <alignment vertical="center"/>
    </xf>
    <xf numFmtId="176" fontId="12" fillId="0" borderId="0"/>
    <xf numFmtId="176" fontId="12" fillId="0" borderId="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7" fontId="11" fillId="0" borderId="0"/>
    <xf numFmtId="177" fontId="11" fillId="0" borderId="0"/>
    <xf numFmtId="177" fontId="11" fillId="0" borderId="0"/>
    <xf numFmtId="177"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7" fontId="14" fillId="0" borderId="4" applyNumberFormat="0" applyFill="0" applyAlignment="0" applyProtection="0"/>
    <xf numFmtId="176" fontId="12" fillId="0" borderId="0"/>
    <xf numFmtId="178" fontId="10" fillId="0" borderId="0" applyFont="0" applyFill="0" applyBorder="0" applyAlignment="0" applyProtection="0">
      <alignment vertical="center"/>
    </xf>
    <xf numFmtId="177" fontId="11" fillId="0" borderId="0"/>
    <xf numFmtId="177" fontId="9" fillId="0" borderId="0"/>
    <xf numFmtId="178" fontId="10" fillId="0" borderId="0" applyFont="0" applyFill="0" applyBorder="0" applyAlignment="0" applyProtection="0">
      <alignment vertical="center"/>
    </xf>
    <xf numFmtId="177" fontId="11" fillId="0" borderId="0"/>
    <xf numFmtId="177" fontId="9" fillId="0" borderId="0"/>
    <xf numFmtId="178" fontId="10" fillId="0" borderId="0" applyFont="0" applyFill="0" applyBorder="0" applyAlignment="0" applyProtection="0">
      <alignment vertical="center"/>
    </xf>
    <xf numFmtId="177" fontId="11" fillId="0" borderId="0"/>
    <xf numFmtId="177" fontId="9"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9" fillId="0" borderId="0"/>
    <xf numFmtId="177" fontId="9"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7" fontId="14" fillId="0" borderId="4" applyNumberFormat="0" applyFill="0" applyAlignment="0" applyProtection="0"/>
    <xf numFmtId="176" fontId="11" fillId="0" borderId="0"/>
    <xf numFmtId="176" fontId="11" fillId="0" borderId="0"/>
    <xf numFmtId="176" fontId="11" fillId="0" borderId="0"/>
    <xf numFmtId="177" fontId="9" fillId="0" borderId="0"/>
    <xf numFmtId="176" fontId="11" fillId="0" borderId="0"/>
    <xf numFmtId="177" fontId="9" fillId="0" borderId="0"/>
    <xf numFmtId="177" fontId="9" fillId="0" borderId="0"/>
    <xf numFmtId="176" fontId="12" fillId="0" borderId="0"/>
    <xf numFmtId="178" fontId="10" fillId="0" borderId="0" applyFont="0" applyFill="0" applyBorder="0" applyAlignment="0" applyProtection="0">
      <alignment vertical="center"/>
    </xf>
    <xf numFmtId="177" fontId="9" fillId="0" borderId="0"/>
    <xf numFmtId="177" fontId="9" fillId="0" borderId="0"/>
    <xf numFmtId="176" fontId="12" fillId="0" borderId="0"/>
    <xf numFmtId="176" fontId="12" fillId="0" borderId="0"/>
    <xf numFmtId="176" fontId="12" fillId="0" borderId="0"/>
    <xf numFmtId="177" fontId="14" fillId="0" borderId="4" applyNumberFormat="0" applyFill="0" applyAlignment="0" applyProtection="0"/>
    <xf numFmtId="178"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177" fontId="9" fillId="0" borderId="0"/>
    <xf numFmtId="177" fontId="9" fillId="0" borderId="0"/>
    <xf numFmtId="176" fontId="11" fillId="0" borderId="0"/>
    <xf numFmtId="178"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177" fontId="9" fillId="0" borderId="0"/>
    <xf numFmtId="177" fontId="9" fillId="0" borderId="0"/>
    <xf numFmtId="177" fontId="9" fillId="0" borderId="0"/>
    <xf numFmtId="177" fontId="9"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9" fillId="0" borderId="0"/>
    <xf numFmtId="177" fontId="9" fillId="0" borderId="0"/>
    <xf numFmtId="178" fontId="10" fillId="0" borderId="0" applyFont="0" applyFill="0" applyBorder="0" applyAlignment="0" applyProtection="0">
      <alignment vertical="center"/>
    </xf>
    <xf numFmtId="177" fontId="9"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0" borderId="0"/>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1" fillId="0" borderId="0"/>
    <xf numFmtId="177" fontId="11" fillId="0" borderId="0"/>
    <xf numFmtId="176" fontId="11" fillId="0" borderId="0"/>
    <xf numFmtId="177" fontId="11" fillId="0" borderId="0"/>
    <xf numFmtId="176" fontId="11" fillId="0" borderId="0"/>
    <xf numFmtId="177" fontId="11" fillId="0" borderId="0"/>
    <xf numFmtId="176" fontId="12" fillId="0" borderId="0"/>
    <xf numFmtId="177" fontId="11" fillId="0" borderId="0"/>
    <xf numFmtId="176" fontId="6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6" fontId="11" fillId="0" borderId="0"/>
    <xf numFmtId="176" fontId="11"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6" fontId="11" fillId="0" borderId="0"/>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1" fillId="0" borderId="0"/>
    <xf numFmtId="176" fontId="11" fillId="0" borderId="0"/>
    <xf numFmtId="176" fontId="11" fillId="0" borderId="0"/>
    <xf numFmtId="176" fontId="12"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25" fillId="0" borderId="0"/>
    <xf numFmtId="178" fontId="10" fillId="0" borderId="0" applyFont="0" applyFill="0" applyBorder="0" applyAlignment="0" applyProtection="0">
      <alignment vertical="center"/>
    </xf>
    <xf numFmtId="177" fontId="25" fillId="0" borderId="0"/>
    <xf numFmtId="177" fontId="11" fillId="0" borderId="0"/>
    <xf numFmtId="177" fontId="11" fillId="0" borderId="0"/>
    <xf numFmtId="177" fontId="11" fillId="0" borderId="0"/>
    <xf numFmtId="177" fontId="11" fillId="0" borderId="0"/>
    <xf numFmtId="176" fontId="38"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38" fillId="0" borderId="0"/>
    <xf numFmtId="178" fontId="10" fillId="0" borderId="0" applyFont="0" applyFill="0" applyBorder="0" applyAlignment="0" applyProtection="0">
      <alignment vertical="center"/>
    </xf>
    <xf numFmtId="176" fontId="12" fillId="0" borderId="0"/>
    <xf numFmtId="176" fontId="12" fillId="0" borderId="0"/>
    <xf numFmtId="176" fontId="38"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6" fontId="12" fillId="0" borderId="0"/>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6" fontId="12" fillId="0" borderId="0"/>
    <xf numFmtId="176" fontId="11" fillId="0" borderId="0"/>
    <xf numFmtId="178" fontId="10" fillId="0" borderId="0" applyFont="0" applyFill="0" applyBorder="0" applyAlignment="0" applyProtection="0">
      <alignment vertical="center"/>
    </xf>
    <xf numFmtId="176" fontId="38"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25" fillId="0" borderId="0"/>
    <xf numFmtId="177" fontId="25" fillId="0" borderId="0"/>
    <xf numFmtId="177" fontId="25" fillId="0" borderId="0"/>
    <xf numFmtId="177" fontId="25"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6" fontId="11" fillId="0" borderId="0"/>
    <xf numFmtId="176" fontId="11"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2"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7" fontId="25" fillId="0" borderId="0"/>
    <xf numFmtId="177" fontId="25" fillId="0" borderId="0"/>
    <xf numFmtId="177" fontId="25" fillId="0" borderId="0"/>
    <xf numFmtId="177" fontId="25" fillId="0" borderId="0"/>
    <xf numFmtId="178" fontId="10" fillId="0" borderId="0" applyFont="0" applyFill="0" applyBorder="0" applyAlignment="0" applyProtection="0">
      <alignment vertical="center"/>
    </xf>
    <xf numFmtId="177" fontId="25" fillId="0" borderId="0"/>
    <xf numFmtId="177" fontId="25" fillId="0" borderId="0"/>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1" fillId="0" borderId="0"/>
    <xf numFmtId="176" fontId="12"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7" fontId="25" fillId="0" borderId="0"/>
    <xf numFmtId="177" fontId="25" fillId="0" borderId="0"/>
    <xf numFmtId="177" fontId="25" fillId="0" borderId="0"/>
    <xf numFmtId="177" fontId="25" fillId="0" borderId="0"/>
    <xf numFmtId="176" fontId="38"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2"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1" fillId="0" borderId="0"/>
    <xf numFmtId="178" fontId="10" fillId="0" borderId="0" applyFont="0" applyFill="0" applyBorder="0" applyAlignment="0" applyProtection="0">
      <alignment vertical="center"/>
    </xf>
    <xf numFmtId="177" fontId="12" fillId="38" borderId="5" applyNumberFormat="0" applyFont="0" applyAlignment="0" applyProtection="0"/>
    <xf numFmtId="178" fontId="10" fillId="0" borderId="0" applyFont="0" applyFill="0" applyBorder="0" applyAlignment="0" applyProtection="0">
      <alignment vertical="center"/>
    </xf>
    <xf numFmtId="177" fontId="12" fillId="38" borderId="5"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8"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8"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6" fontId="12" fillId="38" borderId="5"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7" fontId="9" fillId="0" borderId="0"/>
    <xf numFmtId="178" fontId="10" fillId="0" borderId="0" applyFont="0" applyFill="0" applyBorder="0" applyAlignment="0" applyProtection="0">
      <alignment vertical="center"/>
    </xf>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2" fillId="22" borderId="6" applyNumberFormat="0" applyFont="0" applyAlignment="0" applyProtection="0"/>
    <xf numFmtId="178" fontId="10" fillId="0" borderId="0" applyFont="0" applyFill="0" applyBorder="0" applyAlignment="0" applyProtection="0">
      <alignment vertical="center"/>
    </xf>
    <xf numFmtId="177" fontId="12" fillId="38" borderId="5" applyNumberFormat="0" applyFont="0" applyAlignment="0" applyProtection="0"/>
    <xf numFmtId="177" fontId="12" fillId="38" borderId="5" applyNumberFormat="0" applyFont="0" applyAlignment="0" applyProtection="0"/>
    <xf numFmtId="176" fontId="26" fillId="9" borderId="11" applyNumberFormat="0" applyAlignment="0" applyProtection="0"/>
    <xf numFmtId="178" fontId="10" fillId="0" borderId="0" applyFont="0" applyFill="0" applyBorder="0" applyAlignment="0" applyProtection="0">
      <alignment vertical="center"/>
    </xf>
    <xf numFmtId="176" fontId="12" fillId="38" borderId="5" applyNumberFormat="0" applyFont="0" applyAlignment="0" applyProtection="0"/>
    <xf numFmtId="176" fontId="26" fillId="9" borderId="11" applyNumberFormat="0" applyAlignment="0" applyProtection="0"/>
    <xf numFmtId="178" fontId="10" fillId="0" borderId="0" applyFont="0" applyFill="0" applyBorder="0" applyAlignment="0" applyProtection="0">
      <alignment vertical="center"/>
    </xf>
    <xf numFmtId="177" fontId="12" fillId="38" borderId="5"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7" fontId="25"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5" fillId="22" borderId="6" applyNumberFormat="0" applyFont="0" applyAlignment="0" applyProtection="0"/>
    <xf numFmtId="177" fontId="25" fillId="22" borderId="6" applyNumberFormat="0" applyFont="0" applyAlignment="0" applyProtection="0"/>
    <xf numFmtId="177" fontId="25" fillId="22" borderId="6" applyNumberFormat="0" applyFont="0" applyAlignment="0" applyProtection="0"/>
    <xf numFmtId="178" fontId="10" fillId="0" borderId="0" applyFont="0" applyFill="0" applyBorder="0" applyAlignment="0" applyProtection="0">
      <alignment vertical="center"/>
    </xf>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8" fontId="10" fillId="0" borderId="0" applyFont="0" applyFill="0" applyBorder="0" applyAlignment="0" applyProtection="0">
      <alignment vertical="center"/>
    </xf>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8"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176" fontId="25" fillId="22" borderId="6" applyNumberFormat="0" applyFont="0" applyAlignment="0" applyProtection="0"/>
    <xf numFmtId="178" fontId="10" fillId="0" borderId="0" applyFont="0" applyFill="0" applyBorder="0" applyAlignment="0" applyProtection="0">
      <alignment vertical="center"/>
    </xf>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25" fillId="22" borderId="6" applyNumberFormat="0" applyFont="0" applyAlignment="0" applyProtection="0"/>
    <xf numFmtId="176" fontId="12"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6" fontId="12" fillId="38" borderId="5"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4" fillId="0" borderId="4" applyNumberFormat="0" applyFill="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6" fontId="12" fillId="38" borderId="5" applyNumberFormat="0" applyFont="0" applyAlignment="0" applyProtection="0"/>
    <xf numFmtId="176" fontId="12" fillId="38" borderId="5" applyNumberFormat="0" applyFont="0" applyAlignment="0" applyProtection="0"/>
    <xf numFmtId="176" fontId="12" fillId="38" borderId="5" applyNumberFormat="0" applyFont="0" applyAlignment="0" applyProtection="0"/>
    <xf numFmtId="176" fontId="12" fillId="38" borderId="5" applyNumberFormat="0" applyFont="0" applyAlignment="0" applyProtection="0"/>
    <xf numFmtId="178" fontId="10" fillId="0" borderId="0" applyFont="0" applyFill="0" applyBorder="0" applyAlignment="0" applyProtection="0">
      <alignment vertical="center"/>
    </xf>
    <xf numFmtId="176" fontId="12" fillId="38" borderId="5" applyNumberFormat="0" applyFont="0" applyAlignment="0" applyProtection="0"/>
    <xf numFmtId="178" fontId="10" fillId="0" borderId="0" applyFont="0" applyFill="0" applyBorder="0" applyAlignment="0" applyProtection="0">
      <alignment vertical="center"/>
    </xf>
    <xf numFmtId="176" fontId="12" fillId="38" borderId="5" applyNumberFormat="0" applyFont="0" applyAlignment="0" applyProtection="0"/>
    <xf numFmtId="176" fontId="12" fillId="38" borderId="5" applyNumberFormat="0" applyFon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8" fontId="10" fillId="0" borderId="0" applyFont="0" applyFill="0" applyBorder="0" applyAlignment="0" applyProtection="0">
      <alignment vertical="center"/>
    </xf>
    <xf numFmtId="177" fontId="18" fillId="22" borderId="6" applyNumberFormat="0" applyFont="0" applyAlignment="0" applyProtection="0"/>
    <xf numFmtId="176" fontId="12" fillId="38" borderId="5" applyNumberFormat="0" applyFont="0" applyAlignment="0" applyProtection="0"/>
    <xf numFmtId="176" fontId="12" fillId="38" borderId="5" applyNumberFormat="0" applyFont="0" applyAlignment="0" applyProtection="0"/>
    <xf numFmtId="176" fontId="12" fillId="38" borderId="5" applyNumberFormat="0" applyFon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6"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0" fontId="10" fillId="0" borderId="0"/>
    <xf numFmtId="178" fontId="10" fillId="0" borderId="0" applyFont="0" applyFill="0" applyBorder="0" applyAlignment="0" applyProtection="0">
      <alignment vertical="center"/>
    </xf>
    <xf numFmtId="177" fontId="26" fillId="9" borderId="11" applyNumberFormat="0" applyAlignment="0" applyProtection="0"/>
    <xf numFmtId="177" fontId="9" fillId="0" borderId="0"/>
    <xf numFmtId="178" fontId="10" fillId="0" borderId="0" applyFont="0" applyFill="0" applyBorder="0" applyAlignment="0" applyProtection="0">
      <alignment vertical="center"/>
    </xf>
    <xf numFmtId="177" fontId="26" fillId="9" borderId="11" applyNumberFormat="0" applyAlignment="0" applyProtection="0"/>
    <xf numFmtId="176" fontId="10" fillId="0" borderId="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6"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7" fontId="9" fillId="0" borderId="0"/>
    <xf numFmtId="178" fontId="10" fillId="0" borderId="0" applyFont="0" applyFill="0" applyBorder="0" applyAlignment="0" applyProtection="0">
      <alignment vertical="center"/>
    </xf>
    <xf numFmtId="177" fontId="26" fillId="9" borderId="11" applyNumberFormat="0" applyAlignment="0" applyProtection="0"/>
    <xf numFmtId="177" fontId="9" fillId="0" borderId="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6" fontId="44" fillId="36" borderId="7"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6" fontId="26" fillId="9" borderId="11" applyNumberFormat="0" applyAlignment="0" applyProtection="0"/>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176" fontId="26" fillId="9" borderId="11" applyNumberFormat="0" applyAlignment="0" applyProtection="0"/>
    <xf numFmtId="176" fontId="26" fillId="9" borderId="11" applyNumberFormat="0" applyAlignment="0" applyProtection="0"/>
    <xf numFmtId="176" fontId="26" fillId="9" borderId="11" applyNumberFormat="0" applyAlignment="0" applyProtection="0"/>
    <xf numFmtId="176" fontId="26" fillId="9" borderId="11" applyNumberFormat="0" applyAlignment="0" applyProtection="0"/>
    <xf numFmtId="176" fontId="26" fillId="9" borderId="11" applyNumberFormat="0" applyAlignment="0" applyProtection="0"/>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6"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8" fontId="10" fillId="0" borderId="0" applyFont="0" applyFill="0" applyBorder="0" applyAlignment="0" applyProtection="0">
      <alignment vertical="center"/>
    </xf>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26" fillId="9" borderId="11" applyNumberFormat="0" applyAlignment="0" applyProtection="0"/>
    <xf numFmtId="177" fontId="44" fillId="36" borderId="7"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8" fontId="10" fillId="0" borderId="0" applyFont="0" applyFill="0" applyBorder="0" applyAlignment="0" applyProtection="0">
      <alignment vertical="center"/>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6" fontId="11" fillId="0" borderId="0"/>
    <xf numFmtId="177" fontId="52" fillId="0" borderId="0" applyNumberFormat="0" applyFill="0" applyBorder="0" applyAlignment="0" applyProtection="0"/>
    <xf numFmtId="178" fontId="10" fillId="0" borderId="0" applyFont="0" applyFill="0" applyBorder="0" applyAlignment="0" applyProtection="0">
      <alignment vertical="center"/>
    </xf>
    <xf numFmtId="177" fontId="52" fillId="0" borderId="0" applyNumberFormat="0" applyFill="0" applyBorder="0" applyAlignment="0" applyProtection="0"/>
    <xf numFmtId="178" fontId="10" fillId="0" borderId="0" applyFont="0" applyFill="0" applyBorder="0" applyAlignment="0" applyProtection="0">
      <alignment vertical="center"/>
    </xf>
    <xf numFmtId="177" fontId="52" fillId="0" borderId="0" applyNumberFormat="0" applyFill="0" applyBorder="0" applyAlignment="0" applyProtection="0"/>
    <xf numFmtId="178" fontId="10" fillId="0" borderId="0" applyFont="0" applyFill="0" applyBorder="0" applyAlignment="0" applyProtection="0">
      <alignment vertical="center"/>
    </xf>
    <xf numFmtId="176" fontId="40" fillId="0" borderId="0" applyNumberFormat="0" applyFill="0" applyBorder="0" applyAlignment="0" applyProtection="0"/>
    <xf numFmtId="177" fontId="52" fillId="0" borderId="0" applyNumberFormat="0" applyFill="0" applyBorder="0" applyAlignment="0" applyProtection="0"/>
    <xf numFmtId="176" fontId="52" fillId="0" borderId="0" applyNumberFormat="0" applyFill="0" applyBorder="0" applyAlignment="0" applyProtection="0"/>
    <xf numFmtId="177" fontId="40" fillId="0" borderId="0" applyNumberFormat="0" applyFill="0" applyBorder="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6" fontId="45" fillId="0" borderId="10"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8" fontId="10" fillId="0" borderId="0" applyFont="0" applyFill="0" applyBorder="0" applyAlignment="0" applyProtection="0">
      <alignment vertical="center"/>
    </xf>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6"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8" fontId="10" fillId="0" borderId="0" applyFont="0" applyFill="0" applyBorder="0" applyAlignment="0" applyProtection="0">
      <alignment vertical="center"/>
    </xf>
    <xf numFmtId="177" fontId="14" fillId="0" borderId="4" applyNumberFormat="0" applyFill="0" applyAlignment="0" applyProtection="0"/>
    <xf numFmtId="177" fontId="14" fillId="0" borderId="4" applyNumberFormat="0" applyFill="0" applyAlignment="0" applyProtection="0"/>
    <xf numFmtId="177" fontId="45" fillId="0" borderId="10" applyNumberFormat="0" applyFill="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6" fontId="29" fillId="0" borderId="0" applyNumberFormat="0" applyFill="0" applyBorder="0" applyAlignment="0" applyProtection="0"/>
    <xf numFmtId="0" fontId="10" fillId="0" borderId="0"/>
    <xf numFmtId="0" fontId="62" fillId="0" borderId="0"/>
    <xf numFmtId="0" fontId="10" fillId="0" borderId="0"/>
    <xf numFmtId="0" fontId="10" fillId="0" borderId="0"/>
    <xf numFmtId="177" fontId="10" fillId="0" borderId="0"/>
    <xf numFmtId="178" fontId="10" fillId="0" borderId="0" applyFont="0" applyFill="0" applyBorder="0" applyAlignment="0" applyProtection="0">
      <alignment vertical="center"/>
    </xf>
    <xf numFmtId="0" fontId="10" fillId="0" borderId="0"/>
    <xf numFmtId="0" fontId="10" fillId="0" borderId="0"/>
    <xf numFmtId="176" fontId="10" fillId="0" borderId="0">
      <alignment vertical="center"/>
    </xf>
    <xf numFmtId="177" fontId="9" fillId="0" borderId="0"/>
    <xf numFmtId="177" fontId="9" fillId="0" borderId="0"/>
    <xf numFmtId="0" fontId="63"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0" fontId="10" fillId="0" borderId="0"/>
    <xf numFmtId="0" fontId="10" fillId="0" borderId="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0" fontId="10" fillId="0" borderId="0"/>
    <xf numFmtId="0" fontId="10" fillId="0" borderId="0"/>
    <xf numFmtId="0" fontId="10" fillId="0" borderId="0"/>
    <xf numFmtId="178"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178" fontId="10" fillId="0" borderId="0" applyFont="0" applyFill="0" applyBorder="0" applyAlignment="0" applyProtection="0">
      <alignment vertical="center"/>
    </xf>
    <xf numFmtId="177" fontId="9" fillId="0" borderId="0"/>
    <xf numFmtId="178" fontId="10" fillId="0" borderId="0" applyFont="0" applyFill="0" applyBorder="0" applyAlignment="0" applyProtection="0">
      <alignment vertical="center"/>
    </xf>
    <xf numFmtId="177" fontId="9" fillId="0" borderId="0"/>
    <xf numFmtId="177" fontId="9" fillId="0" borderId="0"/>
    <xf numFmtId="176" fontId="10" fillId="0" borderId="0"/>
    <xf numFmtId="177" fontId="9" fillId="0" borderId="0"/>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178"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0" fontId="10" fillId="0" borderId="0"/>
    <xf numFmtId="0"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0" fontId="10" fillId="0" borderId="0"/>
    <xf numFmtId="0" fontId="10" fillId="0" borderId="0"/>
    <xf numFmtId="177" fontId="9" fillId="0" borderId="0"/>
    <xf numFmtId="178" fontId="10" fillId="0" borderId="0" applyFont="0" applyFill="0" applyBorder="0" applyAlignment="0" applyProtection="0">
      <alignment vertical="center"/>
    </xf>
    <xf numFmtId="177" fontId="9" fillId="0" borderId="0"/>
    <xf numFmtId="178" fontId="10" fillId="0" borderId="0" applyFont="0" applyFill="0" applyBorder="0" applyAlignment="0" applyProtection="0">
      <alignment vertical="center"/>
    </xf>
    <xf numFmtId="176" fontId="10" fillId="0" borderId="0">
      <alignment vertical="center"/>
    </xf>
    <xf numFmtId="177" fontId="9" fillId="0" borderId="0"/>
    <xf numFmtId="178" fontId="10" fillId="0" borderId="0" applyFont="0" applyFill="0" applyBorder="0" applyAlignment="0" applyProtection="0">
      <alignment vertical="center"/>
    </xf>
    <xf numFmtId="177" fontId="9" fillId="0" borderId="0"/>
    <xf numFmtId="0" fontId="10" fillId="0" borderId="0"/>
    <xf numFmtId="0" fontId="10" fillId="0" borderId="0"/>
    <xf numFmtId="178" fontId="10" fillId="0" borderId="0" applyFont="0" applyFill="0" applyBorder="0" applyAlignment="0" applyProtection="0">
      <alignment vertical="center"/>
    </xf>
    <xf numFmtId="0" fontId="10" fillId="0" borderId="0"/>
    <xf numFmtId="0" fontId="10" fillId="0" borderId="0"/>
    <xf numFmtId="0" fontId="10" fillId="0" borderId="0"/>
    <xf numFmtId="176" fontId="10" fillId="0" borderId="0"/>
    <xf numFmtId="0" fontId="10" fillId="0" borderId="0"/>
    <xf numFmtId="176"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7" fontId="9" fillId="0" borderId="0"/>
    <xf numFmtId="178" fontId="10" fillId="0" borderId="0" applyFont="0" applyFill="0" applyBorder="0" applyAlignment="0" applyProtection="0">
      <alignment vertical="center"/>
    </xf>
    <xf numFmtId="176" fontId="10" fillId="0" borderId="0"/>
    <xf numFmtId="177" fontId="9" fillId="0" borderId="0"/>
    <xf numFmtId="177" fontId="9" fillId="0" borderId="0"/>
    <xf numFmtId="177" fontId="9" fillId="0" borderId="0"/>
    <xf numFmtId="0" fontId="10" fillId="0" borderId="0"/>
    <xf numFmtId="0" fontId="10" fillId="0" borderId="0"/>
    <xf numFmtId="0" fontId="10" fillId="0" borderId="0"/>
    <xf numFmtId="0" fontId="10" fillId="0" borderId="0"/>
    <xf numFmtId="176" fontId="11" fillId="0" borderId="0"/>
    <xf numFmtId="178" fontId="10" fillId="0" borderId="0" applyFont="0" applyFill="0" applyBorder="0" applyAlignment="0" applyProtection="0">
      <alignment vertical="center"/>
    </xf>
    <xf numFmtId="177" fontId="10" fillId="0" borderId="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0" fillId="0" borderId="0"/>
    <xf numFmtId="177" fontId="10" fillId="0" borderId="0"/>
    <xf numFmtId="0" fontId="10" fillId="0" borderId="0"/>
    <xf numFmtId="0" fontId="10" fillId="0" borderId="0"/>
    <xf numFmtId="0" fontId="10" fillId="0" borderId="0"/>
    <xf numFmtId="0" fontId="10" fillId="0" borderId="0"/>
    <xf numFmtId="177"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77" fontId="10" fillId="0" borderId="0"/>
    <xf numFmtId="0" fontId="10" fillId="0" borderId="0"/>
    <xf numFmtId="0" fontId="10" fillId="0" borderId="0"/>
    <xf numFmtId="0" fontId="10" fillId="0" borderId="0"/>
    <xf numFmtId="0" fontId="10" fillId="0" borderId="0"/>
    <xf numFmtId="0" fontId="10" fillId="0" borderId="0"/>
    <xf numFmtId="176" fontId="54" fillId="0" borderId="0" applyNumberForma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17" fillId="20"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51" fillId="0" borderId="0" applyNumberForma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4" fillId="26" borderId="0" applyNumberFormat="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29" fillId="0" borderId="0" applyNumberFormat="0" applyFill="0" applyBorder="0" applyAlignment="0" applyProtection="0"/>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8" fontId="10" fillId="0" borderId="0" applyFont="0" applyFill="0" applyBorder="0" applyAlignment="0" applyProtection="0">
      <alignment vertical="center"/>
    </xf>
    <xf numFmtId="177" fontId="31" fillId="45" borderId="8" applyNumberFormat="0" applyAlignment="0" applyProtection="0"/>
    <xf numFmtId="177" fontId="43" fillId="0" borderId="9" applyNumberFormat="0" applyFill="0" applyAlignment="0" applyProtection="0"/>
    <xf numFmtId="177" fontId="44" fillId="36" borderId="7" applyNumberFormat="0" applyAlignment="0" applyProtection="0"/>
    <xf numFmtId="177" fontId="49" fillId="54" borderId="3" applyNumberFormat="0" applyAlignment="0" applyProtection="0"/>
    <xf numFmtId="176" fontId="64" fillId="56" borderId="0">
      <alignment vertical="center" wrapText="1"/>
    </xf>
    <xf numFmtId="176" fontId="65" fillId="0" borderId="0">
      <alignment vertical="center"/>
    </xf>
    <xf numFmtId="176" fontId="65" fillId="57" borderId="0">
      <alignment vertical="center"/>
    </xf>
    <xf numFmtId="177" fontId="19" fillId="52" borderId="0" applyNumberFormat="0" applyBorder="0" applyAlignment="0" applyProtection="0"/>
    <xf numFmtId="177" fontId="19" fillId="3" borderId="0" applyNumberFormat="0" applyBorder="0" applyAlignment="0" applyProtection="0"/>
    <xf numFmtId="177" fontId="19" fillId="40" borderId="0" applyNumberFormat="0" applyBorder="0" applyAlignment="0" applyProtection="0"/>
    <xf numFmtId="177" fontId="19" fillId="53" borderId="0" applyNumberFormat="0" applyBorder="0" applyAlignment="0" applyProtection="0"/>
    <xf numFmtId="0" fontId="10" fillId="38" borderId="5" applyNumberFormat="0" applyFont="0" applyAlignment="0" applyProtection="0">
      <alignment vertical="center"/>
    </xf>
    <xf numFmtId="0" fontId="69" fillId="0" borderId="0">
      <alignment vertical="center"/>
    </xf>
    <xf numFmtId="0" fontId="62" fillId="0" borderId="0"/>
    <xf numFmtId="0" fontId="73" fillId="0" borderId="0">
      <alignment vertical="center"/>
    </xf>
  </cellStyleXfs>
  <cellXfs count="127">
    <xf numFmtId="0" fontId="0" fillId="0" borderId="0" xfId="0"/>
    <xf numFmtId="0" fontId="3" fillId="0" borderId="0" xfId="0" applyFont="1" applyAlignment="1">
      <alignment horizontal="left"/>
    </xf>
    <xf numFmtId="0" fontId="5" fillId="0" borderId="0" xfId="0" applyFont="1" applyAlignment="1">
      <alignment horizontal="left"/>
    </xf>
    <xf numFmtId="0" fontId="5" fillId="4" borderId="0" xfId="0" applyFont="1" applyFill="1" applyAlignment="1">
      <alignment horizontal="left"/>
    </xf>
    <xf numFmtId="0" fontId="8" fillId="0" borderId="0" xfId="0" applyFont="1" applyAlignment="1">
      <alignment horizontal="left"/>
    </xf>
    <xf numFmtId="49" fontId="10" fillId="0" borderId="0" xfId="0" applyNumberFormat="1" applyFont="1" applyAlignment="1">
      <alignment vertical="center"/>
    </xf>
    <xf numFmtId="49" fontId="70" fillId="0" borderId="0" xfId="0" applyNumberFormat="1" applyFont="1" applyAlignment="1">
      <alignment horizontal="left"/>
    </xf>
    <xf numFmtId="49" fontId="10" fillId="0" borderId="0" xfId="0" applyNumberFormat="1" applyFont="1" applyAlignment="1">
      <alignment horizontal="left"/>
    </xf>
    <xf numFmtId="49" fontId="10" fillId="0" borderId="0" xfId="0" applyNumberFormat="1" applyFont="1" applyAlignment="1">
      <alignment horizontal="left" vertical="center"/>
    </xf>
    <xf numFmtId="49" fontId="10" fillId="4" borderId="0" xfId="0" applyNumberFormat="1" applyFont="1" applyFill="1" applyAlignment="1">
      <alignment horizontal="left"/>
    </xf>
    <xf numFmtId="49" fontId="10" fillId="0" borderId="0" xfId="0" applyNumberFormat="1" applyFont="1"/>
    <xf numFmtId="49" fontId="7" fillId="0" borderId="0" xfId="0" quotePrefix="1" applyNumberFormat="1" applyFont="1"/>
    <xf numFmtId="49" fontId="70" fillId="0" borderId="0" xfId="0" applyNumberFormat="1" applyFont="1"/>
    <xf numFmtId="49" fontId="7" fillId="0" borderId="0" xfId="0" applyNumberFormat="1" applyFont="1" applyAlignment="1">
      <alignment horizontal="left"/>
    </xf>
    <xf numFmtId="49" fontId="7" fillId="0" borderId="0" xfId="0" applyNumberFormat="1" applyFont="1" applyAlignment="1">
      <alignment horizontal="left" vertical="top"/>
    </xf>
    <xf numFmtId="49" fontId="10" fillId="0" borderId="0" xfId="32717" applyNumberFormat="1"/>
    <xf numFmtId="49" fontId="7" fillId="0" borderId="0" xfId="0" applyNumberFormat="1" applyFont="1"/>
    <xf numFmtId="49" fontId="10" fillId="0" borderId="0" xfId="0" applyNumberFormat="1" applyFont="1" applyAlignment="1">
      <alignment horizontal="left" vertical="top"/>
    </xf>
    <xf numFmtId="49" fontId="5" fillId="0" borderId="0" xfId="0" applyNumberFormat="1" applyFont="1" applyAlignment="1">
      <alignment horizontal="left" vertical="center"/>
    </xf>
    <xf numFmtId="49" fontId="5" fillId="0" borderId="0" xfId="0" applyNumberFormat="1" applyFont="1" applyAlignment="1">
      <alignment horizontal="left"/>
    </xf>
    <xf numFmtId="49" fontId="10" fillId="0" borderId="0" xfId="26284" applyNumberFormat="1" applyFont="1" applyAlignment="1">
      <alignment horizontal="left"/>
    </xf>
    <xf numFmtId="49" fontId="10" fillId="0" borderId="0" xfId="0" applyNumberFormat="1" applyFont="1" applyAlignment="1">
      <alignment vertical="top"/>
    </xf>
    <xf numFmtId="49" fontId="10" fillId="0" borderId="0" xfId="0" applyNumberFormat="1" applyFont="1" applyAlignment="1">
      <alignment horizontal="left" vertical="top" wrapText="1"/>
    </xf>
    <xf numFmtId="49" fontId="5" fillId="4" borderId="0" xfId="0" applyNumberFormat="1" applyFont="1" applyFill="1" applyAlignment="1">
      <alignment horizontal="left"/>
    </xf>
    <xf numFmtId="49" fontId="5" fillId="0" borderId="0" xfId="0" applyNumberFormat="1" applyFont="1" applyAlignment="1">
      <alignment horizontal="left" vertical="top"/>
    </xf>
    <xf numFmtId="49" fontId="76" fillId="0" borderId="0" xfId="0" applyNumberFormat="1" applyFont="1" applyAlignment="1">
      <alignment horizontal="left"/>
    </xf>
    <xf numFmtId="49" fontId="5" fillId="0" borderId="0" xfId="0" applyNumberFormat="1" applyFont="1" applyAlignment="1">
      <alignment vertical="center"/>
    </xf>
    <xf numFmtId="49" fontId="3" fillId="0" borderId="0" xfId="0" quotePrefix="1" applyNumberFormat="1" applyFont="1"/>
    <xf numFmtId="49" fontId="76" fillId="0" borderId="0" xfId="0" applyNumberFormat="1" applyFont="1"/>
    <xf numFmtId="49" fontId="3" fillId="0" borderId="0" xfId="0" applyNumberFormat="1" applyFont="1" applyAlignment="1">
      <alignment horizontal="left"/>
    </xf>
    <xf numFmtId="49" fontId="5" fillId="0" borderId="0" xfId="0" applyNumberFormat="1" applyFont="1"/>
    <xf numFmtId="49" fontId="10" fillId="0" borderId="0" xfId="0" applyNumberFormat="1" applyFont="1" applyAlignment="1">
      <alignment horizontal="left" wrapText="1"/>
    </xf>
    <xf numFmtId="0" fontId="5" fillId="0" borderId="0" xfId="0" applyFont="1"/>
    <xf numFmtId="49" fontId="5" fillId="0" borderId="0" xfId="0" quotePrefix="1" applyNumberFormat="1" applyFont="1"/>
    <xf numFmtId="49" fontId="3" fillId="0" borderId="0" xfId="0" applyNumberFormat="1" applyFont="1"/>
    <xf numFmtId="49" fontId="3" fillId="0" borderId="0" xfId="0" applyNumberFormat="1" applyFont="1" applyAlignment="1">
      <alignment horizontal="left" vertical="center"/>
    </xf>
    <xf numFmtId="49" fontId="5" fillId="0" borderId="0" xfId="0" quotePrefix="1" applyNumberFormat="1" applyFont="1" applyAlignment="1">
      <alignment horizontal="left"/>
    </xf>
    <xf numFmtId="49" fontId="79" fillId="0" borderId="0" xfId="0" applyNumberFormat="1" applyFont="1" applyAlignment="1">
      <alignment horizontal="left" vertical="top"/>
    </xf>
    <xf numFmtId="49" fontId="79" fillId="0" borderId="0" xfId="0" applyNumberFormat="1" applyFont="1" applyAlignment="1">
      <alignment horizontal="left"/>
    </xf>
    <xf numFmtId="0" fontId="79" fillId="0" borderId="0" xfId="0" applyFont="1" applyAlignment="1">
      <alignment vertical="center"/>
    </xf>
    <xf numFmtId="0" fontId="79" fillId="0" borderId="0" xfId="0" applyFont="1" applyAlignment="1">
      <alignment horizontal="left"/>
    </xf>
    <xf numFmtId="49" fontId="79" fillId="0" borderId="0" xfId="0" applyNumberFormat="1" applyFont="1" applyAlignment="1">
      <alignment horizontal="left" vertical="center"/>
    </xf>
    <xf numFmtId="49" fontId="80" fillId="0" borderId="0" xfId="0" applyNumberFormat="1" applyFont="1" applyAlignment="1">
      <alignment horizontal="left"/>
    </xf>
    <xf numFmtId="49" fontId="83" fillId="4" borderId="0" xfId="0" applyNumberFormat="1" applyFont="1" applyFill="1" applyAlignment="1">
      <alignment horizontal="left"/>
    </xf>
    <xf numFmtId="49" fontId="84" fillId="0" borderId="0" xfId="0" applyNumberFormat="1" applyFont="1"/>
    <xf numFmtId="49" fontId="84" fillId="0" borderId="0" xfId="0" applyNumberFormat="1" applyFont="1" applyAlignment="1">
      <alignment horizontal="left"/>
    </xf>
    <xf numFmtId="49" fontId="10" fillId="3" borderId="0" xfId="0" applyNumberFormat="1" applyFont="1" applyFill="1" applyAlignment="1">
      <alignment horizontal="left"/>
    </xf>
    <xf numFmtId="49" fontId="8" fillId="0" borderId="0" xfId="0" applyNumberFormat="1" applyFont="1"/>
    <xf numFmtId="49" fontId="5" fillId="0" borderId="0" xfId="32717" applyNumberFormat="1" applyFont="1"/>
    <xf numFmtId="49" fontId="5" fillId="0" borderId="0" xfId="0" applyNumberFormat="1" applyFont="1" applyAlignment="1">
      <alignment horizontal="left" vertical="top" wrapText="1"/>
    </xf>
    <xf numFmtId="49" fontId="5" fillId="0" borderId="0" xfId="0" applyNumberFormat="1" applyFont="1" applyAlignment="1">
      <alignment vertical="top" wrapText="1"/>
    </xf>
    <xf numFmtId="49" fontId="5" fillId="3" borderId="0" xfId="0" applyNumberFormat="1" applyFont="1" applyFill="1"/>
    <xf numFmtId="49" fontId="3" fillId="3" borderId="0" xfId="0" applyNumberFormat="1" applyFont="1" applyFill="1"/>
    <xf numFmtId="49" fontId="5" fillId="3" borderId="0" xfId="0" applyNumberFormat="1" applyFont="1" applyFill="1" applyAlignment="1">
      <alignment horizontal="left"/>
    </xf>
    <xf numFmtId="49" fontId="3" fillId="3" borderId="0" xfId="0" quotePrefix="1" applyNumberFormat="1" applyFont="1" applyFill="1"/>
    <xf numFmtId="49" fontId="5" fillId="0" borderId="0" xfId="0" applyNumberFormat="1" applyFont="1" applyAlignment="1">
      <alignment wrapText="1"/>
    </xf>
    <xf numFmtId="49" fontId="76" fillId="58" borderId="0" xfId="32717" applyNumberFormat="1" applyFont="1" applyFill="1" applyAlignment="1">
      <alignment horizontal="left"/>
    </xf>
    <xf numFmtId="49" fontId="76" fillId="0" borderId="0" xfId="32717" applyNumberFormat="1" applyFont="1"/>
    <xf numFmtId="49" fontId="5" fillId="0" borderId="0" xfId="0" applyNumberFormat="1" applyFont="1" applyAlignment="1">
      <alignment vertical="top"/>
    </xf>
    <xf numFmtId="49" fontId="3" fillId="0" borderId="0" xfId="0" applyNumberFormat="1" applyFont="1" applyAlignment="1">
      <alignment horizontal="left" vertical="top"/>
    </xf>
    <xf numFmtId="49" fontId="3" fillId="59" borderId="0" xfId="0" applyNumberFormat="1" applyFont="1" applyFill="1" applyAlignment="1">
      <alignment horizontal="left"/>
    </xf>
    <xf numFmtId="0" fontId="74" fillId="0" borderId="0" xfId="0" applyFont="1" applyAlignment="1">
      <alignment vertical="top" wrapText="1"/>
    </xf>
    <xf numFmtId="49" fontId="74" fillId="60" borderId="0" xfId="0" applyNumberFormat="1" applyFont="1" applyFill="1" applyAlignment="1">
      <alignment horizontal="center" vertical="top"/>
    </xf>
    <xf numFmtId="49" fontId="5" fillId="61" borderId="0" xfId="0" applyNumberFormat="1" applyFont="1" applyFill="1"/>
    <xf numFmtId="49" fontId="10" fillId="4" borderId="0" xfId="0" applyNumberFormat="1" applyFont="1" applyFill="1" applyAlignment="1">
      <alignment horizontal="left" vertical="top"/>
    </xf>
    <xf numFmtId="49" fontId="5" fillId="4" borderId="0" xfId="0" applyNumberFormat="1" applyFont="1" applyFill="1" applyAlignment="1">
      <alignment horizontal="left" vertical="top"/>
    </xf>
    <xf numFmtId="49" fontId="10" fillId="62" borderId="0" xfId="0" applyNumberFormat="1" applyFont="1" applyFill="1" applyAlignment="1">
      <alignment horizontal="left" vertical="top"/>
    </xf>
    <xf numFmtId="49" fontId="70" fillId="0" borderId="0" xfId="0" applyNumberFormat="1" applyFont="1" applyAlignment="1">
      <alignment vertical="top"/>
    </xf>
    <xf numFmtId="49" fontId="70" fillId="0" borderId="0" xfId="0" applyNumberFormat="1" applyFont="1" applyAlignment="1">
      <alignment horizontal="left" vertical="top"/>
    </xf>
    <xf numFmtId="49" fontId="70" fillId="0" borderId="0" xfId="0" applyNumberFormat="1" applyFont="1" applyAlignment="1">
      <alignment vertical="top" wrapText="1"/>
    </xf>
    <xf numFmtId="49" fontId="7" fillId="0" borderId="0" xfId="0" applyNumberFormat="1" applyFont="1" applyAlignment="1">
      <alignment vertical="top"/>
    </xf>
    <xf numFmtId="49" fontId="10" fillId="62" borderId="0" xfId="0" applyNumberFormat="1" applyFont="1" applyFill="1" applyAlignment="1">
      <alignment vertical="top"/>
    </xf>
    <xf numFmtId="49" fontId="90" fillId="0" borderId="0" xfId="0" applyNumberFormat="1" applyFont="1" applyAlignment="1">
      <alignment horizontal="left"/>
    </xf>
    <xf numFmtId="49" fontId="91" fillId="0" borderId="0" xfId="0" applyNumberFormat="1" applyFont="1" applyAlignment="1">
      <alignment horizontal="left" vertical="top"/>
    </xf>
    <xf numFmtId="49" fontId="92" fillId="0" borderId="0" xfId="0" applyNumberFormat="1" applyFont="1" applyAlignment="1">
      <alignment horizontal="left" vertical="top"/>
    </xf>
    <xf numFmtId="0" fontId="94" fillId="0" borderId="19" xfId="0" applyFont="1" applyBorder="1" applyAlignment="1">
      <alignment horizontal="left" vertical="top"/>
    </xf>
    <xf numFmtId="0" fontId="91" fillId="0" borderId="0" xfId="0" applyFont="1" applyAlignment="1">
      <alignment horizontal="left" vertical="top"/>
    </xf>
    <xf numFmtId="49" fontId="91" fillId="0" borderId="0" xfId="0" applyNumberFormat="1" applyFont="1" applyAlignment="1">
      <alignment horizontal="left"/>
    </xf>
    <xf numFmtId="0" fontId="94" fillId="0" borderId="0" xfId="0" applyFont="1" applyAlignment="1">
      <alignment horizontal="left" vertical="top"/>
    </xf>
    <xf numFmtId="49" fontId="93" fillId="0" borderId="0" xfId="0" applyNumberFormat="1" applyFont="1" applyAlignment="1">
      <alignment horizontal="left" vertical="top"/>
    </xf>
    <xf numFmtId="0" fontId="95" fillId="0" borderId="0" xfId="0" applyFont="1" applyAlignment="1">
      <alignment vertical="top"/>
    </xf>
    <xf numFmtId="0" fontId="91" fillId="10" borderId="0" xfId="0" applyFont="1" applyFill="1" applyAlignment="1">
      <alignment horizontal="left" vertical="center"/>
    </xf>
    <xf numFmtId="49" fontId="91" fillId="10" borderId="0" xfId="0" applyNumberFormat="1" applyFont="1" applyFill="1" applyAlignment="1">
      <alignment horizontal="left" vertical="top"/>
    </xf>
    <xf numFmtId="0" fontId="91" fillId="0" borderId="0" xfId="0" applyFont="1" applyAlignment="1">
      <alignment vertical="center"/>
    </xf>
    <xf numFmtId="0" fontId="91" fillId="0" borderId="0" xfId="0" applyFont="1" applyAlignment="1">
      <alignment horizontal="left"/>
    </xf>
    <xf numFmtId="0" fontId="93" fillId="0" borderId="0" xfId="0" applyFont="1" applyAlignment="1">
      <alignment horizontal="left"/>
    </xf>
    <xf numFmtId="49" fontId="96" fillId="0" borderId="0" xfId="0" applyNumberFormat="1" applyFont="1" applyAlignment="1">
      <alignment horizontal="left" vertical="top"/>
    </xf>
    <xf numFmtId="0" fontId="98" fillId="0" borderId="0" xfId="0" applyFont="1" applyAlignment="1">
      <alignment horizontal="left" vertical="top"/>
    </xf>
    <xf numFmtId="0" fontId="93" fillId="0" borderId="0" xfId="0" applyFont="1" applyAlignment="1">
      <alignment horizontal="left" vertical="top"/>
    </xf>
    <xf numFmtId="0" fontId="91" fillId="0" borderId="0" xfId="0" applyFont="1" applyAlignment="1">
      <alignment vertical="top"/>
    </xf>
    <xf numFmtId="0" fontId="93" fillId="0" borderId="0" xfId="0" applyFont="1" applyAlignment="1">
      <alignment vertical="top"/>
    </xf>
    <xf numFmtId="0" fontId="91" fillId="10" borderId="0" xfId="0" applyFont="1" applyFill="1" applyAlignment="1">
      <alignment horizontal="left" vertical="top"/>
    </xf>
    <xf numFmtId="0" fontId="94" fillId="10" borderId="0" xfId="0" applyFont="1" applyFill="1" applyAlignment="1">
      <alignment horizontal="left" vertical="top"/>
    </xf>
    <xf numFmtId="0" fontId="99" fillId="0" borderId="0" xfId="0" applyFont="1" applyAlignment="1">
      <alignment horizontal="left" vertical="top"/>
    </xf>
    <xf numFmtId="49" fontId="98" fillId="0" borderId="0" xfId="0" applyNumberFormat="1" applyFont="1" applyAlignment="1">
      <alignment horizontal="left" vertical="top"/>
    </xf>
    <xf numFmtId="0" fontId="98" fillId="0" borderId="0" xfId="0" applyFont="1" applyAlignment="1">
      <alignment horizontal="left"/>
    </xf>
    <xf numFmtId="0" fontId="99" fillId="0" borderId="0" xfId="0" applyFont="1" applyAlignment="1">
      <alignment vertical="top"/>
    </xf>
    <xf numFmtId="49" fontId="93" fillId="0" borderId="0" xfId="0" applyNumberFormat="1" applyFont="1" applyAlignment="1">
      <alignment horizontal="left"/>
    </xf>
    <xf numFmtId="49" fontId="100" fillId="0" borderId="0" xfId="0" applyNumberFormat="1" applyFont="1" applyAlignment="1">
      <alignment horizontal="left"/>
    </xf>
    <xf numFmtId="49" fontId="91" fillId="0" borderId="0" xfId="0" applyNumberFormat="1" applyFont="1" applyAlignment="1">
      <alignment vertical="center"/>
    </xf>
    <xf numFmtId="0" fontId="98" fillId="0" borderId="0" xfId="0" applyFont="1" applyAlignment="1">
      <alignment vertical="top"/>
    </xf>
    <xf numFmtId="49" fontId="98" fillId="0" borderId="0" xfId="0" applyNumberFormat="1" applyFont="1" applyAlignment="1">
      <alignment horizontal="left"/>
    </xf>
    <xf numFmtId="49" fontId="95" fillId="0" borderId="0" xfId="0" applyNumberFormat="1" applyFont="1" applyAlignment="1">
      <alignment horizontal="left"/>
    </xf>
    <xf numFmtId="49" fontId="7" fillId="62" borderId="0" xfId="0" applyNumberFormat="1" applyFont="1" applyFill="1" applyAlignment="1">
      <alignment horizontal="left" vertical="top"/>
    </xf>
    <xf numFmtId="0" fontId="2" fillId="0" borderId="0" xfId="0" applyFont="1"/>
    <xf numFmtId="49" fontId="5" fillId="2" borderId="0" xfId="0" applyNumberFormat="1" applyFont="1" applyFill="1" applyAlignment="1">
      <alignment horizontal="left"/>
    </xf>
    <xf numFmtId="49" fontId="5" fillId="2" borderId="0" xfId="0" applyNumberFormat="1" applyFont="1" applyFill="1"/>
    <xf numFmtId="49" fontId="5" fillId="63" borderId="0" xfId="0" applyNumberFormat="1" applyFont="1" applyFill="1" applyAlignment="1">
      <alignment horizontal="left"/>
    </xf>
    <xf numFmtId="49" fontId="3" fillId="63" borderId="0" xfId="0" applyNumberFormat="1" applyFont="1" applyFill="1" applyAlignment="1">
      <alignment horizontal="left"/>
    </xf>
    <xf numFmtId="49" fontId="5" fillId="63" borderId="0" xfId="0" applyNumberFormat="1" applyFont="1" applyFill="1"/>
    <xf numFmtId="49" fontId="5" fillId="63" borderId="0" xfId="0" applyNumberFormat="1" applyFont="1" applyFill="1" applyAlignment="1">
      <alignment vertical="center"/>
    </xf>
    <xf numFmtId="49" fontId="90" fillId="2" borderId="0" xfId="0" applyNumberFormat="1" applyFont="1" applyFill="1" applyAlignment="1">
      <alignment horizontal="left"/>
    </xf>
    <xf numFmtId="49" fontId="82" fillId="2" borderId="0" xfId="0" applyNumberFormat="1" applyFont="1" applyFill="1" applyAlignment="1">
      <alignment horizontal="left"/>
    </xf>
    <xf numFmtId="49" fontId="3" fillId="2" borderId="0" xfId="0" quotePrefix="1" applyNumberFormat="1" applyFont="1" applyFill="1"/>
    <xf numFmtId="49" fontId="101" fillId="0" borderId="0" xfId="0" applyNumberFormat="1" applyFont="1" applyAlignment="1">
      <alignment horizontal="left"/>
    </xf>
    <xf numFmtId="49" fontId="101" fillId="2" borderId="0" xfId="0" applyNumberFormat="1" applyFont="1" applyFill="1" applyAlignment="1">
      <alignment horizontal="left"/>
    </xf>
    <xf numFmtId="49" fontId="102" fillId="0" borderId="0" xfId="0" applyNumberFormat="1" applyFont="1" applyAlignment="1">
      <alignment horizontal="left"/>
    </xf>
    <xf numFmtId="49" fontId="5" fillId="62" borderId="0" xfId="32717" applyNumberFormat="1" applyFont="1" applyFill="1"/>
    <xf numFmtId="49" fontId="75" fillId="0" borderId="0" xfId="0" applyNumberFormat="1" applyFont="1" applyAlignment="1">
      <alignment horizontal="left"/>
    </xf>
    <xf numFmtId="49" fontId="83" fillId="0" borderId="0" xfId="0" applyNumberFormat="1" applyFont="1"/>
    <xf numFmtId="49" fontId="83" fillId="0" borderId="0" xfId="32717" applyNumberFormat="1" applyFont="1"/>
    <xf numFmtId="49" fontId="84" fillId="0" borderId="0" xfId="32717" applyNumberFormat="1" applyFont="1"/>
    <xf numFmtId="49" fontId="86" fillId="0" borderId="0" xfId="0" applyNumberFormat="1" applyFont="1" applyAlignment="1">
      <alignment horizontal="left"/>
    </xf>
    <xf numFmtId="49" fontId="5" fillId="62" borderId="0" xfId="0" applyNumberFormat="1" applyFont="1" applyFill="1" applyAlignment="1">
      <alignment horizontal="left"/>
    </xf>
    <xf numFmtId="49" fontId="86" fillId="62" borderId="0" xfId="0" applyNumberFormat="1" applyFont="1" applyFill="1" applyAlignment="1">
      <alignment horizontal="left"/>
    </xf>
    <xf numFmtId="49" fontId="80" fillId="62" borderId="0" xfId="0" applyNumberFormat="1" applyFont="1" applyFill="1"/>
    <xf numFmtId="49" fontId="86" fillId="62" borderId="0" xfId="0" applyNumberFormat="1" applyFont="1" applyFill="1"/>
  </cellXfs>
  <cellStyles count="49644">
    <cellStyle name="20% - Accent1 2" xfId="582" xr:uid="{00000000-0005-0000-0000-00006E020000}"/>
    <cellStyle name="20% - Accent1 2 2" xfId="663" xr:uid="{00000000-0005-0000-0000-0000C7020000}"/>
    <cellStyle name="20% - Accent1 2 2 2" xfId="567" xr:uid="{00000000-0005-0000-0000-00005E020000}"/>
    <cellStyle name="20% - Accent1 2 2 2 2" xfId="265" xr:uid="{00000000-0005-0000-0000-00001A010000}"/>
    <cellStyle name="20% - Accent1 2 2 3" xfId="608" xr:uid="{00000000-0005-0000-0000-00008A020000}"/>
    <cellStyle name="20% - Accent1 2 3" xfId="667" xr:uid="{00000000-0005-0000-0000-0000CB020000}"/>
    <cellStyle name="20% - Accent1 2 3 2" xfId="682" xr:uid="{00000000-0005-0000-0000-0000DA020000}"/>
    <cellStyle name="20% - Accent1 2 4" xfId="692" xr:uid="{00000000-0005-0000-0000-0000E4020000}"/>
    <cellStyle name="20% - Accent1 2 4 2" xfId="212" xr:uid="{00000000-0005-0000-0000-0000E4000000}"/>
    <cellStyle name="20% - Accent1 2 5" xfId="159" xr:uid="{00000000-0005-0000-0000-0000AB000000}"/>
    <cellStyle name="20% - Accent1 2 6" xfId="706" xr:uid="{00000000-0005-0000-0000-0000F2020000}"/>
    <cellStyle name="20% - Accent1 2_ADAE" xfId="730" xr:uid="{00000000-0005-0000-0000-00000A030000}"/>
    <cellStyle name="20% - Accent1 3" xfId="492" xr:uid="{00000000-0005-0000-0000-00000C020000}"/>
    <cellStyle name="20% - Accent1 3 10" xfId="258" xr:uid="{00000000-0005-0000-0000-000013010000}"/>
    <cellStyle name="20% - Accent1 3 10 2" xfId="740" xr:uid="{00000000-0005-0000-0000-000014030000}"/>
    <cellStyle name="20% - Accent1 3 11" xfId="741" xr:uid="{00000000-0005-0000-0000-000015030000}"/>
    <cellStyle name="20% - Accent1 3 2" xfId="767" xr:uid="{00000000-0005-0000-0000-00002F030000}"/>
    <cellStyle name="20% - Accent1 3 2 10" xfId="783" xr:uid="{00000000-0005-0000-0000-00003F030000}"/>
    <cellStyle name="20% - Accent1 3 2 2" xfId="805" xr:uid="{00000000-0005-0000-0000-000055030000}"/>
    <cellStyle name="20% - Accent1 3 2 2 2" xfId="819" xr:uid="{00000000-0005-0000-0000-000063030000}"/>
    <cellStyle name="20% - Accent1 3 2 2 2 2" xfId="829" xr:uid="{00000000-0005-0000-0000-00006D030000}"/>
    <cellStyle name="20% - Accent1 3 2 2 3" xfId="861" xr:uid="{00000000-0005-0000-0000-00008D030000}"/>
    <cellStyle name="20% - Accent1 3 2 2 3 2" xfId="428" xr:uid="{00000000-0005-0000-0000-0000C7010000}"/>
    <cellStyle name="20% - Accent1 3 2 2 4" xfId="892" xr:uid="{00000000-0005-0000-0000-0000AC030000}"/>
    <cellStyle name="20% - Accent1 3 2 2 4 2" xfId="914" xr:uid="{00000000-0005-0000-0000-0000C2030000}"/>
    <cellStyle name="20% - Accent1 3 2 2 5" xfId="920" xr:uid="{00000000-0005-0000-0000-0000C8030000}"/>
    <cellStyle name="20% - Accent1 3 2 2 5 2" xfId="926" xr:uid="{00000000-0005-0000-0000-0000CE030000}"/>
    <cellStyle name="20% - Accent1 3 2 2 6" xfId="131" xr:uid="{00000000-0005-0000-0000-00008D000000}"/>
    <cellStyle name="20% - Accent1 3 2 2 6 2" xfId="933" xr:uid="{00000000-0005-0000-0000-0000D5030000}"/>
    <cellStyle name="20% - Accent1 3 2 2 7" xfId="942" xr:uid="{00000000-0005-0000-0000-0000DE030000}"/>
    <cellStyle name="20% - Accent1 3 2 2 7 2" xfId="950" xr:uid="{00000000-0005-0000-0000-0000E6030000}"/>
    <cellStyle name="20% - Accent1 3 2 2 8" xfId="968" xr:uid="{00000000-0005-0000-0000-0000F8030000}"/>
    <cellStyle name="20% - Accent1 3 2 2 8 2" xfId="26" xr:uid="{00000000-0005-0000-0000-00001C000000}"/>
    <cellStyle name="20% - Accent1 3 2 2 9" xfId="986" xr:uid="{00000000-0005-0000-0000-00000A040000}"/>
    <cellStyle name="20% - Accent1 3 2 3" xfId="1000" xr:uid="{00000000-0005-0000-0000-000018040000}"/>
    <cellStyle name="20% - Accent1 3 2 3 2" xfId="1010" xr:uid="{00000000-0005-0000-0000-000022040000}"/>
    <cellStyle name="20% - Accent1 3 2 4" xfId="1031" xr:uid="{00000000-0005-0000-0000-000037040000}"/>
    <cellStyle name="20% - Accent1 3 2 4 2" xfId="1035" xr:uid="{00000000-0005-0000-0000-00003B040000}"/>
    <cellStyle name="20% - Accent1 3 2 5" xfId="1037" xr:uid="{00000000-0005-0000-0000-00003D040000}"/>
    <cellStyle name="20% - Accent1 3 2 5 2" xfId="1048" xr:uid="{00000000-0005-0000-0000-000048040000}"/>
    <cellStyle name="20% - Accent1 3 2 6" xfId="1051" xr:uid="{00000000-0005-0000-0000-00004B040000}"/>
    <cellStyle name="20% - Accent1 3 2 6 2" xfId="1070" xr:uid="{00000000-0005-0000-0000-00005E040000}"/>
    <cellStyle name="20% - Accent1 3 2 7" xfId="1072" xr:uid="{00000000-0005-0000-0000-000060040000}"/>
    <cellStyle name="20% - Accent1 3 2 7 2" xfId="1082" xr:uid="{00000000-0005-0000-0000-00006A040000}"/>
    <cellStyle name="20% - Accent1 3 2 8" xfId="1088" xr:uid="{00000000-0005-0000-0000-000070040000}"/>
    <cellStyle name="20% - Accent1 3 2 8 2" xfId="1097" xr:uid="{00000000-0005-0000-0000-000079040000}"/>
    <cellStyle name="20% - Accent1 3 2 9" xfId="1110" xr:uid="{00000000-0005-0000-0000-000086040000}"/>
    <cellStyle name="20% - Accent1 3 2 9 2" xfId="1120" xr:uid="{00000000-0005-0000-0000-000090040000}"/>
    <cellStyle name="20% - Accent1 3 3" xfId="387" xr:uid="{00000000-0005-0000-0000-00009C010000}"/>
    <cellStyle name="20% - Accent1 3 3 2" xfId="1152" xr:uid="{00000000-0005-0000-0000-0000B0040000}"/>
    <cellStyle name="20% - Accent1 3 3 2 2" xfId="1176" xr:uid="{00000000-0005-0000-0000-0000C8040000}"/>
    <cellStyle name="20% - Accent1 3 3 3" xfId="1192" xr:uid="{00000000-0005-0000-0000-0000D8040000}"/>
    <cellStyle name="20% - Accent1 3 3 3 2" xfId="511" xr:uid="{00000000-0005-0000-0000-000020020000}"/>
    <cellStyle name="20% - Accent1 3 3 4" xfId="1215" xr:uid="{00000000-0005-0000-0000-0000EF040000}"/>
    <cellStyle name="20% - Accent1 3 3 4 2" xfId="1218" xr:uid="{00000000-0005-0000-0000-0000F2040000}"/>
    <cellStyle name="20% - Accent1 3 3 5" xfId="1224" xr:uid="{00000000-0005-0000-0000-0000F8040000}"/>
    <cellStyle name="20% - Accent1 3 3 5 2" xfId="1226" xr:uid="{00000000-0005-0000-0000-0000FA040000}"/>
    <cellStyle name="20% - Accent1 3 3 6" xfId="1229" xr:uid="{00000000-0005-0000-0000-0000FD040000}"/>
    <cellStyle name="20% - Accent1 3 3 6 2" xfId="1236" xr:uid="{00000000-0005-0000-0000-000004050000}"/>
    <cellStyle name="20% - Accent1 3 3 7" xfId="1238" xr:uid="{00000000-0005-0000-0000-000006050000}"/>
    <cellStyle name="20% - Accent1 3 3 7 2" xfId="1242" xr:uid="{00000000-0005-0000-0000-00000A050000}"/>
    <cellStyle name="20% - Accent1 3 3 8" xfId="1244" xr:uid="{00000000-0005-0000-0000-00000C050000}"/>
    <cellStyle name="20% - Accent1 3 3 8 2" xfId="1248" xr:uid="{00000000-0005-0000-0000-000010050000}"/>
    <cellStyle name="20% - Accent1 3 3 9" xfId="1250" xr:uid="{00000000-0005-0000-0000-000012050000}"/>
    <cellStyle name="20% - Accent1 3 4" xfId="1262" xr:uid="{00000000-0005-0000-0000-00001E050000}"/>
    <cellStyle name="20% - Accent1 3 4 2" xfId="539" xr:uid="{00000000-0005-0000-0000-00003F020000}"/>
    <cellStyle name="20% - Accent1 3 5" xfId="1274" xr:uid="{00000000-0005-0000-0000-00002A050000}"/>
    <cellStyle name="20% - Accent1 3 5 2" xfId="1278" xr:uid="{00000000-0005-0000-0000-00002E050000}"/>
    <cellStyle name="20% - Accent1 3 6" xfId="1285" xr:uid="{00000000-0005-0000-0000-000035050000}"/>
    <cellStyle name="20% - Accent1 3 6 2" xfId="1294" xr:uid="{00000000-0005-0000-0000-00003E050000}"/>
    <cellStyle name="20% - Accent1 3 7" xfId="1304" xr:uid="{00000000-0005-0000-0000-000048050000}"/>
    <cellStyle name="20% - Accent1 3 7 2" xfId="1316" xr:uid="{00000000-0005-0000-0000-000054050000}"/>
    <cellStyle name="20% - Accent1 3 8" xfId="1324" xr:uid="{00000000-0005-0000-0000-00005C050000}"/>
    <cellStyle name="20% - Accent1 3 8 2" xfId="1326" xr:uid="{00000000-0005-0000-0000-00005E050000}"/>
    <cellStyle name="20% - Accent1 3 9" xfId="1331" xr:uid="{00000000-0005-0000-0000-000063050000}"/>
    <cellStyle name="20% - Accent1 3 9 2" xfId="1337" xr:uid="{00000000-0005-0000-0000-000069050000}"/>
    <cellStyle name="20% - Accent1 4" xfId="1350" xr:uid="{00000000-0005-0000-0000-000076050000}"/>
    <cellStyle name="20% - Accent1 4 2" xfId="1355" xr:uid="{00000000-0005-0000-0000-00007B050000}"/>
    <cellStyle name="20% - Accent1 4 2 2" xfId="1368" xr:uid="{00000000-0005-0000-0000-000088050000}"/>
    <cellStyle name="20% - Accent1 4 3" xfId="1375" xr:uid="{00000000-0005-0000-0000-00008F050000}"/>
    <cellStyle name="20% - Accent1 4 3 2" xfId="1395" xr:uid="{00000000-0005-0000-0000-0000A3050000}"/>
    <cellStyle name="20% - Accent1 4 4" xfId="1409" xr:uid="{00000000-0005-0000-0000-0000B1050000}"/>
    <cellStyle name="20% - Accent1 4 4 2" xfId="1425" xr:uid="{00000000-0005-0000-0000-0000C1050000}"/>
    <cellStyle name="20% - Accent1 4 5" xfId="1439" xr:uid="{00000000-0005-0000-0000-0000CF050000}"/>
    <cellStyle name="20% - Accent1 4 5 2" xfId="1452" xr:uid="{00000000-0005-0000-0000-0000DC050000}"/>
    <cellStyle name="20% - Accent1 4 6" xfId="1464" xr:uid="{00000000-0005-0000-0000-0000E8050000}"/>
    <cellStyle name="20% - Accent1 4 6 2" xfId="1476" xr:uid="{00000000-0005-0000-0000-0000F4050000}"/>
    <cellStyle name="20% - Accent1 4 7" xfId="1485" xr:uid="{00000000-0005-0000-0000-0000FD050000}"/>
    <cellStyle name="20% - Accent1 4 7 2" xfId="1510" xr:uid="{00000000-0005-0000-0000-000016060000}"/>
    <cellStyle name="20% - Accent1 4 8" xfId="445" xr:uid="{00000000-0005-0000-0000-0000DA010000}"/>
    <cellStyle name="20% - Accent1 4 9" xfId="1524" xr:uid="{00000000-0005-0000-0000-000024060000}"/>
    <cellStyle name="20% - Accent1 5" xfId="1539" xr:uid="{00000000-0005-0000-0000-000033060000}"/>
    <cellStyle name="20% - Accent1 5 2" xfId="1542" xr:uid="{00000000-0005-0000-0000-000036060000}"/>
    <cellStyle name="20% - Accent1 6" xfId="1552" xr:uid="{00000000-0005-0000-0000-000040060000}"/>
    <cellStyle name="20% - Accent1 6 2" xfId="1567" xr:uid="{00000000-0005-0000-0000-00004F060000}"/>
    <cellStyle name="20% - Accent1 7" xfId="1579" xr:uid="{00000000-0005-0000-0000-00005B060000}"/>
    <cellStyle name="20% - Accent1 7 2" xfId="1594" xr:uid="{00000000-0005-0000-0000-00006A060000}"/>
    <cellStyle name="20% - Accent1 8" xfId="1614" xr:uid="{00000000-0005-0000-0000-00007E060000}"/>
    <cellStyle name="20% - Accent1 8 2" xfId="1639" xr:uid="{00000000-0005-0000-0000-000097060000}"/>
    <cellStyle name="20% - Accent1 9" xfId="1663" xr:uid="{00000000-0005-0000-0000-0000AF060000}"/>
    <cellStyle name="20% - Accent1 9 2" xfId="1061" xr:uid="{00000000-0005-0000-0000-000055040000}"/>
    <cellStyle name="20% - Accent2 2" xfId="1682" xr:uid="{00000000-0005-0000-0000-0000C2060000}"/>
    <cellStyle name="20% - Accent2 2 2" xfId="1695" xr:uid="{00000000-0005-0000-0000-0000CF060000}"/>
    <cellStyle name="20% - Accent2 2 2 2" xfId="1706" xr:uid="{00000000-0005-0000-0000-0000DA060000}"/>
    <cellStyle name="20% - Accent2 2 2 2 2" xfId="283" xr:uid="{00000000-0005-0000-0000-00002E010000}"/>
    <cellStyle name="20% - Accent2 2 2 3" xfId="1708" xr:uid="{00000000-0005-0000-0000-0000DC060000}"/>
    <cellStyle name="20% - Accent2 2 3" xfId="1722" xr:uid="{00000000-0005-0000-0000-0000EA060000}"/>
    <cellStyle name="20% - Accent2 2 3 2" xfId="1740" xr:uid="{00000000-0005-0000-0000-0000FC060000}"/>
    <cellStyle name="20% - Accent2 2 4" xfId="1755" xr:uid="{00000000-0005-0000-0000-00000B070000}"/>
    <cellStyle name="20% - Accent2 2 4 2" xfId="1765" xr:uid="{00000000-0005-0000-0000-000015070000}"/>
    <cellStyle name="20% - Accent2 2 5" xfId="1778" xr:uid="{00000000-0005-0000-0000-000022070000}"/>
    <cellStyle name="20% - Accent2 2 6" xfId="50" xr:uid="{00000000-0005-0000-0000-000035000000}"/>
    <cellStyle name="20% - Accent2 2_ADAE" xfId="1783" xr:uid="{00000000-0005-0000-0000-000027070000}"/>
    <cellStyle name="20% - Accent2 3" xfId="1795" xr:uid="{00000000-0005-0000-0000-000033070000}"/>
    <cellStyle name="20% - Accent2 3 10" xfId="759" xr:uid="{00000000-0005-0000-0000-000027030000}"/>
    <cellStyle name="20% - Accent2 3 10 2" xfId="787" xr:uid="{00000000-0005-0000-0000-000043030000}"/>
    <cellStyle name="20% - Accent2 3 11" xfId="379" xr:uid="{00000000-0005-0000-0000-000094010000}"/>
    <cellStyle name="20% - Accent2 3 2" xfId="349" xr:uid="{00000000-0005-0000-0000-000074010000}"/>
    <cellStyle name="20% - Accent2 3 2 10" xfId="1800" xr:uid="{00000000-0005-0000-0000-000038070000}"/>
    <cellStyle name="20% - Accent2 3 2 2" xfId="541" xr:uid="{00000000-0005-0000-0000-000041020000}"/>
    <cellStyle name="20% - Accent2 3 2 2 2" xfId="1805" xr:uid="{00000000-0005-0000-0000-00003D070000}"/>
    <cellStyle name="20% - Accent2 3 2 2 2 2" xfId="1810" xr:uid="{00000000-0005-0000-0000-000042070000}"/>
    <cellStyle name="20% - Accent2 3 2 2 3" xfId="1683" xr:uid="{00000000-0005-0000-0000-0000C3060000}"/>
    <cellStyle name="20% - Accent2 3 2 2 3 2" xfId="1700" xr:uid="{00000000-0005-0000-0000-0000D4060000}"/>
    <cellStyle name="20% - Accent2 3 2 2 4" xfId="1796" xr:uid="{00000000-0005-0000-0000-000034070000}"/>
    <cellStyle name="20% - Accent2 3 2 2 4 2" xfId="367" xr:uid="{00000000-0005-0000-0000-000087010000}"/>
    <cellStyle name="20% - Accent2 3 2 2 5" xfId="1828" xr:uid="{00000000-0005-0000-0000-000054070000}"/>
    <cellStyle name="20% - Accent2 3 2 2 5 2" xfId="1838" xr:uid="{00000000-0005-0000-0000-00005E070000}"/>
    <cellStyle name="20% - Accent2 3 2 2 6" xfId="1849" xr:uid="{00000000-0005-0000-0000-000069070000}"/>
    <cellStyle name="20% - Accent2 3 2 2 6 2" xfId="1625" xr:uid="{00000000-0005-0000-0000-000089060000}"/>
    <cellStyle name="20% - Accent2 3 2 2 7" xfId="1876" xr:uid="{00000000-0005-0000-0000-000084070000}"/>
    <cellStyle name="20% - Accent2 3 2 2 7 2" xfId="1926" xr:uid="{00000000-0005-0000-0000-0000B6070000}"/>
    <cellStyle name="20% - Accent2 3 2 2 8" xfId="1952" xr:uid="{00000000-0005-0000-0000-0000D0070000}"/>
    <cellStyle name="20% - Accent2 3 2 2 8 2" xfId="882" xr:uid="{00000000-0005-0000-0000-0000A2030000}"/>
    <cellStyle name="20% - Accent2 3 2 2 9" xfId="1928" xr:uid="{00000000-0005-0000-0000-0000B8070000}"/>
    <cellStyle name="20% - Accent2 3 2 3" xfId="13" xr:uid="{00000000-0005-0000-0000-00000E000000}"/>
    <cellStyle name="20% - Accent2 3 2 3 2" xfId="1953" xr:uid="{00000000-0005-0000-0000-0000D1070000}"/>
    <cellStyle name="20% - Accent2 3 2 4" xfId="597" xr:uid="{00000000-0005-0000-0000-00007E020000}"/>
    <cellStyle name="20% - Accent2 3 2 4 2" xfId="1958" xr:uid="{00000000-0005-0000-0000-0000D6070000}"/>
    <cellStyle name="20% - Accent2 3 2 5" xfId="504" xr:uid="{00000000-0005-0000-0000-000018020000}"/>
    <cellStyle name="20% - Accent2 3 2 5 2" xfId="1968" xr:uid="{00000000-0005-0000-0000-0000E0070000}"/>
    <cellStyle name="20% - Accent2 3 2 6" xfId="403" xr:uid="{00000000-0005-0000-0000-0000AD010000}"/>
    <cellStyle name="20% - Accent2 3 2 6 2" xfId="1993" xr:uid="{00000000-0005-0000-0000-0000F9070000}"/>
    <cellStyle name="20% - Accent2 3 2 7" xfId="2009" xr:uid="{00000000-0005-0000-0000-000009080000}"/>
    <cellStyle name="20% - Accent2 3 2 7 2" xfId="2022" xr:uid="{00000000-0005-0000-0000-000016080000}"/>
    <cellStyle name="20% - Accent2 3 2 8" xfId="2035" xr:uid="{00000000-0005-0000-0000-000023080000}"/>
    <cellStyle name="20% - Accent2 3 2 8 2" xfId="2045" xr:uid="{00000000-0005-0000-0000-00002D080000}"/>
    <cellStyle name="20% - Accent2 3 2 9" xfId="2055" xr:uid="{00000000-0005-0000-0000-000037080000}"/>
    <cellStyle name="20% - Accent2 3 2 9 2" xfId="2076" xr:uid="{00000000-0005-0000-0000-00004C080000}"/>
    <cellStyle name="20% - Accent2 3 3" xfId="2082" xr:uid="{00000000-0005-0000-0000-000052080000}"/>
    <cellStyle name="20% - Accent2 3 3 2" xfId="2106" xr:uid="{00000000-0005-0000-0000-00006A080000}"/>
    <cellStyle name="20% - Accent2 3 3 2 2" xfId="2123" xr:uid="{00000000-0005-0000-0000-00007B080000}"/>
    <cellStyle name="20% - Accent2 3 3 3" xfId="2127" xr:uid="{00000000-0005-0000-0000-00007F080000}"/>
    <cellStyle name="20% - Accent2 3 3 3 2" xfId="2130" xr:uid="{00000000-0005-0000-0000-000082080000}"/>
    <cellStyle name="20% - Accent2 3 3 4" xfId="2133" xr:uid="{00000000-0005-0000-0000-000085080000}"/>
    <cellStyle name="20% - Accent2 3 3 4 2" xfId="2140" xr:uid="{00000000-0005-0000-0000-00008C080000}"/>
    <cellStyle name="20% - Accent2 3 3 5" xfId="2152" xr:uid="{00000000-0005-0000-0000-000098080000}"/>
    <cellStyle name="20% - Accent2 3 3 5 2" xfId="2160" xr:uid="{00000000-0005-0000-0000-0000A0080000}"/>
    <cellStyle name="20% - Accent2 3 3 6" xfId="2174" xr:uid="{00000000-0005-0000-0000-0000AE080000}"/>
    <cellStyle name="20% - Accent2 3 3 6 2" xfId="2206" xr:uid="{00000000-0005-0000-0000-0000CE080000}"/>
    <cellStyle name="20% - Accent2 3 3 7" xfId="2212" xr:uid="{00000000-0005-0000-0000-0000D4080000}"/>
    <cellStyle name="20% - Accent2 3 3 7 2" xfId="2226" xr:uid="{00000000-0005-0000-0000-0000E2080000}"/>
    <cellStyle name="20% - Accent2 3 3 8" xfId="2233" xr:uid="{00000000-0005-0000-0000-0000E9080000}"/>
    <cellStyle name="20% - Accent2 3 3 8 2" xfId="2244" xr:uid="{00000000-0005-0000-0000-0000F4080000}"/>
    <cellStyle name="20% - Accent2 3 3 9" xfId="2257" xr:uid="{00000000-0005-0000-0000-000001090000}"/>
    <cellStyle name="20% - Accent2 3 4" xfId="2260" xr:uid="{00000000-0005-0000-0000-000004090000}"/>
    <cellStyle name="20% - Accent2 3 4 2" xfId="2284" xr:uid="{00000000-0005-0000-0000-00001C090000}"/>
    <cellStyle name="20% - Accent2 3 5" xfId="2295" xr:uid="{00000000-0005-0000-0000-000027090000}"/>
    <cellStyle name="20% - Accent2 3 5 2" xfId="2300" xr:uid="{00000000-0005-0000-0000-00002C090000}"/>
    <cellStyle name="20% - Accent2 3 6" xfId="2310" xr:uid="{00000000-0005-0000-0000-000036090000}"/>
    <cellStyle name="20% - Accent2 3 6 2" xfId="2322" xr:uid="{00000000-0005-0000-0000-000042090000}"/>
    <cellStyle name="20% - Accent2 3 7" xfId="2325" xr:uid="{00000000-0005-0000-0000-000045090000}"/>
    <cellStyle name="20% - Accent2 3 7 2" xfId="2339" xr:uid="{00000000-0005-0000-0000-000053090000}"/>
    <cellStyle name="20% - Accent2 3 8" xfId="2357" xr:uid="{00000000-0005-0000-0000-000065090000}"/>
    <cellStyle name="20% - Accent2 3 8 2" xfId="2362" xr:uid="{00000000-0005-0000-0000-00006A090000}"/>
    <cellStyle name="20% - Accent2 3 9" xfId="2370" xr:uid="{00000000-0005-0000-0000-000072090000}"/>
    <cellStyle name="20% - Accent2 3 9 2" xfId="2392" xr:uid="{00000000-0005-0000-0000-000088090000}"/>
    <cellStyle name="20% - Accent2 4" xfId="1827" xr:uid="{00000000-0005-0000-0000-000053070000}"/>
    <cellStyle name="20% - Accent2 4 2" xfId="1836" xr:uid="{00000000-0005-0000-0000-00005C070000}"/>
    <cellStyle name="20% - Accent2 4 2 2" xfId="2405" xr:uid="{00000000-0005-0000-0000-000095090000}"/>
    <cellStyle name="20% - Accent2 4 3" xfId="2412" xr:uid="{00000000-0005-0000-0000-00009C090000}"/>
    <cellStyle name="20% - Accent2 4 3 2" xfId="2422" xr:uid="{00000000-0005-0000-0000-0000A6090000}"/>
    <cellStyle name="20% - Accent2 4 4" xfId="2429" xr:uid="{00000000-0005-0000-0000-0000AD090000}"/>
    <cellStyle name="20% - Accent2 4 4 2" xfId="2434" xr:uid="{00000000-0005-0000-0000-0000B2090000}"/>
    <cellStyle name="20% - Accent2 4 5" xfId="2440" xr:uid="{00000000-0005-0000-0000-0000B8090000}"/>
    <cellStyle name="20% - Accent2 4 5 2" xfId="2445" xr:uid="{00000000-0005-0000-0000-0000BD090000}"/>
    <cellStyle name="20% - Accent2 4 6" xfId="2452" xr:uid="{00000000-0005-0000-0000-0000C4090000}"/>
    <cellStyle name="20% - Accent2 4 6 2" xfId="2456" xr:uid="{00000000-0005-0000-0000-0000C8090000}"/>
    <cellStyle name="20% - Accent2 4 7" xfId="2465" xr:uid="{00000000-0005-0000-0000-0000D1090000}"/>
    <cellStyle name="20% - Accent2 4 7 2" xfId="2472" xr:uid="{00000000-0005-0000-0000-0000D8090000}"/>
    <cellStyle name="20% - Accent2 4 8" xfId="2486" xr:uid="{00000000-0005-0000-0000-0000E6090000}"/>
    <cellStyle name="20% - Accent2 4 9" xfId="2499" xr:uid="{00000000-0005-0000-0000-0000F3090000}"/>
    <cellStyle name="20% - Accent2 5" xfId="1848" xr:uid="{00000000-0005-0000-0000-000068070000}"/>
    <cellStyle name="20% - Accent2 5 2" xfId="1610" xr:uid="{00000000-0005-0000-0000-00007A060000}"/>
    <cellStyle name="20% - Accent2 6" xfId="1874" xr:uid="{00000000-0005-0000-0000-000082070000}"/>
    <cellStyle name="20% - Accent2 6 2" xfId="1920" xr:uid="{00000000-0005-0000-0000-0000B0070000}"/>
    <cellStyle name="20% - Accent2 7" xfId="1950" xr:uid="{00000000-0005-0000-0000-0000CE070000}"/>
    <cellStyle name="20% - Accent2 7 2" xfId="863" xr:uid="{00000000-0005-0000-0000-00008F030000}"/>
    <cellStyle name="20% - Accent2 8" xfId="1902" xr:uid="{00000000-0005-0000-0000-00009E070000}"/>
    <cellStyle name="20% - Accent2 8 2" xfId="2507" xr:uid="{00000000-0005-0000-0000-0000FB090000}"/>
    <cellStyle name="20% - Accent2 9" xfId="2540" xr:uid="{00000000-0005-0000-0000-00001C0A0000}"/>
    <cellStyle name="20% - Accent2 9 2" xfId="2561" xr:uid="{00000000-0005-0000-0000-0000310A0000}"/>
    <cellStyle name="20% - Accent3 2" xfId="480" xr:uid="{00000000-0005-0000-0000-0000FF010000}"/>
    <cellStyle name="20% - Accent3 2 2" xfId="659" xr:uid="{00000000-0005-0000-0000-0000C2020000}"/>
    <cellStyle name="20% - Accent3 2 2 2" xfId="2574" xr:uid="{00000000-0005-0000-0000-00003E0A0000}"/>
    <cellStyle name="20% - Accent3 2 2 2 2" xfId="2580" xr:uid="{00000000-0005-0000-0000-0000440A0000}"/>
    <cellStyle name="20% - Accent3 2 2 3" xfId="2585" xr:uid="{00000000-0005-0000-0000-0000490A0000}"/>
    <cellStyle name="20% - Accent3 2 3" xfId="2595" xr:uid="{00000000-0005-0000-0000-0000530A0000}"/>
    <cellStyle name="20% - Accent3 2 3 2" xfId="2611" xr:uid="{00000000-0005-0000-0000-0000630A0000}"/>
    <cellStyle name="20% - Accent3 2 4" xfId="2623" xr:uid="{00000000-0005-0000-0000-00006F0A0000}"/>
    <cellStyle name="20% - Accent3 2 4 2" xfId="2627" xr:uid="{00000000-0005-0000-0000-0000730A0000}"/>
    <cellStyle name="20% - Accent3 2 5" xfId="2634" xr:uid="{00000000-0005-0000-0000-00007A0A0000}"/>
    <cellStyle name="20% - Accent3 2 6" xfId="2640" xr:uid="{00000000-0005-0000-0000-0000800A0000}"/>
    <cellStyle name="20% - Accent3 2_ADAE" xfId="2655" xr:uid="{00000000-0005-0000-0000-00008F0A0000}"/>
    <cellStyle name="20% - Accent3 3" xfId="2661" xr:uid="{00000000-0005-0000-0000-0000950A0000}"/>
    <cellStyle name="20% - Accent3 3 10" xfId="2681" xr:uid="{00000000-0005-0000-0000-0000A90A0000}"/>
    <cellStyle name="20% - Accent3 3 10 2" xfId="138" xr:uid="{00000000-0005-0000-0000-000095000000}"/>
    <cellStyle name="20% - Accent3 3 11" xfId="455" xr:uid="{00000000-0005-0000-0000-0000E4010000}"/>
    <cellStyle name="20% - Accent3 3 2" xfId="2704" xr:uid="{00000000-0005-0000-0000-0000C00A0000}"/>
    <cellStyle name="20% - Accent3 3 2 10" xfId="2711" xr:uid="{00000000-0005-0000-0000-0000C70A0000}"/>
    <cellStyle name="20% - Accent3 3 2 2" xfId="1654" xr:uid="{00000000-0005-0000-0000-0000A6060000}"/>
    <cellStyle name="20% - Accent3 3 2 2 2" xfId="1054" xr:uid="{00000000-0005-0000-0000-00004E040000}"/>
    <cellStyle name="20% - Accent3 3 2 2 2 2" xfId="1065" xr:uid="{00000000-0005-0000-0000-000059040000}"/>
    <cellStyle name="20% - Accent3 3 2 2 3" xfId="1075" xr:uid="{00000000-0005-0000-0000-000063040000}"/>
    <cellStyle name="20% - Accent3 3 2 2 3 2" xfId="1087" xr:uid="{00000000-0005-0000-0000-00006F040000}"/>
    <cellStyle name="20% - Accent3 3 2 2 4" xfId="1090" xr:uid="{00000000-0005-0000-0000-000072040000}"/>
    <cellStyle name="20% - Accent3 3 2 2 4 2" xfId="1109" xr:uid="{00000000-0005-0000-0000-000085040000}"/>
    <cellStyle name="20% - Accent3 3 2 2 5" xfId="1112" xr:uid="{00000000-0005-0000-0000-000088040000}"/>
    <cellStyle name="20% - Accent3 3 2 2 5 2" xfId="1119" xr:uid="{00000000-0005-0000-0000-00008F040000}"/>
    <cellStyle name="20% - Accent3 3 2 2 6" xfId="2712" xr:uid="{00000000-0005-0000-0000-0000C80A0000}"/>
    <cellStyle name="20% - Accent3 3 2 2 6 2" xfId="15" xr:uid="{00000000-0005-0000-0000-000010000000}"/>
    <cellStyle name="20% - Accent3 3 2 2 7" xfId="2721" xr:uid="{00000000-0005-0000-0000-0000D10A0000}"/>
    <cellStyle name="20% - Accent3 3 2 2 7 2" xfId="2129" xr:uid="{00000000-0005-0000-0000-000081080000}"/>
    <cellStyle name="20% - Accent3 3 2 2 8" xfId="2734" xr:uid="{00000000-0005-0000-0000-0000DE0A0000}"/>
    <cellStyle name="20% - Accent3 3 2 2 8 2" xfId="2739" xr:uid="{00000000-0005-0000-0000-0000E30A0000}"/>
    <cellStyle name="20% - Accent3 3 2 2 9" xfId="584" xr:uid="{00000000-0005-0000-0000-000070020000}"/>
    <cellStyle name="20% - Accent3 3 2 3" xfId="778" xr:uid="{00000000-0005-0000-0000-00003A030000}"/>
    <cellStyle name="20% - Accent3 3 2 3 2" xfId="1234" xr:uid="{00000000-0005-0000-0000-000002050000}"/>
    <cellStyle name="20% - Accent3 3 2 4" xfId="2749" xr:uid="{00000000-0005-0000-0000-0000ED0A0000}"/>
    <cellStyle name="20% - Accent3 3 2 4 2" xfId="627" xr:uid="{00000000-0005-0000-0000-00009E020000}"/>
    <cellStyle name="20% - Accent3 3 2 5" xfId="2755" xr:uid="{00000000-0005-0000-0000-0000F30A0000}"/>
    <cellStyle name="20% - Accent3 3 2 5 2" xfId="2766" xr:uid="{00000000-0005-0000-0000-0000FE0A0000}"/>
    <cellStyle name="20% - Accent3 3 2 6" xfId="2772" xr:uid="{00000000-0005-0000-0000-0000040B0000}"/>
    <cellStyle name="20% - Accent3 3 2 6 2" xfId="2781" xr:uid="{00000000-0005-0000-0000-00000D0B0000}"/>
    <cellStyle name="20% - Accent3 3 2 7" xfId="2795" xr:uid="{00000000-0005-0000-0000-00001B0B0000}"/>
    <cellStyle name="20% - Accent3 3 2 7 2" xfId="2803" xr:uid="{00000000-0005-0000-0000-0000230B0000}"/>
    <cellStyle name="20% - Accent3 3 2 8" xfId="2814" xr:uid="{00000000-0005-0000-0000-00002E0B0000}"/>
    <cellStyle name="20% - Accent3 3 2 8 2" xfId="2825" xr:uid="{00000000-0005-0000-0000-0000390B0000}"/>
    <cellStyle name="20% - Accent3 3 2 9" xfId="1137" xr:uid="{00000000-0005-0000-0000-0000A1040000}"/>
    <cellStyle name="20% - Accent3 3 2 9 2" xfId="1160" xr:uid="{00000000-0005-0000-0000-0000B8040000}"/>
    <cellStyle name="20% - Accent3 3 3" xfId="2842" xr:uid="{00000000-0005-0000-0000-00004A0B0000}"/>
    <cellStyle name="20% - Accent3 3 3 2" xfId="2544" xr:uid="{00000000-0005-0000-0000-0000200A0000}"/>
    <cellStyle name="20% - Accent3 3 3 2 2" xfId="2568" xr:uid="{00000000-0005-0000-0000-0000380A0000}"/>
    <cellStyle name="20% - Accent3 3 3 3" xfId="2848" xr:uid="{00000000-0005-0000-0000-0000500B0000}"/>
    <cellStyle name="20% - Accent3 3 3 3 2" xfId="2851" xr:uid="{00000000-0005-0000-0000-0000530B0000}"/>
    <cellStyle name="20% - Accent3 3 3 4" xfId="2854" xr:uid="{00000000-0005-0000-0000-0000560B0000}"/>
    <cellStyle name="20% - Accent3 3 3 4 2" xfId="2856" xr:uid="{00000000-0005-0000-0000-0000580B0000}"/>
    <cellStyle name="20% - Accent3 3 3 5" xfId="2859" xr:uid="{00000000-0005-0000-0000-00005B0B0000}"/>
    <cellStyle name="20% - Accent3 3 3 5 2" xfId="2861" xr:uid="{00000000-0005-0000-0000-00005D0B0000}"/>
    <cellStyle name="20% - Accent3 3 3 6" xfId="2863" xr:uid="{00000000-0005-0000-0000-00005F0B0000}"/>
    <cellStyle name="20% - Accent3 3 3 6 2" xfId="2865" xr:uid="{00000000-0005-0000-0000-0000610B0000}"/>
    <cellStyle name="20% - Accent3 3 3 7" xfId="2871" xr:uid="{00000000-0005-0000-0000-0000670B0000}"/>
    <cellStyle name="20% - Accent3 3 3 7 2" xfId="2874" xr:uid="{00000000-0005-0000-0000-00006A0B0000}"/>
    <cellStyle name="20% - Accent3 3 3 8" xfId="2880" xr:uid="{00000000-0005-0000-0000-0000700B0000}"/>
    <cellStyle name="20% - Accent3 3 3 8 2" xfId="593" xr:uid="{00000000-0005-0000-0000-00007A020000}"/>
    <cellStyle name="20% - Accent3 3 3 9" xfId="525" xr:uid="{00000000-0005-0000-0000-000030020000}"/>
    <cellStyle name="20% - Accent3 3 4" xfId="2888" xr:uid="{00000000-0005-0000-0000-0000780B0000}"/>
    <cellStyle name="20% - Accent3 3 4 2" xfId="897" xr:uid="{00000000-0005-0000-0000-0000B1030000}"/>
    <cellStyle name="20% - Accent3 3 5" xfId="2889" xr:uid="{00000000-0005-0000-0000-0000790B0000}"/>
    <cellStyle name="20% - Accent3 3 5 2" xfId="2906" xr:uid="{00000000-0005-0000-0000-00008A0B0000}"/>
    <cellStyle name="20% - Accent3 3 6" xfId="2911" xr:uid="{00000000-0005-0000-0000-00008F0B0000}"/>
    <cellStyle name="20% - Accent3 3 6 2" xfId="2917" xr:uid="{00000000-0005-0000-0000-0000950B0000}"/>
    <cellStyle name="20% - Accent3 3 7" xfId="1963" xr:uid="{00000000-0005-0000-0000-0000DB070000}"/>
    <cellStyle name="20% - Accent3 3 7 2" xfId="2926" xr:uid="{00000000-0005-0000-0000-00009E0B0000}"/>
    <cellStyle name="20% - Accent3 3 8" xfId="2954" xr:uid="{00000000-0005-0000-0000-0000BA0B0000}"/>
    <cellStyle name="20% - Accent3 3 8 2" xfId="2967" xr:uid="{00000000-0005-0000-0000-0000C70B0000}"/>
    <cellStyle name="20% - Accent3 3 9" xfId="2977" xr:uid="{00000000-0005-0000-0000-0000D10B0000}"/>
    <cellStyle name="20% - Accent3 3 9 2" xfId="244" xr:uid="{00000000-0005-0000-0000-000005010000}"/>
    <cellStyle name="20% - Accent3 4" xfId="2985" xr:uid="{00000000-0005-0000-0000-0000D90B0000}"/>
    <cellStyle name="20% - Accent3 4 2" xfId="718" xr:uid="{00000000-0005-0000-0000-0000FE020000}"/>
    <cellStyle name="20% - Accent3 4 2 2" xfId="2990" xr:uid="{00000000-0005-0000-0000-0000DE0B0000}"/>
    <cellStyle name="20% - Accent3 4 3" xfId="3002" xr:uid="{00000000-0005-0000-0000-0000EA0B0000}"/>
    <cellStyle name="20% - Accent3 4 3 2" xfId="3007" xr:uid="{00000000-0005-0000-0000-0000EF0B0000}"/>
    <cellStyle name="20% - Accent3 4 4" xfId="3017" xr:uid="{00000000-0005-0000-0000-0000F90B0000}"/>
    <cellStyle name="20% - Accent3 4 4 2" xfId="3022" xr:uid="{00000000-0005-0000-0000-0000FE0B0000}"/>
    <cellStyle name="20% - Accent3 4 5" xfId="65" xr:uid="{00000000-0005-0000-0000-000045000000}"/>
    <cellStyle name="20% - Accent3 4 5 2" xfId="560" xr:uid="{00000000-0005-0000-0000-000056020000}"/>
    <cellStyle name="20% - Accent3 4 6" xfId="2709" xr:uid="{00000000-0005-0000-0000-0000C50A0000}"/>
    <cellStyle name="20% - Accent3 4 6 2" xfId="3027" xr:uid="{00000000-0005-0000-0000-0000030C0000}"/>
    <cellStyle name="20% - Accent3 4 7" xfId="1971" xr:uid="{00000000-0005-0000-0000-0000E3070000}"/>
    <cellStyle name="20% - Accent3 4 7 2" xfId="3038" xr:uid="{00000000-0005-0000-0000-00000E0C0000}"/>
    <cellStyle name="20% - Accent3 4 8" xfId="3058" xr:uid="{00000000-0005-0000-0000-0000220C0000}"/>
    <cellStyle name="20% - Accent3 4 9" xfId="3078" xr:uid="{00000000-0005-0000-0000-0000360C0000}"/>
    <cellStyle name="20% - Accent3 5" xfId="3091" xr:uid="{00000000-0005-0000-0000-0000430C0000}"/>
    <cellStyle name="20% - Accent3 5 2" xfId="3108" xr:uid="{00000000-0005-0000-0000-0000540C0000}"/>
    <cellStyle name="20% - Accent3 6" xfId="3113" xr:uid="{00000000-0005-0000-0000-0000590C0000}"/>
    <cellStyle name="20% - Accent3 6 2" xfId="3130" xr:uid="{00000000-0005-0000-0000-00006A0C0000}"/>
    <cellStyle name="20% - Accent3 7" xfId="823" xr:uid="{00000000-0005-0000-0000-000067030000}"/>
    <cellStyle name="20% - Accent3 7 2" xfId="840" xr:uid="{00000000-0005-0000-0000-000078030000}"/>
    <cellStyle name="20% - Accent3 8" xfId="848" xr:uid="{00000000-0005-0000-0000-000080030000}"/>
    <cellStyle name="20% - Accent3 8 2" xfId="412" xr:uid="{00000000-0005-0000-0000-0000B7010000}"/>
    <cellStyle name="20% - Accent3 9" xfId="885" xr:uid="{00000000-0005-0000-0000-0000A5030000}"/>
    <cellStyle name="20% - Accent3 9 2" xfId="903" xr:uid="{00000000-0005-0000-0000-0000B7030000}"/>
    <cellStyle name="20% - Accent4 2" xfId="2930" xr:uid="{00000000-0005-0000-0000-0000A20B0000}"/>
    <cellStyle name="20% - Accent4 2 2" xfId="2960" xr:uid="{00000000-0005-0000-0000-0000C00B0000}"/>
    <cellStyle name="20% - Accent4 2 2 2" xfId="3131" xr:uid="{00000000-0005-0000-0000-00006B0C0000}"/>
    <cellStyle name="20% - Accent4 2 2 2 2" xfId="3145" xr:uid="{00000000-0005-0000-0000-0000790C0000}"/>
    <cellStyle name="20% - Accent4 2 2 3" xfId="3159" xr:uid="{00000000-0005-0000-0000-0000870C0000}"/>
    <cellStyle name="20% - Accent4 2 3" xfId="3167" xr:uid="{00000000-0005-0000-0000-00008F0C0000}"/>
    <cellStyle name="20% - Accent4 2 3 2" xfId="2641" xr:uid="{00000000-0005-0000-0000-0000810A0000}"/>
    <cellStyle name="20% - Accent4 2 4" xfId="3133" xr:uid="{00000000-0005-0000-0000-00006D0C0000}"/>
    <cellStyle name="20% - Accent4 2 4 2" xfId="3152" xr:uid="{00000000-0005-0000-0000-0000800C0000}"/>
    <cellStyle name="20% - Accent4 2 5" xfId="3160" xr:uid="{00000000-0005-0000-0000-0000880C0000}"/>
    <cellStyle name="20% - Accent4 2 6" xfId="3177" xr:uid="{00000000-0005-0000-0000-0000990C0000}"/>
    <cellStyle name="20% - Accent4 2_ADAE" xfId="3194" xr:uid="{00000000-0005-0000-0000-0000AA0C0000}"/>
    <cellStyle name="20% - Accent4 3" xfId="2971" xr:uid="{00000000-0005-0000-0000-0000CB0B0000}"/>
    <cellStyle name="20% - Accent4 3 10" xfId="3195" xr:uid="{00000000-0005-0000-0000-0000AB0C0000}"/>
    <cellStyle name="20% - Accent4 3 10 2" xfId="3210" xr:uid="{00000000-0005-0000-0000-0000BA0C0000}"/>
    <cellStyle name="20% - Accent4 3 11" xfId="3216" xr:uid="{00000000-0005-0000-0000-0000C00C0000}"/>
    <cellStyle name="20% - Accent4 3 2" xfId="236" xr:uid="{00000000-0005-0000-0000-0000FD000000}"/>
    <cellStyle name="20% - Accent4 3 2 10" xfId="3226" xr:uid="{00000000-0005-0000-0000-0000CA0C0000}"/>
    <cellStyle name="20% - Accent4 3 2 2" xfId="302" xr:uid="{00000000-0005-0000-0000-000042010000}"/>
    <cellStyle name="20% - Accent4 3 2 2 2" xfId="2345" xr:uid="{00000000-0005-0000-0000-000059090000}"/>
    <cellStyle name="20% - Accent4 3 2 2 2 2" xfId="2358" xr:uid="{00000000-0005-0000-0000-000066090000}"/>
    <cellStyle name="20% - Accent4 3 2 2 3" xfId="2364" xr:uid="{00000000-0005-0000-0000-00006C090000}"/>
    <cellStyle name="20% - Accent4 3 2 2 3 2" xfId="2378" xr:uid="{00000000-0005-0000-0000-00007A090000}"/>
    <cellStyle name="20% - Accent4 3 2 2 4" xfId="3231" xr:uid="{00000000-0005-0000-0000-0000CF0C0000}"/>
    <cellStyle name="20% - Accent4 3 2 2 4 2" xfId="3241" xr:uid="{00000000-0005-0000-0000-0000D90C0000}"/>
    <cellStyle name="20% - Accent4 3 2 2 5" xfId="3246" xr:uid="{00000000-0005-0000-0000-0000DE0C0000}"/>
    <cellStyle name="20% - Accent4 3 2 2 5 2" xfId="3249" xr:uid="{00000000-0005-0000-0000-0000E10C0000}"/>
    <cellStyle name="20% - Accent4 3 2 2 6" xfId="3255" xr:uid="{00000000-0005-0000-0000-0000E70C0000}"/>
    <cellStyle name="20% - Accent4 3 2 2 6 2" xfId="1038" xr:uid="{00000000-0005-0000-0000-00003E040000}"/>
    <cellStyle name="20% - Accent4 3 2 2 7" xfId="3248" xr:uid="{00000000-0005-0000-0000-0000E00C0000}"/>
    <cellStyle name="20% - Accent4 3 2 2 7 2" xfId="1223" xr:uid="{00000000-0005-0000-0000-0000F7040000}"/>
    <cellStyle name="20% - Accent4 3 2 2 8" xfId="1630" xr:uid="{00000000-0005-0000-0000-00008E060000}"/>
    <cellStyle name="20% - Accent4 3 2 2 8 2" xfId="606" xr:uid="{00000000-0005-0000-0000-000087020000}"/>
    <cellStyle name="20% - Accent4 3 2 2 9" xfId="3259" xr:uid="{00000000-0005-0000-0000-0000EB0C0000}"/>
    <cellStyle name="20% - Accent4 3 2 3" xfId="324" xr:uid="{00000000-0005-0000-0000-00005A010000}"/>
    <cellStyle name="20% - Accent4 3 2 3 2" xfId="2476" xr:uid="{00000000-0005-0000-0000-0000DC090000}"/>
    <cellStyle name="20% - Accent4 3 2 4" xfId="195" xr:uid="{00000000-0005-0000-0000-0000D2000000}"/>
    <cellStyle name="20% - Accent4 3 2 4 2" xfId="2784" xr:uid="{00000000-0005-0000-0000-0000100B0000}"/>
    <cellStyle name="20% - Accent4 3 2 5" xfId="3264" xr:uid="{00000000-0005-0000-0000-0000F00C0000}"/>
    <cellStyle name="20% - Accent4 3 2 5 2" xfId="2866" xr:uid="{00000000-0005-0000-0000-0000620B0000}"/>
    <cellStyle name="20% - Accent4 3 2 6" xfId="3272" xr:uid="{00000000-0005-0000-0000-0000F80C0000}"/>
    <cellStyle name="20% - Accent4 3 2 6 2" xfId="983" xr:uid="{00000000-0005-0000-0000-000007040000}"/>
    <cellStyle name="20% - Accent4 3 2 7" xfId="3284" xr:uid="{00000000-0005-0000-0000-0000040D0000}"/>
    <cellStyle name="20% - Accent4 3 2 7 2" xfId="3288" xr:uid="{00000000-0005-0000-0000-0000080D0000}"/>
    <cellStyle name="20% - Accent4 3 2 8" xfId="3300" xr:uid="{00000000-0005-0000-0000-0000140D0000}"/>
    <cellStyle name="20% - Accent4 3 2 8 2" xfId="3303" xr:uid="{00000000-0005-0000-0000-0000170D0000}"/>
    <cellStyle name="20% - Accent4 3 2 9" xfId="2104" xr:uid="{00000000-0005-0000-0000-000068080000}"/>
    <cellStyle name="20% - Accent4 3 2 9 2" xfId="2112" xr:uid="{00000000-0005-0000-0000-000070080000}"/>
    <cellStyle name="20% - Accent4 3 3" xfId="3317" xr:uid="{00000000-0005-0000-0000-0000250D0000}"/>
    <cellStyle name="20% - Accent4 3 3 2" xfId="3326" xr:uid="{00000000-0005-0000-0000-00002E0D0000}"/>
    <cellStyle name="20% - Accent4 3 3 2 2" xfId="2932" xr:uid="{00000000-0005-0000-0000-0000A40B0000}"/>
    <cellStyle name="20% - Accent4 3 3 3" xfId="3329" xr:uid="{00000000-0005-0000-0000-0000310D0000}"/>
    <cellStyle name="20% - Accent4 3 3 3 2" xfId="3051" xr:uid="{00000000-0005-0000-0000-00001B0C0000}"/>
    <cellStyle name="20% - Accent4 3 3 4" xfId="3332" xr:uid="{00000000-0005-0000-0000-0000340D0000}"/>
    <cellStyle name="20% - Accent4 3 3 4 2" xfId="3339" xr:uid="{00000000-0005-0000-0000-00003B0D0000}"/>
    <cellStyle name="20% - Accent4 3 3 5" xfId="3348" xr:uid="{00000000-0005-0000-0000-0000440D0000}"/>
    <cellStyle name="20% - Accent4 3 3 5 2" xfId="3354" xr:uid="{00000000-0005-0000-0000-00004A0D0000}"/>
    <cellStyle name="20% - Accent4 3 3 6" xfId="3358" xr:uid="{00000000-0005-0000-0000-00004E0D0000}"/>
    <cellStyle name="20% - Accent4 3 3 6 2" xfId="3367" xr:uid="{00000000-0005-0000-0000-0000570D0000}"/>
    <cellStyle name="20% - Accent4 3 3 7" xfId="252" xr:uid="{00000000-0005-0000-0000-00000D010000}"/>
    <cellStyle name="20% - Accent4 3 3 7 2" xfId="735" xr:uid="{00000000-0005-0000-0000-00000F030000}"/>
    <cellStyle name="20% - Accent4 3 3 8" xfId="754" xr:uid="{00000000-0005-0000-0000-000022030000}"/>
    <cellStyle name="20% - Accent4 3 3 8 2" xfId="3368" xr:uid="{00000000-0005-0000-0000-0000580D0000}"/>
    <cellStyle name="20% - Accent4 3 3 9" xfId="2280" xr:uid="{00000000-0005-0000-0000-000018090000}"/>
    <cellStyle name="20% - Accent4 3 4" xfId="2645" xr:uid="{00000000-0005-0000-0000-0000850A0000}"/>
    <cellStyle name="20% - Accent4 3 4 2" xfId="3377" xr:uid="{00000000-0005-0000-0000-0000610D0000}"/>
    <cellStyle name="20% - Accent4 3 5" xfId="3385" xr:uid="{00000000-0005-0000-0000-0000690D0000}"/>
    <cellStyle name="20% - Accent4 3 5 2" xfId="3390" xr:uid="{00000000-0005-0000-0000-00006E0D0000}"/>
    <cellStyle name="20% - Accent4 3 6" xfId="3404" xr:uid="{00000000-0005-0000-0000-00007C0D0000}"/>
    <cellStyle name="20% - Accent4 3 6 2" xfId="3406" xr:uid="{00000000-0005-0000-0000-00007E0D0000}"/>
    <cellStyle name="20% - Accent4 3 7" xfId="2141" xr:uid="{00000000-0005-0000-0000-00008D080000}"/>
    <cellStyle name="20% - Accent4 3 7 2" xfId="3417" xr:uid="{00000000-0005-0000-0000-0000890D0000}"/>
    <cellStyle name="20% - Accent4 3 8" xfId="3426" xr:uid="{00000000-0005-0000-0000-0000920D0000}"/>
    <cellStyle name="20% - Accent4 3 8 2" xfId="3430" xr:uid="{00000000-0005-0000-0000-0000960D0000}"/>
    <cellStyle name="20% - Accent4 3 9" xfId="3437" xr:uid="{00000000-0005-0000-0000-00009D0D0000}"/>
    <cellStyle name="20% - Accent4 3 9 2" xfId="37" xr:uid="{00000000-0005-0000-0000-000028000000}"/>
    <cellStyle name="20% - Accent4 4" xfId="165" xr:uid="{00000000-0005-0000-0000-0000B1000000}"/>
    <cellStyle name="20% - Accent4 4 2" xfId="3456" xr:uid="{00000000-0005-0000-0000-0000B00D0000}"/>
    <cellStyle name="20% - Accent4 4 2 2" xfId="1494" xr:uid="{00000000-0005-0000-0000-000006060000}"/>
    <cellStyle name="20% - Accent4 4 3" xfId="3475" xr:uid="{00000000-0005-0000-0000-0000C30D0000}"/>
    <cellStyle name="20% - Accent4 4 3 2" xfId="3491" xr:uid="{00000000-0005-0000-0000-0000D30D0000}"/>
    <cellStyle name="20% - Accent4 4 4" xfId="3143" xr:uid="{00000000-0005-0000-0000-0000770C0000}"/>
    <cellStyle name="20% - Accent4 4 4 2" xfId="3497" xr:uid="{00000000-0005-0000-0000-0000D90D0000}"/>
    <cellStyle name="20% - Accent4 4 5" xfId="200" xr:uid="{00000000-0005-0000-0000-0000D7000000}"/>
    <cellStyle name="20% - Accent4 4 5 2" xfId="3500" xr:uid="{00000000-0005-0000-0000-0000DC0D0000}"/>
    <cellStyle name="20% - Accent4 4 6" xfId="3517" xr:uid="{00000000-0005-0000-0000-0000ED0D0000}"/>
    <cellStyle name="20% - Accent4 4 6 2" xfId="3180" xr:uid="{00000000-0005-0000-0000-00009C0C0000}"/>
    <cellStyle name="20% - Accent4 4 7" xfId="2167" xr:uid="{00000000-0005-0000-0000-0000A7080000}"/>
    <cellStyle name="20% - Accent4 4 7 2" xfId="2715" xr:uid="{00000000-0005-0000-0000-0000CB0A0000}"/>
    <cellStyle name="20% - Accent4 4 8" xfId="3527" xr:uid="{00000000-0005-0000-0000-0000F70D0000}"/>
    <cellStyle name="20% - Accent4 4 9" xfId="3535" xr:uid="{00000000-0005-0000-0000-0000FF0D0000}"/>
    <cellStyle name="20% - Accent4 5" xfId="3545" xr:uid="{00000000-0005-0000-0000-0000090E0000}"/>
    <cellStyle name="20% - Accent4 5 2" xfId="3548" xr:uid="{00000000-0005-0000-0000-00000C0E0000}"/>
    <cellStyle name="20% - Accent4 6" xfId="3205" xr:uid="{00000000-0005-0000-0000-0000B50C0000}"/>
    <cellStyle name="20% - Accent4 6 2" xfId="502" xr:uid="{00000000-0005-0000-0000-000016020000}"/>
    <cellStyle name="20% - Accent4 7" xfId="1016" xr:uid="{00000000-0005-0000-0000-000028040000}"/>
    <cellStyle name="20% - Accent4 7 2" xfId="2150" xr:uid="{00000000-0005-0000-0000-000096080000}"/>
    <cellStyle name="20% - Accent4 8" xfId="2524" xr:uid="{00000000-0005-0000-0000-00000C0A0000}"/>
    <cellStyle name="20% - Accent4 8 2" xfId="3566" xr:uid="{00000000-0005-0000-0000-00001E0E0000}"/>
    <cellStyle name="20% - Accent4 9" xfId="2898" xr:uid="{00000000-0005-0000-0000-0000820B0000}"/>
    <cellStyle name="20% - Accent4 9 2" xfId="685" xr:uid="{00000000-0005-0000-0000-0000DD020000}"/>
    <cellStyle name="20% - Accent5 2" xfId="3042" xr:uid="{00000000-0005-0000-0000-0000120C0000}"/>
    <cellStyle name="20% - Accent5 2 2" xfId="3571" xr:uid="{00000000-0005-0000-0000-0000230E0000}"/>
    <cellStyle name="20% - Accent5 2 2 2" xfId="3575" xr:uid="{00000000-0005-0000-0000-0000270E0000}"/>
    <cellStyle name="20% - Accent5 2 2 2 2" xfId="3590" xr:uid="{00000000-0005-0000-0000-0000360E0000}"/>
    <cellStyle name="20% - Accent5 2 2 3" xfId="3592" xr:uid="{00000000-0005-0000-0000-0000380E0000}"/>
    <cellStyle name="20% - Accent5 2 3" xfId="281" xr:uid="{00000000-0005-0000-0000-00002C010000}"/>
    <cellStyle name="20% - Accent5 2 3 2" xfId="3606" xr:uid="{00000000-0005-0000-0000-0000460E0000}"/>
    <cellStyle name="20% - Accent5 2 4" xfId="304" xr:uid="{00000000-0005-0000-0000-000044010000}"/>
    <cellStyle name="20% - Accent5 2 4 2" xfId="2347" xr:uid="{00000000-0005-0000-0000-00005B090000}"/>
    <cellStyle name="20% - Accent5 2 5" xfId="325" xr:uid="{00000000-0005-0000-0000-00005B010000}"/>
    <cellStyle name="20% - Accent5 2 6" xfId="196" xr:uid="{00000000-0005-0000-0000-0000D3000000}"/>
    <cellStyle name="20% - Accent5 3" xfId="3067" xr:uid="{00000000-0005-0000-0000-00002B0C0000}"/>
    <cellStyle name="20% - Accent5 3 10" xfId="1346" xr:uid="{00000000-0005-0000-0000-000072050000}"/>
    <cellStyle name="20% - Accent5 3 10 2" xfId="1352" xr:uid="{00000000-0005-0000-0000-000078050000}"/>
    <cellStyle name="20% - Accent5 3 11" xfId="1534" xr:uid="{00000000-0005-0000-0000-00002E060000}"/>
    <cellStyle name="20% - Accent5 3 2" xfId="3616" xr:uid="{00000000-0005-0000-0000-0000500E0000}"/>
    <cellStyle name="20% - Accent5 3 2 10" xfId="3427" xr:uid="{00000000-0005-0000-0000-0000930D0000}"/>
    <cellStyle name="20% - Accent5 3 2 2" xfId="1673" xr:uid="{00000000-0005-0000-0000-0000B9060000}"/>
    <cellStyle name="20% - Accent5 3 2 2 2" xfId="1688" xr:uid="{00000000-0005-0000-0000-0000C8060000}"/>
    <cellStyle name="20% - Accent5 3 2 2 2 2" xfId="1705" xr:uid="{00000000-0005-0000-0000-0000D9060000}"/>
    <cellStyle name="20% - Accent5 3 2 2 3" xfId="1715" xr:uid="{00000000-0005-0000-0000-0000E3060000}"/>
    <cellStyle name="20% - Accent5 3 2 2 3 2" xfId="1730" xr:uid="{00000000-0005-0000-0000-0000F2060000}"/>
    <cellStyle name="20% - Accent5 3 2 2 4" xfId="1748" xr:uid="{00000000-0005-0000-0000-000004070000}"/>
    <cellStyle name="20% - Accent5 3 2 2 4 2" xfId="1757" xr:uid="{00000000-0005-0000-0000-00000D070000}"/>
    <cellStyle name="20% - Accent5 3 2 2 5" xfId="1771" xr:uid="{00000000-0005-0000-0000-00001B070000}"/>
    <cellStyle name="20% - Accent5 3 2 2 5 2" xfId="3617" xr:uid="{00000000-0005-0000-0000-0000510E0000}"/>
    <cellStyle name="20% - Accent5 3 2 2 6" xfId="43" xr:uid="{00000000-0005-0000-0000-00002E000000}"/>
    <cellStyle name="20% - Accent5 3 2 2 6 2" xfId="3618" xr:uid="{00000000-0005-0000-0000-0000520E0000}"/>
    <cellStyle name="20% - Accent5 3 2 2 7" xfId="3628" xr:uid="{00000000-0005-0000-0000-00005C0E0000}"/>
    <cellStyle name="20% - Accent5 3 2 2 7 2" xfId="3634" xr:uid="{00000000-0005-0000-0000-0000620E0000}"/>
    <cellStyle name="20% - Accent5 3 2 2 8" xfId="3602" xr:uid="{00000000-0005-0000-0000-0000420E0000}"/>
    <cellStyle name="20% - Accent5 3 2 2 8 2" xfId="3644" xr:uid="{00000000-0005-0000-0000-00006C0E0000}"/>
    <cellStyle name="20% - Accent5 3 2 2 9" xfId="3655" xr:uid="{00000000-0005-0000-0000-0000770E0000}"/>
    <cellStyle name="20% - Accent5 3 2 3" xfId="1786" xr:uid="{00000000-0005-0000-0000-00002A070000}"/>
    <cellStyle name="20% - Accent5 3 2 3 2" xfId="343" xr:uid="{00000000-0005-0000-0000-00006E010000}"/>
    <cellStyle name="20% - Accent5 3 2 4" xfId="1819" xr:uid="{00000000-0005-0000-0000-00004B070000}"/>
    <cellStyle name="20% - Accent5 3 2 4 2" xfId="1829" xr:uid="{00000000-0005-0000-0000-000055070000}"/>
    <cellStyle name="20% - Accent5 3 2 5" xfId="1841" xr:uid="{00000000-0005-0000-0000-000061070000}"/>
    <cellStyle name="20% - Accent5 3 2 5 2" xfId="1601" xr:uid="{00000000-0005-0000-0000-000071060000}"/>
    <cellStyle name="20% - Accent5 3 2 6" xfId="1867" xr:uid="{00000000-0005-0000-0000-00007B070000}"/>
    <cellStyle name="20% - Accent5 3 2 6 2" xfId="1907" xr:uid="{00000000-0005-0000-0000-0000A3070000}"/>
    <cellStyle name="20% - Accent5 3 2 7" xfId="1941" xr:uid="{00000000-0005-0000-0000-0000C5070000}"/>
    <cellStyle name="20% - Accent5 3 2 7 2" xfId="865" xr:uid="{00000000-0005-0000-0000-000091030000}"/>
    <cellStyle name="20% - Accent5 3 2 8" xfId="1898" xr:uid="{00000000-0005-0000-0000-00009A070000}"/>
    <cellStyle name="20% - Accent5 3 2 8 2" xfId="2519" xr:uid="{00000000-0005-0000-0000-0000070A0000}"/>
    <cellStyle name="20% - Accent5 3 2 9" xfId="2538" xr:uid="{00000000-0005-0000-0000-00001A0A0000}"/>
    <cellStyle name="20% - Accent5 3 2 9 2" xfId="2549" xr:uid="{00000000-0005-0000-0000-0000250A0000}"/>
    <cellStyle name="20% - Accent5 3 3" xfId="3666" xr:uid="{00000000-0005-0000-0000-0000820E0000}"/>
    <cellStyle name="20% - Accent5 3 3 2" xfId="478" xr:uid="{00000000-0005-0000-0000-0000FD010000}"/>
    <cellStyle name="20% - Accent5 3 3 2 2" xfId="653" xr:uid="{00000000-0005-0000-0000-0000BB020000}"/>
    <cellStyle name="20% - Accent5 3 3 3" xfId="2657" xr:uid="{00000000-0005-0000-0000-0000910A0000}"/>
    <cellStyle name="20% - Accent5 3 3 3 2" xfId="2691" xr:uid="{00000000-0005-0000-0000-0000B30A0000}"/>
    <cellStyle name="20% - Accent5 3 3 4" xfId="2981" xr:uid="{00000000-0005-0000-0000-0000D50B0000}"/>
    <cellStyle name="20% - Accent5 3 3 4 2" xfId="711" xr:uid="{00000000-0005-0000-0000-0000F7020000}"/>
    <cellStyle name="20% - Accent5 3 3 5" xfId="3084" xr:uid="{00000000-0005-0000-0000-00003C0C0000}"/>
    <cellStyle name="20% - Accent5 3 3 5 2" xfId="3096" xr:uid="{00000000-0005-0000-0000-0000480C0000}"/>
    <cellStyle name="20% - Accent5 3 3 6" xfId="3109" xr:uid="{00000000-0005-0000-0000-0000550C0000}"/>
    <cellStyle name="20% - Accent5 3 3 6 2" xfId="3119" xr:uid="{00000000-0005-0000-0000-00005F0C0000}"/>
    <cellStyle name="20% - Accent5 3 3 7" xfId="820" xr:uid="{00000000-0005-0000-0000-000064030000}"/>
    <cellStyle name="20% - Accent5 3 3 7 2" xfId="845" xr:uid="{00000000-0005-0000-0000-00007D030000}"/>
    <cellStyle name="20% - Accent5 3 3 8" xfId="853" xr:uid="{00000000-0005-0000-0000-000085030000}"/>
    <cellStyle name="20% - Accent5 3 3 8 2" xfId="422" xr:uid="{00000000-0005-0000-0000-0000C1010000}"/>
    <cellStyle name="20% - Accent5 3 3 9" xfId="888" xr:uid="{00000000-0005-0000-0000-0000A8030000}"/>
    <cellStyle name="20% - Accent5 3 4" xfId="3324" xr:uid="{00000000-0005-0000-0000-00002C0D0000}"/>
    <cellStyle name="20% - Accent5 3 4 2" xfId="2939" xr:uid="{00000000-0005-0000-0000-0000AB0B0000}"/>
    <cellStyle name="20% - Accent5 3 5" xfId="3327" xr:uid="{00000000-0005-0000-0000-00002F0D0000}"/>
    <cellStyle name="20% - Accent5 3 5 2" xfId="3047" xr:uid="{00000000-0005-0000-0000-0000170C0000}"/>
    <cellStyle name="20% - Accent5 3 6" xfId="3330" xr:uid="{00000000-0005-0000-0000-0000320D0000}"/>
    <cellStyle name="20% - Accent5 3 6 2" xfId="3333" xr:uid="{00000000-0005-0000-0000-0000350D0000}"/>
    <cellStyle name="20% - Accent5 3 7" xfId="3345" xr:uid="{00000000-0005-0000-0000-0000410D0000}"/>
    <cellStyle name="20% - Accent5 3 7 2" xfId="3351" xr:uid="{00000000-0005-0000-0000-0000470D0000}"/>
    <cellStyle name="20% - Accent5 3 8" xfId="3361" xr:uid="{00000000-0005-0000-0000-0000510D0000}"/>
    <cellStyle name="20% - Accent5 3 8 2" xfId="3364" xr:uid="{00000000-0005-0000-0000-0000540D0000}"/>
    <cellStyle name="20% - Accent5 3 9" xfId="254" xr:uid="{00000000-0005-0000-0000-00000F010000}"/>
    <cellStyle name="20% - Accent5 3 9 2" xfId="733" xr:uid="{00000000-0005-0000-0000-00000D030000}"/>
    <cellStyle name="20% - Accent5 4" xfId="3669" xr:uid="{00000000-0005-0000-0000-0000850E0000}"/>
    <cellStyle name="20% - Accent5 4 2" xfId="3675" xr:uid="{00000000-0005-0000-0000-00008B0E0000}"/>
    <cellStyle name="20% - Accent5 4 2 2" xfId="3679" xr:uid="{00000000-0005-0000-0000-00008F0E0000}"/>
    <cellStyle name="20% - Accent5 4 3" xfId="3683" xr:uid="{00000000-0005-0000-0000-0000930E0000}"/>
    <cellStyle name="20% - Accent5 4 3 2" xfId="3686" xr:uid="{00000000-0005-0000-0000-0000960E0000}"/>
    <cellStyle name="20% - Accent5 4 4" xfId="3374" xr:uid="{00000000-0005-0000-0000-00005E0D0000}"/>
    <cellStyle name="20% - Accent5 4 4 2" xfId="3691" xr:uid="{00000000-0005-0000-0000-00009B0E0000}"/>
    <cellStyle name="20% - Accent5 4 5" xfId="3696" xr:uid="{00000000-0005-0000-0000-0000A00E0000}"/>
    <cellStyle name="20% - Accent5 4 5 2" xfId="3698" xr:uid="{00000000-0005-0000-0000-0000A20E0000}"/>
    <cellStyle name="20% - Accent5 4 6" xfId="3702" xr:uid="{00000000-0005-0000-0000-0000A60E0000}"/>
    <cellStyle name="20% - Accent5 4 6 2" xfId="3706" xr:uid="{00000000-0005-0000-0000-0000AA0E0000}"/>
    <cellStyle name="20% - Accent5 4 7" xfId="3707" xr:uid="{00000000-0005-0000-0000-0000AB0E0000}"/>
    <cellStyle name="20% - Accent5 4 7 2" xfId="3713" xr:uid="{00000000-0005-0000-0000-0000B10E0000}"/>
    <cellStyle name="20% - Accent5 4 8" xfId="3721" xr:uid="{00000000-0005-0000-0000-0000B90E0000}"/>
    <cellStyle name="20% - Accent5 4 9" xfId="3726" xr:uid="{00000000-0005-0000-0000-0000BE0E0000}"/>
    <cellStyle name="20% - Accent5 5" xfId="3730" xr:uid="{00000000-0005-0000-0000-0000C20E0000}"/>
    <cellStyle name="20% - Accent5 5 2" xfId="3732" xr:uid="{00000000-0005-0000-0000-0000C40E0000}"/>
    <cellStyle name="20% - Accent5 6" xfId="3737" xr:uid="{00000000-0005-0000-0000-0000C90E0000}"/>
    <cellStyle name="20% - Accent5 6 2" xfId="3744" xr:uid="{00000000-0005-0000-0000-0000D00E0000}"/>
    <cellStyle name="20% - Accent5 7" xfId="1033" xr:uid="{00000000-0005-0000-0000-000039040000}"/>
    <cellStyle name="20% - Accent5 7 2" xfId="3749" xr:uid="{00000000-0005-0000-0000-0000D50E0000}"/>
    <cellStyle name="20% - Accent5 8" xfId="2566" xr:uid="{00000000-0005-0000-0000-0000360A0000}"/>
    <cellStyle name="20% - Accent5 8 2" xfId="3751" xr:uid="{00000000-0005-0000-0000-0000D70E0000}"/>
    <cellStyle name="20% - Accent5 9" xfId="3757" xr:uid="{00000000-0005-0000-0000-0000DD0E0000}"/>
    <cellStyle name="20% - Accent5 9 2" xfId="1743" xr:uid="{00000000-0005-0000-0000-0000FF060000}"/>
    <cellStyle name="20% - Accent6 2" xfId="3340" xr:uid="{00000000-0005-0000-0000-00003C0D0000}"/>
    <cellStyle name="20% - Accent6 2 2" xfId="1427" xr:uid="{00000000-0005-0000-0000-0000C3050000}"/>
    <cellStyle name="20% - Accent6 2 2 2" xfId="1443" xr:uid="{00000000-0005-0000-0000-0000D3050000}"/>
    <cellStyle name="20% - Accent6 2 2 2 2" xfId="3759" xr:uid="{00000000-0005-0000-0000-0000DF0E0000}"/>
    <cellStyle name="20% - Accent6 2 2 3" xfId="3581" xr:uid="{00000000-0005-0000-0000-00002D0E0000}"/>
    <cellStyle name="20% - Accent6 2 3" xfId="1454" xr:uid="{00000000-0005-0000-0000-0000DE050000}"/>
    <cellStyle name="20% - Accent6 2 3 2" xfId="1471" xr:uid="{00000000-0005-0000-0000-0000EF050000}"/>
    <cellStyle name="20% - Accent6 2 4" xfId="1489" xr:uid="{00000000-0005-0000-0000-000001060000}"/>
    <cellStyle name="20% - Accent6 2 4 2" xfId="1496" xr:uid="{00000000-0005-0000-0000-000008060000}"/>
    <cellStyle name="20% - Accent6 2 5" xfId="437" xr:uid="{00000000-0005-0000-0000-0000D2010000}"/>
    <cellStyle name="20% - Accent6 2 6" xfId="1513" xr:uid="{00000000-0005-0000-0000-000019060000}"/>
    <cellStyle name="20% - Accent6 3" xfId="3763" xr:uid="{00000000-0005-0000-0000-0000E30E0000}"/>
    <cellStyle name="20% - Accent6 3 10" xfId="808" xr:uid="{00000000-0005-0000-0000-000058030000}"/>
    <cellStyle name="20% - Accent6 3 10 2" xfId="824" xr:uid="{00000000-0005-0000-0000-000068030000}"/>
    <cellStyle name="20% - Accent6 3 11" xfId="855" xr:uid="{00000000-0005-0000-0000-000087030000}"/>
    <cellStyle name="20% - Accent6 3 2" xfId="3773" xr:uid="{00000000-0005-0000-0000-0000ED0E0000}"/>
    <cellStyle name="20% - Accent6 3 2 10" xfId="96" xr:uid="{00000000-0005-0000-0000-000067000000}"/>
    <cellStyle name="20% - Accent6 3 2 2" xfId="145" xr:uid="{00000000-0005-0000-0000-00009C000000}"/>
    <cellStyle name="20% - Accent6 3 2 2 2" xfId="3774" xr:uid="{00000000-0005-0000-0000-0000EE0E0000}"/>
    <cellStyle name="20% - Accent6 3 2 2 2 2" xfId="3796" xr:uid="{00000000-0005-0000-0000-0000040F0000}"/>
    <cellStyle name="20% - Accent6 3 2 2 3" xfId="675" xr:uid="{00000000-0005-0000-0000-0000D3020000}"/>
    <cellStyle name="20% - Accent6 3 2 2 3 2" xfId="3821" xr:uid="{00000000-0005-0000-0000-00001D0F0000}"/>
    <cellStyle name="20% - Accent6 3 2 2 4" xfId="3841" xr:uid="{00000000-0005-0000-0000-0000310F0000}"/>
    <cellStyle name="20% - Accent6 3 2 2 4 2" xfId="3857" xr:uid="{00000000-0005-0000-0000-0000410F0000}"/>
    <cellStyle name="20% - Accent6 3 2 2 5" xfId="3827" xr:uid="{00000000-0005-0000-0000-0000230F0000}"/>
    <cellStyle name="20% - Accent6 3 2 2 5 2" xfId="3865" xr:uid="{00000000-0005-0000-0000-0000490F0000}"/>
    <cellStyle name="20% - Accent6 3 2 2 6" xfId="3871" xr:uid="{00000000-0005-0000-0000-00004F0F0000}"/>
    <cellStyle name="20% - Accent6 3 2 2 6 2" xfId="3876" xr:uid="{00000000-0005-0000-0000-0000540F0000}"/>
    <cellStyle name="20% - Accent6 3 2 2 7" xfId="3881" xr:uid="{00000000-0005-0000-0000-0000590F0000}"/>
    <cellStyle name="20% - Accent6 3 2 2 7 2" xfId="3884" xr:uid="{00000000-0005-0000-0000-00005C0F0000}"/>
    <cellStyle name="20% - Accent6 3 2 2 8" xfId="1809" xr:uid="{00000000-0005-0000-0000-000041070000}"/>
    <cellStyle name="20% - Accent6 3 2 2 8 2" xfId="1851" xr:uid="{00000000-0005-0000-0000-00006B070000}"/>
    <cellStyle name="20% - Accent6 3 2 2 9" xfId="3890" xr:uid="{00000000-0005-0000-0000-0000620F0000}"/>
    <cellStyle name="20% - Accent6 3 2 3" xfId="3902" xr:uid="{00000000-0005-0000-0000-00006E0F0000}"/>
    <cellStyle name="20% - Accent6 3 2 3 2" xfId="3919" xr:uid="{00000000-0005-0000-0000-00007F0F0000}"/>
    <cellStyle name="20% - Accent6 3 2 4" xfId="3923" xr:uid="{00000000-0005-0000-0000-0000830F0000}"/>
    <cellStyle name="20% - Accent6 3 2 4 2" xfId="3935" xr:uid="{00000000-0005-0000-0000-00008F0F0000}"/>
    <cellStyle name="20% - Accent6 3 2 5" xfId="3940" xr:uid="{00000000-0005-0000-0000-0000940F0000}"/>
    <cellStyle name="20% - Accent6 3 2 5 2" xfId="3945" xr:uid="{00000000-0005-0000-0000-0000990F0000}"/>
    <cellStyle name="20% - Accent6 3 2 6" xfId="3959" xr:uid="{00000000-0005-0000-0000-0000A70F0000}"/>
    <cellStyle name="20% - Accent6 3 2 6 2" xfId="3967" xr:uid="{00000000-0005-0000-0000-0000AF0F0000}"/>
    <cellStyle name="20% - Accent6 3 2 7" xfId="3968" xr:uid="{00000000-0005-0000-0000-0000B00F0000}"/>
    <cellStyle name="20% - Accent6 3 2 7 2" xfId="1687" xr:uid="{00000000-0005-0000-0000-0000C7060000}"/>
    <cellStyle name="20% - Accent6 3 2 8" xfId="3972" xr:uid="{00000000-0005-0000-0000-0000B40F0000}"/>
    <cellStyle name="20% - Accent6 3 2 8 2" xfId="481" xr:uid="{00000000-0005-0000-0000-000000020000}"/>
    <cellStyle name="20% - Accent6 3 2 9" xfId="3973" xr:uid="{00000000-0005-0000-0000-0000B50F0000}"/>
    <cellStyle name="20% - Accent6 3 2 9 2" xfId="2948" xr:uid="{00000000-0005-0000-0000-0000B40B0000}"/>
    <cellStyle name="20% - Accent6 3 3" xfId="459" xr:uid="{00000000-0005-0000-0000-0000E8010000}"/>
    <cellStyle name="20% - Accent6 3 3 2" xfId="3976" xr:uid="{00000000-0005-0000-0000-0000B80F0000}"/>
    <cellStyle name="20% - Accent6 3 3 2 2" xfId="3991" xr:uid="{00000000-0005-0000-0000-0000C70F0000}"/>
    <cellStyle name="20% - Accent6 3 3 3" xfId="3996" xr:uid="{00000000-0005-0000-0000-0000CC0F0000}"/>
    <cellStyle name="20% - Accent6 3 3 3 2" xfId="4019" xr:uid="{00000000-0005-0000-0000-0000E30F0000}"/>
    <cellStyle name="20% - Accent6 3 3 4" xfId="4021" xr:uid="{00000000-0005-0000-0000-0000E50F0000}"/>
    <cellStyle name="20% - Accent6 3 3 4 2" xfId="4028" xr:uid="{00000000-0005-0000-0000-0000EC0F0000}"/>
    <cellStyle name="20% - Accent6 3 3 5" xfId="4030" xr:uid="{00000000-0005-0000-0000-0000EE0F0000}"/>
    <cellStyle name="20% - Accent6 3 3 5 2" xfId="4035" xr:uid="{00000000-0005-0000-0000-0000F30F0000}"/>
    <cellStyle name="20% - Accent6 3 3 6" xfId="4044" xr:uid="{00000000-0005-0000-0000-0000FC0F0000}"/>
    <cellStyle name="20% - Accent6 3 3 6 2" xfId="4052" xr:uid="{00000000-0005-0000-0000-000004100000}"/>
    <cellStyle name="20% - Accent6 3 3 7" xfId="4053" xr:uid="{00000000-0005-0000-0000-000005100000}"/>
    <cellStyle name="20% - Accent6 3 3 7 2" xfId="4056" xr:uid="{00000000-0005-0000-0000-000008100000}"/>
    <cellStyle name="20% - Accent6 3 3 8" xfId="4057" xr:uid="{00000000-0005-0000-0000-000009100000}"/>
    <cellStyle name="20% - Accent6 3 3 8 2" xfId="4062" xr:uid="{00000000-0005-0000-0000-00000E100000}"/>
    <cellStyle name="20% - Accent6 3 3 9" xfId="4066" xr:uid="{00000000-0005-0000-0000-000012100000}"/>
    <cellStyle name="20% - Accent6 3 4" xfId="3487" xr:uid="{00000000-0005-0000-0000-0000CF0D0000}"/>
    <cellStyle name="20% - Accent6 3 4 2" xfId="332" xr:uid="{00000000-0005-0000-0000-000062010000}"/>
    <cellStyle name="20% - Accent6 3 5" xfId="4069" xr:uid="{00000000-0005-0000-0000-000015100000}"/>
    <cellStyle name="20% - Accent6 3 5 2" xfId="4074" xr:uid="{00000000-0005-0000-0000-00001A100000}"/>
    <cellStyle name="20% - Accent6 3 6" xfId="3784" xr:uid="{00000000-0005-0000-0000-0000F80E0000}"/>
    <cellStyle name="20% - Accent6 3 6 2" xfId="3789" xr:uid="{00000000-0005-0000-0000-0000FD0E0000}"/>
    <cellStyle name="20% - Accent6 3 7" xfId="672" xr:uid="{00000000-0005-0000-0000-0000D0020000}"/>
    <cellStyle name="20% - Accent6 3 7 2" xfId="3810" xr:uid="{00000000-0005-0000-0000-0000120F0000}"/>
    <cellStyle name="20% - Accent6 3 8" xfId="3838" xr:uid="{00000000-0005-0000-0000-00002E0F0000}"/>
    <cellStyle name="20% - Accent6 3 8 2" xfId="3847" xr:uid="{00000000-0005-0000-0000-0000370F0000}"/>
    <cellStyle name="20% - Accent6 3 9" xfId="3817" xr:uid="{00000000-0005-0000-0000-0000190F0000}"/>
    <cellStyle name="20% - Accent6 3 9 2" xfId="3862" xr:uid="{00000000-0005-0000-0000-0000460F0000}"/>
    <cellStyle name="20% - Accent6 4" xfId="4077" xr:uid="{00000000-0005-0000-0000-00001D100000}"/>
    <cellStyle name="20% - Accent6 4 2" xfId="4080" xr:uid="{00000000-0005-0000-0000-000020100000}"/>
    <cellStyle name="20% - Accent6 4 2 2" xfId="4085" xr:uid="{00000000-0005-0000-0000-000025100000}"/>
    <cellStyle name="20% - Accent6 4 3" xfId="4086" xr:uid="{00000000-0005-0000-0000-000026100000}"/>
    <cellStyle name="20% - Accent6 4 3 2" xfId="4095" xr:uid="{00000000-0005-0000-0000-00002F100000}"/>
    <cellStyle name="20% - Accent6 4 4" xfId="3493" xr:uid="{00000000-0005-0000-0000-0000D50D0000}"/>
    <cellStyle name="20% - Accent6 4 4 2" xfId="4101" xr:uid="{00000000-0005-0000-0000-000035100000}"/>
    <cellStyle name="20% - Accent6 4 5" xfId="4110" xr:uid="{00000000-0005-0000-0000-00003E100000}"/>
    <cellStyle name="20% - Accent6 4 5 2" xfId="4116" xr:uid="{00000000-0005-0000-0000-000044100000}"/>
    <cellStyle name="20% - Accent6 4 6" xfId="3915" xr:uid="{00000000-0005-0000-0000-00007B0F0000}"/>
    <cellStyle name="20% - Accent6 4 6 2" xfId="1020" xr:uid="{00000000-0005-0000-0000-00002C040000}"/>
    <cellStyle name="20% - Accent6 4 7" xfId="205" xr:uid="{00000000-0005-0000-0000-0000DD000000}"/>
    <cellStyle name="20% - Accent6 4 7 2" xfId="1200" xr:uid="{00000000-0005-0000-0000-0000E0040000}"/>
    <cellStyle name="20% - Accent6 4 8" xfId="371" xr:uid="{00000000-0005-0000-0000-00008B010000}"/>
    <cellStyle name="20% - Accent6 4 9" xfId="3851" xr:uid="{00000000-0005-0000-0000-00003B0F0000}"/>
    <cellStyle name="20% - Accent6 5" xfId="4118" xr:uid="{00000000-0005-0000-0000-000046100000}"/>
    <cellStyle name="20% - Accent6 5 2" xfId="4121" xr:uid="{00000000-0005-0000-0000-000049100000}"/>
    <cellStyle name="20% - Accent6 6" xfId="4129" xr:uid="{00000000-0005-0000-0000-000051100000}"/>
    <cellStyle name="20% - Accent6 6 2" xfId="4133" xr:uid="{00000000-0005-0000-0000-000055100000}"/>
    <cellStyle name="20% - Accent6 7" xfId="1042" xr:uid="{00000000-0005-0000-0000-000042040000}"/>
    <cellStyle name="20% - Accent6 7 2" xfId="4140" xr:uid="{00000000-0005-0000-0000-00005C100000}"/>
    <cellStyle name="20% - Accent6 8" xfId="4156" xr:uid="{00000000-0005-0000-0000-00006C100000}"/>
    <cellStyle name="20% - Accent6 8 2" xfId="4162" xr:uid="{00000000-0005-0000-0000-000072100000}"/>
    <cellStyle name="20% - Accent6 9" xfId="4171" xr:uid="{00000000-0005-0000-0000-00007B100000}"/>
    <cellStyle name="20% - Accent6 9 2" xfId="2624" xr:uid="{00000000-0005-0000-0000-0000700A0000}"/>
    <cellStyle name="20% - 着色 1 2" xfId="389" xr:uid="{00000000-0005-0000-0000-00009E010000}"/>
    <cellStyle name="20% - 着色 1 2 2" xfId="1144" xr:uid="{00000000-0005-0000-0000-0000A8040000}"/>
    <cellStyle name="20% - 着色 2 2" xfId="1381" xr:uid="{00000000-0005-0000-0000-000095050000}"/>
    <cellStyle name="20% - 着色 2 2 2" xfId="1386" xr:uid="{00000000-0005-0000-0000-00009A050000}"/>
    <cellStyle name="20% - 着色 3 2" xfId="4174" xr:uid="{00000000-0005-0000-0000-00007E100000}"/>
    <cellStyle name="20% - 着色 3 2 2" xfId="4182" xr:uid="{00000000-0005-0000-0000-000086100000}"/>
    <cellStyle name="20% - 着色 4 2" xfId="4192" xr:uid="{00000000-0005-0000-0000-000090100000}"/>
    <cellStyle name="20% - 着色 4 2 2" xfId="4204" xr:uid="{00000000-0005-0000-0000-00009C100000}"/>
    <cellStyle name="20% - 着色 5 2" xfId="4211" xr:uid="{00000000-0005-0000-0000-0000A3100000}"/>
    <cellStyle name="20% - 着色 5 2 2" xfId="4222" xr:uid="{00000000-0005-0000-0000-0000AE100000}"/>
    <cellStyle name="20% - 着色 6 2" xfId="3262" xr:uid="{00000000-0005-0000-0000-0000EE0C0000}"/>
    <cellStyle name="20% - 着色 6 2 2" xfId="4231" xr:uid="{00000000-0005-0000-0000-0000B7100000}"/>
    <cellStyle name="40% - Accent1 2" xfId="4240" xr:uid="{00000000-0005-0000-0000-0000C0100000}"/>
    <cellStyle name="40% - Accent1 2 2" xfId="4252" xr:uid="{00000000-0005-0000-0000-0000CC100000}"/>
    <cellStyle name="40% - Accent1 2 2 2" xfId="4272" xr:uid="{00000000-0005-0000-0000-0000E0100000}"/>
    <cellStyle name="40% - Accent1 2 2 2 2" xfId="4286" xr:uid="{00000000-0005-0000-0000-0000EE100000}"/>
    <cellStyle name="40% - Accent1 2 2 3" xfId="4298" xr:uid="{00000000-0005-0000-0000-0000FA100000}"/>
    <cellStyle name="40% - Accent1 2 3" xfId="1105" xr:uid="{00000000-0005-0000-0000-000081040000}"/>
    <cellStyle name="40% - Accent1 2 3 2" xfId="4324" xr:uid="{00000000-0005-0000-0000-000014110000}"/>
    <cellStyle name="40% - Accent1 2 4" xfId="4347" xr:uid="{00000000-0005-0000-0000-00002B110000}"/>
    <cellStyle name="40% - Accent1 2 4 2" xfId="1310" xr:uid="{00000000-0005-0000-0000-00004E050000}"/>
    <cellStyle name="40% - Accent1 2 5" xfId="3458" xr:uid="{00000000-0005-0000-0000-0000B20D0000}"/>
    <cellStyle name="40% - Accent1 2 6" xfId="3481" xr:uid="{00000000-0005-0000-0000-0000C90D0000}"/>
    <cellStyle name="40% - Accent1 3" xfId="2462" xr:uid="{00000000-0005-0000-0000-0000CE090000}"/>
    <cellStyle name="40% - Accent1 3 10" xfId="2653" xr:uid="{00000000-0005-0000-0000-00008D0A0000}"/>
    <cellStyle name="40% - Accent1 3 10 2" xfId="3372" xr:uid="{00000000-0005-0000-0000-00005C0D0000}"/>
    <cellStyle name="40% - Accent1 3 11" xfId="3383" xr:uid="{00000000-0005-0000-0000-0000670D0000}"/>
    <cellStyle name="40% - Accent1 3 2" xfId="4358" xr:uid="{00000000-0005-0000-0000-000036110000}"/>
    <cellStyle name="40% - Accent1 3 2 10" xfId="4362" xr:uid="{00000000-0005-0000-0000-00003A110000}"/>
    <cellStyle name="40% - Accent1 3 2 2" xfId="4371" xr:uid="{00000000-0005-0000-0000-000043110000}"/>
    <cellStyle name="40% - Accent1 3 2 2 2" xfId="4376" xr:uid="{00000000-0005-0000-0000-000048110000}"/>
    <cellStyle name="40% - Accent1 3 2 2 2 2" xfId="124" xr:uid="{00000000-0005-0000-0000-000086000000}"/>
    <cellStyle name="40% - Accent1 3 2 2 3" xfId="4381" xr:uid="{00000000-0005-0000-0000-00004D110000}"/>
    <cellStyle name="40% - Accent1 3 2 2 3 2" xfId="4384" xr:uid="{00000000-0005-0000-0000-000050110000}"/>
    <cellStyle name="40% - Accent1 3 2 2 4" xfId="1067" xr:uid="{00000000-0005-0000-0000-00005B040000}"/>
    <cellStyle name="40% - Accent1 3 2 2 4 2" xfId="4395" xr:uid="{00000000-0005-0000-0000-00005B110000}"/>
    <cellStyle name="40% - Accent1 3 2 2 5" xfId="4407" xr:uid="{00000000-0005-0000-0000-000067110000}"/>
    <cellStyle name="40% - Accent1 3 2 2 5 2" xfId="4411" xr:uid="{00000000-0005-0000-0000-00006B110000}"/>
    <cellStyle name="40% - Accent1 3 2 2 6" xfId="2963" xr:uid="{00000000-0005-0000-0000-0000C30B0000}"/>
    <cellStyle name="40% - Accent1 3 2 2 6 2" xfId="3138" xr:uid="{00000000-0005-0000-0000-0000720C0000}"/>
    <cellStyle name="40% - Accent1 3 2 2 7" xfId="3170" xr:uid="{00000000-0005-0000-0000-0000920C0000}"/>
    <cellStyle name="40% - Accent1 3 2 2 7 2" xfId="2648" xr:uid="{00000000-0005-0000-0000-0000880A0000}"/>
    <cellStyle name="40% - Accent1 3 2 2 8" xfId="3137" xr:uid="{00000000-0005-0000-0000-0000710C0000}"/>
    <cellStyle name="40% - Accent1 3 2 2 8 2" xfId="3158" xr:uid="{00000000-0005-0000-0000-0000860C0000}"/>
    <cellStyle name="40% - Accent1 3 2 2 9" xfId="3164" xr:uid="{00000000-0005-0000-0000-00008C0C0000}"/>
    <cellStyle name="40% - Accent1 3 2 3" xfId="4419" xr:uid="{00000000-0005-0000-0000-000073110000}"/>
    <cellStyle name="40% - Accent1 3 2 3 2" xfId="4426" xr:uid="{00000000-0005-0000-0000-00007A110000}"/>
    <cellStyle name="40% - Accent1 3 2 4" xfId="4429" xr:uid="{00000000-0005-0000-0000-00007D110000}"/>
    <cellStyle name="40% - Accent1 3 2 4 2" xfId="4437" xr:uid="{00000000-0005-0000-0000-000085110000}"/>
    <cellStyle name="40% - Accent1 3 2 5" xfId="4444" xr:uid="{00000000-0005-0000-0000-00008C110000}"/>
    <cellStyle name="40% - Accent1 3 2 5 2" xfId="4447" xr:uid="{00000000-0005-0000-0000-00008F110000}"/>
    <cellStyle name="40% - Accent1 3 2 6" xfId="4453" xr:uid="{00000000-0005-0000-0000-000095110000}"/>
    <cellStyle name="40% - Accent1 3 2 6 2" xfId="4456" xr:uid="{00000000-0005-0000-0000-000098110000}"/>
    <cellStyle name="40% - Accent1 3 2 7" xfId="4092" xr:uid="{00000000-0005-0000-0000-00002C100000}"/>
    <cellStyle name="40% - Accent1 3 2 7 2" xfId="4458" xr:uid="{00000000-0005-0000-0000-00009A110000}"/>
    <cellStyle name="40% - Accent1 3 2 8" xfId="2377" xr:uid="{00000000-0005-0000-0000-000079090000}"/>
    <cellStyle name="40% - Accent1 3 2 8 2" xfId="4464" xr:uid="{00000000-0005-0000-0000-0000A0110000}"/>
    <cellStyle name="40% - Accent1 3 2 9" xfId="4482" xr:uid="{00000000-0005-0000-0000-0000B2110000}"/>
    <cellStyle name="40% - Accent1 3 2 9 2" xfId="4488" xr:uid="{00000000-0005-0000-0000-0000B8110000}"/>
    <cellStyle name="40% - Accent1 3 3" xfId="1116" xr:uid="{00000000-0005-0000-0000-00008C040000}"/>
    <cellStyle name="40% - Accent1 3 3 2" xfId="3623" xr:uid="{00000000-0005-0000-0000-0000570E0000}"/>
    <cellStyle name="40% - Accent1 3 3 2 2" xfId="3631" xr:uid="{00000000-0005-0000-0000-00005F0E0000}"/>
    <cellStyle name="40% - Accent1 3 3 3" xfId="3596" xr:uid="{00000000-0005-0000-0000-00003C0E0000}"/>
    <cellStyle name="40% - Accent1 3 3 3 2" xfId="3635" xr:uid="{00000000-0005-0000-0000-0000630E0000}"/>
    <cellStyle name="40% - Accent1 3 3 4" xfId="3645" xr:uid="{00000000-0005-0000-0000-00006D0E0000}"/>
    <cellStyle name="40% - Accent1 3 3 4 2" xfId="4492" xr:uid="{00000000-0005-0000-0000-0000BC110000}"/>
    <cellStyle name="40% - Accent1 3 3 5" xfId="4496" xr:uid="{00000000-0005-0000-0000-0000C0110000}"/>
    <cellStyle name="40% - Accent1 3 3 5 2" xfId="4501" xr:uid="{00000000-0005-0000-0000-0000C5110000}"/>
    <cellStyle name="40% - Accent1 3 3 6" xfId="4505" xr:uid="{00000000-0005-0000-0000-0000C9110000}"/>
    <cellStyle name="40% - Accent1 3 3 6 2" xfId="4513" xr:uid="{00000000-0005-0000-0000-0000D1110000}"/>
    <cellStyle name="40% - Accent1 3 3 7" xfId="4099" xr:uid="{00000000-0005-0000-0000-000033100000}"/>
    <cellStyle name="40% - Accent1 3 3 7 2" xfId="4516" xr:uid="{00000000-0005-0000-0000-0000D4110000}"/>
    <cellStyle name="40% - Accent1 3 3 8" xfId="3236" xr:uid="{00000000-0005-0000-0000-0000D40C0000}"/>
    <cellStyle name="40% - Accent1 3 3 8 2" xfId="4523" xr:uid="{00000000-0005-0000-0000-0000DB110000}"/>
    <cellStyle name="40% - Accent1 3 3 9" xfId="4529" xr:uid="{00000000-0005-0000-0000-0000E1110000}"/>
    <cellStyle name="40% - Accent1 3 4" xfId="4537" xr:uid="{00000000-0005-0000-0000-0000E9110000}"/>
    <cellStyle name="40% - Accent1 3 4 2" xfId="2335" xr:uid="{00000000-0005-0000-0000-00004F090000}"/>
    <cellStyle name="40% - Accent1 3 5" xfId="3549" xr:uid="{00000000-0005-0000-0000-00000D0E0000}"/>
    <cellStyle name="40% - Accent1 3 5 2" xfId="2469" xr:uid="{00000000-0005-0000-0000-0000D5090000}"/>
    <cellStyle name="40% - Accent1 3 6" xfId="4541" xr:uid="{00000000-0005-0000-0000-0000ED110000}"/>
    <cellStyle name="40% - Accent1 3 6 2" xfId="4553" xr:uid="{00000000-0005-0000-0000-0000F9110000}"/>
    <cellStyle name="40% - Accent1 3 7" xfId="4555" xr:uid="{00000000-0005-0000-0000-0000FB110000}"/>
    <cellStyle name="40% - Accent1 3 7 2" xfId="4560" xr:uid="{00000000-0005-0000-0000-000000120000}"/>
    <cellStyle name="40% - Accent1 3 8" xfId="4564" xr:uid="{00000000-0005-0000-0000-000004120000}"/>
    <cellStyle name="40% - Accent1 3 8 2" xfId="958" xr:uid="{00000000-0005-0000-0000-0000EE030000}"/>
    <cellStyle name="40% - Accent1 3 9" xfId="4571" xr:uid="{00000000-0005-0000-0000-00000B120000}"/>
    <cellStyle name="40% - Accent1 3 9 2" xfId="4584" xr:uid="{00000000-0005-0000-0000-000018120000}"/>
    <cellStyle name="40% - Accent1 4" xfId="351" xr:uid="{00000000-0005-0000-0000-000077010000}"/>
    <cellStyle name="40% - Accent1 4 2" xfId="543" xr:uid="{00000000-0005-0000-0000-000043020000}"/>
    <cellStyle name="40% - Accent1 4 2 2" xfId="1806" xr:uid="{00000000-0005-0000-0000-00003E070000}"/>
    <cellStyle name="40% - Accent1 4 3" xfId="14" xr:uid="{00000000-0005-0000-0000-00000F000000}"/>
    <cellStyle name="40% - Accent1 4 3 2" xfId="1954" xr:uid="{00000000-0005-0000-0000-0000D2070000}"/>
    <cellStyle name="40% - Accent1 4 4" xfId="598" xr:uid="{00000000-0005-0000-0000-00007F020000}"/>
    <cellStyle name="40% - Accent1 4 4 2" xfId="1961" xr:uid="{00000000-0005-0000-0000-0000D9070000}"/>
    <cellStyle name="40% - Accent1 4 5" xfId="505" xr:uid="{00000000-0005-0000-0000-000019020000}"/>
    <cellStyle name="40% - Accent1 4 5 2" xfId="1969" xr:uid="{00000000-0005-0000-0000-0000E1070000}"/>
    <cellStyle name="40% - Accent1 4 6" xfId="405" xr:uid="{00000000-0005-0000-0000-0000AF010000}"/>
    <cellStyle name="40% - Accent1 4 6 2" xfId="1996" xr:uid="{00000000-0005-0000-0000-0000FC070000}"/>
    <cellStyle name="40% - Accent1 4 7" xfId="2006" xr:uid="{00000000-0005-0000-0000-000006080000}"/>
    <cellStyle name="40% - Accent1 4 7 2" xfId="2020" xr:uid="{00000000-0005-0000-0000-000014080000}"/>
    <cellStyle name="40% - Accent1 4 8" xfId="2033" xr:uid="{00000000-0005-0000-0000-000021080000}"/>
    <cellStyle name="40% - Accent1 4 9" xfId="2053" xr:uid="{00000000-0005-0000-0000-000035080000}"/>
    <cellStyle name="40% - Accent1 5" xfId="2087" xr:uid="{00000000-0005-0000-0000-000057080000}"/>
    <cellStyle name="40% - Accent1 5 2" xfId="2109" xr:uid="{00000000-0005-0000-0000-00006D080000}"/>
    <cellStyle name="40% - Accent1 6" xfId="2269" xr:uid="{00000000-0005-0000-0000-00000D090000}"/>
    <cellStyle name="40% - Accent1 6 2" xfId="2289" xr:uid="{00000000-0005-0000-0000-000021090000}"/>
    <cellStyle name="40% - Accent1 7" xfId="2298" xr:uid="{00000000-0005-0000-0000-00002A090000}"/>
    <cellStyle name="40% - Accent1 7 2" xfId="2304" xr:uid="{00000000-0005-0000-0000-000030090000}"/>
    <cellStyle name="40% - Accent1 8" xfId="2315" xr:uid="{00000000-0005-0000-0000-00003B090000}"/>
    <cellStyle name="40% - Accent1 8 2" xfId="2320" xr:uid="{00000000-0005-0000-0000-000040090000}"/>
    <cellStyle name="40% - Accent1 9" xfId="2326" xr:uid="{00000000-0005-0000-0000-000046090000}"/>
    <cellStyle name="40% - Accent1 9 2" xfId="2344" xr:uid="{00000000-0005-0000-0000-000058090000}"/>
    <cellStyle name="40% - Accent2 2" xfId="4595" xr:uid="{00000000-0005-0000-0000-000023120000}"/>
    <cellStyle name="40% - Accent2 2 2" xfId="4596" xr:uid="{00000000-0005-0000-0000-000024120000}"/>
    <cellStyle name="40% - Accent2 2 2 2" xfId="4597" xr:uid="{00000000-0005-0000-0000-000025120000}"/>
    <cellStyle name="40% - Accent2 2 2 2 2" xfId="4603" xr:uid="{00000000-0005-0000-0000-00002B120000}"/>
    <cellStyle name="40% - Accent2 2 2 3" xfId="4605" xr:uid="{00000000-0005-0000-0000-00002D120000}"/>
    <cellStyle name="40% - Accent2 2 3" xfId="1247" xr:uid="{00000000-0005-0000-0000-00000F050000}"/>
    <cellStyle name="40% - Accent2 2 3 2" xfId="4609" xr:uid="{00000000-0005-0000-0000-000031120000}"/>
    <cellStyle name="40% - Accent2 2 4" xfId="36" xr:uid="{00000000-0005-0000-0000-000027000000}"/>
    <cellStyle name="40% - Accent2 2 4 2" xfId="4610" xr:uid="{00000000-0005-0000-0000-000032120000}"/>
    <cellStyle name="40% - Accent2 2 5" xfId="3677" xr:uid="{00000000-0005-0000-0000-00008D0E0000}"/>
    <cellStyle name="40% - Accent2 2 6" xfId="3685" xr:uid="{00000000-0005-0000-0000-0000950E0000}"/>
    <cellStyle name="40% - Accent2 3" xfId="2474" xr:uid="{00000000-0005-0000-0000-0000DA090000}"/>
    <cellStyle name="40% - Accent2 3 10" xfId="2187" xr:uid="{00000000-0005-0000-0000-0000BB080000}"/>
    <cellStyle name="40% - Accent2 3 10 2" xfId="4621" xr:uid="{00000000-0005-0000-0000-00003D120000}"/>
    <cellStyle name="40% - Accent2 3 11" xfId="4632" xr:uid="{00000000-0005-0000-0000-000048120000}"/>
    <cellStyle name="40% - Accent2 3 2" xfId="4635" xr:uid="{00000000-0005-0000-0000-00004B120000}"/>
    <cellStyle name="40% - Accent2 3 2 10" xfId="2603" xr:uid="{00000000-0005-0000-0000-00005B0A0000}"/>
    <cellStyle name="40% - Accent2 3 2 2" xfId="4637" xr:uid="{00000000-0005-0000-0000-00004D120000}"/>
    <cellStyle name="40% - Accent2 3 2 2 2" xfId="4639" xr:uid="{00000000-0005-0000-0000-00004F120000}"/>
    <cellStyle name="40% - Accent2 3 2 2 2 2" xfId="4642" xr:uid="{00000000-0005-0000-0000-000052120000}"/>
    <cellStyle name="40% - Accent2 3 2 2 3" xfId="4649" xr:uid="{00000000-0005-0000-0000-000059120000}"/>
    <cellStyle name="40% - Accent2 3 2 2 3 2" xfId="4653" xr:uid="{00000000-0005-0000-0000-00005D120000}"/>
    <cellStyle name="40% - Accent2 3 2 2 4" xfId="1986" xr:uid="{00000000-0005-0000-0000-0000F2070000}"/>
    <cellStyle name="40% - Accent2 3 2 2 4 2" xfId="4662" xr:uid="{00000000-0005-0000-0000-000066120000}"/>
    <cellStyle name="40% - Accent2 3 2 2 5" xfId="4683" xr:uid="{00000000-0005-0000-0000-00007B120000}"/>
    <cellStyle name="40% - Accent2 3 2 2 5 2" xfId="4690" xr:uid="{00000000-0005-0000-0000-000082120000}"/>
    <cellStyle name="40% - Accent2 3 2 2 6" xfId="4712" xr:uid="{00000000-0005-0000-0000-000098120000}"/>
    <cellStyle name="40% - Accent2 3 2 2 6 2" xfId="2669" xr:uid="{00000000-0005-0000-0000-00009D0A0000}"/>
    <cellStyle name="40% - Accent2 3 2 2 7" xfId="1399" xr:uid="{00000000-0005-0000-0000-0000A7050000}"/>
    <cellStyle name="40% - Accent2 3 2 2 7 2" xfId="4718" xr:uid="{00000000-0005-0000-0000-00009E120000}"/>
    <cellStyle name="40% - Accent2 3 2 2 8" xfId="4736" xr:uid="{00000000-0005-0000-0000-0000B0120000}"/>
    <cellStyle name="40% - Accent2 3 2 2 8 2" xfId="4740" xr:uid="{00000000-0005-0000-0000-0000B4120000}"/>
    <cellStyle name="40% - Accent2 3 2 2 9" xfId="4754" xr:uid="{00000000-0005-0000-0000-0000C2120000}"/>
    <cellStyle name="40% - Accent2 3 2 3" xfId="4759" xr:uid="{00000000-0005-0000-0000-0000C7120000}"/>
    <cellStyle name="40% - Accent2 3 2 3 2" xfId="108" xr:uid="{00000000-0005-0000-0000-000075000000}"/>
    <cellStyle name="40% - Accent2 3 2 4" xfId="4421" xr:uid="{00000000-0005-0000-0000-000075110000}"/>
    <cellStyle name="40% - Accent2 3 2 4 2" xfId="4760" xr:uid="{00000000-0005-0000-0000-0000C8120000}"/>
    <cellStyle name="40% - Accent2 3 2 5" xfId="4764" xr:uid="{00000000-0005-0000-0000-0000CC120000}"/>
    <cellStyle name="40% - Accent2 3 2 5 2" xfId="4767" xr:uid="{00000000-0005-0000-0000-0000CF120000}"/>
    <cellStyle name="40% - Accent2 3 2 6" xfId="1078" xr:uid="{00000000-0005-0000-0000-000066040000}"/>
    <cellStyle name="40% - Accent2 3 2 6 2" xfId="4775" xr:uid="{00000000-0005-0000-0000-0000D7120000}"/>
    <cellStyle name="40% - Accent2 3 2 7" xfId="4788" xr:uid="{00000000-0005-0000-0000-0000E4120000}"/>
    <cellStyle name="40% - Accent2 3 2 7 2" xfId="4793" xr:uid="{00000000-0005-0000-0000-0000E9120000}"/>
    <cellStyle name="40% - Accent2 3 2 8" xfId="219" xr:uid="{00000000-0005-0000-0000-0000EB000000}"/>
    <cellStyle name="40% - Accent2 3 2 8 2" xfId="296" xr:uid="{00000000-0005-0000-0000-00003C010000}"/>
    <cellStyle name="40% - Accent2 3 2 9" xfId="3308" xr:uid="{00000000-0005-0000-0000-00001C0D0000}"/>
    <cellStyle name="40% - Accent2 3 2 9 2" xfId="3319" xr:uid="{00000000-0005-0000-0000-0000270D0000}"/>
    <cellStyle name="40% - Accent2 3 3" xfId="4798" xr:uid="{00000000-0005-0000-0000-0000EE120000}"/>
    <cellStyle name="40% - Accent2 3 3 2" xfId="4800" xr:uid="{00000000-0005-0000-0000-0000F0120000}"/>
    <cellStyle name="40% - Accent2 3 3 2 2" xfId="4567" xr:uid="{00000000-0005-0000-0000-000007120000}"/>
    <cellStyle name="40% - Accent2 3 3 3" xfId="4802" xr:uid="{00000000-0005-0000-0000-0000F2120000}"/>
    <cellStyle name="40% - Accent2 3 3 3 2" xfId="2031" xr:uid="{00000000-0005-0000-0000-00001F080000}"/>
    <cellStyle name="40% - Accent2 3 3 4" xfId="4436" xr:uid="{00000000-0005-0000-0000-000084110000}"/>
    <cellStyle name="40% - Accent2 3 3 4 2" xfId="2229" xr:uid="{00000000-0005-0000-0000-0000E5080000}"/>
    <cellStyle name="40% - Accent2 3 3 5" xfId="4245" xr:uid="{00000000-0005-0000-0000-0000C5100000}"/>
    <cellStyle name="40% - Accent2 3 3 5 2" xfId="4262" xr:uid="{00000000-0005-0000-0000-0000D6100000}"/>
    <cellStyle name="40% - Accent2 3 3 6" xfId="1096" xr:uid="{00000000-0005-0000-0000-000078040000}"/>
    <cellStyle name="40% - Accent2 3 3 6 2" xfId="4319" xr:uid="{00000000-0005-0000-0000-00000F110000}"/>
    <cellStyle name="40% - Accent2 3 3 7" xfId="4341" xr:uid="{00000000-0005-0000-0000-000025110000}"/>
    <cellStyle name="40% - Accent2 3 3 7 2" xfId="1301" xr:uid="{00000000-0005-0000-0000-000045050000}"/>
    <cellStyle name="40% - Accent2 3 3 8" xfId="3449" xr:uid="{00000000-0005-0000-0000-0000A90D0000}"/>
    <cellStyle name="40% - Accent2 3 3 8 2" xfId="1482" xr:uid="{00000000-0005-0000-0000-0000FA050000}"/>
    <cellStyle name="40% - Accent2 3 3 9" xfId="3472" xr:uid="{00000000-0005-0000-0000-0000C00D0000}"/>
    <cellStyle name="40% - Accent2 3 4" xfId="4803" xr:uid="{00000000-0005-0000-0000-0000F3120000}"/>
    <cellStyle name="40% - Accent2 3 4 2" xfId="4805" xr:uid="{00000000-0005-0000-0000-0000F5120000}"/>
    <cellStyle name="40% - Accent2 3 5" xfId="3734" xr:uid="{00000000-0005-0000-0000-0000C60E0000}"/>
    <cellStyle name="40% - Accent2 3 5 2" xfId="4814" xr:uid="{00000000-0005-0000-0000-0000FE120000}"/>
    <cellStyle name="40% - Accent2 3 6" xfId="4816" xr:uid="{00000000-0005-0000-0000-000000130000}"/>
    <cellStyle name="40% - Accent2 3 6 2" xfId="4824" xr:uid="{00000000-0005-0000-0000-000008130000}"/>
    <cellStyle name="40% - Accent2 3 7" xfId="3398" xr:uid="{00000000-0005-0000-0000-0000760D0000}"/>
    <cellStyle name="40% - Accent2 3 7 2" xfId="4827" xr:uid="{00000000-0005-0000-0000-00000B130000}"/>
    <cellStyle name="40% - Accent2 3 8" xfId="4833" xr:uid="{00000000-0005-0000-0000-000011130000}"/>
    <cellStyle name="40% - Accent2 3 8 2" xfId="4839" xr:uid="{00000000-0005-0000-0000-000017130000}"/>
    <cellStyle name="40% - Accent2 3 9" xfId="4841" xr:uid="{00000000-0005-0000-0000-000019130000}"/>
    <cellStyle name="40% - Accent2 3 9 2" xfId="4846" xr:uid="{00000000-0005-0000-0000-00001E130000}"/>
    <cellStyle name="40% - Accent2 4" xfId="1837" xr:uid="{00000000-0005-0000-0000-00005D070000}"/>
    <cellStyle name="40% - Accent2 4 2" xfId="2406" xr:uid="{00000000-0005-0000-0000-000096090000}"/>
    <cellStyle name="40% - Accent2 4 2 2" xfId="4847" xr:uid="{00000000-0005-0000-0000-00001F130000}"/>
    <cellStyle name="40% - Accent2 4 3" xfId="4848" xr:uid="{00000000-0005-0000-0000-000020130000}"/>
    <cellStyle name="40% - Accent2 4 3 2" xfId="4849" xr:uid="{00000000-0005-0000-0000-000021130000}"/>
    <cellStyle name="40% - Accent2 4 4" xfId="4852" xr:uid="{00000000-0005-0000-0000-000024130000}"/>
    <cellStyle name="40% - Accent2 4 4 2" xfId="4855" xr:uid="{00000000-0005-0000-0000-000027130000}"/>
    <cellStyle name="40% - Accent2 4 5" xfId="3746" xr:uid="{00000000-0005-0000-0000-0000D20E0000}"/>
    <cellStyle name="40% - Accent2 4 5 2" xfId="4861" xr:uid="{00000000-0005-0000-0000-00002D130000}"/>
    <cellStyle name="40% - Accent2 4 6" xfId="4864" xr:uid="{00000000-0005-0000-0000-000030130000}"/>
    <cellStyle name="40% - Accent2 4 6 2" xfId="4868" xr:uid="{00000000-0005-0000-0000-000034130000}"/>
    <cellStyle name="40% - Accent2 4 7" xfId="3415" xr:uid="{00000000-0005-0000-0000-0000870D0000}"/>
    <cellStyle name="40% - Accent2 4 7 2" xfId="4871" xr:uid="{00000000-0005-0000-0000-000037130000}"/>
    <cellStyle name="40% - Accent2 4 8" xfId="4881" xr:uid="{00000000-0005-0000-0000-000041130000}"/>
    <cellStyle name="40% - Accent2 4 9" xfId="4884" xr:uid="{00000000-0005-0000-0000-000044130000}"/>
    <cellStyle name="40% - Accent2 5" xfId="2414" xr:uid="{00000000-0005-0000-0000-00009E090000}"/>
    <cellStyle name="40% - Accent2 5 2" xfId="2424" xr:uid="{00000000-0005-0000-0000-0000A8090000}"/>
    <cellStyle name="40% - Accent2 6" xfId="2431" xr:uid="{00000000-0005-0000-0000-0000AF090000}"/>
    <cellStyle name="40% - Accent2 6 2" xfId="2436" xr:uid="{00000000-0005-0000-0000-0000B4090000}"/>
    <cellStyle name="40% - Accent2 7" xfId="2442" xr:uid="{00000000-0005-0000-0000-0000BA090000}"/>
    <cellStyle name="40% - Accent2 7 2" xfId="2448" xr:uid="{00000000-0005-0000-0000-0000C0090000}"/>
    <cellStyle name="40% - Accent2 8" xfId="2454" xr:uid="{00000000-0005-0000-0000-0000C6090000}"/>
    <cellStyle name="40% - Accent2 8 2" xfId="2461" xr:uid="{00000000-0005-0000-0000-0000CD090000}"/>
    <cellStyle name="40% - Accent2 9" xfId="2466" xr:uid="{00000000-0005-0000-0000-0000D2090000}"/>
    <cellStyle name="40% - Accent2 9 2" xfId="2473" xr:uid="{00000000-0005-0000-0000-0000D9090000}"/>
    <cellStyle name="40% - Accent3 2" xfId="1550" xr:uid="{00000000-0005-0000-0000-00003E060000}"/>
    <cellStyle name="40% - Accent3 2 2" xfId="1561" xr:uid="{00000000-0005-0000-0000-000049060000}"/>
    <cellStyle name="40% - Accent3 2 2 2" xfId="4887" xr:uid="{00000000-0005-0000-0000-000047130000}"/>
    <cellStyle name="40% - Accent3 2 2 2 2" xfId="4890" xr:uid="{00000000-0005-0000-0000-00004A130000}"/>
    <cellStyle name="40% - Accent3 2 2 3" xfId="4900" xr:uid="{00000000-0005-0000-0000-000054130000}"/>
    <cellStyle name="40% - Accent3 2 3" xfId="4189" xr:uid="{00000000-0005-0000-0000-00008D100000}"/>
    <cellStyle name="40% - Accent3 2 3 2" xfId="4199" xr:uid="{00000000-0005-0000-0000-000097100000}"/>
    <cellStyle name="40% - Accent3 2 4" xfId="4910" xr:uid="{00000000-0005-0000-0000-00005E130000}"/>
    <cellStyle name="40% - Accent3 2 4 2" xfId="4920" xr:uid="{00000000-0005-0000-0000-000068130000}"/>
    <cellStyle name="40% - Accent3 2 5" xfId="4083" xr:uid="{00000000-0005-0000-0000-000023100000}"/>
    <cellStyle name="40% - Accent3 2 6" xfId="4089" xr:uid="{00000000-0005-0000-0000-000029100000}"/>
    <cellStyle name="40% - Accent3 2_ADAE" xfId="4922" xr:uid="{00000000-0005-0000-0000-00006A130000}"/>
    <cellStyle name="40% - Accent3 3" xfId="1577" xr:uid="{00000000-0005-0000-0000-000059060000}"/>
    <cellStyle name="40% - Accent3 3 10" xfId="150" xr:uid="{00000000-0005-0000-0000-0000A2000000}"/>
    <cellStyle name="40% - Accent3 3 10 2" xfId="3779" xr:uid="{00000000-0005-0000-0000-0000F30E0000}"/>
    <cellStyle name="40% - Accent3 3 11" xfId="3907" xr:uid="{00000000-0005-0000-0000-0000730F0000}"/>
    <cellStyle name="40% - Accent3 3 2" xfId="1584" xr:uid="{00000000-0005-0000-0000-000060060000}"/>
    <cellStyle name="40% - Accent3 3 2 10" xfId="3033" xr:uid="{00000000-0005-0000-0000-0000090C0000}"/>
    <cellStyle name="40% - Accent3 3 2 2" xfId="4936" xr:uid="{00000000-0005-0000-0000-000078130000}"/>
    <cellStyle name="40% - Accent3 3 2 2 2" xfId="4944" xr:uid="{00000000-0005-0000-0000-000080130000}"/>
    <cellStyle name="40% - Accent3 3 2 2 2 2" xfId="2598" xr:uid="{00000000-0005-0000-0000-0000560A0000}"/>
    <cellStyle name="40% - Accent3 3 2 2 3" xfId="4949" xr:uid="{00000000-0005-0000-0000-000085130000}"/>
    <cellStyle name="40% - Accent3 3 2 2 3 2" xfId="2835" xr:uid="{00000000-0005-0000-0000-0000430B0000}"/>
    <cellStyle name="40% - Accent3 3 2 2 4" xfId="2775" xr:uid="{00000000-0005-0000-0000-0000070B0000}"/>
    <cellStyle name="40% - Accent3 3 2 2 4 2" xfId="2993" xr:uid="{00000000-0005-0000-0000-0000E10B0000}"/>
    <cellStyle name="40% - Accent3 3 2 2 5" xfId="725" xr:uid="{00000000-0005-0000-0000-000005030000}"/>
    <cellStyle name="40% - Accent3 3 2 2 5 2" xfId="4963" xr:uid="{00000000-0005-0000-0000-000093130000}"/>
    <cellStyle name="40% - Accent3 3 2 2 6" xfId="4970" xr:uid="{00000000-0005-0000-0000-00009A130000}"/>
    <cellStyle name="40% - Accent3 3 2 2 6 2" xfId="4979" xr:uid="{00000000-0005-0000-0000-0000A3130000}"/>
    <cellStyle name="40% - Accent3 3 2 2 7" xfId="4988" xr:uid="{00000000-0005-0000-0000-0000AC130000}"/>
    <cellStyle name="40% - Accent3 3 2 2 7 2" xfId="4995" xr:uid="{00000000-0005-0000-0000-0000B3130000}"/>
    <cellStyle name="40% - Accent3 3 2 2 8" xfId="70" xr:uid="{00000000-0005-0000-0000-00004A000000}"/>
    <cellStyle name="40% - Accent3 3 2 2 8 2" xfId="4999" xr:uid="{00000000-0005-0000-0000-0000B7130000}"/>
    <cellStyle name="40% - Accent3 3 2 2 9" xfId="5009" xr:uid="{00000000-0005-0000-0000-0000C1130000}"/>
    <cellStyle name="40% - Accent3 3 2 3" xfId="5014" xr:uid="{00000000-0005-0000-0000-0000C6130000}"/>
    <cellStyle name="40% - Accent3 3 2 3 2" xfId="5016" xr:uid="{00000000-0005-0000-0000-0000C8130000}"/>
    <cellStyle name="40% - Accent3 3 2 4" xfId="1699" xr:uid="{00000000-0005-0000-0000-0000D3060000}"/>
    <cellStyle name="40% - Accent3 3 2 4 2" xfId="5019" xr:uid="{00000000-0005-0000-0000-0000CB130000}"/>
    <cellStyle name="40% - Accent3 3 2 5" xfId="5025" xr:uid="{00000000-0005-0000-0000-0000D1130000}"/>
    <cellStyle name="40% - Accent3 3 2 5 2" xfId="5036" xr:uid="{00000000-0005-0000-0000-0000DC130000}"/>
    <cellStyle name="40% - Accent3 3 2 6" xfId="5041" xr:uid="{00000000-0005-0000-0000-0000E1130000}"/>
    <cellStyle name="40% - Accent3 3 2 6 2" xfId="5043" xr:uid="{00000000-0005-0000-0000-0000E3130000}"/>
    <cellStyle name="40% - Accent3 3 2 7" xfId="5051" xr:uid="{00000000-0005-0000-0000-0000EB130000}"/>
    <cellStyle name="40% - Accent3 3 2 7 2" xfId="5066" xr:uid="{00000000-0005-0000-0000-0000FA130000}"/>
    <cellStyle name="40% - Accent3 3 2 8" xfId="5072" xr:uid="{00000000-0005-0000-0000-000000140000}"/>
    <cellStyle name="40% - Accent3 3 2 8 2" xfId="5082" xr:uid="{00000000-0005-0000-0000-00000A140000}"/>
    <cellStyle name="40% - Accent3 3 2 9" xfId="5088" xr:uid="{00000000-0005-0000-0000-000010140000}"/>
    <cellStyle name="40% - Accent3 3 2 9 2" xfId="5102" xr:uid="{00000000-0005-0000-0000-00001E140000}"/>
    <cellStyle name="40% - Accent3 3 3" xfId="4209" xr:uid="{00000000-0005-0000-0000-0000A1100000}"/>
    <cellStyle name="40% - Accent3 3 3 2" xfId="4215" xr:uid="{00000000-0005-0000-0000-0000A7100000}"/>
    <cellStyle name="40% - Accent3 3 3 2 2" xfId="5109" xr:uid="{00000000-0005-0000-0000-000025140000}"/>
    <cellStyle name="40% - Accent3 3 3 3" xfId="5121" xr:uid="{00000000-0005-0000-0000-000031140000}"/>
    <cellStyle name="40% - Accent3 3 3 3 2" xfId="5128" xr:uid="{00000000-0005-0000-0000-000038140000}"/>
    <cellStyle name="40% - Accent3 3 3 4" xfId="365" xr:uid="{00000000-0005-0000-0000-000085010000}"/>
    <cellStyle name="40% - Accent3 3 3 4 2" xfId="552" xr:uid="{00000000-0005-0000-0000-00004C020000}"/>
    <cellStyle name="40% - Accent3 3 3 5" xfId="5145" xr:uid="{00000000-0005-0000-0000-000049140000}"/>
    <cellStyle name="40% - Accent3 3 3 5 2" xfId="2094" xr:uid="{00000000-0005-0000-0000-00005E080000}"/>
    <cellStyle name="40% - Accent3 3 3 6" xfId="5154" xr:uid="{00000000-0005-0000-0000-000052140000}"/>
    <cellStyle name="40% - Accent3 3 3 6 2" xfId="2271" xr:uid="{00000000-0005-0000-0000-00000F090000}"/>
    <cellStyle name="40% - Accent3 3 3 7" xfId="5166" xr:uid="{00000000-0005-0000-0000-00005E140000}"/>
    <cellStyle name="40% - Accent3 3 3 7 2" xfId="4894" xr:uid="{00000000-0005-0000-0000-00004E130000}"/>
    <cellStyle name="40% - Accent3 3 3 8" xfId="5174" xr:uid="{00000000-0005-0000-0000-000066140000}"/>
    <cellStyle name="40% - Accent3 3 3 8 2" xfId="5175" xr:uid="{00000000-0005-0000-0000-000067140000}"/>
    <cellStyle name="40% - Accent3 3 3 9" xfId="5185" xr:uid="{00000000-0005-0000-0000-000071140000}"/>
    <cellStyle name="40% - Accent3 3 4" xfId="5195" xr:uid="{00000000-0005-0000-0000-00007B140000}"/>
    <cellStyle name="40% - Accent3 3 4 2" xfId="5197" xr:uid="{00000000-0005-0000-0000-00007D140000}"/>
    <cellStyle name="40% - Accent3 3 5" xfId="4125" xr:uid="{00000000-0005-0000-0000-00004D100000}"/>
    <cellStyle name="40% - Accent3 3 5 2" xfId="5208" xr:uid="{00000000-0005-0000-0000-000088140000}"/>
    <cellStyle name="40% - Accent3 3 6" xfId="5223" xr:uid="{00000000-0005-0000-0000-000097140000}"/>
    <cellStyle name="40% - Accent3 3 6 2" xfId="1879" xr:uid="{00000000-0005-0000-0000-000087070000}"/>
    <cellStyle name="40% - Accent3 3 7" xfId="3506" xr:uid="{00000000-0005-0000-0000-0000E20D0000}"/>
    <cellStyle name="40% - Accent3 3 7 2" xfId="5232" xr:uid="{00000000-0005-0000-0000-0000A0140000}"/>
    <cellStyle name="40% - Accent3 3 8" xfId="5241" xr:uid="{00000000-0005-0000-0000-0000A9140000}"/>
    <cellStyle name="40% - Accent3 3 8 2" xfId="5253" xr:uid="{00000000-0005-0000-0000-0000B5140000}"/>
    <cellStyle name="40% - Accent3 3 9" xfId="3931" xr:uid="{00000000-0005-0000-0000-00008B0F0000}"/>
    <cellStyle name="40% - Accent3 3 9 2" xfId="5254" xr:uid="{00000000-0005-0000-0000-0000B6140000}"/>
    <cellStyle name="40% - Accent3 4" xfId="1612" xr:uid="{00000000-0005-0000-0000-00007C060000}"/>
    <cellStyle name="40% - Accent3 4 2" xfId="1628" xr:uid="{00000000-0005-0000-0000-00008C060000}"/>
    <cellStyle name="40% - Accent3 4 2 2" xfId="602" xr:uid="{00000000-0005-0000-0000-000083020000}"/>
    <cellStyle name="40% - Accent3 4 3" xfId="3257" xr:uid="{00000000-0005-0000-0000-0000E90C0000}"/>
    <cellStyle name="40% - Accent3 4 3 2" xfId="4226" xr:uid="{00000000-0005-0000-0000-0000B2100000}"/>
    <cellStyle name="40% - Accent3 4 4" xfId="5262" xr:uid="{00000000-0005-0000-0000-0000BE140000}"/>
    <cellStyle name="40% - Accent3 4 4 2" xfId="4956" xr:uid="{00000000-0005-0000-0000-00008C130000}"/>
    <cellStyle name="40% - Accent3 4 5" xfId="4138" xr:uid="{00000000-0005-0000-0000-00005A100000}"/>
    <cellStyle name="40% - Accent3 4 5 2" xfId="5272" xr:uid="{00000000-0005-0000-0000-0000C8140000}"/>
    <cellStyle name="40% - Accent3 4 6" xfId="5274" xr:uid="{00000000-0005-0000-0000-0000CA140000}"/>
    <cellStyle name="40% - Accent3 4 6 2" xfId="5287" xr:uid="{00000000-0005-0000-0000-0000D7140000}"/>
    <cellStyle name="40% - Accent3 4 7" xfId="3186" xr:uid="{00000000-0005-0000-0000-0000A20C0000}"/>
    <cellStyle name="40% - Accent3 4 7 2" xfId="5298" xr:uid="{00000000-0005-0000-0000-0000E2140000}"/>
    <cellStyle name="40% - Accent3 4 8" xfId="5302" xr:uid="{00000000-0005-0000-0000-0000E6140000}"/>
    <cellStyle name="40% - Accent3 4 9" xfId="3942" xr:uid="{00000000-0005-0000-0000-0000960F0000}"/>
    <cellStyle name="40% - Accent3 5" xfId="1661" xr:uid="{00000000-0005-0000-0000-0000AD060000}"/>
    <cellStyle name="40% - Accent3 5 2" xfId="1056" xr:uid="{00000000-0005-0000-0000-000050040000}"/>
    <cellStyle name="40% - Accent3 6" xfId="785" xr:uid="{00000000-0005-0000-0000-000041030000}"/>
    <cellStyle name="40% - Accent3 6 2" xfId="5307" xr:uid="{00000000-0005-0000-0000-0000EB140000}"/>
    <cellStyle name="40% - Accent3 7" xfId="5309" xr:uid="{00000000-0005-0000-0000-0000ED140000}"/>
    <cellStyle name="40% - Accent3 7 2" xfId="634" xr:uid="{00000000-0005-0000-0000-0000A6020000}"/>
    <cellStyle name="40% - Accent3 8" xfId="5312" xr:uid="{00000000-0005-0000-0000-0000F0140000}"/>
    <cellStyle name="40% - Accent3 8 2" xfId="5323" xr:uid="{00000000-0005-0000-0000-0000FB140000}"/>
    <cellStyle name="40% - Accent3 9" xfId="4545" xr:uid="{00000000-0005-0000-0000-0000F1110000}"/>
    <cellStyle name="40% - Accent3 9 2" xfId="5326" xr:uid="{00000000-0005-0000-0000-0000FE140000}"/>
    <cellStyle name="40% - Accent4 2" xfId="1864" xr:uid="{00000000-0005-0000-0000-000078070000}"/>
    <cellStyle name="40% - Accent4 2 2" xfId="1892" xr:uid="{00000000-0005-0000-0000-000094070000}"/>
    <cellStyle name="40% - Accent4 2 2 2" xfId="2514" xr:uid="{00000000-0005-0000-0000-0000020A0000}"/>
    <cellStyle name="40% - Accent4 2 2 2 2" xfId="3554" xr:uid="{00000000-0005-0000-0000-0000120E0000}"/>
    <cellStyle name="40% - Accent4 2 2 3" xfId="2896" xr:uid="{00000000-0005-0000-0000-0000800B0000}"/>
    <cellStyle name="40% - Accent4 2 3" xfId="2535" xr:uid="{00000000-0005-0000-0000-0000170A0000}"/>
    <cellStyle name="40% - Accent4 2 3 2" xfId="2557" xr:uid="{00000000-0005-0000-0000-00002D0A0000}"/>
    <cellStyle name="40% - Accent4 2 4" xfId="5338" xr:uid="{00000000-0005-0000-0000-00000A150000}"/>
    <cellStyle name="40% - Accent4 2 4 2" xfId="4150" xr:uid="{00000000-0005-0000-0000-000066100000}"/>
    <cellStyle name="40% - Accent4 2 5" xfId="5347" xr:uid="{00000000-0005-0000-0000-000013150000}"/>
    <cellStyle name="40% - Accent4 2 6" xfId="5362" xr:uid="{00000000-0005-0000-0000-000022150000}"/>
    <cellStyle name="40% - Accent4 3" xfId="1938" xr:uid="{00000000-0005-0000-0000-0000C2070000}"/>
    <cellStyle name="40% - Accent4 3 10" xfId="5369" xr:uid="{00000000-0005-0000-0000-000029150000}"/>
    <cellStyle name="40% - Accent4 3 10 2" xfId="5384" xr:uid="{00000000-0005-0000-0000-000038150000}"/>
    <cellStyle name="40% - Accent4 3 11" xfId="5390" xr:uid="{00000000-0005-0000-0000-00003E150000}"/>
    <cellStyle name="40% - Accent4 3 2" xfId="852" xr:uid="{00000000-0005-0000-0000-000084030000}"/>
    <cellStyle name="40% - Accent4 3 2 10" xfId="2741" xr:uid="{00000000-0005-0000-0000-0000E50A0000}"/>
    <cellStyle name="40% - Accent4 3 2 2" xfId="418" xr:uid="{00000000-0005-0000-0000-0000BD010000}"/>
    <cellStyle name="40% - Accent4 3 2 2 2" xfId="5400" xr:uid="{00000000-0005-0000-0000-000048150000}"/>
    <cellStyle name="40% - Accent4 3 2 2 2 2" xfId="3956" xr:uid="{00000000-0005-0000-0000-0000A40F0000}"/>
    <cellStyle name="40% - Accent4 3 2 2 3" xfId="5411" xr:uid="{00000000-0005-0000-0000-000053150000}"/>
    <cellStyle name="40% - Accent4 3 2 2 3 2" xfId="4039" xr:uid="{00000000-0005-0000-0000-0000F70F0000}"/>
    <cellStyle name="40% - Accent4 3 2 2 4" xfId="979" xr:uid="{00000000-0005-0000-0000-000003040000}"/>
    <cellStyle name="40% - Accent4 3 2 2 4 2" xfId="5393" xr:uid="{00000000-0005-0000-0000-000041150000}"/>
    <cellStyle name="40% - Accent4 3 2 2 5" xfId="4598" xr:uid="{00000000-0005-0000-0000-000026120000}"/>
    <cellStyle name="40% - Accent4 3 2 2 5 2" xfId="4604" xr:uid="{00000000-0005-0000-0000-00002C120000}"/>
    <cellStyle name="40% - Accent4 3 2 2 6" xfId="4606" xr:uid="{00000000-0005-0000-0000-00002E120000}"/>
    <cellStyle name="40% - Accent4 3 2 2 6 2" xfId="5419" xr:uid="{00000000-0005-0000-0000-00005B150000}"/>
    <cellStyle name="40% - Accent4 3 2 2 7" xfId="5423" xr:uid="{00000000-0005-0000-0000-00005F150000}"/>
    <cellStyle name="40% - Accent4 3 2 2 7 2" xfId="3897" xr:uid="{00000000-0005-0000-0000-0000690F0000}"/>
    <cellStyle name="40% - Accent4 3 2 2 8" xfId="5425" xr:uid="{00000000-0005-0000-0000-000061150000}"/>
    <cellStyle name="40% - Accent4 3 2 2 8 2" xfId="5028" xr:uid="{00000000-0005-0000-0000-0000D4130000}"/>
    <cellStyle name="40% - Accent4 3 2 2 9" xfId="5427" xr:uid="{00000000-0005-0000-0000-000063150000}"/>
    <cellStyle name="40% - Accent4 3 2 3" xfId="5006" xr:uid="{00000000-0005-0000-0000-0000BE130000}"/>
    <cellStyle name="40% - Accent4 3 2 3 2" xfId="5428" xr:uid="{00000000-0005-0000-0000-000064150000}"/>
    <cellStyle name="40% - Accent4 3 2 4" xfId="5431" xr:uid="{00000000-0005-0000-0000-000067150000}"/>
    <cellStyle name="40% - Accent4 3 2 4 2" xfId="5432" xr:uid="{00000000-0005-0000-0000-000068150000}"/>
    <cellStyle name="40% - Accent4 3 2 5" xfId="4773" xr:uid="{00000000-0005-0000-0000-0000D5120000}"/>
    <cellStyle name="40% - Accent4 3 2 5 2" xfId="5435" xr:uid="{00000000-0005-0000-0000-00006B150000}"/>
    <cellStyle name="40% - Accent4 3 2 6" xfId="5440" xr:uid="{00000000-0005-0000-0000-000070150000}"/>
    <cellStyle name="40% - Accent4 3 2 6 2" xfId="5442" xr:uid="{00000000-0005-0000-0000-000072150000}"/>
    <cellStyle name="40% - Accent4 3 2 7" xfId="2063" xr:uid="{00000000-0005-0000-0000-00003F080000}"/>
    <cellStyle name="40% - Accent4 3 2 7 2" xfId="5444" xr:uid="{00000000-0005-0000-0000-000074150000}"/>
    <cellStyle name="40% - Accent4 3 2 8" xfId="5450" xr:uid="{00000000-0005-0000-0000-00007A150000}"/>
    <cellStyle name="40% - Accent4 3 2 8 2" xfId="202" xr:uid="{00000000-0005-0000-0000-0000DA000000}"/>
    <cellStyle name="40% - Accent4 3 2 9" xfId="5375" xr:uid="{00000000-0005-0000-0000-00002F150000}"/>
    <cellStyle name="40% - Accent4 3 2 9 2" xfId="5459" xr:uid="{00000000-0005-0000-0000-000083150000}"/>
    <cellStyle name="40% - Accent4 3 3" xfId="887" xr:uid="{00000000-0005-0000-0000-0000A7030000}"/>
    <cellStyle name="40% - Accent4 3 3 2" xfId="909" xr:uid="{00000000-0005-0000-0000-0000BD030000}"/>
    <cellStyle name="40% - Accent4 3 3 2 2" xfId="5465" xr:uid="{00000000-0005-0000-0000-000089150000}"/>
    <cellStyle name="40% - Accent4 3 3 3" xfId="5475" xr:uid="{00000000-0005-0000-0000-000093150000}"/>
    <cellStyle name="40% - Accent4 3 3 3 2" xfId="639" xr:uid="{00000000-0005-0000-0000-0000AC020000}"/>
    <cellStyle name="40% - Accent4 3 3 4" xfId="5482" xr:uid="{00000000-0005-0000-0000-00009A150000}"/>
    <cellStyle name="40% - Accent4 3 3 4 2" xfId="1" xr:uid="{00000000-0005-0000-0000-000001000000}"/>
    <cellStyle name="40% - Accent4 3 3 5" xfId="4784" xr:uid="{00000000-0005-0000-0000-0000E0120000}"/>
    <cellStyle name="40% - Accent4 3 3 5 2" xfId="5488" xr:uid="{00000000-0005-0000-0000-0000A0150000}"/>
    <cellStyle name="40% - Accent4 3 3 6" xfId="5495" xr:uid="{00000000-0005-0000-0000-0000A7150000}"/>
    <cellStyle name="40% - Accent4 3 3 6 2" xfId="5500" xr:uid="{00000000-0005-0000-0000-0000AC150000}"/>
    <cellStyle name="40% - Accent4 3 3 7" xfId="5506" xr:uid="{00000000-0005-0000-0000-0000B2150000}"/>
    <cellStyle name="40% - Accent4 3 3 7 2" xfId="5507" xr:uid="{00000000-0005-0000-0000-0000B3150000}"/>
    <cellStyle name="40% - Accent4 3 3 8" xfId="5515" xr:uid="{00000000-0005-0000-0000-0000BB150000}"/>
    <cellStyle name="40% - Accent4 3 3 8 2" xfId="5519" xr:uid="{00000000-0005-0000-0000-0000BF150000}"/>
    <cellStyle name="40% - Accent4 3 3 9" xfId="5521" xr:uid="{00000000-0005-0000-0000-0000C1150000}"/>
    <cellStyle name="40% - Accent4 3 4" xfId="5524" xr:uid="{00000000-0005-0000-0000-0000C4150000}"/>
    <cellStyle name="40% - Accent4 3 4 2" xfId="5531" xr:uid="{00000000-0005-0000-0000-0000CB150000}"/>
    <cellStyle name="40% - Accent4 3 5" xfId="121" xr:uid="{00000000-0005-0000-0000-000083000000}"/>
    <cellStyle name="40% - Accent4 3 5 2" xfId="5532" xr:uid="{00000000-0005-0000-0000-0000CC150000}"/>
    <cellStyle name="40% - Accent4 3 6" xfId="5537" xr:uid="{00000000-0005-0000-0000-0000D1150000}"/>
    <cellStyle name="40% - Accent4 3 6 2" xfId="5540" xr:uid="{00000000-0005-0000-0000-0000D4150000}"/>
    <cellStyle name="40% - Accent4 3 7" xfId="954" xr:uid="{00000000-0005-0000-0000-0000EA030000}"/>
    <cellStyle name="40% - Accent4 3 7 2" xfId="5545" xr:uid="{00000000-0005-0000-0000-0000D9150000}"/>
    <cellStyle name="40% - Accent4 3 8" xfId="5548" xr:uid="{00000000-0005-0000-0000-0000DC150000}"/>
    <cellStyle name="40% - Accent4 3 8 2" xfId="5555" xr:uid="{00000000-0005-0000-0000-0000E3150000}"/>
    <cellStyle name="40% - Accent4 3 9" xfId="5557" xr:uid="{00000000-0005-0000-0000-0000E5150000}"/>
    <cellStyle name="40% - Accent4 3 9 2" xfId="5562" xr:uid="{00000000-0005-0000-0000-0000EA150000}"/>
    <cellStyle name="40% - Accent4 4" xfId="1917" xr:uid="{00000000-0005-0000-0000-0000AD070000}"/>
    <cellStyle name="40% - Accent4 4 2" xfId="2527" xr:uid="{00000000-0005-0000-0000-00000F0A0000}"/>
    <cellStyle name="40% - Accent4 4 2 2" xfId="3567" xr:uid="{00000000-0005-0000-0000-00001F0E0000}"/>
    <cellStyle name="40% - Accent4 4 3" xfId="2903" xr:uid="{00000000-0005-0000-0000-0000870B0000}"/>
    <cellStyle name="40% - Accent4 4 3 2" xfId="695" xr:uid="{00000000-0005-0000-0000-0000E7020000}"/>
    <cellStyle name="40% - Accent4 4 4" xfId="5569" xr:uid="{00000000-0005-0000-0000-0000F1150000}"/>
    <cellStyle name="40% - Accent4 4 4 2" xfId="1264" xr:uid="{00000000-0005-0000-0000-000020050000}"/>
    <cellStyle name="40% - Accent4 4 5" xfId="4393" xr:uid="{00000000-0005-0000-0000-000059110000}"/>
    <cellStyle name="40% - Accent4 4 5 2" xfId="1411" xr:uid="{00000000-0005-0000-0000-0000B3050000}"/>
    <cellStyle name="40% - Accent4 4 6" xfId="5580" xr:uid="{00000000-0005-0000-0000-0000FC150000}"/>
    <cellStyle name="40% - Accent4 4 6 2" xfId="5585" xr:uid="{00000000-0005-0000-0000-000001160000}"/>
    <cellStyle name="40% - Accent4 4 7" xfId="4587" xr:uid="{00000000-0005-0000-0000-00001B120000}"/>
    <cellStyle name="40% - Accent4 4 7 2" xfId="5590" xr:uid="{00000000-0005-0000-0000-000006160000}"/>
    <cellStyle name="40% - Accent4 4 8" xfId="5597" xr:uid="{00000000-0005-0000-0000-00000D160000}"/>
    <cellStyle name="40% - Accent4 4 9" xfId="5603" xr:uid="{00000000-0005-0000-0000-000013160000}"/>
    <cellStyle name="40% - Accent4 5" xfId="5608" xr:uid="{00000000-0005-0000-0000-000018160000}"/>
    <cellStyle name="40% - Accent4 5 2" xfId="2563" xr:uid="{00000000-0005-0000-0000-0000330A0000}"/>
    <cellStyle name="40% - Accent4 6" xfId="5612" xr:uid="{00000000-0005-0000-0000-00001C160000}"/>
    <cellStyle name="40% - Accent4 6 2" xfId="4154" xr:uid="{00000000-0005-0000-0000-00006A100000}"/>
    <cellStyle name="40% - Accent4 7" xfId="5618" xr:uid="{00000000-0005-0000-0000-000022160000}"/>
    <cellStyle name="40% - Accent4 7 2" xfId="4405" xr:uid="{00000000-0005-0000-0000-000065110000}"/>
    <cellStyle name="40% - Accent4 8" xfId="5621" xr:uid="{00000000-0005-0000-0000-000025160000}"/>
    <cellStyle name="40% - Accent4 8 2" xfId="5626" xr:uid="{00000000-0005-0000-0000-00002A160000}"/>
    <cellStyle name="40% - Accent4 9" xfId="5631" xr:uid="{00000000-0005-0000-0000-00002F160000}"/>
    <cellStyle name="40% - Accent4 9 2" xfId="4355" xr:uid="{00000000-0005-0000-0000-000033110000}"/>
    <cellStyle name="40% - Accent5 2" xfId="5642" xr:uid="{00000000-0005-0000-0000-00003A160000}"/>
    <cellStyle name="40% - Accent5 2 2" xfId="5651" xr:uid="{00000000-0005-0000-0000-000043160000}"/>
    <cellStyle name="40% - Accent5 2 2 2" xfId="5663" xr:uid="{00000000-0005-0000-0000-00004F160000}"/>
    <cellStyle name="40% - Accent5 2 2 2 2" xfId="3275" xr:uid="{00000000-0005-0000-0000-0000FB0C0000}"/>
    <cellStyle name="40% - Accent5 2 2 3" xfId="5676" xr:uid="{00000000-0005-0000-0000-00005C160000}"/>
    <cellStyle name="40% - Accent5 2 3" xfId="5684" xr:uid="{00000000-0005-0000-0000-000064160000}"/>
    <cellStyle name="40% - Accent5 2 3 2" xfId="5693" xr:uid="{00000000-0005-0000-0000-00006D160000}"/>
    <cellStyle name="40% - Accent5 2 4" xfId="5703" xr:uid="{00000000-0005-0000-0000-000077160000}"/>
    <cellStyle name="40% - Accent5 2 4 2" xfId="5720" xr:uid="{00000000-0005-0000-0000-000088160000}"/>
    <cellStyle name="40% - Accent5 2 5" xfId="118" xr:uid="{00000000-0005-0000-0000-000080000000}"/>
    <cellStyle name="40% - Accent5 2 6" xfId="5730" xr:uid="{00000000-0005-0000-0000-000092160000}"/>
    <cellStyle name="40% - Accent5 3" xfId="811" xr:uid="{00000000-0005-0000-0000-00005B030000}"/>
    <cellStyle name="40% - Accent5 3 10" xfId="5733" xr:uid="{00000000-0005-0000-0000-000095160000}"/>
    <cellStyle name="40% - Accent5 3 10 2" xfId="999" xr:uid="{00000000-0005-0000-0000-000017040000}"/>
    <cellStyle name="40% - Accent5 3 11" xfId="5742" xr:uid="{00000000-0005-0000-0000-00009E160000}"/>
    <cellStyle name="40% - Accent5 3 2" xfId="827" xr:uid="{00000000-0005-0000-0000-00006B030000}"/>
    <cellStyle name="40% - Accent5 3 2 10" xfId="5755" xr:uid="{00000000-0005-0000-0000-0000AB160000}"/>
    <cellStyle name="40% - Accent5 3 2 2" xfId="5759" xr:uid="{00000000-0005-0000-0000-0000AF160000}"/>
    <cellStyle name="40% - Accent5 3 2 2 2" xfId="1871" xr:uid="{00000000-0005-0000-0000-00007F070000}"/>
    <cellStyle name="40% - Accent5 3 2 2 2 2" xfId="1910" xr:uid="{00000000-0005-0000-0000-0000A6070000}"/>
    <cellStyle name="40% - Accent5 3 2 2 3" xfId="1947" xr:uid="{00000000-0005-0000-0000-0000CB070000}"/>
    <cellStyle name="40% - Accent5 3 2 2 3 2" xfId="871" xr:uid="{00000000-0005-0000-0000-000097030000}"/>
    <cellStyle name="40% - Accent5 3 2 2 4" xfId="1888" xr:uid="{00000000-0005-0000-0000-000090070000}"/>
    <cellStyle name="40% - Accent5 3 2 2 4 2" xfId="2508" xr:uid="{00000000-0005-0000-0000-0000FC090000}"/>
    <cellStyle name="40% - Accent5 3 2 2 5" xfId="2531" xr:uid="{00000000-0005-0000-0000-0000130A0000}"/>
    <cellStyle name="40% - Accent5 3 2 2 5 2" xfId="2552" xr:uid="{00000000-0005-0000-0000-0000280A0000}"/>
    <cellStyle name="40% - Accent5 3 2 2 6" xfId="5343" xr:uid="{00000000-0005-0000-0000-00000F150000}"/>
    <cellStyle name="40% - Accent5 3 2 2 6 2" xfId="4151" xr:uid="{00000000-0005-0000-0000-000067100000}"/>
    <cellStyle name="40% - Accent5 3 2 2 7" xfId="5353" xr:uid="{00000000-0005-0000-0000-000019150000}"/>
    <cellStyle name="40% - Accent5 3 2 2 7 2" xfId="5764" xr:uid="{00000000-0005-0000-0000-0000B4160000}"/>
    <cellStyle name="40% - Accent5 3 2 2 8" xfId="5359" xr:uid="{00000000-0005-0000-0000-00001F150000}"/>
    <cellStyle name="40% - Accent5 3 2 2 8 2" xfId="4792" xr:uid="{00000000-0005-0000-0000-0000E8120000}"/>
    <cellStyle name="40% - Accent5 3 2 2 9" xfId="4562" xr:uid="{00000000-0005-0000-0000-000002120000}"/>
    <cellStyle name="40% - Accent5 3 2 3" xfId="5768" xr:uid="{00000000-0005-0000-0000-0000B8160000}"/>
    <cellStyle name="40% - Accent5 3 2 3 2" xfId="3111" xr:uid="{00000000-0005-0000-0000-0000570C0000}"/>
    <cellStyle name="40% - Accent5 3 2 4" xfId="3200" xr:uid="{00000000-0005-0000-0000-0000B00C0000}"/>
    <cellStyle name="40% - Accent5 3 2 4 2" xfId="3215" xr:uid="{00000000-0005-0000-0000-0000BF0C0000}"/>
    <cellStyle name="40% - Accent5 3 2 5" xfId="3223" xr:uid="{00000000-0005-0000-0000-0000C70C0000}"/>
    <cellStyle name="40% - Accent5 3 2 5 2" xfId="3740" xr:uid="{00000000-0005-0000-0000-0000CC0E0000}"/>
    <cellStyle name="40% - Accent5 3 2 6" xfId="5771" xr:uid="{00000000-0005-0000-0000-0000BB160000}"/>
    <cellStyle name="40% - Accent5 3 2 6 2" xfId="4126" xr:uid="{00000000-0005-0000-0000-00004E100000}"/>
    <cellStyle name="40% - Accent5 3 2 7" xfId="5774" xr:uid="{00000000-0005-0000-0000-0000BE160000}"/>
    <cellStyle name="40% - Accent5 3 2 7 2" xfId="4380" xr:uid="{00000000-0005-0000-0000-00004C110000}"/>
    <cellStyle name="40% - Accent5 3 2 8" xfId="5776" xr:uid="{00000000-0005-0000-0000-0000C0160000}"/>
    <cellStyle name="40% - Accent5 3 2 8 2" xfId="5779" xr:uid="{00000000-0005-0000-0000-0000C3160000}"/>
    <cellStyle name="40% - Accent5 3 2 9" xfId="4234" xr:uid="{00000000-0005-0000-0000-0000BA100000}"/>
    <cellStyle name="40% - Accent5 3 2 9 2" xfId="4258" xr:uid="{00000000-0005-0000-0000-0000D2100000}"/>
    <cellStyle name="40% - Accent5 3 3" xfId="5782" xr:uid="{00000000-0005-0000-0000-0000C6160000}"/>
    <cellStyle name="40% - Accent5 3 3 2" xfId="5788" xr:uid="{00000000-0005-0000-0000-0000CC160000}"/>
    <cellStyle name="40% - Accent5 3 3 2 2" xfId="5795" xr:uid="{00000000-0005-0000-0000-0000D3160000}"/>
    <cellStyle name="40% - Accent5 3 3 3" xfId="3193" xr:uid="{00000000-0005-0000-0000-0000A90C0000}"/>
    <cellStyle name="40% - Accent5 3 3 3 2" xfId="5802" xr:uid="{00000000-0005-0000-0000-0000DA160000}"/>
    <cellStyle name="40% - Accent5 3 3 4" xfId="5821" xr:uid="{00000000-0005-0000-0000-0000ED160000}"/>
    <cellStyle name="40% - Accent5 3 3 4 2" xfId="5832" xr:uid="{00000000-0005-0000-0000-0000F8160000}"/>
    <cellStyle name="40% - Accent5 3 3 5" xfId="5840" xr:uid="{00000000-0005-0000-0000-000000170000}"/>
    <cellStyle name="40% - Accent5 3 3 5 2" xfId="5845" xr:uid="{00000000-0005-0000-0000-000005170000}"/>
    <cellStyle name="40% - Accent5 3 3 6" xfId="5851" xr:uid="{00000000-0005-0000-0000-00000B170000}"/>
    <cellStyle name="40% - Accent5 3 3 6 2" xfId="5855" xr:uid="{00000000-0005-0000-0000-00000F170000}"/>
    <cellStyle name="40% - Accent5 3 3 7" xfId="5860" xr:uid="{00000000-0005-0000-0000-000014170000}"/>
    <cellStyle name="40% - Accent5 3 3 7 2" xfId="5865" xr:uid="{00000000-0005-0000-0000-000019170000}"/>
    <cellStyle name="40% - Accent5 3 3 8" xfId="5875" xr:uid="{00000000-0005-0000-0000-000023170000}"/>
    <cellStyle name="40% - Accent5 3 3 8 2" xfId="5879" xr:uid="{00000000-0005-0000-0000-000027170000}"/>
    <cellStyle name="40% - Accent5 3 3 9" xfId="4591" xr:uid="{00000000-0005-0000-0000-00001F120000}"/>
    <cellStyle name="40% - Accent5 3 4" xfId="5881" xr:uid="{00000000-0005-0000-0000-000029170000}"/>
    <cellStyle name="40% - Accent5 3 4 2" xfId="5890" xr:uid="{00000000-0005-0000-0000-000032170000}"/>
    <cellStyle name="40% - Accent5 3 5" xfId="5892" xr:uid="{00000000-0005-0000-0000-000034170000}"/>
    <cellStyle name="40% - Accent5 3 5 2" xfId="5901" xr:uid="{00000000-0005-0000-0000-00003D170000}"/>
    <cellStyle name="40% - Accent5 3 6" xfId="5903" xr:uid="{00000000-0005-0000-0000-00003F170000}"/>
    <cellStyle name="40% - Accent5 3 6 2" xfId="5907" xr:uid="{00000000-0005-0000-0000-000043170000}"/>
    <cellStyle name="40% - Accent5 3 7" xfId="2040" xr:uid="{00000000-0005-0000-0000-000028080000}"/>
    <cellStyle name="40% - Accent5 3 7 2" xfId="5917" xr:uid="{00000000-0005-0000-0000-00004D170000}"/>
    <cellStyle name="40% - Accent5 3 8" xfId="5920" xr:uid="{00000000-0005-0000-0000-000050170000}"/>
    <cellStyle name="40% - Accent5 3 8 2" xfId="73" xr:uid="{00000000-0005-0000-0000-00004D000000}"/>
    <cellStyle name="40% - Accent5 3 9" xfId="5924" xr:uid="{00000000-0005-0000-0000-000054170000}"/>
    <cellStyle name="40% - Accent5 3 9 2" xfId="5935" xr:uid="{00000000-0005-0000-0000-00005F170000}"/>
    <cellStyle name="40% - Accent5 4" xfId="860" xr:uid="{00000000-0005-0000-0000-00008C030000}"/>
    <cellStyle name="40% - Accent5 4 2" xfId="427" xr:uid="{00000000-0005-0000-0000-0000C6010000}"/>
    <cellStyle name="40% - Accent5 4 2 2" xfId="5940" xr:uid="{00000000-0005-0000-0000-000064170000}"/>
    <cellStyle name="40% - Accent5 4 3" xfId="5943" xr:uid="{00000000-0005-0000-0000-000067170000}"/>
    <cellStyle name="40% - Accent5 4 3 2" xfId="5952" xr:uid="{00000000-0005-0000-0000-000070170000}"/>
    <cellStyle name="40% - Accent5 4 4" xfId="5954" xr:uid="{00000000-0005-0000-0000-000072170000}"/>
    <cellStyle name="40% - Accent5 4 4 2" xfId="5965" xr:uid="{00000000-0005-0000-0000-00007D170000}"/>
    <cellStyle name="40% - Accent5 4 5" xfId="5967" xr:uid="{00000000-0005-0000-0000-00007F170000}"/>
    <cellStyle name="40% - Accent5 4 5 2" xfId="5976" xr:uid="{00000000-0005-0000-0000-000088170000}"/>
    <cellStyle name="40% - Accent5 4 6" xfId="5978" xr:uid="{00000000-0005-0000-0000-00008A170000}"/>
    <cellStyle name="40% - Accent5 4 6 2" xfId="5985" xr:uid="{00000000-0005-0000-0000-000091170000}"/>
    <cellStyle name="40% - Accent5 4 7" xfId="2079" xr:uid="{00000000-0005-0000-0000-00004F080000}"/>
    <cellStyle name="40% - Accent5 4 7 2" xfId="5991" xr:uid="{00000000-0005-0000-0000-000097170000}"/>
    <cellStyle name="40% - Accent5 4 8" xfId="5992" xr:uid="{00000000-0005-0000-0000-000098170000}"/>
    <cellStyle name="40% - Accent5 4 9" xfId="5385" xr:uid="{00000000-0005-0000-0000-000039150000}"/>
    <cellStyle name="40% - Accent5 5" xfId="891" xr:uid="{00000000-0005-0000-0000-0000AB030000}"/>
    <cellStyle name="40% - Accent5 5 2" xfId="912" xr:uid="{00000000-0005-0000-0000-0000C0030000}"/>
    <cellStyle name="40% - Accent5 6" xfId="919" xr:uid="{00000000-0005-0000-0000-0000C7030000}"/>
    <cellStyle name="40% - Accent5 6 2" xfId="922" xr:uid="{00000000-0005-0000-0000-0000CA030000}"/>
    <cellStyle name="40% - Accent5 7" xfId="130" xr:uid="{00000000-0005-0000-0000-00008C000000}"/>
    <cellStyle name="40% - Accent5 7 2" xfId="929" xr:uid="{00000000-0005-0000-0000-0000D1030000}"/>
    <cellStyle name="40% - Accent5 8" xfId="941" xr:uid="{00000000-0005-0000-0000-0000DD030000}"/>
    <cellStyle name="40% - Accent5 8 2" xfId="948" xr:uid="{00000000-0005-0000-0000-0000E4030000}"/>
    <cellStyle name="40% - Accent5 9" xfId="965" xr:uid="{00000000-0005-0000-0000-0000F5030000}"/>
    <cellStyle name="40% - Accent5 9 2" xfId="24" xr:uid="{00000000-0005-0000-0000-00001A000000}"/>
    <cellStyle name="40% - Accent6 2" xfId="5999" xr:uid="{00000000-0005-0000-0000-00009F170000}"/>
    <cellStyle name="40% - Accent6 2 2" xfId="6003" xr:uid="{00000000-0005-0000-0000-0000A3170000}"/>
    <cellStyle name="40% - Accent6 2 2 2" xfId="1976" xr:uid="{00000000-0005-0000-0000-0000E8070000}"/>
    <cellStyle name="40% - Accent6 2 2 2 2" xfId="3036" xr:uid="{00000000-0005-0000-0000-00000C0C0000}"/>
    <cellStyle name="40% - Accent6 2 2 3" xfId="3063" xr:uid="{00000000-0005-0000-0000-0000270C0000}"/>
    <cellStyle name="40% - Accent6 2 3" xfId="6005" xr:uid="{00000000-0005-0000-0000-0000A5170000}"/>
    <cellStyle name="40% - Accent6 2 3 2" xfId="1985" xr:uid="{00000000-0005-0000-0000-0000F1070000}"/>
    <cellStyle name="40% - Accent6 2 4" xfId="6007" xr:uid="{00000000-0005-0000-0000-0000A7170000}"/>
    <cellStyle name="40% - Accent6 2 4 2" xfId="6013" xr:uid="{00000000-0005-0000-0000-0000AD170000}"/>
    <cellStyle name="40% - Accent6 2 5" xfId="6023" xr:uid="{00000000-0005-0000-0000-0000B7170000}"/>
    <cellStyle name="40% - Accent6 2 6" xfId="6036" xr:uid="{00000000-0005-0000-0000-0000C4170000}"/>
    <cellStyle name="40% - Accent6 3" xfId="1007" xr:uid="{00000000-0005-0000-0000-00001F040000}"/>
    <cellStyle name="40% - Accent6 3 10" xfId="6041" xr:uid="{00000000-0005-0000-0000-0000C9170000}"/>
    <cellStyle name="40% - Accent6 3 10 2" xfId="3910" xr:uid="{00000000-0005-0000-0000-0000760F0000}"/>
    <cellStyle name="40% - Accent6 3 11" xfId="6047" xr:uid="{00000000-0005-0000-0000-0000CF170000}"/>
    <cellStyle name="40% - Accent6 3 2" xfId="6056" xr:uid="{00000000-0005-0000-0000-0000D8170000}"/>
    <cellStyle name="40% - Accent6 3 2 10" xfId="6061" xr:uid="{00000000-0005-0000-0000-0000DD170000}"/>
    <cellStyle name="40% - Accent6 3 2 2" xfId="2163" xr:uid="{00000000-0005-0000-0000-0000A3080000}"/>
    <cellStyle name="40% - Accent6 3 2 2 2" xfId="2718" xr:uid="{00000000-0005-0000-0000-0000CE0A0000}"/>
    <cellStyle name="40% - Accent6 3 2 2 2 2" xfId="6066" xr:uid="{00000000-0005-0000-0000-0000E2170000}"/>
    <cellStyle name="40% - Accent6 3 2 2 3" xfId="6071" xr:uid="{00000000-0005-0000-0000-0000E7170000}"/>
    <cellStyle name="40% - Accent6 3 2 2 3 2" xfId="6077" xr:uid="{00000000-0005-0000-0000-0000ED170000}"/>
    <cellStyle name="40% - Accent6 3 2 2 4" xfId="6078" xr:uid="{00000000-0005-0000-0000-0000EE170000}"/>
    <cellStyle name="40% - Accent6 3 2 2 4 2" xfId="6089" xr:uid="{00000000-0005-0000-0000-0000F9170000}"/>
    <cellStyle name="40% - Accent6 3 2 2 5" xfId="6095" xr:uid="{00000000-0005-0000-0000-0000FF170000}"/>
    <cellStyle name="40% - Accent6 3 2 2 5 2" xfId="6114" xr:uid="{00000000-0005-0000-0000-000012180000}"/>
    <cellStyle name="40% - Accent6 3 2 2 6" xfId="6126" xr:uid="{00000000-0005-0000-0000-00001E180000}"/>
    <cellStyle name="40% - Accent6 3 2 2 6 2" xfId="6144" xr:uid="{00000000-0005-0000-0000-000030180000}"/>
    <cellStyle name="40% - Accent6 3 2 2 7" xfId="6152" xr:uid="{00000000-0005-0000-0000-000038180000}"/>
    <cellStyle name="40% - Accent6 3 2 2 7 2" xfId="6160" xr:uid="{00000000-0005-0000-0000-000040180000}"/>
    <cellStyle name="40% - Accent6 3 2 2 8" xfId="6166" xr:uid="{00000000-0005-0000-0000-000046180000}"/>
    <cellStyle name="40% - Accent6 3 2 2 8 2" xfId="4486" xr:uid="{00000000-0005-0000-0000-0000B6110000}"/>
    <cellStyle name="40% - Accent6 3 2 2 9" xfId="6175" xr:uid="{00000000-0005-0000-0000-00004F180000}"/>
    <cellStyle name="40% - Accent6 3 2 3" xfId="3533" xr:uid="{00000000-0005-0000-0000-0000FD0D0000}"/>
    <cellStyle name="40% - Accent6 3 2 3 2" xfId="6177" xr:uid="{00000000-0005-0000-0000-000051180000}"/>
    <cellStyle name="40% - Accent6 3 2 4" xfId="3538" xr:uid="{00000000-0005-0000-0000-0000020E0000}"/>
    <cellStyle name="40% - Accent6 3 2 4 2" xfId="2637" xr:uid="{00000000-0005-0000-0000-00007D0A0000}"/>
    <cellStyle name="40% - Accent6 3 2 5" xfId="6181" xr:uid="{00000000-0005-0000-0000-000055180000}"/>
    <cellStyle name="40% - Accent6 3 2 5 2" xfId="2909" xr:uid="{00000000-0005-0000-0000-00008D0B0000}"/>
    <cellStyle name="40% - Accent6 3 2 6" xfId="6183" xr:uid="{00000000-0005-0000-0000-000057180000}"/>
    <cellStyle name="40% - Accent6 3 2 6 2" xfId="2705" xr:uid="{00000000-0005-0000-0000-0000C10A0000}"/>
    <cellStyle name="40% - Accent6 3 2 7" xfId="6184" xr:uid="{00000000-0005-0000-0000-000058180000}"/>
    <cellStyle name="40% - Accent6 3 2 7 2" xfId="4645" xr:uid="{00000000-0005-0000-0000-000055120000}"/>
    <cellStyle name="40% - Accent6 3 2 8" xfId="6186" xr:uid="{00000000-0005-0000-0000-00005A180000}"/>
    <cellStyle name="40% - Accent6 3 2 8 2" xfId="6188" xr:uid="{00000000-0005-0000-0000-00005C180000}"/>
    <cellStyle name="40% - Accent6 3 2 9" xfId="6193" xr:uid="{00000000-0005-0000-0000-000061180000}"/>
    <cellStyle name="40% - Accent6 3 2 9 2" xfId="6195" xr:uid="{00000000-0005-0000-0000-000063180000}"/>
    <cellStyle name="40% - Accent6 3 3" xfId="6205" xr:uid="{00000000-0005-0000-0000-00006D180000}"/>
    <cellStyle name="40% - Accent6 3 3 2" xfId="2180" xr:uid="{00000000-0005-0000-0000-0000B4080000}"/>
    <cellStyle name="40% - Accent6 3 3 2 2" xfId="4615" xr:uid="{00000000-0005-0000-0000-000037120000}"/>
    <cellStyle name="40% - Accent6 3 3 3" xfId="4627" xr:uid="{00000000-0005-0000-0000-000043120000}"/>
    <cellStyle name="40% - Accent6 3 3 3 2" xfId="6209" xr:uid="{00000000-0005-0000-0000-000071180000}"/>
    <cellStyle name="40% - Accent6 3 3 4" xfId="6214" xr:uid="{00000000-0005-0000-0000-000076180000}"/>
    <cellStyle name="40% - Accent6 3 3 4 2" xfId="3176" xr:uid="{00000000-0005-0000-0000-0000980C0000}"/>
    <cellStyle name="40% - Accent6 3 3 5" xfId="4178" xr:uid="{00000000-0005-0000-0000-000082100000}"/>
    <cellStyle name="40% - Accent6 3 3 5 2" xfId="3401" xr:uid="{00000000-0005-0000-0000-0000790D0000}"/>
    <cellStyle name="40% - Accent6 3 3 6" xfId="6218" xr:uid="{00000000-0005-0000-0000-00007A180000}"/>
    <cellStyle name="40% - Accent6 3 3 6 2" xfId="3508" xr:uid="{00000000-0005-0000-0000-0000E40D0000}"/>
    <cellStyle name="40% - Accent6 3 3 7" xfId="6221" xr:uid="{00000000-0005-0000-0000-00007D180000}"/>
    <cellStyle name="40% - Accent6 3 3 7 2" xfId="4568" xr:uid="{00000000-0005-0000-0000-000008120000}"/>
    <cellStyle name="40% - Accent6 3 3 8" xfId="6225" xr:uid="{00000000-0005-0000-0000-000081180000}"/>
    <cellStyle name="40% - Accent6 3 3 8 2" xfId="2058" xr:uid="{00000000-0005-0000-0000-00003A080000}"/>
    <cellStyle name="40% - Accent6 3 3 9" xfId="6227" xr:uid="{00000000-0005-0000-0000-000083180000}"/>
    <cellStyle name="40% - Accent6 3 4" xfId="6230" xr:uid="{00000000-0005-0000-0000-000086180000}"/>
    <cellStyle name="40% - Accent6 3 4 2" xfId="6238" xr:uid="{00000000-0005-0000-0000-00008E180000}"/>
    <cellStyle name="40% - Accent6 3 5" xfId="6243" xr:uid="{00000000-0005-0000-0000-000093180000}"/>
    <cellStyle name="40% - Accent6 3 5 2" xfId="6246" xr:uid="{00000000-0005-0000-0000-000096180000}"/>
    <cellStyle name="40% - Accent6 3 6" xfId="6252" xr:uid="{00000000-0005-0000-0000-00009C180000}"/>
    <cellStyle name="40% - Accent6 3 6 2" xfId="6254" xr:uid="{00000000-0005-0000-0000-00009E180000}"/>
    <cellStyle name="40% - Accent6 3 7" xfId="2238" xr:uid="{00000000-0005-0000-0000-0000EE080000}"/>
    <cellStyle name="40% - Accent6 3 7 2" xfId="6256" xr:uid="{00000000-0005-0000-0000-0000A0180000}"/>
    <cellStyle name="40% - Accent6 3 8" xfId="6260" xr:uid="{00000000-0005-0000-0000-0000A4180000}"/>
    <cellStyle name="40% - Accent6 3 8 2" xfId="1329" xr:uid="{00000000-0005-0000-0000-000061050000}"/>
    <cellStyle name="40% - Accent6 3 9" xfId="6264" xr:uid="{00000000-0005-0000-0000-0000A8180000}"/>
    <cellStyle name="40% - Accent6 3 9 2" xfId="1522" xr:uid="{00000000-0005-0000-0000-000022060000}"/>
    <cellStyle name="40% - Accent6 4" xfId="2503" xr:uid="{00000000-0005-0000-0000-0000F7090000}"/>
    <cellStyle name="40% - Accent6 4 2" xfId="3562" xr:uid="{00000000-0005-0000-0000-00001A0E0000}"/>
    <cellStyle name="40% - Accent6 4 2 2" xfId="3709" xr:uid="{00000000-0005-0000-0000-0000AD0E0000}"/>
    <cellStyle name="40% - Accent6 4 3" xfId="6269" xr:uid="{00000000-0005-0000-0000-0000AD180000}"/>
    <cellStyle name="40% - Accent6 4 3 2" xfId="6278" xr:uid="{00000000-0005-0000-0000-0000B6180000}"/>
    <cellStyle name="40% - Accent6 4 4" xfId="1798" xr:uid="{00000000-0005-0000-0000-000036070000}"/>
    <cellStyle name="40% - Accent6 4 4 2" xfId="6284" xr:uid="{00000000-0005-0000-0000-0000BC180000}"/>
    <cellStyle name="40% - Accent6 4 5" xfId="4283" xr:uid="{00000000-0005-0000-0000-0000EB100000}"/>
    <cellStyle name="40% - Accent6 4 5 2" xfId="4284" xr:uid="{00000000-0005-0000-0000-0000EC100000}"/>
    <cellStyle name="40% - Accent6 4 6" xfId="4312" xr:uid="{00000000-0005-0000-0000-000008110000}"/>
    <cellStyle name="40% - Accent6 4 6 2" xfId="6286" xr:uid="{00000000-0005-0000-0000-0000BE180000}"/>
    <cellStyle name="40% - Accent6 4 7" xfId="6304" xr:uid="{00000000-0005-0000-0000-0000D0180000}"/>
    <cellStyle name="40% - Accent6 4 7 2" xfId="3658" xr:uid="{00000000-0005-0000-0000-00007A0E0000}"/>
    <cellStyle name="40% - Accent6 4 8" xfId="6322" xr:uid="{00000000-0005-0000-0000-0000E2180000}"/>
    <cellStyle name="40% - Accent6 4 9" xfId="6335" xr:uid="{00000000-0005-0000-0000-0000EF180000}"/>
    <cellStyle name="40% - Accent6 5" xfId="2890" xr:uid="{00000000-0005-0000-0000-00007A0B0000}"/>
    <cellStyle name="40% - Accent6 5 2" xfId="6337" xr:uid="{00000000-0005-0000-0000-0000F1180000}"/>
    <cellStyle name="40% - Accent6 6" xfId="6338" xr:uid="{00000000-0005-0000-0000-0000F2180000}"/>
    <cellStyle name="40% - Accent6 6 2" xfId="6343" xr:uid="{00000000-0005-0000-0000-0000F7180000}"/>
    <cellStyle name="40% - Accent6 7" xfId="6344" xr:uid="{00000000-0005-0000-0000-0000F8180000}"/>
    <cellStyle name="40% - Accent6 7 2" xfId="6348" xr:uid="{00000000-0005-0000-0000-0000FC180000}"/>
    <cellStyle name="40% - Accent6 8" xfId="6352" xr:uid="{00000000-0005-0000-0000-000000190000}"/>
    <cellStyle name="40% - Accent6 8 2" xfId="6360" xr:uid="{00000000-0005-0000-0000-000008190000}"/>
    <cellStyle name="40% - Accent6 9" xfId="6368" xr:uid="{00000000-0005-0000-0000-000010190000}"/>
    <cellStyle name="40% - Accent6 9 2" xfId="4904" xr:uid="{00000000-0005-0000-0000-000058130000}"/>
    <cellStyle name="40% - 着色 1 2" xfId="6377" xr:uid="{00000000-0005-0000-0000-000019190000}"/>
    <cellStyle name="40% - 着色 1 2 2" xfId="6386" xr:uid="{00000000-0005-0000-0000-000022190000}"/>
    <cellStyle name="40% - 着色 2 2" xfId="6390" xr:uid="{00000000-0005-0000-0000-000026190000}"/>
    <cellStyle name="40% - 着色 2 2 2" xfId="3594" xr:uid="{00000000-0005-0000-0000-00003A0E0000}"/>
    <cellStyle name="40% - 着色 3 2" xfId="6396" xr:uid="{00000000-0005-0000-0000-00002C190000}"/>
    <cellStyle name="40% - 着色 3 2 2" xfId="1791" xr:uid="{00000000-0005-0000-0000-00002F070000}"/>
    <cellStyle name="40% - 着色 4 2" xfId="6400" xr:uid="{00000000-0005-0000-0000-000030190000}"/>
    <cellStyle name="40% - 着色 4 2 2" xfId="6404" xr:uid="{00000000-0005-0000-0000-000034190000}"/>
    <cellStyle name="40% - 着色 5 2" xfId="6409" xr:uid="{00000000-0005-0000-0000-000039190000}"/>
    <cellStyle name="40% - 着色 5 2 2" xfId="6412" xr:uid="{00000000-0005-0000-0000-00003C190000}"/>
    <cellStyle name="40% - 着色 6 2" xfId="6420" xr:uid="{00000000-0005-0000-0000-000044190000}"/>
    <cellStyle name="40% - 着色 6 2 2" xfId="6430" xr:uid="{00000000-0005-0000-0000-00004E190000}"/>
    <cellStyle name="60% - Accent1 2" xfId="6445" xr:uid="{00000000-0005-0000-0000-00005D190000}"/>
    <cellStyle name="60% - Accent1 2 2" xfId="3540" xr:uid="{00000000-0005-0000-0000-0000040E0000}"/>
    <cellStyle name="60% - Accent1 2 3" xfId="3203" xr:uid="{00000000-0005-0000-0000-0000B30C0000}"/>
    <cellStyle name="60% - Accent1 2 4" xfId="1014" xr:uid="{00000000-0005-0000-0000-000026040000}"/>
    <cellStyle name="60% - Accent1 2 5" xfId="2522" xr:uid="{00000000-0005-0000-0000-00000A0A0000}"/>
    <cellStyle name="60% - Accent1 3" xfId="6457" xr:uid="{00000000-0005-0000-0000-000069190000}"/>
    <cellStyle name="60% - Accent2 2" xfId="6467" xr:uid="{00000000-0005-0000-0000-000073190000}"/>
    <cellStyle name="60% - Accent2 2 2" xfId="6471" xr:uid="{00000000-0005-0000-0000-000077190000}"/>
    <cellStyle name="60% - Accent2 2 3" xfId="5824" xr:uid="{00000000-0005-0000-0000-0000F0160000}"/>
    <cellStyle name="60% - Accent2 2 4" xfId="6472" xr:uid="{00000000-0005-0000-0000-000078190000}"/>
    <cellStyle name="60% - Accent2 2 5" xfId="423" xr:uid="{00000000-0005-0000-0000-0000C2010000}"/>
    <cellStyle name="60% - Accent2 3" xfId="6481" xr:uid="{00000000-0005-0000-0000-000081190000}"/>
    <cellStyle name="60% - Accent3 2" xfId="6491" xr:uid="{00000000-0005-0000-0000-00008B190000}"/>
    <cellStyle name="60% - Accent3 2 2" xfId="6503" xr:uid="{00000000-0005-0000-0000-000097190000}"/>
    <cellStyle name="60% - Accent3 2 3" xfId="6517" xr:uid="{00000000-0005-0000-0000-0000A5190000}"/>
    <cellStyle name="60% - Accent3 2 4" xfId="4931" xr:uid="{00000000-0005-0000-0000-000073130000}"/>
    <cellStyle name="60% - Accent3 2 5" xfId="3559" xr:uid="{00000000-0005-0000-0000-0000170E0000}"/>
    <cellStyle name="60% - Accent3 2_ADAE" xfId="4093" xr:uid="{00000000-0005-0000-0000-00002D100000}"/>
    <cellStyle name="60% - Accent3 3" xfId="6526" xr:uid="{00000000-0005-0000-0000-0000AE190000}"/>
    <cellStyle name="60% - Accent4 2" xfId="6535" xr:uid="{00000000-0005-0000-0000-0000B7190000}"/>
    <cellStyle name="60% - Accent4 2 2" xfId="6548" xr:uid="{00000000-0005-0000-0000-0000C4190000}"/>
    <cellStyle name="60% - Accent4 2 3" xfId="6557" xr:uid="{00000000-0005-0000-0000-0000CD190000}"/>
    <cellStyle name="60% - Accent4 2 4" xfId="6567" xr:uid="{00000000-0005-0000-0000-0000D7190000}"/>
    <cellStyle name="60% - Accent4 2 5" xfId="6439" xr:uid="{00000000-0005-0000-0000-000057190000}"/>
    <cellStyle name="60% - Accent4 2_ADAE" xfId="6185" xr:uid="{00000000-0005-0000-0000-000059180000}"/>
    <cellStyle name="60% - Accent4 3" xfId="6572" xr:uid="{00000000-0005-0000-0000-0000DC190000}"/>
    <cellStyle name="60% - Accent5 2" xfId="6578" xr:uid="{00000000-0005-0000-0000-0000E2190000}"/>
    <cellStyle name="60% - Accent5 2 2" xfId="6586" xr:uid="{00000000-0005-0000-0000-0000EA190000}"/>
    <cellStyle name="60% - Accent5 2 3" xfId="6590" xr:uid="{00000000-0005-0000-0000-0000EE190000}"/>
    <cellStyle name="60% - Accent5 2 4" xfId="6593" xr:uid="{00000000-0005-0000-0000-0000F1190000}"/>
    <cellStyle name="60% - Accent5 2 5" xfId="6596" xr:uid="{00000000-0005-0000-0000-0000F4190000}"/>
    <cellStyle name="60% - Accent5 3" xfId="6602" xr:uid="{00000000-0005-0000-0000-0000FA190000}"/>
    <cellStyle name="60% - Accent6 2" xfId="5335" xr:uid="{00000000-0005-0000-0000-000007150000}"/>
    <cellStyle name="60% - Accent6 2 2" xfId="4148" xr:uid="{00000000-0005-0000-0000-000064100000}"/>
    <cellStyle name="60% - Accent6 2 3" xfId="6607" xr:uid="{00000000-0005-0000-0000-0000FF190000}"/>
    <cellStyle name="60% - Accent6 2 4" xfId="6615" xr:uid="{00000000-0005-0000-0000-0000071A0000}"/>
    <cellStyle name="60% - Accent6 2 5" xfId="6623" xr:uid="{00000000-0005-0000-0000-00000F1A0000}"/>
    <cellStyle name="60% - Accent6 2_ADAE" xfId="6629" xr:uid="{00000000-0005-0000-0000-0000151A0000}"/>
    <cellStyle name="60% - Accent6 3" xfId="5345" xr:uid="{00000000-0005-0000-0000-000011150000}"/>
    <cellStyle name="60% - 着色 1 2" xfId="5064" xr:uid="{00000000-0005-0000-0000-0000F8130000}"/>
    <cellStyle name="60% - 着色 2 2" xfId="5080" xr:uid="{00000000-0005-0000-0000-000008140000}"/>
    <cellStyle name="60% - 着色 3 2" xfId="5099" xr:uid="{00000000-0005-0000-0000-00001B140000}"/>
    <cellStyle name="60% - 着色 4 2" xfId="3905" xr:uid="{00000000-0005-0000-0000-0000710F0000}"/>
    <cellStyle name="60% - 着色 5 2" xfId="4002" xr:uid="{00000000-0005-0000-0000-0000D20F0000}"/>
    <cellStyle name="60% - 着色 6 2" xfId="637" xr:uid="{00000000-0005-0000-0000-0000AA020000}"/>
    <cellStyle name="Accent1 2" xfId="2168" xr:uid="{00000000-0005-0000-0000-0000A8080000}"/>
    <cellStyle name="Accent1 2 2" xfId="2716" xr:uid="{00000000-0005-0000-0000-0000CC0A0000}"/>
    <cellStyle name="Accent1 2 3" xfId="6074" xr:uid="{00000000-0005-0000-0000-0000EA170000}"/>
    <cellStyle name="Accent1 2 4" xfId="6081" xr:uid="{00000000-0005-0000-0000-0000F1170000}"/>
    <cellStyle name="Accent1 2 5" xfId="6101" xr:uid="{00000000-0005-0000-0000-000005180000}"/>
    <cellStyle name="Accent1 3" xfId="3528" xr:uid="{00000000-0005-0000-0000-0000F80D0000}"/>
    <cellStyle name="Accent2 2" xfId="2181" xr:uid="{00000000-0005-0000-0000-0000B5080000}"/>
    <cellStyle name="Accent2 2 2" xfId="4618" xr:uid="{00000000-0005-0000-0000-00003A120000}"/>
    <cellStyle name="Accent2 2 3" xfId="6633" xr:uid="{00000000-0005-0000-0000-0000191A0000}"/>
    <cellStyle name="Accent2 2 4" xfId="6640" xr:uid="{00000000-0005-0000-0000-0000201A0000}"/>
    <cellStyle name="Accent2 2 5" xfId="6651" xr:uid="{00000000-0005-0000-0000-00002B1A0000}"/>
    <cellStyle name="Accent2 3" xfId="4628" xr:uid="{00000000-0005-0000-0000-000044120000}"/>
    <cellStyle name="Accent3 2" xfId="6239" xr:uid="{00000000-0005-0000-0000-00008F180000}"/>
    <cellStyle name="Accent3 2 2" xfId="6656" xr:uid="{00000000-0005-0000-0000-0000301A0000}"/>
    <cellStyle name="Accent3 2 3" xfId="6660" xr:uid="{00000000-0005-0000-0000-0000341A0000}"/>
    <cellStyle name="Accent3 2 4" xfId="6664" xr:uid="{00000000-0005-0000-0000-0000381A0000}"/>
    <cellStyle name="Accent3 2 5" xfId="1506" xr:uid="{00000000-0005-0000-0000-000012060000}"/>
    <cellStyle name="Accent3 3" xfId="6674" xr:uid="{00000000-0005-0000-0000-0000421A0000}"/>
    <cellStyle name="Accent4 2" xfId="6247" xr:uid="{00000000-0005-0000-0000-000097180000}"/>
    <cellStyle name="Accent4 2 2" xfId="312" xr:uid="{00000000-0005-0000-0000-00004D010000}"/>
    <cellStyle name="Accent4 2 3" xfId="176" xr:uid="{00000000-0005-0000-0000-0000BD000000}"/>
    <cellStyle name="Accent4 2 4" xfId="103" xr:uid="{00000000-0005-0000-0000-000070000000}"/>
    <cellStyle name="Accent4 2 5" xfId="339" xr:uid="{00000000-0005-0000-0000-00006A010000}"/>
    <cellStyle name="Accent4 3" xfId="6678" xr:uid="{00000000-0005-0000-0000-0000461A0000}"/>
    <cellStyle name="Accent5 2" xfId="6255" xr:uid="{00000000-0005-0000-0000-00009F180000}"/>
    <cellStyle name="Accent5 2 2" xfId="3648" xr:uid="{00000000-0005-0000-0000-0000700E0000}"/>
    <cellStyle name="Accent5 2 3" xfId="4497" xr:uid="{00000000-0005-0000-0000-0000C1110000}"/>
    <cellStyle name="Accent5 2 4" xfId="4506" xr:uid="{00000000-0005-0000-0000-0000CA110000}"/>
    <cellStyle name="Accent5 2 5" xfId="4107" xr:uid="{00000000-0005-0000-0000-00003B100000}"/>
    <cellStyle name="Accent5 3" xfId="6680" xr:uid="{00000000-0005-0000-0000-0000481A0000}"/>
    <cellStyle name="Accent6 2" xfId="6257" xr:uid="{00000000-0005-0000-0000-0000A1180000}"/>
    <cellStyle name="Accent6 2 2" xfId="6682" xr:uid="{00000000-0005-0000-0000-00004A1A0000}"/>
    <cellStyle name="Accent6 2 3" xfId="6684" xr:uid="{00000000-0005-0000-0000-00004C1A0000}"/>
    <cellStyle name="Accent6 2 4" xfId="6686" xr:uid="{00000000-0005-0000-0000-00004E1A0000}"/>
    <cellStyle name="Accent6 2 5" xfId="5229" xr:uid="{00000000-0005-0000-0000-00009D140000}"/>
    <cellStyle name="Accent6 3" xfId="6691" xr:uid="{00000000-0005-0000-0000-0000531A0000}"/>
    <cellStyle name="Bad 2" xfId="6497" xr:uid="{00000000-0005-0000-0000-000091190000}"/>
    <cellStyle name="Bad 2 2" xfId="6692" xr:uid="{00000000-0005-0000-0000-0000541A0000}"/>
    <cellStyle name="Bad 2 2 2" xfId="6702" xr:uid="{00000000-0005-0000-0000-00005E1A0000}"/>
    <cellStyle name="Bad 2 2 3" xfId="6710" xr:uid="{00000000-0005-0000-0000-0000661A0000}"/>
    <cellStyle name="Bad 2 2 4" xfId="6719" xr:uid="{00000000-0005-0000-0000-00006F1A0000}"/>
    <cellStyle name="Bad 2 3" xfId="6725" xr:uid="{00000000-0005-0000-0000-0000751A0000}"/>
    <cellStyle name="Bad 2 4" xfId="6731" xr:uid="{00000000-0005-0000-0000-00007B1A0000}"/>
    <cellStyle name="Bad 2 4 2" xfId="5814" xr:uid="{00000000-0005-0000-0000-0000E6160000}"/>
    <cellStyle name="Bad 2 5" xfId="6738" xr:uid="{00000000-0005-0000-0000-0000821A0000}"/>
    <cellStyle name="Bad 2 6" xfId="6743" xr:uid="{00000000-0005-0000-0000-0000871A0000}"/>
    <cellStyle name="Bad 3" xfId="6511" xr:uid="{00000000-0005-0000-0000-00009F190000}"/>
    <cellStyle name="Calculation 2" xfId="6744" xr:uid="{00000000-0005-0000-0000-0000881A0000}"/>
    <cellStyle name="Calculation 2 2" xfId="6746" xr:uid="{00000000-0005-0000-0000-00008A1A0000}"/>
    <cellStyle name="Calculation 2 2 10" xfId="6750" xr:uid="{00000000-0005-0000-0000-00008E1A0000}"/>
    <cellStyle name="Calculation 2 2 10 2" xfId="6759" xr:uid="{00000000-0005-0000-0000-0000971A0000}"/>
    <cellStyle name="Calculation 2 2 11" xfId="6769" xr:uid="{00000000-0005-0000-0000-0000A11A0000}"/>
    <cellStyle name="Calculation 2 2 11 2" xfId="6772" xr:uid="{00000000-0005-0000-0000-0000A41A0000}"/>
    <cellStyle name="Calculation 2 2 12" xfId="6796" xr:uid="{00000000-0005-0000-0000-0000BC1A0000}"/>
    <cellStyle name="Calculation 2 2 13" xfId="6800" xr:uid="{00000000-0005-0000-0000-0000C01A0000}"/>
    <cellStyle name="Calculation 2 2 14" xfId="5372" xr:uid="{00000000-0005-0000-0000-00002C150000}"/>
    <cellStyle name="Calculation 2 2 2" xfId="6020" xr:uid="{00000000-0005-0000-0000-0000B4170000}"/>
    <cellStyle name="Calculation 2 2 2 10" xfId="6827" xr:uid="{00000000-0005-0000-0000-0000DB1A0000}"/>
    <cellStyle name="Calculation 2 2 2 11" xfId="6843" xr:uid="{00000000-0005-0000-0000-0000EB1A0000}"/>
    <cellStyle name="Calculation 2 2 2 2" xfId="6847" xr:uid="{00000000-0005-0000-0000-0000EF1A0000}"/>
    <cellStyle name="Calculation 2 2 2 2 10" xfId="6855" xr:uid="{00000000-0005-0000-0000-0000F71A0000}"/>
    <cellStyle name="Calculation 2 2 2 2 11" xfId="6862" xr:uid="{00000000-0005-0000-0000-0000FE1A0000}"/>
    <cellStyle name="Calculation 2 2 2 2 2" xfId="6881" xr:uid="{00000000-0005-0000-0000-0000111B0000}"/>
    <cellStyle name="Calculation 2 2 2 2 2 10" xfId="5190" xr:uid="{00000000-0005-0000-0000-000076140000}"/>
    <cellStyle name="Calculation 2 2 2 2 2 2" xfId="2904" xr:uid="{00000000-0005-0000-0000-0000880B0000}"/>
    <cellStyle name="Calculation 2 2 2 2 2 2 2" xfId="696" xr:uid="{00000000-0005-0000-0000-0000E8020000}"/>
    <cellStyle name="Calculation 2 2 2 2 2 3" xfId="5570" xr:uid="{00000000-0005-0000-0000-0000F2150000}"/>
    <cellStyle name="Calculation 2 2 2 2 2 3 2" xfId="1265" xr:uid="{00000000-0005-0000-0000-000021050000}"/>
    <cellStyle name="Calculation 2 2 2 2 2 4" xfId="4394" xr:uid="{00000000-0005-0000-0000-00005A110000}"/>
    <cellStyle name="Calculation 2 2 2 2 2 4 2" xfId="1412" xr:uid="{00000000-0005-0000-0000-0000B4050000}"/>
    <cellStyle name="Calculation 2 2 2 2 2 5" xfId="5581" xr:uid="{00000000-0005-0000-0000-0000FD150000}"/>
    <cellStyle name="Calculation 2 2 2 2 2 5 2" xfId="5586" xr:uid="{00000000-0005-0000-0000-000002160000}"/>
    <cellStyle name="Calculation 2 2 2 2 2 6" xfId="4588" xr:uid="{00000000-0005-0000-0000-00001C120000}"/>
    <cellStyle name="Calculation 2 2 2 2 2 6 2" xfId="5591" xr:uid="{00000000-0005-0000-0000-000007160000}"/>
    <cellStyle name="Calculation 2 2 2 2 2 7" xfId="5598" xr:uid="{00000000-0005-0000-0000-00000E160000}"/>
    <cellStyle name="Calculation 2 2 2 2 2 8" xfId="5604" xr:uid="{00000000-0005-0000-0000-000014160000}"/>
    <cellStyle name="Calculation 2 2 2 2 2 9" xfId="6882" xr:uid="{00000000-0005-0000-0000-0000121B0000}"/>
    <cellStyle name="Calculation 2 2 2 2 3" xfId="6893" xr:uid="{00000000-0005-0000-0000-00001D1B0000}"/>
    <cellStyle name="Calculation 2 2 2 2 3 2" xfId="3753" xr:uid="{00000000-0005-0000-0000-0000D90E0000}"/>
    <cellStyle name="Calculation 2 2 2 2 3 3" xfId="6895" xr:uid="{00000000-0005-0000-0000-00001F1B0000}"/>
    <cellStyle name="Calculation 2 2 2 2 4" xfId="6906" xr:uid="{00000000-0005-0000-0000-00002A1B0000}"/>
    <cellStyle name="Calculation 2 2 2 2 4 2" xfId="4166" xr:uid="{00000000-0005-0000-0000-000076100000}"/>
    <cellStyle name="Calculation 2 2 2 2 5" xfId="2929" xr:uid="{00000000-0005-0000-0000-0000A10B0000}"/>
    <cellStyle name="Calculation 2 2 2 2 5 2" xfId="2958" xr:uid="{00000000-0005-0000-0000-0000BE0B0000}"/>
    <cellStyle name="Calculation 2 2 2 2 6" xfId="2970" xr:uid="{00000000-0005-0000-0000-0000CA0B0000}"/>
    <cellStyle name="Calculation 2 2 2 2 6 2" xfId="233" xr:uid="{00000000-0005-0000-0000-0000FA000000}"/>
    <cellStyle name="Calculation 2 2 2 2 7" xfId="163" xr:uid="{00000000-0005-0000-0000-0000AF000000}"/>
    <cellStyle name="Calculation 2 2 2 2 7 2" xfId="3453" xr:uid="{00000000-0005-0000-0000-0000AD0D0000}"/>
    <cellStyle name="Calculation 2 2 2 2 8" xfId="3543" xr:uid="{00000000-0005-0000-0000-0000070E0000}"/>
    <cellStyle name="Calculation 2 2 2 2 9" xfId="3201" xr:uid="{00000000-0005-0000-0000-0000B10C0000}"/>
    <cellStyle name="Calculation 2 2 2 3" xfId="6913" xr:uid="{00000000-0005-0000-0000-0000311B0000}"/>
    <cellStyle name="Calculation 2 2 2 3 10" xfId="6916" xr:uid="{00000000-0005-0000-0000-0000341B0000}"/>
    <cellStyle name="Calculation 2 2 2 3 11" xfId="6926" xr:uid="{00000000-0005-0000-0000-00003E1B0000}"/>
    <cellStyle name="Calculation 2 2 2 3 2" xfId="77" xr:uid="{00000000-0005-0000-0000-000051000000}"/>
    <cellStyle name="Calculation 2 2 2 3 2 2" xfId="5944" xr:uid="{00000000-0005-0000-0000-000068170000}"/>
    <cellStyle name="Calculation 2 2 2 3 3" xfId="6930" xr:uid="{00000000-0005-0000-0000-0000421B0000}"/>
    <cellStyle name="Calculation 2 2 2 3 3 2" xfId="6933" xr:uid="{00000000-0005-0000-0000-0000451B0000}"/>
    <cellStyle name="Calculation 2 2 2 3 4" xfId="6935" xr:uid="{00000000-0005-0000-0000-0000471B0000}"/>
    <cellStyle name="Calculation 2 2 2 3 4 2" xfId="6937" xr:uid="{00000000-0005-0000-0000-0000491B0000}"/>
    <cellStyle name="Calculation 2 2 2 3 5" xfId="3040" xr:uid="{00000000-0005-0000-0000-0000100C0000}"/>
    <cellStyle name="Calculation 2 2 2 3 5 2" xfId="3569" xr:uid="{00000000-0005-0000-0000-0000210E0000}"/>
    <cellStyle name="Calculation 2 2 2 3 6" xfId="3064" xr:uid="{00000000-0005-0000-0000-0000280C0000}"/>
    <cellStyle name="Calculation 2 2 2 3 6 2" xfId="3614" xr:uid="{00000000-0005-0000-0000-00004E0E0000}"/>
    <cellStyle name="Calculation 2 2 2 3 7" xfId="3667" xr:uid="{00000000-0005-0000-0000-0000830E0000}"/>
    <cellStyle name="Calculation 2 2 2 3 7 2" xfId="3673" xr:uid="{00000000-0005-0000-0000-0000890E0000}"/>
    <cellStyle name="Calculation 2 2 2 3 8" xfId="3728" xr:uid="{00000000-0005-0000-0000-0000C00E0000}"/>
    <cellStyle name="Calculation 2 2 2 3 9" xfId="3735" xr:uid="{00000000-0005-0000-0000-0000C70E0000}"/>
    <cellStyle name="Calculation 2 2 2 4" xfId="6943" xr:uid="{00000000-0005-0000-0000-00004F1B0000}"/>
    <cellStyle name="Calculation 2 2 2 4 2" xfId="6944" xr:uid="{00000000-0005-0000-0000-0000501B0000}"/>
    <cellStyle name="Calculation 2 2 2 4 2 2" xfId="6270" xr:uid="{00000000-0005-0000-0000-0000AE180000}"/>
    <cellStyle name="Calculation 2 2 2 4 3" xfId="6946" xr:uid="{00000000-0005-0000-0000-0000521B0000}"/>
    <cellStyle name="Calculation 2 2 2 4 4" xfId="6947" xr:uid="{00000000-0005-0000-0000-0000531B0000}"/>
    <cellStyle name="Calculation 2 2 2 5" xfId="1451" xr:uid="{00000000-0005-0000-0000-0000DB050000}"/>
    <cellStyle name="Calculation 2 2 2 5 2" xfId="6948" xr:uid="{00000000-0005-0000-0000-0000541B0000}"/>
    <cellStyle name="Calculation 2 2 2 5 2 2" xfId="6452" xr:uid="{00000000-0005-0000-0000-000064190000}"/>
    <cellStyle name="Calculation 2 2 2 5 3" xfId="6953" xr:uid="{00000000-0005-0000-0000-0000591B0000}"/>
    <cellStyle name="Calculation 2 2 2 5 4" xfId="6956" xr:uid="{00000000-0005-0000-0000-00005C1B0000}"/>
    <cellStyle name="Calculation 2 2 2 6" xfId="3588" xr:uid="{00000000-0005-0000-0000-0000340E0000}"/>
    <cellStyle name="Calculation 2 2 2 6 2" xfId="6966" xr:uid="{00000000-0005-0000-0000-0000661B0000}"/>
    <cellStyle name="Calculation 2 2 2 6 2 2" xfId="6973" xr:uid="{00000000-0005-0000-0000-00006D1B0000}"/>
    <cellStyle name="Calculation 2 2 2 6 3" xfId="6982" xr:uid="{00000000-0005-0000-0000-0000761B0000}"/>
    <cellStyle name="Calculation 2 2 2 6 4" xfId="6992" xr:uid="{00000000-0005-0000-0000-0000801B0000}"/>
    <cellStyle name="Calculation 2 2 2 7" xfId="6999" xr:uid="{00000000-0005-0000-0000-0000871B0000}"/>
    <cellStyle name="Calculation 2 2 2 7 2" xfId="611" xr:uid="{00000000-0005-0000-0000-00008D020000}"/>
    <cellStyle name="Calculation 2 2 2 8" xfId="7008" xr:uid="{00000000-0005-0000-0000-0000901B0000}"/>
    <cellStyle name="Calculation 2 2 2 8 2" xfId="7012" xr:uid="{00000000-0005-0000-0000-0000941B0000}"/>
    <cellStyle name="Calculation 2 2 2 9" xfId="7022" xr:uid="{00000000-0005-0000-0000-00009E1B0000}"/>
    <cellStyle name="Calculation 2 2 3" xfId="6031" xr:uid="{00000000-0005-0000-0000-0000BF170000}"/>
    <cellStyle name="Calculation 2 2 3 10" xfId="7028" xr:uid="{00000000-0005-0000-0000-0000A41B0000}"/>
    <cellStyle name="Calculation 2 2 3 11" xfId="7035" xr:uid="{00000000-0005-0000-0000-0000AB1B0000}"/>
    <cellStyle name="Calculation 2 2 3 2" xfId="2073" xr:uid="{00000000-0005-0000-0000-000049080000}"/>
    <cellStyle name="Calculation 2 2 3 2 10" xfId="3229" xr:uid="{00000000-0005-0000-0000-0000CD0C0000}"/>
    <cellStyle name="Calculation 2 2 3 2 11" xfId="3244" xr:uid="{00000000-0005-0000-0000-0000DC0C0000}"/>
    <cellStyle name="Calculation 2 2 3 2 12" xfId="3251" xr:uid="{00000000-0005-0000-0000-0000E30C0000}"/>
    <cellStyle name="Calculation 2 2 3 2 2" xfId="5447" xr:uid="{00000000-0005-0000-0000-000077150000}"/>
    <cellStyle name="Calculation 2 2 3 2 2 2" xfId="7038" xr:uid="{00000000-0005-0000-0000-0000AE1B0000}"/>
    <cellStyle name="Calculation 2 2 3 2 3" xfId="7042" xr:uid="{00000000-0005-0000-0000-0000B21B0000}"/>
    <cellStyle name="Calculation 2 2 3 2 3 2" xfId="7044" xr:uid="{00000000-0005-0000-0000-0000B41B0000}"/>
    <cellStyle name="Calculation 2 2 3 2 4" xfId="7049" xr:uid="{00000000-0005-0000-0000-0000B91B0000}"/>
    <cellStyle name="Calculation 2 2 3 2 4 2" xfId="5739" xr:uid="{00000000-0005-0000-0000-00009B160000}"/>
    <cellStyle name="Calculation 2 2 3 2 5" xfId="3688" xr:uid="{00000000-0005-0000-0000-0000980E0000}"/>
    <cellStyle name="Calculation 2 2 3 2 5 2" xfId="7051" xr:uid="{00000000-0005-0000-0000-0000BB1B0000}"/>
    <cellStyle name="Calculation 2 2 3 2 6" xfId="7054" xr:uid="{00000000-0005-0000-0000-0000BE1B0000}"/>
    <cellStyle name="Calculation 2 2 3 2 6 2" xfId="7056" xr:uid="{00000000-0005-0000-0000-0000C01B0000}"/>
    <cellStyle name="Calculation 2 2 3 2 7" xfId="7059" xr:uid="{00000000-0005-0000-0000-0000C31B0000}"/>
    <cellStyle name="Calculation 2 2 3 2 7 2" xfId="7061" xr:uid="{00000000-0005-0000-0000-0000C51B0000}"/>
    <cellStyle name="Calculation 2 2 3 2 8" xfId="6469" xr:uid="{00000000-0005-0000-0000-000075190000}"/>
    <cellStyle name="Calculation 2 2 3 2 9" xfId="5823" xr:uid="{00000000-0005-0000-0000-0000EF160000}"/>
    <cellStyle name="Calculation 2 2 3 3" xfId="5456" xr:uid="{00000000-0005-0000-0000-000080150000}"/>
    <cellStyle name="Calculation 2 2 3 3 2" xfId="203" xr:uid="{00000000-0005-0000-0000-0000DB000000}"/>
    <cellStyle name="Calculation 2 2 3 3 2 2" xfId="7067" xr:uid="{00000000-0005-0000-0000-0000CB1B0000}"/>
    <cellStyle name="Calculation 2 2 3 3 3" xfId="7075" xr:uid="{00000000-0005-0000-0000-0000D31B0000}"/>
    <cellStyle name="Calculation 2 2 3 3 4" xfId="7077" xr:uid="{00000000-0005-0000-0000-0000D51B0000}"/>
    <cellStyle name="Calculation 2 2 3 4" xfId="5377" xr:uid="{00000000-0005-0000-0000-000031150000}"/>
    <cellStyle name="Calculation 2 2 3 4 2" xfId="5464" xr:uid="{00000000-0005-0000-0000-000088150000}"/>
    <cellStyle name="Calculation 2 2 3 4 2 2" xfId="5402" xr:uid="{00000000-0005-0000-0000-00004A150000}"/>
    <cellStyle name="Calculation 2 2 3 4 3" xfId="7085" xr:uid="{00000000-0005-0000-0000-0000DD1B0000}"/>
    <cellStyle name="Calculation 2 2 3 4 4" xfId="7091" xr:uid="{00000000-0005-0000-0000-0000E31B0000}"/>
    <cellStyle name="Calculation 2 2 3 5" xfId="1475" xr:uid="{00000000-0005-0000-0000-0000F3050000}"/>
    <cellStyle name="Calculation 2 2 3 5 2" xfId="7096" xr:uid="{00000000-0005-0000-0000-0000E81B0000}"/>
    <cellStyle name="Calculation 2 2 3 5 2 2" xfId="7100" xr:uid="{00000000-0005-0000-0000-0000EC1B0000}"/>
    <cellStyle name="Calculation 2 2 3 5 3" xfId="7102" xr:uid="{00000000-0005-0000-0000-0000EE1B0000}"/>
    <cellStyle name="Calculation 2 2 3 5 4" xfId="7103" xr:uid="{00000000-0005-0000-0000-0000EF1B0000}"/>
    <cellStyle name="Calculation 2 2 3 6" xfId="7106" xr:uid="{00000000-0005-0000-0000-0000F21B0000}"/>
    <cellStyle name="Calculation 2 2 3 6 2" xfId="7116" xr:uid="{00000000-0005-0000-0000-0000FC1B0000}"/>
    <cellStyle name="Calculation 2 2 3 6 2 2" xfId="7120" xr:uid="{00000000-0005-0000-0000-0000001C0000}"/>
    <cellStyle name="Calculation 2 2 3 6 3" xfId="7127" xr:uid="{00000000-0005-0000-0000-0000071C0000}"/>
    <cellStyle name="Calculation 2 2 3 6 4" xfId="7131" xr:uid="{00000000-0005-0000-0000-00000B1C0000}"/>
    <cellStyle name="Calculation 2 2 3 7" xfId="5106" xr:uid="{00000000-0005-0000-0000-000022140000}"/>
    <cellStyle name="Calculation 2 2 3 7 2" xfId="5746" xr:uid="{00000000-0005-0000-0000-0000A2160000}"/>
    <cellStyle name="Calculation 2 2 3 8" xfId="7135" xr:uid="{00000000-0005-0000-0000-00000F1C0000}"/>
    <cellStyle name="Calculation 2 2 3 8 2" xfId="7147" xr:uid="{00000000-0005-0000-0000-00001B1C0000}"/>
    <cellStyle name="Calculation 2 2 3 9" xfId="7151" xr:uid="{00000000-0005-0000-0000-00001F1C0000}"/>
    <cellStyle name="Calculation 2 2 4" xfId="2221" xr:uid="{00000000-0005-0000-0000-0000DD080000}"/>
    <cellStyle name="Calculation 2 2 5" xfId="7168" xr:uid="{00000000-0005-0000-0000-0000301C0000}"/>
    <cellStyle name="Calculation 2 2 5 10" xfId="7174" xr:uid="{00000000-0005-0000-0000-0000361C0000}"/>
    <cellStyle name="Calculation 2 2 5 11" xfId="7113" xr:uid="{00000000-0005-0000-0000-0000F91B0000}"/>
    <cellStyle name="Calculation 2 2 5 2" xfId="7178" xr:uid="{00000000-0005-0000-0000-00003A1C0000}"/>
    <cellStyle name="Calculation 2 2 5 2 10" xfId="2846" xr:uid="{00000000-0005-0000-0000-00004E0B0000}"/>
    <cellStyle name="Calculation 2 2 5 2 2" xfId="6415" xr:uid="{00000000-0005-0000-0000-00003F190000}"/>
    <cellStyle name="Calculation 2 2 5 2 2 2" xfId="6428" xr:uid="{00000000-0005-0000-0000-00004C190000}"/>
    <cellStyle name="Calculation 2 2 5 2 3" xfId="7180" xr:uid="{00000000-0005-0000-0000-00003C1C0000}"/>
    <cellStyle name="Calculation 2 2 5 2 3 2" xfId="7192" xr:uid="{00000000-0005-0000-0000-0000481C0000}"/>
    <cellStyle name="Calculation 2 2 5 2 4" xfId="7193" xr:uid="{00000000-0005-0000-0000-0000491C0000}"/>
    <cellStyle name="Calculation 2 2 5 2 4 2" xfId="7211" xr:uid="{00000000-0005-0000-0000-00005B1C0000}"/>
    <cellStyle name="Calculation 2 2 5 2 5" xfId="4876" xr:uid="{00000000-0005-0000-0000-00003C130000}"/>
    <cellStyle name="Calculation 2 2 5 2 5 2" xfId="7215" xr:uid="{00000000-0005-0000-0000-00005F1C0000}"/>
    <cellStyle name="Calculation 2 2 5 2 6" xfId="7203" xr:uid="{00000000-0005-0000-0000-0000531C0000}"/>
    <cellStyle name="Calculation 2 2 5 2 6 2" xfId="7218" xr:uid="{00000000-0005-0000-0000-0000621C0000}"/>
    <cellStyle name="Calculation 2 2 5 2 7" xfId="7226" xr:uid="{00000000-0005-0000-0000-00006A1C0000}"/>
    <cellStyle name="Calculation 2 2 5 2 8" xfId="6546" xr:uid="{00000000-0005-0000-0000-0000C2190000}"/>
    <cellStyle name="Calculation 2 2 5 2 9" xfId="6555" xr:uid="{00000000-0005-0000-0000-0000CB190000}"/>
    <cellStyle name="Calculation 2 2 5 3" xfId="7231" xr:uid="{00000000-0005-0000-0000-00006F1C0000}"/>
    <cellStyle name="Calculation 2 2 5 3 2" xfId="7233" xr:uid="{00000000-0005-0000-0000-0000711C0000}"/>
    <cellStyle name="Calculation 2 2 5 3 3" xfId="7241" xr:uid="{00000000-0005-0000-0000-0000791C0000}"/>
    <cellStyle name="Calculation 2 2 5 4" xfId="7249" xr:uid="{00000000-0005-0000-0000-0000811C0000}"/>
    <cellStyle name="Calculation 2 2 5 4 2" xfId="7252" xr:uid="{00000000-0005-0000-0000-0000841C0000}"/>
    <cellStyle name="Calculation 2 2 5 5" xfId="7266" xr:uid="{00000000-0005-0000-0000-0000921C0000}"/>
    <cellStyle name="Calculation 2 2 5 5 2" xfId="7278" xr:uid="{00000000-0005-0000-0000-00009E1C0000}"/>
    <cellStyle name="Calculation 2 2 5 6" xfId="517" xr:uid="{00000000-0005-0000-0000-000027020000}"/>
    <cellStyle name="Calculation 2 2 5 6 2" xfId="2725" xr:uid="{00000000-0005-0000-0000-0000D50A0000}"/>
    <cellStyle name="Calculation 2 2 5 7" xfId="548" xr:uid="{00000000-0005-0000-0000-000048020000}"/>
    <cellStyle name="Calculation 2 2 5 7 2" xfId="7282" xr:uid="{00000000-0005-0000-0000-0000A21C0000}"/>
    <cellStyle name="Calculation 2 2 5 8" xfId="18" xr:uid="{00000000-0005-0000-0000-000013000000}"/>
    <cellStyle name="Calculation 2 2 5 9" xfId="588" xr:uid="{00000000-0005-0000-0000-000074020000}"/>
    <cellStyle name="Calculation 2 2 6" xfId="7292" xr:uid="{00000000-0005-0000-0000-0000AC1C0000}"/>
    <cellStyle name="Calculation 2 2 6 10" xfId="7296" xr:uid="{00000000-0005-0000-0000-0000B01C0000}"/>
    <cellStyle name="Calculation 2 2 6 11" xfId="7302" xr:uid="{00000000-0005-0000-0000-0000B61C0000}"/>
    <cellStyle name="Calculation 2 2 6 2" xfId="182" xr:uid="{00000000-0005-0000-0000-0000C4000000}"/>
    <cellStyle name="Calculation 2 2 6 2 2" xfId="7312" xr:uid="{00000000-0005-0000-0000-0000C01C0000}"/>
    <cellStyle name="Calculation 2 2 6 3" xfId="7316" xr:uid="{00000000-0005-0000-0000-0000C41C0000}"/>
    <cellStyle name="Calculation 2 2 6 3 2" xfId="6923" xr:uid="{00000000-0005-0000-0000-00003B1B0000}"/>
    <cellStyle name="Calculation 2 2 6 4" xfId="7319" xr:uid="{00000000-0005-0000-0000-0000C71C0000}"/>
    <cellStyle name="Calculation 2 2 6 4 2" xfId="978" xr:uid="{00000000-0005-0000-0000-000002040000}"/>
    <cellStyle name="Calculation 2 2 6 5" xfId="7325" xr:uid="{00000000-0005-0000-0000-0000CD1C0000}"/>
    <cellStyle name="Calculation 2 2 6 5 2" xfId="7340" xr:uid="{00000000-0005-0000-0000-0000DC1C0000}"/>
    <cellStyle name="Calculation 2 2 6 6" xfId="7345" xr:uid="{00000000-0005-0000-0000-0000E11C0000}"/>
    <cellStyle name="Calculation 2 2 6 6 2" xfId="7356" xr:uid="{00000000-0005-0000-0000-0000EC1C0000}"/>
    <cellStyle name="Calculation 2 2 6 7" xfId="2091" xr:uid="{00000000-0005-0000-0000-00005B080000}"/>
    <cellStyle name="Calculation 2 2 6 7 2" xfId="7360" xr:uid="{00000000-0005-0000-0000-0000F01C0000}"/>
    <cellStyle name="Calculation 2 2 6 8" xfId="6070" xr:uid="{00000000-0005-0000-0000-0000E6170000}"/>
    <cellStyle name="Calculation 2 2 6 9" xfId="7363" xr:uid="{00000000-0005-0000-0000-0000F31C0000}"/>
    <cellStyle name="Calculation 2 2 7" xfId="7375" xr:uid="{00000000-0005-0000-0000-0000FF1C0000}"/>
    <cellStyle name="Calculation 2 2 7 2" xfId="7378" xr:uid="{00000000-0005-0000-0000-0000021D0000}"/>
    <cellStyle name="Calculation 2 2 7 2 2" xfId="7387" xr:uid="{00000000-0005-0000-0000-00000B1D0000}"/>
    <cellStyle name="Calculation 2 2 7 3" xfId="7392" xr:uid="{00000000-0005-0000-0000-0000101D0000}"/>
    <cellStyle name="Calculation 2 2 7 4" xfId="7400" xr:uid="{00000000-0005-0000-0000-0000181D0000}"/>
    <cellStyle name="Calculation 2 2 8" xfId="5100" xr:uid="{00000000-0005-0000-0000-00001C140000}"/>
    <cellStyle name="Calculation 2 2 8 2" xfId="7403" xr:uid="{00000000-0005-0000-0000-00001B1D0000}"/>
    <cellStyle name="Calculation 2 2 8 2 2" xfId="7410" xr:uid="{00000000-0005-0000-0000-0000221D0000}"/>
    <cellStyle name="Calculation 2 2 8 3" xfId="7419" xr:uid="{00000000-0005-0000-0000-00002B1D0000}"/>
    <cellStyle name="Calculation 2 2 8 4" xfId="7421" xr:uid="{00000000-0005-0000-0000-00002D1D0000}"/>
    <cellStyle name="Calculation 2 2 9" xfId="7429" xr:uid="{00000000-0005-0000-0000-0000351D0000}"/>
    <cellStyle name="Calculation 2 2 9 2" xfId="7431" xr:uid="{00000000-0005-0000-0000-0000371D0000}"/>
    <cellStyle name="Calculation 2 2 9 2 2" xfId="7437" xr:uid="{00000000-0005-0000-0000-00003D1D0000}"/>
    <cellStyle name="Calculation 2 2 9 3" xfId="7439" xr:uid="{00000000-0005-0000-0000-00003F1D0000}"/>
    <cellStyle name="Calculation 2 2 9 4" xfId="7440" xr:uid="{00000000-0005-0000-0000-0000401D0000}"/>
    <cellStyle name="Calculation 2 3" xfId="4438" xr:uid="{00000000-0005-0000-0000-000086110000}"/>
    <cellStyle name="Calculation 2 4" xfId="4253" xr:uid="{00000000-0005-0000-0000-0000CD100000}"/>
    <cellStyle name="Calculation 2 4 10" xfId="7441" xr:uid="{00000000-0005-0000-0000-0000411D0000}"/>
    <cellStyle name="Calculation 2 4 11" xfId="7445" xr:uid="{00000000-0005-0000-0000-0000451D0000}"/>
    <cellStyle name="Calculation 2 4 12" xfId="5247" xr:uid="{00000000-0005-0000-0000-0000AF140000}"/>
    <cellStyle name="Calculation 2 4 2" xfId="4275" xr:uid="{00000000-0005-0000-0000-0000E3100000}"/>
    <cellStyle name="Calculation 2 4 3" xfId="4301" xr:uid="{00000000-0005-0000-0000-0000FD100000}"/>
    <cellStyle name="Calculation 2 4 3 10" xfId="7447" xr:uid="{00000000-0005-0000-0000-0000471D0000}"/>
    <cellStyle name="Calculation 2 4 3 11" xfId="7452" xr:uid="{00000000-0005-0000-0000-00004C1D0000}"/>
    <cellStyle name="Calculation 2 4 3 12" xfId="5792" xr:uid="{00000000-0005-0000-0000-0000D0160000}"/>
    <cellStyle name="Calculation 2 4 3 2" xfId="6285" xr:uid="{00000000-0005-0000-0000-0000BD180000}"/>
    <cellStyle name="Calculation 2 4 3 2 2" xfId="4435" xr:uid="{00000000-0005-0000-0000-000083110000}"/>
    <cellStyle name="Calculation 2 4 3 3" xfId="7453" xr:uid="{00000000-0005-0000-0000-00004D1D0000}"/>
    <cellStyle name="Calculation 2 4 3 3 2" xfId="7456" xr:uid="{00000000-0005-0000-0000-0000501D0000}"/>
    <cellStyle name="Calculation 2 4 3 4" xfId="7458" xr:uid="{00000000-0005-0000-0000-0000521D0000}"/>
    <cellStyle name="Calculation 2 4 3 4 2" xfId="7460" xr:uid="{00000000-0005-0000-0000-0000541D0000}"/>
    <cellStyle name="Calculation 2 4 3 5" xfId="7461" xr:uid="{00000000-0005-0000-0000-0000551D0000}"/>
    <cellStyle name="Calculation 2 4 3 5 2" xfId="7462" xr:uid="{00000000-0005-0000-0000-0000561D0000}"/>
    <cellStyle name="Calculation 2 4 3 6" xfId="2387" xr:uid="{00000000-0005-0000-0000-000083090000}"/>
    <cellStyle name="Calculation 2 4 3 6 2" xfId="7464" xr:uid="{00000000-0005-0000-0000-0000581D0000}"/>
    <cellStyle name="Calculation 2 4 3 7" xfId="7475" xr:uid="{00000000-0005-0000-0000-0000631D0000}"/>
    <cellStyle name="Calculation 2 4 3 7 2" xfId="7477" xr:uid="{00000000-0005-0000-0000-0000651D0000}"/>
    <cellStyle name="Calculation 2 4 3 8" xfId="2609" xr:uid="{00000000-0005-0000-0000-0000610A0000}"/>
    <cellStyle name="Calculation 2 4 3 9" xfId="7483" xr:uid="{00000000-0005-0000-0000-00006B1D0000}"/>
    <cellStyle name="Calculation 2 4 4" xfId="6295" xr:uid="{00000000-0005-0000-0000-0000C7180000}"/>
    <cellStyle name="Calculation 2 4 4 2" xfId="3659" xr:uid="{00000000-0005-0000-0000-00007B0E0000}"/>
    <cellStyle name="Calculation 2 4 4 2 2" xfId="7485" xr:uid="{00000000-0005-0000-0000-00006D1D0000}"/>
    <cellStyle name="Calculation 2 4 4 3" xfId="7492" xr:uid="{00000000-0005-0000-0000-0000741D0000}"/>
    <cellStyle name="Calculation 2 4 4 4" xfId="7498" xr:uid="{00000000-0005-0000-0000-00007A1D0000}"/>
    <cellStyle name="Calculation 2 4 5" xfId="6316" xr:uid="{00000000-0005-0000-0000-0000DC180000}"/>
    <cellStyle name="Calculation 2 4 5 2" xfId="2371" xr:uid="{00000000-0005-0000-0000-000073090000}"/>
    <cellStyle name="Calculation 2 4 5 2 2" xfId="2395" xr:uid="{00000000-0005-0000-0000-00008B090000}"/>
    <cellStyle name="Calculation 2 4 5 3" xfId="7506" xr:uid="{00000000-0005-0000-0000-0000821D0000}"/>
    <cellStyle name="Calculation 2 4 5 4" xfId="7511" xr:uid="{00000000-0005-0000-0000-0000871D0000}"/>
    <cellStyle name="Calculation 2 4 6" xfId="6331" xr:uid="{00000000-0005-0000-0000-0000EB180000}"/>
    <cellStyle name="Calculation 2 4 6 2" xfId="2500" xr:uid="{00000000-0005-0000-0000-0000F4090000}"/>
    <cellStyle name="Calculation 2 4 6 2 2" xfId="1932" xr:uid="{00000000-0005-0000-0000-0000BC070000}"/>
    <cellStyle name="Calculation 2 4 6 3" xfId="806" xr:uid="{00000000-0005-0000-0000-000056030000}"/>
    <cellStyle name="Calculation 2 4 6 4" xfId="1001" xr:uid="{00000000-0005-0000-0000-000019040000}"/>
    <cellStyle name="Calculation 2 4 7" xfId="3980" xr:uid="{00000000-0005-0000-0000-0000BC0F0000}"/>
    <cellStyle name="Calculation 2 4 7 2" xfId="3992" xr:uid="{00000000-0005-0000-0000-0000C80F0000}"/>
    <cellStyle name="Calculation 2 4 7 2 2" xfId="7525" xr:uid="{00000000-0005-0000-0000-0000951D0000}"/>
    <cellStyle name="Calculation 2 4 7 3" xfId="1153" xr:uid="{00000000-0005-0000-0000-0000B1040000}"/>
    <cellStyle name="Calculation 2 4 7 4" xfId="1193" xr:uid="{00000000-0005-0000-0000-0000D9040000}"/>
    <cellStyle name="Calculation 2 4 8" xfId="3998" xr:uid="{00000000-0005-0000-0000-0000CE0F0000}"/>
    <cellStyle name="Calculation 2 4 8 2" xfId="4020" xr:uid="{00000000-0005-0000-0000-0000E40F0000}"/>
    <cellStyle name="Calculation 2 4 9" xfId="4024" xr:uid="{00000000-0005-0000-0000-0000E80F0000}"/>
    <cellStyle name="Calculation 2 4 9 2" xfId="4029" xr:uid="{00000000-0005-0000-0000-0000ED0F0000}"/>
    <cellStyle name="Calculation 2 5" xfId="1106" xr:uid="{00000000-0005-0000-0000-000082040000}"/>
    <cellStyle name="Calculation 2 5 10" xfId="1469" xr:uid="{00000000-0005-0000-0000-0000ED050000}"/>
    <cellStyle name="Calculation 2 5 11" xfId="7531" xr:uid="{00000000-0005-0000-0000-00009B1D0000}"/>
    <cellStyle name="Calculation 2 5 2" xfId="4325" xr:uid="{00000000-0005-0000-0000-000015110000}"/>
    <cellStyle name="Calculation 2 5 2 10" xfId="5314" xr:uid="{00000000-0005-0000-0000-0000F2140000}"/>
    <cellStyle name="Calculation 2 5 2 11" xfId="2695" xr:uid="{00000000-0005-0000-0000-0000B70A0000}"/>
    <cellStyle name="Calculation 2 5 2 12" xfId="2831" xr:uid="{00000000-0005-0000-0000-00003F0B0000}"/>
    <cellStyle name="Calculation 2 5 2 2" xfId="6094" xr:uid="{00000000-0005-0000-0000-0000FE170000}"/>
    <cellStyle name="Calculation 2 5 2 2 2" xfId="6108" xr:uid="{00000000-0005-0000-0000-00000C180000}"/>
    <cellStyle name="Calculation 2 5 2 3" xfId="6124" xr:uid="{00000000-0005-0000-0000-00001C180000}"/>
    <cellStyle name="Calculation 2 5 2 3 2" xfId="6136" xr:uid="{00000000-0005-0000-0000-000028180000}"/>
    <cellStyle name="Calculation 2 5 2 4" xfId="6147" xr:uid="{00000000-0005-0000-0000-000033180000}"/>
    <cellStyle name="Calculation 2 5 2 4 2" xfId="6154" xr:uid="{00000000-0005-0000-0000-00003A180000}"/>
    <cellStyle name="Calculation 2 5 2 5" xfId="6163" xr:uid="{00000000-0005-0000-0000-000043180000}"/>
    <cellStyle name="Calculation 2 5 2 5 2" xfId="4477" xr:uid="{00000000-0005-0000-0000-0000AD110000}"/>
    <cellStyle name="Calculation 2 5 2 6" xfId="6172" xr:uid="{00000000-0005-0000-0000-00004C180000}"/>
    <cellStyle name="Calculation 2 5 2 6 2" xfId="4532" xr:uid="{00000000-0005-0000-0000-0000E4110000}"/>
    <cellStyle name="Calculation 2 5 2 7" xfId="1623" xr:uid="{00000000-0005-0000-0000-000087060000}"/>
    <cellStyle name="Calculation 2 5 2 7 2" xfId="7539" xr:uid="{00000000-0005-0000-0000-0000A31D0000}"/>
    <cellStyle name="Calculation 2 5 2 8" xfId="1651" xr:uid="{00000000-0005-0000-0000-0000A3060000}"/>
    <cellStyle name="Calculation 2 5 2 9" xfId="775" xr:uid="{00000000-0005-0000-0000-000037030000}"/>
    <cellStyle name="Calculation 2 5 3" xfId="7541" xr:uid="{00000000-0005-0000-0000-0000A51D0000}"/>
    <cellStyle name="Calculation 2 5 3 2" xfId="7548" xr:uid="{00000000-0005-0000-0000-0000AC1D0000}"/>
    <cellStyle name="Calculation 2 5 3 2 2" xfId="358" xr:uid="{00000000-0005-0000-0000-00007E010000}"/>
    <cellStyle name="Calculation 2 5 3 3" xfId="7550" xr:uid="{00000000-0005-0000-0000-0000AE1D0000}"/>
    <cellStyle name="Calculation 2 5 3 4" xfId="7553" xr:uid="{00000000-0005-0000-0000-0000B11D0000}"/>
    <cellStyle name="Calculation 2 5 4" xfId="306" xr:uid="{00000000-0005-0000-0000-000046010000}"/>
    <cellStyle name="Calculation 2 5 4 2" xfId="7567" xr:uid="{00000000-0005-0000-0000-0000BF1D0000}"/>
    <cellStyle name="Calculation 2 5 4 2 2" xfId="7569" xr:uid="{00000000-0005-0000-0000-0000C11D0000}"/>
    <cellStyle name="Calculation 2 5 4 3" xfId="7585" xr:uid="{00000000-0005-0000-0000-0000D11D0000}"/>
    <cellStyle name="Calculation 2 5 4 4" xfId="7598" xr:uid="{00000000-0005-0000-0000-0000DE1D0000}"/>
    <cellStyle name="Calculation 2 5 5" xfId="179" xr:uid="{00000000-0005-0000-0000-0000C0000000}"/>
    <cellStyle name="Calculation 2 5 5 2" xfId="2980" xr:uid="{00000000-0005-0000-0000-0000D40B0000}"/>
    <cellStyle name="Calculation 2 5 5 2 2" xfId="242" xr:uid="{00000000-0005-0000-0000-000003010000}"/>
    <cellStyle name="Calculation 2 5 5 3" xfId="174" xr:uid="{00000000-0005-0000-0000-0000BB000000}"/>
    <cellStyle name="Calculation 2 5 5 4" xfId="7607" xr:uid="{00000000-0005-0000-0000-0000E71D0000}"/>
    <cellStyle name="Calculation 2 5 6" xfId="102" xr:uid="{00000000-0005-0000-0000-00006F000000}"/>
    <cellStyle name="Calculation 2 5 6 2" xfId="3083" xr:uid="{00000000-0005-0000-0000-00003B0C0000}"/>
    <cellStyle name="Calculation 2 5 6 2 2" xfId="7610" xr:uid="{00000000-0005-0000-0000-0000EA1D0000}"/>
    <cellStyle name="Calculation 2 5 6 3" xfId="1369" xr:uid="{00000000-0005-0000-0000-000089050000}"/>
    <cellStyle name="Calculation 2 5 6 4" xfId="7625" xr:uid="{00000000-0005-0000-0000-0000F91D0000}"/>
    <cellStyle name="Calculation 2 5 7" xfId="337" xr:uid="{00000000-0005-0000-0000-000068010000}"/>
    <cellStyle name="Calculation 2 5 7 2" xfId="4709" xr:uid="{00000000-0005-0000-0000-000095120000}"/>
    <cellStyle name="Calculation 2 5 8" xfId="636" xr:uid="{00000000-0005-0000-0000-0000A9020000}"/>
    <cellStyle name="Calculation 2 5 8 2" xfId="7641" xr:uid="{00000000-0005-0000-0000-0000091E0000}"/>
    <cellStyle name="Calculation 2 5 9" xfId="661" xr:uid="{00000000-0005-0000-0000-0000C5020000}"/>
    <cellStyle name="Calculation 2 6" xfId="4351" xr:uid="{00000000-0005-0000-0000-00002F110000}"/>
    <cellStyle name="Calculation 3" xfId="7642" xr:uid="{00000000-0005-0000-0000-00000A1E0000}"/>
    <cellStyle name="Check Cell 2" xfId="7647" xr:uid="{00000000-0005-0000-0000-00000F1E0000}"/>
    <cellStyle name="Check Cell 2 2" xfId="7649" xr:uid="{00000000-0005-0000-0000-0000111E0000}"/>
    <cellStyle name="Check Cell 2 3" xfId="5033" xr:uid="{00000000-0005-0000-0000-0000D9130000}"/>
    <cellStyle name="Check Cell 2 4" xfId="5291" xr:uid="{00000000-0005-0000-0000-0000DB140000}"/>
    <cellStyle name="Check Cell 2 5" xfId="7653" xr:uid="{00000000-0005-0000-0000-0000151E0000}"/>
    <cellStyle name="Check Cell 3" xfId="7654" xr:uid="{00000000-0005-0000-0000-0000161E0000}"/>
    <cellStyle name="Comma 2" xfId="192" xr:uid="{00000000-0005-0000-0000-0000CF000000}"/>
    <cellStyle name="Comma 2 2" xfId="2793" xr:uid="{00000000-0005-0000-0000-0000190B0000}"/>
    <cellStyle name="Comma 2 2 10" xfId="7449" xr:uid="{00000000-0005-0000-0000-0000491D0000}"/>
    <cellStyle name="Comma 2 2 10 10" xfId="7662" xr:uid="{00000000-0005-0000-0000-00001E1E0000}"/>
    <cellStyle name="Comma 2 2 10 11" xfId="7669" xr:uid="{00000000-0005-0000-0000-0000251E0000}"/>
    <cellStyle name="Comma 2 2 10 12" xfId="5734" xr:uid="{00000000-0005-0000-0000-000096160000}"/>
    <cellStyle name="Comma 2 2 10 13" xfId="5743" xr:uid="{00000000-0005-0000-0000-00009F160000}"/>
    <cellStyle name="Comma 2 2 10 14" xfId="7672" xr:uid="{00000000-0005-0000-0000-0000281E0000}"/>
    <cellStyle name="Comma 2 2 10 15" xfId="7677" xr:uid="{00000000-0005-0000-0000-00002D1E0000}"/>
    <cellStyle name="Comma 2 2 10 16" xfId="7683" xr:uid="{00000000-0005-0000-0000-0000331E0000}"/>
    <cellStyle name="Comma 2 2 10 17" xfId="7687" xr:uid="{00000000-0005-0000-0000-0000371E0000}"/>
    <cellStyle name="Comma 2 2 10 18" xfId="7692" xr:uid="{00000000-0005-0000-0000-00003C1E0000}"/>
    <cellStyle name="Comma 2 2 10 2" xfId="7702" xr:uid="{00000000-0005-0000-0000-0000461E0000}"/>
    <cellStyle name="Comma 2 2 10 2 10" xfId="7095" xr:uid="{00000000-0005-0000-0000-0000E71B0000}"/>
    <cellStyle name="Comma 2 2 10 2 2" xfId="3600" xr:uid="{00000000-0005-0000-0000-0000400E0000}"/>
    <cellStyle name="Comma 2 2 10 2 2 2" xfId="3642" xr:uid="{00000000-0005-0000-0000-00006A0E0000}"/>
    <cellStyle name="Comma 2 2 10 2 3" xfId="3654" xr:uid="{00000000-0005-0000-0000-0000760E0000}"/>
    <cellStyle name="Comma 2 2 10 2 4" xfId="7490" xr:uid="{00000000-0005-0000-0000-0000721D0000}"/>
    <cellStyle name="Comma 2 2 10 2 5" xfId="7495" xr:uid="{00000000-0005-0000-0000-0000771D0000}"/>
    <cellStyle name="Comma 2 2 10 2 6" xfId="7707" xr:uid="{00000000-0005-0000-0000-00004B1E0000}"/>
    <cellStyle name="Comma 2 2 10 2 7" xfId="3239" xr:uid="{00000000-0005-0000-0000-0000D70C0000}"/>
    <cellStyle name="Comma 2 2 10 2 8" xfId="7711" xr:uid="{00000000-0005-0000-0000-00004F1E0000}"/>
    <cellStyle name="Comma 2 2 10 2 9" xfId="2630" xr:uid="{00000000-0005-0000-0000-0000760A0000}"/>
    <cellStyle name="Comma 2 2 10 3" xfId="7718" xr:uid="{00000000-0005-0000-0000-0000561E0000}"/>
    <cellStyle name="Comma 2 2 10 3 2" xfId="2353" xr:uid="{00000000-0005-0000-0000-000061090000}"/>
    <cellStyle name="Comma 2 2 10 3 3" xfId="2368" xr:uid="{00000000-0005-0000-0000-000070090000}"/>
    <cellStyle name="Comma 2 2 10 3 4" xfId="7502" xr:uid="{00000000-0005-0000-0000-00007E1D0000}"/>
    <cellStyle name="Comma 2 2 10 3 5" xfId="7509" xr:uid="{00000000-0005-0000-0000-0000851D0000}"/>
    <cellStyle name="Comma 2 2 10 3 6" xfId="7722" xr:uid="{00000000-0005-0000-0000-00005A1E0000}"/>
    <cellStyle name="Comma 2 2 10 4" xfId="7727" xr:uid="{00000000-0005-0000-0000-00005F1E0000}"/>
    <cellStyle name="Comma 2 2 10 4 2" xfId="2481" xr:uid="{00000000-0005-0000-0000-0000E1090000}"/>
    <cellStyle name="Comma 2 2 10 4 3" xfId="2491" xr:uid="{00000000-0005-0000-0000-0000EB090000}"/>
    <cellStyle name="Comma 2 2 10 4 4" xfId="799" xr:uid="{00000000-0005-0000-0000-00004F030000}"/>
    <cellStyle name="Comma 2 2 10 4 5" xfId="995" xr:uid="{00000000-0005-0000-0000-000013040000}"/>
    <cellStyle name="Comma 2 2 10 4 6" xfId="1029" xr:uid="{00000000-0005-0000-0000-000035040000}"/>
    <cellStyle name="Comma 2 2 10 5" xfId="7731" xr:uid="{00000000-0005-0000-0000-0000631E0000}"/>
    <cellStyle name="Comma 2 2 10 5 2" xfId="7734" xr:uid="{00000000-0005-0000-0000-0000661E0000}"/>
    <cellStyle name="Comma 2 2 10 5 3" xfId="3984" xr:uid="{00000000-0005-0000-0000-0000C00F0000}"/>
    <cellStyle name="Comma 2 2 10 5 4" xfId="1139" xr:uid="{00000000-0005-0000-0000-0000A3040000}"/>
    <cellStyle name="Comma 2 2 10 5 5" xfId="1182" xr:uid="{00000000-0005-0000-0000-0000CE040000}"/>
    <cellStyle name="Comma 2 2 10 5 6" xfId="1207" xr:uid="{00000000-0005-0000-0000-0000E7040000}"/>
    <cellStyle name="Comma 2 2 10 6" xfId="7738" xr:uid="{00000000-0005-0000-0000-00006A1E0000}"/>
    <cellStyle name="Comma 2 2 10 6 2" xfId="7752" xr:uid="{00000000-0005-0000-0000-0000781E0000}"/>
    <cellStyle name="Comma 2 2 10 6 3" xfId="4013" xr:uid="{00000000-0005-0000-0000-0000DD0F0000}"/>
    <cellStyle name="Comma 2 2 10 6 4" xfId="536" xr:uid="{00000000-0005-0000-0000-00003C020000}"/>
    <cellStyle name="Comma 2 2 10 6 5" xfId="7760" xr:uid="{00000000-0005-0000-0000-0000801E0000}"/>
    <cellStyle name="Comma 2 2 10 6 6" xfId="7762" xr:uid="{00000000-0005-0000-0000-0000821E0000}"/>
    <cellStyle name="Comma 2 2 10 7" xfId="7766" xr:uid="{00000000-0005-0000-0000-0000861E0000}"/>
    <cellStyle name="Comma 2 2 10 8" xfId="7771" xr:uid="{00000000-0005-0000-0000-00008B1E0000}"/>
    <cellStyle name="Comma 2 2 10 9" xfId="4461" xr:uid="{00000000-0005-0000-0000-00009D110000}"/>
    <cellStyle name="Comma 2 2 11" xfId="5790" xr:uid="{00000000-0005-0000-0000-0000CE160000}"/>
    <cellStyle name="Comma 2 2 11 10" xfId="1645" xr:uid="{00000000-0005-0000-0000-00009D060000}"/>
    <cellStyle name="Comma 2 2 11 11" xfId="769" xr:uid="{00000000-0005-0000-0000-000031030000}"/>
    <cellStyle name="Comma 2 2 11 12" xfId="2745" xr:uid="{00000000-0005-0000-0000-0000E90A0000}"/>
    <cellStyle name="Comma 2 2 11 13" xfId="2752" xr:uid="{00000000-0005-0000-0000-0000F00A0000}"/>
    <cellStyle name="Comma 2 2 11 14" xfId="2770" xr:uid="{00000000-0005-0000-0000-0000020B0000}"/>
    <cellStyle name="Comma 2 2 11 15" xfId="2787" xr:uid="{00000000-0005-0000-0000-0000130B0000}"/>
    <cellStyle name="Comma 2 2 11 16" xfId="2806" xr:uid="{00000000-0005-0000-0000-0000260B0000}"/>
    <cellStyle name="Comma 2 2 11 17" xfId="1124" xr:uid="{00000000-0005-0000-0000-000094040000}"/>
    <cellStyle name="Comma 2 2 11 18" xfId="7775" xr:uid="{00000000-0005-0000-0000-00008F1E0000}"/>
    <cellStyle name="Comma 2 2 11 2" xfId="7780" xr:uid="{00000000-0005-0000-0000-0000941E0000}"/>
    <cellStyle name="Comma 2 2 11 2 10" xfId="7781" xr:uid="{00000000-0005-0000-0000-0000951E0000}"/>
    <cellStyle name="Comma 2 2 11 2 2" xfId="7784" xr:uid="{00000000-0005-0000-0000-0000981E0000}"/>
    <cellStyle name="Comma 2 2 11 2 2 2" xfId="7789" xr:uid="{00000000-0005-0000-0000-00009D1E0000}"/>
    <cellStyle name="Comma 2 2 11 2 3" xfId="7555" xr:uid="{00000000-0005-0000-0000-0000B31D0000}"/>
    <cellStyle name="Comma 2 2 11 2 4" xfId="7573" xr:uid="{00000000-0005-0000-0000-0000C51D0000}"/>
    <cellStyle name="Comma 2 2 11 2 5" xfId="7587" xr:uid="{00000000-0005-0000-0000-0000D31D0000}"/>
    <cellStyle name="Comma 2 2 11 2 6" xfId="7792" xr:uid="{00000000-0005-0000-0000-0000A01E0000}"/>
    <cellStyle name="Comma 2 2 11 2 7" xfId="7806" xr:uid="{00000000-0005-0000-0000-0000AE1E0000}"/>
    <cellStyle name="Comma 2 2 11 2 8" xfId="879" xr:uid="{00000000-0005-0000-0000-00009F030000}"/>
    <cellStyle name="Comma 2 2 11 2 9" xfId="900" xr:uid="{00000000-0005-0000-0000-0000B4030000}"/>
    <cellStyle name="Comma 2 2 11 3" xfId="7815" xr:uid="{00000000-0005-0000-0000-0000B71E0000}"/>
    <cellStyle name="Comma 2 2 11 3 2" xfId="2951" xr:uid="{00000000-0005-0000-0000-0000B70B0000}"/>
    <cellStyle name="Comma 2 2 11 3 3" xfId="2974" xr:uid="{00000000-0005-0000-0000-0000CE0B0000}"/>
    <cellStyle name="Comma 2 2 11 3 4" xfId="168" xr:uid="{00000000-0005-0000-0000-0000B4000000}"/>
    <cellStyle name="Comma 2 2 11 3 5" xfId="7602" xr:uid="{00000000-0005-0000-0000-0000E21D0000}"/>
    <cellStyle name="Comma 2 2 11 3 6" xfId="7819" xr:uid="{00000000-0005-0000-0000-0000BB1E0000}"/>
    <cellStyle name="Comma 2 2 11 4" xfId="7827" xr:uid="{00000000-0005-0000-0000-0000C31E0000}"/>
    <cellStyle name="Comma 2 2 11 4 2" xfId="3055" xr:uid="{00000000-0005-0000-0000-00001F0C0000}"/>
    <cellStyle name="Comma 2 2 11 4 3" xfId="3073" xr:uid="{00000000-0005-0000-0000-0000310C0000}"/>
    <cellStyle name="Comma 2 2 11 4 4" xfId="1362" xr:uid="{00000000-0005-0000-0000-000082050000}"/>
    <cellStyle name="Comma 2 2 11 4 5" xfId="7622" xr:uid="{00000000-0005-0000-0000-0000F61D0000}"/>
    <cellStyle name="Comma 2 2 11 4 6" xfId="7836" xr:uid="{00000000-0005-0000-0000-0000CC1E0000}"/>
    <cellStyle name="Comma 2 2 11 5" xfId="7842" xr:uid="{00000000-0005-0000-0000-0000D21E0000}"/>
    <cellStyle name="Comma 2 2 11 5 2" xfId="4675" xr:uid="{00000000-0005-0000-0000-000073120000}"/>
    <cellStyle name="Comma 2 2 11 5 3" xfId="4698" xr:uid="{00000000-0005-0000-0000-00008A120000}"/>
    <cellStyle name="Comma 2 2 11 5 4" xfId="1383" xr:uid="{00000000-0005-0000-0000-000097050000}"/>
    <cellStyle name="Comma 2 2 11 5 5" xfId="4728" xr:uid="{00000000-0005-0000-0000-0000A8120000}"/>
    <cellStyle name="Comma 2 2 11 5 6" xfId="4750" xr:uid="{00000000-0005-0000-0000-0000BE120000}"/>
    <cellStyle name="Comma 2 2 11 6" xfId="7847" xr:uid="{00000000-0005-0000-0000-0000D71E0000}"/>
    <cellStyle name="Comma 2 2 11 6 2" xfId="7859" xr:uid="{00000000-0005-0000-0000-0000E31E0000}"/>
    <cellStyle name="Comma 2 2 11 6 3" xfId="7636" xr:uid="{00000000-0005-0000-0000-0000041E0000}"/>
    <cellStyle name="Comma 2 2 11 6 4" xfId="1420" xr:uid="{00000000-0005-0000-0000-0000BC050000}"/>
    <cellStyle name="Comma 2 2 11 6 5" xfId="7868" xr:uid="{00000000-0005-0000-0000-0000EC1E0000}"/>
    <cellStyle name="Comma 2 2 11 6 6" xfId="7870" xr:uid="{00000000-0005-0000-0000-0000EE1E0000}"/>
    <cellStyle name="Comma 2 2 11 7" xfId="7872" xr:uid="{00000000-0005-0000-0000-0000F01E0000}"/>
    <cellStyle name="Comma 2 2 11 8" xfId="7880" xr:uid="{00000000-0005-0000-0000-0000F81E0000}"/>
    <cellStyle name="Comma 2 2 11 9" xfId="4471" xr:uid="{00000000-0005-0000-0000-0000A7110000}"/>
    <cellStyle name="Comma 2 2 12" xfId="7882" xr:uid="{00000000-0005-0000-0000-0000FA1E0000}"/>
    <cellStyle name="Comma 2 2 12 10" xfId="2918" xr:uid="{00000000-0005-0000-0000-0000960B0000}"/>
    <cellStyle name="Comma 2 2 12 11" xfId="7886" xr:uid="{00000000-0005-0000-0000-0000FE1E0000}"/>
    <cellStyle name="Comma 2 2 12 12" xfId="7890" xr:uid="{00000000-0005-0000-0000-0000021F0000}"/>
    <cellStyle name="Comma 2 2 12 13" xfId="5969" xr:uid="{00000000-0005-0000-0000-000081170000}"/>
    <cellStyle name="Comma 2 2 12 14" xfId="7896" xr:uid="{00000000-0005-0000-0000-0000081F0000}"/>
    <cellStyle name="Comma 2 2 12 15" xfId="2117" xr:uid="{00000000-0005-0000-0000-000075080000}"/>
    <cellStyle name="Comma 2 2 12 2" xfId="7901" xr:uid="{00000000-0005-0000-0000-00000D1F0000}"/>
    <cellStyle name="Comma 2 2 12 2 2" xfId="7908" xr:uid="{00000000-0005-0000-0000-0000141F0000}"/>
    <cellStyle name="Comma 2 2 12 2 2 2" xfId="7910" xr:uid="{00000000-0005-0000-0000-0000161F0000}"/>
    <cellStyle name="Comma 2 2 12 2 3" xfId="7912" xr:uid="{00000000-0005-0000-0000-0000181F0000}"/>
    <cellStyle name="Comma 2 2 12 2 4" xfId="7926" xr:uid="{00000000-0005-0000-0000-0000261F0000}"/>
    <cellStyle name="Comma 2 2 12 2 5" xfId="7930" xr:uid="{00000000-0005-0000-0000-00002A1F0000}"/>
    <cellStyle name="Comma 2 2 12 2 6" xfId="7939" xr:uid="{00000000-0005-0000-0000-0000331F0000}"/>
    <cellStyle name="Comma 2 2 12 2 7" xfId="1157" xr:uid="{00000000-0005-0000-0000-0000B5040000}"/>
    <cellStyle name="Comma 2 2 12 2 8" xfId="7949" xr:uid="{00000000-0005-0000-0000-00003D1F0000}"/>
    <cellStyle name="Comma 2 2 12 2 9" xfId="3025" xr:uid="{00000000-0005-0000-0000-0000010C0000}"/>
    <cellStyle name="Comma 2 2 12 3" xfId="7950" xr:uid="{00000000-0005-0000-0000-00003E1F0000}"/>
    <cellStyle name="Comma 2 2 12 3 2" xfId="3424" xr:uid="{00000000-0005-0000-0000-0000900D0000}"/>
    <cellStyle name="Comma 2 2 12 3 3" xfId="3436" xr:uid="{00000000-0005-0000-0000-00009C0D0000}"/>
    <cellStyle name="Comma 2 2 12 3 4" xfId="7953" xr:uid="{00000000-0005-0000-0000-0000411F0000}"/>
    <cellStyle name="Comma 2 2 12 3 5" xfId="7957" xr:uid="{00000000-0005-0000-0000-0000451F0000}"/>
    <cellStyle name="Comma 2 2 12 3 6" xfId="7961" xr:uid="{00000000-0005-0000-0000-0000491F0000}"/>
    <cellStyle name="Comma 2 2 12 4" xfId="7962" xr:uid="{00000000-0005-0000-0000-00004A1F0000}"/>
    <cellStyle name="Comma 2 2 12 4 2" xfId="3522" xr:uid="{00000000-0005-0000-0000-0000F20D0000}"/>
    <cellStyle name="Comma 2 2 12 5" xfId="7963" xr:uid="{00000000-0005-0000-0000-00004B1F0000}"/>
    <cellStyle name="Comma 2 2 12 6" xfId="7964" xr:uid="{00000000-0005-0000-0000-00004C1F0000}"/>
    <cellStyle name="Comma 2 2 12 7" xfId="7965" xr:uid="{00000000-0005-0000-0000-00004D1F0000}"/>
    <cellStyle name="Comma 2 2 12 8" xfId="7966" xr:uid="{00000000-0005-0000-0000-00004E1F0000}"/>
    <cellStyle name="Comma 2 2 12 9" xfId="4491" xr:uid="{00000000-0005-0000-0000-0000BB110000}"/>
    <cellStyle name="Comma 2 2 13" xfId="5648" xr:uid="{00000000-0005-0000-0000-000040160000}"/>
    <cellStyle name="Comma 2 2 13 10" xfId="507" xr:uid="{00000000-0005-0000-0000-00001B020000}"/>
    <cellStyle name="Comma 2 2 13 11" xfId="407" xr:uid="{00000000-0005-0000-0000-0000B1010000}"/>
    <cellStyle name="Comma 2 2 13 12" xfId="7969" xr:uid="{00000000-0005-0000-0000-0000511F0000}"/>
    <cellStyle name="Comma 2 2 13 13" xfId="7972" xr:uid="{00000000-0005-0000-0000-0000541F0000}"/>
    <cellStyle name="Comma 2 2 13 14" xfId="7975" xr:uid="{00000000-0005-0000-0000-0000571F0000}"/>
    <cellStyle name="Comma 2 2 13 2" xfId="5654" xr:uid="{00000000-0005-0000-0000-000046160000}"/>
    <cellStyle name="Comma 2 2 13 2 2" xfId="3271" xr:uid="{00000000-0005-0000-0000-0000F70C0000}"/>
    <cellStyle name="Comma 2 2 13 2 2 2" xfId="982" xr:uid="{00000000-0005-0000-0000-000006040000}"/>
    <cellStyle name="Comma 2 2 13 2 3" xfId="3283" xr:uid="{00000000-0005-0000-0000-0000030D0000}"/>
    <cellStyle name="Comma 2 2 13 2 4" xfId="3295" xr:uid="{00000000-0005-0000-0000-00000F0D0000}"/>
    <cellStyle name="Comma 2 2 13 2 5" xfId="2099" xr:uid="{00000000-0005-0000-0000-000063080000}"/>
    <cellStyle name="Comma 2 2 13 2 6" xfId="7982" xr:uid="{00000000-0005-0000-0000-00005E1F0000}"/>
    <cellStyle name="Comma 2 2 13 2 7" xfId="7989" xr:uid="{00000000-0005-0000-0000-0000651F0000}"/>
    <cellStyle name="Comma 2 2 13 2 8" xfId="7993" xr:uid="{00000000-0005-0000-0000-0000691F0000}"/>
    <cellStyle name="Comma 2 2 13 2 9" xfId="7997" xr:uid="{00000000-0005-0000-0000-00006D1F0000}"/>
    <cellStyle name="Comma 2 2 13 3" xfId="5671" xr:uid="{00000000-0005-0000-0000-000057160000}"/>
    <cellStyle name="Comma 2 2 13 3 2" xfId="3357" xr:uid="{00000000-0005-0000-0000-00004D0D0000}"/>
    <cellStyle name="Comma 2 2 13 3 3" xfId="251" xr:uid="{00000000-0005-0000-0000-00000C010000}"/>
    <cellStyle name="Comma 2 2 13 3 4" xfId="750" xr:uid="{00000000-0005-0000-0000-00001E030000}"/>
    <cellStyle name="Comma 2 2 13 3 5" xfId="2273" xr:uid="{00000000-0005-0000-0000-000011090000}"/>
    <cellStyle name="Comma 2 2 13 3 6" xfId="7999" xr:uid="{00000000-0005-0000-0000-00006F1F0000}"/>
    <cellStyle name="Comma 2 2 13 4" xfId="8002" xr:uid="{00000000-0005-0000-0000-0000721F0000}"/>
    <cellStyle name="Comma 2 2 13 4 2" xfId="3719" xr:uid="{00000000-0005-0000-0000-0000B70E0000}"/>
    <cellStyle name="Comma 2 2 13 5" xfId="8005" xr:uid="{00000000-0005-0000-0000-0000751F0000}"/>
    <cellStyle name="Comma 2 2 13 6" xfId="8012" xr:uid="{00000000-0005-0000-0000-00007C1F0000}"/>
    <cellStyle name="Comma 2 2 13 7" xfId="7436" xr:uid="{00000000-0005-0000-0000-00003C1D0000}"/>
    <cellStyle name="Comma 2 2 13 8" xfId="8018" xr:uid="{00000000-0005-0000-0000-0000821F0000}"/>
    <cellStyle name="Comma 2 2 13 9" xfId="8025" xr:uid="{00000000-0005-0000-0000-0000891F0000}"/>
    <cellStyle name="Comma 2 2 14" xfId="5679" xr:uid="{00000000-0005-0000-0000-00005F160000}"/>
    <cellStyle name="Comma 2 2 14 10" xfId="8028" xr:uid="{00000000-0005-0000-0000-00008C1F0000}"/>
    <cellStyle name="Comma 2 2 14 2" xfId="5685" xr:uid="{00000000-0005-0000-0000-000065160000}"/>
    <cellStyle name="Comma 2 2 14 2 2" xfId="8034" xr:uid="{00000000-0005-0000-0000-0000921F0000}"/>
    <cellStyle name="Comma 2 2 14 2 2 2" xfId="3722" xr:uid="{00000000-0005-0000-0000-0000BA0E0000}"/>
    <cellStyle name="Comma 2 2 14 2 3" xfId="3794" xr:uid="{00000000-0005-0000-0000-0000020F0000}"/>
    <cellStyle name="Comma 2 2 14 2 4" xfId="8037" xr:uid="{00000000-0005-0000-0000-0000951F0000}"/>
    <cellStyle name="Comma 2 2 14 2 5" xfId="8041" xr:uid="{00000000-0005-0000-0000-0000991F0000}"/>
    <cellStyle name="Comma 2 2 14 3" xfId="8042" xr:uid="{00000000-0005-0000-0000-00009A1F0000}"/>
    <cellStyle name="Comma 2 2 14 3 2" xfId="3833" xr:uid="{00000000-0005-0000-0000-0000290F0000}"/>
    <cellStyle name="Comma 2 2 14 4" xfId="8043" xr:uid="{00000000-0005-0000-0000-00009B1F0000}"/>
    <cellStyle name="Comma 2 2 14 5" xfId="8046" xr:uid="{00000000-0005-0000-0000-00009E1F0000}"/>
    <cellStyle name="Comma 2 2 14 6" xfId="8050" xr:uid="{00000000-0005-0000-0000-0000A21F0000}"/>
    <cellStyle name="Comma 2 2 14 7" xfId="8060" xr:uid="{00000000-0005-0000-0000-0000AC1F0000}"/>
    <cellStyle name="Comma 2 2 14 8" xfId="8067" xr:uid="{00000000-0005-0000-0000-0000B31F0000}"/>
    <cellStyle name="Comma 2 2 14 9" xfId="8079" xr:uid="{00000000-0005-0000-0000-0000BF1F0000}"/>
    <cellStyle name="Comma 2 2 15" xfId="5698" xr:uid="{00000000-0005-0000-0000-000072160000}"/>
    <cellStyle name="Comma 2 2 15 2" xfId="5708" xr:uid="{00000000-0005-0000-0000-00007C160000}"/>
    <cellStyle name="Comma 2 2 15 2 2" xfId="8086" xr:uid="{00000000-0005-0000-0000-0000C61F0000}"/>
    <cellStyle name="Comma 2 2 15 3" xfId="8089" xr:uid="{00000000-0005-0000-0000-0000C91F0000}"/>
    <cellStyle name="Comma 2 2 15 4" xfId="8096" xr:uid="{00000000-0005-0000-0000-0000D01F0000}"/>
    <cellStyle name="Comma 2 2 15 5" xfId="8101" xr:uid="{00000000-0005-0000-0000-0000D51F0000}"/>
    <cellStyle name="Comma 2 2 15 6" xfId="8105" xr:uid="{00000000-0005-0000-0000-0000D91F0000}"/>
    <cellStyle name="Comma 2 2 15 7" xfId="8112" xr:uid="{00000000-0005-0000-0000-0000E01F0000}"/>
    <cellStyle name="Comma 2 2 15 8" xfId="8116" xr:uid="{00000000-0005-0000-0000-0000E41F0000}"/>
    <cellStyle name="Comma 2 2 15 9" xfId="8122" xr:uid="{00000000-0005-0000-0000-0000EA1F0000}"/>
    <cellStyle name="Comma 2 2 16" xfId="114" xr:uid="{00000000-0005-0000-0000-00007C000000}"/>
    <cellStyle name="Comma 2 2 16 2" xfId="6813" xr:uid="{00000000-0005-0000-0000-0000CD1A0000}"/>
    <cellStyle name="Comma 2 2 16 3" xfId="6829" xr:uid="{00000000-0005-0000-0000-0000DD1A0000}"/>
    <cellStyle name="Comma 2 2 16 4" xfId="6857" xr:uid="{00000000-0005-0000-0000-0000F91A0000}"/>
    <cellStyle name="Comma 2 2 16 5" xfId="6866" xr:uid="{00000000-0005-0000-0000-0000021B0000}"/>
    <cellStyle name="Comma 2 2 16 6" xfId="8125" xr:uid="{00000000-0005-0000-0000-0000ED1F0000}"/>
    <cellStyle name="Comma 2 2 17" xfId="5726" xr:uid="{00000000-0005-0000-0000-00008E160000}"/>
    <cellStyle name="Comma 2 2 17 2" xfId="5053" xr:uid="{00000000-0005-0000-0000-0000ED130000}"/>
    <cellStyle name="Comma 2 2 17 3" xfId="5073" xr:uid="{00000000-0005-0000-0000-000001140000}"/>
    <cellStyle name="Comma 2 2 17 4" xfId="5089" xr:uid="{00000000-0005-0000-0000-000011140000}"/>
    <cellStyle name="Comma 2 2 17 5" xfId="6042" xr:uid="{00000000-0005-0000-0000-0000CA170000}"/>
    <cellStyle name="Comma 2 2 17 6" xfId="6048" xr:uid="{00000000-0005-0000-0000-0000D0170000}"/>
    <cellStyle name="Comma 2 2 18" xfId="2013" xr:uid="{00000000-0005-0000-0000-00000D080000}"/>
    <cellStyle name="Comma 2 2 18 2" xfId="5160" xr:uid="{00000000-0005-0000-0000-000058140000}"/>
    <cellStyle name="Comma 2 2 18 3" xfId="5169" xr:uid="{00000000-0005-0000-0000-000061140000}"/>
    <cellStyle name="Comma 2 2 18 4" xfId="5189" xr:uid="{00000000-0005-0000-0000-000075140000}"/>
    <cellStyle name="Comma 2 2 18 5" xfId="8129" xr:uid="{00000000-0005-0000-0000-0000F11F0000}"/>
    <cellStyle name="Comma 2 2 18 6" xfId="8133" xr:uid="{00000000-0005-0000-0000-0000F51F0000}"/>
    <cellStyle name="Comma 2 2 19" xfId="8140" xr:uid="{00000000-0005-0000-0000-0000FC1F0000}"/>
    <cellStyle name="Comma 2 2 2" xfId="2800" xr:uid="{00000000-0005-0000-0000-0000200B0000}"/>
    <cellStyle name="Comma 2 2 2 10" xfId="3202" xr:uid="{00000000-0005-0000-0000-0000B20C0000}"/>
    <cellStyle name="Comma 2 2 2 10 10" xfId="8145" xr:uid="{00000000-0005-0000-0000-000001200000}"/>
    <cellStyle name="Comma 2 2 2 10 11" xfId="8148" xr:uid="{00000000-0005-0000-0000-000004200000}"/>
    <cellStyle name="Comma 2 2 2 10 12" xfId="4837" xr:uid="{00000000-0005-0000-0000-000015130000}"/>
    <cellStyle name="Comma 2 2 2 10 13" xfId="8152" xr:uid="{00000000-0005-0000-0000-000008200000}"/>
    <cellStyle name="Comma 2 2 2 10 14" xfId="7478" xr:uid="{00000000-0005-0000-0000-0000661D0000}"/>
    <cellStyle name="Comma 2 2 2 10 2" xfId="499" xr:uid="{00000000-0005-0000-0000-000013020000}"/>
    <cellStyle name="Comma 2 2 2 10 2 2" xfId="1967" xr:uid="{00000000-0005-0000-0000-0000DF070000}"/>
    <cellStyle name="Comma 2 2 2 10 2 2 2" xfId="8156" xr:uid="{00000000-0005-0000-0000-00000C200000}"/>
    <cellStyle name="Comma 2 2 2 10 2 3" xfId="8159" xr:uid="{00000000-0005-0000-0000-00000F200000}"/>
    <cellStyle name="Comma 2 2 2 10 2 4" xfId="6757" xr:uid="{00000000-0005-0000-0000-0000951A0000}"/>
    <cellStyle name="Comma 2 2 2 10 2 5" xfId="8167" xr:uid="{00000000-0005-0000-0000-000017200000}"/>
    <cellStyle name="Comma 2 2 2 10 2 6" xfId="8174" xr:uid="{00000000-0005-0000-0000-00001E200000}"/>
    <cellStyle name="Comma 2 2 2 10 2 7" xfId="5260" xr:uid="{00000000-0005-0000-0000-0000BC140000}"/>
    <cellStyle name="Comma 2 2 2 10 2 8" xfId="8176" xr:uid="{00000000-0005-0000-0000-000020200000}"/>
    <cellStyle name="Comma 2 2 2 10 2 9" xfId="2571" xr:uid="{00000000-0005-0000-0000-00003B0A0000}"/>
    <cellStyle name="Comma 2 2 2 10 3" xfId="400" xr:uid="{00000000-0005-0000-0000-0000AA010000}"/>
    <cellStyle name="Comma 2 2 2 10 3 2" xfId="1991" xr:uid="{00000000-0005-0000-0000-0000F7070000}"/>
    <cellStyle name="Comma 2 2 2 10 3 3" xfId="8178" xr:uid="{00000000-0005-0000-0000-000022200000}"/>
    <cellStyle name="Comma 2 2 2 10 3 4" xfId="6784" xr:uid="{00000000-0005-0000-0000-0000B01A0000}"/>
    <cellStyle name="Comma 2 2 2 10 3 5" xfId="8188" xr:uid="{00000000-0005-0000-0000-00002C200000}"/>
    <cellStyle name="Comma 2 2 2 10 3 6" xfId="8190" xr:uid="{00000000-0005-0000-0000-00002E200000}"/>
    <cellStyle name="Comma 2 2 2 10 4" xfId="2003" xr:uid="{00000000-0005-0000-0000-000003080000}"/>
    <cellStyle name="Comma 2 2 2 10 4 2" xfId="2014" xr:uid="{00000000-0005-0000-0000-00000E080000}"/>
    <cellStyle name="Comma 2 2 2 10 5" xfId="2030" xr:uid="{00000000-0005-0000-0000-00001E080000}"/>
    <cellStyle name="Comma 2 2 2 10 6" xfId="2051" xr:uid="{00000000-0005-0000-0000-000033080000}"/>
    <cellStyle name="Comma 2 2 2 10 7" xfId="6236" xr:uid="{00000000-0005-0000-0000-00008C180000}"/>
    <cellStyle name="Comma 2 2 2 10 8" xfId="6672" xr:uid="{00000000-0005-0000-0000-0000401A0000}"/>
    <cellStyle name="Comma 2 2 2 10 9" xfId="8196" xr:uid="{00000000-0005-0000-0000-000034200000}"/>
    <cellStyle name="Comma 2 2 2 11" xfId="1013" xr:uid="{00000000-0005-0000-0000-000025040000}"/>
    <cellStyle name="Comma 2 2 2 11 10" xfId="3605" xr:uid="{00000000-0005-0000-0000-0000450E0000}"/>
    <cellStyle name="Comma 2 2 2 11 2" xfId="2149" xr:uid="{00000000-0005-0000-0000-000095080000}"/>
    <cellStyle name="Comma 2 2 2 11 2 2" xfId="2158" xr:uid="{00000000-0005-0000-0000-00009E080000}"/>
    <cellStyle name="Comma 2 2 2 11 2 2 2" xfId="8198" xr:uid="{00000000-0005-0000-0000-000036200000}"/>
    <cellStyle name="Comma 2 2 2 11 2 3" xfId="8216" xr:uid="{00000000-0005-0000-0000-000048200000}"/>
    <cellStyle name="Comma 2 2 2 11 2 4" xfId="8230" xr:uid="{00000000-0005-0000-0000-000056200000}"/>
    <cellStyle name="Comma 2 2 2 11 2 5" xfId="61" xr:uid="{00000000-0005-0000-0000-000041000000}"/>
    <cellStyle name="Comma 2 2 2 11 3" xfId="2171" xr:uid="{00000000-0005-0000-0000-0000AB080000}"/>
    <cellStyle name="Comma 2 2 2 11 3 2" xfId="2202" xr:uid="{00000000-0005-0000-0000-0000CA080000}"/>
    <cellStyle name="Comma 2 2 2 11 4" xfId="2207" xr:uid="{00000000-0005-0000-0000-0000CF080000}"/>
    <cellStyle name="Comma 2 2 2 11 5" xfId="2228" xr:uid="{00000000-0005-0000-0000-0000E4080000}"/>
    <cellStyle name="Comma 2 2 2 11 6" xfId="2252" xr:uid="{00000000-0005-0000-0000-0000FC080000}"/>
    <cellStyle name="Comma 2 2 2 11 7" xfId="6244" xr:uid="{00000000-0005-0000-0000-000094180000}"/>
    <cellStyle name="Comma 2 2 2 11 8" xfId="6677" xr:uid="{00000000-0005-0000-0000-0000451A0000}"/>
    <cellStyle name="Comma 2 2 2 11 9" xfId="8233" xr:uid="{00000000-0005-0000-0000-000059200000}"/>
    <cellStyle name="Comma 2 2 2 12" xfId="2521" xr:uid="{00000000-0005-0000-0000-0000090A0000}"/>
    <cellStyle name="Comma 2 2 2 12 2" xfId="3563" xr:uid="{00000000-0005-0000-0000-00001B0E0000}"/>
    <cellStyle name="Comma 2 2 2 12 2 2" xfId="7415" xr:uid="{00000000-0005-0000-0000-0000271D0000}"/>
    <cellStyle name="Comma 2 2 2 12 3" xfId="8235" xr:uid="{00000000-0005-0000-0000-00005B200000}"/>
    <cellStyle name="Comma 2 2 2 12 4" xfId="7909" xr:uid="{00000000-0005-0000-0000-0000151F0000}"/>
    <cellStyle name="Comma 2 2 2 12 5" xfId="4260" xr:uid="{00000000-0005-0000-0000-0000D4100000}"/>
    <cellStyle name="Comma 2 2 2 12 6" xfId="8237" xr:uid="{00000000-0005-0000-0000-00005D200000}"/>
    <cellStyle name="Comma 2 2 2 12 7" xfId="6253" xr:uid="{00000000-0005-0000-0000-00009D180000}"/>
    <cellStyle name="Comma 2 2 2 12 8" xfId="6679" xr:uid="{00000000-0005-0000-0000-0000471A0000}"/>
    <cellStyle name="Comma 2 2 2 12 9" xfId="8238" xr:uid="{00000000-0005-0000-0000-00005E200000}"/>
    <cellStyle name="Comma 2 2 2 13" xfId="2900" xr:uid="{00000000-0005-0000-0000-0000840B0000}"/>
    <cellStyle name="Comma 2 2 2 13 2" xfId="689" xr:uid="{00000000-0005-0000-0000-0000E1020000}"/>
    <cellStyle name="Comma 2 2 2 13 3" xfId="156" xr:uid="{00000000-0005-0000-0000-0000A8000000}"/>
    <cellStyle name="Comma 2 2 2 13 4" xfId="703" xr:uid="{00000000-0005-0000-0000-0000EF020000}"/>
    <cellStyle name="Comma 2 2 2 13 5" xfId="4316" xr:uid="{00000000-0005-0000-0000-00000C110000}"/>
    <cellStyle name="Comma 2 2 2 13 6" xfId="8241" xr:uid="{00000000-0005-0000-0000-000061200000}"/>
    <cellStyle name="Comma 2 2 2 14" xfId="5566" xr:uid="{00000000-0005-0000-0000-0000EE150000}"/>
    <cellStyle name="Comma 2 2 2 14 2" xfId="1254" xr:uid="{00000000-0005-0000-0000-000016050000}"/>
    <cellStyle name="Comma 2 2 2 14 3" xfId="1270" xr:uid="{00000000-0005-0000-0000-000026050000}"/>
    <cellStyle name="Comma 2 2 2 14 4" xfId="1281" xr:uid="{00000000-0005-0000-0000-000031050000}"/>
    <cellStyle name="Comma 2 2 2 14 5" xfId="1298" xr:uid="{00000000-0005-0000-0000-000042050000}"/>
    <cellStyle name="Comma 2 2 2 14 6" xfId="1322" xr:uid="{00000000-0005-0000-0000-00005A050000}"/>
    <cellStyle name="Comma 2 2 2 15" xfId="4390" xr:uid="{00000000-0005-0000-0000-000056110000}"/>
    <cellStyle name="Comma 2 2 2 15 2" xfId="1404" xr:uid="{00000000-0005-0000-0000-0000AC050000}"/>
    <cellStyle name="Comma 2 2 2 15 3" xfId="1435" xr:uid="{00000000-0005-0000-0000-0000CB050000}"/>
    <cellStyle name="Comma 2 2 2 15 4" xfId="1460" xr:uid="{00000000-0005-0000-0000-0000E4050000}"/>
    <cellStyle name="Comma 2 2 2 15 5" xfId="1480" xr:uid="{00000000-0005-0000-0000-0000F8050000}"/>
    <cellStyle name="Comma 2 2 2 15 6" xfId="442" xr:uid="{00000000-0005-0000-0000-0000D7010000}"/>
    <cellStyle name="Comma 2 2 2 16" xfId="5577" xr:uid="{00000000-0005-0000-0000-0000F9150000}"/>
    <cellStyle name="Comma 2 2 2 17" xfId="4581" xr:uid="{00000000-0005-0000-0000-000015120000}"/>
    <cellStyle name="Comma 2 2 2 18" xfId="5595" xr:uid="{00000000-0005-0000-0000-00000B160000}"/>
    <cellStyle name="Comma 2 2 2 19" xfId="5601" xr:uid="{00000000-0005-0000-0000-000011160000}"/>
    <cellStyle name="Comma 2 2 2 2" xfId="3468" xr:uid="{00000000-0005-0000-0000-0000BC0D0000}"/>
    <cellStyle name="Comma 2 2 2 2 10" xfId="8243" xr:uid="{00000000-0005-0000-0000-000063200000}"/>
    <cellStyle name="Comma 2 2 2 2 10 2" xfId="6559" xr:uid="{00000000-0005-0000-0000-0000CF190000}"/>
    <cellStyle name="Comma 2 2 2 2 10 2 2" xfId="3088" xr:uid="{00000000-0005-0000-0000-0000400C0000}"/>
    <cellStyle name="Comma 2 2 2 2 10 3" xfId="6432" xr:uid="{00000000-0005-0000-0000-000050190000}"/>
    <cellStyle name="Comma 2 2 2 2 10 4" xfId="6450" xr:uid="{00000000-0005-0000-0000-000062190000}"/>
    <cellStyle name="Comma 2 2 2 2 10 5" xfId="8245" xr:uid="{00000000-0005-0000-0000-000065200000}"/>
    <cellStyle name="Comma 2 2 2 2 10 6" xfId="4370" xr:uid="{00000000-0005-0000-0000-000042110000}"/>
    <cellStyle name="Comma 2 2 2 2 10 7" xfId="4418" xr:uid="{00000000-0005-0000-0000-000072110000}"/>
    <cellStyle name="Comma 2 2 2 2 10 8" xfId="4428" xr:uid="{00000000-0005-0000-0000-00007C110000}"/>
    <cellStyle name="Comma 2 2 2 2 10 9" xfId="4440" xr:uid="{00000000-0005-0000-0000-000088110000}"/>
    <cellStyle name="Comma 2 2 2 2 11" xfId="8247" xr:uid="{00000000-0005-0000-0000-000067200000}"/>
    <cellStyle name="Comma 2 2 2 2 11 2" xfId="8249" xr:uid="{00000000-0005-0000-0000-000069200000}"/>
    <cellStyle name="Comma 2 2 2 2 11 3" xfId="6461" xr:uid="{00000000-0005-0000-0000-00006D190000}"/>
    <cellStyle name="Comma 2 2 2 2 11 4" xfId="6475" xr:uid="{00000000-0005-0000-0000-00007B190000}"/>
    <cellStyle name="Comma 2 2 2 2 11 5" xfId="8250" xr:uid="{00000000-0005-0000-0000-00006A200000}"/>
    <cellStyle name="Comma 2 2 2 2 11 6" xfId="3622" xr:uid="{00000000-0005-0000-0000-0000560E0000}"/>
    <cellStyle name="Comma 2 2 2 2 12" xfId="4233" xr:uid="{00000000-0005-0000-0000-0000B9100000}"/>
    <cellStyle name="Comma 2 2 2 2 12 2" xfId="8251" xr:uid="{00000000-0005-0000-0000-00006B200000}"/>
    <cellStyle name="Comma 2 2 2 2 12 3" xfId="6484" xr:uid="{00000000-0005-0000-0000-000084190000}"/>
    <cellStyle name="Comma 2 2 2 2 12 4" xfId="6519" xr:uid="{00000000-0005-0000-0000-0000A7190000}"/>
    <cellStyle name="Comma 2 2 2 2 12 5" xfId="8252" xr:uid="{00000000-0005-0000-0000-00006C200000}"/>
    <cellStyle name="Comma 2 2 2 2 12 6" xfId="2333" xr:uid="{00000000-0005-0000-0000-00004D090000}"/>
    <cellStyle name="Comma 2 2 2 2 13" xfId="2757" xr:uid="{00000000-0005-0000-0000-0000F50A0000}"/>
    <cellStyle name="Comma 2 2 2 2 13 2" xfId="8254" xr:uid="{00000000-0005-0000-0000-00006E200000}"/>
    <cellStyle name="Comma 2 2 2 2 13 3" xfId="6530" xr:uid="{00000000-0005-0000-0000-0000B2190000}"/>
    <cellStyle name="Comma 2 2 2 2 13 4" xfId="6568" xr:uid="{00000000-0005-0000-0000-0000D8190000}"/>
    <cellStyle name="Comma 2 2 2 2 13 5" xfId="8255" xr:uid="{00000000-0005-0000-0000-00006F200000}"/>
    <cellStyle name="Comma 2 2 2 2 13 6" xfId="2468" xr:uid="{00000000-0005-0000-0000-0000D4090000}"/>
    <cellStyle name="Comma 2 2 2 2 14" xfId="8257" xr:uid="{00000000-0005-0000-0000-000071200000}"/>
    <cellStyle name="Comma 2 2 2 2 14 2" xfId="1671" xr:uid="{00000000-0005-0000-0000-0000B7060000}"/>
    <cellStyle name="Comma 2 2 2 2 14 3" xfId="6577" xr:uid="{00000000-0005-0000-0000-0000E1190000}"/>
    <cellStyle name="Comma 2 2 2 2 14 4" xfId="6600" xr:uid="{00000000-0005-0000-0000-0000F8190000}"/>
    <cellStyle name="Comma 2 2 2 2 14 5" xfId="8265" xr:uid="{00000000-0005-0000-0000-000079200000}"/>
    <cellStyle name="Comma 2 2 2 2 14 6" xfId="4552" xr:uid="{00000000-0005-0000-0000-0000F8110000}"/>
    <cellStyle name="Comma 2 2 2 2 15" xfId="8269" xr:uid="{00000000-0005-0000-0000-00007D200000}"/>
    <cellStyle name="Comma 2 2 2 2 16" xfId="8279" xr:uid="{00000000-0005-0000-0000-000087200000}"/>
    <cellStyle name="Comma 2 2 2 2 17" xfId="6876" xr:uid="{00000000-0005-0000-0000-00000C1B0000}"/>
    <cellStyle name="Comma 2 2 2 2 18" xfId="6889" xr:uid="{00000000-0005-0000-0000-0000191B0000}"/>
    <cellStyle name="Comma 2 2 2 2 19" xfId="6903" xr:uid="{00000000-0005-0000-0000-0000271B0000}"/>
    <cellStyle name="Comma 2 2 2 2 2" xfId="8285" xr:uid="{00000000-0005-0000-0000-00008D200000}"/>
    <cellStyle name="Comma 2 2 2 2 2 10" xfId="1509" xr:uid="{00000000-0005-0000-0000-000015060000}"/>
    <cellStyle name="Comma 2 2 2 2 2 10 2" xfId="8291" xr:uid="{00000000-0005-0000-0000-000093200000}"/>
    <cellStyle name="Comma 2 2 2 2 2 10 3" xfId="8298" xr:uid="{00000000-0005-0000-0000-00009A200000}"/>
    <cellStyle name="Comma 2 2 2 2 2 10 4" xfId="8304" xr:uid="{00000000-0005-0000-0000-0000A0200000}"/>
    <cellStyle name="Comma 2 2 2 2 2 10 5" xfId="471" xr:uid="{00000000-0005-0000-0000-0000F5010000}"/>
    <cellStyle name="Comma 2 2 2 2 2 10 6" xfId="8309" xr:uid="{00000000-0005-0000-0000-0000A5200000}"/>
    <cellStyle name="Comma 2 2 2 2 2 11" xfId="8311" xr:uid="{00000000-0005-0000-0000-0000A7200000}"/>
    <cellStyle name="Comma 2 2 2 2 2 11 2" xfId="7674" xr:uid="{00000000-0005-0000-0000-00002A1E0000}"/>
    <cellStyle name="Comma 2 2 2 2 2 11 3" xfId="7680" xr:uid="{00000000-0005-0000-0000-0000301E0000}"/>
    <cellStyle name="Comma 2 2 2 2 2 11 4" xfId="7686" xr:uid="{00000000-0005-0000-0000-0000361E0000}"/>
    <cellStyle name="Comma 2 2 2 2 2 11 5" xfId="7691" xr:uid="{00000000-0005-0000-0000-00003B1E0000}"/>
    <cellStyle name="Comma 2 2 2 2 2 11 6" xfId="7696" xr:uid="{00000000-0005-0000-0000-0000401E0000}"/>
    <cellStyle name="Comma 2 2 2 2 2 12" xfId="5136" xr:uid="{00000000-0005-0000-0000-000040140000}"/>
    <cellStyle name="Comma 2 2 2 2 2 13" xfId="8320" xr:uid="{00000000-0005-0000-0000-0000B0200000}"/>
    <cellStyle name="Comma 2 2 2 2 2 14" xfId="8330" xr:uid="{00000000-0005-0000-0000-0000BA200000}"/>
    <cellStyle name="Comma 2 2 2 2 2 15" xfId="8339" xr:uid="{00000000-0005-0000-0000-0000C3200000}"/>
    <cellStyle name="Comma 2 2 2 2 2 16" xfId="8349" xr:uid="{00000000-0005-0000-0000-0000CD200000}"/>
    <cellStyle name="Comma 2 2 2 2 2 17" xfId="8356" xr:uid="{00000000-0005-0000-0000-0000D4200000}"/>
    <cellStyle name="Comma 2 2 2 2 2 18" xfId="8364" xr:uid="{00000000-0005-0000-0000-0000DC200000}"/>
    <cellStyle name="Comma 2 2 2 2 2 19" xfId="8369" xr:uid="{00000000-0005-0000-0000-0000E1200000}"/>
    <cellStyle name="Comma 2 2 2 2 2 2" xfId="6767" xr:uid="{00000000-0005-0000-0000-00009F1A0000}"/>
    <cellStyle name="Comma 2 2 2 2 2 2 10" xfId="4786" xr:uid="{00000000-0005-0000-0000-0000E2120000}"/>
    <cellStyle name="Comma 2 2 2 2 2 2 11" xfId="216" xr:uid="{00000000-0005-0000-0000-0000E8000000}"/>
    <cellStyle name="Comma 2 2 2 2 2 2 12" xfId="3305" xr:uid="{00000000-0005-0000-0000-0000190D0000}"/>
    <cellStyle name="Comma 2 2 2 2 2 2 13" xfId="2650" xr:uid="{00000000-0005-0000-0000-00008A0A0000}"/>
    <cellStyle name="Comma 2 2 2 2 2 2 14" xfId="3380" xr:uid="{00000000-0005-0000-0000-0000640D0000}"/>
    <cellStyle name="Comma 2 2 2 2 2 2 15" xfId="8376" xr:uid="{00000000-0005-0000-0000-0000E8200000}"/>
    <cellStyle name="Comma 2 2 2 2 2 2 16" xfId="2139" xr:uid="{00000000-0005-0000-0000-00008B080000}"/>
    <cellStyle name="Comma 2 2 2 2 2 2 17" xfId="8383" xr:uid="{00000000-0005-0000-0000-0000EF200000}"/>
    <cellStyle name="Comma 2 2 2 2 2 2 18" xfId="8390" xr:uid="{00000000-0005-0000-0000-0000F6200000}"/>
    <cellStyle name="Comma 2 2 2 2 2 2 2" xfId="6778" xr:uid="{00000000-0005-0000-0000-0000AA1A0000}"/>
    <cellStyle name="Comma 2 2 2 2 2 2 2 10" xfId="7802" xr:uid="{00000000-0005-0000-0000-0000AA1E0000}"/>
    <cellStyle name="Comma 2 2 2 2 2 2 2 11" xfId="872" xr:uid="{00000000-0005-0000-0000-000098030000}"/>
    <cellStyle name="Comma 2 2 2 2 2 2 2 12" xfId="894" xr:uid="{00000000-0005-0000-0000-0000AE030000}"/>
    <cellStyle name="Comma 2 2 2 2 2 2 2 2" xfId="2674" xr:uid="{00000000-0005-0000-0000-0000A20A0000}"/>
    <cellStyle name="Comma 2 2 2 2 2 2 2 2 2" xfId="135" xr:uid="{00000000-0005-0000-0000-000092000000}"/>
    <cellStyle name="Comma 2 2 2 2 2 2 2 2 2 2" xfId="8394" xr:uid="{00000000-0005-0000-0000-0000FA200000}"/>
    <cellStyle name="Comma 2 2 2 2 2 2 2 2 3" xfId="3637" xr:uid="{00000000-0005-0000-0000-0000650E0000}"/>
    <cellStyle name="Comma 2 2 2 2 2 2 2 2 4" xfId="8405" xr:uid="{00000000-0005-0000-0000-000005210000}"/>
    <cellStyle name="Comma 2 2 2 2 2 2 2 2 5" xfId="1240" xr:uid="{00000000-0005-0000-0000-000008050000}"/>
    <cellStyle name="Comma 2 2 2 2 2 2 2 3" xfId="450" xr:uid="{00000000-0005-0000-0000-0000DF010000}"/>
    <cellStyle name="Comma 2 2 2 2 2 2 2 3 2" xfId="8410" xr:uid="{00000000-0005-0000-0000-00000A210000}"/>
    <cellStyle name="Comma 2 2 2 2 2 2 2 4" xfId="8413" xr:uid="{00000000-0005-0000-0000-00000D210000}"/>
    <cellStyle name="Comma 2 2 2 2 2 2 2 5" xfId="6423" xr:uid="{00000000-0005-0000-0000-000047190000}"/>
    <cellStyle name="Comma 2 2 2 2 2 2 2 6" xfId="7186" xr:uid="{00000000-0005-0000-0000-0000421C0000}"/>
    <cellStyle name="Comma 2 2 2 2 2 2 2 7" xfId="7197" xr:uid="{00000000-0005-0000-0000-00004D1C0000}"/>
    <cellStyle name="Comma 2 2 2 2 2 2 2 8" xfId="4873" xr:uid="{00000000-0005-0000-0000-000039130000}"/>
    <cellStyle name="Comma 2 2 2 2 2 2 2 9" xfId="7204" xr:uid="{00000000-0005-0000-0000-0000541C0000}"/>
    <cellStyle name="Comma 2 2 2 2 2 2 3" xfId="8186" xr:uid="{00000000-0005-0000-0000-00002A200000}"/>
    <cellStyle name="Comma 2 2 2 2 2 2 3 10" xfId="7002" xr:uid="{00000000-0005-0000-0000-00008A1B0000}"/>
    <cellStyle name="Comma 2 2 2 2 2 2 3 11" xfId="7016" xr:uid="{00000000-0005-0000-0000-0000981B0000}"/>
    <cellStyle name="Comma 2 2 2 2 2 2 3 12" xfId="237" xr:uid="{00000000-0005-0000-0000-0000FE000000}"/>
    <cellStyle name="Comma 2 2 2 2 2 2 3 2" xfId="8415" xr:uid="{00000000-0005-0000-0000-00000F210000}"/>
    <cellStyle name="Comma 2 2 2 2 2 2 3 2 2" xfId="8123" xr:uid="{00000000-0005-0000-0000-0000EB1F0000}"/>
    <cellStyle name="Comma 2 2 2 2 2 2 3 2 2 2" xfId="7921" xr:uid="{00000000-0005-0000-0000-0000211F0000}"/>
    <cellStyle name="Comma 2 2 2 2 2 2 3 2 3" xfId="2363" xr:uid="{00000000-0005-0000-0000-00006B090000}"/>
    <cellStyle name="Comma 2 2 2 2 2 2 3 2 4" xfId="1543" xr:uid="{00000000-0005-0000-0000-000037060000}"/>
    <cellStyle name="Comma 2 2 2 2 2 2 3 2 5" xfId="4173" xr:uid="{00000000-0005-0000-0000-00007D100000}"/>
    <cellStyle name="Comma 2 2 2 2 2 2 3 3" xfId="8422" xr:uid="{00000000-0005-0000-0000-000016210000}"/>
    <cellStyle name="Comma 2 2 2 2 2 2 3 3 2" xfId="8426" xr:uid="{00000000-0005-0000-0000-00001A210000}"/>
    <cellStyle name="Comma 2 2 2 2 2 2 3 4" xfId="8438" xr:uid="{00000000-0005-0000-0000-000026210000}"/>
    <cellStyle name="Comma 2 2 2 2 2 2 3 5" xfId="7237" xr:uid="{00000000-0005-0000-0000-0000751C0000}"/>
    <cellStyle name="Comma 2 2 2 2 2 2 3 6" xfId="7245" xr:uid="{00000000-0005-0000-0000-00007D1C0000}"/>
    <cellStyle name="Comma 2 2 2 2 2 2 3 7" xfId="8443" xr:uid="{00000000-0005-0000-0000-00002B210000}"/>
    <cellStyle name="Comma 2 2 2 2 2 2 3 8" xfId="8446" xr:uid="{00000000-0005-0000-0000-00002E210000}"/>
    <cellStyle name="Comma 2 2 2 2 2 2 3 9" xfId="8450" xr:uid="{00000000-0005-0000-0000-000032210000}"/>
    <cellStyle name="Comma 2 2 2 2 2 2 4" xfId="8456" xr:uid="{00000000-0005-0000-0000-000038210000}"/>
    <cellStyle name="Comma 2 2 2 2 2 2 4 10" xfId="8457" xr:uid="{00000000-0005-0000-0000-000039210000}"/>
    <cellStyle name="Comma 2 2 2 2 2 2 4 2" xfId="8462" xr:uid="{00000000-0005-0000-0000-00003E210000}"/>
    <cellStyle name="Comma 2 2 2 2 2 2 4 2 2" xfId="1545" xr:uid="{00000000-0005-0000-0000-000039060000}"/>
    <cellStyle name="Comma 2 2 2 2 2 2 4 2 2 2" xfId="1555" xr:uid="{00000000-0005-0000-0000-000043060000}"/>
    <cellStyle name="Comma 2 2 2 2 2 2 4 2 3" xfId="1572" xr:uid="{00000000-0005-0000-0000-000054060000}"/>
    <cellStyle name="Comma 2 2 2 2 2 2 4 2 4" xfId="1606" xr:uid="{00000000-0005-0000-0000-000076060000}"/>
    <cellStyle name="Comma 2 2 2 2 2 2 4 2 5" xfId="1659" xr:uid="{00000000-0005-0000-0000-0000AB060000}"/>
    <cellStyle name="Comma 2 2 2 2 2 2 4 3" xfId="8472" xr:uid="{00000000-0005-0000-0000-000048210000}"/>
    <cellStyle name="Comma 2 2 2 2 2 2 4 3 2" xfId="1858" xr:uid="{00000000-0005-0000-0000-000072070000}"/>
    <cellStyle name="Comma 2 2 2 2 2 2 4 4" xfId="7071" xr:uid="{00000000-0005-0000-0000-0000CF1B0000}"/>
    <cellStyle name="Comma 2 2 2 2 2 2 4 5" xfId="7262" xr:uid="{00000000-0005-0000-0000-00008E1C0000}"/>
    <cellStyle name="Comma 2 2 2 2 2 2 4 6" xfId="8481" xr:uid="{00000000-0005-0000-0000-000051210000}"/>
    <cellStyle name="Comma 2 2 2 2 2 2 4 7" xfId="8491" xr:uid="{00000000-0005-0000-0000-00005B210000}"/>
    <cellStyle name="Comma 2 2 2 2 2 2 4 8" xfId="8501" xr:uid="{00000000-0005-0000-0000-000065210000}"/>
    <cellStyle name="Comma 2 2 2 2 2 2 4 9" xfId="8510" xr:uid="{00000000-0005-0000-0000-00006E210000}"/>
    <cellStyle name="Comma 2 2 2 2 2 2 5" xfId="8517" xr:uid="{00000000-0005-0000-0000-000075210000}"/>
    <cellStyle name="Comma 2 2 2 2 2 2 5 10" xfId="4476" xr:uid="{00000000-0005-0000-0000-0000AC110000}"/>
    <cellStyle name="Comma 2 2 2 2 2 2 5 2" xfId="8522" xr:uid="{00000000-0005-0000-0000-00007A210000}"/>
    <cellStyle name="Comma 2 2 2 2 2 2 5 2 2" xfId="8523" xr:uid="{00000000-0005-0000-0000-00007B210000}"/>
    <cellStyle name="Comma 2 2 2 2 2 2 5 2 2 2" xfId="8525" xr:uid="{00000000-0005-0000-0000-00007D210000}"/>
    <cellStyle name="Comma 2 2 2 2 2 2 5 2 3" xfId="8528" xr:uid="{00000000-0005-0000-0000-000080210000}"/>
    <cellStyle name="Comma 2 2 2 2 2 2 5 2 4" xfId="3098" xr:uid="{00000000-0005-0000-0000-00004A0C0000}"/>
    <cellStyle name="Comma 2 2 2 2 2 2 5 2 5" xfId="4960" xr:uid="{00000000-0005-0000-0000-000090130000}"/>
    <cellStyle name="Comma 2 2 2 2 2 2 5 3" xfId="8537" xr:uid="{00000000-0005-0000-0000-000089210000}"/>
    <cellStyle name="Comma 2 2 2 2 2 2 5 3 2" xfId="8542" xr:uid="{00000000-0005-0000-0000-00008E210000}"/>
    <cellStyle name="Comma 2 2 2 2 2 2 5 4" xfId="8552" xr:uid="{00000000-0005-0000-0000-000098210000}"/>
    <cellStyle name="Comma 2 2 2 2 2 2 5 5" xfId="7275" xr:uid="{00000000-0005-0000-0000-00009B1C0000}"/>
    <cellStyle name="Comma 2 2 2 2 2 2 5 6" xfId="8563" xr:uid="{00000000-0005-0000-0000-0000A3210000}"/>
    <cellStyle name="Comma 2 2 2 2 2 2 5 7" xfId="8569" xr:uid="{00000000-0005-0000-0000-0000A9210000}"/>
    <cellStyle name="Comma 2 2 2 2 2 2 5 8" xfId="8575" xr:uid="{00000000-0005-0000-0000-0000AF210000}"/>
    <cellStyle name="Comma 2 2 2 2 2 2 5 9" xfId="8581" xr:uid="{00000000-0005-0000-0000-0000B5210000}"/>
    <cellStyle name="Comma 2 2 2 2 2 2 6" xfId="8591" xr:uid="{00000000-0005-0000-0000-0000BF210000}"/>
    <cellStyle name="Comma 2 2 2 2 2 2 6 2" xfId="8595" xr:uid="{00000000-0005-0000-0000-0000C3210000}"/>
    <cellStyle name="Comma 2 2 2 2 2 2 6 2 2" xfId="8597" xr:uid="{00000000-0005-0000-0000-0000C5210000}"/>
    <cellStyle name="Comma 2 2 2 2 2 2 6 3" xfId="8605" xr:uid="{00000000-0005-0000-0000-0000CD210000}"/>
    <cellStyle name="Comma 2 2 2 2 2 2 6 4" xfId="8611" xr:uid="{00000000-0005-0000-0000-0000D3210000}"/>
    <cellStyle name="Comma 2 2 2 2 2 2 6 5" xfId="2731" xr:uid="{00000000-0005-0000-0000-0000DB0A0000}"/>
    <cellStyle name="Comma 2 2 2 2 2 2 6 6" xfId="8622" xr:uid="{00000000-0005-0000-0000-0000DE210000}"/>
    <cellStyle name="Comma 2 2 2 2 2 2 6 7" xfId="8633" xr:uid="{00000000-0005-0000-0000-0000E9210000}"/>
    <cellStyle name="Comma 2 2 2 2 2 2 6 8" xfId="1345" xr:uid="{00000000-0005-0000-0000-000071050000}"/>
    <cellStyle name="Comma 2 2 2 2 2 2 6 9" xfId="1533" xr:uid="{00000000-0005-0000-0000-00002D060000}"/>
    <cellStyle name="Comma 2 2 2 2 2 2 7" xfId="8637" xr:uid="{00000000-0005-0000-0000-0000ED210000}"/>
    <cellStyle name="Comma 2 2 2 2 2 2 7 2" xfId="8642" xr:uid="{00000000-0005-0000-0000-0000F2210000}"/>
    <cellStyle name="Comma 2 2 2 2 2 2 8" xfId="8647" xr:uid="{00000000-0005-0000-0000-0000F7210000}"/>
    <cellStyle name="Comma 2 2 2 2 2 2 9" xfId="8656" xr:uid="{00000000-0005-0000-0000-000000220000}"/>
    <cellStyle name="Comma 2 2 2 2 2 20" xfId="8338" xr:uid="{00000000-0005-0000-0000-0000C2200000}"/>
    <cellStyle name="Comma 2 2 2 2 2 21" xfId="8348" xr:uid="{00000000-0005-0000-0000-0000CC200000}"/>
    <cellStyle name="Comma 2 2 2 2 2 22" xfId="8355" xr:uid="{00000000-0005-0000-0000-0000D3200000}"/>
    <cellStyle name="Comma 2 2 2 2 2 23" xfId="8363" xr:uid="{00000000-0005-0000-0000-0000DB200000}"/>
    <cellStyle name="Comma 2 2 2 2 2 3" xfId="6793" xr:uid="{00000000-0005-0000-0000-0000B91A0000}"/>
    <cellStyle name="Comma 2 2 2 2 2 3 10" xfId="4925" xr:uid="{00000000-0005-0000-0000-00006D130000}"/>
    <cellStyle name="Comma 2 2 2 2 2 3 11" xfId="3551" xr:uid="{00000000-0005-0000-0000-00000F0E0000}"/>
    <cellStyle name="Comma 2 2 2 2 2 3 12" xfId="8659" xr:uid="{00000000-0005-0000-0000-000003220000}"/>
    <cellStyle name="Comma 2 2 2 2 2 3 13" xfId="1803" xr:uid="{00000000-0005-0000-0000-00003B070000}"/>
    <cellStyle name="Comma 2 2 2 2 2 3 14" xfId="4270" xr:uid="{00000000-0005-0000-0000-0000DE100000}"/>
    <cellStyle name="Comma 2 2 2 2 2 3 15" xfId="4297" xr:uid="{00000000-0005-0000-0000-0000F9100000}"/>
    <cellStyle name="Comma 2 2 2 2 2 3 16" xfId="6292" xr:uid="{00000000-0005-0000-0000-0000C4180000}"/>
    <cellStyle name="Comma 2 2 2 2 2 3 17" xfId="6310" xr:uid="{00000000-0005-0000-0000-0000D6180000}"/>
    <cellStyle name="Comma 2 2 2 2 2 3 18" xfId="6327" xr:uid="{00000000-0005-0000-0000-0000E7180000}"/>
    <cellStyle name="Comma 2 2 2 2 2 3 2" xfId="8668" xr:uid="{00000000-0005-0000-0000-00000C220000}"/>
    <cellStyle name="Comma 2 2 2 2 2 3 2 10" xfId="8669" xr:uid="{00000000-0005-0000-0000-00000D220000}"/>
    <cellStyle name="Comma 2 2 2 2 2 3 2 2" xfId="2742" xr:uid="{00000000-0005-0000-0000-0000E60A0000}"/>
    <cellStyle name="Comma 2 2 2 2 2 3 2 2 2" xfId="8675" xr:uid="{00000000-0005-0000-0000-000013220000}"/>
    <cellStyle name="Comma 2 2 2 2 2 3 2 3" xfId="8676" xr:uid="{00000000-0005-0000-0000-000014220000}"/>
    <cellStyle name="Comma 2 2 2 2 2 3 2 4" xfId="8678" xr:uid="{00000000-0005-0000-0000-000016220000}"/>
    <cellStyle name="Comma 2 2 2 2 2 3 2 5" xfId="7308" xr:uid="{00000000-0005-0000-0000-0000BC1C0000}"/>
    <cellStyle name="Comma 2 2 2 2 2 3 2 6" xfId="8681" xr:uid="{00000000-0005-0000-0000-000019220000}"/>
    <cellStyle name="Comma 2 2 2 2 2 3 2 7" xfId="8685" xr:uid="{00000000-0005-0000-0000-00001D220000}"/>
    <cellStyle name="Comma 2 2 2 2 2 3 2 8" xfId="8691" xr:uid="{00000000-0005-0000-0000-000023220000}"/>
    <cellStyle name="Comma 2 2 2 2 2 3 2 9" xfId="8698" xr:uid="{00000000-0005-0000-0000-00002A220000}"/>
    <cellStyle name="Comma 2 2 2 2 2 3 3" xfId="8708" xr:uid="{00000000-0005-0000-0000-000034220000}"/>
    <cellStyle name="Comma 2 2 2 2 2 3 3 2" xfId="7026" xr:uid="{00000000-0005-0000-0000-0000A21B0000}"/>
    <cellStyle name="Comma 2 2 2 2 2 3 3 3" xfId="7031" xr:uid="{00000000-0005-0000-0000-0000A71B0000}"/>
    <cellStyle name="Comma 2 2 2 2 2 3 3 4" xfId="8710" xr:uid="{00000000-0005-0000-0000-000036220000}"/>
    <cellStyle name="Comma 2 2 2 2 2 3 3 5" xfId="6918" xr:uid="{00000000-0005-0000-0000-0000361B0000}"/>
    <cellStyle name="Comma 2 2 2 2 2 3 3 6" xfId="8714" xr:uid="{00000000-0005-0000-0000-00003A220000}"/>
    <cellStyle name="Comma 2 2 2 2 2 3 4" xfId="8720" xr:uid="{00000000-0005-0000-0000-000040220000}"/>
    <cellStyle name="Comma 2 2 2 2 2 3 4 2" xfId="8724" xr:uid="{00000000-0005-0000-0000-000044220000}"/>
    <cellStyle name="Comma 2 2 2 2 2 3 4 3" xfId="8730" xr:uid="{00000000-0005-0000-0000-00004A220000}"/>
    <cellStyle name="Comma 2 2 2 2 2 3 4 4" xfId="5407" xr:uid="{00000000-0005-0000-0000-00004F150000}"/>
    <cellStyle name="Comma 2 2 2 2 2 3 4 5" xfId="971" xr:uid="{00000000-0005-0000-0000-0000FB030000}"/>
    <cellStyle name="Comma 2 2 2 2 2 3 4 6" xfId="8735" xr:uid="{00000000-0005-0000-0000-00004F220000}"/>
    <cellStyle name="Comma 2 2 2 2 2 3 5" xfId="8743" xr:uid="{00000000-0005-0000-0000-000057220000}"/>
    <cellStyle name="Comma 2 2 2 2 2 3 5 2" xfId="8744" xr:uid="{00000000-0005-0000-0000-000058220000}"/>
    <cellStyle name="Comma 2 2 2 2 2 3 5 3" xfId="8751" xr:uid="{00000000-0005-0000-0000-00005F220000}"/>
    <cellStyle name="Comma 2 2 2 2 2 3 5 4" xfId="8756" xr:uid="{00000000-0005-0000-0000-000064220000}"/>
    <cellStyle name="Comma 2 2 2 2 2 3 5 5" xfId="7333" xr:uid="{00000000-0005-0000-0000-0000D51C0000}"/>
    <cellStyle name="Comma 2 2 2 2 2 3 5 6" xfId="8765" xr:uid="{00000000-0005-0000-0000-00006D220000}"/>
    <cellStyle name="Comma 2 2 2 2 2 3 6" xfId="8772" xr:uid="{00000000-0005-0000-0000-000074220000}"/>
    <cellStyle name="Comma 2 2 2 2 2 3 6 2" xfId="8774" xr:uid="{00000000-0005-0000-0000-000076220000}"/>
    <cellStyle name="Comma 2 2 2 2 2 3 6 3" xfId="8776" xr:uid="{00000000-0005-0000-0000-000078220000}"/>
    <cellStyle name="Comma 2 2 2 2 2 3 6 4" xfId="8783" xr:uid="{00000000-0005-0000-0000-00007F220000}"/>
    <cellStyle name="Comma 2 2 2 2 2 3 6 5" xfId="7349" xr:uid="{00000000-0005-0000-0000-0000E51C0000}"/>
    <cellStyle name="Comma 2 2 2 2 2 3 6 6" xfId="8795" xr:uid="{00000000-0005-0000-0000-00008B220000}"/>
    <cellStyle name="Comma 2 2 2 2 2 3 7" xfId="8800" xr:uid="{00000000-0005-0000-0000-000090220000}"/>
    <cellStyle name="Comma 2 2 2 2 2 3 8" xfId="8804" xr:uid="{00000000-0005-0000-0000-000094220000}"/>
    <cellStyle name="Comma 2 2 2 2 2 3 9" xfId="8807" xr:uid="{00000000-0005-0000-0000-000097220000}"/>
    <cellStyle name="Comma 2 2 2 2 2 4" xfId="6810" xr:uid="{00000000-0005-0000-0000-0000CA1A0000}"/>
    <cellStyle name="Comma 2 2 2 2 2 4 10" xfId="4185" xr:uid="{00000000-0005-0000-0000-000089100000}"/>
    <cellStyle name="Comma 2 2 2 2 2 4 11" xfId="4907" xr:uid="{00000000-0005-0000-0000-00005B130000}"/>
    <cellStyle name="Comma 2 2 2 2 2 4 12" xfId="4081" xr:uid="{00000000-0005-0000-0000-000021100000}"/>
    <cellStyle name="Comma 2 2 2 2 2 4 13" xfId="4087" xr:uid="{00000000-0005-0000-0000-000027100000}"/>
    <cellStyle name="Comma 2 2 2 2 2 4 14" xfId="8811" xr:uid="{00000000-0005-0000-0000-00009B220000}"/>
    <cellStyle name="Comma 2 2 2 2 2 4 15" xfId="8817" xr:uid="{00000000-0005-0000-0000-0000A1220000}"/>
    <cellStyle name="Comma 2 2 2 2 2 4 2" xfId="5931" xr:uid="{00000000-0005-0000-0000-00005B170000}"/>
    <cellStyle name="Comma 2 2 2 2 2 4 2 2" xfId="5934" xr:uid="{00000000-0005-0000-0000-00005E170000}"/>
    <cellStyle name="Comma 2 2 2 2 2 4 2 2 2" xfId="8236" xr:uid="{00000000-0005-0000-0000-00005C200000}"/>
    <cellStyle name="Comma 2 2 2 2 2 4 2 3" xfId="8818" xr:uid="{00000000-0005-0000-0000-0000A2220000}"/>
    <cellStyle name="Comma 2 2 2 2 2 4 2 4" xfId="8820" xr:uid="{00000000-0005-0000-0000-0000A4220000}"/>
    <cellStyle name="Comma 2 2 2 2 2 4 2 5" xfId="7383" xr:uid="{00000000-0005-0000-0000-0000071D0000}"/>
    <cellStyle name="Comma 2 2 2 2 2 4 2 6" xfId="8825" xr:uid="{00000000-0005-0000-0000-0000A9220000}"/>
    <cellStyle name="Comma 2 2 2 2 2 4 2 7" xfId="8831" xr:uid="{00000000-0005-0000-0000-0000AF220000}"/>
    <cellStyle name="Comma 2 2 2 2 2 4 2 8" xfId="8838" xr:uid="{00000000-0005-0000-0000-0000B6220000}"/>
    <cellStyle name="Comma 2 2 2 2 2 4 2 9" xfId="8843" xr:uid="{00000000-0005-0000-0000-0000BB220000}"/>
    <cellStyle name="Comma 2 2 2 2 2 4 3" xfId="8848" xr:uid="{00000000-0005-0000-0000-0000C0220000}"/>
    <cellStyle name="Comma 2 2 2 2 2 4 3 2" xfId="8849" xr:uid="{00000000-0005-0000-0000-0000C1220000}"/>
    <cellStyle name="Comma 2 2 2 2 2 4 3 3" xfId="8851" xr:uid="{00000000-0005-0000-0000-0000C3220000}"/>
    <cellStyle name="Comma 2 2 2 2 2 4 3 4" xfId="8853" xr:uid="{00000000-0005-0000-0000-0000C5220000}"/>
    <cellStyle name="Comma 2 2 2 2 2 4 3 5" xfId="8857" xr:uid="{00000000-0005-0000-0000-0000C9220000}"/>
    <cellStyle name="Comma 2 2 2 2 2 4 3 6" xfId="8861" xr:uid="{00000000-0005-0000-0000-0000CD220000}"/>
    <cellStyle name="Comma 2 2 2 2 2 4 4" xfId="8866" xr:uid="{00000000-0005-0000-0000-0000D2220000}"/>
    <cellStyle name="Comma 2 2 2 2 2 4 4 2" xfId="8871" xr:uid="{00000000-0005-0000-0000-0000D7220000}"/>
    <cellStyle name="Comma 2 2 2 2 2 4 5" xfId="8878" xr:uid="{00000000-0005-0000-0000-0000DE220000}"/>
    <cellStyle name="Comma 2 2 2 2 2 4 6" xfId="8884" xr:uid="{00000000-0005-0000-0000-0000E4220000}"/>
    <cellStyle name="Comma 2 2 2 2 2 4 7" xfId="8893" xr:uid="{00000000-0005-0000-0000-0000ED220000}"/>
    <cellStyle name="Comma 2 2 2 2 2 4 8" xfId="8905" xr:uid="{00000000-0005-0000-0000-0000F9220000}"/>
    <cellStyle name="Comma 2 2 2 2 2 4 9" xfId="8916" xr:uid="{00000000-0005-0000-0000-000004230000}"/>
    <cellStyle name="Comma 2 2 2 2 2 5" xfId="5368" xr:uid="{00000000-0005-0000-0000-000028150000}"/>
    <cellStyle name="Comma 2 2 2 2 2 5 10" xfId="657" xr:uid="{00000000-0005-0000-0000-0000C0020000}"/>
    <cellStyle name="Comma 2 2 2 2 2 5 11" xfId="2592" xr:uid="{00000000-0005-0000-0000-0000500A0000}"/>
    <cellStyle name="Comma 2 2 2 2 2 5 12" xfId="2620" xr:uid="{00000000-0005-0000-0000-00006C0A0000}"/>
    <cellStyle name="Comma 2 2 2 2 2 5 13" xfId="2632" xr:uid="{00000000-0005-0000-0000-0000780A0000}"/>
    <cellStyle name="Comma 2 2 2 2 2 5 2" xfId="5383" xr:uid="{00000000-0005-0000-0000-000037150000}"/>
    <cellStyle name="Comma 2 2 2 2 2 5 2 2" xfId="8362" xr:uid="{00000000-0005-0000-0000-0000DA200000}"/>
    <cellStyle name="Comma 2 2 2 2 2 5 2 2 2" xfId="8917" xr:uid="{00000000-0005-0000-0000-000005230000}"/>
    <cellStyle name="Comma 2 2 2 2 2 5 2 3" xfId="8368" xr:uid="{00000000-0005-0000-0000-0000E0200000}"/>
    <cellStyle name="Comma 2 2 2 2 2 5 2 4" xfId="8918" xr:uid="{00000000-0005-0000-0000-000006230000}"/>
    <cellStyle name="Comma 2 2 2 2 2 5 2 5" xfId="7404" xr:uid="{00000000-0005-0000-0000-00001C1D0000}"/>
    <cellStyle name="Comma 2 2 2 2 2 5 2 6" xfId="8924" xr:uid="{00000000-0005-0000-0000-00000C230000}"/>
    <cellStyle name="Comma 2 2 2 2 2 5 2 7" xfId="8928" xr:uid="{00000000-0005-0000-0000-000010230000}"/>
    <cellStyle name="Comma 2 2 2 2 2 5 2 8" xfId="8934" xr:uid="{00000000-0005-0000-0000-000016230000}"/>
    <cellStyle name="Comma 2 2 2 2 2 5 2 9" xfId="8940" xr:uid="{00000000-0005-0000-0000-00001C230000}"/>
    <cellStyle name="Comma 2 2 2 2 2 5 3" xfId="1467" xr:uid="{00000000-0005-0000-0000-0000EB050000}"/>
    <cellStyle name="Comma 2 2 2 2 2 5 3 2" xfId="8946" xr:uid="{00000000-0005-0000-0000-000022230000}"/>
    <cellStyle name="Comma 2 2 2 2 2 5 3 3" xfId="8948" xr:uid="{00000000-0005-0000-0000-000024230000}"/>
    <cellStyle name="Comma 2 2 2 2 2 5 3 4" xfId="8950" xr:uid="{00000000-0005-0000-0000-000026230000}"/>
    <cellStyle name="Comma 2 2 2 2 2 5 3 5" xfId="8956" xr:uid="{00000000-0005-0000-0000-00002C230000}"/>
    <cellStyle name="Comma 2 2 2 2 2 5 3 6" xfId="8964" xr:uid="{00000000-0005-0000-0000-000034230000}"/>
    <cellStyle name="Comma 2 2 2 2 2 5 4" xfId="7526" xr:uid="{00000000-0005-0000-0000-0000961D0000}"/>
    <cellStyle name="Comma 2 2 2 2 2 5 4 2" xfId="8970" xr:uid="{00000000-0005-0000-0000-00003A230000}"/>
    <cellStyle name="Comma 2 2 2 2 2 5 5" xfId="8971" xr:uid="{00000000-0005-0000-0000-00003B230000}"/>
    <cellStyle name="Comma 2 2 2 2 2 5 6" xfId="8973" xr:uid="{00000000-0005-0000-0000-00003D230000}"/>
    <cellStyle name="Comma 2 2 2 2 2 5 7" xfId="8974" xr:uid="{00000000-0005-0000-0000-00003E230000}"/>
    <cellStyle name="Comma 2 2 2 2 2 5 8" xfId="8977" xr:uid="{00000000-0005-0000-0000-000041230000}"/>
    <cellStyle name="Comma 2 2 2 2 2 5 9" xfId="8980" xr:uid="{00000000-0005-0000-0000-000044230000}"/>
    <cellStyle name="Comma 2 2 2 2 2 6" xfId="5389" xr:uid="{00000000-0005-0000-0000-00003D150000}"/>
    <cellStyle name="Comma 2 2 2 2 2 6 10" xfId="837" xr:uid="{00000000-0005-0000-0000-000075030000}"/>
    <cellStyle name="Comma 2 2 2 2 2 6 11" xfId="4994" xr:uid="{00000000-0005-0000-0000-0000B2130000}"/>
    <cellStyle name="Comma 2 2 2 2 2 6 12" xfId="8986" xr:uid="{00000000-0005-0000-0000-00004A230000}"/>
    <cellStyle name="Comma 2 2 2 2 2 6 2" xfId="8988" xr:uid="{00000000-0005-0000-0000-00004C230000}"/>
    <cellStyle name="Comma 2 2 2 2 2 6 2 2" xfId="8003" xr:uid="{00000000-0005-0000-0000-0000731F0000}"/>
    <cellStyle name="Comma 2 2 2 2 2 6 2 2 2" xfId="3716" xr:uid="{00000000-0005-0000-0000-0000B40E0000}"/>
    <cellStyle name="Comma 2 2 2 2 2 6 2 3" xfId="8006" xr:uid="{00000000-0005-0000-0000-0000761F0000}"/>
    <cellStyle name="Comma 2 2 2 2 2 6 2 4" xfId="8007" xr:uid="{00000000-0005-0000-0000-0000771F0000}"/>
    <cellStyle name="Comma 2 2 2 2 2 6 2 5" xfId="7432" xr:uid="{00000000-0005-0000-0000-0000381D0000}"/>
    <cellStyle name="Comma 2 2 2 2 2 6 2 6" xfId="8013" xr:uid="{00000000-0005-0000-0000-00007D1F0000}"/>
    <cellStyle name="Comma 2 2 2 2 2 6 2 7" xfId="8019" xr:uid="{00000000-0005-0000-0000-0000831F0000}"/>
    <cellStyle name="Comma 2 2 2 2 2 6 2 8" xfId="2316" xr:uid="{00000000-0005-0000-0000-00003C090000}"/>
    <cellStyle name="Comma 2 2 2 2 2 6 2 9" xfId="762" xr:uid="{00000000-0005-0000-0000-00002A030000}"/>
    <cellStyle name="Comma 2 2 2 2 2 6 3" xfId="8990" xr:uid="{00000000-0005-0000-0000-00004E230000}"/>
    <cellStyle name="Comma 2 2 2 2 2 6 3 2" xfId="8044" xr:uid="{00000000-0005-0000-0000-00009C1F0000}"/>
    <cellStyle name="Comma 2 2 2 2 2 6 3 3" xfId="8049" xr:uid="{00000000-0005-0000-0000-0000A11F0000}"/>
    <cellStyle name="Comma 2 2 2 2 2 6 3 4" xfId="8054" xr:uid="{00000000-0005-0000-0000-0000A61F0000}"/>
    <cellStyle name="Comma 2 2 2 2 2 6 3 5" xfId="8063" xr:uid="{00000000-0005-0000-0000-0000AF1F0000}"/>
    <cellStyle name="Comma 2 2 2 2 2 6 3 6" xfId="8070" xr:uid="{00000000-0005-0000-0000-0000B61F0000}"/>
    <cellStyle name="Comma 2 2 2 2 2 6 4" xfId="8991" xr:uid="{00000000-0005-0000-0000-00004F230000}"/>
    <cellStyle name="Comma 2 2 2 2 2 6 4 2" xfId="8098" xr:uid="{00000000-0005-0000-0000-0000D21F0000}"/>
    <cellStyle name="Comma 2 2 2 2 2 6 5" xfId="8994" xr:uid="{00000000-0005-0000-0000-000052230000}"/>
    <cellStyle name="Comma 2 2 2 2 2 6 6" xfId="8998" xr:uid="{00000000-0005-0000-0000-000056230000}"/>
    <cellStyle name="Comma 2 2 2 2 2 6 7" xfId="9001" xr:uid="{00000000-0005-0000-0000-000059230000}"/>
    <cellStyle name="Comma 2 2 2 2 2 6 8" xfId="9004" xr:uid="{00000000-0005-0000-0000-00005C230000}"/>
    <cellStyle name="Comma 2 2 2 2 2 6 9" xfId="98" xr:uid="{00000000-0005-0000-0000-000069000000}"/>
    <cellStyle name="Comma 2 2 2 2 2 7" xfId="9007" xr:uid="{00000000-0005-0000-0000-00005F230000}"/>
    <cellStyle name="Comma 2 2 2 2 2 7 2" xfId="6724" xr:uid="{00000000-0005-0000-0000-0000741A0000}"/>
    <cellStyle name="Comma 2 2 2 2 2 7 2 2" xfId="9009" xr:uid="{00000000-0005-0000-0000-000061230000}"/>
    <cellStyle name="Comma 2 2 2 2 2 7 3" xfId="6730" xr:uid="{00000000-0005-0000-0000-00007A1A0000}"/>
    <cellStyle name="Comma 2 2 2 2 2 7 4" xfId="6733" xr:uid="{00000000-0005-0000-0000-00007D1A0000}"/>
    <cellStyle name="Comma 2 2 2 2 2 7 5" xfId="6740" xr:uid="{00000000-0005-0000-0000-0000841A0000}"/>
    <cellStyle name="Comma 2 2 2 2 2 7 6" xfId="9011" xr:uid="{00000000-0005-0000-0000-000063230000}"/>
    <cellStyle name="Comma 2 2 2 2 2 7 7" xfId="9012" xr:uid="{00000000-0005-0000-0000-000064230000}"/>
    <cellStyle name="Comma 2 2 2 2 2 7 8" xfId="9014" xr:uid="{00000000-0005-0000-0000-000066230000}"/>
    <cellStyle name="Comma 2 2 2 2 2 7 9" xfId="9017" xr:uid="{00000000-0005-0000-0000-000069230000}"/>
    <cellStyle name="Comma 2 2 2 2 2 8" xfId="5661" xr:uid="{00000000-0005-0000-0000-00004D160000}"/>
    <cellStyle name="Comma 2 2 2 2 2 8 2" xfId="3273" xr:uid="{00000000-0005-0000-0000-0000F90C0000}"/>
    <cellStyle name="Comma 2 2 2 2 2 8 3" xfId="3285" xr:uid="{00000000-0005-0000-0000-0000050D0000}"/>
    <cellStyle name="Comma 2 2 2 2 2 8 4" xfId="3301" xr:uid="{00000000-0005-0000-0000-0000150D0000}"/>
    <cellStyle name="Comma 2 2 2 2 2 8 5" xfId="2102" xr:uid="{00000000-0005-0000-0000-000066080000}"/>
    <cellStyle name="Comma 2 2 2 2 2 8 6" xfId="9019" xr:uid="{00000000-0005-0000-0000-00006B230000}"/>
    <cellStyle name="Comma 2 2 2 2 2 9" xfId="5673" xr:uid="{00000000-0005-0000-0000-000059160000}"/>
    <cellStyle name="Comma 2 2 2 2 2 9 2" xfId="3359" xr:uid="{00000000-0005-0000-0000-00004F0D0000}"/>
    <cellStyle name="Comma 2 2 2 2 2 9 3" xfId="253" xr:uid="{00000000-0005-0000-0000-00000E010000}"/>
    <cellStyle name="Comma 2 2 2 2 2 9 4" xfId="755" xr:uid="{00000000-0005-0000-0000-000023030000}"/>
    <cellStyle name="Comma 2 2 2 2 2 9 5" xfId="2281" xr:uid="{00000000-0005-0000-0000-000019090000}"/>
    <cellStyle name="Comma 2 2 2 2 2 9 6" xfId="9026" xr:uid="{00000000-0005-0000-0000-000072230000}"/>
    <cellStyle name="Comma 2 2 2 2 20" xfId="8268" xr:uid="{00000000-0005-0000-0000-00007C200000}"/>
    <cellStyle name="Comma 2 2 2 2 21" xfId="8278" xr:uid="{00000000-0005-0000-0000-000086200000}"/>
    <cellStyle name="Comma 2 2 2 2 22" xfId="6875" xr:uid="{00000000-0005-0000-0000-00000B1B0000}"/>
    <cellStyle name="Comma 2 2 2 2 23" xfId="6888" xr:uid="{00000000-0005-0000-0000-0000181B0000}"/>
    <cellStyle name="Comma 2 2 2 2 24" xfId="6902" xr:uid="{00000000-0005-0000-0000-0000261B0000}"/>
    <cellStyle name="Comma 2 2 2 2 25" xfId="2937" xr:uid="{00000000-0005-0000-0000-0000A90B0000}"/>
    <cellStyle name="Comma 2 2 2 2 26" xfId="9030" xr:uid="{00000000-0005-0000-0000-000076230000}"/>
    <cellStyle name="Comma 2 2 2 2 3" xfId="9032" xr:uid="{00000000-0005-0000-0000-000078230000}"/>
    <cellStyle name="Comma 2 2 2 2 3 10" xfId="9036" xr:uid="{00000000-0005-0000-0000-00007C230000}"/>
    <cellStyle name="Comma 2 2 2 2 3 10 2" xfId="9047" xr:uid="{00000000-0005-0000-0000-000087230000}"/>
    <cellStyle name="Comma 2 2 2 2 3 10 3" xfId="9056" xr:uid="{00000000-0005-0000-0000-000090230000}"/>
    <cellStyle name="Comma 2 2 2 2 3 10 4" xfId="8436" xr:uid="{00000000-0005-0000-0000-000024210000}"/>
    <cellStyle name="Comma 2 2 2 2 3 10 5" xfId="2401" xr:uid="{00000000-0005-0000-0000-000091090000}"/>
    <cellStyle name="Comma 2 2 2 2 3 10 6" xfId="1570" xr:uid="{00000000-0005-0000-0000-000052060000}"/>
    <cellStyle name="Comma 2 2 2 2 3 11" xfId="4196" xr:uid="{00000000-0005-0000-0000-000094100000}"/>
    <cellStyle name="Comma 2 2 2 2 3 11 2" xfId="9065" xr:uid="{00000000-0005-0000-0000-000099230000}"/>
    <cellStyle name="Comma 2 2 2 2 3 11 3" xfId="9077" xr:uid="{00000000-0005-0000-0000-0000A5230000}"/>
    <cellStyle name="Comma 2 2 2 2 3 11 4" xfId="9091" xr:uid="{00000000-0005-0000-0000-0000B3230000}"/>
    <cellStyle name="Comma 2 2 2 2 3 11 5" xfId="9106" xr:uid="{00000000-0005-0000-0000-0000C2230000}"/>
    <cellStyle name="Comma 2 2 2 2 3 11 6" xfId="1600" xr:uid="{00000000-0005-0000-0000-000070060000}"/>
    <cellStyle name="Comma 2 2 2 2 3 12" xfId="5180" xr:uid="{00000000-0005-0000-0000-00006C140000}"/>
    <cellStyle name="Comma 2 2 2 2 3 13" xfId="6117" xr:uid="{00000000-0005-0000-0000-000015180000}"/>
    <cellStyle name="Comma 2 2 2 2 3 14" xfId="9114" xr:uid="{00000000-0005-0000-0000-0000CA230000}"/>
    <cellStyle name="Comma 2 2 2 2 3 15" xfId="9120" xr:uid="{00000000-0005-0000-0000-0000D0230000}"/>
    <cellStyle name="Comma 2 2 2 2 3 16" xfId="9131" xr:uid="{00000000-0005-0000-0000-0000DB230000}"/>
    <cellStyle name="Comma 2 2 2 2 3 17" xfId="9142" xr:uid="{00000000-0005-0000-0000-0000E6230000}"/>
    <cellStyle name="Comma 2 2 2 2 3 18" xfId="9148" xr:uid="{00000000-0005-0000-0000-0000EC230000}"/>
    <cellStyle name="Comma 2 2 2 2 3 19" xfId="9156" xr:uid="{00000000-0005-0000-0000-0000F4230000}"/>
    <cellStyle name="Comma 2 2 2 2 3 2" xfId="9161" xr:uid="{00000000-0005-0000-0000-0000F9230000}"/>
    <cellStyle name="Comma 2 2 2 2 3 2 10" xfId="4557" xr:uid="{00000000-0005-0000-0000-0000FD110000}"/>
    <cellStyle name="Comma 2 2 2 2 3 2 11" xfId="4566" xr:uid="{00000000-0005-0000-0000-000006120000}"/>
    <cellStyle name="Comma 2 2 2 2 3 2 12" xfId="4574" xr:uid="{00000000-0005-0000-0000-00000E120000}"/>
    <cellStyle name="Comma 2 2 2 2 3 2 13" xfId="2190" xr:uid="{00000000-0005-0000-0000-0000BE080000}"/>
    <cellStyle name="Comma 2 2 2 2 3 2 14" xfId="4634" xr:uid="{00000000-0005-0000-0000-00004A120000}"/>
    <cellStyle name="Comma 2 2 2 2 3 2 15" xfId="9162" xr:uid="{00000000-0005-0000-0000-0000FA230000}"/>
    <cellStyle name="Comma 2 2 2 2 3 2 16" xfId="4179" xr:uid="{00000000-0005-0000-0000-000083100000}"/>
    <cellStyle name="Comma 2 2 2 2 3 2 17" xfId="9163" xr:uid="{00000000-0005-0000-0000-0000FB230000}"/>
    <cellStyle name="Comma 2 2 2 2 3 2 18" xfId="9164" xr:uid="{00000000-0005-0000-0000-0000FC230000}"/>
    <cellStyle name="Comma 2 2 2 2 3 2 2" xfId="9169" xr:uid="{00000000-0005-0000-0000-000001240000}"/>
    <cellStyle name="Comma 2 2 2 2 3 2 2 10" xfId="9172" xr:uid="{00000000-0005-0000-0000-000004240000}"/>
    <cellStyle name="Comma 2 2 2 2 3 2 2 11" xfId="9179" xr:uid="{00000000-0005-0000-0000-00000B240000}"/>
    <cellStyle name="Comma 2 2 2 2 3 2 2 12" xfId="9185" xr:uid="{00000000-0005-0000-0000-000011240000}"/>
    <cellStyle name="Comma 2 2 2 2 3 2 2 2" xfId="9191" xr:uid="{00000000-0005-0000-0000-000017240000}"/>
    <cellStyle name="Comma 2 2 2 2 3 2 2 2 2" xfId="9198" xr:uid="{00000000-0005-0000-0000-00001E240000}"/>
    <cellStyle name="Comma 2 2 2 2 3 2 2 2 2 2" xfId="9206" xr:uid="{00000000-0005-0000-0000-000026240000}"/>
    <cellStyle name="Comma 2 2 2 2 3 2 2 2 3" xfId="6018" xr:uid="{00000000-0005-0000-0000-0000B2170000}"/>
    <cellStyle name="Comma 2 2 2 2 3 2 2 2 4" xfId="6030" xr:uid="{00000000-0005-0000-0000-0000BE170000}"/>
    <cellStyle name="Comma 2 2 2 2 3 2 2 2 5" xfId="2220" xr:uid="{00000000-0005-0000-0000-0000DC080000}"/>
    <cellStyle name="Comma 2 2 2 2 3 2 2 3" xfId="9209" xr:uid="{00000000-0005-0000-0000-000029240000}"/>
    <cellStyle name="Comma 2 2 2 2 3 2 2 3 2" xfId="9216" xr:uid="{00000000-0005-0000-0000-000030240000}"/>
    <cellStyle name="Comma 2 2 2 2 3 2 2 4" xfId="4061" xr:uid="{00000000-0005-0000-0000-00000D100000}"/>
    <cellStyle name="Comma 2 2 2 2 3 2 2 5" xfId="1335" xr:uid="{00000000-0005-0000-0000-000067050000}"/>
    <cellStyle name="Comma 2 2 2 2 3 2 2 6" xfId="9220" xr:uid="{00000000-0005-0000-0000-000034240000}"/>
    <cellStyle name="Comma 2 2 2 2 3 2 2 7" xfId="9228" xr:uid="{00000000-0005-0000-0000-00003C240000}"/>
    <cellStyle name="Comma 2 2 2 2 3 2 2 8" xfId="5297" xr:uid="{00000000-0005-0000-0000-0000E1140000}"/>
    <cellStyle name="Comma 2 2 2 2 3 2 2 9" xfId="9235" xr:uid="{00000000-0005-0000-0000-000043240000}"/>
    <cellStyle name="Comma 2 2 2 2 3 2 3" xfId="9239" xr:uid="{00000000-0005-0000-0000-000047240000}"/>
    <cellStyle name="Comma 2 2 2 2 3 2 3 10" xfId="9246" xr:uid="{00000000-0005-0000-0000-00004E240000}"/>
    <cellStyle name="Comma 2 2 2 2 3 2 3 11" xfId="9253" xr:uid="{00000000-0005-0000-0000-000055240000}"/>
    <cellStyle name="Comma 2 2 2 2 3 2 3 12" xfId="8521" xr:uid="{00000000-0005-0000-0000-000079210000}"/>
    <cellStyle name="Comma 2 2 2 2 3 2 3 2" xfId="8375" xr:uid="{00000000-0005-0000-0000-0000E7200000}"/>
    <cellStyle name="Comma 2 2 2 2 3 2 3 2 2" xfId="9261" xr:uid="{00000000-0005-0000-0000-00005D240000}"/>
    <cellStyle name="Comma 2 2 2 2 3 2 3 2 2 2" xfId="9264" xr:uid="{00000000-0005-0000-0000-000060240000}"/>
    <cellStyle name="Comma 2 2 2 2 3 2 3 2 3" xfId="9271" xr:uid="{00000000-0005-0000-0000-000067240000}"/>
    <cellStyle name="Comma 2 2 2 2 3 2 3 2 4" xfId="9282" xr:uid="{00000000-0005-0000-0000-000072240000}"/>
    <cellStyle name="Comma 2 2 2 2 3 2 3 2 5" xfId="9291" xr:uid="{00000000-0005-0000-0000-00007B240000}"/>
    <cellStyle name="Comma 2 2 2 2 3 2 3 3" xfId="2138" xr:uid="{00000000-0005-0000-0000-00008A080000}"/>
    <cellStyle name="Comma 2 2 2 2 3 2 3 3 2" xfId="9306" xr:uid="{00000000-0005-0000-0000-00008A240000}"/>
    <cellStyle name="Comma 2 2 2 2 3 2 3 4" xfId="8382" xr:uid="{00000000-0005-0000-0000-0000EE200000}"/>
    <cellStyle name="Comma 2 2 2 2 3 2 3 5" xfId="8389" xr:uid="{00000000-0005-0000-0000-0000F5200000}"/>
    <cellStyle name="Comma 2 2 2 2 3 2 3 6" xfId="9310" xr:uid="{00000000-0005-0000-0000-00008E240000}"/>
    <cellStyle name="Comma 2 2 2 2 3 2 3 7" xfId="9316" xr:uid="{00000000-0005-0000-0000-000094240000}"/>
    <cellStyle name="Comma 2 2 2 2 3 2 3 8" xfId="9320" xr:uid="{00000000-0005-0000-0000-000098240000}"/>
    <cellStyle name="Comma 2 2 2 2 3 2 3 9" xfId="9324" xr:uid="{00000000-0005-0000-0000-00009C240000}"/>
    <cellStyle name="Comma 2 2 2 2 3 2 4" xfId="5084" xr:uid="{00000000-0005-0000-0000-00000C140000}"/>
    <cellStyle name="Comma 2 2 2 2 3 2 4 10" xfId="9328" xr:uid="{00000000-0005-0000-0000-0000A0240000}"/>
    <cellStyle name="Comma 2 2 2 2 3 2 4 2" xfId="9329" xr:uid="{00000000-0005-0000-0000-0000A1240000}"/>
    <cellStyle name="Comma 2 2 2 2 3 2 4 2 2" xfId="9336" xr:uid="{00000000-0005-0000-0000-0000A8240000}"/>
    <cellStyle name="Comma 2 2 2 2 3 2 4 2 2 2" xfId="9337" xr:uid="{00000000-0005-0000-0000-0000A9240000}"/>
    <cellStyle name="Comma 2 2 2 2 3 2 4 2 3" xfId="9339" xr:uid="{00000000-0005-0000-0000-0000AB240000}"/>
    <cellStyle name="Comma 2 2 2 2 3 2 4 2 4" xfId="9341" xr:uid="{00000000-0005-0000-0000-0000AD240000}"/>
    <cellStyle name="Comma 2 2 2 2 3 2 4 2 5" xfId="9343" xr:uid="{00000000-0005-0000-0000-0000AF240000}"/>
    <cellStyle name="Comma 2 2 2 2 3 2 4 3" xfId="2156" xr:uid="{00000000-0005-0000-0000-00009C080000}"/>
    <cellStyle name="Comma 2 2 2 2 3 2 4 3 2" xfId="8209" xr:uid="{00000000-0005-0000-0000-000041200000}"/>
    <cellStyle name="Comma 2 2 2 2 3 2 4 4" xfId="8212" xr:uid="{00000000-0005-0000-0000-000044200000}"/>
    <cellStyle name="Comma 2 2 2 2 3 2 4 5" xfId="8222" xr:uid="{00000000-0005-0000-0000-00004E200000}"/>
    <cellStyle name="Comma 2 2 2 2 3 2 4 6" xfId="54" xr:uid="{00000000-0005-0000-0000-00003A000000}"/>
    <cellStyle name="Comma 2 2 2 2 3 2 4 7" xfId="5057" xr:uid="{00000000-0005-0000-0000-0000F1130000}"/>
    <cellStyle name="Comma 2 2 2 2 3 2 4 8" xfId="9344" xr:uid="{00000000-0005-0000-0000-0000B0240000}"/>
    <cellStyle name="Comma 2 2 2 2 3 2 4 9" xfId="9347" xr:uid="{00000000-0005-0000-0000-0000B3240000}"/>
    <cellStyle name="Comma 2 2 2 2 3 2 5" xfId="9350" xr:uid="{00000000-0005-0000-0000-0000B6240000}"/>
    <cellStyle name="Comma 2 2 2 2 3 2 5 10" xfId="6191" xr:uid="{00000000-0005-0000-0000-00005F180000}"/>
    <cellStyle name="Comma 2 2 2 2 3 2 5 2" xfId="9351" xr:uid="{00000000-0005-0000-0000-0000B7240000}"/>
    <cellStyle name="Comma 2 2 2 2 3 2 5 2 2" xfId="9353" xr:uid="{00000000-0005-0000-0000-0000B9240000}"/>
    <cellStyle name="Comma 2 2 2 2 3 2 5 2 2 2" xfId="4908" xr:uid="{00000000-0005-0000-0000-00005C130000}"/>
    <cellStyle name="Comma 2 2 2 2 3 2 5 2 3" xfId="9355" xr:uid="{00000000-0005-0000-0000-0000BB240000}"/>
    <cellStyle name="Comma 2 2 2 2 3 2 5 2 4" xfId="9357" xr:uid="{00000000-0005-0000-0000-0000BD240000}"/>
    <cellStyle name="Comma 2 2 2 2 3 2 5 2 5" xfId="9359" xr:uid="{00000000-0005-0000-0000-0000BF240000}"/>
    <cellStyle name="Comma 2 2 2 2 3 2 5 3" xfId="2200" xr:uid="{00000000-0005-0000-0000-0000C8080000}"/>
    <cellStyle name="Comma 2 2 2 2 3 2 5 3 2" xfId="9370" xr:uid="{00000000-0005-0000-0000-0000CA240000}"/>
    <cellStyle name="Comma 2 2 2 2 3 2 5 4" xfId="9373" xr:uid="{00000000-0005-0000-0000-0000CD240000}"/>
    <cellStyle name="Comma 2 2 2 2 3 2 5 5" xfId="9375" xr:uid="{00000000-0005-0000-0000-0000CF240000}"/>
    <cellStyle name="Comma 2 2 2 2 3 2 5 6" xfId="9377" xr:uid="{00000000-0005-0000-0000-0000D1240000}"/>
    <cellStyle name="Comma 2 2 2 2 3 2 5 7" xfId="5075" xr:uid="{00000000-0005-0000-0000-000003140000}"/>
    <cellStyle name="Comma 2 2 2 2 3 2 5 8" xfId="9380" xr:uid="{00000000-0005-0000-0000-0000D4240000}"/>
    <cellStyle name="Comma 2 2 2 2 3 2 5 9" xfId="9385" xr:uid="{00000000-0005-0000-0000-0000D9240000}"/>
    <cellStyle name="Comma 2 2 2 2 3 2 6" xfId="9388" xr:uid="{00000000-0005-0000-0000-0000DC240000}"/>
    <cellStyle name="Comma 2 2 2 2 3 2 6 2" xfId="6024" xr:uid="{00000000-0005-0000-0000-0000B8170000}"/>
    <cellStyle name="Comma 2 2 2 2 3 2 6 2 2" xfId="2065" xr:uid="{00000000-0005-0000-0000-000041080000}"/>
    <cellStyle name="Comma 2 2 2 2 3 2 6 3" xfId="2213" xr:uid="{00000000-0005-0000-0000-0000D5080000}"/>
    <cellStyle name="Comma 2 2 2 2 3 2 6 4" xfId="7158" xr:uid="{00000000-0005-0000-0000-0000261C0000}"/>
    <cellStyle name="Comma 2 2 2 2 3 2 6 5" xfId="7284" xr:uid="{00000000-0005-0000-0000-0000A41C0000}"/>
    <cellStyle name="Comma 2 2 2 2 3 2 6 6" xfId="7367" xr:uid="{00000000-0005-0000-0000-0000F71C0000}"/>
    <cellStyle name="Comma 2 2 2 2 3 2 6 7" xfId="5092" xr:uid="{00000000-0005-0000-0000-000014140000}"/>
    <cellStyle name="Comma 2 2 2 2 3 2 6 8" xfId="7428" xr:uid="{00000000-0005-0000-0000-0000341D0000}"/>
    <cellStyle name="Comma 2 2 2 2 3 2 6 9" xfId="9393" xr:uid="{00000000-0005-0000-0000-0000E1240000}"/>
    <cellStyle name="Comma 2 2 2 2 3 2 7" xfId="9394" xr:uid="{00000000-0005-0000-0000-0000E2240000}"/>
    <cellStyle name="Comma 2 2 2 2 3 2 7 2" xfId="9395" xr:uid="{00000000-0005-0000-0000-0000E3240000}"/>
    <cellStyle name="Comma 2 2 2 2 3 2 8" xfId="8155" xr:uid="{00000000-0005-0000-0000-00000B200000}"/>
    <cellStyle name="Comma 2 2 2 2 3 2 9" xfId="9397" xr:uid="{00000000-0005-0000-0000-0000E5240000}"/>
    <cellStyle name="Comma 2 2 2 2 3 20" xfId="9119" xr:uid="{00000000-0005-0000-0000-0000CF230000}"/>
    <cellStyle name="Comma 2 2 2 2 3 21" xfId="9130" xr:uid="{00000000-0005-0000-0000-0000DA230000}"/>
    <cellStyle name="Comma 2 2 2 2 3 22" xfId="9141" xr:uid="{00000000-0005-0000-0000-0000E5230000}"/>
    <cellStyle name="Comma 2 2 2 2 3 23" xfId="9147" xr:uid="{00000000-0005-0000-0000-0000EB230000}"/>
    <cellStyle name="Comma 2 2 2 2 3 3" xfId="9400" xr:uid="{00000000-0005-0000-0000-0000E8240000}"/>
    <cellStyle name="Comma 2 2 2 2 3 3 10" xfId="1288" xr:uid="{00000000-0005-0000-0000-000038050000}"/>
    <cellStyle name="Comma 2 2 2 2 3 3 11" xfId="1306" xr:uid="{00000000-0005-0000-0000-00004A050000}"/>
    <cellStyle name="Comma 2 2 2 2 3 3 12" xfId="1325" xr:uid="{00000000-0005-0000-0000-00005D050000}"/>
    <cellStyle name="Comma 2 2 2 2 3 3 13" xfId="1332" xr:uid="{00000000-0005-0000-0000-000064050000}"/>
    <cellStyle name="Comma 2 2 2 2 3 3 14" xfId="9404" xr:uid="{00000000-0005-0000-0000-0000EC240000}"/>
    <cellStyle name="Comma 2 2 2 2 3 3 15" xfId="9408" xr:uid="{00000000-0005-0000-0000-0000F0240000}"/>
    <cellStyle name="Comma 2 2 2 2 3 3 16" xfId="9413" xr:uid="{00000000-0005-0000-0000-0000F5240000}"/>
    <cellStyle name="Comma 2 2 2 2 3 3 17" xfId="9417" xr:uid="{00000000-0005-0000-0000-0000F9240000}"/>
    <cellStyle name="Comma 2 2 2 2 3 3 18" xfId="9421" xr:uid="{00000000-0005-0000-0000-0000FD240000}"/>
    <cellStyle name="Comma 2 2 2 2 3 3 2" xfId="9427" xr:uid="{00000000-0005-0000-0000-000003250000}"/>
    <cellStyle name="Comma 2 2 2 2 3 3 2 10" xfId="9434" xr:uid="{00000000-0005-0000-0000-00000A250000}"/>
    <cellStyle name="Comma 2 2 2 2 3 3 2 2" xfId="189" xr:uid="{00000000-0005-0000-0000-0000CC000000}"/>
    <cellStyle name="Comma 2 2 2 2 3 3 2 2 2" xfId="9443" xr:uid="{00000000-0005-0000-0000-000013250000}"/>
    <cellStyle name="Comma 2 2 2 2 3 3 2 3" xfId="9451" xr:uid="{00000000-0005-0000-0000-00001B250000}"/>
    <cellStyle name="Comma 2 2 2 2 3 3 2 4" xfId="9455" xr:uid="{00000000-0005-0000-0000-00001F250000}"/>
    <cellStyle name="Comma 2 2 2 2 3 3 2 5" xfId="9461" xr:uid="{00000000-0005-0000-0000-000025250000}"/>
    <cellStyle name="Comma 2 2 2 2 3 3 2 6" xfId="9469" xr:uid="{00000000-0005-0000-0000-00002D250000}"/>
    <cellStyle name="Comma 2 2 2 2 3 3 2 7" xfId="9478" xr:uid="{00000000-0005-0000-0000-000036250000}"/>
    <cellStyle name="Comma 2 2 2 2 3 3 2 8" xfId="9486" xr:uid="{00000000-0005-0000-0000-00003E250000}"/>
    <cellStyle name="Comma 2 2 2 2 3 3 2 9" xfId="9493" xr:uid="{00000000-0005-0000-0000-000045250000}"/>
    <cellStyle name="Comma 2 2 2 2 3 3 3" xfId="9499" xr:uid="{00000000-0005-0000-0000-00004B250000}"/>
    <cellStyle name="Comma 2 2 2 2 3 3 3 2" xfId="9502" xr:uid="{00000000-0005-0000-0000-00004E250000}"/>
    <cellStyle name="Comma 2 2 2 2 3 3 3 3" xfId="9508" xr:uid="{00000000-0005-0000-0000-000054250000}"/>
    <cellStyle name="Comma 2 2 2 2 3 3 3 4" xfId="9513" xr:uid="{00000000-0005-0000-0000-000059250000}"/>
    <cellStyle name="Comma 2 2 2 2 3 3 3 5" xfId="263" xr:uid="{00000000-0005-0000-0000-000018010000}"/>
    <cellStyle name="Comma 2 2 2 2 3 3 3 6" xfId="747" xr:uid="{00000000-0005-0000-0000-00001B030000}"/>
    <cellStyle name="Comma 2 2 2 2 3 3 4" xfId="5104" xr:uid="{00000000-0005-0000-0000-000020140000}"/>
    <cellStyle name="Comma 2 2 2 2 3 3 4 2" xfId="9515" xr:uid="{00000000-0005-0000-0000-00005B250000}"/>
    <cellStyle name="Comma 2 2 2 2 3 3 4 3" xfId="7413" xr:uid="{00000000-0005-0000-0000-0000251D0000}"/>
    <cellStyle name="Comma 2 2 2 2 3 3 4 4" xfId="9518" xr:uid="{00000000-0005-0000-0000-00005E250000}"/>
    <cellStyle name="Comma 2 2 2 2 3 3 4 5" xfId="9524" xr:uid="{00000000-0005-0000-0000-000064250000}"/>
    <cellStyle name="Comma 2 2 2 2 3 3 4 6" xfId="9531" xr:uid="{00000000-0005-0000-0000-00006B250000}"/>
    <cellStyle name="Comma 2 2 2 2 3 3 5" xfId="9535" xr:uid="{00000000-0005-0000-0000-00006F250000}"/>
    <cellStyle name="Comma 2 2 2 2 3 3 5 2" xfId="9536" xr:uid="{00000000-0005-0000-0000-000070250000}"/>
    <cellStyle name="Comma 2 2 2 2 3 3 5 3" xfId="9546" xr:uid="{00000000-0005-0000-0000-00007A250000}"/>
    <cellStyle name="Comma 2 2 2 2 3 3 5 4" xfId="9547" xr:uid="{00000000-0005-0000-0000-00007B250000}"/>
    <cellStyle name="Comma 2 2 2 2 3 3 5 5" xfId="9550" xr:uid="{00000000-0005-0000-0000-00007E250000}"/>
    <cellStyle name="Comma 2 2 2 2 3 3 5 6" xfId="9553" xr:uid="{00000000-0005-0000-0000-000081250000}"/>
    <cellStyle name="Comma 2 2 2 2 3 3 6" xfId="9558" xr:uid="{00000000-0005-0000-0000-000086250000}"/>
    <cellStyle name="Comma 2 2 2 2 3 3 6 2" xfId="9274" xr:uid="{00000000-0005-0000-0000-00006A240000}"/>
    <cellStyle name="Comma 2 2 2 2 3 3 6 3" xfId="9285" xr:uid="{00000000-0005-0000-0000-000075240000}"/>
    <cellStyle name="Comma 2 2 2 2 3 3 6 4" xfId="9562" xr:uid="{00000000-0005-0000-0000-00008A250000}"/>
    <cellStyle name="Comma 2 2 2 2 3 3 6 5" xfId="9569" xr:uid="{00000000-0005-0000-0000-000091250000}"/>
    <cellStyle name="Comma 2 2 2 2 3 3 6 6" xfId="9575" xr:uid="{00000000-0005-0000-0000-000097250000}"/>
    <cellStyle name="Comma 2 2 2 2 3 3 7" xfId="9580" xr:uid="{00000000-0005-0000-0000-00009C250000}"/>
    <cellStyle name="Comma 2 2 2 2 3 3 8" xfId="9583" xr:uid="{00000000-0005-0000-0000-00009F250000}"/>
    <cellStyle name="Comma 2 2 2 2 3 3 9" xfId="285" xr:uid="{00000000-0005-0000-0000-000030010000}"/>
    <cellStyle name="Comma 2 2 2 2 3 4" xfId="9589" xr:uid="{00000000-0005-0000-0000-0000A5250000}"/>
    <cellStyle name="Comma 2 2 2 2 3 4 10" xfId="9594" xr:uid="{00000000-0005-0000-0000-0000AA250000}"/>
    <cellStyle name="Comma 2 2 2 2 3 4 11" xfId="9605" xr:uid="{00000000-0005-0000-0000-0000B5250000}"/>
    <cellStyle name="Comma 2 2 2 2 3 4 12" xfId="9616" xr:uid="{00000000-0005-0000-0000-0000C0250000}"/>
    <cellStyle name="Comma 2 2 2 2 3 4 13" xfId="3950" xr:uid="{00000000-0005-0000-0000-00009E0F0000}"/>
    <cellStyle name="Comma 2 2 2 2 3 4 14" xfId="9629" xr:uid="{00000000-0005-0000-0000-0000CD250000}"/>
    <cellStyle name="Comma 2 2 2 2 3 4 15" xfId="87" xr:uid="{00000000-0005-0000-0000-00005D000000}"/>
    <cellStyle name="Comma 2 2 2 2 3 4 2" xfId="6267" xr:uid="{00000000-0005-0000-0000-0000AB180000}"/>
    <cellStyle name="Comma 2 2 2 2 3 4 2 2" xfId="1521" xr:uid="{00000000-0005-0000-0000-000021060000}"/>
    <cellStyle name="Comma 2 2 2 2 3 4 2 2 2" xfId="7327" xr:uid="{00000000-0005-0000-0000-0000CF1C0000}"/>
    <cellStyle name="Comma 2 2 2 2 3 4 2 3" xfId="9636" xr:uid="{00000000-0005-0000-0000-0000D4250000}"/>
    <cellStyle name="Comma 2 2 2 2 3 4 2 4" xfId="9643" xr:uid="{00000000-0005-0000-0000-0000DB250000}"/>
    <cellStyle name="Comma 2 2 2 2 3 4 2 5" xfId="3799" xr:uid="{00000000-0005-0000-0000-0000070F0000}"/>
    <cellStyle name="Comma 2 2 2 2 3 4 2 6" xfId="9651" xr:uid="{00000000-0005-0000-0000-0000E3250000}"/>
    <cellStyle name="Comma 2 2 2 2 3 4 2 7" xfId="9656" xr:uid="{00000000-0005-0000-0000-0000E8250000}"/>
    <cellStyle name="Comma 2 2 2 2 3 4 2 8" xfId="9664" xr:uid="{00000000-0005-0000-0000-0000F0250000}"/>
    <cellStyle name="Comma 2 2 2 2 3 4 2 9" xfId="5412" xr:uid="{00000000-0005-0000-0000-000054150000}"/>
    <cellStyle name="Comma 2 2 2 2 3 4 3" xfId="153" xr:uid="{00000000-0005-0000-0000-0000A5000000}"/>
    <cellStyle name="Comma 2 2 2 2 3 4 3 2" xfId="3778" xr:uid="{00000000-0005-0000-0000-0000F20E0000}"/>
    <cellStyle name="Comma 2 2 2 2 3 4 3 3" xfId="9674" xr:uid="{00000000-0005-0000-0000-0000FA250000}"/>
    <cellStyle name="Comma 2 2 2 2 3 4 3 4" xfId="9675" xr:uid="{00000000-0005-0000-0000-0000FB250000}"/>
    <cellStyle name="Comma 2 2 2 2 3 4 3 5" xfId="3822" xr:uid="{00000000-0005-0000-0000-00001E0F0000}"/>
    <cellStyle name="Comma 2 2 2 2 3 4 3 6" xfId="9677" xr:uid="{00000000-0005-0000-0000-0000FD250000}"/>
    <cellStyle name="Comma 2 2 2 2 3 4 4" xfId="3912" xr:uid="{00000000-0005-0000-0000-0000780F0000}"/>
    <cellStyle name="Comma 2 2 2 2 3 4 4 2" xfId="9685" xr:uid="{00000000-0005-0000-0000-000005260000}"/>
    <cellStyle name="Comma 2 2 2 2 3 4 5" xfId="9690" xr:uid="{00000000-0005-0000-0000-00000A260000}"/>
    <cellStyle name="Comma 2 2 2 2 3 4 6" xfId="9696" xr:uid="{00000000-0005-0000-0000-000010260000}"/>
    <cellStyle name="Comma 2 2 2 2 3 4 7" xfId="9702" xr:uid="{00000000-0005-0000-0000-000016260000}"/>
    <cellStyle name="Comma 2 2 2 2 3 4 8" xfId="9713" xr:uid="{00000000-0005-0000-0000-000021260000}"/>
    <cellStyle name="Comma 2 2 2 2 3 4 9" xfId="9715" xr:uid="{00000000-0005-0000-0000-000023260000}"/>
    <cellStyle name="Comma 2 2 2 2 3 5" xfId="9719" xr:uid="{00000000-0005-0000-0000-000027260000}"/>
    <cellStyle name="Comma 2 2 2 2 3 5 10" xfId="9722" xr:uid="{00000000-0005-0000-0000-00002A260000}"/>
    <cellStyle name="Comma 2 2 2 2 3 5 11" xfId="9724" xr:uid="{00000000-0005-0000-0000-00002C260000}"/>
    <cellStyle name="Comma 2 2 2 2 3 5 12" xfId="1966" xr:uid="{00000000-0005-0000-0000-0000DE070000}"/>
    <cellStyle name="Comma 2 2 2 2 3 5 13" xfId="8158" xr:uid="{00000000-0005-0000-0000-00000E200000}"/>
    <cellStyle name="Comma 2 2 2 2 3 5 2" xfId="6333" xr:uid="{00000000-0005-0000-0000-0000ED180000}"/>
    <cellStyle name="Comma 2 2 2 2 3 5 2 2" xfId="2497" xr:uid="{00000000-0005-0000-0000-0000F1090000}"/>
    <cellStyle name="Comma 2 2 2 2 3 5 2 2 2" xfId="9727" xr:uid="{00000000-0005-0000-0000-00002F260000}"/>
    <cellStyle name="Comma 2 2 2 2 3 5 2 3" xfId="803" xr:uid="{00000000-0005-0000-0000-000053030000}"/>
    <cellStyle name="Comma 2 2 2 2 3 5 2 4" xfId="988" xr:uid="{00000000-0005-0000-0000-00000C040000}"/>
    <cellStyle name="Comma 2 2 2 2 3 5 2 5" xfId="1021" xr:uid="{00000000-0005-0000-0000-00002D040000}"/>
    <cellStyle name="Comma 2 2 2 2 3 5 2 6" xfId="9730" xr:uid="{00000000-0005-0000-0000-000032260000}"/>
    <cellStyle name="Comma 2 2 2 2 3 5 2 7" xfId="9739" xr:uid="{00000000-0005-0000-0000-00003B260000}"/>
    <cellStyle name="Comma 2 2 2 2 3 5 2 8" xfId="9747" xr:uid="{00000000-0005-0000-0000-000043260000}"/>
    <cellStyle name="Comma 2 2 2 2 3 5 2 9" xfId="9755" xr:uid="{00000000-0005-0000-0000-00004B260000}"/>
    <cellStyle name="Comma 2 2 2 2 3 5 3" xfId="9764" xr:uid="{00000000-0005-0000-0000-000054260000}"/>
    <cellStyle name="Comma 2 2 2 2 3 5 3 2" xfId="3988" xr:uid="{00000000-0005-0000-0000-0000C40F0000}"/>
    <cellStyle name="Comma 2 2 2 2 3 5 3 3" xfId="1142" xr:uid="{00000000-0005-0000-0000-0000A6040000}"/>
    <cellStyle name="Comma 2 2 2 2 3 5 3 4" xfId="1177" xr:uid="{00000000-0005-0000-0000-0000C9040000}"/>
    <cellStyle name="Comma 2 2 2 2 3 5 3 5" xfId="1201" xr:uid="{00000000-0005-0000-0000-0000E1040000}"/>
    <cellStyle name="Comma 2 2 2 2 3 5 3 6" xfId="9765" xr:uid="{00000000-0005-0000-0000-000055260000}"/>
    <cellStyle name="Comma 2 2 2 2 3 5 4" xfId="9772" xr:uid="{00000000-0005-0000-0000-00005C260000}"/>
    <cellStyle name="Comma 2 2 2 2 3 5 4 2" xfId="4009" xr:uid="{00000000-0005-0000-0000-0000D90F0000}"/>
    <cellStyle name="Comma 2 2 2 2 3 5 5" xfId="9773" xr:uid="{00000000-0005-0000-0000-00005D260000}"/>
    <cellStyle name="Comma 2 2 2 2 3 5 6" xfId="9774" xr:uid="{00000000-0005-0000-0000-00005E260000}"/>
    <cellStyle name="Comma 2 2 2 2 3 5 7" xfId="9775" xr:uid="{00000000-0005-0000-0000-00005F260000}"/>
    <cellStyle name="Comma 2 2 2 2 3 5 8" xfId="9777" xr:uid="{00000000-0005-0000-0000-000061260000}"/>
    <cellStyle name="Comma 2 2 2 2 3 5 9" xfId="9779" xr:uid="{00000000-0005-0000-0000-000063260000}"/>
    <cellStyle name="Comma 2 2 2 2 3 6" xfId="4602" xr:uid="{00000000-0005-0000-0000-00002A120000}"/>
    <cellStyle name="Comma 2 2 2 2 3 6 10" xfId="9781" xr:uid="{00000000-0005-0000-0000-000065260000}"/>
    <cellStyle name="Comma 2 2 2 2 3 6 11" xfId="9789" xr:uid="{00000000-0005-0000-0000-00006D260000}"/>
    <cellStyle name="Comma 2 2 2 2 3 6 12" xfId="6654" xr:uid="{00000000-0005-0000-0000-00002E1A0000}"/>
    <cellStyle name="Comma 2 2 2 2 3 6 2" xfId="9794" xr:uid="{00000000-0005-0000-0000-000072260000}"/>
    <cellStyle name="Comma 2 2 2 2 3 6 2 2" xfId="3076" xr:uid="{00000000-0005-0000-0000-0000340C0000}"/>
    <cellStyle name="Comma 2 2 2 2 3 6 2 2 2" xfId="9798" xr:uid="{00000000-0005-0000-0000-000076260000}"/>
    <cellStyle name="Comma 2 2 2 2 3 6 2 3" xfId="1364" xr:uid="{00000000-0005-0000-0000-000084050000}"/>
    <cellStyle name="Comma 2 2 2 2 3 6 2 4" xfId="7615" xr:uid="{00000000-0005-0000-0000-0000EF1D0000}"/>
    <cellStyle name="Comma 2 2 2 2 3 6 2 5" xfId="7828" xr:uid="{00000000-0005-0000-0000-0000C41E0000}"/>
    <cellStyle name="Comma 2 2 2 2 3 6 2 6" xfId="9799" xr:uid="{00000000-0005-0000-0000-000077260000}"/>
    <cellStyle name="Comma 2 2 2 2 3 6 2 7" xfId="9809" xr:uid="{00000000-0005-0000-0000-000081260000}"/>
    <cellStyle name="Comma 2 2 2 2 3 6 2 8" xfId="2913" xr:uid="{00000000-0005-0000-0000-0000910B0000}"/>
    <cellStyle name="Comma 2 2 2 2 3 6 2 9" xfId="9821" xr:uid="{00000000-0005-0000-0000-00008D260000}"/>
    <cellStyle name="Comma 2 2 2 2 3 6 3" xfId="9824" xr:uid="{00000000-0005-0000-0000-000090260000}"/>
    <cellStyle name="Comma 2 2 2 2 3 6 3 2" xfId="4700" xr:uid="{00000000-0005-0000-0000-00008C120000}"/>
    <cellStyle name="Comma 2 2 2 2 3 6 3 3" xfId="1385" xr:uid="{00000000-0005-0000-0000-000099050000}"/>
    <cellStyle name="Comma 2 2 2 2 3 6 3 4" xfId="4723" xr:uid="{00000000-0005-0000-0000-0000A3120000}"/>
    <cellStyle name="Comma 2 2 2 2 3 6 3 5" xfId="4744" xr:uid="{00000000-0005-0000-0000-0000B8120000}"/>
    <cellStyle name="Comma 2 2 2 2 3 6 3 6" xfId="9826" xr:uid="{00000000-0005-0000-0000-000092260000}"/>
    <cellStyle name="Comma 2 2 2 2 3 6 4" xfId="9833" xr:uid="{00000000-0005-0000-0000-000099260000}"/>
    <cellStyle name="Comma 2 2 2 2 3 6 4 2" xfId="7630" xr:uid="{00000000-0005-0000-0000-0000FE1D0000}"/>
    <cellStyle name="Comma 2 2 2 2 3 6 5" xfId="9835" xr:uid="{00000000-0005-0000-0000-00009B260000}"/>
    <cellStyle name="Comma 2 2 2 2 3 6 6" xfId="9839" xr:uid="{00000000-0005-0000-0000-00009F260000}"/>
    <cellStyle name="Comma 2 2 2 2 3 6 7" xfId="9841" xr:uid="{00000000-0005-0000-0000-0000A1260000}"/>
    <cellStyle name="Comma 2 2 2 2 3 6 8" xfId="9844" xr:uid="{00000000-0005-0000-0000-0000A4260000}"/>
    <cellStyle name="Comma 2 2 2 2 3 6 9" xfId="9846" xr:uid="{00000000-0005-0000-0000-0000A6260000}"/>
    <cellStyle name="Comma 2 2 2 2 3 7" xfId="9848" xr:uid="{00000000-0005-0000-0000-0000A8260000}"/>
    <cellStyle name="Comma 2 2 2 2 3 7 2" xfId="9850" xr:uid="{00000000-0005-0000-0000-0000AA260000}"/>
    <cellStyle name="Comma 2 2 2 2 3 7 2 2" xfId="9859" xr:uid="{00000000-0005-0000-0000-0000B3260000}"/>
    <cellStyle name="Comma 2 2 2 2 3 7 3" xfId="9860" xr:uid="{00000000-0005-0000-0000-0000B4260000}"/>
    <cellStyle name="Comma 2 2 2 2 3 7 4" xfId="266" xr:uid="{00000000-0005-0000-0000-00001B010000}"/>
    <cellStyle name="Comma 2 2 2 2 3 7 5" xfId="9861" xr:uid="{00000000-0005-0000-0000-0000B5260000}"/>
    <cellStyle name="Comma 2 2 2 2 3 7 6" xfId="9862" xr:uid="{00000000-0005-0000-0000-0000B6260000}"/>
    <cellStyle name="Comma 2 2 2 2 3 7 7" xfId="9864" xr:uid="{00000000-0005-0000-0000-0000B8260000}"/>
    <cellStyle name="Comma 2 2 2 2 3 7 8" xfId="9866" xr:uid="{00000000-0005-0000-0000-0000BA260000}"/>
    <cellStyle name="Comma 2 2 2 2 3 7 9" xfId="9869" xr:uid="{00000000-0005-0000-0000-0000BD260000}"/>
    <cellStyle name="Comma 2 2 2 2 3 8" xfId="5690" xr:uid="{00000000-0005-0000-0000-00006A160000}"/>
    <cellStyle name="Comma 2 2 2 2 3 8 2" xfId="9871" xr:uid="{00000000-0005-0000-0000-0000BF260000}"/>
    <cellStyle name="Comma 2 2 2 2 3 8 3" xfId="9873" xr:uid="{00000000-0005-0000-0000-0000C1260000}"/>
    <cellStyle name="Comma 2 2 2 2 3 8 4" xfId="9875" xr:uid="{00000000-0005-0000-0000-0000C3260000}"/>
    <cellStyle name="Comma 2 2 2 2 3 8 5" xfId="9876" xr:uid="{00000000-0005-0000-0000-0000C4260000}"/>
    <cellStyle name="Comma 2 2 2 2 3 8 6" xfId="9877" xr:uid="{00000000-0005-0000-0000-0000C5260000}"/>
    <cellStyle name="Comma 2 2 2 2 3 9" xfId="9882" xr:uid="{00000000-0005-0000-0000-0000CA260000}"/>
    <cellStyle name="Comma 2 2 2 2 3 9 2" xfId="3840" xr:uid="{00000000-0005-0000-0000-0000300F0000}"/>
    <cellStyle name="Comma 2 2 2 2 3 9 3" xfId="3819" xr:uid="{00000000-0005-0000-0000-00001B0F0000}"/>
    <cellStyle name="Comma 2 2 2 2 3 9 4" xfId="9891" xr:uid="{00000000-0005-0000-0000-0000D3260000}"/>
    <cellStyle name="Comma 2 2 2 2 3 9 5" xfId="9900" xr:uid="{00000000-0005-0000-0000-0000DC260000}"/>
    <cellStyle name="Comma 2 2 2 2 3 9 6" xfId="1817" xr:uid="{00000000-0005-0000-0000-000049070000}"/>
    <cellStyle name="Comma 2 2 2 2 4" xfId="3777" xr:uid="{00000000-0005-0000-0000-0000F10E0000}"/>
    <cellStyle name="Comma 2 2 2 2 4 10" xfId="9905" xr:uid="{00000000-0005-0000-0000-0000E1260000}"/>
    <cellStyle name="Comma 2 2 2 2 4 10 2" xfId="9911" xr:uid="{00000000-0005-0000-0000-0000E7260000}"/>
    <cellStyle name="Comma 2 2 2 2 4 10 3" xfId="9917" xr:uid="{00000000-0005-0000-0000-0000ED260000}"/>
    <cellStyle name="Comma 2 2 2 2 4 10 4" xfId="9924" xr:uid="{00000000-0005-0000-0000-0000F4260000}"/>
    <cellStyle name="Comma 2 2 2 2 4 10 5" xfId="9930" xr:uid="{00000000-0005-0000-0000-0000FA260000}"/>
    <cellStyle name="Comma 2 2 2 2 4 10 6" xfId="4135" xr:uid="{00000000-0005-0000-0000-000057100000}"/>
    <cellStyle name="Comma 2 2 2 2 4 11" xfId="9936" xr:uid="{00000000-0005-0000-0000-000000270000}"/>
    <cellStyle name="Comma 2 2 2 2 4 11 2" xfId="9939" xr:uid="{00000000-0005-0000-0000-000003270000}"/>
    <cellStyle name="Comma 2 2 2 2 4 11 3" xfId="9941" xr:uid="{00000000-0005-0000-0000-000005270000}"/>
    <cellStyle name="Comma 2 2 2 2 4 11 4" xfId="9943" xr:uid="{00000000-0005-0000-0000-000007270000}"/>
    <cellStyle name="Comma 2 2 2 2 4 11 5" xfId="9945" xr:uid="{00000000-0005-0000-0000-000009270000}"/>
    <cellStyle name="Comma 2 2 2 2 4 11 6" xfId="4142" xr:uid="{00000000-0005-0000-0000-00005E100000}"/>
    <cellStyle name="Comma 2 2 2 2 4 12" xfId="9952" xr:uid="{00000000-0005-0000-0000-000010270000}"/>
    <cellStyle name="Comma 2 2 2 2 4 13" xfId="9955" xr:uid="{00000000-0005-0000-0000-000013270000}"/>
    <cellStyle name="Comma 2 2 2 2 4 14" xfId="9957" xr:uid="{00000000-0005-0000-0000-000015270000}"/>
    <cellStyle name="Comma 2 2 2 2 4 15" xfId="9960" xr:uid="{00000000-0005-0000-0000-000018270000}"/>
    <cellStyle name="Comma 2 2 2 2 4 16" xfId="9965" xr:uid="{00000000-0005-0000-0000-00001D270000}"/>
    <cellStyle name="Comma 2 2 2 2 4 17" xfId="9971" xr:uid="{00000000-0005-0000-0000-000023270000}"/>
    <cellStyle name="Comma 2 2 2 2 4 18" xfId="9973" xr:uid="{00000000-0005-0000-0000-000025270000}"/>
    <cellStyle name="Comma 2 2 2 2 4 19" xfId="9974" xr:uid="{00000000-0005-0000-0000-000026270000}"/>
    <cellStyle name="Comma 2 2 2 2 4 2" xfId="3806" xr:uid="{00000000-0005-0000-0000-00000E0F0000}"/>
    <cellStyle name="Comma 2 2 2 2 4 2 10" xfId="2236" xr:uid="{00000000-0005-0000-0000-0000EC080000}"/>
    <cellStyle name="Comma 2 2 2 2 4 2 11" xfId="6261" xr:uid="{00000000-0005-0000-0000-0000A5180000}"/>
    <cellStyle name="Comma 2 2 2 2 4 2 12" xfId="6265" xr:uid="{00000000-0005-0000-0000-0000A9180000}"/>
    <cellStyle name="Comma 2 2 2 2 4 2 13" xfId="151" xr:uid="{00000000-0005-0000-0000-0000A3000000}"/>
    <cellStyle name="Comma 2 2 2 2 4 2 14" xfId="3909" xr:uid="{00000000-0005-0000-0000-0000750F0000}"/>
    <cellStyle name="Comma 2 2 2 2 4 2 15" xfId="9688" xr:uid="{00000000-0005-0000-0000-000008260000}"/>
    <cellStyle name="Comma 2 2 2 2 4 2 16" xfId="9695" xr:uid="{00000000-0005-0000-0000-00000F260000}"/>
    <cellStyle name="Comma 2 2 2 2 4 2 17" xfId="9701" xr:uid="{00000000-0005-0000-0000-000015260000}"/>
    <cellStyle name="Comma 2 2 2 2 4 2 18" xfId="9711" xr:uid="{00000000-0005-0000-0000-00001F260000}"/>
    <cellStyle name="Comma 2 2 2 2 4 2 2" xfId="9033" xr:uid="{00000000-0005-0000-0000-000079230000}"/>
    <cellStyle name="Comma 2 2 2 2 4 2 2 10" xfId="9975" xr:uid="{00000000-0005-0000-0000-000027270000}"/>
    <cellStyle name="Comma 2 2 2 2 4 2 2 11" xfId="9976" xr:uid="{00000000-0005-0000-0000-000028270000}"/>
    <cellStyle name="Comma 2 2 2 2 4 2 2 12" xfId="9977" xr:uid="{00000000-0005-0000-0000-000029270000}"/>
    <cellStyle name="Comma 2 2 2 2 4 2 2 2" xfId="9037" xr:uid="{00000000-0005-0000-0000-00007D230000}"/>
    <cellStyle name="Comma 2 2 2 2 4 2 2 2 2" xfId="8992" xr:uid="{00000000-0005-0000-0000-000050230000}"/>
    <cellStyle name="Comma 2 2 2 2 4 2 2 2 2 2" xfId="8093" xr:uid="{00000000-0005-0000-0000-0000CD1F0000}"/>
    <cellStyle name="Comma 2 2 2 2 4 2 2 2 3" xfId="8997" xr:uid="{00000000-0005-0000-0000-000055230000}"/>
    <cellStyle name="Comma 2 2 2 2 4 2 2 2 4" xfId="8999" xr:uid="{00000000-0005-0000-0000-000057230000}"/>
    <cellStyle name="Comma 2 2 2 2 4 2 2 2 5" xfId="9002" xr:uid="{00000000-0005-0000-0000-00005A230000}"/>
    <cellStyle name="Comma 2 2 2 2 4 2 2 3" xfId="9048" xr:uid="{00000000-0005-0000-0000-000088230000}"/>
    <cellStyle name="Comma 2 2 2 2 4 2 2 3 2" xfId="6736" xr:uid="{00000000-0005-0000-0000-0000801A0000}"/>
    <cellStyle name="Comma 2 2 2 2 4 2 2 4" xfId="8423" xr:uid="{00000000-0005-0000-0000-000017210000}"/>
    <cellStyle name="Comma 2 2 2 2 4 2 2 5" xfId="2388" xr:uid="{00000000-0005-0000-0000-000084090000}"/>
    <cellStyle name="Comma 2 2 2 2 4 2 2 6" xfId="1563" xr:uid="{00000000-0005-0000-0000-00004B060000}"/>
    <cellStyle name="Comma 2 2 2 2 4 2 2 7" xfId="9978" xr:uid="{00000000-0005-0000-0000-00002A270000}"/>
    <cellStyle name="Comma 2 2 2 2 4 2 2 8" xfId="5588" xr:uid="{00000000-0005-0000-0000-000004160000}"/>
    <cellStyle name="Comma 2 2 2 2 4 2 2 9" xfId="9980" xr:uid="{00000000-0005-0000-0000-00002C270000}"/>
    <cellStyle name="Comma 2 2 2 2 4 2 3" xfId="4193" xr:uid="{00000000-0005-0000-0000-000091100000}"/>
    <cellStyle name="Comma 2 2 2 2 4 2 3 10" xfId="9982" xr:uid="{00000000-0005-0000-0000-00002E270000}"/>
    <cellStyle name="Comma 2 2 2 2 4 2 3 11" xfId="9983" xr:uid="{00000000-0005-0000-0000-00002F270000}"/>
    <cellStyle name="Comma 2 2 2 2 4 2 3 12" xfId="9984" xr:uid="{00000000-0005-0000-0000-000030270000}"/>
    <cellStyle name="Comma 2 2 2 2 4 2 3 2" xfId="9057" xr:uid="{00000000-0005-0000-0000-000091230000}"/>
    <cellStyle name="Comma 2 2 2 2 4 2 3 2 2" xfId="9834" xr:uid="{00000000-0005-0000-0000-00009A260000}"/>
    <cellStyle name="Comma 2 2 2 2 4 2 3 2 2 2" xfId="7637" xr:uid="{00000000-0005-0000-0000-0000051E0000}"/>
    <cellStyle name="Comma 2 2 2 2 4 2 3 2 3" xfId="9838" xr:uid="{00000000-0005-0000-0000-00009E260000}"/>
    <cellStyle name="Comma 2 2 2 2 4 2 3 2 4" xfId="9840" xr:uid="{00000000-0005-0000-0000-0000A0260000}"/>
    <cellStyle name="Comma 2 2 2 2 4 2 3 2 5" xfId="9842" xr:uid="{00000000-0005-0000-0000-0000A2260000}"/>
    <cellStyle name="Comma 2 2 2 2 4 2 3 3" xfId="9071" xr:uid="{00000000-0005-0000-0000-00009F230000}"/>
    <cellStyle name="Comma 2 2 2 2 4 2 3 3 2" xfId="271" xr:uid="{00000000-0005-0000-0000-000021010000}"/>
    <cellStyle name="Comma 2 2 2 2 4 2 3 4" xfId="9083" xr:uid="{00000000-0005-0000-0000-0000AB230000}"/>
    <cellStyle name="Comma 2 2 2 2 4 2 3 5" xfId="9097" xr:uid="{00000000-0005-0000-0000-0000B9230000}"/>
    <cellStyle name="Comma 2 2 2 2 4 2 3 6" xfId="1589" xr:uid="{00000000-0005-0000-0000-000065060000}"/>
    <cellStyle name="Comma 2 2 2 2 4 2 3 7" xfId="9990" xr:uid="{00000000-0005-0000-0000-000036270000}"/>
    <cellStyle name="Comma 2 2 2 2 4 2 3 8" xfId="9993" xr:uid="{00000000-0005-0000-0000-000039270000}"/>
    <cellStyle name="Comma 2 2 2 2 4 2 3 9" xfId="9996" xr:uid="{00000000-0005-0000-0000-00003C270000}"/>
    <cellStyle name="Comma 2 2 2 2 4 2 4" xfId="5176" xr:uid="{00000000-0005-0000-0000-000068140000}"/>
    <cellStyle name="Comma 2 2 2 2 4 2 4 10" xfId="10003" xr:uid="{00000000-0005-0000-0000-000043270000}"/>
    <cellStyle name="Comma 2 2 2 2 4 2 4 2" xfId="10004" xr:uid="{00000000-0005-0000-0000-000044270000}"/>
    <cellStyle name="Comma 2 2 2 2 4 2 4 2 2" xfId="10006" xr:uid="{00000000-0005-0000-0000-000046270000}"/>
    <cellStyle name="Comma 2 2 2 2 4 2 4 2 2 2" xfId="10013" xr:uid="{00000000-0005-0000-0000-00004D270000}"/>
    <cellStyle name="Comma 2 2 2 2 4 2 4 2 3" xfId="10014" xr:uid="{00000000-0005-0000-0000-00004E270000}"/>
    <cellStyle name="Comma 2 2 2 2 4 2 4 2 4" xfId="10016" xr:uid="{00000000-0005-0000-0000-000050270000}"/>
    <cellStyle name="Comma 2 2 2 2 4 2 4 2 5" xfId="10018" xr:uid="{00000000-0005-0000-0000-000052270000}"/>
    <cellStyle name="Comma 2 2 2 2 4 2 4 3" xfId="10023" xr:uid="{00000000-0005-0000-0000-000057270000}"/>
    <cellStyle name="Comma 2 2 2 2 4 2 4 3 2" xfId="9949" xr:uid="{00000000-0005-0000-0000-00000D270000}"/>
    <cellStyle name="Comma 2 2 2 2 4 2 4 4" xfId="10030" xr:uid="{00000000-0005-0000-0000-00005E270000}"/>
    <cellStyle name="Comma 2 2 2 2 4 2 4 5" xfId="10037" xr:uid="{00000000-0005-0000-0000-000065270000}"/>
    <cellStyle name="Comma 2 2 2 2 4 2 4 6" xfId="1632" xr:uid="{00000000-0005-0000-0000-000090060000}"/>
    <cellStyle name="Comma 2 2 2 2 4 2 4 7" xfId="10044" xr:uid="{00000000-0005-0000-0000-00006C270000}"/>
    <cellStyle name="Comma 2 2 2 2 4 2 4 8" xfId="10046" xr:uid="{00000000-0005-0000-0000-00006E270000}"/>
    <cellStyle name="Comma 2 2 2 2 4 2 4 9" xfId="10047" xr:uid="{00000000-0005-0000-0000-00006F270000}"/>
    <cellStyle name="Comma 2 2 2 2 4 2 5" xfId="6109" xr:uid="{00000000-0005-0000-0000-00000D180000}"/>
    <cellStyle name="Comma 2 2 2 2 4 2 5 10" xfId="10053" xr:uid="{00000000-0005-0000-0000-000075270000}"/>
    <cellStyle name="Comma 2 2 2 2 4 2 5 2" xfId="10054" xr:uid="{00000000-0005-0000-0000-000076270000}"/>
    <cellStyle name="Comma 2 2 2 2 4 2 5 2 2" xfId="10059" xr:uid="{00000000-0005-0000-0000-00007B270000}"/>
    <cellStyle name="Comma 2 2 2 2 4 2 5 2 2 2" xfId="10063" xr:uid="{00000000-0005-0000-0000-00007F270000}"/>
    <cellStyle name="Comma 2 2 2 2 4 2 5 2 3" xfId="10064" xr:uid="{00000000-0005-0000-0000-000080270000}"/>
    <cellStyle name="Comma 2 2 2 2 4 2 5 2 4" xfId="10067" xr:uid="{00000000-0005-0000-0000-000083270000}"/>
    <cellStyle name="Comma 2 2 2 2 4 2 5 2 5" xfId="10070" xr:uid="{00000000-0005-0000-0000-000086270000}"/>
    <cellStyle name="Comma 2 2 2 2 4 2 5 3" xfId="10079" xr:uid="{00000000-0005-0000-0000-00008F270000}"/>
    <cellStyle name="Comma 2 2 2 2 4 2 5 3 2" xfId="10086" xr:uid="{00000000-0005-0000-0000-000096270000}"/>
    <cellStyle name="Comma 2 2 2 2 4 2 5 4" xfId="10087" xr:uid="{00000000-0005-0000-0000-000097270000}"/>
    <cellStyle name="Comma 2 2 2 2 4 2 5 5" xfId="10088" xr:uid="{00000000-0005-0000-0000-000098270000}"/>
    <cellStyle name="Comma 2 2 2 2 4 2 5 6" xfId="1058" xr:uid="{00000000-0005-0000-0000-000052040000}"/>
    <cellStyle name="Comma 2 2 2 2 4 2 5 7" xfId="10089" xr:uid="{00000000-0005-0000-0000-000099270000}"/>
    <cellStyle name="Comma 2 2 2 2 4 2 5 8" xfId="10090" xr:uid="{00000000-0005-0000-0000-00009A270000}"/>
    <cellStyle name="Comma 2 2 2 2 4 2 5 9" xfId="10091" xr:uid="{00000000-0005-0000-0000-00009B270000}"/>
    <cellStyle name="Comma 2 2 2 2 4 2 6" xfId="9112" xr:uid="{00000000-0005-0000-0000-0000C8230000}"/>
    <cellStyle name="Comma 2 2 2 2 4 2 6 2" xfId="10094" xr:uid="{00000000-0005-0000-0000-00009E270000}"/>
    <cellStyle name="Comma 2 2 2 2 4 2 6 2 2" xfId="9231" xr:uid="{00000000-0005-0000-0000-00003F240000}"/>
    <cellStyle name="Comma 2 2 2 2 4 2 6 3" xfId="10097" xr:uid="{00000000-0005-0000-0000-0000A1270000}"/>
    <cellStyle name="Comma 2 2 2 2 4 2 6 4" xfId="10100" xr:uid="{00000000-0005-0000-0000-0000A4270000}"/>
    <cellStyle name="Comma 2 2 2 2 4 2 6 5" xfId="10104" xr:uid="{00000000-0005-0000-0000-0000A8270000}"/>
    <cellStyle name="Comma 2 2 2 2 4 2 6 6" xfId="10108" xr:uid="{00000000-0005-0000-0000-0000AC270000}"/>
    <cellStyle name="Comma 2 2 2 2 4 2 6 7" xfId="10111" xr:uid="{00000000-0005-0000-0000-0000AF270000}"/>
    <cellStyle name="Comma 2 2 2 2 4 2 6 8" xfId="10121" xr:uid="{00000000-0005-0000-0000-0000B9270000}"/>
    <cellStyle name="Comma 2 2 2 2 4 2 6 9" xfId="10133" xr:uid="{00000000-0005-0000-0000-0000C5270000}"/>
    <cellStyle name="Comma 2 2 2 2 4 2 7" xfId="9116" xr:uid="{00000000-0005-0000-0000-0000CC230000}"/>
    <cellStyle name="Comma 2 2 2 2 4 2 7 2" xfId="10136" xr:uid="{00000000-0005-0000-0000-0000C8270000}"/>
    <cellStyle name="Comma 2 2 2 2 4 2 8" xfId="9126" xr:uid="{00000000-0005-0000-0000-0000D6230000}"/>
    <cellStyle name="Comma 2 2 2 2 4 2 9" xfId="9139" xr:uid="{00000000-0005-0000-0000-0000E3230000}"/>
    <cellStyle name="Comma 2 2 2 2 4 20" xfId="9959" xr:uid="{00000000-0005-0000-0000-000017270000}"/>
    <cellStyle name="Comma 2 2 2 2 4 21" xfId="9964" xr:uid="{00000000-0005-0000-0000-00001C270000}"/>
    <cellStyle name="Comma 2 2 2 2 4 22" xfId="9970" xr:uid="{00000000-0005-0000-0000-000022270000}"/>
    <cellStyle name="Comma 2 2 2 2 4 23" xfId="9972" xr:uid="{00000000-0005-0000-0000-000024270000}"/>
    <cellStyle name="Comma 2 2 2 2 4 3" xfId="9653" xr:uid="{00000000-0005-0000-0000-0000E5250000}"/>
    <cellStyle name="Comma 2 2 2 2 4 3 10" xfId="3782" xr:uid="{00000000-0005-0000-0000-0000F60E0000}"/>
    <cellStyle name="Comma 2 2 2 2 4 3 11" xfId="670" xr:uid="{00000000-0005-0000-0000-0000CE020000}"/>
    <cellStyle name="Comma 2 2 2 2 4 3 12" xfId="3836" xr:uid="{00000000-0005-0000-0000-00002C0F0000}"/>
    <cellStyle name="Comma 2 2 2 2 4 3 13" xfId="3813" xr:uid="{00000000-0005-0000-0000-0000150F0000}"/>
    <cellStyle name="Comma 2 2 2 2 4 3 14" xfId="9888" xr:uid="{00000000-0005-0000-0000-0000D0260000}"/>
    <cellStyle name="Comma 2 2 2 2 4 3 15" xfId="9895" xr:uid="{00000000-0005-0000-0000-0000D7260000}"/>
    <cellStyle name="Comma 2 2 2 2 4 3 16" xfId="1813" xr:uid="{00000000-0005-0000-0000-000045070000}"/>
    <cellStyle name="Comma 2 2 2 2 4 3 17" xfId="10140" xr:uid="{00000000-0005-0000-0000-0000CC270000}"/>
    <cellStyle name="Comma 2 2 2 2 4 3 18" xfId="10149" xr:uid="{00000000-0005-0000-0000-0000D5270000}"/>
    <cellStyle name="Comma 2 2 2 2 4 3 2" xfId="10158" xr:uid="{00000000-0005-0000-0000-0000DE270000}"/>
    <cellStyle name="Comma 2 2 2 2 4 3 2 10" xfId="638" xr:uid="{00000000-0005-0000-0000-0000AB020000}"/>
    <cellStyle name="Comma 2 2 2 2 4 3 2 2" xfId="10159" xr:uid="{00000000-0005-0000-0000-0000DF270000}"/>
    <cellStyle name="Comma 2 2 2 2 4 3 2 2 2" xfId="10163" xr:uid="{00000000-0005-0000-0000-0000E3270000}"/>
    <cellStyle name="Comma 2 2 2 2 4 3 2 3" xfId="10166" xr:uid="{00000000-0005-0000-0000-0000E6270000}"/>
    <cellStyle name="Comma 2 2 2 2 4 3 2 4" xfId="1853" xr:uid="{00000000-0005-0000-0000-00006D070000}"/>
    <cellStyle name="Comma 2 2 2 2 4 3 2 5" xfId="1929" xr:uid="{00000000-0005-0000-0000-0000B9070000}"/>
    <cellStyle name="Comma 2 2 2 2 4 3 2 6" xfId="1913" xr:uid="{00000000-0005-0000-0000-0000A9070000}"/>
    <cellStyle name="Comma 2 2 2 2 4 3 2 7" xfId="5605" xr:uid="{00000000-0005-0000-0000-000015160000}"/>
    <cellStyle name="Comma 2 2 2 2 4 3 2 8" xfId="5610" xr:uid="{00000000-0005-0000-0000-00001A160000}"/>
    <cellStyle name="Comma 2 2 2 2 4 3 2 9" xfId="5615" xr:uid="{00000000-0005-0000-0000-00001F160000}"/>
    <cellStyle name="Comma 2 2 2 2 4 3 3" xfId="4916" xr:uid="{00000000-0005-0000-0000-000064130000}"/>
    <cellStyle name="Comma 2 2 2 2 4 3 3 2" xfId="10167" xr:uid="{00000000-0005-0000-0000-0000E7270000}"/>
    <cellStyle name="Comma 2 2 2 2 4 3 3 3" xfId="10170" xr:uid="{00000000-0005-0000-0000-0000EA270000}"/>
    <cellStyle name="Comma 2 2 2 2 4 3 3 4" xfId="5636" xr:uid="{00000000-0005-0000-0000-000034160000}"/>
    <cellStyle name="Comma 2 2 2 2 4 3 3 5" xfId="810" xr:uid="{00000000-0005-0000-0000-00005A030000}"/>
    <cellStyle name="Comma 2 2 2 2 4 3 3 6" xfId="857" xr:uid="{00000000-0005-0000-0000-000089030000}"/>
    <cellStyle name="Comma 2 2 2 2 4 3 4" xfId="10172" xr:uid="{00000000-0005-0000-0000-0000EC270000}"/>
    <cellStyle name="Comma 2 2 2 2 4 3 4 2" xfId="10174" xr:uid="{00000000-0005-0000-0000-0000EE270000}"/>
    <cellStyle name="Comma 2 2 2 2 4 3 4 3" xfId="10176" xr:uid="{00000000-0005-0000-0000-0000F0270000}"/>
    <cellStyle name="Comma 2 2 2 2 4 3 4 4" xfId="5995" xr:uid="{00000000-0005-0000-0000-00009B170000}"/>
    <cellStyle name="Comma 2 2 2 2 4 3 4 5" xfId="1003" xr:uid="{00000000-0005-0000-0000-00001B040000}"/>
    <cellStyle name="Comma 2 2 2 2 4 3 4 6" xfId="2502" xr:uid="{00000000-0005-0000-0000-0000F6090000}"/>
    <cellStyle name="Comma 2 2 2 2 4 3 5" xfId="6140" xr:uid="{00000000-0005-0000-0000-00002C180000}"/>
    <cellStyle name="Comma 2 2 2 2 4 3 5 2" xfId="10177" xr:uid="{00000000-0005-0000-0000-0000F1270000}"/>
    <cellStyle name="Comma 2 2 2 2 4 3 5 3" xfId="10179" xr:uid="{00000000-0005-0000-0000-0000F3270000}"/>
    <cellStyle name="Comma 2 2 2 2 4 3 5 4" xfId="10180" xr:uid="{00000000-0005-0000-0000-0000F4270000}"/>
    <cellStyle name="Comma 2 2 2 2 4 3 5 5" xfId="1034" xr:uid="{00000000-0005-0000-0000-00003A040000}"/>
    <cellStyle name="Comma 2 2 2 2 4 3 5 6" xfId="2558" xr:uid="{00000000-0005-0000-0000-00002E0A0000}"/>
    <cellStyle name="Comma 2 2 2 2 4 3 6" xfId="10182" xr:uid="{00000000-0005-0000-0000-0000F6270000}"/>
    <cellStyle name="Comma 2 2 2 2 4 3 6 2" xfId="10190" xr:uid="{00000000-0005-0000-0000-0000FE270000}"/>
    <cellStyle name="Comma 2 2 2 2 4 3 6 3" xfId="10196" xr:uid="{00000000-0005-0000-0000-000004280000}"/>
    <cellStyle name="Comma 2 2 2 2 4 3 6 4" xfId="10202" xr:uid="{00000000-0005-0000-0000-00000A280000}"/>
    <cellStyle name="Comma 2 2 2 2 4 3 6 5" xfId="1047" xr:uid="{00000000-0005-0000-0000-000047040000}"/>
    <cellStyle name="Comma 2 2 2 2 4 3 6 6" xfId="10205" xr:uid="{00000000-0005-0000-0000-00000D280000}"/>
    <cellStyle name="Comma 2 2 2 2 4 3 7" xfId="10207" xr:uid="{00000000-0005-0000-0000-00000F280000}"/>
    <cellStyle name="Comma 2 2 2 2 4 3 8" xfId="10210" xr:uid="{00000000-0005-0000-0000-000012280000}"/>
    <cellStyle name="Comma 2 2 2 2 4 3 9" xfId="10212" xr:uid="{00000000-0005-0000-0000-000014280000}"/>
    <cellStyle name="Comma 2 2 2 2 4 4" xfId="9660" xr:uid="{00000000-0005-0000-0000-0000EC250000}"/>
    <cellStyle name="Comma 2 2 2 2 4 4 10" xfId="10214" xr:uid="{00000000-0005-0000-0000-000016280000}"/>
    <cellStyle name="Comma 2 2 2 2 4 4 11" xfId="10215" xr:uid="{00000000-0005-0000-0000-000017280000}"/>
    <cellStyle name="Comma 2 2 2 2 4 4 12" xfId="10216" xr:uid="{00000000-0005-0000-0000-000018280000}"/>
    <cellStyle name="Comma 2 2 2 2 4 4 13" xfId="10217" xr:uid="{00000000-0005-0000-0000-000019280000}"/>
    <cellStyle name="Comma 2 2 2 2 4 4 14" xfId="10224" xr:uid="{00000000-0005-0000-0000-000020280000}"/>
    <cellStyle name="Comma 2 2 2 2 4 4 15" xfId="10231" xr:uid="{00000000-0005-0000-0000-000027280000}"/>
    <cellStyle name="Comma 2 2 2 2 4 4 2" xfId="10235" xr:uid="{00000000-0005-0000-0000-00002B280000}"/>
    <cellStyle name="Comma 2 2 2 2 4 4 2 2" xfId="10237" xr:uid="{00000000-0005-0000-0000-00002D280000}"/>
    <cellStyle name="Comma 2 2 2 2 4 4 2 2 2" xfId="10240" xr:uid="{00000000-0005-0000-0000-000030280000}"/>
    <cellStyle name="Comma 2 2 2 2 4 4 2 3" xfId="1703" xr:uid="{00000000-0005-0000-0000-0000D7060000}"/>
    <cellStyle name="Comma 2 2 2 2 4 4 2 4" xfId="8538" xr:uid="{00000000-0005-0000-0000-00008A210000}"/>
    <cellStyle name="Comma 2 2 2 2 4 4 2 5" xfId="7512" xr:uid="{00000000-0005-0000-0000-0000881D0000}"/>
    <cellStyle name="Comma 2 2 2 2 4 4 2 6" xfId="3120" xr:uid="{00000000-0005-0000-0000-0000600C0000}"/>
    <cellStyle name="Comma 2 2 2 2 4 4 2 7" xfId="4973" xr:uid="{00000000-0005-0000-0000-00009D130000}"/>
    <cellStyle name="Comma 2 2 2 2 4 4 2 8" xfId="10243" xr:uid="{00000000-0005-0000-0000-000033280000}"/>
    <cellStyle name="Comma 2 2 2 2 4 4 2 9" xfId="107" xr:uid="{00000000-0005-0000-0000-000074000000}"/>
    <cellStyle name="Comma 2 2 2 2 4 4 3" xfId="10246" xr:uid="{00000000-0005-0000-0000-000036280000}"/>
    <cellStyle name="Comma 2 2 2 2 4 4 3 2" xfId="10247" xr:uid="{00000000-0005-0000-0000-000037280000}"/>
    <cellStyle name="Comma 2 2 2 2 4 4 3 3" xfId="1729" xr:uid="{00000000-0005-0000-0000-0000F1060000}"/>
    <cellStyle name="Comma 2 2 2 2 4 4 3 4" xfId="10248" xr:uid="{00000000-0005-0000-0000-000038280000}"/>
    <cellStyle name="Comma 2 2 2 2 4 4 3 5" xfId="1169" xr:uid="{00000000-0005-0000-0000-0000C1040000}"/>
    <cellStyle name="Comma 2 2 2 2 4 4 3 6" xfId="835" xr:uid="{00000000-0005-0000-0000-000073030000}"/>
    <cellStyle name="Comma 2 2 2 2 4 4 4" xfId="10259" xr:uid="{00000000-0005-0000-0000-000043280000}"/>
    <cellStyle name="Comma 2 2 2 2 4 4 4 2" xfId="10261" xr:uid="{00000000-0005-0000-0000-000045280000}"/>
    <cellStyle name="Comma 2 2 2 2 4 4 5" xfId="6158" xr:uid="{00000000-0005-0000-0000-00003E180000}"/>
    <cellStyle name="Comma 2 2 2 2 4 4 6" xfId="10262" xr:uid="{00000000-0005-0000-0000-000046280000}"/>
    <cellStyle name="Comma 2 2 2 2 4 4 7" xfId="10263" xr:uid="{00000000-0005-0000-0000-000047280000}"/>
    <cellStyle name="Comma 2 2 2 2 4 4 8" xfId="2680" xr:uid="{00000000-0005-0000-0000-0000A80A0000}"/>
    <cellStyle name="Comma 2 2 2 2 4 4 9" xfId="452" xr:uid="{00000000-0005-0000-0000-0000E1010000}"/>
    <cellStyle name="Comma 2 2 2 2 4 5" xfId="9670" xr:uid="{00000000-0005-0000-0000-0000F6250000}"/>
    <cellStyle name="Comma 2 2 2 2 4 5 10" xfId="7850" xr:uid="{00000000-0005-0000-0000-0000DA1E0000}"/>
    <cellStyle name="Comma 2 2 2 2 4 5 11" xfId="7626" xr:uid="{00000000-0005-0000-0000-0000FA1D0000}"/>
    <cellStyle name="Comma 2 2 2 2 4 5 12" xfId="1413" xr:uid="{00000000-0005-0000-0000-0000B5050000}"/>
    <cellStyle name="Comma 2 2 2 2 4 5 13" xfId="7860" xr:uid="{00000000-0005-0000-0000-0000E41E0000}"/>
    <cellStyle name="Comma 2 2 2 2 4 5 2" xfId="10264" xr:uid="{00000000-0005-0000-0000-000048280000}"/>
    <cellStyle name="Comma 2 2 2 2 4 5 2 2" xfId="10269" xr:uid="{00000000-0005-0000-0000-00004D280000}"/>
    <cellStyle name="Comma 2 2 2 2 4 5 2 2 2" xfId="10279" xr:uid="{00000000-0005-0000-0000-000057280000}"/>
    <cellStyle name="Comma 2 2 2 2 4 5 2 3" xfId="10280" xr:uid="{00000000-0005-0000-0000-000058280000}"/>
    <cellStyle name="Comma 2 2 2 2 4 5 2 4" xfId="10283" xr:uid="{00000000-0005-0000-0000-00005B280000}"/>
    <cellStyle name="Comma 2 2 2 2 4 5 2 5" xfId="10291" xr:uid="{00000000-0005-0000-0000-000063280000}"/>
    <cellStyle name="Comma 2 2 2 2 4 5 2 6" xfId="495" xr:uid="{00000000-0005-0000-0000-00000F020000}"/>
    <cellStyle name="Comma 2 2 2 2 4 5 2 7" xfId="397" xr:uid="{00000000-0005-0000-0000-0000A7010000}"/>
    <cellStyle name="Comma 2 2 2 2 4 5 2 8" xfId="2002" xr:uid="{00000000-0005-0000-0000-000002080000}"/>
    <cellStyle name="Comma 2 2 2 2 4 5 2 9" xfId="2029" xr:uid="{00000000-0005-0000-0000-00001D080000}"/>
    <cellStyle name="Comma 2 2 2 2 4 5 3" xfId="10295" xr:uid="{00000000-0005-0000-0000-000067280000}"/>
    <cellStyle name="Comma 2 2 2 2 4 5 3 2" xfId="10297" xr:uid="{00000000-0005-0000-0000-000069280000}"/>
    <cellStyle name="Comma 2 2 2 2 4 5 3 3" xfId="10299" xr:uid="{00000000-0005-0000-0000-00006B280000}"/>
    <cellStyle name="Comma 2 2 2 2 4 5 3 4" xfId="10301" xr:uid="{00000000-0005-0000-0000-00006D280000}"/>
    <cellStyle name="Comma 2 2 2 2 4 5 3 5" xfId="10309" xr:uid="{00000000-0005-0000-0000-000075280000}"/>
    <cellStyle name="Comma 2 2 2 2 4 5 3 6" xfId="2147" xr:uid="{00000000-0005-0000-0000-000093080000}"/>
    <cellStyle name="Comma 2 2 2 2 4 5 4" xfId="10311" xr:uid="{00000000-0005-0000-0000-000077280000}"/>
    <cellStyle name="Comma 2 2 2 2 4 5 4 2" xfId="10314" xr:uid="{00000000-0005-0000-0000-00007A280000}"/>
    <cellStyle name="Comma 2 2 2 2 4 5 5" xfId="4484" xr:uid="{00000000-0005-0000-0000-0000B4110000}"/>
    <cellStyle name="Comma 2 2 2 2 4 5 6" xfId="10315" xr:uid="{00000000-0005-0000-0000-00007B280000}"/>
    <cellStyle name="Comma 2 2 2 2 4 5 7" xfId="10316" xr:uid="{00000000-0005-0000-0000-00007C280000}"/>
    <cellStyle name="Comma 2 2 2 2 4 5 8" xfId="10318" xr:uid="{00000000-0005-0000-0000-00007E280000}"/>
    <cellStyle name="Comma 2 2 2 2 4 5 9" xfId="10320" xr:uid="{00000000-0005-0000-0000-000080280000}"/>
    <cellStyle name="Comma 2 2 2 2 4 6" xfId="5418" xr:uid="{00000000-0005-0000-0000-00005A150000}"/>
    <cellStyle name="Comma 2 2 2 2 4 6 10" xfId="7313" xr:uid="{00000000-0005-0000-0000-0000C11C0000}"/>
    <cellStyle name="Comma 2 2 2 2 4 6 11" xfId="7317" xr:uid="{00000000-0005-0000-0000-0000C51C0000}"/>
    <cellStyle name="Comma 2 2 2 2 4 6 12" xfId="7321" xr:uid="{00000000-0005-0000-0000-0000C91C0000}"/>
    <cellStyle name="Comma 2 2 2 2 4 6 2" xfId="10322" xr:uid="{00000000-0005-0000-0000-000082280000}"/>
    <cellStyle name="Comma 2 2 2 2 4 6 2 2" xfId="10323" xr:uid="{00000000-0005-0000-0000-000083280000}"/>
    <cellStyle name="Comma 2 2 2 2 4 6 2 2 2" xfId="8962" xr:uid="{00000000-0005-0000-0000-000032230000}"/>
    <cellStyle name="Comma 2 2 2 2 4 6 2 3" xfId="10324" xr:uid="{00000000-0005-0000-0000-000084280000}"/>
    <cellStyle name="Comma 2 2 2 2 4 6 2 4" xfId="10325" xr:uid="{00000000-0005-0000-0000-000085280000}"/>
    <cellStyle name="Comma 2 2 2 2 4 6 2 5" xfId="10328" xr:uid="{00000000-0005-0000-0000-000088280000}"/>
    <cellStyle name="Comma 2 2 2 2 4 6 2 6" xfId="3742" xr:uid="{00000000-0005-0000-0000-0000CE0E0000}"/>
    <cellStyle name="Comma 2 2 2 2 4 6 2 7" xfId="10332" xr:uid="{00000000-0005-0000-0000-00008C280000}"/>
    <cellStyle name="Comma 2 2 2 2 4 6 2 8" xfId="3411" xr:uid="{00000000-0005-0000-0000-0000830D0000}"/>
    <cellStyle name="Comma 2 2 2 2 4 6 2 9" xfId="10334" xr:uid="{00000000-0005-0000-0000-00008E280000}"/>
    <cellStyle name="Comma 2 2 2 2 4 6 3" xfId="10335" xr:uid="{00000000-0005-0000-0000-00008F280000}"/>
    <cellStyle name="Comma 2 2 2 2 4 6 3 2" xfId="10336" xr:uid="{00000000-0005-0000-0000-000090280000}"/>
    <cellStyle name="Comma 2 2 2 2 4 6 3 3" xfId="10339" xr:uid="{00000000-0005-0000-0000-000093280000}"/>
    <cellStyle name="Comma 2 2 2 2 4 6 3 4" xfId="10342" xr:uid="{00000000-0005-0000-0000-000096280000}"/>
    <cellStyle name="Comma 2 2 2 2 4 6 3 5" xfId="10346" xr:uid="{00000000-0005-0000-0000-00009A280000}"/>
    <cellStyle name="Comma 2 2 2 2 4 6 3 6" xfId="3748" xr:uid="{00000000-0005-0000-0000-0000D40E0000}"/>
    <cellStyle name="Comma 2 2 2 2 4 6 4" xfId="10007" xr:uid="{00000000-0005-0000-0000-000047270000}"/>
    <cellStyle name="Comma 2 2 2 2 4 6 4 2" xfId="10008" xr:uid="{00000000-0005-0000-0000-000048270000}"/>
    <cellStyle name="Comma 2 2 2 2 4 6 5" xfId="10015" xr:uid="{00000000-0005-0000-0000-00004F270000}"/>
    <cellStyle name="Comma 2 2 2 2 4 6 6" xfId="10017" xr:uid="{00000000-0005-0000-0000-000051270000}"/>
    <cellStyle name="Comma 2 2 2 2 4 6 7" xfId="10019" xr:uid="{00000000-0005-0000-0000-000053270000}"/>
    <cellStyle name="Comma 2 2 2 2 4 6 8" xfId="10349" xr:uid="{00000000-0005-0000-0000-00009D280000}"/>
    <cellStyle name="Comma 2 2 2 2 4 6 9" xfId="10351" xr:uid="{00000000-0005-0000-0000-00009F280000}"/>
    <cellStyle name="Comma 2 2 2 2 4 7" xfId="10001" xr:uid="{00000000-0005-0000-0000-000041270000}"/>
    <cellStyle name="Comma 2 2 2 2 4 7 2" xfId="9901" xr:uid="{00000000-0005-0000-0000-0000DD260000}"/>
    <cellStyle name="Comma 2 2 2 2 4 7 2 2" xfId="9906" xr:uid="{00000000-0005-0000-0000-0000E2260000}"/>
    <cellStyle name="Comma 2 2 2 2 4 7 3" xfId="9933" xr:uid="{00000000-0005-0000-0000-0000FD260000}"/>
    <cellStyle name="Comma 2 2 2 2 4 7 4" xfId="9950" xr:uid="{00000000-0005-0000-0000-00000E270000}"/>
    <cellStyle name="Comma 2 2 2 2 4 7 5" xfId="9953" xr:uid="{00000000-0005-0000-0000-000011270000}"/>
    <cellStyle name="Comma 2 2 2 2 4 7 6" xfId="9956" xr:uid="{00000000-0005-0000-0000-000014270000}"/>
    <cellStyle name="Comma 2 2 2 2 4 7 7" xfId="9958" xr:uid="{00000000-0005-0000-0000-000016270000}"/>
    <cellStyle name="Comma 2 2 2 2 4 7 8" xfId="9963" xr:uid="{00000000-0005-0000-0000-00001B270000}"/>
    <cellStyle name="Comma 2 2 2 2 4 7 9" xfId="9969" xr:uid="{00000000-0005-0000-0000-000021270000}"/>
    <cellStyle name="Comma 2 2 2 2 4 8" xfId="5717" xr:uid="{00000000-0005-0000-0000-000085160000}"/>
    <cellStyle name="Comma 2 2 2 2 4 8 2" xfId="10352" xr:uid="{00000000-0005-0000-0000-0000A0280000}"/>
    <cellStyle name="Comma 2 2 2 2 4 8 3" xfId="10353" xr:uid="{00000000-0005-0000-0000-0000A1280000}"/>
    <cellStyle name="Comma 2 2 2 2 4 8 4" xfId="10354" xr:uid="{00000000-0005-0000-0000-0000A2280000}"/>
    <cellStyle name="Comma 2 2 2 2 4 8 5" xfId="1052" xr:uid="{00000000-0005-0000-0000-00004C040000}"/>
    <cellStyle name="Comma 2 2 2 2 4 8 6" xfId="1073" xr:uid="{00000000-0005-0000-0000-000061040000}"/>
    <cellStyle name="Comma 2 2 2 2 4 9" xfId="10358" xr:uid="{00000000-0005-0000-0000-0000A6280000}"/>
    <cellStyle name="Comma 2 2 2 2 4 9 2" xfId="10361" xr:uid="{00000000-0005-0000-0000-0000A9280000}"/>
    <cellStyle name="Comma 2 2 2 2 4 9 3" xfId="10363" xr:uid="{00000000-0005-0000-0000-0000AB280000}"/>
    <cellStyle name="Comma 2 2 2 2 4 9 4" xfId="10365" xr:uid="{00000000-0005-0000-0000-0000AD280000}"/>
    <cellStyle name="Comma 2 2 2 2 4 9 5" xfId="1232" xr:uid="{00000000-0005-0000-0000-000000050000}"/>
    <cellStyle name="Comma 2 2 2 2 4 9 6" xfId="10367" xr:uid="{00000000-0005-0000-0000-0000AF280000}"/>
    <cellStyle name="Comma 2 2 2 2 5" xfId="679" xr:uid="{00000000-0005-0000-0000-0000D7020000}"/>
    <cellStyle name="Comma 2 2 2 2 5 10" xfId="10371" xr:uid="{00000000-0005-0000-0000-0000B3280000}"/>
    <cellStyle name="Comma 2 2 2 2 5 11" xfId="10378" xr:uid="{00000000-0005-0000-0000-0000BA280000}"/>
    <cellStyle name="Comma 2 2 2 2 5 12" xfId="10381" xr:uid="{00000000-0005-0000-0000-0000BD280000}"/>
    <cellStyle name="Comma 2 2 2 2 5 13" xfId="2782" xr:uid="{00000000-0005-0000-0000-00000E0B0000}"/>
    <cellStyle name="Comma 2 2 2 2 5 14" xfId="731" xr:uid="{00000000-0005-0000-0000-00000B030000}"/>
    <cellStyle name="Comma 2 2 2 2 5 15" xfId="10385" xr:uid="{00000000-0005-0000-0000-0000C1280000}"/>
    <cellStyle name="Comma 2 2 2 2 5 16" xfId="10387" xr:uid="{00000000-0005-0000-0000-0000C3280000}"/>
    <cellStyle name="Comma 2 2 2 2 5 17" xfId="75" xr:uid="{00000000-0005-0000-0000-00004F000000}"/>
    <cellStyle name="Comma 2 2 2 2 5 18" xfId="6928" xr:uid="{00000000-0005-0000-0000-0000401B0000}"/>
    <cellStyle name="Comma 2 2 2 2 5 2" xfId="3825" xr:uid="{00000000-0005-0000-0000-0000210F0000}"/>
    <cellStyle name="Comma 2 2 2 2 5 2 10" xfId="6763" xr:uid="{00000000-0005-0000-0000-00009B1A0000}"/>
    <cellStyle name="Comma 2 2 2 2 5 2 11" xfId="6794" xr:uid="{00000000-0005-0000-0000-0000BA1A0000}"/>
    <cellStyle name="Comma 2 2 2 2 5 2 12" xfId="6811" xr:uid="{00000000-0005-0000-0000-0000CB1A0000}"/>
    <cellStyle name="Comma 2 2 2 2 5 2 13" xfId="5370" xr:uid="{00000000-0005-0000-0000-00002A150000}"/>
    <cellStyle name="Comma 2 2 2 2 5 2 14" xfId="5391" xr:uid="{00000000-0005-0000-0000-00003F150000}"/>
    <cellStyle name="Comma 2 2 2 2 5 2 2" xfId="10392" xr:uid="{00000000-0005-0000-0000-0000C8280000}"/>
    <cellStyle name="Comma 2 2 2 2 5 2 2 10" xfId="10399" xr:uid="{00000000-0005-0000-0000-0000CF280000}"/>
    <cellStyle name="Comma 2 2 2 2 5 2 2 2" xfId="7000" xr:uid="{00000000-0005-0000-0000-0000881B0000}"/>
    <cellStyle name="Comma 2 2 2 2 5 2 2 2 2" xfId="616" xr:uid="{00000000-0005-0000-0000-000092020000}"/>
    <cellStyle name="Comma 2 2 2 2 5 2 2 3" xfId="7010" xr:uid="{00000000-0005-0000-0000-0000921B0000}"/>
    <cellStyle name="Comma 2 2 2 2 5 2 2 4" xfId="7023" xr:uid="{00000000-0005-0000-0000-00009F1B0000}"/>
    <cellStyle name="Comma 2 2 2 2 5 2 2 5" xfId="245" xr:uid="{00000000-0005-0000-0000-000006010000}"/>
    <cellStyle name="Comma 2 2 2 2 5 2 2 6" xfId="10403" xr:uid="{00000000-0005-0000-0000-0000D3280000}"/>
    <cellStyle name="Comma 2 2 2 2 5 2 2 7" xfId="10407" xr:uid="{00000000-0005-0000-0000-0000D7280000}"/>
    <cellStyle name="Comma 2 2 2 2 5 2 2 8" xfId="5989" xr:uid="{00000000-0005-0000-0000-000095170000}"/>
    <cellStyle name="Comma 2 2 2 2 5 2 2 9" xfId="10410" xr:uid="{00000000-0005-0000-0000-0000DA280000}"/>
    <cellStyle name="Comma 2 2 2 2 5 2 3" xfId="4218" xr:uid="{00000000-0005-0000-0000-0000AA100000}"/>
    <cellStyle name="Comma 2 2 2 2 5 2 3 2" xfId="5113" xr:uid="{00000000-0005-0000-0000-000029140000}"/>
    <cellStyle name="Comma 2 2 2 2 5 2 3 3" xfId="7141" xr:uid="{00000000-0005-0000-0000-0000151C0000}"/>
    <cellStyle name="Comma 2 2 2 2 5 2 3 4" xfId="7157" xr:uid="{00000000-0005-0000-0000-0000251C0000}"/>
    <cellStyle name="Comma 2 2 2 2 5 2 3 5" xfId="10414" xr:uid="{00000000-0005-0000-0000-0000DE280000}"/>
    <cellStyle name="Comma 2 2 2 2 5 2 3 6" xfId="10425" xr:uid="{00000000-0005-0000-0000-0000E9280000}"/>
    <cellStyle name="Comma 2 2 2 2 5 2 4" xfId="5124" xr:uid="{00000000-0005-0000-0000-000034140000}"/>
    <cellStyle name="Comma 2 2 2 2 5 2 4 2" xfId="5134" xr:uid="{00000000-0005-0000-0000-00003E140000}"/>
    <cellStyle name="Comma 2 2 2 2 5 2 4 3" xfId="8321" xr:uid="{00000000-0005-0000-0000-0000B1200000}"/>
    <cellStyle name="Comma 2 2 2 2 5 2 4 4" xfId="8331" xr:uid="{00000000-0005-0000-0000-0000BB200000}"/>
    <cellStyle name="Comma 2 2 2 2 5 2 4 5" xfId="8340" xr:uid="{00000000-0005-0000-0000-0000C4200000}"/>
    <cellStyle name="Comma 2 2 2 2 5 2 5" xfId="366" xr:uid="{00000000-0005-0000-0000-000086010000}"/>
    <cellStyle name="Comma 2 2 2 2 5 2 6" xfId="5146" xr:uid="{00000000-0005-0000-0000-00004A140000}"/>
    <cellStyle name="Comma 2 2 2 2 5 2 7" xfId="5155" xr:uid="{00000000-0005-0000-0000-000053140000}"/>
    <cellStyle name="Comma 2 2 2 2 5 2 8" xfId="5159" xr:uid="{00000000-0005-0000-0000-000057140000}"/>
    <cellStyle name="Comma 2 2 2 2 5 2 9" xfId="5167" xr:uid="{00000000-0005-0000-0000-00005F140000}"/>
    <cellStyle name="Comma 2 2 2 2 5 3" xfId="9680" xr:uid="{00000000-0005-0000-0000-000000260000}"/>
    <cellStyle name="Comma 2 2 2 2 5 3 10" xfId="3866" xr:uid="{00000000-0005-0000-0000-00004A0F0000}"/>
    <cellStyle name="Comma 2 2 2 2 5 3 11" xfId="10426" xr:uid="{00000000-0005-0000-0000-0000EA280000}"/>
    <cellStyle name="Comma 2 2 2 2 5 3 12" xfId="10431" xr:uid="{00000000-0005-0000-0000-0000EF280000}"/>
    <cellStyle name="Comma 2 2 2 2 5 3 2" xfId="10445" xr:uid="{00000000-0005-0000-0000-0000FD280000}"/>
    <cellStyle name="Comma 2 2 2 2 5 3 2 2" xfId="10450" xr:uid="{00000000-0005-0000-0000-000002290000}"/>
    <cellStyle name="Comma 2 2 2 2 5 3 2 2 2" xfId="10458" xr:uid="{00000000-0005-0000-0000-00000A290000}"/>
    <cellStyle name="Comma 2 2 2 2 5 3 2 3" xfId="10461" xr:uid="{00000000-0005-0000-0000-00000D290000}"/>
    <cellStyle name="Comma 2 2 2 2 5 3 2 4" xfId="10467" xr:uid="{00000000-0005-0000-0000-000013290000}"/>
    <cellStyle name="Comma 2 2 2 2 5 3 2 5" xfId="7612" xr:uid="{00000000-0005-0000-0000-0000EC1D0000}"/>
    <cellStyle name="Comma 2 2 2 2 5 3 3" xfId="5203" xr:uid="{00000000-0005-0000-0000-000083140000}"/>
    <cellStyle name="Comma 2 2 2 2 5 3 3 2" xfId="10475" xr:uid="{00000000-0005-0000-0000-00001B290000}"/>
    <cellStyle name="Comma 2 2 2 2 5 3 4" xfId="10481" xr:uid="{00000000-0005-0000-0000-000021290000}"/>
    <cellStyle name="Comma 2 2 2 2 5 3 5" xfId="10484" xr:uid="{00000000-0005-0000-0000-000024290000}"/>
    <cellStyle name="Comma 2 2 2 2 5 3 6" xfId="10488" xr:uid="{00000000-0005-0000-0000-000028290000}"/>
    <cellStyle name="Comma 2 2 2 2 5 3 7" xfId="10492" xr:uid="{00000000-0005-0000-0000-00002C290000}"/>
    <cellStyle name="Comma 2 2 2 2 5 3 8" xfId="10495" xr:uid="{00000000-0005-0000-0000-00002F290000}"/>
    <cellStyle name="Comma 2 2 2 2 5 3 9" xfId="10498" xr:uid="{00000000-0005-0000-0000-000032290000}"/>
    <cellStyle name="Comma 2 2 2 2 5 4" xfId="10504" xr:uid="{00000000-0005-0000-0000-000038290000}"/>
    <cellStyle name="Comma 2 2 2 2 5 4 10" xfId="7444" xr:uid="{00000000-0005-0000-0000-0000441D0000}"/>
    <cellStyle name="Comma 2 2 2 2 5 4 11" xfId="5246" xr:uid="{00000000-0005-0000-0000-0000AE140000}"/>
    <cellStyle name="Comma 2 2 2 2 5 4 2" xfId="10514" xr:uid="{00000000-0005-0000-0000-000042290000}"/>
    <cellStyle name="Comma 2 2 2 2 5 4 2 2" xfId="10524" xr:uid="{00000000-0005-0000-0000-00004C290000}"/>
    <cellStyle name="Comma 2 2 2 2 5 4 2 2 2" xfId="10528" xr:uid="{00000000-0005-0000-0000-000050290000}"/>
    <cellStyle name="Comma 2 2 2 2 5 4 2 3" xfId="10529" xr:uid="{00000000-0005-0000-0000-000051290000}"/>
    <cellStyle name="Comma 2 2 2 2 5 4 2 4" xfId="10537" xr:uid="{00000000-0005-0000-0000-000059290000}"/>
    <cellStyle name="Comma 2 2 2 2 5 4 2 5" xfId="2666" xr:uid="{00000000-0005-0000-0000-00009A0A0000}"/>
    <cellStyle name="Comma 2 2 2 2 5 4 3" xfId="5219" xr:uid="{00000000-0005-0000-0000-000093140000}"/>
    <cellStyle name="Comma 2 2 2 2 5 4 3 2" xfId="7468" xr:uid="{00000000-0005-0000-0000-00005C1D0000}"/>
    <cellStyle name="Comma 2 2 2 2 5 4 4" xfId="10547" xr:uid="{00000000-0005-0000-0000-000063290000}"/>
    <cellStyle name="Comma 2 2 2 2 5 4 5" xfId="10554" xr:uid="{00000000-0005-0000-0000-00006A290000}"/>
    <cellStyle name="Comma 2 2 2 2 5 4 6" xfId="10557" xr:uid="{00000000-0005-0000-0000-00006D290000}"/>
    <cellStyle name="Comma 2 2 2 2 5 4 7" xfId="10559" xr:uid="{00000000-0005-0000-0000-00006F290000}"/>
    <cellStyle name="Comma 2 2 2 2 5 4 8" xfId="10561" xr:uid="{00000000-0005-0000-0000-000071290000}"/>
    <cellStyle name="Comma 2 2 2 2 5 4 9" xfId="10564" xr:uid="{00000000-0005-0000-0000-000074290000}"/>
    <cellStyle name="Comma 2 2 2 2 5 5" xfId="10570" xr:uid="{00000000-0005-0000-0000-00007A290000}"/>
    <cellStyle name="Comma 2 2 2 2 5 5 10" xfId="7527" xr:uid="{00000000-0005-0000-0000-0000971D0000}"/>
    <cellStyle name="Comma 2 2 2 2 5 5 2" xfId="10580" xr:uid="{00000000-0005-0000-0000-000084290000}"/>
    <cellStyle name="Comma 2 2 2 2 5 5 2 2" xfId="1618" xr:uid="{00000000-0005-0000-0000-000082060000}"/>
    <cellStyle name="Comma 2 2 2 2 5 5 2 2 2" xfId="7536" xr:uid="{00000000-0005-0000-0000-0000A01D0000}"/>
    <cellStyle name="Comma 2 2 2 2 5 5 2 3" xfId="1646" xr:uid="{00000000-0005-0000-0000-00009E060000}"/>
    <cellStyle name="Comma 2 2 2 2 5 5 2 4" xfId="770" xr:uid="{00000000-0005-0000-0000-000032030000}"/>
    <cellStyle name="Comma 2 2 2 2 5 5 2 5" xfId="2747" xr:uid="{00000000-0005-0000-0000-0000EB0A0000}"/>
    <cellStyle name="Comma 2 2 2 2 5 5 3" xfId="1885" xr:uid="{00000000-0005-0000-0000-00008D070000}"/>
    <cellStyle name="Comma 2 2 2 2 5 5 3 2" xfId="10585" xr:uid="{00000000-0005-0000-0000-000089290000}"/>
    <cellStyle name="Comma 2 2 2 2 5 5 4" xfId="10590" xr:uid="{00000000-0005-0000-0000-00008E290000}"/>
    <cellStyle name="Comma 2 2 2 2 5 5 5" xfId="10595" xr:uid="{00000000-0005-0000-0000-000093290000}"/>
    <cellStyle name="Comma 2 2 2 2 5 5 6" xfId="10598" xr:uid="{00000000-0005-0000-0000-000096290000}"/>
    <cellStyle name="Comma 2 2 2 2 5 5 7" xfId="10601" xr:uid="{00000000-0005-0000-0000-000099290000}"/>
    <cellStyle name="Comma 2 2 2 2 5 5 8" xfId="10602" xr:uid="{00000000-0005-0000-0000-00009A290000}"/>
    <cellStyle name="Comma 2 2 2 2 5 5 9" xfId="10606" xr:uid="{00000000-0005-0000-0000-00009E290000}"/>
    <cellStyle name="Comma 2 2 2 2 5 6" xfId="3895" xr:uid="{00000000-0005-0000-0000-0000670F0000}"/>
    <cellStyle name="Comma 2 2 2 2 5 6 2" xfId="10618" xr:uid="{00000000-0005-0000-0000-0000AA290000}"/>
    <cellStyle name="Comma 2 2 2 2 5 6 2 2" xfId="10619" xr:uid="{00000000-0005-0000-0000-0000AB290000}"/>
    <cellStyle name="Comma 2 2 2 2 5 6 3" xfId="5236" xr:uid="{00000000-0005-0000-0000-0000A4140000}"/>
    <cellStyle name="Comma 2 2 2 2 5 6 4" xfId="10061" xr:uid="{00000000-0005-0000-0000-00007D270000}"/>
    <cellStyle name="Comma 2 2 2 2 5 6 5" xfId="10066" xr:uid="{00000000-0005-0000-0000-000082270000}"/>
    <cellStyle name="Comma 2 2 2 2 5 6 6" xfId="10069" xr:uid="{00000000-0005-0000-0000-000085270000}"/>
    <cellStyle name="Comma 2 2 2 2 5 6 7" xfId="10072" xr:uid="{00000000-0005-0000-0000-000088270000}"/>
    <cellStyle name="Comma 2 2 2 2 5 6 8" xfId="10620" xr:uid="{00000000-0005-0000-0000-0000AC290000}"/>
    <cellStyle name="Comma 2 2 2 2 5 6 9" xfId="5394" xr:uid="{00000000-0005-0000-0000-000042150000}"/>
    <cellStyle name="Comma 2 2 2 2 5 7" xfId="10625" xr:uid="{00000000-0005-0000-0000-0000B1290000}"/>
    <cellStyle name="Comma 2 2 2 2 5 7 2" xfId="10633" xr:uid="{00000000-0005-0000-0000-0000B9290000}"/>
    <cellStyle name="Comma 2 2 2 2 5 8" xfId="6823" xr:uid="{00000000-0005-0000-0000-0000D71A0000}"/>
    <cellStyle name="Comma 2 2 2 2 5 9" xfId="6840" xr:uid="{00000000-0005-0000-0000-0000E81A0000}"/>
    <cellStyle name="Comma 2 2 2 2 6" xfId="3845" xr:uid="{00000000-0005-0000-0000-0000350F0000}"/>
    <cellStyle name="Comma 2 2 2 2 6 10" xfId="10639" xr:uid="{00000000-0005-0000-0000-0000BF290000}"/>
    <cellStyle name="Comma 2 2 2 2 6 11" xfId="10643" xr:uid="{00000000-0005-0000-0000-0000C3290000}"/>
    <cellStyle name="Comma 2 2 2 2 6 12" xfId="10650" xr:uid="{00000000-0005-0000-0000-0000CA290000}"/>
    <cellStyle name="Comma 2 2 2 2 6 13" xfId="10656" xr:uid="{00000000-0005-0000-0000-0000D0290000}"/>
    <cellStyle name="Comma 2 2 2 2 6 14" xfId="10661" xr:uid="{00000000-0005-0000-0000-0000D5290000}"/>
    <cellStyle name="Comma 2 2 2 2 6 15" xfId="3030" xr:uid="{00000000-0005-0000-0000-0000060C0000}"/>
    <cellStyle name="Comma 2 2 2 2 6 16" xfId="10665" xr:uid="{00000000-0005-0000-0000-0000D9290000}"/>
    <cellStyle name="Comma 2 2 2 2 6 17" xfId="7015" xr:uid="{00000000-0005-0000-0000-0000971B0000}"/>
    <cellStyle name="Comma 2 2 2 2 6 18" xfId="11" xr:uid="{00000000-0005-0000-0000-00000C000000}"/>
    <cellStyle name="Comma 2 2 2 2 6 2" xfId="3860" xr:uid="{00000000-0005-0000-0000-0000440F0000}"/>
    <cellStyle name="Comma 2 2 2 2 6 2 10" xfId="10670" xr:uid="{00000000-0005-0000-0000-0000DE290000}"/>
    <cellStyle name="Comma 2 2 2 2 6 2 2" xfId="10674" xr:uid="{00000000-0005-0000-0000-0000E2290000}"/>
    <cellStyle name="Comma 2 2 2 2 6 2 2 2" xfId="1711" xr:uid="{00000000-0005-0000-0000-0000DF060000}"/>
    <cellStyle name="Comma 2 2 2 2 6 2 3" xfId="4227" xr:uid="{00000000-0005-0000-0000-0000B3100000}"/>
    <cellStyle name="Comma 2 2 2 2 6 2 4" xfId="10678" xr:uid="{00000000-0005-0000-0000-0000E6290000}"/>
    <cellStyle name="Comma 2 2 2 2 6 2 5" xfId="10682" xr:uid="{00000000-0005-0000-0000-0000EA290000}"/>
    <cellStyle name="Comma 2 2 2 2 6 2 6" xfId="10685" xr:uid="{00000000-0005-0000-0000-0000ED290000}"/>
    <cellStyle name="Comma 2 2 2 2 6 2 7" xfId="10686" xr:uid="{00000000-0005-0000-0000-0000EE290000}"/>
    <cellStyle name="Comma 2 2 2 2 6 2 8" xfId="10687" xr:uid="{00000000-0005-0000-0000-0000EF290000}"/>
    <cellStyle name="Comma 2 2 2 2 6 2 9" xfId="10688" xr:uid="{00000000-0005-0000-0000-0000F0290000}"/>
    <cellStyle name="Comma 2 2 2 2 6 3" xfId="10693" xr:uid="{00000000-0005-0000-0000-0000F5290000}"/>
    <cellStyle name="Comma 2 2 2 2 6 3 2" xfId="10698" xr:uid="{00000000-0005-0000-0000-0000FA290000}"/>
    <cellStyle name="Comma 2 2 2 2 6 3 3" xfId="4959" xr:uid="{00000000-0005-0000-0000-00008F130000}"/>
    <cellStyle name="Comma 2 2 2 2 6 3 4" xfId="10703" xr:uid="{00000000-0005-0000-0000-0000FF290000}"/>
    <cellStyle name="Comma 2 2 2 2 6 3 5" xfId="10708" xr:uid="{00000000-0005-0000-0000-0000042A0000}"/>
    <cellStyle name="Comma 2 2 2 2 6 3 6" xfId="10713" xr:uid="{00000000-0005-0000-0000-0000092A0000}"/>
    <cellStyle name="Comma 2 2 2 2 6 4" xfId="10716" xr:uid="{00000000-0005-0000-0000-00000C2A0000}"/>
    <cellStyle name="Comma 2 2 2 2 6 4 2" xfId="10725" xr:uid="{00000000-0005-0000-0000-0000152A0000}"/>
    <cellStyle name="Comma 2 2 2 2 6 4 3" xfId="5266" xr:uid="{00000000-0005-0000-0000-0000C2140000}"/>
    <cellStyle name="Comma 2 2 2 2 6 4 4" xfId="10729" xr:uid="{00000000-0005-0000-0000-0000192A0000}"/>
    <cellStyle name="Comma 2 2 2 2 6 4 5" xfId="10731" xr:uid="{00000000-0005-0000-0000-00001B2A0000}"/>
    <cellStyle name="Comma 2 2 2 2 6 4 6" xfId="10733" xr:uid="{00000000-0005-0000-0000-00001D2A0000}"/>
    <cellStyle name="Comma 2 2 2 2 6 5" xfId="10739" xr:uid="{00000000-0005-0000-0000-0000232A0000}"/>
    <cellStyle name="Comma 2 2 2 2 6 5 2" xfId="10743" xr:uid="{00000000-0005-0000-0000-0000272A0000}"/>
    <cellStyle name="Comma 2 2 2 2 6 5 3" xfId="5284" xr:uid="{00000000-0005-0000-0000-0000D4140000}"/>
    <cellStyle name="Comma 2 2 2 2 6 5 4" xfId="10744" xr:uid="{00000000-0005-0000-0000-0000282A0000}"/>
    <cellStyle name="Comma 2 2 2 2 6 5 5" xfId="10747" xr:uid="{00000000-0005-0000-0000-00002B2A0000}"/>
    <cellStyle name="Comma 2 2 2 2 6 5 6" xfId="10750" xr:uid="{00000000-0005-0000-0000-00002E2A0000}"/>
    <cellStyle name="Comma 2 2 2 2 6 6" xfId="5030" xr:uid="{00000000-0005-0000-0000-0000D6130000}"/>
    <cellStyle name="Comma 2 2 2 2 6 6 2" xfId="9225" xr:uid="{00000000-0005-0000-0000-000039240000}"/>
    <cellStyle name="Comma 2 2 2 2 6 6 3" xfId="5296" xr:uid="{00000000-0005-0000-0000-0000E0140000}"/>
    <cellStyle name="Comma 2 2 2 2 6 6 4" xfId="9233" xr:uid="{00000000-0005-0000-0000-000041240000}"/>
    <cellStyle name="Comma 2 2 2 2 6 6 5" xfId="10755" xr:uid="{00000000-0005-0000-0000-0000332A0000}"/>
    <cellStyle name="Comma 2 2 2 2 6 6 6" xfId="10761" xr:uid="{00000000-0005-0000-0000-0000392A0000}"/>
    <cellStyle name="Comma 2 2 2 2 6 7" xfId="10765" xr:uid="{00000000-0005-0000-0000-00003D2A0000}"/>
    <cellStyle name="Comma 2 2 2 2 6 8" xfId="10400" xr:uid="{00000000-0005-0000-0000-0000D0280000}"/>
    <cellStyle name="Comma 2 2 2 2 6 9" xfId="10770" xr:uid="{00000000-0005-0000-0000-0000422A0000}"/>
    <cellStyle name="Comma 2 2 2 2 7" xfId="3831" xr:uid="{00000000-0005-0000-0000-0000270F0000}"/>
    <cellStyle name="Comma 2 2 2 2 7 10" xfId="10771" xr:uid="{00000000-0005-0000-0000-0000432A0000}"/>
    <cellStyle name="Comma 2 2 2 2 7 11" xfId="10773" xr:uid="{00000000-0005-0000-0000-0000452A0000}"/>
    <cellStyle name="Comma 2 2 2 2 7 12" xfId="10780" xr:uid="{00000000-0005-0000-0000-00004C2A0000}"/>
    <cellStyle name="Comma 2 2 2 2 7 13" xfId="10787" xr:uid="{00000000-0005-0000-0000-0000532A0000}"/>
    <cellStyle name="Comma 2 2 2 2 7 14" xfId="10794" xr:uid="{00000000-0005-0000-0000-00005A2A0000}"/>
    <cellStyle name="Comma 2 2 2 2 7 15" xfId="10799" xr:uid="{00000000-0005-0000-0000-00005F2A0000}"/>
    <cellStyle name="Comma 2 2 2 2 7 16" xfId="5658" xr:uid="{00000000-0005-0000-0000-00004A160000}"/>
    <cellStyle name="Comma 2 2 2 2 7 17" xfId="5668" xr:uid="{00000000-0005-0000-0000-000054160000}"/>
    <cellStyle name="Comma 2 2 2 2 7 18" xfId="8000" xr:uid="{00000000-0005-0000-0000-0000701F0000}"/>
    <cellStyle name="Comma 2 2 2 2 7 2" xfId="3870" xr:uid="{00000000-0005-0000-0000-00004E0F0000}"/>
    <cellStyle name="Comma 2 2 2 2 7 2 10" xfId="5048" xr:uid="{00000000-0005-0000-0000-0000E8130000}"/>
    <cellStyle name="Comma 2 2 2 2 7 2 2" xfId="10801" xr:uid="{00000000-0005-0000-0000-0000612A0000}"/>
    <cellStyle name="Comma 2 2 2 2 7 2 2 2" xfId="617" xr:uid="{00000000-0005-0000-0000-000093020000}"/>
    <cellStyle name="Comma 2 2 2 2 7 2 3" xfId="7004" xr:uid="{00000000-0005-0000-0000-00008C1B0000}"/>
    <cellStyle name="Comma 2 2 2 2 7 2 4" xfId="7018" xr:uid="{00000000-0005-0000-0000-00009A1B0000}"/>
    <cellStyle name="Comma 2 2 2 2 7 2 5" xfId="239" xr:uid="{00000000-0005-0000-0000-000000010000}"/>
    <cellStyle name="Comma 2 2 2 2 7 2 6" xfId="10803" xr:uid="{00000000-0005-0000-0000-0000632A0000}"/>
    <cellStyle name="Comma 2 2 2 2 7 2 7" xfId="10806" xr:uid="{00000000-0005-0000-0000-0000662A0000}"/>
    <cellStyle name="Comma 2 2 2 2 7 2 8" xfId="10809" xr:uid="{00000000-0005-0000-0000-0000692A0000}"/>
    <cellStyle name="Comma 2 2 2 2 7 2 9" xfId="10814" xr:uid="{00000000-0005-0000-0000-00006E2A0000}"/>
    <cellStyle name="Comma 2 2 2 2 7 3" xfId="10430" xr:uid="{00000000-0005-0000-0000-0000EE280000}"/>
    <cellStyle name="Comma 2 2 2 2 7 3 2" xfId="10818" xr:uid="{00000000-0005-0000-0000-0000722A0000}"/>
    <cellStyle name="Comma 2 2 2 2 7 3 3" xfId="10819" xr:uid="{00000000-0005-0000-0000-0000732A0000}"/>
    <cellStyle name="Comma 2 2 2 2 7 3 4" xfId="10822" xr:uid="{00000000-0005-0000-0000-0000762A0000}"/>
    <cellStyle name="Comma 2 2 2 2 7 3 5" xfId="10824" xr:uid="{00000000-0005-0000-0000-0000782A0000}"/>
    <cellStyle name="Comma 2 2 2 2 7 3 6" xfId="10827" xr:uid="{00000000-0005-0000-0000-00007B2A0000}"/>
    <cellStyle name="Comma 2 2 2 2 7 4" xfId="10434" xr:uid="{00000000-0005-0000-0000-0000F2280000}"/>
    <cellStyle name="Comma 2 2 2 2 7 4 2" xfId="10830" xr:uid="{00000000-0005-0000-0000-00007E2A0000}"/>
    <cellStyle name="Comma 2 2 2 2 7 4 3" xfId="10832" xr:uid="{00000000-0005-0000-0000-0000802A0000}"/>
    <cellStyle name="Comma 2 2 2 2 7 4 4" xfId="10835" xr:uid="{00000000-0005-0000-0000-0000832A0000}"/>
    <cellStyle name="Comma 2 2 2 2 7 4 5" xfId="10837" xr:uid="{00000000-0005-0000-0000-0000852A0000}"/>
    <cellStyle name="Comma 2 2 2 2 7 4 6" xfId="10844" xr:uid="{00000000-0005-0000-0000-00008C2A0000}"/>
    <cellStyle name="Comma 2 2 2 2 7 5" xfId="357" xr:uid="{00000000-0005-0000-0000-00007D010000}"/>
    <cellStyle name="Comma 2 2 2 2 7 5 2" xfId="554" xr:uid="{00000000-0005-0000-0000-00004E020000}"/>
    <cellStyle name="Comma 2 2 2 2 7 5 3" xfId="20" xr:uid="{00000000-0005-0000-0000-000015000000}"/>
    <cellStyle name="Comma 2 2 2 2 7 5 4" xfId="589" xr:uid="{00000000-0005-0000-0000-000075020000}"/>
    <cellStyle name="Comma 2 2 2 2 7 5 5" xfId="508" xr:uid="{00000000-0005-0000-0000-00001D020000}"/>
    <cellStyle name="Comma 2 2 2 2 7 5 6" xfId="408" xr:uid="{00000000-0005-0000-0000-0000B3010000}"/>
    <cellStyle name="Comma 2 2 2 2 7 6" xfId="10847" xr:uid="{00000000-0005-0000-0000-00008F2A0000}"/>
    <cellStyle name="Comma 2 2 2 2 7 6 2" xfId="9470" xr:uid="{00000000-0005-0000-0000-00002E250000}"/>
    <cellStyle name="Comma 2 2 2 2 7 6 3" xfId="9479" xr:uid="{00000000-0005-0000-0000-000037250000}"/>
    <cellStyle name="Comma 2 2 2 2 7 6 4" xfId="9487" xr:uid="{00000000-0005-0000-0000-00003F250000}"/>
    <cellStyle name="Comma 2 2 2 2 7 6 5" xfId="10853" xr:uid="{00000000-0005-0000-0000-0000952A0000}"/>
    <cellStyle name="Comma 2 2 2 2 7 6 6" xfId="10860" xr:uid="{00000000-0005-0000-0000-00009C2A0000}"/>
    <cellStyle name="Comma 2 2 2 2 7 7" xfId="10863" xr:uid="{00000000-0005-0000-0000-00009F2A0000}"/>
    <cellStyle name="Comma 2 2 2 2 7 8" xfId="10864" xr:uid="{00000000-0005-0000-0000-0000A02A0000}"/>
    <cellStyle name="Comma 2 2 2 2 7 9" xfId="10865" xr:uid="{00000000-0005-0000-0000-0000A12A0000}"/>
    <cellStyle name="Comma 2 2 2 2 8" xfId="3874" xr:uid="{00000000-0005-0000-0000-0000520F0000}"/>
    <cellStyle name="Comma 2 2 2 2 8 10" xfId="10389" xr:uid="{00000000-0005-0000-0000-0000C5280000}"/>
    <cellStyle name="Comma 2 2 2 2 8 11" xfId="4212" xr:uid="{00000000-0005-0000-0000-0000A4100000}"/>
    <cellStyle name="Comma 2 2 2 2 8 12" xfId="5116" xr:uid="{00000000-0005-0000-0000-00002C140000}"/>
    <cellStyle name="Comma 2 2 2 2 8 13" xfId="360" xr:uid="{00000000-0005-0000-0000-000080010000}"/>
    <cellStyle name="Comma 2 2 2 2 8 14" xfId="5138" xr:uid="{00000000-0005-0000-0000-000042140000}"/>
    <cellStyle name="Comma 2 2 2 2 8 15" xfId="5148" xr:uid="{00000000-0005-0000-0000-00004C140000}"/>
    <cellStyle name="Comma 2 2 2 2 8 2" xfId="3880" xr:uid="{00000000-0005-0000-0000-0000580F0000}"/>
    <cellStyle name="Comma 2 2 2 2 8 2 2" xfId="10866" xr:uid="{00000000-0005-0000-0000-0000A22A0000}"/>
    <cellStyle name="Comma 2 2 2 2 8 2 2 2" xfId="3932" xr:uid="{00000000-0005-0000-0000-00008C0F0000}"/>
    <cellStyle name="Comma 2 2 2 2 8 2 3" xfId="10867" xr:uid="{00000000-0005-0000-0000-0000A32A0000}"/>
    <cellStyle name="Comma 2 2 2 2 8 2 4" xfId="3958" xr:uid="{00000000-0005-0000-0000-0000A60F0000}"/>
    <cellStyle name="Comma 2 2 2 2 8 2 5" xfId="9796" xr:uid="{00000000-0005-0000-0000-000074260000}"/>
    <cellStyle name="Comma 2 2 2 2 8 2 6" xfId="10870" xr:uid="{00000000-0005-0000-0000-0000A62A0000}"/>
    <cellStyle name="Comma 2 2 2 2 8 2 7" xfId="10875" xr:uid="{00000000-0005-0000-0000-0000AB2A0000}"/>
    <cellStyle name="Comma 2 2 2 2 8 2 8" xfId="10881" xr:uid="{00000000-0005-0000-0000-0000B12A0000}"/>
    <cellStyle name="Comma 2 2 2 2 8 2 9" xfId="10885" xr:uid="{00000000-0005-0000-0000-0000B52A0000}"/>
    <cellStyle name="Comma 2 2 2 2 8 3" xfId="10894" xr:uid="{00000000-0005-0000-0000-0000BE2A0000}"/>
    <cellStyle name="Comma 2 2 2 2 8 3 2" xfId="10899" xr:uid="{00000000-0005-0000-0000-0000C32A0000}"/>
    <cellStyle name="Comma 2 2 2 2 8 3 3" xfId="10905" xr:uid="{00000000-0005-0000-0000-0000C92A0000}"/>
    <cellStyle name="Comma 2 2 2 2 8 3 4" xfId="4043" xr:uid="{00000000-0005-0000-0000-0000FB0F0000}"/>
    <cellStyle name="Comma 2 2 2 2 8 3 5" xfId="10910" xr:uid="{00000000-0005-0000-0000-0000CE2A0000}"/>
    <cellStyle name="Comma 2 2 2 2 8 3 6" xfId="10918" xr:uid="{00000000-0005-0000-0000-0000D62A0000}"/>
    <cellStyle name="Comma 2 2 2 2 8 4" xfId="10927" xr:uid="{00000000-0005-0000-0000-0000DF2A0000}"/>
    <cellStyle name="Comma 2 2 2 2 8 4 2" xfId="6804" xr:uid="{00000000-0005-0000-0000-0000C41A0000}"/>
    <cellStyle name="Comma 2 2 2 2 8 5" xfId="10928" xr:uid="{00000000-0005-0000-0000-0000E02A0000}"/>
    <cellStyle name="Comma 2 2 2 2 8 6" xfId="10930" xr:uid="{00000000-0005-0000-0000-0000E22A0000}"/>
    <cellStyle name="Comma 2 2 2 2 8 7" xfId="10931" xr:uid="{00000000-0005-0000-0000-0000E32A0000}"/>
    <cellStyle name="Comma 2 2 2 2 8 8" xfId="10932" xr:uid="{00000000-0005-0000-0000-0000E42A0000}"/>
    <cellStyle name="Comma 2 2 2 2 8 9" xfId="10936" xr:uid="{00000000-0005-0000-0000-0000E82A0000}"/>
    <cellStyle name="Comma 2 2 2 2 9" xfId="3882" xr:uid="{00000000-0005-0000-0000-00005A0F0000}"/>
    <cellStyle name="Comma 2 2 2 2 9 10" xfId="10630" xr:uid="{00000000-0005-0000-0000-0000B6290000}"/>
    <cellStyle name="Comma 2 2 2 2 9 11" xfId="5252" xr:uid="{00000000-0005-0000-0000-0000B4140000}"/>
    <cellStyle name="Comma 2 2 2 2 9 12" xfId="10082" xr:uid="{00000000-0005-0000-0000-000092270000}"/>
    <cellStyle name="Comma 2 2 2 2 9 13" xfId="10938" xr:uid="{00000000-0005-0000-0000-0000EA2A0000}"/>
    <cellStyle name="Comma 2 2 2 2 9 14" xfId="10939" xr:uid="{00000000-0005-0000-0000-0000EB2A0000}"/>
    <cellStyle name="Comma 2 2 2 2 9 2" xfId="3888" xr:uid="{00000000-0005-0000-0000-0000600F0000}"/>
    <cellStyle name="Comma 2 2 2 2 9 2 2" xfId="10946" xr:uid="{00000000-0005-0000-0000-0000F22A0000}"/>
    <cellStyle name="Comma 2 2 2 2 9 2 2 2" xfId="10948" xr:uid="{00000000-0005-0000-0000-0000F42A0000}"/>
    <cellStyle name="Comma 2 2 2 2 9 2 3" xfId="2579" xr:uid="{00000000-0005-0000-0000-0000430A0000}"/>
    <cellStyle name="Comma 2 2 2 2 9 2 4" xfId="2590" xr:uid="{00000000-0005-0000-0000-00004E0A0000}"/>
    <cellStyle name="Comma 2 2 2 2 9 2 5" xfId="10953" xr:uid="{00000000-0005-0000-0000-0000F92A0000}"/>
    <cellStyle name="Comma 2 2 2 2 9 2 6" xfId="7300" xr:uid="{00000000-0005-0000-0000-0000B41C0000}"/>
    <cellStyle name="Comma 2 2 2 2 9 2 7" xfId="7307" xr:uid="{00000000-0005-0000-0000-0000BB1C0000}"/>
    <cellStyle name="Comma 2 2 2 2 9 2 8" xfId="10957" xr:uid="{00000000-0005-0000-0000-0000FD2A0000}"/>
    <cellStyle name="Comma 2 2 2 2 9 2 9" xfId="8397" xr:uid="{00000000-0005-0000-0000-0000FD200000}"/>
    <cellStyle name="Comma 2 2 2 2 9 3" xfId="10961" xr:uid="{00000000-0005-0000-0000-0000012B0000}"/>
    <cellStyle name="Comma 2 2 2 2 9 3 2" xfId="10968" xr:uid="{00000000-0005-0000-0000-0000082B0000}"/>
    <cellStyle name="Comma 2 2 2 2 9 3 3" xfId="2618" xr:uid="{00000000-0005-0000-0000-00006A0A0000}"/>
    <cellStyle name="Comma 2 2 2 2 9 3 4" xfId="10972" xr:uid="{00000000-0005-0000-0000-00000C2B0000}"/>
    <cellStyle name="Comma 2 2 2 2 9 3 5" xfId="10974" xr:uid="{00000000-0005-0000-0000-00000E2B0000}"/>
    <cellStyle name="Comma 2 2 2 2 9 3 6" xfId="10975" xr:uid="{00000000-0005-0000-0000-00000F2B0000}"/>
    <cellStyle name="Comma 2 2 2 2 9 4" xfId="10977" xr:uid="{00000000-0005-0000-0000-0000112B0000}"/>
    <cellStyle name="Comma 2 2 2 2 9 4 2" xfId="7713" xr:uid="{00000000-0005-0000-0000-0000511E0000}"/>
    <cellStyle name="Comma 2 2 2 2 9 5" xfId="10979" xr:uid="{00000000-0005-0000-0000-0000132B0000}"/>
    <cellStyle name="Comma 2 2 2 2 9 6" xfId="10981" xr:uid="{00000000-0005-0000-0000-0000152B0000}"/>
    <cellStyle name="Comma 2 2 2 2 9 7" xfId="10049" xr:uid="{00000000-0005-0000-0000-000071270000}"/>
    <cellStyle name="Comma 2 2 2 2 9 8" xfId="2740" xr:uid="{00000000-0005-0000-0000-0000E40A0000}"/>
    <cellStyle name="Comma 2 2 2 2 9 9" xfId="8677" xr:uid="{00000000-0005-0000-0000-000015220000}"/>
    <cellStyle name="Comma 2 2 2 20" xfId="4389" xr:uid="{00000000-0005-0000-0000-000055110000}"/>
    <cellStyle name="Comma 2 2 2 21" xfId="5576" xr:uid="{00000000-0005-0000-0000-0000F8150000}"/>
    <cellStyle name="Comma 2 2 2 22" xfId="4580" xr:uid="{00000000-0005-0000-0000-000014120000}"/>
    <cellStyle name="Comma 2 2 2 23" xfId="5594" xr:uid="{00000000-0005-0000-0000-00000A160000}"/>
    <cellStyle name="Comma 2 2 2 24" xfId="5600" xr:uid="{00000000-0005-0000-0000-000010160000}"/>
    <cellStyle name="Comma 2 2 2 25" xfId="10983" xr:uid="{00000000-0005-0000-0000-0000172B0000}"/>
    <cellStyle name="Comma 2 2 2 26" xfId="10368" xr:uid="{00000000-0005-0000-0000-0000B0280000}"/>
    <cellStyle name="Comma 2 2 2 27" xfId="10376" xr:uid="{00000000-0005-0000-0000-0000B8280000}"/>
    <cellStyle name="Comma 2 2 2 3" xfId="10987" xr:uid="{00000000-0005-0000-0000-00001B2B0000}"/>
    <cellStyle name="Comma 2 2 2 3 10" xfId="10989" xr:uid="{00000000-0005-0000-0000-00001D2B0000}"/>
    <cellStyle name="Comma 2 2 2 3 10 2" xfId="10992" xr:uid="{00000000-0005-0000-0000-0000202B0000}"/>
    <cellStyle name="Comma 2 2 2 3 10 3" xfId="10996" xr:uid="{00000000-0005-0000-0000-0000242B0000}"/>
    <cellStyle name="Comma 2 2 2 3 10 4" xfId="2355" xr:uid="{00000000-0005-0000-0000-000063090000}"/>
    <cellStyle name="Comma 2 2 2 3 10 5" xfId="2369" xr:uid="{00000000-0005-0000-0000-000071090000}"/>
    <cellStyle name="Comma 2 2 2 3 10 6" xfId="7504" xr:uid="{00000000-0005-0000-0000-0000801D0000}"/>
    <cellStyle name="Comma 2 2 2 3 11" xfId="10998" xr:uid="{00000000-0005-0000-0000-0000262B0000}"/>
    <cellStyle name="Comma 2 2 2 3 11 2" xfId="11003" xr:uid="{00000000-0005-0000-0000-00002B2B0000}"/>
    <cellStyle name="Comma 2 2 2 3 11 3" xfId="11010" xr:uid="{00000000-0005-0000-0000-0000322B0000}"/>
    <cellStyle name="Comma 2 2 2 3 11 4" xfId="2484" xr:uid="{00000000-0005-0000-0000-0000E4090000}"/>
    <cellStyle name="Comma 2 2 2 3 11 5" xfId="2496" xr:uid="{00000000-0005-0000-0000-0000F0090000}"/>
    <cellStyle name="Comma 2 2 2 3 11 6" xfId="802" xr:uid="{00000000-0005-0000-0000-000052030000}"/>
    <cellStyle name="Comma 2 2 2 3 12" xfId="11012" xr:uid="{00000000-0005-0000-0000-0000342B0000}"/>
    <cellStyle name="Comma 2 2 2 3 13" xfId="514" xr:uid="{00000000-0005-0000-0000-000023020000}"/>
    <cellStyle name="Comma 2 2 2 3 14" xfId="434" xr:uid="{00000000-0005-0000-0000-0000CD010000}"/>
    <cellStyle name="Comma 2 2 2 3 15" xfId="565" xr:uid="{00000000-0005-0000-0000-00005B020000}"/>
    <cellStyle name="Comma 2 2 2 3 16" xfId="576" xr:uid="{00000000-0005-0000-0000-000067020000}"/>
    <cellStyle name="Comma 2 2 2 3 17" xfId="624" xr:uid="{00000000-0005-0000-0000-00009A020000}"/>
    <cellStyle name="Comma 2 2 2 3 18" xfId="649" xr:uid="{00000000-0005-0000-0000-0000B6020000}"/>
    <cellStyle name="Comma 2 2 2 3 19" xfId="11021" xr:uid="{00000000-0005-0000-0000-00003D2B0000}"/>
    <cellStyle name="Comma 2 2 2 3 2" xfId="11024" xr:uid="{00000000-0005-0000-0000-0000402B0000}"/>
    <cellStyle name="Comma 2 2 2 3 2 10" xfId="9023" xr:uid="{00000000-0005-0000-0000-00006F230000}"/>
    <cellStyle name="Comma 2 2 2 3 2 11" xfId="11028" xr:uid="{00000000-0005-0000-0000-0000442B0000}"/>
    <cellStyle name="Comma 2 2 2 3 2 12" xfId="11031" xr:uid="{00000000-0005-0000-0000-0000472B0000}"/>
    <cellStyle name="Comma 2 2 2 3 2 13" xfId="11034" xr:uid="{00000000-0005-0000-0000-00004A2B0000}"/>
    <cellStyle name="Comma 2 2 2 3 2 14" xfId="7173" xr:uid="{00000000-0005-0000-0000-0000351C0000}"/>
    <cellStyle name="Comma 2 2 2 3 2 15" xfId="7112" xr:uid="{00000000-0005-0000-0000-0000F81B0000}"/>
    <cellStyle name="Comma 2 2 2 3 2 16" xfId="11042" xr:uid="{00000000-0005-0000-0000-0000522B0000}"/>
    <cellStyle name="Comma 2 2 2 3 2 17" xfId="11048" xr:uid="{00000000-0005-0000-0000-0000582B0000}"/>
    <cellStyle name="Comma 2 2 2 3 2 18" xfId="11055" xr:uid="{00000000-0005-0000-0000-00005F2B0000}"/>
    <cellStyle name="Comma 2 2 2 3 2 2" xfId="7706" xr:uid="{00000000-0005-0000-0000-00004A1E0000}"/>
    <cellStyle name="Comma 2 2 2 3 2 2 10" xfId="5263" xr:uid="{00000000-0005-0000-0000-0000BF140000}"/>
    <cellStyle name="Comma 2 2 2 3 2 2 11" xfId="4139" xr:uid="{00000000-0005-0000-0000-00005B100000}"/>
    <cellStyle name="Comma 2 2 2 3 2 2 12" xfId="5277" xr:uid="{00000000-0005-0000-0000-0000CD140000}"/>
    <cellStyle name="Comma 2 2 2 3 2 2 2" xfId="11057" xr:uid="{00000000-0005-0000-0000-0000612B0000}"/>
    <cellStyle name="Comma 2 2 2 3 2 2 2 2" xfId="11059" xr:uid="{00000000-0005-0000-0000-0000632B0000}"/>
    <cellStyle name="Comma 2 2 2 3 2 2 2 2 2" xfId="11062" xr:uid="{00000000-0005-0000-0000-0000662B0000}"/>
    <cellStyle name="Comma 2 2 2 3 2 2 2 3" xfId="11063" xr:uid="{00000000-0005-0000-0000-0000672B0000}"/>
    <cellStyle name="Comma 2 2 2 3 2 2 2 4" xfId="11065" xr:uid="{00000000-0005-0000-0000-0000692B0000}"/>
    <cellStyle name="Comma 2 2 2 3 2 2 2 5" xfId="11070" xr:uid="{00000000-0005-0000-0000-00006E2B0000}"/>
    <cellStyle name="Comma 2 2 2 3 2 2 3" xfId="11074" xr:uid="{00000000-0005-0000-0000-0000722B0000}"/>
    <cellStyle name="Comma 2 2 2 3 2 2 3 2" xfId="11076" xr:uid="{00000000-0005-0000-0000-0000742B0000}"/>
    <cellStyle name="Comma 2 2 2 3 2 2 4" xfId="11079" xr:uid="{00000000-0005-0000-0000-0000772B0000}"/>
    <cellStyle name="Comma 2 2 2 3 2 2 5" xfId="11081" xr:uid="{00000000-0005-0000-0000-0000792B0000}"/>
    <cellStyle name="Comma 2 2 2 3 2 2 6" xfId="11085" xr:uid="{00000000-0005-0000-0000-00007D2B0000}"/>
    <cellStyle name="Comma 2 2 2 3 2 2 7" xfId="11086" xr:uid="{00000000-0005-0000-0000-00007E2B0000}"/>
    <cellStyle name="Comma 2 2 2 3 2 2 8" xfId="9295" xr:uid="{00000000-0005-0000-0000-00007F240000}"/>
    <cellStyle name="Comma 2 2 2 3 2 2 9" xfId="11089" xr:uid="{00000000-0005-0000-0000-0000812B0000}"/>
    <cellStyle name="Comma 2 2 2 3 2 3" xfId="3238" xr:uid="{00000000-0005-0000-0000-0000D60C0000}"/>
    <cellStyle name="Comma 2 2 2 3 2 3 10" xfId="3004" xr:uid="{00000000-0005-0000-0000-0000EC0B0000}"/>
    <cellStyle name="Comma 2 2 2 3 2 3 11" xfId="3019" xr:uid="{00000000-0005-0000-0000-0000FB0B0000}"/>
    <cellStyle name="Comma 2 2 2 3 2 3 12" xfId="67" xr:uid="{00000000-0005-0000-0000-000047000000}"/>
    <cellStyle name="Comma 2 2 2 3 2 3 2" xfId="7220" xr:uid="{00000000-0005-0000-0000-0000641C0000}"/>
    <cellStyle name="Comma 2 2 2 3 2 3 2 2" xfId="11091" xr:uid="{00000000-0005-0000-0000-0000832B0000}"/>
    <cellStyle name="Comma 2 2 2 3 2 3 2 2 2" xfId="8404" xr:uid="{00000000-0005-0000-0000-000004210000}"/>
    <cellStyle name="Comma 2 2 2 3 2 3 2 3" xfId="11093" xr:uid="{00000000-0005-0000-0000-0000852B0000}"/>
    <cellStyle name="Comma 2 2 2 3 2 3 2 4" xfId="11096" xr:uid="{00000000-0005-0000-0000-0000882B0000}"/>
    <cellStyle name="Comma 2 2 2 3 2 3 2 5" xfId="11099" xr:uid="{00000000-0005-0000-0000-00008B2B0000}"/>
    <cellStyle name="Comma 2 2 2 3 2 3 3" xfId="6539" xr:uid="{00000000-0005-0000-0000-0000BB190000}"/>
    <cellStyle name="Comma 2 2 2 3 2 3 3 2" xfId="1535" xr:uid="{00000000-0005-0000-0000-00002F060000}"/>
    <cellStyle name="Comma 2 2 2 3 2 3 4" xfId="6549" xr:uid="{00000000-0005-0000-0000-0000C5190000}"/>
    <cellStyle name="Comma 2 2 2 3 2 3 5" xfId="6562" xr:uid="{00000000-0005-0000-0000-0000D2190000}"/>
    <cellStyle name="Comma 2 2 2 3 2 3 6" xfId="6435" xr:uid="{00000000-0005-0000-0000-000053190000}"/>
    <cellStyle name="Comma 2 2 2 3 2 3 7" xfId="6454" xr:uid="{00000000-0005-0000-0000-000066190000}"/>
    <cellStyle name="Comma 2 2 2 3 2 3 8" xfId="11105" xr:uid="{00000000-0005-0000-0000-0000912B0000}"/>
    <cellStyle name="Comma 2 2 2 3 2 3 9" xfId="4375" xr:uid="{00000000-0005-0000-0000-000047110000}"/>
    <cellStyle name="Comma 2 2 2 3 2 4" xfId="7710" xr:uid="{00000000-0005-0000-0000-00004E1E0000}"/>
    <cellStyle name="Comma 2 2 2 3 2 4 10" xfId="11106" xr:uid="{00000000-0005-0000-0000-0000922B0000}"/>
    <cellStyle name="Comma 2 2 2 3 2 4 2" xfId="11109" xr:uid="{00000000-0005-0000-0000-0000952B0000}"/>
    <cellStyle name="Comma 2 2 2 3 2 4 2 2" xfId="11116" xr:uid="{00000000-0005-0000-0000-00009C2B0000}"/>
    <cellStyle name="Comma 2 2 2 3 2 4 2 2 2" xfId="11122" xr:uid="{00000000-0005-0000-0000-0000A22B0000}"/>
    <cellStyle name="Comma 2 2 2 3 2 4 2 3" xfId="11123" xr:uid="{00000000-0005-0000-0000-0000A32B0000}"/>
    <cellStyle name="Comma 2 2 2 3 2 4 2 4" xfId="11126" xr:uid="{00000000-0005-0000-0000-0000A62B0000}"/>
    <cellStyle name="Comma 2 2 2 3 2 4 2 5" xfId="11131" xr:uid="{00000000-0005-0000-0000-0000AB2B0000}"/>
    <cellStyle name="Comma 2 2 2 3 2 4 3" xfId="11137" xr:uid="{00000000-0005-0000-0000-0000B12B0000}"/>
    <cellStyle name="Comma 2 2 2 3 2 4 3 2" xfId="11138" xr:uid="{00000000-0005-0000-0000-0000B22B0000}"/>
    <cellStyle name="Comma 2 2 2 3 2 4 4" xfId="11140" xr:uid="{00000000-0005-0000-0000-0000B42B0000}"/>
    <cellStyle name="Comma 2 2 2 3 2 4 5" xfId="11143" xr:uid="{00000000-0005-0000-0000-0000B72B0000}"/>
    <cellStyle name="Comma 2 2 2 3 2 4 6" xfId="6463" xr:uid="{00000000-0005-0000-0000-00006F190000}"/>
    <cellStyle name="Comma 2 2 2 3 2 4 7" xfId="6476" xr:uid="{00000000-0005-0000-0000-00007C190000}"/>
    <cellStyle name="Comma 2 2 2 3 2 4 8" xfId="11145" xr:uid="{00000000-0005-0000-0000-0000B92B0000}"/>
    <cellStyle name="Comma 2 2 2 3 2 4 9" xfId="3625" xr:uid="{00000000-0005-0000-0000-0000590E0000}"/>
    <cellStyle name="Comma 2 2 2 3 2 5" xfId="2629" xr:uid="{00000000-0005-0000-0000-0000750A0000}"/>
    <cellStyle name="Comma 2 2 2 3 2 5 10" xfId="11149" xr:uid="{00000000-0005-0000-0000-0000BD2B0000}"/>
    <cellStyle name="Comma 2 2 2 3 2 5 2" xfId="11154" xr:uid="{00000000-0005-0000-0000-0000C22B0000}"/>
    <cellStyle name="Comma 2 2 2 3 2 5 2 2" xfId="4241" xr:uid="{00000000-0005-0000-0000-0000C1100000}"/>
    <cellStyle name="Comma 2 2 2 3 2 5 2 2 2" xfId="4263" xr:uid="{00000000-0005-0000-0000-0000D7100000}"/>
    <cellStyle name="Comma 2 2 2 3 2 5 2 3" xfId="1091" xr:uid="{00000000-0005-0000-0000-000073040000}"/>
    <cellStyle name="Comma 2 2 2 3 2 5 2 4" xfId="4333" xr:uid="{00000000-0005-0000-0000-00001D110000}"/>
    <cellStyle name="Comma 2 2 2 3 2 5 2 5" xfId="3440" xr:uid="{00000000-0005-0000-0000-0000A00D0000}"/>
    <cellStyle name="Comma 2 2 2 3 2 5 3" xfId="11161" xr:uid="{00000000-0005-0000-0000-0000C92B0000}"/>
    <cellStyle name="Comma 2 2 2 3 2 5 3 2" xfId="11162" xr:uid="{00000000-0005-0000-0000-0000CA2B0000}"/>
    <cellStyle name="Comma 2 2 2 3 2 5 4" xfId="11164" xr:uid="{00000000-0005-0000-0000-0000CC2B0000}"/>
    <cellStyle name="Comma 2 2 2 3 2 5 5" xfId="11165" xr:uid="{00000000-0005-0000-0000-0000CD2B0000}"/>
    <cellStyle name="Comma 2 2 2 3 2 5 6" xfId="6486" xr:uid="{00000000-0005-0000-0000-000086190000}"/>
    <cellStyle name="Comma 2 2 2 3 2 5 7" xfId="6521" xr:uid="{00000000-0005-0000-0000-0000A9190000}"/>
    <cellStyle name="Comma 2 2 2 3 2 5 8" xfId="11167" xr:uid="{00000000-0005-0000-0000-0000CF2B0000}"/>
    <cellStyle name="Comma 2 2 2 3 2 5 9" xfId="2337" xr:uid="{00000000-0005-0000-0000-000051090000}"/>
    <cellStyle name="Comma 2 2 2 3 2 6" xfId="11170" xr:uid="{00000000-0005-0000-0000-0000D22B0000}"/>
    <cellStyle name="Comma 2 2 2 3 2 6 2" xfId="11171" xr:uid="{00000000-0005-0000-0000-0000D32B0000}"/>
    <cellStyle name="Comma 2 2 2 3 2 6 2 2" xfId="11178" xr:uid="{00000000-0005-0000-0000-0000DA2B0000}"/>
    <cellStyle name="Comma 2 2 2 3 2 6 3" xfId="11184" xr:uid="{00000000-0005-0000-0000-0000E02B0000}"/>
    <cellStyle name="Comma 2 2 2 3 2 6 4" xfId="10165" xr:uid="{00000000-0005-0000-0000-0000E5270000}"/>
    <cellStyle name="Comma 2 2 2 3 2 6 5" xfId="11185" xr:uid="{00000000-0005-0000-0000-0000E12B0000}"/>
    <cellStyle name="Comma 2 2 2 3 2 6 6" xfId="6531" xr:uid="{00000000-0005-0000-0000-0000B3190000}"/>
    <cellStyle name="Comma 2 2 2 3 2 6 7" xfId="6569" xr:uid="{00000000-0005-0000-0000-0000D9190000}"/>
    <cellStyle name="Comma 2 2 2 3 2 6 8" xfId="11186" xr:uid="{00000000-0005-0000-0000-0000E22B0000}"/>
    <cellStyle name="Comma 2 2 2 3 2 6 9" xfId="2470" xr:uid="{00000000-0005-0000-0000-0000D6090000}"/>
    <cellStyle name="Comma 2 2 2 3 2 7" xfId="11188" xr:uid="{00000000-0005-0000-0000-0000E42B0000}"/>
    <cellStyle name="Comma 2 2 2 3 2 7 2" xfId="11189" xr:uid="{00000000-0005-0000-0000-0000E52B0000}"/>
    <cellStyle name="Comma 2 2 2 3 2 8" xfId="5757" xr:uid="{00000000-0005-0000-0000-0000AD160000}"/>
    <cellStyle name="Comma 2 2 2 3 2 9" xfId="5766" xr:uid="{00000000-0005-0000-0000-0000B6160000}"/>
    <cellStyle name="Comma 2 2 2 3 20" xfId="564" xr:uid="{00000000-0005-0000-0000-00005A020000}"/>
    <cellStyle name="Comma 2 2 2 3 21" xfId="575" xr:uid="{00000000-0005-0000-0000-000066020000}"/>
    <cellStyle name="Comma 2 2 2 3 22" xfId="623" xr:uid="{00000000-0005-0000-0000-000099020000}"/>
    <cellStyle name="Comma 2 2 2 3 23" xfId="648" xr:uid="{00000000-0005-0000-0000-0000B5020000}"/>
    <cellStyle name="Comma 2 2 2 3 3" xfId="11199" xr:uid="{00000000-0005-0000-0000-0000EF2B0000}"/>
    <cellStyle name="Comma 2 2 2 3 3 10" xfId="10944" xr:uid="{00000000-0005-0000-0000-0000F02A0000}"/>
    <cellStyle name="Comma 2 2 2 3 3 11" xfId="2576" xr:uid="{00000000-0005-0000-0000-0000400A0000}"/>
    <cellStyle name="Comma 2 2 2 3 3 12" xfId="2587" xr:uid="{00000000-0005-0000-0000-00004B0A0000}"/>
    <cellStyle name="Comma 2 2 2 3 3 13" xfId="10950" xr:uid="{00000000-0005-0000-0000-0000F62A0000}"/>
    <cellStyle name="Comma 2 2 2 3 3 14" xfId="7294" xr:uid="{00000000-0005-0000-0000-0000AE1C0000}"/>
    <cellStyle name="Comma 2 2 2 3 3 15" xfId="7301" xr:uid="{00000000-0005-0000-0000-0000B51C0000}"/>
    <cellStyle name="Comma 2 2 2 3 3 16" xfId="10954" xr:uid="{00000000-0005-0000-0000-0000FA2A0000}"/>
    <cellStyle name="Comma 2 2 2 3 3 17" xfId="8392" xr:uid="{00000000-0005-0000-0000-0000F8200000}"/>
    <cellStyle name="Comma 2 2 2 3 3 18" xfId="11201" xr:uid="{00000000-0005-0000-0000-0000F12B0000}"/>
    <cellStyle name="Comma 2 2 2 3 3 2" xfId="7721" xr:uid="{00000000-0005-0000-0000-0000591E0000}"/>
    <cellStyle name="Comma 2 2 2 3 3 2 10" xfId="11212" xr:uid="{00000000-0005-0000-0000-0000FC2B0000}"/>
    <cellStyle name="Comma 2 2 2 3 3 2 2" xfId="11213" xr:uid="{00000000-0005-0000-0000-0000FD2B0000}"/>
    <cellStyle name="Comma 2 2 2 3 3 2 2 2" xfId="8587" xr:uid="{00000000-0005-0000-0000-0000BB210000}"/>
    <cellStyle name="Comma 2 2 2 3 3 2 3" xfId="11214" xr:uid="{00000000-0005-0000-0000-0000FE2B0000}"/>
    <cellStyle name="Comma 2 2 2 3 3 2 4" xfId="11215" xr:uid="{00000000-0005-0000-0000-0000FF2B0000}"/>
    <cellStyle name="Comma 2 2 2 3 3 2 5" xfId="11216" xr:uid="{00000000-0005-0000-0000-0000002C0000}"/>
    <cellStyle name="Comma 2 2 2 3 3 2 6" xfId="11217" xr:uid="{00000000-0005-0000-0000-0000012C0000}"/>
    <cellStyle name="Comma 2 2 2 3 3 2 7" xfId="11218" xr:uid="{00000000-0005-0000-0000-0000022C0000}"/>
    <cellStyle name="Comma 2 2 2 3 3 2 8" xfId="8201" xr:uid="{00000000-0005-0000-0000-000039200000}"/>
    <cellStyle name="Comma 2 2 2 3 3 2 9" xfId="11220" xr:uid="{00000000-0005-0000-0000-0000042C0000}"/>
    <cellStyle name="Comma 2 2 2 3 3 3" xfId="11222" xr:uid="{00000000-0005-0000-0000-0000062C0000}"/>
    <cellStyle name="Comma 2 2 2 3 3 3 2" xfId="11227" xr:uid="{00000000-0005-0000-0000-00000B2C0000}"/>
    <cellStyle name="Comma 2 2 2 3 3 3 3" xfId="6584" xr:uid="{00000000-0005-0000-0000-0000E8190000}"/>
    <cellStyle name="Comma 2 2 2 3 3 3 4" xfId="6587" xr:uid="{00000000-0005-0000-0000-0000EB190000}"/>
    <cellStyle name="Comma 2 2 2 3 3 3 5" xfId="6591" xr:uid="{00000000-0005-0000-0000-0000EF190000}"/>
    <cellStyle name="Comma 2 2 2 3 3 3 6" xfId="6594" xr:uid="{00000000-0005-0000-0000-0000F2190000}"/>
    <cellStyle name="Comma 2 2 2 3 3 4" xfId="11230" xr:uid="{00000000-0005-0000-0000-00000E2C0000}"/>
    <cellStyle name="Comma 2 2 2 3 3 4 2" xfId="11231" xr:uid="{00000000-0005-0000-0000-00000F2C0000}"/>
    <cellStyle name="Comma 2 2 2 3 3 4 3" xfId="11233" xr:uid="{00000000-0005-0000-0000-0000112C0000}"/>
    <cellStyle name="Comma 2 2 2 3 3 4 4" xfId="11234" xr:uid="{00000000-0005-0000-0000-0000122C0000}"/>
    <cellStyle name="Comma 2 2 2 3 3 4 5" xfId="11235" xr:uid="{00000000-0005-0000-0000-0000132C0000}"/>
    <cellStyle name="Comma 2 2 2 3 3 4 6" xfId="11236" xr:uid="{00000000-0005-0000-0000-0000142C0000}"/>
    <cellStyle name="Comma 2 2 2 3 3 5" xfId="11239" xr:uid="{00000000-0005-0000-0000-0000172C0000}"/>
    <cellStyle name="Comma 2 2 2 3 3 5 2" xfId="11240" xr:uid="{00000000-0005-0000-0000-0000182C0000}"/>
    <cellStyle name="Comma 2 2 2 3 3 5 3" xfId="11241" xr:uid="{00000000-0005-0000-0000-0000192C0000}"/>
    <cellStyle name="Comma 2 2 2 3 3 5 4" xfId="11242" xr:uid="{00000000-0005-0000-0000-00001A2C0000}"/>
    <cellStyle name="Comma 2 2 2 3 3 5 5" xfId="11243" xr:uid="{00000000-0005-0000-0000-00001B2C0000}"/>
    <cellStyle name="Comma 2 2 2 3 3 5 6" xfId="11247" xr:uid="{00000000-0005-0000-0000-00001F2C0000}"/>
    <cellStyle name="Comma 2 2 2 3 3 6" xfId="11251" xr:uid="{00000000-0005-0000-0000-0000232C0000}"/>
    <cellStyle name="Comma 2 2 2 3 3 6 2" xfId="11252" xr:uid="{00000000-0005-0000-0000-0000242C0000}"/>
    <cellStyle name="Comma 2 2 2 3 3 6 3" xfId="11253" xr:uid="{00000000-0005-0000-0000-0000252C0000}"/>
    <cellStyle name="Comma 2 2 2 3 3 6 4" xfId="11254" xr:uid="{00000000-0005-0000-0000-0000262C0000}"/>
    <cellStyle name="Comma 2 2 2 3 3 6 5" xfId="11255" xr:uid="{00000000-0005-0000-0000-0000272C0000}"/>
    <cellStyle name="Comma 2 2 2 3 3 6 6" xfId="11256" xr:uid="{00000000-0005-0000-0000-0000282C0000}"/>
    <cellStyle name="Comma 2 2 2 3 3 7" xfId="11258" xr:uid="{00000000-0005-0000-0000-00002A2C0000}"/>
    <cellStyle name="Comma 2 2 2 3 3 8" xfId="5785" xr:uid="{00000000-0005-0000-0000-0000C9160000}"/>
    <cellStyle name="Comma 2 2 2 3 3 9" xfId="3188" xr:uid="{00000000-0005-0000-0000-0000A40C0000}"/>
    <cellStyle name="Comma 2 2 2 3 4" xfId="3922" xr:uid="{00000000-0005-0000-0000-0000820F0000}"/>
    <cellStyle name="Comma 2 2 2 3 4 10" xfId="11260" xr:uid="{00000000-0005-0000-0000-00002C2C0000}"/>
    <cellStyle name="Comma 2 2 2 3 4 11" xfId="11268" xr:uid="{00000000-0005-0000-0000-0000342C0000}"/>
    <cellStyle name="Comma 2 2 2 3 4 12" xfId="11276" xr:uid="{00000000-0005-0000-0000-00003C2C0000}"/>
    <cellStyle name="Comma 2 2 2 3 4 13" xfId="11283" xr:uid="{00000000-0005-0000-0000-0000432C0000}"/>
    <cellStyle name="Comma 2 2 2 3 4 14" xfId="5893" xr:uid="{00000000-0005-0000-0000-000035170000}"/>
    <cellStyle name="Comma 2 2 2 3 4 15" xfId="11292" xr:uid="{00000000-0005-0000-0000-00004C2C0000}"/>
    <cellStyle name="Comma 2 2 2 3 4 2" xfId="1028" xr:uid="{00000000-0005-0000-0000-000034040000}"/>
    <cellStyle name="Comma 2 2 2 3 4 2 2" xfId="11296" xr:uid="{00000000-0005-0000-0000-0000502C0000}"/>
    <cellStyle name="Comma 2 2 2 3 4 2 2 2" xfId="11084" xr:uid="{00000000-0005-0000-0000-00007C2B0000}"/>
    <cellStyle name="Comma 2 2 2 3 4 2 3" xfId="2551" xr:uid="{00000000-0005-0000-0000-0000270A0000}"/>
    <cellStyle name="Comma 2 2 2 3 4 2 4" xfId="11298" xr:uid="{00000000-0005-0000-0000-0000522C0000}"/>
    <cellStyle name="Comma 2 2 2 3 4 2 5" xfId="11302" xr:uid="{00000000-0005-0000-0000-0000562C0000}"/>
    <cellStyle name="Comma 2 2 2 3 4 2 6" xfId="11308" xr:uid="{00000000-0005-0000-0000-00005C2C0000}"/>
    <cellStyle name="Comma 2 2 2 3 4 2 7" xfId="11313" xr:uid="{00000000-0005-0000-0000-0000612C0000}"/>
    <cellStyle name="Comma 2 2 2 3 4 2 8" xfId="9365" xr:uid="{00000000-0005-0000-0000-0000C5240000}"/>
    <cellStyle name="Comma 2 2 2 3 4 2 9" xfId="11319" xr:uid="{00000000-0005-0000-0000-0000672C0000}"/>
    <cellStyle name="Comma 2 2 2 3 4 3" xfId="9735" xr:uid="{00000000-0005-0000-0000-000037260000}"/>
    <cellStyle name="Comma 2 2 2 3 4 3 2" xfId="11324" xr:uid="{00000000-0005-0000-0000-00006C2C0000}"/>
    <cellStyle name="Comma 2 2 2 3 4 3 3" xfId="4147" xr:uid="{00000000-0005-0000-0000-000063100000}"/>
    <cellStyle name="Comma 2 2 2 3 4 3 4" xfId="6606" xr:uid="{00000000-0005-0000-0000-0000FE190000}"/>
    <cellStyle name="Comma 2 2 2 3 4 3 5" xfId="6613" xr:uid="{00000000-0005-0000-0000-0000051A0000}"/>
    <cellStyle name="Comma 2 2 2 3 4 3 6" xfId="6621" xr:uid="{00000000-0005-0000-0000-00000D1A0000}"/>
    <cellStyle name="Comma 2 2 2 3 4 4" xfId="9743" xr:uid="{00000000-0005-0000-0000-00003F260000}"/>
    <cellStyle name="Comma 2 2 2 3 4 4 2" xfId="11329" xr:uid="{00000000-0005-0000-0000-0000712C0000}"/>
    <cellStyle name="Comma 2 2 2 3 4 5" xfId="9754" xr:uid="{00000000-0005-0000-0000-00004A260000}"/>
    <cellStyle name="Comma 2 2 2 3 4 6" xfId="9763" xr:uid="{00000000-0005-0000-0000-000053260000}"/>
    <cellStyle name="Comma 2 2 2 3 4 7" xfId="11337" xr:uid="{00000000-0005-0000-0000-0000792C0000}"/>
    <cellStyle name="Comma 2 2 2 3 4 8" xfId="5888" xr:uid="{00000000-0005-0000-0000-000030170000}"/>
    <cellStyle name="Comma 2 2 2 3 4 9" xfId="11339" xr:uid="{00000000-0005-0000-0000-00007B2C0000}"/>
    <cellStyle name="Comma 2 2 2 3 5" xfId="209" xr:uid="{00000000-0005-0000-0000-0000E1000000}"/>
    <cellStyle name="Comma 2 2 2 3 5 10" xfId="11344" xr:uid="{00000000-0005-0000-0000-0000802C0000}"/>
    <cellStyle name="Comma 2 2 2 3 5 11" xfId="11346" xr:uid="{00000000-0005-0000-0000-0000822C0000}"/>
    <cellStyle name="Comma 2 2 2 3 5 12" xfId="11348" xr:uid="{00000000-0005-0000-0000-0000842C0000}"/>
    <cellStyle name="Comma 2 2 2 3 5 13" xfId="11349" xr:uid="{00000000-0005-0000-0000-0000852C0000}"/>
    <cellStyle name="Comma 2 2 2 3 5 2" xfId="1206" xr:uid="{00000000-0005-0000-0000-0000E6040000}"/>
    <cellStyle name="Comma 2 2 2 3 5 2 2" xfId="11351" xr:uid="{00000000-0005-0000-0000-0000872C0000}"/>
    <cellStyle name="Comma 2 2 2 3 5 2 2 2" xfId="11357" xr:uid="{00000000-0005-0000-0000-00008D2C0000}"/>
    <cellStyle name="Comma 2 2 2 3 5 2 3" xfId="905" xr:uid="{00000000-0005-0000-0000-0000B9030000}"/>
    <cellStyle name="Comma 2 2 2 3 5 2 4" xfId="5471" xr:uid="{00000000-0005-0000-0000-00008F150000}"/>
    <cellStyle name="Comma 2 2 2 3 5 2 5" xfId="5480" xr:uid="{00000000-0005-0000-0000-000098150000}"/>
    <cellStyle name="Comma 2 2 2 3 5 2 6" xfId="4780" xr:uid="{00000000-0005-0000-0000-0000DC120000}"/>
    <cellStyle name="Comma 2 2 2 3 5 2 7" xfId="5491" xr:uid="{00000000-0005-0000-0000-0000A3150000}"/>
    <cellStyle name="Comma 2 2 2 3 5 2 8" xfId="5503" xr:uid="{00000000-0005-0000-0000-0000AF150000}"/>
    <cellStyle name="Comma 2 2 2 3 5 2 9" xfId="5511" xr:uid="{00000000-0005-0000-0000-0000B7150000}"/>
    <cellStyle name="Comma 2 2 2 3 5 3" xfId="9771" xr:uid="{00000000-0005-0000-0000-00005B260000}"/>
    <cellStyle name="Comma 2 2 2 3 5 3 2" xfId="11363" xr:uid="{00000000-0005-0000-0000-0000932C0000}"/>
    <cellStyle name="Comma 2 2 2 3 5 3 3" xfId="5529" xr:uid="{00000000-0005-0000-0000-0000C9150000}"/>
    <cellStyle name="Comma 2 2 2 3 5 3 4" xfId="11365" xr:uid="{00000000-0005-0000-0000-0000952C0000}"/>
    <cellStyle name="Comma 2 2 2 3 5 3 5" xfId="11371" xr:uid="{00000000-0005-0000-0000-00009B2C0000}"/>
    <cellStyle name="Comma 2 2 2 3 5 3 6" xfId="11376" xr:uid="{00000000-0005-0000-0000-0000A02C0000}"/>
    <cellStyle name="Comma 2 2 2 3 5 4" xfId="11266" xr:uid="{00000000-0005-0000-0000-0000322C0000}"/>
    <cellStyle name="Comma 2 2 2 3 5 4 2" xfId="11381" xr:uid="{00000000-0005-0000-0000-0000A52C0000}"/>
    <cellStyle name="Comma 2 2 2 3 5 5" xfId="11274" xr:uid="{00000000-0005-0000-0000-00003A2C0000}"/>
    <cellStyle name="Comma 2 2 2 3 5 6" xfId="11281" xr:uid="{00000000-0005-0000-0000-0000412C0000}"/>
    <cellStyle name="Comma 2 2 2 3 5 7" xfId="11290" xr:uid="{00000000-0005-0000-0000-00004A2C0000}"/>
    <cellStyle name="Comma 2 2 2 3 5 8" xfId="5898" xr:uid="{00000000-0005-0000-0000-00003A170000}"/>
    <cellStyle name="Comma 2 2 2 3 5 9" xfId="11293" xr:uid="{00000000-0005-0000-0000-00004D2C0000}"/>
    <cellStyle name="Comma 2 2 2 3 6" xfId="11386" xr:uid="{00000000-0005-0000-0000-0000AA2C0000}"/>
    <cellStyle name="Comma 2 2 2 3 6 10" xfId="9559" xr:uid="{00000000-0005-0000-0000-000087250000}"/>
    <cellStyle name="Comma 2 2 2 3 6 11" xfId="9581" xr:uid="{00000000-0005-0000-0000-00009D250000}"/>
    <cellStyle name="Comma 2 2 2 3 6 12" xfId="9584" xr:uid="{00000000-0005-0000-0000-0000A0250000}"/>
    <cellStyle name="Comma 2 2 2 3 6 2" xfId="7761" xr:uid="{00000000-0005-0000-0000-0000811E0000}"/>
    <cellStyle name="Comma 2 2 2 3 6 2 2" xfId="668" xr:uid="{00000000-0005-0000-0000-0000CC020000}"/>
    <cellStyle name="Comma 2 2 2 3 6 2 2 2" xfId="683" xr:uid="{00000000-0005-0000-0000-0000DB020000}"/>
    <cellStyle name="Comma 2 2 2 3 6 2 3" xfId="693" xr:uid="{00000000-0005-0000-0000-0000E5020000}"/>
    <cellStyle name="Comma 2 2 2 3 6 2 4" xfId="160" xr:uid="{00000000-0005-0000-0000-0000AC000000}"/>
    <cellStyle name="Comma 2 2 2 3 6 2 5" xfId="707" xr:uid="{00000000-0005-0000-0000-0000F3020000}"/>
    <cellStyle name="Comma 2 2 2 3 6 2 6" xfId="11389" xr:uid="{00000000-0005-0000-0000-0000AD2C0000}"/>
    <cellStyle name="Comma 2 2 2 3 6 2 7" xfId="11392" xr:uid="{00000000-0005-0000-0000-0000B02C0000}"/>
    <cellStyle name="Comma 2 2 2 3 6 2 8" xfId="11395" xr:uid="{00000000-0005-0000-0000-0000B32C0000}"/>
    <cellStyle name="Comma 2 2 2 3 6 2 9" xfId="11398" xr:uid="{00000000-0005-0000-0000-0000B62C0000}"/>
    <cellStyle name="Comma 2 2 2 3 6 3" xfId="11403" xr:uid="{00000000-0005-0000-0000-0000BB2C0000}"/>
    <cellStyle name="Comma 2 2 2 3 6 3 2" xfId="388" xr:uid="{00000000-0005-0000-0000-00009D010000}"/>
    <cellStyle name="Comma 2 2 2 3 6 3 3" xfId="1263" xr:uid="{00000000-0005-0000-0000-00001F050000}"/>
    <cellStyle name="Comma 2 2 2 3 6 3 4" xfId="1275" xr:uid="{00000000-0005-0000-0000-00002B050000}"/>
    <cellStyle name="Comma 2 2 2 3 6 3 5" xfId="1287" xr:uid="{00000000-0005-0000-0000-000037050000}"/>
    <cellStyle name="Comma 2 2 2 3 6 3 6" xfId="1305" xr:uid="{00000000-0005-0000-0000-000049050000}"/>
    <cellStyle name="Comma 2 2 2 3 6 4" xfId="8671" xr:uid="{00000000-0005-0000-0000-00000F220000}"/>
    <cellStyle name="Comma 2 2 2 3 6 4 2" xfId="1378" xr:uid="{00000000-0005-0000-0000-000092050000}"/>
    <cellStyle name="Comma 2 2 2 3 6 5" xfId="11409" xr:uid="{00000000-0005-0000-0000-0000C12C0000}"/>
    <cellStyle name="Comma 2 2 2 3 6 6" xfId="11120" xr:uid="{00000000-0005-0000-0000-0000A02B0000}"/>
    <cellStyle name="Comma 2 2 2 3 6 7" xfId="11419" xr:uid="{00000000-0005-0000-0000-0000CB2C0000}"/>
    <cellStyle name="Comma 2 2 2 3 6 8" xfId="5911" xr:uid="{00000000-0005-0000-0000-000047170000}"/>
    <cellStyle name="Comma 2 2 2 3 6 9" xfId="11421" xr:uid="{00000000-0005-0000-0000-0000CD2C0000}"/>
    <cellStyle name="Comma 2 2 2 3 7" xfId="11425" xr:uid="{00000000-0005-0000-0000-0000D12C0000}"/>
    <cellStyle name="Comma 2 2 2 3 7 2" xfId="11427" xr:uid="{00000000-0005-0000-0000-0000D32C0000}"/>
    <cellStyle name="Comma 2 2 2 3 7 2 2" xfId="1724" xr:uid="{00000000-0005-0000-0000-0000EC060000}"/>
    <cellStyle name="Comma 2 2 2 3 7 3" xfId="11430" xr:uid="{00000000-0005-0000-0000-0000D62C0000}"/>
    <cellStyle name="Comma 2 2 2 3 7 4" xfId="11431" xr:uid="{00000000-0005-0000-0000-0000D72C0000}"/>
    <cellStyle name="Comma 2 2 2 3 7 5" xfId="7568" xr:uid="{00000000-0005-0000-0000-0000C01D0000}"/>
    <cellStyle name="Comma 2 2 2 3 7 6" xfId="11434" xr:uid="{00000000-0005-0000-0000-0000DA2C0000}"/>
    <cellStyle name="Comma 2 2 2 3 7 7" xfId="11437" xr:uid="{00000000-0005-0000-0000-0000DD2C0000}"/>
    <cellStyle name="Comma 2 2 2 3 7 8" xfId="5913" xr:uid="{00000000-0005-0000-0000-000049170000}"/>
    <cellStyle name="Comma 2 2 2 3 7 9" xfId="11440" xr:uid="{00000000-0005-0000-0000-0000E02C0000}"/>
    <cellStyle name="Comma 2 2 2 3 8" xfId="4940" xr:uid="{00000000-0005-0000-0000-00007C130000}"/>
    <cellStyle name="Comma 2 2 2 3 8 2" xfId="4946" xr:uid="{00000000-0005-0000-0000-000082130000}"/>
    <cellStyle name="Comma 2 2 2 3 8 3" xfId="4951" xr:uid="{00000000-0005-0000-0000-000087130000}"/>
    <cellStyle name="Comma 2 2 2 3 8 4" xfId="2776" xr:uid="{00000000-0005-0000-0000-0000080B0000}"/>
    <cellStyle name="Comma 2 2 2 3 8 5" xfId="727" xr:uid="{00000000-0005-0000-0000-000007030000}"/>
    <cellStyle name="Comma 2 2 2 3 8 6" xfId="4971" xr:uid="{00000000-0005-0000-0000-00009B130000}"/>
    <cellStyle name="Comma 2 2 2 3 9" xfId="5010" xr:uid="{00000000-0005-0000-0000-0000C2130000}"/>
    <cellStyle name="Comma 2 2 2 3 9 2" xfId="5017" xr:uid="{00000000-0005-0000-0000-0000C9130000}"/>
    <cellStyle name="Comma 2 2 2 3 9 3" xfId="11442" xr:uid="{00000000-0005-0000-0000-0000E22C0000}"/>
    <cellStyle name="Comma 2 2 2 3 9 4" xfId="11443" xr:uid="{00000000-0005-0000-0000-0000E32C0000}"/>
    <cellStyle name="Comma 2 2 2 3 9 5" xfId="11445" xr:uid="{00000000-0005-0000-0000-0000E52C0000}"/>
    <cellStyle name="Comma 2 2 2 3 9 6" xfId="11447" xr:uid="{00000000-0005-0000-0000-0000E72C0000}"/>
    <cellStyle name="Comma 2 2 2 4" xfId="11450" xr:uid="{00000000-0005-0000-0000-0000EA2C0000}"/>
    <cellStyle name="Comma 2 2 2 4 10" xfId="11461" xr:uid="{00000000-0005-0000-0000-0000F52C0000}"/>
    <cellStyle name="Comma 2 2 2 4 10 2" xfId="11466" xr:uid="{00000000-0005-0000-0000-0000FA2C0000}"/>
    <cellStyle name="Comma 2 2 2 4 10 3" xfId="11467" xr:uid="{00000000-0005-0000-0000-0000FB2C0000}"/>
    <cellStyle name="Comma 2 2 2 4 10 4" xfId="11468" xr:uid="{00000000-0005-0000-0000-0000FC2C0000}"/>
    <cellStyle name="Comma 2 2 2 4 10 5" xfId="1195" xr:uid="{00000000-0005-0000-0000-0000DB040000}"/>
    <cellStyle name="Comma 2 2 2 4 10 6" xfId="11470" xr:uid="{00000000-0005-0000-0000-0000FE2C0000}"/>
    <cellStyle name="Comma 2 2 2 4 11" xfId="11481" xr:uid="{00000000-0005-0000-0000-0000092D0000}"/>
    <cellStyle name="Comma 2 2 2 4 11 2" xfId="11482" xr:uid="{00000000-0005-0000-0000-00000A2D0000}"/>
    <cellStyle name="Comma 2 2 2 4 11 3" xfId="11485" xr:uid="{00000000-0005-0000-0000-00000D2D0000}"/>
    <cellStyle name="Comma 2 2 2 4 11 4" xfId="11486" xr:uid="{00000000-0005-0000-0000-00000E2D0000}"/>
    <cellStyle name="Comma 2 2 2 4 11 5" xfId="11489" xr:uid="{00000000-0005-0000-0000-0000112D0000}"/>
    <cellStyle name="Comma 2 2 2 4 11 6" xfId="11491" xr:uid="{00000000-0005-0000-0000-0000132D0000}"/>
    <cellStyle name="Comma 2 2 2 4 12" xfId="10901" xr:uid="{00000000-0005-0000-0000-0000C52A0000}"/>
    <cellStyle name="Comma 2 2 2 4 13" xfId="10907" xr:uid="{00000000-0005-0000-0000-0000CB2A0000}"/>
    <cellStyle name="Comma 2 2 2 4 14" xfId="4037" xr:uid="{00000000-0005-0000-0000-0000F50F0000}"/>
    <cellStyle name="Comma 2 2 2 4 15" xfId="10914" xr:uid="{00000000-0005-0000-0000-0000D22A0000}"/>
    <cellStyle name="Comma 2 2 2 4 16" xfId="10923" xr:uid="{00000000-0005-0000-0000-0000DB2A0000}"/>
    <cellStyle name="Comma 2 2 2 4 17" xfId="11497" xr:uid="{00000000-0005-0000-0000-0000192D0000}"/>
    <cellStyle name="Comma 2 2 2 4 18" xfId="11501" xr:uid="{00000000-0005-0000-0000-00001D2D0000}"/>
    <cellStyle name="Comma 2 2 2 4 19" xfId="11506" xr:uid="{00000000-0005-0000-0000-0000222D0000}"/>
    <cellStyle name="Comma 2 2 2 4 2" xfId="11508" xr:uid="{00000000-0005-0000-0000-0000242D0000}"/>
    <cellStyle name="Comma 2 2 2 4 2 10" xfId="11511" xr:uid="{00000000-0005-0000-0000-0000272D0000}"/>
    <cellStyle name="Comma 2 2 2 4 2 11" xfId="11514" xr:uid="{00000000-0005-0000-0000-00002A2D0000}"/>
    <cellStyle name="Comma 2 2 2 4 2 12" xfId="11519" xr:uid="{00000000-0005-0000-0000-00002F2D0000}"/>
    <cellStyle name="Comma 2 2 2 4 2 13" xfId="6393" xr:uid="{00000000-0005-0000-0000-000029190000}"/>
    <cellStyle name="Comma 2 2 2 4 2 14" xfId="11521" xr:uid="{00000000-0005-0000-0000-0000312D0000}"/>
    <cellStyle name="Comma 2 2 2 4 2 15" xfId="11523" xr:uid="{00000000-0005-0000-0000-0000332D0000}"/>
    <cellStyle name="Comma 2 2 2 4 2 16" xfId="4853" xr:uid="{00000000-0005-0000-0000-000025130000}"/>
    <cellStyle name="Comma 2 2 2 4 2 17" xfId="11525" xr:uid="{00000000-0005-0000-0000-0000352D0000}"/>
    <cellStyle name="Comma 2 2 2 4 2 18" xfId="11528" xr:uid="{00000000-0005-0000-0000-0000382D0000}"/>
    <cellStyle name="Comma 2 2 2 4 2 2" xfId="7791" xr:uid="{00000000-0005-0000-0000-00009F1E0000}"/>
    <cellStyle name="Comma 2 2 2 4 2 2 10" xfId="273" xr:uid="{00000000-0005-0000-0000-000023010000}"/>
    <cellStyle name="Comma 2 2 2 4 2 2 11" xfId="291" xr:uid="{00000000-0005-0000-0000-000036010000}"/>
    <cellStyle name="Comma 2 2 2 4 2 2 12" xfId="320" xr:uid="{00000000-0005-0000-0000-000055010000}"/>
    <cellStyle name="Comma 2 2 2 4 2 2 2" xfId="10746" xr:uid="{00000000-0005-0000-0000-00002A2A0000}"/>
    <cellStyle name="Comma 2 2 2 4 2 2 2 2" xfId="4818" xr:uid="{00000000-0005-0000-0000-000002130000}"/>
    <cellStyle name="Comma 2 2 2 4 2 2 2 2 2" xfId="4820" xr:uid="{00000000-0005-0000-0000-000004130000}"/>
    <cellStyle name="Comma 2 2 2 4 2 2 2 3" xfId="3399" xr:uid="{00000000-0005-0000-0000-0000770D0000}"/>
    <cellStyle name="Comma 2 2 2 4 2 2 2 4" xfId="4828" xr:uid="{00000000-0005-0000-0000-00000C130000}"/>
    <cellStyle name="Comma 2 2 2 4 2 2 2 5" xfId="4842" xr:uid="{00000000-0005-0000-0000-00001A130000}"/>
    <cellStyle name="Comma 2 2 2 4 2 2 3" xfId="10749" xr:uid="{00000000-0005-0000-0000-00002D2A0000}"/>
    <cellStyle name="Comma 2 2 2 4 2 2 3 2" xfId="4866" xr:uid="{00000000-0005-0000-0000-000032130000}"/>
    <cellStyle name="Comma 2 2 2 4 2 2 4" xfId="11532" xr:uid="{00000000-0005-0000-0000-00003C2D0000}"/>
    <cellStyle name="Comma 2 2 2 4 2 2 5" xfId="3761" xr:uid="{00000000-0005-0000-0000-0000E10E0000}"/>
    <cellStyle name="Comma 2 2 2 4 2 2 6" xfId="11352" xr:uid="{00000000-0005-0000-0000-0000882C0000}"/>
    <cellStyle name="Comma 2 2 2 4 2 2 7" xfId="11533" xr:uid="{00000000-0005-0000-0000-00003D2D0000}"/>
    <cellStyle name="Comma 2 2 2 4 2 2 8" xfId="11534" xr:uid="{00000000-0005-0000-0000-00003E2D0000}"/>
    <cellStyle name="Comma 2 2 2 4 2 2 9" xfId="11535" xr:uid="{00000000-0005-0000-0000-00003F2D0000}"/>
    <cellStyle name="Comma 2 2 2 4 2 3" xfId="7805" xr:uid="{00000000-0005-0000-0000-0000AD1E0000}"/>
    <cellStyle name="Comma 2 2 2 4 2 3 10" xfId="11087" xr:uid="{00000000-0005-0000-0000-00007F2B0000}"/>
    <cellStyle name="Comma 2 2 2 4 2 3 11" xfId="9296" xr:uid="{00000000-0005-0000-0000-000080240000}"/>
    <cellStyle name="Comma 2 2 2 4 2 3 12" xfId="11090" xr:uid="{00000000-0005-0000-0000-0000822B0000}"/>
    <cellStyle name="Comma 2 2 2 4 2 3 2" xfId="10753" xr:uid="{00000000-0005-0000-0000-0000312A0000}"/>
    <cellStyle name="Comma 2 2 2 4 2 3 2 2" xfId="5224" xr:uid="{00000000-0005-0000-0000-000098140000}"/>
    <cellStyle name="Comma 2 2 2 4 2 3 2 2 2" xfId="1880" xr:uid="{00000000-0005-0000-0000-000088070000}"/>
    <cellStyle name="Comma 2 2 2 4 2 3 2 3" xfId="3507" xr:uid="{00000000-0005-0000-0000-0000E30D0000}"/>
    <cellStyle name="Comma 2 2 2 4 2 3 2 4" xfId="5242" xr:uid="{00000000-0005-0000-0000-0000AA140000}"/>
    <cellStyle name="Comma 2 2 2 4 2 3 2 5" xfId="3933" xr:uid="{00000000-0005-0000-0000-00008D0F0000}"/>
    <cellStyle name="Comma 2 2 2 4 2 3 3" xfId="10759" xr:uid="{00000000-0005-0000-0000-0000372A0000}"/>
    <cellStyle name="Comma 2 2 2 4 2 3 3 2" xfId="5275" xr:uid="{00000000-0005-0000-0000-0000CB140000}"/>
    <cellStyle name="Comma 2 2 2 4 2 3 4" xfId="11538" xr:uid="{00000000-0005-0000-0000-0000422D0000}"/>
    <cellStyle name="Comma 2 2 2 4 2 3 5" xfId="11541" xr:uid="{00000000-0005-0000-0000-0000452D0000}"/>
    <cellStyle name="Comma 2 2 2 4 2 3 6" xfId="5468" xr:uid="{00000000-0005-0000-0000-00008C150000}"/>
    <cellStyle name="Comma 2 2 2 4 2 3 7" xfId="11543" xr:uid="{00000000-0005-0000-0000-0000472D0000}"/>
    <cellStyle name="Comma 2 2 2 4 2 3 8" xfId="11544" xr:uid="{00000000-0005-0000-0000-0000482D0000}"/>
    <cellStyle name="Comma 2 2 2 4 2 3 9" xfId="4638" xr:uid="{00000000-0005-0000-0000-00004E120000}"/>
    <cellStyle name="Comma 2 2 2 4 2 4" xfId="878" xr:uid="{00000000-0005-0000-0000-00009E030000}"/>
    <cellStyle name="Comma 2 2 2 4 2 4 10" xfId="6601" xr:uid="{00000000-0005-0000-0000-0000F9190000}"/>
    <cellStyle name="Comma 2 2 2 4 2 4 2" xfId="11547" xr:uid="{00000000-0005-0000-0000-00004B2D0000}"/>
    <cellStyle name="Comma 2 2 2 4 2 4 2 2" xfId="5538" xr:uid="{00000000-0005-0000-0000-0000D2150000}"/>
    <cellStyle name="Comma 2 2 2 4 2 4 2 2 2" xfId="5542" xr:uid="{00000000-0005-0000-0000-0000D6150000}"/>
    <cellStyle name="Comma 2 2 2 4 2 4 2 3" xfId="955" xr:uid="{00000000-0005-0000-0000-0000EB030000}"/>
    <cellStyle name="Comma 2 2 2 4 2 4 2 4" xfId="5549" xr:uid="{00000000-0005-0000-0000-0000DD150000}"/>
    <cellStyle name="Comma 2 2 2 4 2 4 2 5" xfId="5558" xr:uid="{00000000-0005-0000-0000-0000E6150000}"/>
    <cellStyle name="Comma 2 2 2 4 2 4 3" xfId="11550" xr:uid="{00000000-0005-0000-0000-00004E2D0000}"/>
    <cellStyle name="Comma 2 2 2 4 2 4 3 2" xfId="5583" xr:uid="{00000000-0005-0000-0000-0000FF150000}"/>
    <cellStyle name="Comma 2 2 2 4 2 4 4" xfId="11552" xr:uid="{00000000-0005-0000-0000-0000502D0000}"/>
    <cellStyle name="Comma 2 2 2 4 2 4 5" xfId="11555" xr:uid="{00000000-0005-0000-0000-0000532D0000}"/>
    <cellStyle name="Comma 2 2 2 4 2 4 6" xfId="643" xr:uid="{00000000-0005-0000-0000-0000B0020000}"/>
    <cellStyle name="Comma 2 2 2 4 2 4 7" xfId="11557" xr:uid="{00000000-0005-0000-0000-0000552D0000}"/>
    <cellStyle name="Comma 2 2 2 4 2 4 8" xfId="739" xr:uid="{00000000-0005-0000-0000-000013030000}"/>
    <cellStyle name="Comma 2 2 2 4 2 4 9" xfId="4801" xr:uid="{00000000-0005-0000-0000-0000F1120000}"/>
    <cellStyle name="Comma 2 2 2 4 2 5" xfId="899" xr:uid="{00000000-0005-0000-0000-0000B3030000}"/>
    <cellStyle name="Comma 2 2 2 4 2 5 10" xfId="11558" xr:uid="{00000000-0005-0000-0000-0000562D0000}"/>
    <cellStyle name="Comma 2 2 2 4 2 5 2" xfId="11562" xr:uid="{00000000-0005-0000-0000-00005A2D0000}"/>
    <cellStyle name="Comma 2 2 2 4 2 5 2 2" xfId="5904" xr:uid="{00000000-0005-0000-0000-000040170000}"/>
    <cellStyle name="Comma 2 2 2 4 2 5 2 2 2" xfId="5908" xr:uid="{00000000-0005-0000-0000-000044170000}"/>
    <cellStyle name="Comma 2 2 2 4 2 5 2 3" xfId="2041" xr:uid="{00000000-0005-0000-0000-000029080000}"/>
    <cellStyle name="Comma 2 2 2 4 2 5 2 4" xfId="5921" xr:uid="{00000000-0005-0000-0000-000051170000}"/>
    <cellStyle name="Comma 2 2 2 4 2 5 2 5" xfId="5925" xr:uid="{00000000-0005-0000-0000-000055170000}"/>
    <cellStyle name="Comma 2 2 2 4 2 5 3" xfId="11564" xr:uid="{00000000-0005-0000-0000-00005C2D0000}"/>
    <cellStyle name="Comma 2 2 2 4 2 5 3 2" xfId="5979" xr:uid="{00000000-0005-0000-0000-00008B170000}"/>
    <cellStyle name="Comma 2 2 2 4 2 5 4" xfId="11565" xr:uid="{00000000-0005-0000-0000-00005D2D0000}"/>
    <cellStyle name="Comma 2 2 2 4 2 5 5" xfId="11566" xr:uid="{00000000-0005-0000-0000-00005E2D0000}"/>
    <cellStyle name="Comma 2 2 2 4 2 5 6" xfId="3" xr:uid="{00000000-0005-0000-0000-000003000000}"/>
    <cellStyle name="Comma 2 2 2 4 2 5 7" xfId="11567" xr:uid="{00000000-0005-0000-0000-00005F2D0000}"/>
    <cellStyle name="Comma 2 2 2 4 2 5 8" xfId="11568" xr:uid="{00000000-0005-0000-0000-0000602D0000}"/>
    <cellStyle name="Comma 2 2 2 4 2 5 9" xfId="4806" xr:uid="{00000000-0005-0000-0000-0000F6120000}"/>
    <cellStyle name="Comma 2 2 2 4 2 6" xfId="11572" xr:uid="{00000000-0005-0000-0000-0000642D0000}"/>
    <cellStyle name="Comma 2 2 2 4 2 6 2" xfId="11574" xr:uid="{00000000-0005-0000-0000-0000662D0000}"/>
    <cellStyle name="Comma 2 2 2 4 2 6 2 2" xfId="6248" xr:uid="{00000000-0005-0000-0000-000098180000}"/>
    <cellStyle name="Comma 2 2 2 4 2 6 3" xfId="11579" xr:uid="{00000000-0005-0000-0000-00006B2D0000}"/>
    <cellStyle name="Comma 2 2 2 4 2 6 4" xfId="10239" xr:uid="{00000000-0005-0000-0000-00002F280000}"/>
    <cellStyle name="Comma 2 2 2 4 2 6 5" xfId="11582" xr:uid="{00000000-0005-0000-0000-00006E2D0000}"/>
    <cellStyle name="Comma 2 2 2 4 2 6 6" xfId="5485" xr:uid="{00000000-0005-0000-0000-00009D150000}"/>
    <cellStyle name="Comma 2 2 2 4 2 6 7" xfId="11586" xr:uid="{00000000-0005-0000-0000-0000722D0000}"/>
    <cellStyle name="Comma 2 2 2 4 2 6 8" xfId="11590" xr:uid="{00000000-0005-0000-0000-0000762D0000}"/>
    <cellStyle name="Comma 2 2 2 4 2 6 9" xfId="4808" xr:uid="{00000000-0005-0000-0000-0000F8120000}"/>
    <cellStyle name="Comma 2 2 2 4 2 7" xfId="11593" xr:uid="{00000000-0005-0000-0000-0000792D0000}"/>
    <cellStyle name="Comma 2 2 2 4 2 7 2" xfId="11600" xr:uid="{00000000-0005-0000-0000-0000802D0000}"/>
    <cellStyle name="Comma 2 2 2 4 2 8" xfId="5939" xr:uid="{00000000-0005-0000-0000-000063170000}"/>
    <cellStyle name="Comma 2 2 2 4 2 9" xfId="11602" xr:uid="{00000000-0005-0000-0000-0000822D0000}"/>
    <cellStyle name="Comma 2 2 2 4 20" xfId="10913" xr:uid="{00000000-0005-0000-0000-0000D12A0000}"/>
    <cellStyle name="Comma 2 2 2 4 21" xfId="10922" xr:uid="{00000000-0005-0000-0000-0000DA2A0000}"/>
    <cellStyle name="Comma 2 2 2 4 22" xfId="11496" xr:uid="{00000000-0005-0000-0000-0000182D0000}"/>
    <cellStyle name="Comma 2 2 2 4 23" xfId="11500" xr:uid="{00000000-0005-0000-0000-00001C2D0000}"/>
    <cellStyle name="Comma 2 2 2 4 3" xfId="11604" xr:uid="{00000000-0005-0000-0000-0000842D0000}"/>
    <cellStyle name="Comma 2 2 2 4 3 10" xfId="8460" xr:uid="{00000000-0005-0000-0000-00003C210000}"/>
    <cellStyle name="Comma 2 2 2 4 3 11" xfId="8468" xr:uid="{00000000-0005-0000-0000-000044210000}"/>
    <cellStyle name="Comma 2 2 2 4 3 12" xfId="7068" xr:uid="{00000000-0005-0000-0000-0000CC1B0000}"/>
    <cellStyle name="Comma 2 2 2 4 3 13" xfId="7254" xr:uid="{00000000-0005-0000-0000-0000861C0000}"/>
    <cellStyle name="Comma 2 2 2 4 3 14" xfId="8473" xr:uid="{00000000-0005-0000-0000-000049210000}"/>
    <cellStyle name="Comma 2 2 2 4 3 15" xfId="8483" xr:uid="{00000000-0005-0000-0000-000053210000}"/>
    <cellStyle name="Comma 2 2 2 4 3 16" xfId="8493" xr:uid="{00000000-0005-0000-0000-00005D210000}"/>
    <cellStyle name="Comma 2 2 2 4 3 17" xfId="8503" xr:uid="{00000000-0005-0000-0000-000067210000}"/>
    <cellStyle name="Comma 2 2 2 4 3 18" xfId="11150" xr:uid="{00000000-0005-0000-0000-0000BE2B0000}"/>
    <cellStyle name="Comma 2 2 2 4 3 2" xfId="7818" xr:uid="{00000000-0005-0000-0000-0000BA1E0000}"/>
    <cellStyle name="Comma 2 2 2 4 3 2 10" xfId="11608" xr:uid="{00000000-0005-0000-0000-0000882D0000}"/>
    <cellStyle name="Comma 2 2 2 4 3 2 2" xfId="506" xr:uid="{00000000-0005-0000-0000-00001A020000}"/>
    <cellStyle name="Comma 2 2 2 4 3 2 2 2" xfId="6934" xr:uid="{00000000-0005-0000-0000-0000461B0000}"/>
    <cellStyle name="Comma 2 2 2 4 3 2 3" xfId="406" xr:uid="{00000000-0005-0000-0000-0000B0010000}"/>
    <cellStyle name="Comma 2 2 2 4 3 2 4" xfId="7968" xr:uid="{00000000-0005-0000-0000-0000501F0000}"/>
    <cellStyle name="Comma 2 2 2 4 3 2 5" xfId="7971" xr:uid="{00000000-0005-0000-0000-0000531F0000}"/>
    <cellStyle name="Comma 2 2 2 4 3 2 6" xfId="7974" xr:uid="{00000000-0005-0000-0000-0000561F0000}"/>
    <cellStyle name="Comma 2 2 2 4 3 2 7" xfId="11612" xr:uid="{00000000-0005-0000-0000-00008C2D0000}"/>
    <cellStyle name="Comma 2 2 2 4 3 2 8" xfId="11614" xr:uid="{00000000-0005-0000-0000-00008E2D0000}"/>
    <cellStyle name="Comma 2 2 2 4 3 2 9" xfId="11615" xr:uid="{00000000-0005-0000-0000-00008F2D0000}"/>
    <cellStyle name="Comma 2 2 2 4 3 3" xfId="11617" xr:uid="{00000000-0005-0000-0000-0000912D0000}"/>
    <cellStyle name="Comma 2 2 2 4 3 3 2" xfId="10852" xr:uid="{00000000-0005-0000-0000-0000942A0000}"/>
    <cellStyle name="Comma 2 2 2 4 3 3 3" xfId="10859" xr:uid="{00000000-0005-0000-0000-00009B2A0000}"/>
    <cellStyle name="Comma 2 2 2 4 3 3 4" xfId="11619" xr:uid="{00000000-0005-0000-0000-0000932D0000}"/>
    <cellStyle name="Comma 2 2 2 4 3 3 5" xfId="11621" xr:uid="{00000000-0005-0000-0000-0000952D0000}"/>
    <cellStyle name="Comma 2 2 2 4 3 3 6" xfId="6373" xr:uid="{00000000-0005-0000-0000-000015190000}"/>
    <cellStyle name="Comma 2 2 2 4 3 4" xfId="11627" xr:uid="{00000000-0005-0000-0000-00009B2D0000}"/>
    <cellStyle name="Comma 2 2 2 4 3 4 2" xfId="11628" xr:uid="{00000000-0005-0000-0000-00009C2D0000}"/>
    <cellStyle name="Comma 2 2 2 4 3 4 3" xfId="11630" xr:uid="{00000000-0005-0000-0000-00009E2D0000}"/>
    <cellStyle name="Comma 2 2 2 4 3 4 4" xfId="11631" xr:uid="{00000000-0005-0000-0000-00009F2D0000}"/>
    <cellStyle name="Comma 2 2 2 4 3 4 5" xfId="11632" xr:uid="{00000000-0005-0000-0000-0000A02D0000}"/>
    <cellStyle name="Comma 2 2 2 4 3 4 6" xfId="6388" xr:uid="{00000000-0005-0000-0000-000024190000}"/>
    <cellStyle name="Comma 2 2 2 4 3 5" xfId="2908" xr:uid="{00000000-0005-0000-0000-00008C0B0000}"/>
    <cellStyle name="Comma 2 2 2 4 3 5 2" xfId="11633" xr:uid="{00000000-0005-0000-0000-0000A12D0000}"/>
    <cellStyle name="Comma 2 2 2 4 3 5 3" xfId="11510" xr:uid="{00000000-0005-0000-0000-0000262D0000}"/>
    <cellStyle name="Comma 2 2 2 4 3 5 4" xfId="11513" xr:uid="{00000000-0005-0000-0000-0000292D0000}"/>
    <cellStyle name="Comma 2 2 2 4 3 5 5" xfId="11518" xr:uid="{00000000-0005-0000-0000-00002E2D0000}"/>
    <cellStyle name="Comma 2 2 2 4 3 5 6" xfId="6392" xr:uid="{00000000-0005-0000-0000-000028190000}"/>
    <cellStyle name="Comma 2 2 2 4 3 6" xfId="11636" xr:uid="{00000000-0005-0000-0000-0000A42D0000}"/>
    <cellStyle name="Comma 2 2 2 4 3 6 2" xfId="9176" xr:uid="{00000000-0005-0000-0000-000008240000}"/>
    <cellStyle name="Comma 2 2 2 4 3 6 3" xfId="9184" xr:uid="{00000000-0005-0000-0000-000010240000}"/>
    <cellStyle name="Comma 2 2 2 4 3 6 4" xfId="11638" xr:uid="{00000000-0005-0000-0000-0000A62D0000}"/>
    <cellStyle name="Comma 2 2 2 4 3 6 5" xfId="11641" xr:uid="{00000000-0005-0000-0000-0000A92D0000}"/>
    <cellStyle name="Comma 2 2 2 4 3 6 6" xfId="6399" xr:uid="{00000000-0005-0000-0000-00002F190000}"/>
    <cellStyle name="Comma 2 2 2 4 3 7" xfId="11643" xr:uid="{00000000-0005-0000-0000-0000AB2D0000}"/>
    <cellStyle name="Comma 2 2 2 4 3 8" xfId="5948" xr:uid="{00000000-0005-0000-0000-00006C170000}"/>
    <cellStyle name="Comma 2 2 2 4 3 9" xfId="11645" xr:uid="{00000000-0005-0000-0000-0000AD2D0000}"/>
    <cellStyle name="Comma 2 2 2 4 4" xfId="3938" xr:uid="{00000000-0005-0000-0000-0000920F0000}"/>
    <cellStyle name="Comma 2 2 2 4 4 10" xfId="8275" xr:uid="{00000000-0005-0000-0000-000083200000}"/>
    <cellStyle name="Comma 2 2 2 4 4 11" xfId="6871" xr:uid="{00000000-0005-0000-0000-0000071B0000}"/>
    <cellStyle name="Comma 2 2 2 4 4 12" xfId="6885" xr:uid="{00000000-0005-0000-0000-0000151B0000}"/>
    <cellStyle name="Comma 2 2 2 4 4 13" xfId="6898" xr:uid="{00000000-0005-0000-0000-0000221B0000}"/>
    <cellStyle name="Comma 2 2 2 4 4 14" xfId="2934" xr:uid="{00000000-0005-0000-0000-0000A60B0000}"/>
    <cellStyle name="Comma 2 2 2 4 4 15" xfId="9027" xr:uid="{00000000-0005-0000-0000-000073230000}"/>
    <cellStyle name="Comma 2 2 2 4 4 2" xfId="7835" xr:uid="{00000000-0005-0000-0000-0000CB1E0000}"/>
    <cellStyle name="Comma 2 2 2 4 4 2 2" xfId="9849" xr:uid="{00000000-0005-0000-0000-0000A9260000}"/>
    <cellStyle name="Comma 2 2 2 4 4 2 2 2" xfId="9851" xr:uid="{00000000-0005-0000-0000-0000AB260000}"/>
    <cellStyle name="Comma 2 2 2 4 4 2 3" xfId="5691" xr:uid="{00000000-0005-0000-0000-00006B160000}"/>
    <cellStyle name="Comma 2 2 2 4 4 2 4" xfId="9883" xr:uid="{00000000-0005-0000-0000-0000CB260000}"/>
    <cellStyle name="Comma 2 2 2 4 4 2 5" xfId="11653" xr:uid="{00000000-0005-0000-0000-0000B52D0000}"/>
    <cellStyle name="Comma 2 2 2 4 4 2 6" xfId="11661" xr:uid="{00000000-0005-0000-0000-0000BD2D0000}"/>
    <cellStyle name="Comma 2 2 2 4 4 2 7" xfId="11666" xr:uid="{00000000-0005-0000-0000-0000C22D0000}"/>
    <cellStyle name="Comma 2 2 2 4 4 2 8" xfId="11673" xr:uid="{00000000-0005-0000-0000-0000C92D0000}"/>
    <cellStyle name="Comma 2 2 2 4 4 2 9" xfId="11681" xr:uid="{00000000-0005-0000-0000-0000D12D0000}"/>
    <cellStyle name="Comma 2 2 2 4 4 3" xfId="9806" xr:uid="{00000000-0005-0000-0000-00007E260000}"/>
    <cellStyle name="Comma 2 2 2 4 4 3 2" xfId="10002" xr:uid="{00000000-0005-0000-0000-000042270000}"/>
    <cellStyle name="Comma 2 2 2 4 4 3 3" xfId="5718" xr:uid="{00000000-0005-0000-0000-000086160000}"/>
    <cellStyle name="Comma 2 2 2 4 4 3 4" xfId="10360" xr:uid="{00000000-0005-0000-0000-0000A8280000}"/>
    <cellStyle name="Comma 2 2 2 4 4 3 5" xfId="11686" xr:uid="{00000000-0005-0000-0000-0000D62D0000}"/>
    <cellStyle name="Comma 2 2 2 4 4 3 6" xfId="11690" xr:uid="{00000000-0005-0000-0000-0000DA2D0000}"/>
    <cellStyle name="Comma 2 2 2 4 4 4" xfId="9814" xr:uid="{00000000-0005-0000-0000-000086260000}"/>
    <cellStyle name="Comma 2 2 2 4 4 4 2" xfId="10626" xr:uid="{00000000-0005-0000-0000-0000B2290000}"/>
    <cellStyle name="Comma 2 2 2 4 4 5" xfId="2916" xr:uid="{00000000-0005-0000-0000-0000940B0000}"/>
    <cellStyle name="Comma 2 2 2 4 4 6" xfId="9818" xr:uid="{00000000-0005-0000-0000-00008A260000}"/>
    <cellStyle name="Comma 2 2 2 4 4 7" xfId="11691" xr:uid="{00000000-0005-0000-0000-0000DB2D0000}"/>
    <cellStyle name="Comma 2 2 2 4 4 8" xfId="5955" xr:uid="{00000000-0005-0000-0000-000073170000}"/>
    <cellStyle name="Comma 2 2 2 4 4 9" xfId="11699" xr:uid="{00000000-0005-0000-0000-0000E32D0000}"/>
    <cellStyle name="Comma 2 2 2 4 5" xfId="11706" xr:uid="{00000000-0005-0000-0000-0000EA2D0000}"/>
    <cellStyle name="Comma 2 2 2 4 5 10" xfId="572" xr:uid="{00000000-0005-0000-0000-000063020000}"/>
    <cellStyle name="Comma 2 2 2 4 5 11" xfId="620" xr:uid="{00000000-0005-0000-0000-000096020000}"/>
    <cellStyle name="Comma 2 2 2 4 5 12" xfId="650" xr:uid="{00000000-0005-0000-0000-0000B7020000}"/>
    <cellStyle name="Comma 2 2 2 4 5 13" xfId="11018" xr:uid="{00000000-0005-0000-0000-00003A2B0000}"/>
    <cellStyle name="Comma 2 2 2 4 5 2" xfId="4749" xr:uid="{00000000-0005-0000-0000-0000BD120000}"/>
    <cellStyle name="Comma 2 2 2 4 5 2 2" xfId="11259" xr:uid="{00000000-0005-0000-0000-00002B2C0000}"/>
    <cellStyle name="Comma 2 2 2 4 5 2 2 2" xfId="11707" xr:uid="{00000000-0005-0000-0000-0000EB2D0000}"/>
    <cellStyle name="Comma 2 2 2 4 5 2 3" xfId="5786" xr:uid="{00000000-0005-0000-0000-0000CA160000}"/>
    <cellStyle name="Comma 2 2 2 4 5 2 4" xfId="3189" xr:uid="{00000000-0005-0000-0000-0000A50C0000}"/>
    <cellStyle name="Comma 2 2 2 4 5 2 5" xfId="5816" xr:uid="{00000000-0005-0000-0000-0000E8160000}"/>
    <cellStyle name="Comma 2 2 2 4 5 2 6" xfId="5834" xr:uid="{00000000-0005-0000-0000-0000FA160000}"/>
    <cellStyle name="Comma 2 2 2 4 5 2 7" xfId="5847" xr:uid="{00000000-0005-0000-0000-000007170000}"/>
    <cellStyle name="Comma 2 2 2 4 5 2 8" xfId="5857" xr:uid="{00000000-0005-0000-0000-000011170000}"/>
    <cellStyle name="Comma 2 2 2 4 5 2 9" xfId="5871" xr:uid="{00000000-0005-0000-0000-00001F170000}"/>
    <cellStyle name="Comma 2 2 2 4 5 3" xfId="9832" xr:uid="{00000000-0005-0000-0000-000098260000}"/>
    <cellStyle name="Comma 2 2 2 4 5 3 2" xfId="11338" xr:uid="{00000000-0005-0000-0000-00007A2C0000}"/>
    <cellStyle name="Comma 2 2 2 4 5 3 3" xfId="5889" xr:uid="{00000000-0005-0000-0000-000031170000}"/>
    <cellStyle name="Comma 2 2 2 4 5 3 4" xfId="11340" xr:uid="{00000000-0005-0000-0000-00007C2C0000}"/>
    <cellStyle name="Comma 2 2 2 4 5 3 5" xfId="11710" xr:uid="{00000000-0005-0000-0000-0000EE2D0000}"/>
    <cellStyle name="Comma 2 2 2 4 5 3 6" xfId="11713" xr:uid="{00000000-0005-0000-0000-0000F12D0000}"/>
    <cellStyle name="Comma 2 2 2 4 5 4" xfId="11718" xr:uid="{00000000-0005-0000-0000-0000F62D0000}"/>
    <cellStyle name="Comma 2 2 2 4 5 4 2" xfId="11287" xr:uid="{00000000-0005-0000-0000-0000472C0000}"/>
    <cellStyle name="Comma 2 2 2 4 5 5" xfId="2924" xr:uid="{00000000-0005-0000-0000-00009C0B0000}"/>
    <cellStyle name="Comma 2 2 2 4 5 6" xfId="11721" xr:uid="{00000000-0005-0000-0000-0000F92D0000}"/>
    <cellStyle name="Comma 2 2 2 4 5 7" xfId="11724" xr:uid="{00000000-0005-0000-0000-0000FC2D0000}"/>
    <cellStyle name="Comma 2 2 2 4 5 8" xfId="5974" xr:uid="{00000000-0005-0000-0000-000086170000}"/>
    <cellStyle name="Comma 2 2 2 4 5 9" xfId="11727" xr:uid="{00000000-0005-0000-0000-0000FF2D0000}"/>
    <cellStyle name="Comma 2 2 2 4 6" xfId="11730" xr:uid="{00000000-0005-0000-0000-0000022E0000}"/>
    <cellStyle name="Comma 2 2 2 4 6 10" xfId="10920" xr:uid="{00000000-0005-0000-0000-0000D82A0000}"/>
    <cellStyle name="Comma 2 2 2 4 6 11" xfId="11494" xr:uid="{00000000-0005-0000-0000-0000162D0000}"/>
    <cellStyle name="Comma 2 2 2 4 6 12" xfId="11502" xr:uid="{00000000-0005-0000-0000-00001E2D0000}"/>
    <cellStyle name="Comma 2 2 2 4 6 2" xfId="7869" xr:uid="{00000000-0005-0000-0000-0000ED1E0000}"/>
    <cellStyle name="Comma 2 2 2 4 6 2 2" xfId="11644" xr:uid="{00000000-0005-0000-0000-0000AC2D0000}"/>
    <cellStyle name="Comma 2 2 2 4 6 2 2 2" xfId="8026" xr:uid="{00000000-0005-0000-0000-00008A1F0000}"/>
    <cellStyle name="Comma 2 2 2 4 6 2 3" xfId="5949" xr:uid="{00000000-0005-0000-0000-00006D170000}"/>
    <cellStyle name="Comma 2 2 2 4 6 2 4" xfId="11646" xr:uid="{00000000-0005-0000-0000-0000AE2D0000}"/>
    <cellStyle name="Comma 2 2 2 4 6 2 5" xfId="11731" xr:uid="{00000000-0005-0000-0000-0000032E0000}"/>
    <cellStyle name="Comma 2 2 2 4 6 2 6" xfId="11733" xr:uid="{00000000-0005-0000-0000-0000052E0000}"/>
    <cellStyle name="Comma 2 2 2 4 6 2 7" xfId="11735" xr:uid="{00000000-0005-0000-0000-0000072E0000}"/>
    <cellStyle name="Comma 2 2 2 4 6 2 8" xfId="11736" xr:uid="{00000000-0005-0000-0000-0000082E0000}"/>
    <cellStyle name="Comma 2 2 2 4 6 2 9" xfId="11737" xr:uid="{00000000-0005-0000-0000-0000092E0000}"/>
    <cellStyle name="Comma 2 2 2 4 6 3" xfId="11742" xr:uid="{00000000-0005-0000-0000-00000E2E0000}"/>
    <cellStyle name="Comma 2 2 2 4 6 3 2" xfId="11693" xr:uid="{00000000-0005-0000-0000-0000DD2D0000}"/>
    <cellStyle name="Comma 2 2 2 4 6 3 3" xfId="5958" xr:uid="{00000000-0005-0000-0000-000076170000}"/>
    <cellStyle name="Comma 2 2 2 4 6 3 4" xfId="11702" xr:uid="{00000000-0005-0000-0000-0000E62D0000}"/>
    <cellStyle name="Comma 2 2 2 4 6 3 5" xfId="11746" xr:uid="{00000000-0005-0000-0000-0000122E0000}"/>
    <cellStyle name="Comma 2 2 2 4 6 3 6" xfId="11752" xr:uid="{00000000-0005-0000-0000-0000182E0000}"/>
    <cellStyle name="Comma 2 2 2 4 6 4" xfId="11755" xr:uid="{00000000-0005-0000-0000-00001B2E0000}"/>
    <cellStyle name="Comma 2 2 2 4 6 4 2" xfId="11726" xr:uid="{00000000-0005-0000-0000-0000FE2D0000}"/>
    <cellStyle name="Comma 2 2 2 4 6 5" xfId="2965" xr:uid="{00000000-0005-0000-0000-0000C50B0000}"/>
    <cellStyle name="Comma 2 2 2 4 6 6" xfId="11757" xr:uid="{00000000-0005-0000-0000-00001D2E0000}"/>
    <cellStyle name="Comma 2 2 2 4 6 7" xfId="11759" xr:uid="{00000000-0005-0000-0000-00001F2E0000}"/>
    <cellStyle name="Comma 2 2 2 4 6 8" xfId="5981" xr:uid="{00000000-0005-0000-0000-00008D170000}"/>
    <cellStyle name="Comma 2 2 2 4 6 9" xfId="11761" xr:uid="{00000000-0005-0000-0000-0000212E0000}"/>
    <cellStyle name="Comma 2 2 2 4 7" xfId="10391" xr:uid="{00000000-0005-0000-0000-0000C7280000}"/>
    <cellStyle name="Comma 2 2 2 4 7 2" xfId="6995" xr:uid="{00000000-0005-0000-0000-0000831B0000}"/>
    <cellStyle name="Comma 2 2 2 4 7 2 2" xfId="612" xr:uid="{00000000-0005-0000-0000-00008E020000}"/>
    <cellStyle name="Comma 2 2 2 4 7 3" xfId="7005" xr:uid="{00000000-0005-0000-0000-00008D1B0000}"/>
    <cellStyle name="Comma 2 2 2 4 7 4" xfId="7019" xr:uid="{00000000-0005-0000-0000-00009B1B0000}"/>
    <cellStyle name="Comma 2 2 2 4 7 5" xfId="241" xr:uid="{00000000-0005-0000-0000-000002010000}"/>
    <cellStyle name="Comma 2 2 2 4 7 6" xfId="10401" xr:uid="{00000000-0005-0000-0000-0000D1280000}"/>
    <cellStyle name="Comma 2 2 2 4 7 7" xfId="10405" xr:uid="{00000000-0005-0000-0000-0000D5280000}"/>
    <cellStyle name="Comma 2 2 2 4 7 8" xfId="5987" xr:uid="{00000000-0005-0000-0000-000093170000}"/>
    <cellStyle name="Comma 2 2 2 4 7 9" xfId="10409" xr:uid="{00000000-0005-0000-0000-0000D9280000}"/>
    <cellStyle name="Comma 2 2 2 4 8" xfId="4217" xr:uid="{00000000-0005-0000-0000-0000A9100000}"/>
    <cellStyle name="Comma 2 2 2 4 8 2" xfId="5105" xr:uid="{00000000-0005-0000-0000-000021140000}"/>
    <cellStyle name="Comma 2 2 2 4 8 3" xfId="7134" xr:uid="{00000000-0005-0000-0000-00000E1C0000}"/>
    <cellStyle name="Comma 2 2 2 4 8 4" xfId="7148" xr:uid="{00000000-0005-0000-0000-00001C1C0000}"/>
    <cellStyle name="Comma 2 2 2 4 8 5" xfId="10411" xr:uid="{00000000-0005-0000-0000-0000DB280000}"/>
    <cellStyle name="Comma 2 2 2 4 8 6" xfId="10419" xr:uid="{00000000-0005-0000-0000-0000E3280000}"/>
    <cellStyle name="Comma 2 2 2 4 9" xfId="5123" xr:uid="{00000000-0005-0000-0000-000033140000}"/>
    <cellStyle name="Comma 2 2 2 4 9 2" xfId="5133" xr:uid="{00000000-0005-0000-0000-00003D140000}"/>
    <cellStyle name="Comma 2 2 2 4 9 3" xfId="8313" xr:uid="{00000000-0005-0000-0000-0000A9200000}"/>
    <cellStyle name="Comma 2 2 2 4 9 4" xfId="8323" xr:uid="{00000000-0005-0000-0000-0000B3200000}"/>
    <cellStyle name="Comma 2 2 2 4 9 5" xfId="8333" xr:uid="{00000000-0005-0000-0000-0000BD200000}"/>
    <cellStyle name="Comma 2 2 2 4 9 6" xfId="8342" xr:uid="{00000000-0005-0000-0000-0000C6200000}"/>
    <cellStyle name="Comma 2 2 2 5" xfId="11764" xr:uid="{00000000-0005-0000-0000-0000242E0000}"/>
    <cellStyle name="Comma 2 2 2 5 10" xfId="3855" xr:uid="{00000000-0005-0000-0000-00003F0F0000}"/>
    <cellStyle name="Comma 2 2 2 5 10 2" xfId="10672" xr:uid="{00000000-0005-0000-0000-0000E0290000}"/>
    <cellStyle name="Comma 2 2 2 5 10 3" xfId="4223" xr:uid="{00000000-0005-0000-0000-0000AF100000}"/>
    <cellStyle name="Comma 2 2 2 5 10 4" xfId="10675" xr:uid="{00000000-0005-0000-0000-0000E3290000}"/>
    <cellStyle name="Comma 2 2 2 5 10 5" xfId="10680" xr:uid="{00000000-0005-0000-0000-0000E8290000}"/>
    <cellStyle name="Comma 2 2 2 5 10 6" xfId="10684" xr:uid="{00000000-0005-0000-0000-0000EC290000}"/>
    <cellStyle name="Comma 2 2 2 5 11" xfId="10691" xr:uid="{00000000-0005-0000-0000-0000F3290000}"/>
    <cellStyle name="Comma 2 2 2 5 11 2" xfId="10694" xr:uid="{00000000-0005-0000-0000-0000F6290000}"/>
    <cellStyle name="Comma 2 2 2 5 11 3" xfId="4952" xr:uid="{00000000-0005-0000-0000-000088130000}"/>
    <cellStyle name="Comma 2 2 2 5 11 4" xfId="10699" xr:uid="{00000000-0005-0000-0000-0000FB290000}"/>
    <cellStyle name="Comma 2 2 2 5 11 5" xfId="10705" xr:uid="{00000000-0005-0000-0000-0000012A0000}"/>
    <cellStyle name="Comma 2 2 2 5 11 6" xfId="10710" xr:uid="{00000000-0005-0000-0000-0000062A0000}"/>
    <cellStyle name="Comma 2 2 2 5 12" xfId="10714" xr:uid="{00000000-0005-0000-0000-00000A2A0000}"/>
    <cellStyle name="Comma 2 2 2 5 13" xfId="10734" xr:uid="{00000000-0005-0000-0000-00001E2A0000}"/>
    <cellStyle name="Comma 2 2 2 5 14" xfId="5026" xr:uid="{00000000-0005-0000-0000-0000D2130000}"/>
    <cellStyle name="Comma 2 2 2 5 15" xfId="10763" xr:uid="{00000000-0005-0000-0000-00003B2A0000}"/>
    <cellStyle name="Comma 2 2 2 5 16" xfId="10397" xr:uid="{00000000-0005-0000-0000-0000CD280000}"/>
    <cellStyle name="Comma 2 2 2 5 17" xfId="10768" xr:uid="{00000000-0005-0000-0000-0000402A0000}"/>
    <cellStyle name="Comma 2 2 2 5 18" xfId="11768" xr:uid="{00000000-0005-0000-0000-0000282E0000}"/>
    <cellStyle name="Comma 2 2 2 5 19" xfId="11771" xr:uid="{00000000-0005-0000-0000-00002B2E0000}"/>
    <cellStyle name="Comma 2 2 2 5 2" xfId="9602" xr:uid="{00000000-0005-0000-0000-0000B2250000}"/>
    <cellStyle name="Comma 2 2 2 5 2 10" xfId="11780" xr:uid="{00000000-0005-0000-0000-0000342E0000}"/>
    <cellStyle name="Comma 2 2 2 5 2 11" xfId="11788" xr:uid="{00000000-0005-0000-0000-00003C2E0000}"/>
    <cellStyle name="Comma 2 2 2 5 2 12" xfId="11796" xr:uid="{00000000-0005-0000-0000-0000442E0000}"/>
    <cellStyle name="Comma 2 2 2 5 2 13" xfId="11800" xr:uid="{00000000-0005-0000-0000-0000482E0000}"/>
    <cellStyle name="Comma 2 2 2 5 2 14" xfId="11807" xr:uid="{00000000-0005-0000-0000-00004F2E0000}"/>
    <cellStyle name="Comma 2 2 2 5 2 15" xfId="4515" xr:uid="{00000000-0005-0000-0000-0000D3110000}"/>
    <cellStyle name="Comma 2 2 2 5 2 16" xfId="2415" xr:uid="{00000000-0005-0000-0000-00009F090000}"/>
    <cellStyle name="Comma 2 2 2 5 2 17" xfId="11813" xr:uid="{00000000-0005-0000-0000-0000552E0000}"/>
    <cellStyle name="Comma 2 2 2 5 2 18" xfId="11817" xr:uid="{00000000-0005-0000-0000-0000592E0000}"/>
    <cellStyle name="Comma 2 2 2 5 2 2" xfId="7938" xr:uid="{00000000-0005-0000-0000-0000321F0000}"/>
    <cellStyle name="Comma 2 2 2 5 2 2 10" xfId="5536" xr:uid="{00000000-0005-0000-0000-0000D0150000}"/>
    <cellStyle name="Comma 2 2 2 5 2 2 11" xfId="953" xr:uid="{00000000-0005-0000-0000-0000E9030000}"/>
    <cellStyle name="Comma 2 2 2 5 2 2 12" xfId="5547" xr:uid="{00000000-0005-0000-0000-0000DB150000}"/>
    <cellStyle name="Comma 2 2 2 5 2 2 2" xfId="460" xr:uid="{00000000-0005-0000-0000-0000E9010000}"/>
    <cellStyle name="Comma 2 2 2 5 2 2 2 2" xfId="11457" xr:uid="{00000000-0005-0000-0000-0000F12C0000}"/>
    <cellStyle name="Comma 2 2 2 5 2 2 2 2 2" xfId="11465" xr:uid="{00000000-0005-0000-0000-0000F92C0000}"/>
    <cellStyle name="Comma 2 2 2 5 2 2 2 3" xfId="11479" xr:uid="{00000000-0005-0000-0000-0000072D0000}"/>
    <cellStyle name="Comma 2 2 2 5 2 2 2 4" xfId="10897" xr:uid="{00000000-0005-0000-0000-0000C12A0000}"/>
    <cellStyle name="Comma 2 2 2 5 2 2 2 5" xfId="10904" xr:uid="{00000000-0005-0000-0000-0000C82A0000}"/>
    <cellStyle name="Comma 2 2 2 5 2 2 3" xfId="8284" xr:uid="{00000000-0005-0000-0000-00008C200000}"/>
    <cellStyle name="Comma 2 2 2 5 2 2 3 2" xfId="6766" xr:uid="{00000000-0005-0000-0000-00009E1A0000}"/>
    <cellStyle name="Comma 2 2 2 5 2 2 4" xfId="9031" xr:uid="{00000000-0005-0000-0000-000077230000}"/>
    <cellStyle name="Comma 2 2 2 5 2 2 5" xfId="3776" xr:uid="{00000000-0005-0000-0000-0000F00E0000}"/>
    <cellStyle name="Comma 2 2 2 5 2 2 6" xfId="678" xr:uid="{00000000-0005-0000-0000-0000D6020000}"/>
    <cellStyle name="Comma 2 2 2 5 2 2 7" xfId="3844" xr:uid="{00000000-0005-0000-0000-0000340F0000}"/>
    <cellStyle name="Comma 2 2 2 5 2 2 8" xfId="3830" xr:uid="{00000000-0005-0000-0000-0000260F0000}"/>
    <cellStyle name="Comma 2 2 2 5 2 2 9" xfId="3873" xr:uid="{00000000-0005-0000-0000-0000510F0000}"/>
    <cellStyle name="Comma 2 2 2 5 2 3" xfId="1156" xr:uid="{00000000-0005-0000-0000-0000B4040000}"/>
    <cellStyle name="Comma 2 2 2 5 2 3 10" xfId="3387" xr:uid="{00000000-0005-0000-0000-00006B0D0000}"/>
    <cellStyle name="Comma 2 2 2 5 2 3 11" xfId="3405" xr:uid="{00000000-0005-0000-0000-00007D0D0000}"/>
    <cellStyle name="Comma 2 2 2 5 2 3 12" xfId="2145" xr:uid="{00000000-0005-0000-0000-000091080000}"/>
    <cellStyle name="Comma 2 2 2 5 2 3 2" xfId="11820" xr:uid="{00000000-0005-0000-0000-00005C2E0000}"/>
    <cellStyle name="Comma 2 2 2 5 2 3 2 2" xfId="11823" xr:uid="{00000000-0005-0000-0000-00005F2E0000}"/>
    <cellStyle name="Comma 2 2 2 5 2 3 2 2 2" xfId="11826" xr:uid="{00000000-0005-0000-0000-0000622E0000}"/>
    <cellStyle name="Comma 2 2 2 5 2 3 2 3" xfId="11831" xr:uid="{00000000-0005-0000-0000-0000672E0000}"/>
    <cellStyle name="Comma 2 2 2 5 2 3 2 4" xfId="10964" xr:uid="{00000000-0005-0000-0000-0000042B0000}"/>
    <cellStyle name="Comma 2 2 2 5 2 3 2 5" xfId="2614" xr:uid="{00000000-0005-0000-0000-0000660A0000}"/>
    <cellStyle name="Comma 2 2 2 5 2 3 3" xfId="11023" xr:uid="{00000000-0005-0000-0000-00003F2B0000}"/>
    <cellStyle name="Comma 2 2 2 5 2 3 3 2" xfId="7705" xr:uid="{00000000-0005-0000-0000-0000491E0000}"/>
    <cellStyle name="Comma 2 2 2 5 2 3 4" xfId="11198" xr:uid="{00000000-0005-0000-0000-0000EE2B0000}"/>
    <cellStyle name="Comma 2 2 2 5 2 3 5" xfId="3921" xr:uid="{00000000-0005-0000-0000-0000810F0000}"/>
    <cellStyle name="Comma 2 2 2 5 2 3 6" xfId="208" xr:uid="{00000000-0005-0000-0000-0000E0000000}"/>
    <cellStyle name="Comma 2 2 2 5 2 3 7" xfId="11385" xr:uid="{00000000-0005-0000-0000-0000A92C0000}"/>
    <cellStyle name="Comma 2 2 2 5 2 3 8" xfId="11424" xr:uid="{00000000-0005-0000-0000-0000D02C0000}"/>
    <cellStyle name="Comma 2 2 2 5 2 3 9" xfId="4939" xr:uid="{00000000-0005-0000-0000-00007B130000}"/>
    <cellStyle name="Comma 2 2 2 5 2 4" xfId="7948" xr:uid="{00000000-0005-0000-0000-00003C1F0000}"/>
    <cellStyle name="Comma 2 2 2 5 2 4 10" xfId="4259" xr:uid="{00000000-0005-0000-0000-0000D3100000}"/>
    <cellStyle name="Comma 2 2 2 5 2 4 2" xfId="11838" xr:uid="{00000000-0005-0000-0000-00006E2E0000}"/>
    <cellStyle name="Comma 2 2 2 5 2 4 2 2" xfId="10220" xr:uid="{00000000-0005-0000-0000-00001C280000}"/>
    <cellStyle name="Comma 2 2 2 5 2 4 2 2 2" xfId="10592" xr:uid="{00000000-0005-0000-0000-000090290000}"/>
    <cellStyle name="Comma 2 2 2 5 2 4 2 3" xfId="10228" xr:uid="{00000000-0005-0000-0000-000024280000}"/>
    <cellStyle name="Comma 2 2 2 5 2 4 2 4" xfId="1922" xr:uid="{00000000-0005-0000-0000-0000B2070000}"/>
    <cellStyle name="Comma 2 2 2 5 2 4 2 5" xfId="2546" xr:uid="{00000000-0005-0000-0000-0000220A0000}"/>
    <cellStyle name="Comma 2 2 2 5 2 4 3" xfId="11507" xr:uid="{00000000-0005-0000-0000-0000232D0000}"/>
    <cellStyle name="Comma 2 2 2 5 2 4 3 2" xfId="7790" xr:uid="{00000000-0005-0000-0000-00009E1E0000}"/>
    <cellStyle name="Comma 2 2 2 5 2 4 4" xfId="11603" xr:uid="{00000000-0005-0000-0000-0000832D0000}"/>
    <cellStyle name="Comma 2 2 2 5 2 4 5" xfId="3937" xr:uid="{00000000-0005-0000-0000-0000910F0000}"/>
    <cellStyle name="Comma 2 2 2 5 2 4 6" xfId="11705" xr:uid="{00000000-0005-0000-0000-0000E92D0000}"/>
    <cellStyle name="Comma 2 2 2 5 2 4 7" xfId="11729" xr:uid="{00000000-0005-0000-0000-0000012E0000}"/>
    <cellStyle name="Comma 2 2 2 5 2 4 8" xfId="10390" xr:uid="{00000000-0005-0000-0000-0000C6280000}"/>
    <cellStyle name="Comma 2 2 2 5 2 4 9" xfId="4216" xr:uid="{00000000-0005-0000-0000-0000A8100000}"/>
    <cellStyle name="Comma 2 2 2 5 2 5" xfId="3024" xr:uid="{00000000-0005-0000-0000-0000000C0000}"/>
    <cellStyle name="Comma 2 2 2 5 2 5 10" xfId="11843" xr:uid="{00000000-0005-0000-0000-0000732E0000}"/>
    <cellStyle name="Comma 2 2 2 5 2 5 2" xfId="9592" xr:uid="{00000000-0005-0000-0000-0000A8250000}"/>
    <cellStyle name="Comma 2 2 2 5 2 5 2 2" xfId="11845" xr:uid="{00000000-0005-0000-0000-0000752E0000}"/>
    <cellStyle name="Comma 2 2 2 5 2 5 2 2 2" xfId="11852" xr:uid="{00000000-0005-0000-0000-00007C2E0000}"/>
    <cellStyle name="Comma 2 2 2 5 2 5 2 3" xfId="2820" xr:uid="{00000000-0005-0000-0000-0000340B0000}"/>
    <cellStyle name="Comma 2 2 2 5 2 5 2 4" xfId="11855" xr:uid="{00000000-0005-0000-0000-00007F2E0000}"/>
    <cellStyle name="Comma 2 2 2 5 2 5 2 5" xfId="3011" xr:uid="{00000000-0005-0000-0000-0000F30B0000}"/>
    <cellStyle name="Comma 2 2 2 5 2 5 3" xfId="9601" xr:uid="{00000000-0005-0000-0000-0000B1250000}"/>
    <cellStyle name="Comma 2 2 2 5 2 5 3 2" xfId="7937" xr:uid="{00000000-0005-0000-0000-0000311F0000}"/>
    <cellStyle name="Comma 2 2 2 5 2 5 4" xfId="9613" xr:uid="{00000000-0005-0000-0000-0000BD250000}"/>
    <cellStyle name="Comma 2 2 2 5 2 5 5" xfId="3948" xr:uid="{00000000-0005-0000-0000-00009C0F0000}"/>
    <cellStyle name="Comma 2 2 2 5 2 5 6" xfId="9627" xr:uid="{00000000-0005-0000-0000-0000CB250000}"/>
    <cellStyle name="Comma 2 2 2 5 2 5 7" xfId="85" xr:uid="{00000000-0005-0000-0000-00005B000000}"/>
    <cellStyle name="Comma 2 2 2 5 2 5 8" xfId="10440" xr:uid="{00000000-0005-0000-0000-0000F8280000}"/>
    <cellStyle name="Comma 2 2 2 5 2 5 9" xfId="5199" xr:uid="{00000000-0005-0000-0000-00007F140000}"/>
    <cellStyle name="Comma 2 2 2 5 2 6" xfId="11858" xr:uid="{00000000-0005-0000-0000-0000822E0000}"/>
    <cellStyle name="Comma 2 2 2 5 2 6 2" xfId="11864" xr:uid="{00000000-0005-0000-0000-0000882E0000}"/>
    <cellStyle name="Comma 2 2 2 5 2 6 2 2" xfId="11870" xr:uid="{00000000-0005-0000-0000-00008E2E0000}"/>
    <cellStyle name="Comma 2 2 2 5 2 6 3" xfId="11877" xr:uid="{00000000-0005-0000-0000-0000952E0000}"/>
    <cellStyle name="Comma 2 2 2 5 2 6 4" xfId="10275" xr:uid="{00000000-0005-0000-0000-000053280000}"/>
    <cellStyle name="Comma 2 2 2 5 2 6 5" xfId="3963" xr:uid="{00000000-0005-0000-0000-0000AB0F0000}"/>
    <cellStyle name="Comma 2 2 2 5 2 6 6" xfId="11882" xr:uid="{00000000-0005-0000-0000-00009A2E0000}"/>
    <cellStyle name="Comma 2 2 2 5 2 6 7" xfId="11888" xr:uid="{00000000-0005-0000-0000-0000A02E0000}"/>
    <cellStyle name="Comma 2 2 2 5 2 6 8" xfId="10509" xr:uid="{00000000-0005-0000-0000-00003D290000}"/>
    <cellStyle name="Comma 2 2 2 5 2 6 9" xfId="5210" xr:uid="{00000000-0005-0000-0000-00008A140000}"/>
    <cellStyle name="Comma 2 2 2 5 2 7" xfId="6967" xr:uid="{00000000-0005-0000-0000-0000671B0000}"/>
    <cellStyle name="Comma 2 2 2 5 2 7 2" xfId="6970" xr:uid="{00000000-0005-0000-0000-00006A1B0000}"/>
    <cellStyle name="Comma 2 2 2 5 2 8" xfId="6983" xr:uid="{00000000-0005-0000-0000-0000771B0000}"/>
    <cellStyle name="Comma 2 2 2 5 2 9" xfId="6993" xr:uid="{00000000-0005-0000-0000-0000811B0000}"/>
    <cellStyle name="Comma 2 2 2 5 20" xfId="10762" xr:uid="{00000000-0005-0000-0000-00003A2A0000}"/>
    <cellStyle name="Comma 2 2 2 5 21" xfId="10396" xr:uid="{00000000-0005-0000-0000-0000CC280000}"/>
    <cellStyle name="Comma 2 2 2 5 22" xfId="10767" xr:uid="{00000000-0005-0000-0000-00003F2A0000}"/>
    <cellStyle name="Comma 2 2 2 5 23" xfId="11767" xr:uid="{00000000-0005-0000-0000-0000272E0000}"/>
    <cellStyle name="Comma 2 2 2 5 3" xfId="9612" xr:uid="{00000000-0005-0000-0000-0000BC250000}"/>
    <cellStyle name="Comma 2 2 2 5 3 10" xfId="11895" xr:uid="{00000000-0005-0000-0000-0000A72E0000}"/>
    <cellStyle name="Comma 2 2 2 5 3 11" xfId="11898" xr:uid="{00000000-0005-0000-0000-0000AA2E0000}"/>
    <cellStyle name="Comma 2 2 2 5 3 12" xfId="11901" xr:uid="{00000000-0005-0000-0000-0000AD2E0000}"/>
    <cellStyle name="Comma 2 2 2 5 3 13" xfId="11904" xr:uid="{00000000-0005-0000-0000-0000B02E0000}"/>
    <cellStyle name="Comma 2 2 2 5 3 14" xfId="11905" xr:uid="{00000000-0005-0000-0000-0000B12E0000}"/>
    <cellStyle name="Comma 2 2 2 5 3 15" xfId="1546" xr:uid="{00000000-0005-0000-0000-00003A060000}"/>
    <cellStyle name="Comma 2 2 2 5 3 16" xfId="1573" xr:uid="{00000000-0005-0000-0000-000055060000}"/>
    <cellStyle name="Comma 2 2 2 5 3 17" xfId="1607" xr:uid="{00000000-0005-0000-0000-000077060000}"/>
    <cellStyle name="Comma 2 2 2 5 3 18" xfId="1660" xr:uid="{00000000-0005-0000-0000-0000AC060000}"/>
    <cellStyle name="Comma 2 2 2 5 3 2" xfId="7960" xr:uid="{00000000-0005-0000-0000-0000481F0000}"/>
    <cellStyle name="Comma 2 2 2 5 3 2 10" xfId="4045" xr:uid="{00000000-0005-0000-0000-0000FD0F0000}"/>
    <cellStyle name="Comma 2 2 2 5 3 2 2" xfId="5310" xr:uid="{00000000-0005-0000-0000-0000EE140000}"/>
    <cellStyle name="Comma 2 2 2 5 3 2 2 2" xfId="5315" xr:uid="{00000000-0005-0000-0000-0000F3140000}"/>
    <cellStyle name="Comma 2 2 2 5 3 2 3" xfId="4543" xr:uid="{00000000-0005-0000-0000-0000EF110000}"/>
    <cellStyle name="Comma 2 2 2 5 3 2 4" xfId="11907" xr:uid="{00000000-0005-0000-0000-0000B32E0000}"/>
    <cellStyle name="Comma 2 2 2 5 3 2 5" xfId="3989" xr:uid="{00000000-0005-0000-0000-0000C50F0000}"/>
    <cellStyle name="Comma 2 2 2 5 3 2 6" xfId="1145" xr:uid="{00000000-0005-0000-0000-0000A9040000}"/>
    <cellStyle name="Comma 2 2 2 5 3 2 7" xfId="1185" xr:uid="{00000000-0005-0000-0000-0000D1040000}"/>
    <cellStyle name="Comma 2 2 2 5 3 2 8" xfId="1208" xr:uid="{00000000-0005-0000-0000-0000E8040000}"/>
    <cellStyle name="Comma 2 2 2 5 3 2 9" xfId="1219" xr:uid="{00000000-0005-0000-0000-0000F3040000}"/>
    <cellStyle name="Comma 2 2 2 5 3 3" xfId="11910" xr:uid="{00000000-0005-0000-0000-0000B62E0000}"/>
    <cellStyle name="Comma 2 2 2 5 3 3 2" xfId="5619" xr:uid="{00000000-0005-0000-0000-000023160000}"/>
    <cellStyle name="Comma 2 2 2 5 3 3 3" xfId="5628" xr:uid="{00000000-0005-0000-0000-00002C160000}"/>
    <cellStyle name="Comma 2 2 2 5 3 3 4" xfId="11911" xr:uid="{00000000-0005-0000-0000-0000B72E0000}"/>
    <cellStyle name="Comma 2 2 2 5 3 3 5" xfId="4016" xr:uid="{00000000-0005-0000-0000-0000E00F0000}"/>
    <cellStyle name="Comma 2 2 2 5 3 3 6" xfId="537" xr:uid="{00000000-0005-0000-0000-00003D020000}"/>
    <cellStyle name="Comma 2 2 2 5 3 4" xfId="11915" xr:uid="{00000000-0005-0000-0000-0000BB2E0000}"/>
    <cellStyle name="Comma 2 2 2 5 3 4 2" xfId="935" xr:uid="{00000000-0005-0000-0000-0000D7030000}"/>
    <cellStyle name="Comma 2 2 2 5 3 4 3" xfId="961" xr:uid="{00000000-0005-0000-0000-0000F1030000}"/>
    <cellStyle name="Comma 2 2 2 5 3 4 4" xfId="984" xr:uid="{00000000-0005-0000-0000-000008040000}"/>
    <cellStyle name="Comma 2 2 2 5 3 4 5" xfId="4025" xr:uid="{00000000-0005-0000-0000-0000E90F0000}"/>
    <cellStyle name="Comma 2 2 2 5 3 4 6" xfId="1276" xr:uid="{00000000-0005-0000-0000-00002C050000}"/>
    <cellStyle name="Comma 2 2 2 5 3 5" xfId="562" xr:uid="{00000000-0005-0000-0000-000058020000}"/>
    <cellStyle name="Comma 2 2 2 5 3 5 2" xfId="6351" xr:uid="{00000000-0005-0000-0000-0000FF180000}"/>
    <cellStyle name="Comma 2 2 2 5 3 5 3" xfId="6366" xr:uid="{00000000-0005-0000-0000-00000E190000}"/>
    <cellStyle name="Comma 2 2 2 5 3 5 4" xfId="11917" xr:uid="{00000000-0005-0000-0000-0000BD2E0000}"/>
    <cellStyle name="Comma 2 2 2 5 3 5 5" xfId="4032" xr:uid="{00000000-0005-0000-0000-0000F00F0000}"/>
    <cellStyle name="Comma 2 2 2 5 3 5 6" xfId="1290" xr:uid="{00000000-0005-0000-0000-00003A050000}"/>
    <cellStyle name="Comma 2 2 2 5 3 6" xfId="11921" xr:uid="{00000000-0005-0000-0000-0000C12E0000}"/>
    <cellStyle name="Comma 2 2 2 5 3 6 2" xfId="11924" xr:uid="{00000000-0005-0000-0000-0000C42E0000}"/>
    <cellStyle name="Comma 2 2 2 5 3 6 3" xfId="11930" xr:uid="{00000000-0005-0000-0000-0000CA2E0000}"/>
    <cellStyle name="Comma 2 2 2 5 3 6 4" xfId="11936" xr:uid="{00000000-0005-0000-0000-0000D02E0000}"/>
    <cellStyle name="Comma 2 2 2 5 3 6 5" xfId="4048" xr:uid="{00000000-0005-0000-0000-000000100000}"/>
    <cellStyle name="Comma 2 2 2 5 3 6 6" xfId="1312" xr:uid="{00000000-0005-0000-0000-000050050000}"/>
    <cellStyle name="Comma 2 2 2 5 3 7" xfId="613" xr:uid="{00000000-0005-0000-0000-00008F020000}"/>
    <cellStyle name="Comma 2 2 2 5 3 8" xfId="11942" xr:uid="{00000000-0005-0000-0000-0000D62E0000}"/>
    <cellStyle name="Comma 2 2 2 5 3 9" xfId="11943" xr:uid="{00000000-0005-0000-0000-0000D72E0000}"/>
    <cellStyle name="Comma 2 2 2 5 4" xfId="3947" xr:uid="{00000000-0005-0000-0000-00009B0F0000}"/>
    <cellStyle name="Comma 2 2 2 5 4 10" xfId="11948" xr:uid="{00000000-0005-0000-0000-0000DC2E0000}"/>
    <cellStyle name="Comma 2 2 2 5 4 11" xfId="11952" xr:uid="{00000000-0005-0000-0000-0000E02E0000}"/>
    <cellStyle name="Comma 2 2 2 5 4 12" xfId="11954" xr:uid="{00000000-0005-0000-0000-0000E22E0000}"/>
    <cellStyle name="Comma 2 2 2 5 4 13" xfId="10183" xr:uid="{00000000-0005-0000-0000-0000F7270000}"/>
    <cellStyle name="Comma 2 2 2 5 4 14" xfId="10191" xr:uid="{00000000-0005-0000-0000-0000FF270000}"/>
    <cellStyle name="Comma 2 2 2 5 4 15" xfId="10197" xr:uid="{00000000-0005-0000-0000-000005280000}"/>
    <cellStyle name="Comma 2 2 2 5 4 2" xfId="10645" xr:uid="{00000000-0005-0000-0000-0000C5290000}"/>
    <cellStyle name="Comma 2 2 2 5 4 2 2" xfId="4648" xr:uid="{00000000-0005-0000-0000-000058120000}"/>
    <cellStyle name="Comma 2 2 2 5 4 2 2 2" xfId="4658" xr:uid="{00000000-0005-0000-0000-000062120000}"/>
    <cellStyle name="Comma 2 2 2 5 4 2 3" xfId="1980" xr:uid="{00000000-0005-0000-0000-0000EC070000}"/>
    <cellStyle name="Comma 2 2 2 5 4 2 4" xfId="4678" xr:uid="{00000000-0005-0000-0000-000076120000}"/>
    <cellStyle name="Comma 2 2 2 5 4 2 5" xfId="4702" xr:uid="{00000000-0005-0000-0000-00008E120000}"/>
    <cellStyle name="Comma 2 2 2 5 4 2 6" xfId="1389" xr:uid="{00000000-0005-0000-0000-00009D050000}"/>
    <cellStyle name="Comma 2 2 2 5 4 2 7" xfId="4731" xr:uid="{00000000-0005-0000-0000-0000AB120000}"/>
    <cellStyle name="Comma 2 2 2 5 4 2 8" xfId="4752" xr:uid="{00000000-0005-0000-0000-0000C0120000}"/>
    <cellStyle name="Comma 2 2 2 5 4 2 9" xfId="4360" xr:uid="{00000000-0005-0000-0000-000038110000}"/>
    <cellStyle name="Comma 2 2 2 5 4 3" xfId="10652" xr:uid="{00000000-0005-0000-0000-0000CC290000}"/>
    <cellStyle name="Comma 2 2 2 5 4 3 2" xfId="11961" xr:uid="{00000000-0005-0000-0000-0000E92E0000}"/>
    <cellStyle name="Comma 2 2 2 5 4 3 3" xfId="6009" xr:uid="{00000000-0005-0000-0000-0000A9170000}"/>
    <cellStyle name="Comma 2 2 2 5 4 3 4" xfId="11964" xr:uid="{00000000-0005-0000-0000-0000EC2E0000}"/>
    <cellStyle name="Comma 2 2 2 5 4 3 5" xfId="7639" xr:uid="{00000000-0005-0000-0000-0000071E0000}"/>
    <cellStyle name="Comma 2 2 2 5 4 3 6" xfId="1423" xr:uid="{00000000-0005-0000-0000-0000BF050000}"/>
    <cellStyle name="Comma 2 2 2 5 4 4" xfId="10658" xr:uid="{00000000-0005-0000-0000-0000D2290000}"/>
    <cellStyle name="Comma 2 2 2 5 4 4 2" xfId="11972" xr:uid="{00000000-0005-0000-0000-0000F42E0000}"/>
    <cellStyle name="Comma 2 2 2 5 4 5" xfId="3026" xr:uid="{00000000-0005-0000-0000-0000020C0000}"/>
    <cellStyle name="Comma 2 2 2 5 4 6" xfId="10662" xr:uid="{00000000-0005-0000-0000-0000D6290000}"/>
    <cellStyle name="Comma 2 2 2 5 4 7" xfId="7011" xr:uid="{00000000-0005-0000-0000-0000931B0000}"/>
    <cellStyle name="Comma 2 2 2 5 4 8" xfId="4" xr:uid="{00000000-0005-0000-0000-000004000000}"/>
    <cellStyle name="Comma 2 2 2 5 4 9" xfId="11973" xr:uid="{00000000-0005-0000-0000-0000F52E0000}"/>
    <cellStyle name="Comma 2 2 2 5 5" xfId="9626" xr:uid="{00000000-0005-0000-0000-0000CA250000}"/>
    <cellStyle name="Comma 2 2 2 5 5 10" xfId="11585" xr:uid="{00000000-0005-0000-0000-0000712D0000}"/>
    <cellStyle name="Comma 2 2 2 5 5 11" xfId="11589" xr:uid="{00000000-0005-0000-0000-0000752D0000}"/>
    <cellStyle name="Comma 2 2 2 5 5 12" xfId="4807" xr:uid="{00000000-0005-0000-0000-0000F7120000}"/>
    <cellStyle name="Comma 2 2 2 5 5 13" xfId="11974" xr:uid="{00000000-0005-0000-0000-0000F62E0000}"/>
    <cellStyle name="Comma 2 2 2 5 5 2" xfId="9166" xr:uid="{00000000-0005-0000-0000-0000FE230000}"/>
    <cellStyle name="Comma 2 2 2 5 5 2 2" xfId="11981" xr:uid="{00000000-0005-0000-0000-0000FD2E0000}"/>
    <cellStyle name="Comma 2 2 2 5 5 2 2 2" xfId="4575" xr:uid="{00000000-0005-0000-0000-00000F120000}"/>
    <cellStyle name="Comma 2 2 2 5 5 2 3" xfId="2176" xr:uid="{00000000-0005-0000-0000-0000B0080000}"/>
    <cellStyle name="Comma 2 2 2 5 5 2 4" xfId="4623" xr:uid="{00000000-0005-0000-0000-00003F120000}"/>
    <cellStyle name="Comma 2 2 2 5 5 2 5" xfId="6211" xr:uid="{00000000-0005-0000-0000-000073180000}"/>
    <cellStyle name="Comma 2 2 2 5 5 2 6" xfId="4175" xr:uid="{00000000-0005-0000-0000-00007F100000}"/>
    <cellStyle name="Comma 2 2 2 5 5 2 7" xfId="6215" xr:uid="{00000000-0005-0000-0000-000077180000}"/>
    <cellStyle name="Comma 2 2 2 5 5 2 8" xfId="6219" xr:uid="{00000000-0005-0000-0000-00007B180000}"/>
    <cellStyle name="Comma 2 2 2 5 5 2 9" xfId="6222" xr:uid="{00000000-0005-0000-0000-00007E180000}"/>
    <cellStyle name="Comma 2 2 2 5 5 3" xfId="11983" xr:uid="{00000000-0005-0000-0000-0000FF2E0000}"/>
    <cellStyle name="Comma 2 2 2 5 5 3 2" xfId="2050" xr:uid="{00000000-0005-0000-0000-000032080000}"/>
    <cellStyle name="Comma 2 2 2 5 5 3 3" xfId="6233" xr:uid="{00000000-0005-0000-0000-000089180000}"/>
    <cellStyle name="Comma 2 2 2 5 5 3 4" xfId="6669" xr:uid="{00000000-0005-0000-0000-00003D1A0000}"/>
    <cellStyle name="Comma 2 2 2 5 5 3 5" xfId="8194" xr:uid="{00000000-0005-0000-0000-000032200000}"/>
    <cellStyle name="Comma 2 2 2 5 5 3 6" xfId="11987" xr:uid="{00000000-0005-0000-0000-0000032F0000}"/>
    <cellStyle name="Comma 2 2 2 5 5 4" xfId="11989" xr:uid="{00000000-0005-0000-0000-0000052F0000}"/>
    <cellStyle name="Comma 2 2 2 5 5 4 2" xfId="2250" xr:uid="{00000000-0005-0000-0000-0000FA080000}"/>
    <cellStyle name="Comma 2 2 2 5 5 5" xfId="3035" xr:uid="{00000000-0005-0000-0000-00000B0C0000}"/>
    <cellStyle name="Comma 2 2 2 5 5 6" xfId="11992" xr:uid="{00000000-0005-0000-0000-0000082F0000}"/>
    <cellStyle name="Comma 2 2 2 5 5 7" xfId="11995" xr:uid="{00000000-0005-0000-0000-00000B2F0000}"/>
    <cellStyle name="Comma 2 2 2 5 5 8" xfId="11998" xr:uid="{00000000-0005-0000-0000-00000E2F0000}"/>
    <cellStyle name="Comma 2 2 2 5 5 9" xfId="12000" xr:uid="{00000000-0005-0000-0000-0000102F0000}"/>
    <cellStyle name="Comma 2 2 2 5 6" xfId="84" xr:uid="{00000000-0005-0000-0000-00005A000000}"/>
    <cellStyle name="Comma 2 2 2 5 6 10" xfId="8293" xr:uid="{00000000-0005-0000-0000-000095200000}"/>
    <cellStyle name="Comma 2 2 2 5 6 11" xfId="8299" xr:uid="{00000000-0005-0000-0000-00009B200000}"/>
    <cellStyle name="Comma 2 2 2 5 6 12" xfId="465" xr:uid="{00000000-0005-0000-0000-0000EF010000}"/>
    <cellStyle name="Comma 2 2 2 5 6 2" xfId="12003" xr:uid="{00000000-0005-0000-0000-0000132F0000}"/>
    <cellStyle name="Comma 2 2 2 5 6 2 2" xfId="12007" xr:uid="{00000000-0005-0000-0000-0000172F0000}"/>
    <cellStyle name="Comma 2 2 2 5 6 2 2 2" xfId="12013" xr:uid="{00000000-0005-0000-0000-00001D2F0000}"/>
    <cellStyle name="Comma 2 2 2 5 6 2 3" xfId="6275" xr:uid="{00000000-0005-0000-0000-0000B3180000}"/>
    <cellStyle name="Comma 2 2 2 5 6 2 4" xfId="12020" xr:uid="{00000000-0005-0000-0000-0000242F0000}"/>
    <cellStyle name="Comma 2 2 2 5 6 2 5" xfId="12023" xr:uid="{00000000-0005-0000-0000-0000272F0000}"/>
    <cellStyle name="Comma 2 2 2 5 6 2 6" xfId="12026" xr:uid="{00000000-0005-0000-0000-00002A2F0000}"/>
    <cellStyle name="Comma 2 2 2 5 6 2 7" xfId="12028" xr:uid="{00000000-0005-0000-0000-00002C2F0000}"/>
    <cellStyle name="Comma 2 2 2 5 6 2 8" xfId="12030" xr:uid="{00000000-0005-0000-0000-00002E2F0000}"/>
    <cellStyle name="Comma 2 2 2 5 6 2 9" xfId="12032" xr:uid="{00000000-0005-0000-0000-0000302F0000}"/>
    <cellStyle name="Comma 2 2 2 5 6 3" xfId="12034" xr:uid="{00000000-0005-0000-0000-0000322F0000}"/>
    <cellStyle name="Comma 2 2 2 5 6 3 2" xfId="12037" xr:uid="{00000000-0005-0000-0000-0000352F0000}"/>
    <cellStyle name="Comma 2 2 2 5 6 3 3" xfId="6282" xr:uid="{00000000-0005-0000-0000-0000BA180000}"/>
    <cellStyle name="Comma 2 2 2 5 6 3 4" xfId="12041" xr:uid="{00000000-0005-0000-0000-0000392F0000}"/>
    <cellStyle name="Comma 2 2 2 5 6 3 5" xfId="12044" xr:uid="{00000000-0005-0000-0000-00003C2F0000}"/>
    <cellStyle name="Comma 2 2 2 5 6 3 6" xfId="12047" xr:uid="{00000000-0005-0000-0000-00003F2F0000}"/>
    <cellStyle name="Comma 2 2 2 5 6 4" xfId="12049" xr:uid="{00000000-0005-0000-0000-0000412F0000}"/>
    <cellStyle name="Comma 2 2 2 5 6 4 2" xfId="12052" xr:uid="{00000000-0005-0000-0000-0000442F0000}"/>
    <cellStyle name="Comma 2 2 2 5 6 5" xfId="12057" xr:uid="{00000000-0005-0000-0000-0000492F0000}"/>
    <cellStyle name="Comma 2 2 2 5 6 6" xfId="7697" xr:uid="{00000000-0005-0000-0000-0000411E0000}"/>
    <cellStyle name="Comma 2 2 2 5 6 7" xfId="7714" xr:uid="{00000000-0005-0000-0000-0000521E0000}"/>
    <cellStyle name="Comma 2 2 2 5 6 8" xfId="7723" xr:uid="{00000000-0005-0000-0000-00005B1E0000}"/>
    <cellStyle name="Comma 2 2 2 5 6 9" xfId="7730" xr:uid="{00000000-0005-0000-0000-0000621E0000}"/>
    <cellStyle name="Comma 2 2 2 5 7" xfId="10439" xr:uid="{00000000-0005-0000-0000-0000F7280000}"/>
    <cellStyle name="Comma 2 2 2 5 7 2" xfId="10447" xr:uid="{00000000-0005-0000-0000-0000FF280000}"/>
    <cellStyle name="Comma 2 2 2 5 7 2 2" xfId="10454" xr:uid="{00000000-0005-0000-0000-000006290000}"/>
    <cellStyle name="Comma 2 2 2 5 7 3" xfId="10459" xr:uid="{00000000-0005-0000-0000-00000B290000}"/>
    <cellStyle name="Comma 2 2 2 5 7 4" xfId="10463" xr:uid="{00000000-0005-0000-0000-00000F290000}"/>
    <cellStyle name="Comma 2 2 2 5 7 5" xfId="7609" xr:uid="{00000000-0005-0000-0000-0000E91D0000}"/>
    <cellStyle name="Comma 2 2 2 5 7 6" xfId="7778" xr:uid="{00000000-0005-0000-0000-0000921E0000}"/>
    <cellStyle name="Comma 2 2 2 5 7 7" xfId="7813" xr:uid="{00000000-0005-0000-0000-0000B51E0000}"/>
    <cellStyle name="Comma 2 2 2 5 7 8" xfId="7825" xr:uid="{00000000-0005-0000-0000-0000C11E0000}"/>
    <cellStyle name="Comma 2 2 2 5 7 9" xfId="7840" xr:uid="{00000000-0005-0000-0000-0000D01E0000}"/>
    <cellStyle name="Comma 2 2 2 5 8" xfId="5198" xr:uid="{00000000-0005-0000-0000-00007E140000}"/>
    <cellStyle name="Comma 2 2 2 5 8 2" xfId="10469" xr:uid="{00000000-0005-0000-0000-000015290000}"/>
    <cellStyle name="Comma 2 2 2 5 8 3" xfId="12060" xr:uid="{00000000-0005-0000-0000-00004C2F0000}"/>
    <cellStyle name="Comma 2 2 2 5 8 4" xfId="12061" xr:uid="{00000000-0005-0000-0000-00004D2F0000}"/>
    <cellStyle name="Comma 2 2 2 5 8 5" xfId="12062" xr:uid="{00000000-0005-0000-0000-00004E2F0000}"/>
    <cellStyle name="Comma 2 2 2 5 8 6" xfId="7900" xr:uid="{00000000-0005-0000-0000-00000C1F0000}"/>
    <cellStyle name="Comma 2 2 2 5 9" xfId="10479" xr:uid="{00000000-0005-0000-0000-00001F290000}"/>
    <cellStyle name="Comma 2 2 2 5 9 2" xfId="10776" xr:uid="{00000000-0005-0000-0000-0000482A0000}"/>
    <cellStyle name="Comma 2 2 2 5 9 3" xfId="10782" xr:uid="{00000000-0005-0000-0000-00004E2A0000}"/>
    <cellStyle name="Comma 2 2 2 5 9 4" xfId="10789" xr:uid="{00000000-0005-0000-0000-0000552A0000}"/>
    <cellStyle name="Comma 2 2 2 5 9 5" xfId="10796" xr:uid="{00000000-0005-0000-0000-00005C2A0000}"/>
    <cellStyle name="Comma 2 2 2 5 9 6" xfId="5652" xr:uid="{00000000-0005-0000-0000-000044160000}"/>
    <cellStyle name="Comma 2 2 2 6" xfId="2161" xr:uid="{00000000-0005-0000-0000-0000A1080000}"/>
    <cellStyle name="Comma 2 2 2 6 10" xfId="6690" xr:uid="{00000000-0005-0000-0000-0000521A0000}"/>
    <cellStyle name="Comma 2 2 2 6 11" xfId="5228" xr:uid="{00000000-0005-0000-0000-00009C140000}"/>
    <cellStyle name="Comma 2 2 2 6 12" xfId="12065" xr:uid="{00000000-0005-0000-0000-0000512F0000}"/>
    <cellStyle name="Comma 2 2 2 6 13" xfId="12068" xr:uid="{00000000-0005-0000-0000-0000542F0000}"/>
    <cellStyle name="Comma 2 2 2 6 14" xfId="12071" xr:uid="{00000000-0005-0000-0000-0000572F0000}"/>
    <cellStyle name="Comma 2 2 2 6 15" xfId="12075" xr:uid="{00000000-0005-0000-0000-00005B2F0000}"/>
    <cellStyle name="Comma 2 2 2 6 16" xfId="8723" xr:uid="{00000000-0005-0000-0000-000043220000}"/>
    <cellStyle name="Comma 2 2 2 6 17" xfId="8728" xr:uid="{00000000-0005-0000-0000-000048220000}"/>
    <cellStyle name="Comma 2 2 2 6 18" xfId="5405" xr:uid="{00000000-0005-0000-0000-00004D150000}"/>
    <cellStyle name="Comma 2 2 2 6 2" xfId="11876" xr:uid="{00000000-0005-0000-0000-0000942E0000}"/>
    <cellStyle name="Comma 2 2 2 6 2 10" xfId="12076" xr:uid="{00000000-0005-0000-0000-00005C2F0000}"/>
    <cellStyle name="Comma 2 2 2 6 2 11" xfId="7212" xr:uid="{00000000-0005-0000-0000-00005C1C0000}"/>
    <cellStyle name="Comma 2 2 2 6 2 12" xfId="12078" xr:uid="{00000000-0005-0000-0000-00005E2F0000}"/>
    <cellStyle name="Comma 2 2 2 6 2 13" xfId="12079" xr:uid="{00000000-0005-0000-0000-00005F2F0000}"/>
    <cellStyle name="Comma 2 2 2 6 2 14" xfId="12085" xr:uid="{00000000-0005-0000-0000-0000652F0000}"/>
    <cellStyle name="Comma 2 2 2 6 2 2" xfId="7981" xr:uid="{00000000-0005-0000-0000-00005D1F0000}"/>
    <cellStyle name="Comma 2 2 2 6 2 2 10" xfId="1319" xr:uid="{00000000-0005-0000-0000-000057050000}"/>
    <cellStyle name="Comma 2 2 2 6 2 2 2" xfId="12089" xr:uid="{00000000-0005-0000-0000-0000692F0000}"/>
    <cellStyle name="Comma 2 2 2 6 2 2 2 2" xfId="12093" xr:uid="{00000000-0005-0000-0000-00006D2F0000}"/>
    <cellStyle name="Comma 2 2 2 6 2 2 3" xfId="12097" xr:uid="{00000000-0005-0000-0000-0000712F0000}"/>
    <cellStyle name="Comma 2 2 2 6 2 2 4" xfId="12101" xr:uid="{00000000-0005-0000-0000-0000752F0000}"/>
    <cellStyle name="Comma 2 2 2 6 2 2 5" xfId="12106" xr:uid="{00000000-0005-0000-0000-00007A2F0000}"/>
    <cellStyle name="Comma 2 2 2 6 2 2 6" xfId="1735" xr:uid="{00000000-0005-0000-0000-0000F7060000}"/>
    <cellStyle name="Comma 2 2 2 6 2 2 7" xfId="12111" xr:uid="{00000000-0005-0000-0000-00007F2F0000}"/>
    <cellStyle name="Comma 2 2 2 6 2 2 8" xfId="12115" xr:uid="{00000000-0005-0000-0000-0000832F0000}"/>
    <cellStyle name="Comma 2 2 2 6 2 2 9" xfId="842" xr:uid="{00000000-0005-0000-0000-00007A030000}"/>
    <cellStyle name="Comma 2 2 2 6 2 3" xfId="7988" xr:uid="{00000000-0005-0000-0000-0000641F0000}"/>
    <cellStyle name="Comma 2 2 2 6 2 3 2" xfId="12117" xr:uid="{00000000-0005-0000-0000-0000852F0000}"/>
    <cellStyle name="Comma 2 2 2 6 2 3 3" xfId="12119" xr:uid="{00000000-0005-0000-0000-0000872F0000}"/>
    <cellStyle name="Comma 2 2 2 6 2 3 4" xfId="12122" xr:uid="{00000000-0005-0000-0000-00008A2F0000}"/>
    <cellStyle name="Comma 2 2 2 6 2 3 5" xfId="12126" xr:uid="{00000000-0005-0000-0000-00008E2F0000}"/>
    <cellStyle name="Comma 2 2 2 6 2 3 6" xfId="1761" xr:uid="{00000000-0005-0000-0000-000011070000}"/>
    <cellStyle name="Comma 2 2 2 6 2 4" xfId="7992" xr:uid="{00000000-0005-0000-0000-0000681F0000}"/>
    <cellStyle name="Comma 2 2 2 6 2 4 2" xfId="12131" xr:uid="{00000000-0005-0000-0000-0000932F0000}"/>
    <cellStyle name="Comma 2 2 2 6 2 4 3" xfId="12133" xr:uid="{00000000-0005-0000-0000-0000952F0000}"/>
    <cellStyle name="Comma 2 2 2 6 2 4 4" xfId="12135" xr:uid="{00000000-0005-0000-0000-0000972F0000}"/>
    <cellStyle name="Comma 2 2 2 6 2 4 5" xfId="12138" xr:uid="{00000000-0005-0000-0000-00009A2F0000}"/>
    <cellStyle name="Comma 2 2 2 6 2 5" xfId="7996" xr:uid="{00000000-0005-0000-0000-00006C1F0000}"/>
    <cellStyle name="Comma 2 2 2 6 2 6" xfId="12141" xr:uid="{00000000-0005-0000-0000-00009D2F0000}"/>
    <cellStyle name="Comma 2 2 2 6 2 7" xfId="7117" xr:uid="{00000000-0005-0000-0000-0000FD1B0000}"/>
    <cellStyle name="Comma 2 2 2 6 2 8" xfId="7128" xr:uid="{00000000-0005-0000-0000-0000081C0000}"/>
    <cellStyle name="Comma 2 2 2 6 2 9" xfId="7132" xr:uid="{00000000-0005-0000-0000-00000C1C0000}"/>
    <cellStyle name="Comma 2 2 2 6 3" xfId="10274" xr:uid="{00000000-0005-0000-0000-000052280000}"/>
    <cellStyle name="Comma 2 2 2 6 3 10" xfId="2986" xr:uid="{00000000-0005-0000-0000-0000DA0B0000}"/>
    <cellStyle name="Comma 2 2 2 6 3 11" xfId="3094" xr:uid="{00000000-0005-0000-0000-0000460C0000}"/>
    <cellStyle name="Comma 2 2 2 6 3 12" xfId="3116" xr:uid="{00000000-0005-0000-0000-00005C0C0000}"/>
    <cellStyle name="Comma 2 2 2 6 3 2" xfId="7998" xr:uid="{00000000-0005-0000-0000-00006E1F0000}"/>
    <cellStyle name="Comma 2 2 2 6 3 2 2" xfId="7736" xr:uid="{00000000-0005-0000-0000-0000681E0000}"/>
    <cellStyle name="Comma 2 2 2 6 3 2 2 2" xfId="7742" xr:uid="{00000000-0005-0000-0000-00006E1E0000}"/>
    <cellStyle name="Comma 2 2 2 6 3 2 3" xfId="7764" xr:uid="{00000000-0005-0000-0000-0000841E0000}"/>
    <cellStyle name="Comma 2 2 2 6 3 2 4" xfId="7769" xr:uid="{00000000-0005-0000-0000-0000891E0000}"/>
    <cellStyle name="Comma 2 2 2 6 3 2 5" xfId="4460" xr:uid="{00000000-0005-0000-0000-00009C110000}"/>
    <cellStyle name="Comma 2 2 2 6 3 3" xfId="12143" xr:uid="{00000000-0005-0000-0000-00009F2F0000}"/>
    <cellStyle name="Comma 2 2 2 6 3 3 2" xfId="7846" xr:uid="{00000000-0005-0000-0000-0000D61E0000}"/>
    <cellStyle name="Comma 2 2 2 6 3 4" xfId="12145" xr:uid="{00000000-0005-0000-0000-0000A12F0000}"/>
    <cellStyle name="Comma 2 2 2 6 3 5" xfId="4644" xr:uid="{00000000-0005-0000-0000-000054120000}"/>
    <cellStyle name="Comma 2 2 2 6 3 6" xfId="12147" xr:uid="{00000000-0005-0000-0000-0000A32F0000}"/>
    <cellStyle name="Comma 2 2 2 6 3 7" xfId="5747" xr:uid="{00000000-0005-0000-0000-0000A3160000}"/>
    <cellStyle name="Comma 2 2 2 6 3 8" xfId="12151" xr:uid="{00000000-0005-0000-0000-0000A72F0000}"/>
    <cellStyle name="Comma 2 2 2 6 3 9" xfId="6381" xr:uid="{00000000-0005-0000-0000-00001D190000}"/>
    <cellStyle name="Comma 2 2 2 6 4" xfId="3962" xr:uid="{00000000-0005-0000-0000-0000AA0F0000}"/>
    <cellStyle name="Comma 2 2 2 6 4 10" xfId="12154" xr:uid="{00000000-0005-0000-0000-0000AA2F0000}"/>
    <cellStyle name="Comma 2 2 2 6 4 11" xfId="4425" xr:uid="{00000000-0005-0000-0000-000079110000}"/>
    <cellStyle name="Comma 2 2 2 6 4 2" xfId="12160" xr:uid="{00000000-0005-0000-0000-0000B02F0000}"/>
    <cellStyle name="Comma 2 2 2 6 4 2 2" xfId="11799" xr:uid="{00000000-0005-0000-0000-0000472E0000}"/>
    <cellStyle name="Comma 2 2 2 6 4 2 2 2" xfId="12165" xr:uid="{00000000-0005-0000-0000-0000B52F0000}"/>
    <cellStyle name="Comma 2 2 2 6 4 2 3" xfId="11804" xr:uid="{00000000-0005-0000-0000-00004C2E0000}"/>
    <cellStyle name="Comma 2 2 2 6 4 2 4" xfId="11811" xr:uid="{00000000-0005-0000-0000-0000532E0000}"/>
    <cellStyle name="Comma 2 2 2 6 4 2 5" xfId="4519" xr:uid="{00000000-0005-0000-0000-0000D7110000}"/>
    <cellStyle name="Comma 2 2 2 6 4 3" xfId="12172" xr:uid="{00000000-0005-0000-0000-0000BC2F0000}"/>
    <cellStyle name="Comma 2 2 2 6 4 3 2" xfId="12177" xr:uid="{00000000-0005-0000-0000-0000C12F0000}"/>
    <cellStyle name="Comma 2 2 2 6 4 4" xfId="12184" xr:uid="{00000000-0005-0000-0000-0000C82F0000}"/>
    <cellStyle name="Comma 2 2 2 6 4 5" xfId="4657" xr:uid="{00000000-0005-0000-0000-000061120000}"/>
    <cellStyle name="Comma 2 2 2 6 4 6" xfId="12190" xr:uid="{00000000-0005-0000-0000-0000CE2F0000}"/>
    <cellStyle name="Comma 2 2 2 6 4 7" xfId="7146" xr:uid="{00000000-0005-0000-0000-00001A1C0000}"/>
    <cellStyle name="Comma 2 2 2 6 4 8" xfId="12193" xr:uid="{00000000-0005-0000-0000-0000D12F0000}"/>
    <cellStyle name="Comma 2 2 2 6 4 9" xfId="12195" xr:uid="{00000000-0005-0000-0000-0000D32F0000}"/>
    <cellStyle name="Comma 2 2 2 6 5" xfId="11881" xr:uid="{00000000-0005-0000-0000-0000992E0000}"/>
    <cellStyle name="Comma 2 2 2 6 5 10" xfId="7879" xr:uid="{00000000-0005-0000-0000-0000F71E0000}"/>
    <cellStyle name="Comma 2 2 2 6 5 2" xfId="761" xr:uid="{00000000-0005-0000-0000-000029030000}"/>
    <cellStyle name="Comma 2 2 2 6 5 2 2" xfId="791" xr:uid="{00000000-0005-0000-0000-000047030000}"/>
    <cellStyle name="Comma 2 2 2 6 5 2 2 2" xfId="7801" xr:uid="{00000000-0005-0000-0000-0000A91E0000}"/>
    <cellStyle name="Comma 2 2 2 6 5 2 3" xfId="12201" xr:uid="{00000000-0005-0000-0000-0000D92F0000}"/>
    <cellStyle name="Comma 2 2 2 6 5 2 4" xfId="12206" xr:uid="{00000000-0005-0000-0000-0000DE2F0000}"/>
    <cellStyle name="Comma 2 2 2 6 5 2 5" xfId="12207" xr:uid="{00000000-0005-0000-0000-0000DF2F0000}"/>
    <cellStyle name="Comma 2 2 2 6 5 3" xfId="381" xr:uid="{00000000-0005-0000-0000-000096010000}"/>
    <cellStyle name="Comma 2 2 2 6 5 3 2" xfId="1127" xr:uid="{00000000-0005-0000-0000-000097040000}"/>
    <cellStyle name="Comma 2 2 2 6 5 4" xfId="12212" xr:uid="{00000000-0005-0000-0000-0000E42F0000}"/>
    <cellStyle name="Comma 2 2 2 6 5 5" xfId="4670" xr:uid="{00000000-0005-0000-0000-00006E120000}"/>
    <cellStyle name="Comma 2 2 2 6 5 6" xfId="12222" xr:uid="{00000000-0005-0000-0000-0000EE2F0000}"/>
    <cellStyle name="Comma 2 2 2 6 5 7" xfId="12232" xr:uid="{00000000-0005-0000-0000-0000F82F0000}"/>
    <cellStyle name="Comma 2 2 2 6 5 8" xfId="12239" xr:uid="{00000000-0005-0000-0000-0000FF2F0000}"/>
    <cellStyle name="Comma 2 2 2 6 5 9" xfId="12241" xr:uid="{00000000-0005-0000-0000-000001300000}"/>
    <cellStyle name="Comma 2 2 2 6 6" xfId="11887" xr:uid="{00000000-0005-0000-0000-00009F2E0000}"/>
    <cellStyle name="Comma 2 2 2 6 6 2" xfId="12247" xr:uid="{00000000-0005-0000-0000-000007300000}"/>
    <cellStyle name="Comma 2 2 2 6 6 2 2" xfId="12252" xr:uid="{00000000-0005-0000-0000-00000C300000}"/>
    <cellStyle name="Comma 2 2 2 6 6 3" xfId="12264" xr:uid="{00000000-0005-0000-0000-000018300000}"/>
    <cellStyle name="Comma 2 2 2 6 6 4" xfId="12268" xr:uid="{00000000-0005-0000-0000-00001C300000}"/>
    <cellStyle name="Comma 2 2 2 6 6 5" xfId="4693" xr:uid="{00000000-0005-0000-0000-000085120000}"/>
    <cellStyle name="Comma 2 2 2 6 6 6" xfId="12276" xr:uid="{00000000-0005-0000-0000-000024300000}"/>
    <cellStyle name="Comma 2 2 2 6 6 7" xfId="12282" xr:uid="{00000000-0005-0000-0000-00002A300000}"/>
    <cellStyle name="Comma 2 2 2 6 6 8" xfId="11776" xr:uid="{00000000-0005-0000-0000-0000302E0000}"/>
    <cellStyle name="Comma 2 2 2 6 6 9" xfId="11785" xr:uid="{00000000-0005-0000-0000-0000392E0000}"/>
    <cellStyle name="Comma 2 2 2 6 7" xfId="10508" xr:uid="{00000000-0005-0000-0000-00003C290000}"/>
    <cellStyle name="Comma 2 2 2 6 7 2" xfId="10519" xr:uid="{00000000-0005-0000-0000-000047290000}"/>
    <cellStyle name="Comma 2 2 2 6 8" xfId="5209" xr:uid="{00000000-0005-0000-0000-000089140000}"/>
    <cellStyle name="Comma 2 2 2 6 9" xfId="10539" xr:uid="{00000000-0005-0000-0000-00005B290000}"/>
    <cellStyle name="Comma 2 2 2 7" xfId="12284" xr:uid="{00000000-0005-0000-0000-00002C300000}"/>
    <cellStyle name="Comma 2 2 2 7 10" xfId="8865" xr:uid="{00000000-0005-0000-0000-0000D1220000}"/>
    <cellStyle name="Comma 2 2 2 7 11" xfId="8875" xr:uid="{00000000-0005-0000-0000-0000DB220000}"/>
    <cellStyle name="Comma 2 2 2 7 12" xfId="8880" xr:uid="{00000000-0005-0000-0000-0000E0220000}"/>
    <cellStyle name="Comma 2 2 2 7 13" xfId="8887" xr:uid="{00000000-0005-0000-0000-0000E7220000}"/>
    <cellStyle name="Comma 2 2 2 7 14" xfId="8895" xr:uid="{00000000-0005-0000-0000-0000EF220000}"/>
    <cellStyle name="Comma 2 2 2 7 15" xfId="8909" xr:uid="{00000000-0005-0000-0000-0000FD220000}"/>
    <cellStyle name="Comma 2 2 2 7 16" xfId="12288" xr:uid="{00000000-0005-0000-0000-000030300000}"/>
    <cellStyle name="Comma 2 2 2 7 17" xfId="12296" xr:uid="{00000000-0005-0000-0000-000038300000}"/>
    <cellStyle name="Comma 2 2 2 7 18" xfId="12305" xr:uid="{00000000-0005-0000-0000-000041300000}"/>
    <cellStyle name="Comma 2 2 2 7 2" xfId="11204" xr:uid="{00000000-0005-0000-0000-0000F42B0000}"/>
    <cellStyle name="Comma 2 2 2 7 2 10" xfId="12307" xr:uid="{00000000-0005-0000-0000-000043300000}"/>
    <cellStyle name="Comma 2 2 2 7 2 2" xfId="10671" xr:uid="{00000000-0005-0000-0000-0000DF290000}"/>
    <cellStyle name="Comma 2 2 2 7 2 2 2" xfId="12309" xr:uid="{00000000-0005-0000-0000-000045300000}"/>
    <cellStyle name="Comma 2 2 2 7 2 3" xfId="7659" xr:uid="{00000000-0005-0000-0000-00001B1E0000}"/>
    <cellStyle name="Comma 2 2 2 7 2 4" xfId="7668" xr:uid="{00000000-0005-0000-0000-0000241E0000}"/>
    <cellStyle name="Comma 2 2 2 7 2 5" xfId="5732" xr:uid="{00000000-0005-0000-0000-000094160000}"/>
    <cellStyle name="Comma 2 2 2 7 2 6" xfId="5741" xr:uid="{00000000-0005-0000-0000-00009D160000}"/>
    <cellStyle name="Comma 2 2 2 7 2 7" xfId="7671" xr:uid="{00000000-0005-0000-0000-0000271E0000}"/>
    <cellStyle name="Comma 2 2 2 7 2 8" xfId="7676" xr:uid="{00000000-0005-0000-0000-00002C1E0000}"/>
    <cellStyle name="Comma 2 2 2 7 2 9" xfId="7682" xr:uid="{00000000-0005-0000-0000-0000321E0000}"/>
    <cellStyle name="Comma 2 2 2 7 3" xfId="12310" xr:uid="{00000000-0005-0000-0000-000046300000}"/>
    <cellStyle name="Comma 2 2 2 7 3 2" xfId="12313" xr:uid="{00000000-0005-0000-0000-000049300000}"/>
    <cellStyle name="Comma 2 2 2 7 3 3" xfId="12315" xr:uid="{00000000-0005-0000-0000-00004B300000}"/>
    <cellStyle name="Comma 2 2 2 7 3 4" xfId="12317" xr:uid="{00000000-0005-0000-0000-00004D300000}"/>
    <cellStyle name="Comma 2 2 2 7 3 5" xfId="12319" xr:uid="{00000000-0005-0000-0000-00004F300000}"/>
    <cellStyle name="Comma 2 2 2 7 3 6" xfId="7053" xr:uid="{00000000-0005-0000-0000-0000BD1B0000}"/>
    <cellStyle name="Comma 2 2 2 7 4" xfId="1684" xr:uid="{00000000-0005-0000-0000-0000C4060000}"/>
    <cellStyle name="Comma 2 2 2 7 4 2" xfId="12323" xr:uid="{00000000-0005-0000-0000-000053300000}"/>
    <cellStyle name="Comma 2 2 2 7 4 3" xfId="12327" xr:uid="{00000000-0005-0000-0000-000057300000}"/>
    <cellStyle name="Comma 2 2 2 7 4 4" xfId="12331" xr:uid="{00000000-0005-0000-0000-00005B300000}"/>
    <cellStyle name="Comma 2 2 2 7 4 5" xfId="12337" xr:uid="{00000000-0005-0000-0000-000061300000}"/>
    <cellStyle name="Comma 2 2 2 7 4 6" xfId="7058" xr:uid="{00000000-0005-0000-0000-0000C21B0000}"/>
    <cellStyle name="Comma 2 2 2 7 5" xfId="12338" xr:uid="{00000000-0005-0000-0000-000062300000}"/>
    <cellStyle name="Comma 2 2 2 7 5 2" xfId="12342" xr:uid="{00000000-0005-0000-0000-000066300000}"/>
    <cellStyle name="Comma 2 2 2 7 5 3" xfId="12345" xr:uid="{00000000-0005-0000-0000-000069300000}"/>
    <cellStyle name="Comma 2 2 2 7 5 4" xfId="12348" xr:uid="{00000000-0005-0000-0000-00006C300000}"/>
    <cellStyle name="Comma 2 2 2 7 5 5" xfId="12352" xr:uid="{00000000-0005-0000-0000-000070300000}"/>
    <cellStyle name="Comma 2 2 2 7 5 6" xfId="7062" xr:uid="{00000000-0005-0000-0000-0000C61B0000}"/>
    <cellStyle name="Comma 2 2 2 7 6" xfId="11061" xr:uid="{00000000-0005-0000-0000-0000652B0000}"/>
    <cellStyle name="Comma 2 2 2 7 6 2" xfId="12356" xr:uid="{00000000-0005-0000-0000-000074300000}"/>
    <cellStyle name="Comma 2 2 2 7 6 3" xfId="12359" xr:uid="{00000000-0005-0000-0000-000077300000}"/>
    <cellStyle name="Comma 2 2 2 7 6 4" xfId="12365" xr:uid="{00000000-0005-0000-0000-00007D300000}"/>
    <cellStyle name="Comma 2 2 2 7 6 5" xfId="12371" xr:uid="{00000000-0005-0000-0000-000083300000}"/>
    <cellStyle name="Comma 2 2 2 7 6 6" xfId="12374" xr:uid="{00000000-0005-0000-0000-000086300000}"/>
    <cellStyle name="Comma 2 2 2 7 7" xfId="10571" xr:uid="{00000000-0005-0000-0000-00007B290000}"/>
    <cellStyle name="Comma 2 2 2 7 8" xfId="1881" xr:uid="{00000000-0005-0000-0000-000089070000}"/>
    <cellStyle name="Comma 2 2 2 7 9" xfId="10586" xr:uid="{00000000-0005-0000-0000-00008A290000}"/>
    <cellStyle name="Comma 2 2 2 8" xfId="12376" xr:uid="{00000000-0005-0000-0000-000088300000}"/>
    <cellStyle name="Comma 2 2 2 8 10" xfId="753" xr:uid="{00000000-0005-0000-0000-000021030000}"/>
    <cellStyle name="Comma 2 2 2 8 11" xfId="2279" xr:uid="{00000000-0005-0000-0000-000017090000}"/>
    <cellStyle name="Comma 2 2 2 8 12" xfId="9025" xr:uid="{00000000-0005-0000-0000-000071230000}"/>
    <cellStyle name="Comma 2 2 2 8 13" xfId="12378" xr:uid="{00000000-0005-0000-0000-00008A300000}"/>
    <cellStyle name="Comma 2 2 2 8 14" xfId="6625" xr:uid="{00000000-0005-0000-0000-0000111A0000}"/>
    <cellStyle name="Comma 2 2 2 8 15" xfId="12380" xr:uid="{00000000-0005-0000-0000-00008C300000}"/>
    <cellStyle name="Comma 2 2 2 8 16" xfId="12386" xr:uid="{00000000-0005-0000-0000-000092300000}"/>
    <cellStyle name="Comma 2 2 2 8 17" xfId="5754" xr:uid="{00000000-0005-0000-0000-0000AA160000}"/>
    <cellStyle name="Comma 2 2 2 8 18" xfId="12391" xr:uid="{00000000-0005-0000-0000-000097300000}"/>
    <cellStyle name="Comma 2 2 2 8 2" xfId="12397" xr:uid="{00000000-0005-0000-0000-00009D300000}"/>
    <cellStyle name="Comma 2 2 2 8 2 10" xfId="5334" xr:uid="{00000000-0005-0000-0000-000006150000}"/>
    <cellStyle name="Comma 2 2 2 8 2 2" xfId="12400" xr:uid="{00000000-0005-0000-0000-0000A0300000}"/>
    <cellStyle name="Comma 2 2 2 8 2 2 2" xfId="12407" xr:uid="{00000000-0005-0000-0000-0000A7300000}"/>
    <cellStyle name="Comma 2 2 2 8 2 3" xfId="12409" xr:uid="{00000000-0005-0000-0000-0000A9300000}"/>
    <cellStyle name="Comma 2 2 2 8 2 4" xfId="8594" xr:uid="{00000000-0005-0000-0000-0000C2210000}"/>
    <cellStyle name="Comma 2 2 2 8 2 5" xfId="8599" xr:uid="{00000000-0005-0000-0000-0000C7210000}"/>
    <cellStyle name="Comma 2 2 2 8 2 6" xfId="8608" xr:uid="{00000000-0005-0000-0000-0000D0210000}"/>
    <cellStyle name="Comma 2 2 2 8 2 7" xfId="2727" xr:uid="{00000000-0005-0000-0000-0000D70A0000}"/>
    <cellStyle name="Comma 2 2 2 8 2 8" xfId="8616" xr:uid="{00000000-0005-0000-0000-0000D8210000}"/>
    <cellStyle name="Comma 2 2 2 8 2 9" xfId="8626" xr:uid="{00000000-0005-0000-0000-0000E2210000}"/>
    <cellStyle name="Comma 2 2 2 8 3" xfId="12416" xr:uid="{00000000-0005-0000-0000-0000B0300000}"/>
    <cellStyle name="Comma 2 2 2 8 3 2" xfId="12418" xr:uid="{00000000-0005-0000-0000-0000B2300000}"/>
    <cellStyle name="Comma 2 2 2 8 3 3" xfId="12420" xr:uid="{00000000-0005-0000-0000-0000B4300000}"/>
    <cellStyle name="Comma 2 2 2 8 3 4" xfId="8639" xr:uid="{00000000-0005-0000-0000-0000EF210000}"/>
    <cellStyle name="Comma 2 2 2 8 3 5" xfId="12422" xr:uid="{00000000-0005-0000-0000-0000B6300000}"/>
    <cellStyle name="Comma 2 2 2 8 3 6" xfId="12424" xr:uid="{00000000-0005-0000-0000-0000B8300000}"/>
    <cellStyle name="Comma 2 2 2 8 4" xfId="486" xr:uid="{00000000-0005-0000-0000-000005020000}"/>
    <cellStyle name="Comma 2 2 2 8 4 2" xfId="12430" xr:uid="{00000000-0005-0000-0000-0000BE300000}"/>
    <cellStyle name="Comma 2 2 2 8 4 3" xfId="12437" xr:uid="{00000000-0005-0000-0000-0000C5300000}"/>
    <cellStyle name="Comma 2 2 2 8 4 4" xfId="12445" xr:uid="{00000000-0005-0000-0000-0000CD300000}"/>
    <cellStyle name="Comma 2 2 2 8 4 5" xfId="12452" xr:uid="{00000000-0005-0000-0000-0000D4300000}"/>
    <cellStyle name="Comma 2 2 2 8 4 6" xfId="12458" xr:uid="{00000000-0005-0000-0000-0000DA300000}"/>
    <cellStyle name="Comma 2 2 2 8 5" xfId="12463" xr:uid="{00000000-0005-0000-0000-0000DF300000}"/>
    <cellStyle name="Comma 2 2 2 8 5 2" xfId="8262" xr:uid="{00000000-0005-0000-0000-000076200000}"/>
    <cellStyle name="Comma 2 2 2 8 5 3" xfId="8274" xr:uid="{00000000-0005-0000-0000-000082200000}"/>
    <cellStyle name="Comma 2 2 2 8 5 4" xfId="8282" xr:uid="{00000000-0005-0000-0000-00008A200000}"/>
    <cellStyle name="Comma 2 2 2 8 5 5" xfId="6879" xr:uid="{00000000-0005-0000-0000-00000F1B0000}"/>
    <cellStyle name="Comma 2 2 2 8 5 6" xfId="6890" xr:uid="{00000000-0005-0000-0000-00001A1B0000}"/>
    <cellStyle name="Comma 2 2 2 8 6" xfId="12467" xr:uid="{00000000-0005-0000-0000-0000E3300000}"/>
    <cellStyle name="Comma 2 2 2 8 6 2" xfId="9326" xr:uid="{00000000-0005-0000-0000-00009E240000}"/>
    <cellStyle name="Comma 2 2 2 8 6 3" xfId="12469" xr:uid="{00000000-0005-0000-0000-0000E5300000}"/>
    <cellStyle name="Comma 2 2 2 8 6 4" xfId="12471" xr:uid="{00000000-0005-0000-0000-0000E7300000}"/>
    <cellStyle name="Comma 2 2 2 8 6 5" xfId="12473" xr:uid="{00000000-0005-0000-0000-0000E9300000}"/>
    <cellStyle name="Comma 2 2 2 8 6 6" xfId="12475" xr:uid="{00000000-0005-0000-0000-0000EB300000}"/>
    <cellStyle name="Comma 2 2 2 8 7" xfId="10615" xr:uid="{00000000-0005-0000-0000-0000A7290000}"/>
    <cellStyle name="Comma 2 2 2 8 8" xfId="5233" xr:uid="{00000000-0005-0000-0000-0000A1140000}"/>
    <cellStyle name="Comma 2 2 2 8 9" xfId="10055" xr:uid="{00000000-0005-0000-0000-000077270000}"/>
    <cellStyle name="Comma 2 2 2 9" xfId="12478" xr:uid="{00000000-0005-0000-0000-0000EE300000}"/>
    <cellStyle name="Comma 2 2 2 9 10" xfId="12480" xr:uid="{00000000-0005-0000-0000-0000F0300000}"/>
    <cellStyle name="Comma 2 2 2 9 11" xfId="12481" xr:uid="{00000000-0005-0000-0000-0000F1300000}"/>
    <cellStyle name="Comma 2 2 2 9 12" xfId="10967" xr:uid="{00000000-0005-0000-0000-0000072B0000}"/>
    <cellStyle name="Comma 2 2 2 9 13" xfId="2617" xr:uid="{00000000-0005-0000-0000-0000690A0000}"/>
    <cellStyle name="Comma 2 2 2 9 14" xfId="10969" xr:uid="{00000000-0005-0000-0000-0000092B0000}"/>
    <cellStyle name="Comma 2 2 2 9 15" xfId="10973" xr:uid="{00000000-0005-0000-0000-00000D2B0000}"/>
    <cellStyle name="Comma 2 2 2 9 2" xfId="12485" xr:uid="{00000000-0005-0000-0000-0000F5300000}"/>
    <cellStyle name="Comma 2 2 2 9 2 2" xfId="12488" xr:uid="{00000000-0005-0000-0000-0000F8300000}"/>
    <cellStyle name="Comma 2 2 2 9 2 2 2" xfId="12330" xr:uid="{00000000-0005-0000-0000-00005A300000}"/>
    <cellStyle name="Comma 2 2 2 9 2 3" xfId="12493" xr:uid="{00000000-0005-0000-0000-0000FD300000}"/>
    <cellStyle name="Comma 2 2 2 9 2 4" xfId="12498" xr:uid="{00000000-0005-0000-0000-000002310000}"/>
    <cellStyle name="Comma 2 2 2 9 2 5" xfId="12500" xr:uid="{00000000-0005-0000-0000-000004310000}"/>
    <cellStyle name="Comma 2 2 2 9 2 6" xfId="12503" xr:uid="{00000000-0005-0000-0000-000007310000}"/>
    <cellStyle name="Comma 2 2 2 9 2 7" xfId="7358" xr:uid="{00000000-0005-0000-0000-0000EE1C0000}"/>
    <cellStyle name="Comma 2 2 2 9 2 8" xfId="12507" xr:uid="{00000000-0005-0000-0000-00000B310000}"/>
    <cellStyle name="Comma 2 2 2 9 2 9" xfId="12512" xr:uid="{00000000-0005-0000-0000-000010310000}"/>
    <cellStyle name="Comma 2 2 2 9 3" xfId="12516" xr:uid="{00000000-0005-0000-0000-000014310000}"/>
    <cellStyle name="Comma 2 2 2 9 3 2" xfId="12523" xr:uid="{00000000-0005-0000-0000-00001B310000}"/>
    <cellStyle name="Comma 2 2 2 9 3 3" xfId="12526" xr:uid="{00000000-0005-0000-0000-00001E310000}"/>
    <cellStyle name="Comma 2 2 2 9 3 4" xfId="12530" xr:uid="{00000000-0005-0000-0000-000022310000}"/>
    <cellStyle name="Comma 2 2 2 9 3 5" xfId="12533" xr:uid="{00000000-0005-0000-0000-000025310000}"/>
    <cellStyle name="Comma 2 2 2 9 3 6" xfId="12536" xr:uid="{00000000-0005-0000-0000-000028310000}"/>
    <cellStyle name="Comma 2 2 2 9 4" xfId="2947" xr:uid="{00000000-0005-0000-0000-0000B30B0000}"/>
    <cellStyle name="Comma 2 2 2 9 4 2" xfId="12545" xr:uid="{00000000-0005-0000-0000-000031310000}"/>
    <cellStyle name="Comma 2 2 2 9 5" xfId="12549" xr:uid="{00000000-0005-0000-0000-000035310000}"/>
    <cellStyle name="Comma 2 2 2 9 6" xfId="12553" xr:uid="{00000000-0005-0000-0000-000039310000}"/>
    <cellStyle name="Comma 2 2 2 9 7" xfId="10629" xr:uid="{00000000-0005-0000-0000-0000B5290000}"/>
    <cellStyle name="Comma 2 2 2 9 8" xfId="5250" xr:uid="{00000000-0005-0000-0000-0000B2140000}"/>
    <cellStyle name="Comma 2 2 2 9 9" xfId="10081" xr:uid="{00000000-0005-0000-0000-000091270000}"/>
    <cellStyle name="Comma 2 2 20" xfId="5699" xr:uid="{00000000-0005-0000-0000-000073160000}"/>
    <cellStyle name="Comma 2 2 21" xfId="115" xr:uid="{00000000-0005-0000-0000-00007D000000}"/>
    <cellStyle name="Comma 2 2 22" xfId="5727" xr:uid="{00000000-0005-0000-0000-00008F160000}"/>
    <cellStyle name="Comma 2 2 23" xfId="2015" xr:uid="{00000000-0005-0000-0000-00000F080000}"/>
    <cellStyle name="Comma 2 2 24" xfId="8141" xr:uid="{00000000-0005-0000-0000-0000FD1F0000}"/>
    <cellStyle name="Comma 2 2 25" xfId="12556" xr:uid="{00000000-0005-0000-0000-00003C310000}"/>
    <cellStyle name="Comma 2 2 26" xfId="12564" xr:uid="{00000000-0005-0000-0000-000044310000}"/>
    <cellStyle name="Comma 2 2 27" xfId="12570" xr:uid="{00000000-0005-0000-0000-00004A310000}"/>
    <cellStyle name="Comma 2 2 28" xfId="12574" xr:uid="{00000000-0005-0000-0000-00004E310000}"/>
    <cellStyle name="Comma 2 2 29" xfId="12578" xr:uid="{00000000-0005-0000-0000-000052310000}"/>
    <cellStyle name="Comma 2 2 3" xfId="12584" xr:uid="{00000000-0005-0000-0000-000058310000}"/>
    <cellStyle name="Comma 2 2 3 10" xfId="4248" xr:uid="{00000000-0005-0000-0000-0000C8100000}"/>
    <cellStyle name="Comma 2 2 3 10 10" xfId="12585" xr:uid="{00000000-0005-0000-0000-000059310000}"/>
    <cellStyle name="Comma 2 2 3 10 11" xfId="7442" xr:uid="{00000000-0005-0000-0000-0000421D0000}"/>
    <cellStyle name="Comma 2 2 3 10 12" xfId="5243" xr:uid="{00000000-0005-0000-0000-0000AB140000}"/>
    <cellStyle name="Comma 2 2 3 10 13" xfId="12587" xr:uid="{00000000-0005-0000-0000-00005B310000}"/>
    <cellStyle name="Comma 2 2 3 10 14" xfId="12590" xr:uid="{00000000-0005-0000-0000-00005E310000}"/>
    <cellStyle name="Comma 2 2 3 10 2" xfId="4267" xr:uid="{00000000-0005-0000-0000-0000DB100000}"/>
    <cellStyle name="Comma 2 2 3 10 2 2" xfId="4290" xr:uid="{00000000-0005-0000-0000-0000F2100000}"/>
    <cellStyle name="Comma 2 2 3 10 2 2 2" xfId="12593" xr:uid="{00000000-0005-0000-0000-000061310000}"/>
    <cellStyle name="Comma 2 2 3 10 2 3" xfId="12598" xr:uid="{00000000-0005-0000-0000-000066310000}"/>
    <cellStyle name="Comma 2 2 3 10 2 4" xfId="12605" xr:uid="{00000000-0005-0000-0000-00006D310000}"/>
    <cellStyle name="Comma 2 2 3 10 2 5" xfId="12612" xr:uid="{00000000-0005-0000-0000-000074310000}"/>
    <cellStyle name="Comma 2 2 3 10 2 6" xfId="2360" xr:uid="{00000000-0005-0000-0000-000068090000}"/>
    <cellStyle name="Comma 2 2 3 10 2 7" xfId="10522" xr:uid="{00000000-0005-0000-0000-00004A290000}"/>
    <cellStyle name="Comma 2 2 3 10 2 8" xfId="10532" xr:uid="{00000000-0005-0000-0000-000054290000}"/>
    <cellStyle name="Comma 2 2 3 10 2 9" xfId="10534" xr:uid="{00000000-0005-0000-0000-000056290000}"/>
    <cellStyle name="Comma 2 2 3 10 3" xfId="4294" xr:uid="{00000000-0005-0000-0000-0000F6100000}"/>
    <cellStyle name="Comma 2 2 3 10 3 2" xfId="12614" xr:uid="{00000000-0005-0000-0000-000076310000}"/>
    <cellStyle name="Comma 2 2 3 10 3 3" xfId="12618" xr:uid="{00000000-0005-0000-0000-00007A310000}"/>
    <cellStyle name="Comma 2 2 3 10 3 4" xfId="12623" xr:uid="{00000000-0005-0000-0000-00007F310000}"/>
    <cellStyle name="Comma 2 2 3 10 3 5" xfId="12625" xr:uid="{00000000-0005-0000-0000-000081310000}"/>
    <cellStyle name="Comma 2 2 3 10 3 6" xfId="2380" xr:uid="{00000000-0005-0000-0000-00007C090000}"/>
    <cellStyle name="Comma 2 2 3 10 4" xfId="6291" xr:uid="{00000000-0005-0000-0000-0000C3180000}"/>
    <cellStyle name="Comma 2 2 3 10 4 2" xfId="12627" xr:uid="{00000000-0005-0000-0000-000083310000}"/>
    <cellStyle name="Comma 2 2 3 10 5" xfId="6309" xr:uid="{00000000-0005-0000-0000-0000D5180000}"/>
    <cellStyle name="Comma 2 2 3 10 6" xfId="6325" xr:uid="{00000000-0005-0000-0000-0000E5180000}"/>
    <cellStyle name="Comma 2 2 3 10 7" xfId="3977" xr:uid="{00000000-0005-0000-0000-0000B90F0000}"/>
    <cellStyle name="Comma 2 2 3 10 8" xfId="3997" xr:uid="{00000000-0005-0000-0000-0000CD0F0000}"/>
    <cellStyle name="Comma 2 2 3 10 9" xfId="4022" xr:uid="{00000000-0005-0000-0000-0000E60F0000}"/>
    <cellStyle name="Comma 2 2 3 11" xfId="1103" xr:uid="{00000000-0005-0000-0000-00007F040000}"/>
    <cellStyle name="Comma 2 2 3 11 10" xfId="1468" xr:uid="{00000000-0005-0000-0000-0000EC050000}"/>
    <cellStyle name="Comma 2 2 3 11 2" xfId="4322" xr:uid="{00000000-0005-0000-0000-000012110000}"/>
    <cellStyle name="Comma 2 2 3 11 2 2" xfId="12631" xr:uid="{00000000-0005-0000-0000-000087310000}"/>
    <cellStyle name="Comma 2 2 3 11 2 2 2" xfId="12634" xr:uid="{00000000-0005-0000-0000-00008A310000}"/>
    <cellStyle name="Comma 2 2 3 11 2 3" xfId="12637" xr:uid="{00000000-0005-0000-0000-00008D310000}"/>
    <cellStyle name="Comma 2 2 3 11 2 4" xfId="12639" xr:uid="{00000000-0005-0000-0000-00008F310000}"/>
    <cellStyle name="Comma 2 2 3 11 2 5" xfId="12644" xr:uid="{00000000-0005-0000-0000-000094310000}"/>
    <cellStyle name="Comma 2 2 3 11 3" xfId="12647" xr:uid="{00000000-0005-0000-0000-000097310000}"/>
    <cellStyle name="Comma 2 2 3 11 3 2" xfId="12650" xr:uid="{00000000-0005-0000-0000-00009A310000}"/>
    <cellStyle name="Comma 2 2 3 11 4" xfId="12654" xr:uid="{00000000-0005-0000-0000-00009E310000}"/>
    <cellStyle name="Comma 2 2 3 11 5" xfId="12660" xr:uid="{00000000-0005-0000-0000-0000A4310000}"/>
    <cellStyle name="Comma 2 2 3 11 6" xfId="12665" xr:uid="{00000000-0005-0000-0000-0000A9310000}"/>
    <cellStyle name="Comma 2 2 3 11 7" xfId="333" xr:uid="{00000000-0005-0000-0000-000063010000}"/>
    <cellStyle name="Comma 2 2 3 11 8" xfId="12674" xr:uid="{00000000-0005-0000-0000-0000B2310000}"/>
    <cellStyle name="Comma 2 2 3 11 9" xfId="12683" xr:uid="{00000000-0005-0000-0000-0000BB310000}"/>
    <cellStyle name="Comma 2 2 3 12" xfId="4344" xr:uid="{00000000-0005-0000-0000-000028110000}"/>
    <cellStyle name="Comma 2 2 3 12 2" xfId="1307" xr:uid="{00000000-0005-0000-0000-00004B050000}"/>
    <cellStyle name="Comma 2 2 3 12 2 2" xfId="12687" xr:uid="{00000000-0005-0000-0000-0000BF310000}"/>
    <cellStyle name="Comma 2 2 3 12 3" xfId="12688" xr:uid="{00000000-0005-0000-0000-0000C0310000}"/>
    <cellStyle name="Comma 2 2 3 12 4" xfId="12690" xr:uid="{00000000-0005-0000-0000-0000C2310000}"/>
    <cellStyle name="Comma 2 2 3 12 5" xfId="12692" xr:uid="{00000000-0005-0000-0000-0000C4310000}"/>
    <cellStyle name="Comma 2 2 3 12 6" xfId="12694" xr:uid="{00000000-0005-0000-0000-0000C6310000}"/>
    <cellStyle name="Comma 2 2 3 12 7" xfId="4075" xr:uid="{00000000-0005-0000-0000-00001B100000}"/>
    <cellStyle name="Comma 2 2 3 12 8" xfId="12698" xr:uid="{00000000-0005-0000-0000-0000CA310000}"/>
    <cellStyle name="Comma 2 2 3 12 9" xfId="12701" xr:uid="{00000000-0005-0000-0000-0000CD310000}"/>
    <cellStyle name="Comma 2 2 3 13" xfId="3463" xr:uid="{00000000-0005-0000-0000-0000B70D0000}"/>
    <cellStyle name="Comma 2 2 3 13 2" xfId="12706" xr:uid="{00000000-0005-0000-0000-0000D2310000}"/>
    <cellStyle name="Comma 2 2 3 13 3" xfId="12710" xr:uid="{00000000-0005-0000-0000-0000D6310000}"/>
    <cellStyle name="Comma 2 2 3 13 4" xfId="12715" xr:uid="{00000000-0005-0000-0000-0000DB310000}"/>
    <cellStyle name="Comma 2 2 3 13 5" xfId="12720" xr:uid="{00000000-0005-0000-0000-0000E0310000}"/>
    <cellStyle name="Comma 2 2 3 13 6" xfId="12724" xr:uid="{00000000-0005-0000-0000-0000E4310000}"/>
    <cellStyle name="Comma 2 2 3 14" xfId="3477" xr:uid="{00000000-0005-0000-0000-0000C50D0000}"/>
    <cellStyle name="Comma 2 2 3 14 2" xfId="12725" xr:uid="{00000000-0005-0000-0000-0000E5310000}"/>
    <cellStyle name="Comma 2 2 3 14 3" xfId="12729" xr:uid="{00000000-0005-0000-0000-0000E9310000}"/>
    <cellStyle name="Comma 2 2 3 14 4" xfId="12732" xr:uid="{00000000-0005-0000-0000-0000EC310000}"/>
    <cellStyle name="Comma 2 2 3 14 5" xfId="12737" xr:uid="{00000000-0005-0000-0000-0000F1310000}"/>
    <cellStyle name="Comma 2 2 3 14 6" xfId="12742" xr:uid="{00000000-0005-0000-0000-0000F6310000}"/>
    <cellStyle name="Comma 2 2 3 15" xfId="3154" xr:uid="{00000000-0005-0000-0000-0000820C0000}"/>
    <cellStyle name="Comma 2 2 3 15 2" xfId="8810" xr:uid="{00000000-0005-0000-0000-00009A220000}"/>
    <cellStyle name="Comma 2 2 3 15 3" xfId="8816" xr:uid="{00000000-0005-0000-0000-0000A0220000}"/>
    <cellStyle name="Comma 2 2 3 15 4" xfId="12747" xr:uid="{00000000-0005-0000-0000-0000FB310000}"/>
    <cellStyle name="Comma 2 2 3 15 5" xfId="12752" xr:uid="{00000000-0005-0000-0000-000000320000}"/>
    <cellStyle name="Comma 2 2 3 15 6" xfId="12757" xr:uid="{00000000-0005-0000-0000-000005320000}"/>
    <cellStyle name="Comma 2 2 3 16" xfId="12761" xr:uid="{00000000-0005-0000-0000-000009320000}"/>
    <cellStyle name="Comma 2 2 3 17" xfId="3509" xr:uid="{00000000-0005-0000-0000-0000E50D0000}"/>
    <cellStyle name="Comma 2 2 3 18" xfId="12770" xr:uid="{00000000-0005-0000-0000-000012320000}"/>
    <cellStyle name="Comma 2 2 3 19" xfId="3524" xr:uid="{00000000-0005-0000-0000-0000F40D0000}"/>
    <cellStyle name="Comma 2 2 3 2" xfId="12774" xr:uid="{00000000-0005-0000-0000-000016320000}"/>
    <cellStyle name="Comma 2 2 3 2 10" xfId="12780" xr:uid="{00000000-0005-0000-0000-00001C320000}"/>
    <cellStyle name="Comma 2 2 3 2 10 2" xfId="3478" xr:uid="{00000000-0005-0000-0000-0000C60D0000}"/>
    <cellStyle name="Comma 2 2 3 2 10 2 2" xfId="12726" xr:uid="{00000000-0005-0000-0000-0000E6310000}"/>
    <cellStyle name="Comma 2 2 3 2 10 3" xfId="3157" xr:uid="{00000000-0005-0000-0000-0000850C0000}"/>
    <cellStyle name="Comma 2 2 3 2 10 4" xfId="12763" xr:uid="{00000000-0005-0000-0000-00000B320000}"/>
    <cellStyle name="Comma 2 2 3 2 10 5" xfId="3511" xr:uid="{00000000-0005-0000-0000-0000E70D0000}"/>
    <cellStyle name="Comma 2 2 3 2 10 6" xfId="12765" xr:uid="{00000000-0005-0000-0000-00000D320000}"/>
    <cellStyle name="Comma 2 2 3 2 10 7" xfId="3518" xr:uid="{00000000-0005-0000-0000-0000EE0D0000}"/>
    <cellStyle name="Comma 2 2 3 2 10 8" xfId="9852" xr:uid="{00000000-0005-0000-0000-0000AC260000}"/>
    <cellStyle name="Comma 2 2 3 2 10 9" xfId="12782" xr:uid="{00000000-0005-0000-0000-00001E320000}"/>
    <cellStyle name="Comma 2 2 3 2 11" xfId="12787" xr:uid="{00000000-0005-0000-0000-000023320000}"/>
    <cellStyle name="Comma 2 2 3 2 11 2" xfId="4540" xr:uid="{00000000-0005-0000-0000-0000EC110000}"/>
    <cellStyle name="Comma 2 2 3 2 11 3" xfId="4554" xr:uid="{00000000-0005-0000-0000-0000FA110000}"/>
    <cellStyle name="Comma 2 2 3 2 11 4" xfId="4563" xr:uid="{00000000-0005-0000-0000-000003120000}"/>
    <cellStyle name="Comma 2 2 3 2 11 5" xfId="4569" xr:uid="{00000000-0005-0000-0000-000009120000}"/>
    <cellStyle name="Comma 2 2 3 2 11 6" xfId="2186" xr:uid="{00000000-0005-0000-0000-0000BA080000}"/>
    <cellStyle name="Comma 2 2 3 2 12" xfId="12788" xr:uid="{00000000-0005-0000-0000-000024320000}"/>
    <cellStyle name="Comma 2 2 3 2 12 2" xfId="402" xr:uid="{00000000-0005-0000-0000-0000AC010000}"/>
    <cellStyle name="Comma 2 2 3 2 12 3" xfId="2008" xr:uid="{00000000-0005-0000-0000-000008080000}"/>
    <cellStyle name="Comma 2 2 3 2 12 4" xfId="2037" xr:uid="{00000000-0005-0000-0000-000025080000}"/>
    <cellStyle name="Comma 2 2 3 2 12 5" xfId="2057" xr:uid="{00000000-0005-0000-0000-000039080000}"/>
    <cellStyle name="Comma 2 2 3 2 12 6" xfId="12794" xr:uid="{00000000-0005-0000-0000-00002A320000}"/>
    <cellStyle name="Comma 2 2 3 2 13" xfId="12796" xr:uid="{00000000-0005-0000-0000-00002C320000}"/>
    <cellStyle name="Comma 2 2 3 2 13 2" xfId="2173" xr:uid="{00000000-0005-0000-0000-0000AD080000}"/>
    <cellStyle name="Comma 2 2 3 2 13 3" xfId="2211" xr:uid="{00000000-0005-0000-0000-0000D3080000}"/>
    <cellStyle name="Comma 2 2 3 2 13 4" xfId="2232" xr:uid="{00000000-0005-0000-0000-0000E8080000}"/>
    <cellStyle name="Comma 2 2 3 2 13 5" xfId="2256" xr:uid="{00000000-0005-0000-0000-000000090000}"/>
    <cellStyle name="Comma 2 2 3 2 13 6" xfId="12800" xr:uid="{00000000-0005-0000-0000-000030320000}"/>
    <cellStyle name="Comma 2 2 3 2 14" xfId="12803" xr:uid="{00000000-0005-0000-0000-000033320000}"/>
    <cellStyle name="Comma 2 2 3 2 14 2" xfId="12804" xr:uid="{00000000-0005-0000-0000-000034320000}"/>
    <cellStyle name="Comma 2 2 3 2 14 3" xfId="12807" xr:uid="{00000000-0005-0000-0000-000037320000}"/>
    <cellStyle name="Comma 2 2 3 2 14 4" xfId="12809" xr:uid="{00000000-0005-0000-0000-000039320000}"/>
    <cellStyle name="Comma 2 2 3 2 14 5" xfId="12811" xr:uid="{00000000-0005-0000-0000-00003B320000}"/>
    <cellStyle name="Comma 2 2 3 2 14 6" xfId="12813" xr:uid="{00000000-0005-0000-0000-00003D320000}"/>
    <cellStyle name="Comma 2 2 3 2 15" xfId="12815" xr:uid="{00000000-0005-0000-0000-00003F320000}"/>
    <cellStyle name="Comma 2 2 3 2 16" xfId="11945" xr:uid="{00000000-0005-0000-0000-0000D92E0000}"/>
    <cellStyle name="Comma 2 2 3 2 17" xfId="11949" xr:uid="{00000000-0005-0000-0000-0000DD2E0000}"/>
    <cellStyle name="Comma 2 2 3 2 18" xfId="11957" xr:uid="{00000000-0005-0000-0000-0000E52E0000}"/>
    <cellStyle name="Comma 2 2 3 2 19" xfId="10186" xr:uid="{00000000-0005-0000-0000-0000FA270000}"/>
    <cellStyle name="Comma 2 2 3 2 2" xfId="4544" xr:uid="{00000000-0005-0000-0000-0000F0110000}"/>
    <cellStyle name="Comma 2 2 3 2 2 10" xfId="10362" xr:uid="{00000000-0005-0000-0000-0000AA280000}"/>
    <cellStyle name="Comma 2 2 3 2 2 10 2" xfId="12817" xr:uid="{00000000-0005-0000-0000-000041320000}"/>
    <cellStyle name="Comma 2 2 3 2 2 10 3" xfId="12819" xr:uid="{00000000-0005-0000-0000-000043320000}"/>
    <cellStyle name="Comma 2 2 3 2 2 10 4" xfId="12821" xr:uid="{00000000-0005-0000-0000-000045320000}"/>
    <cellStyle name="Comma 2 2 3 2 2 10 5" xfId="12825" xr:uid="{00000000-0005-0000-0000-000049320000}"/>
    <cellStyle name="Comma 2 2 3 2 2 10 6" xfId="9784" xr:uid="{00000000-0005-0000-0000-000068260000}"/>
    <cellStyle name="Comma 2 2 3 2 2 11" xfId="10364" xr:uid="{00000000-0005-0000-0000-0000AC280000}"/>
    <cellStyle name="Comma 2 2 3 2 2 11 2" xfId="12833" xr:uid="{00000000-0005-0000-0000-000051320000}"/>
    <cellStyle name="Comma 2 2 3 2 2 11 3" xfId="12837" xr:uid="{00000000-0005-0000-0000-000055320000}"/>
    <cellStyle name="Comma 2 2 3 2 2 11 4" xfId="12842" xr:uid="{00000000-0005-0000-0000-00005A320000}"/>
    <cellStyle name="Comma 2 2 3 2 2 11 5" xfId="12848" xr:uid="{00000000-0005-0000-0000-000060320000}"/>
    <cellStyle name="Comma 2 2 3 2 2 11 6" xfId="12853" xr:uid="{00000000-0005-0000-0000-000065320000}"/>
    <cellStyle name="Comma 2 2 3 2 2 12" xfId="1231" xr:uid="{00000000-0005-0000-0000-0000FF040000}"/>
    <cellStyle name="Comma 2 2 3 2 2 13" xfId="10366" xr:uid="{00000000-0005-0000-0000-0000AE280000}"/>
    <cellStyle name="Comma 2 2 3 2 2 14" xfId="12864" xr:uid="{00000000-0005-0000-0000-000070320000}"/>
    <cellStyle name="Comma 2 2 3 2 2 15" xfId="12865" xr:uid="{00000000-0005-0000-0000-000071320000}"/>
    <cellStyle name="Comma 2 2 3 2 2 16" xfId="12867" xr:uid="{00000000-0005-0000-0000-000073320000}"/>
    <cellStyle name="Comma 2 2 3 2 2 17" xfId="12871" xr:uid="{00000000-0005-0000-0000-000077320000}"/>
    <cellStyle name="Comma 2 2 3 2 2 18" xfId="12875" xr:uid="{00000000-0005-0000-0000-00007B320000}"/>
    <cellStyle name="Comma 2 2 3 2 2 19" xfId="1677" xr:uid="{00000000-0005-0000-0000-0000BD060000}"/>
    <cellStyle name="Comma 2 2 3 2 2 2" xfId="12879" xr:uid="{00000000-0005-0000-0000-00007F320000}"/>
    <cellStyle name="Comma 2 2 3 2 2 2 10" xfId="12883" xr:uid="{00000000-0005-0000-0000-000083320000}"/>
    <cellStyle name="Comma 2 2 3 2 2 2 11" xfId="12886" xr:uid="{00000000-0005-0000-0000-000086320000}"/>
    <cellStyle name="Comma 2 2 3 2 2 2 12" xfId="10574" xr:uid="{00000000-0005-0000-0000-00007E290000}"/>
    <cellStyle name="Comma 2 2 3 2 2 2 13" xfId="1883" xr:uid="{00000000-0005-0000-0000-00008B070000}"/>
    <cellStyle name="Comma 2 2 3 2 2 2 14" xfId="10588" xr:uid="{00000000-0005-0000-0000-00008C290000}"/>
    <cellStyle name="Comma 2 2 3 2 2 2 15" xfId="10593" xr:uid="{00000000-0005-0000-0000-000091290000}"/>
    <cellStyle name="Comma 2 2 3 2 2 2 16" xfId="10596" xr:uid="{00000000-0005-0000-0000-000094290000}"/>
    <cellStyle name="Comma 2 2 3 2 2 2 17" xfId="10600" xr:uid="{00000000-0005-0000-0000-000098290000}"/>
    <cellStyle name="Comma 2 2 3 2 2 2 18" xfId="10605" xr:uid="{00000000-0005-0000-0000-00009D290000}"/>
    <cellStyle name="Comma 2 2 3 2 2 2 2" xfId="10384" xr:uid="{00000000-0005-0000-0000-0000C0280000}"/>
    <cellStyle name="Comma 2 2 3 2 2 2 2 10" xfId="4821" xr:uid="{00000000-0005-0000-0000-000005130000}"/>
    <cellStyle name="Comma 2 2 3 2 2 2 2 11" xfId="12888" xr:uid="{00000000-0005-0000-0000-000088320000}"/>
    <cellStyle name="Comma 2 2 3 2 2 2 2 12" xfId="11828" xr:uid="{00000000-0005-0000-0000-0000642E0000}"/>
    <cellStyle name="Comma 2 2 3 2 2 2 2 2" xfId="12891" xr:uid="{00000000-0005-0000-0000-00008B320000}"/>
    <cellStyle name="Comma 2 2 3 2 2 2 2 2 2" xfId="5689" xr:uid="{00000000-0005-0000-0000-000069160000}"/>
    <cellStyle name="Comma 2 2 3 2 2 2 2 2 2 2" xfId="9872" xr:uid="{00000000-0005-0000-0000-0000C0260000}"/>
    <cellStyle name="Comma 2 2 3 2 2 2 2 2 3" xfId="9881" xr:uid="{00000000-0005-0000-0000-0000C9260000}"/>
    <cellStyle name="Comma 2 2 3 2 2 2 2 2 4" xfId="11652" xr:uid="{00000000-0005-0000-0000-0000B42D0000}"/>
    <cellStyle name="Comma 2 2 3 2 2 2 2 2 5" xfId="11659" xr:uid="{00000000-0005-0000-0000-0000BB2D0000}"/>
    <cellStyle name="Comma 2 2 3 2 2 2 2 3" xfId="12896" xr:uid="{00000000-0005-0000-0000-000090320000}"/>
    <cellStyle name="Comma 2 2 3 2 2 2 2 3 2" xfId="5715" xr:uid="{00000000-0005-0000-0000-000083160000}"/>
    <cellStyle name="Comma 2 2 3 2 2 2 2 4" xfId="12898" xr:uid="{00000000-0005-0000-0000-000092320000}"/>
    <cellStyle name="Comma 2 2 3 2 2 2 2 5" xfId="12902" xr:uid="{00000000-0005-0000-0000-000096320000}"/>
    <cellStyle name="Comma 2 2 3 2 2 2 2 6" xfId="2017" xr:uid="{00000000-0005-0000-0000-000011080000}"/>
    <cellStyle name="Comma 2 2 3 2 2 2 2 7" xfId="12905" xr:uid="{00000000-0005-0000-0000-000099320000}"/>
    <cellStyle name="Comma 2 2 3 2 2 2 2 8" xfId="8663" xr:uid="{00000000-0005-0000-0000-000007220000}"/>
    <cellStyle name="Comma 2 2 3 2 2 2 2 9" xfId="8704" xr:uid="{00000000-0005-0000-0000-000030220000}"/>
    <cellStyle name="Comma 2 2 3 2 2 2 3" xfId="10386" xr:uid="{00000000-0005-0000-0000-0000C2280000}"/>
    <cellStyle name="Comma 2 2 3 2 2 2 3 10" xfId="7689" xr:uid="{00000000-0005-0000-0000-0000391E0000}"/>
    <cellStyle name="Comma 2 2 3 2 2 2 3 11" xfId="7694" xr:uid="{00000000-0005-0000-0000-00003E1E0000}"/>
    <cellStyle name="Comma 2 2 3 2 2 2 3 12" xfId="7645" xr:uid="{00000000-0005-0000-0000-00000D1E0000}"/>
    <cellStyle name="Comma 2 2 3 2 2 2 3 2" xfId="12909" xr:uid="{00000000-0005-0000-0000-00009D320000}"/>
    <cellStyle name="Comma 2 2 3 2 2 2 3 2 2" xfId="5784" xr:uid="{00000000-0005-0000-0000-0000C8160000}"/>
    <cellStyle name="Comma 2 2 3 2 2 2 3 2 2 2" xfId="12910" xr:uid="{00000000-0005-0000-0000-00009E320000}"/>
    <cellStyle name="Comma 2 2 3 2 2 2 3 2 3" xfId="3190" xr:uid="{00000000-0005-0000-0000-0000A60C0000}"/>
    <cellStyle name="Comma 2 2 3 2 2 2 3 2 4" xfId="5817" xr:uid="{00000000-0005-0000-0000-0000E9160000}"/>
    <cellStyle name="Comma 2 2 3 2 2 2 3 2 5" xfId="5835" xr:uid="{00000000-0005-0000-0000-0000FB160000}"/>
    <cellStyle name="Comma 2 2 3 2 2 2 3 3" xfId="12914" xr:uid="{00000000-0005-0000-0000-0000A2320000}"/>
    <cellStyle name="Comma 2 2 3 2 2 2 3 3 2" xfId="5886" xr:uid="{00000000-0005-0000-0000-00002E170000}"/>
    <cellStyle name="Comma 2 2 3 2 2 2 3 4" xfId="12916" xr:uid="{00000000-0005-0000-0000-0000A4320000}"/>
    <cellStyle name="Comma 2 2 3 2 2 2 3 5" xfId="12919" xr:uid="{00000000-0005-0000-0000-0000A7320000}"/>
    <cellStyle name="Comma 2 2 3 2 2 2 3 6" xfId="2043" xr:uid="{00000000-0005-0000-0000-00002B080000}"/>
    <cellStyle name="Comma 2 2 3 2 2 2 3 7" xfId="12921" xr:uid="{00000000-0005-0000-0000-0000A9320000}"/>
    <cellStyle name="Comma 2 2 3 2 2 2 3 8" xfId="5927" xr:uid="{00000000-0005-0000-0000-000057170000}"/>
    <cellStyle name="Comma 2 2 3 2 2 2 3 9" xfId="8845" xr:uid="{00000000-0005-0000-0000-0000BD220000}"/>
    <cellStyle name="Comma 2 2 3 2 2 2 4" xfId="74" xr:uid="{00000000-0005-0000-0000-00004E000000}"/>
    <cellStyle name="Comma 2 2 3 2 2 2 4 10" xfId="1128" xr:uid="{00000000-0005-0000-0000-000098040000}"/>
    <cellStyle name="Comma 2 2 3 2 2 2 4 2" xfId="12925" xr:uid="{00000000-0005-0000-0000-0000AD320000}"/>
    <cellStyle name="Comma 2 2 3 2 2 2 4 2 2" xfId="5947" xr:uid="{00000000-0005-0000-0000-00006B170000}"/>
    <cellStyle name="Comma 2 2 3 2 2 2 4 2 2 2" xfId="12927" xr:uid="{00000000-0005-0000-0000-0000AF320000}"/>
    <cellStyle name="Comma 2 2 3 2 2 2 4 2 3" xfId="11647" xr:uid="{00000000-0005-0000-0000-0000AF2D0000}"/>
    <cellStyle name="Comma 2 2 3 2 2 2 4 2 4" xfId="11732" xr:uid="{00000000-0005-0000-0000-0000042E0000}"/>
    <cellStyle name="Comma 2 2 3 2 2 2 4 2 5" xfId="11734" xr:uid="{00000000-0005-0000-0000-0000062E0000}"/>
    <cellStyle name="Comma 2 2 3 2 2 2 4 3" xfId="12931" xr:uid="{00000000-0005-0000-0000-0000B3320000}"/>
    <cellStyle name="Comma 2 2 3 2 2 2 4 3 2" xfId="5962" xr:uid="{00000000-0005-0000-0000-00007A170000}"/>
    <cellStyle name="Comma 2 2 3 2 2 2 4 4" xfId="12934" xr:uid="{00000000-0005-0000-0000-0000B6320000}"/>
    <cellStyle name="Comma 2 2 3 2 2 2 4 5" xfId="12937" xr:uid="{00000000-0005-0000-0000-0000B9320000}"/>
    <cellStyle name="Comma 2 2 3 2 2 2 4 6" xfId="2075" xr:uid="{00000000-0005-0000-0000-00004B080000}"/>
    <cellStyle name="Comma 2 2 3 2 2 2 4 7" xfId="12939" xr:uid="{00000000-0005-0000-0000-0000BB320000}"/>
    <cellStyle name="Comma 2 2 3 2 2 2 4 8" xfId="5379" xr:uid="{00000000-0005-0000-0000-000033150000}"/>
    <cellStyle name="Comma 2 2 3 2 2 2 4 9" xfId="1466" xr:uid="{00000000-0005-0000-0000-0000EA050000}"/>
    <cellStyle name="Comma 2 2 3 2 2 2 5" xfId="6927" xr:uid="{00000000-0005-0000-0000-00003F1B0000}"/>
    <cellStyle name="Comma 2 2 3 2 2 2 5 10" xfId="12942" xr:uid="{00000000-0005-0000-0000-0000BE320000}"/>
    <cellStyle name="Comma 2 2 3 2 2 2 5 2" xfId="12947" xr:uid="{00000000-0005-0000-0000-0000C3320000}"/>
    <cellStyle name="Comma 2 2 3 2 2 2 5 2 2" xfId="11941" xr:uid="{00000000-0005-0000-0000-0000D52E0000}"/>
    <cellStyle name="Comma 2 2 3 2 2 2 5 2 2 2" xfId="12950" xr:uid="{00000000-0005-0000-0000-0000C6320000}"/>
    <cellStyle name="Comma 2 2 3 2 2 2 5 2 3" xfId="11944" xr:uid="{00000000-0005-0000-0000-0000D82E0000}"/>
    <cellStyle name="Comma 2 2 3 2 2 2 5 2 4" xfId="12951" xr:uid="{00000000-0005-0000-0000-0000C7320000}"/>
    <cellStyle name="Comma 2 2 3 2 2 2 5 2 5" xfId="12952" xr:uid="{00000000-0005-0000-0000-0000C8320000}"/>
    <cellStyle name="Comma 2 2 3 2 2 2 5 3" xfId="12954" xr:uid="{00000000-0005-0000-0000-0000CA320000}"/>
    <cellStyle name="Comma 2 2 3 2 2 2 5 3 2" xfId="7" xr:uid="{00000000-0005-0000-0000-000007000000}"/>
    <cellStyle name="Comma 2 2 3 2 2 2 5 4" xfId="12958" xr:uid="{00000000-0005-0000-0000-0000CE320000}"/>
    <cellStyle name="Comma 2 2 3 2 2 2 5 5" xfId="12963" xr:uid="{00000000-0005-0000-0000-0000D3320000}"/>
    <cellStyle name="Comma 2 2 3 2 2 2 5 6" xfId="12965" xr:uid="{00000000-0005-0000-0000-0000D5320000}"/>
    <cellStyle name="Comma 2 2 3 2 2 2 5 7" xfId="12966" xr:uid="{00000000-0005-0000-0000-0000D6320000}"/>
    <cellStyle name="Comma 2 2 3 2 2 2 5 8" xfId="8987" xr:uid="{00000000-0005-0000-0000-00004B230000}"/>
    <cellStyle name="Comma 2 2 3 2 2 2 5 9" xfId="8989" xr:uid="{00000000-0005-0000-0000-00004D230000}"/>
    <cellStyle name="Comma 2 2 3 2 2 2 6" xfId="12967" xr:uid="{00000000-0005-0000-0000-0000D7320000}"/>
    <cellStyle name="Comma 2 2 3 2 2 2 6 2" xfId="12969" xr:uid="{00000000-0005-0000-0000-0000D9320000}"/>
    <cellStyle name="Comma 2 2 3 2 2 2 6 2 2" xfId="12150" xr:uid="{00000000-0005-0000-0000-0000A62F0000}"/>
    <cellStyle name="Comma 2 2 3 2 2 2 6 3" xfId="12971" xr:uid="{00000000-0005-0000-0000-0000DB320000}"/>
    <cellStyle name="Comma 2 2 3 2 2 2 6 4" xfId="12973" xr:uid="{00000000-0005-0000-0000-0000DD320000}"/>
    <cellStyle name="Comma 2 2 3 2 2 2 6 5" xfId="12975" xr:uid="{00000000-0005-0000-0000-0000DF320000}"/>
    <cellStyle name="Comma 2 2 3 2 2 2 6 6" xfId="12978" xr:uid="{00000000-0005-0000-0000-0000E2320000}"/>
    <cellStyle name="Comma 2 2 3 2 2 2 6 7" xfId="12981" xr:uid="{00000000-0005-0000-0000-0000E5320000}"/>
    <cellStyle name="Comma 2 2 3 2 2 2 6 8" xfId="6722" xr:uid="{00000000-0005-0000-0000-0000721A0000}"/>
    <cellStyle name="Comma 2 2 3 2 2 2 6 9" xfId="6728" xr:uid="{00000000-0005-0000-0000-0000781A0000}"/>
    <cellStyle name="Comma 2 2 3 2 2 2 7" xfId="12982" xr:uid="{00000000-0005-0000-0000-0000E6320000}"/>
    <cellStyle name="Comma 2 2 3 2 2 2 7 2" xfId="12985" xr:uid="{00000000-0005-0000-0000-0000E9320000}"/>
    <cellStyle name="Comma 2 2 3 2 2 2 8" xfId="12989" xr:uid="{00000000-0005-0000-0000-0000ED320000}"/>
    <cellStyle name="Comma 2 2 3 2 2 2 9" xfId="12991" xr:uid="{00000000-0005-0000-0000-0000EF320000}"/>
    <cellStyle name="Comma 2 2 3 2 2 20" xfId="12866" xr:uid="{00000000-0005-0000-0000-000072320000}"/>
    <cellStyle name="Comma 2 2 3 2 2 21" xfId="12868" xr:uid="{00000000-0005-0000-0000-000074320000}"/>
    <cellStyle name="Comma 2 2 3 2 2 22" xfId="12872" xr:uid="{00000000-0005-0000-0000-000078320000}"/>
    <cellStyle name="Comma 2 2 3 2 2 23" xfId="12876" xr:uid="{00000000-0005-0000-0000-00007C320000}"/>
    <cellStyle name="Comma 2 2 3 2 2 3" xfId="12992" xr:uid="{00000000-0005-0000-0000-0000F0320000}"/>
    <cellStyle name="Comma 2 2 3 2 2 3 10" xfId="12560" xr:uid="{00000000-0005-0000-0000-000040310000}"/>
    <cellStyle name="Comma 2 2 3 2 2 3 11" xfId="12567" xr:uid="{00000000-0005-0000-0000-000047310000}"/>
    <cellStyle name="Comma 2 2 3 2 2 3 12" xfId="12573" xr:uid="{00000000-0005-0000-0000-00004D310000}"/>
    <cellStyle name="Comma 2 2 3 2 2 3 13" xfId="12577" xr:uid="{00000000-0005-0000-0000-000051310000}"/>
    <cellStyle name="Comma 2 2 3 2 2 3 14" xfId="12579" xr:uid="{00000000-0005-0000-0000-000053310000}"/>
    <cellStyle name="Comma 2 2 3 2 2 3 15" xfId="12994" xr:uid="{00000000-0005-0000-0000-0000F2320000}"/>
    <cellStyle name="Comma 2 2 3 2 2 3 16" xfId="12995" xr:uid="{00000000-0005-0000-0000-0000F3320000}"/>
    <cellStyle name="Comma 2 2 3 2 2 3 17" xfId="12999" xr:uid="{00000000-0005-0000-0000-0000F7320000}"/>
    <cellStyle name="Comma 2 2 3 2 2 3 18" xfId="13003" xr:uid="{00000000-0005-0000-0000-0000FB320000}"/>
    <cellStyle name="Comma 2 2 3 2 2 3 2" xfId="13006" xr:uid="{00000000-0005-0000-0000-0000FE320000}"/>
    <cellStyle name="Comma 2 2 3 2 2 3 2 10" xfId="2301" xr:uid="{00000000-0005-0000-0000-00002D090000}"/>
    <cellStyle name="Comma 2 2 3 2 2 3 2 2" xfId="13008" xr:uid="{00000000-0005-0000-0000-000000330000}"/>
    <cellStyle name="Comma 2 2 3 2 2 3 2 2 2" xfId="1979" xr:uid="{00000000-0005-0000-0000-0000EB070000}"/>
    <cellStyle name="Comma 2 2 3 2 2 3 2 3" xfId="13010" xr:uid="{00000000-0005-0000-0000-000002330000}"/>
    <cellStyle name="Comma 2 2 3 2 2 3 2 4" xfId="13012" xr:uid="{00000000-0005-0000-0000-000004330000}"/>
    <cellStyle name="Comma 2 2 3 2 2 3 2 5" xfId="13015" xr:uid="{00000000-0005-0000-0000-000007330000}"/>
    <cellStyle name="Comma 2 2 3 2 2 3 2 6" xfId="2223" xr:uid="{00000000-0005-0000-0000-0000DF080000}"/>
    <cellStyle name="Comma 2 2 3 2 2 3 2 7" xfId="13019" xr:uid="{00000000-0005-0000-0000-00000B330000}"/>
    <cellStyle name="Comma 2 2 3 2 2 3 2 8" xfId="9423" xr:uid="{00000000-0005-0000-0000-0000FF240000}"/>
    <cellStyle name="Comma 2 2 3 2 2 3 2 9" xfId="9495" xr:uid="{00000000-0005-0000-0000-000047250000}"/>
    <cellStyle name="Comma 2 2 3 2 2 3 3" xfId="13022" xr:uid="{00000000-0005-0000-0000-00000E330000}"/>
    <cellStyle name="Comma 2 2 3 2 2 3 3 2" xfId="13028" xr:uid="{00000000-0005-0000-0000-000014330000}"/>
    <cellStyle name="Comma 2 2 3 2 2 3 3 3" xfId="13032" xr:uid="{00000000-0005-0000-0000-000018330000}"/>
    <cellStyle name="Comma 2 2 3 2 2 3 3 4" xfId="13035" xr:uid="{00000000-0005-0000-0000-00001B330000}"/>
    <cellStyle name="Comma 2 2 3 2 2 3 3 5" xfId="13044" xr:uid="{00000000-0005-0000-0000-000024330000}"/>
    <cellStyle name="Comma 2 2 3 2 2 3 3 6" xfId="2242" xr:uid="{00000000-0005-0000-0000-0000F2080000}"/>
    <cellStyle name="Comma 2 2 3 2 2 3 4" xfId="13048" xr:uid="{00000000-0005-0000-0000-000028330000}"/>
    <cellStyle name="Comma 2 2 3 2 2 3 4 2" xfId="13051" xr:uid="{00000000-0005-0000-0000-00002B330000}"/>
    <cellStyle name="Comma 2 2 3 2 2 3 4 3" xfId="13054" xr:uid="{00000000-0005-0000-0000-00002E330000}"/>
    <cellStyle name="Comma 2 2 3 2 2 3 4 4" xfId="13057" xr:uid="{00000000-0005-0000-0000-000031330000}"/>
    <cellStyle name="Comma 2 2 3 2 2 3 4 5" xfId="13061" xr:uid="{00000000-0005-0000-0000-000035330000}"/>
    <cellStyle name="Comma 2 2 3 2 2 3 4 6" xfId="13063" xr:uid="{00000000-0005-0000-0000-000037330000}"/>
    <cellStyle name="Comma 2 2 3 2 2 3 5" xfId="13067" xr:uid="{00000000-0005-0000-0000-00003B330000}"/>
    <cellStyle name="Comma 2 2 3 2 2 3 5 2" xfId="13070" xr:uid="{00000000-0005-0000-0000-00003E330000}"/>
    <cellStyle name="Comma 2 2 3 2 2 3 5 3" xfId="13073" xr:uid="{00000000-0005-0000-0000-000041330000}"/>
    <cellStyle name="Comma 2 2 3 2 2 3 5 4" xfId="13076" xr:uid="{00000000-0005-0000-0000-000044330000}"/>
    <cellStyle name="Comma 2 2 3 2 2 3 5 5" xfId="13079" xr:uid="{00000000-0005-0000-0000-000047330000}"/>
    <cellStyle name="Comma 2 2 3 2 2 3 5 6" xfId="13082" xr:uid="{00000000-0005-0000-0000-00004A330000}"/>
    <cellStyle name="Comma 2 2 3 2 2 3 6" xfId="13085" xr:uid="{00000000-0005-0000-0000-00004D330000}"/>
    <cellStyle name="Comma 2 2 3 2 2 3 6 2" xfId="13089" xr:uid="{00000000-0005-0000-0000-000051330000}"/>
    <cellStyle name="Comma 2 2 3 2 2 3 6 3" xfId="13092" xr:uid="{00000000-0005-0000-0000-000054330000}"/>
    <cellStyle name="Comma 2 2 3 2 2 3 6 4" xfId="13095" xr:uid="{00000000-0005-0000-0000-000057330000}"/>
    <cellStyle name="Comma 2 2 3 2 2 3 6 5" xfId="13100" xr:uid="{00000000-0005-0000-0000-00005C330000}"/>
    <cellStyle name="Comma 2 2 3 2 2 3 6 6" xfId="13105" xr:uid="{00000000-0005-0000-0000-000061330000}"/>
    <cellStyle name="Comma 2 2 3 2 2 3 7" xfId="13110" xr:uid="{00000000-0005-0000-0000-000066330000}"/>
    <cellStyle name="Comma 2 2 3 2 2 3 8" xfId="13114" xr:uid="{00000000-0005-0000-0000-00006A330000}"/>
    <cellStyle name="Comma 2 2 3 2 2 3 9" xfId="13117" xr:uid="{00000000-0005-0000-0000-00006D330000}"/>
    <cellStyle name="Comma 2 2 3 2 2 4" xfId="13119" xr:uid="{00000000-0005-0000-0000-00006F330000}"/>
    <cellStyle name="Comma 2 2 3 2 2 4 10" xfId="3267" xr:uid="{00000000-0005-0000-0000-0000F30C0000}"/>
    <cellStyle name="Comma 2 2 3 2 2 4 11" xfId="3278" xr:uid="{00000000-0005-0000-0000-0000FE0C0000}"/>
    <cellStyle name="Comma 2 2 3 2 2 4 12" xfId="3290" xr:uid="{00000000-0005-0000-0000-00000A0D0000}"/>
    <cellStyle name="Comma 2 2 3 2 2 4 13" xfId="2096" xr:uid="{00000000-0005-0000-0000-000060080000}"/>
    <cellStyle name="Comma 2 2 3 2 2 4 14" xfId="7978" xr:uid="{00000000-0005-0000-0000-00005A1F0000}"/>
    <cellStyle name="Comma 2 2 3 2 2 4 15" xfId="7985" xr:uid="{00000000-0005-0000-0000-0000611F0000}"/>
    <cellStyle name="Comma 2 2 3 2 2 4 2" xfId="13122" xr:uid="{00000000-0005-0000-0000-000072330000}"/>
    <cellStyle name="Comma 2 2 3 2 2 4 2 2" xfId="13127" xr:uid="{00000000-0005-0000-0000-000077330000}"/>
    <cellStyle name="Comma 2 2 3 2 2 4 2 2 2" xfId="11806" xr:uid="{00000000-0005-0000-0000-00004E2E0000}"/>
    <cellStyle name="Comma 2 2 3 2 2 4 2 3" xfId="13130" xr:uid="{00000000-0005-0000-0000-00007A330000}"/>
    <cellStyle name="Comma 2 2 3 2 2 4 2 4" xfId="13132" xr:uid="{00000000-0005-0000-0000-00007C330000}"/>
    <cellStyle name="Comma 2 2 3 2 2 4 2 5" xfId="13136" xr:uid="{00000000-0005-0000-0000-000080330000}"/>
    <cellStyle name="Comma 2 2 3 2 2 4 2 6" xfId="13139" xr:uid="{00000000-0005-0000-0000-000083330000}"/>
    <cellStyle name="Comma 2 2 3 2 2 4 2 7" xfId="13143" xr:uid="{00000000-0005-0000-0000-000087330000}"/>
    <cellStyle name="Comma 2 2 3 2 2 4 2 8" xfId="10156" xr:uid="{00000000-0005-0000-0000-0000DC270000}"/>
    <cellStyle name="Comma 2 2 3 2 2 4 2 9" xfId="4914" xr:uid="{00000000-0005-0000-0000-000062130000}"/>
    <cellStyle name="Comma 2 2 3 2 2 4 3" xfId="13147" xr:uid="{00000000-0005-0000-0000-00008B330000}"/>
    <cellStyle name="Comma 2 2 3 2 2 4 3 2" xfId="13149" xr:uid="{00000000-0005-0000-0000-00008D330000}"/>
    <cellStyle name="Comma 2 2 3 2 2 4 3 3" xfId="13151" xr:uid="{00000000-0005-0000-0000-00008F330000}"/>
    <cellStyle name="Comma 2 2 3 2 2 4 3 4" xfId="13153" xr:uid="{00000000-0005-0000-0000-000091330000}"/>
    <cellStyle name="Comma 2 2 3 2 2 4 3 5" xfId="13156" xr:uid="{00000000-0005-0000-0000-000094330000}"/>
    <cellStyle name="Comma 2 2 3 2 2 4 3 6" xfId="13158" xr:uid="{00000000-0005-0000-0000-000096330000}"/>
    <cellStyle name="Comma 2 2 3 2 2 4 4" xfId="13162" xr:uid="{00000000-0005-0000-0000-00009A330000}"/>
    <cellStyle name="Comma 2 2 3 2 2 4 4 2" xfId="13166" xr:uid="{00000000-0005-0000-0000-00009E330000}"/>
    <cellStyle name="Comma 2 2 3 2 2 4 5" xfId="13170" xr:uid="{00000000-0005-0000-0000-0000A2330000}"/>
    <cellStyle name="Comma 2 2 3 2 2 4 6" xfId="13175" xr:uid="{00000000-0005-0000-0000-0000A7330000}"/>
    <cellStyle name="Comma 2 2 3 2 2 4 7" xfId="13178" xr:uid="{00000000-0005-0000-0000-0000AA330000}"/>
    <cellStyle name="Comma 2 2 3 2 2 4 8" xfId="13183" xr:uid="{00000000-0005-0000-0000-0000AF330000}"/>
    <cellStyle name="Comma 2 2 3 2 2 4 9" xfId="13187" xr:uid="{00000000-0005-0000-0000-0000B3330000}"/>
    <cellStyle name="Comma 2 2 3 2 2 5" xfId="13191" xr:uid="{00000000-0005-0000-0000-0000B7330000}"/>
    <cellStyle name="Comma 2 2 3 2 2 5 10" xfId="13196" xr:uid="{00000000-0005-0000-0000-0000BC330000}"/>
    <cellStyle name="Comma 2 2 3 2 2 5 11" xfId="13200" xr:uid="{00000000-0005-0000-0000-0000C0330000}"/>
    <cellStyle name="Comma 2 2 3 2 2 5 12" xfId="13204" xr:uid="{00000000-0005-0000-0000-0000C4330000}"/>
    <cellStyle name="Comma 2 2 3 2 2 5 13" xfId="13206" xr:uid="{00000000-0005-0000-0000-0000C6330000}"/>
    <cellStyle name="Comma 2 2 3 2 2 5 2" xfId="13215" xr:uid="{00000000-0005-0000-0000-0000CF330000}"/>
    <cellStyle name="Comma 2 2 3 2 2 5 2 2" xfId="9595" xr:uid="{00000000-0005-0000-0000-0000AB250000}"/>
    <cellStyle name="Comma 2 2 3 2 2 5 2 2 2" xfId="13219" xr:uid="{00000000-0005-0000-0000-0000D3330000}"/>
    <cellStyle name="Comma 2 2 3 2 2 5 2 3" xfId="9606" xr:uid="{00000000-0005-0000-0000-0000B6250000}"/>
    <cellStyle name="Comma 2 2 3 2 2 5 2 4" xfId="9619" xr:uid="{00000000-0005-0000-0000-0000C3250000}"/>
    <cellStyle name="Comma 2 2 3 2 2 5 2 5" xfId="3954" xr:uid="{00000000-0005-0000-0000-0000A20F0000}"/>
    <cellStyle name="Comma 2 2 3 2 2 5 2 6" xfId="9634" xr:uid="{00000000-0005-0000-0000-0000D2250000}"/>
    <cellStyle name="Comma 2 2 3 2 2 5 2 7" xfId="91" xr:uid="{00000000-0005-0000-0000-000061000000}"/>
    <cellStyle name="Comma 2 2 3 2 2 5 2 8" xfId="10444" xr:uid="{00000000-0005-0000-0000-0000FC280000}"/>
    <cellStyle name="Comma 2 2 3 2 2 5 2 9" xfId="5202" xr:uid="{00000000-0005-0000-0000-000082140000}"/>
    <cellStyle name="Comma 2 2 3 2 2 5 3" xfId="13225" xr:uid="{00000000-0005-0000-0000-0000D9330000}"/>
    <cellStyle name="Comma 2 2 3 2 2 5 3 2" xfId="13229" xr:uid="{00000000-0005-0000-0000-0000DD330000}"/>
    <cellStyle name="Comma 2 2 3 2 2 5 3 3" xfId="13233" xr:uid="{00000000-0005-0000-0000-0000E1330000}"/>
    <cellStyle name="Comma 2 2 3 2 2 5 3 4" xfId="13236" xr:uid="{00000000-0005-0000-0000-0000E4330000}"/>
    <cellStyle name="Comma 2 2 3 2 2 5 3 5" xfId="13239" xr:uid="{00000000-0005-0000-0000-0000E7330000}"/>
    <cellStyle name="Comma 2 2 3 2 2 5 3 6" xfId="13242" xr:uid="{00000000-0005-0000-0000-0000EA330000}"/>
    <cellStyle name="Comma 2 2 3 2 2 5 4" xfId="13245" xr:uid="{00000000-0005-0000-0000-0000ED330000}"/>
    <cellStyle name="Comma 2 2 3 2 2 5 4 2" xfId="13248" xr:uid="{00000000-0005-0000-0000-0000F0330000}"/>
    <cellStyle name="Comma 2 2 3 2 2 5 5" xfId="13252" xr:uid="{00000000-0005-0000-0000-0000F4330000}"/>
    <cellStyle name="Comma 2 2 3 2 2 5 6" xfId="13257" xr:uid="{00000000-0005-0000-0000-0000F9330000}"/>
    <cellStyle name="Comma 2 2 3 2 2 5 7" xfId="13260" xr:uid="{00000000-0005-0000-0000-0000FC330000}"/>
    <cellStyle name="Comma 2 2 3 2 2 5 8" xfId="13263" xr:uid="{00000000-0005-0000-0000-0000FF330000}"/>
    <cellStyle name="Comma 2 2 3 2 2 5 9" xfId="13266" xr:uid="{00000000-0005-0000-0000-000002340000}"/>
    <cellStyle name="Comma 2 2 3 2 2 6" xfId="13268" xr:uid="{00000000-0005-0000-0000-000004340000}"/>
    <cellStyle name="Comma 2 2 3 2 2 6 10" xfId="1151" xr:uid="{00000000-0005-0000-0000-0000AF040000}"/>
    <cellStyle name="Comma 2 2 3 2 2 6 11" xfId="1191" xr:uid="{00000000-0005-0000-0000-0000D7040000}"/>
    <cellStyle name="Comma 2 2 3 2 2 6 12" xfId="1214" xr:uid="{00000000-0005-0000-0000-0000EE040000}"/>
    <cellStyle name="Comma 2 2 3 2 2 6 2" xfId="13270" xr:uid="{00000000-0005-0000-0000-000006340000}"/>
    <cellStyle name="Comma 2 2 3 2 2 6 2 2" xfId="6355" xr:uid="{00000000-0005-0000-0000-000003190000}"/>
    <cellStyle name="Comma 2 2 3 2 2 6 2 2 2" xfId="6362" xr:uid="{00000000-0005-0000-0000-00000A190000}"/>
    <cellStyle name="Comma 2 2 3 2 2 6 2 3" xfId="6372" xr:uid="{00000000-0005-0000-0000-000014190000}"/>
    <cellStyle name="Comma 2 2 3 2 2 6 2 4" xfId="13272" xr:uid="{00000000-0005-0000-0000-000008340000}"/>
    <cellStyle name="Comma 2 2 3 2 2 6 2 5" xfId="13274" xr:uid="{00000000-0005-0000-0000-00000A340000}"/>
    <cellStyle name="Comma 2 2 3 2 2 6 2 6" xfId="1293" xr:uid="{00000000-0005-0000-0000-00003D050000}"/>
    <cellStyle name="Comma 2 2 3 2 2 6 2 7" xfId="13275" xr:uid="{00000000-0005-0000-0000-00000B340000}"/>
    <cellStyle name="Comma 2 2 3 2 2 6 2 8" xfId="10696" xr:uid="{00000000-0005-0000-0000-0000F8290000}"/>
    <cellStyle name="Comma 2 2 3 2 2 6 2 9" xfId="4957" xr:uid="{00000000-0005-0000-0000-00008D130000}"/>
    <cellStyle name="Comma 2 2 3 2 2 6 3" xfId="13278" xr:uid="{00000000-0005-0000-0000-00000E340000}"/>
    <cellStyle name="Comma 2 2 3 2 2 6 3 2" xfId="13281" xr:uid="{00000000-0005-0000-0000-000011340000}"/>
    <cellStyle name="Comma 2 2 3 2 2 6 3 3" xfId="13283" xr:uid="{00000000-0005-0000-0000-000013340000}"/>
    <cellStyle name="Comma 2 2 3 2 2 6 3 4" xfId="13285" xr:uid="{00000000-0005-0000-0000-000015340000}"/>
    <cellStyle name="Comma 2 2 3 2 2 6 3 5" xfId="13287" xr:uid="{00000000-0005-0000-0000-000017340000}"/>
    <cellStyle name="Comma 2 2 3 2 2 6 3 6" xfId="1315" xr:uid="{00000000-0005-0000-0000-000053050000}"/>
    <cellStyle name="Comma 2 2 3 2 2 6 4" xfId="615" xr:uid="{00000000-0005-0000-0000-000091020000}"/>
    <cellStyle name="Comma 2 2 3 2 2 6 4 2" xfId="13290" xr:uid="{00000000-0005-0000-0000-00001A340000}"/>
    <cellStyle name="Comma 2 2 3 2 2 6 5" xfId="13293" xr:uid="{00000000-0005-0000-0000-00001D340000}"/>
    <cellStyle name="Comma 2 2 3 2 2 6 6" xfId="13296" xr:uid="{00000000-0005-0000-0000-000020340000}"/>
    <cellStyle name="Comma 2 2 3 2 2 6 7" xfId="13298" xr:uid="{00000000-0005-0000-0000-000022340000}"/>
    <cellStyle name="Comma 2 2 3 2 2 6 8" xfId="13300" xr:uid="{00000000-0005-0000-0000-000024340000}"/>
    <cellStyle name="Comma 2 2 3 2 2 6 9" xfId="6748" xr:uid="{00000000-0005-0000-0000-00008C1A0000}"/>
    <cellStyle name="Comma 2 2 3 2 2 7" xfId="13302" xr:uid="{00000000-0005-0000-0000-000026340000}"/>
    <cellStyle name="Comma 2 2 3 2 2 7 2" xfId="3029" xr:uid="{00000000-0005-0000-0000-0000050C0000}"/>
    <cellStyle name="Comma 2 2 3 2 2 7 2 2" xfId="13303" xr:uid="{00000000-0005-0000-0000-000027340000}"/>
    <cellStyle name="Comma 2 2 3 2 2 7 3" xfId="10664" xr:uid="{00000000-0005-0000-0000-0000D8290000}"/>
    <cellStyle name="Comma 2 2 3 2 2 7 4" xfId="7014" xr:uid="{00000000-0005-0000-0000-0000961B0000}"/>
    <cellStyle name="Comma 2 2 3 2 2 7 5" xfId="10" xr:uid="{00000000-0005-0000-0000-00000B000000}"/>
    <cellStyle name="Comma 2 2 3 2 2 7 6" xfId="13305" xr:uid="{00000000-0005-0000-0000-000029340000}"/>
    <cellStyle name="Comma 2 2 3 2 2 7 7" xfId="13307" xr:uid="{00000000-0005-0000-0000-00002B340000}"/>
    <cellStyle name="Comma 2 2 3 2 2 7 8" xfId="13309" xr:uid="{00000000-0005-0000-0000-00002D340000}"/>
    <cellStyle name="Comma 2 2 3 2 2 7 9" xfId="13311" xr:uid="{00000000-0005-0000-0000-00002F340000}"/>
    <cellStyle name="Comma 2 2 3 2 2 8" xfId="13313" xr:uid="{00000000-0005-0000-0000-000031340000}"/>
    <cellStyle name="Comma 2 2 3 2 2 8 2" xfId="13315" xr:uid="{00000000-0005-0000-0000-000033340000}"/>
    <cellStyle name="Comma 2 2 3 2 2 8 3" xfId="13316" xr:uid="{00000000-0005-0000-0000-000034340000}"/>
    <cellStyle name="Comma 2 2 3 2 2 8 4" xfId="13321" xr:uid="{00000000-0005-0000-0000-000039340000}"/>
    <cellStyle name="Comma 2 2 3 2 2 8 5" xfId="13323" xr:uid="{00000000-0005-0000-0000-00003B340000}"/>
    <cellStyle name="Comma 2 2 3 2 2 8 6" xfId="13325" xr:uid="{00000000-0005-0000-0000-00003D340000}"/>
    <cellStyle name="Comma 2 2 3 2 2 9" xfId="13329" xr:uid="{00000000-0005-0000-0000-000041340000}"/>
    <cellStyle name="Comma 2 2 3 2 2 9 2" xfId="13333" xr:uid="{00000000-0005-0000-0000-000045340000}"/>
    <cellStyle name="Comma 2 2 3 2 2 9 3" xfId="13335" xr:uid="{00000000-0005-0000-0000-000047340000}"/>
    <cellStyle name="Comma 2 2 3 2 2 9 4" xfId="13338" xr:uid="{00000000-0005-0000-0000-00004A340000}"/>
    <cellStyle name="Comma 2 2 3 2 2 9 5" xfId="13341" xr:uid="{00000000-0005-0000-0000-00004D340000}"/>
    <cellStyle name="Comma 2 2 3 2 2 9 6" xfId="13343" xr:uid="{00000000-0005-0000-0000-00004F340000}"/>
    <cellStyle name="Comma 2 2 3 2 20" xfId="12816" xr:uid="{00000000-0005-0000-0000-000040320000}"/>
    <cellStyle name="Comma 2 2 3 2 21" xfId="11946" xr:uid="{00000000-0005-0000-0000-0000DA2E0000}"/>
    <cellStyle name="Comma 2 2 3 2 22" xfId="11950" xr:uid="{00000000-0005-0000-0000-0000DE2E0000}"/>
    <cellStyle name="Comma 2 2 3 2 23" xfId="11958" xr:uid="{00000000-0005-0000-0000-0000E62E0000}"/>
    <cellStyle name="Comma 2 2 3 2 24" xfId="10187" xr:uid="{00000000-0005-0000-0000-0000FB270000}"/>
    <cellStyle name="Comma 2 2 3 2 25" xfId="10194" xr:uid="{00000000-0005-0000-0000-000002280000}"/>
    <cellStyle name="Comma 2 2 3 2 26" xfId="10200" xr:uid="{00000000-0005-0000-0000-000008280000}"/>
    <cellStyle name="Comma 2 2 3 2 3" xfId="11908" xr:uid="{00000000-0005-0000-0000-0000B42E0000}"/>
    <cellStyle name="Comma 2 2 3 2 3 10" xfId="13348" xr:uid="{00000000-0005-0000-0000-000054340000}"/>
    <cellStyle name="Comma 2 2 3 2 3 10 2" xfId="13351" xr:uid="{00000000-0005-0000-0000-000057340000}"/>
    <cellStyle name="Comma 2 2 3 2 3 10 3" xfId="13355" xr:uid="{00000000-0005-0000-0000-00005B340000}"/>
    <cellStyle name="Comma 2 2 3 2 3 10 4" xfId="13356" xr:uid="{00000000-0005-0000-0000-00005C340000}"/>
    <cellStyle name="Comma 2 2 3 2 3 10 5" xfId="13357" xr:uid="{00000000-0005-0000-0000-00005D340000}"/>
    <cellStyle name="Comma 2 2 3 2 3 10 6" xfId="7314" xr:uid="{00000000-0005-0000-0000-0000C21C0000}"/>
    <cellStyle name="Comma 2 2 3 2 3 11" xfId="11847" xr:uid="{00000000-0005-0000-0000-0000772E0000}"/>
    <cellStyle name="Comma 2 2 3 2 3 11 2" xfId="11849" xr:uid="{00000000-0005-0000-0000-0000792E0000}"/>
    <cellStyle name="Comma 2 2 3 2 3 11 3" xfId="13361" xr:uid="{00000000-0005-0000-0000-000061340000}"/>
    <cellStyle name="Comma 2 2 3 2 3 11 4" xfId="13362" xr:uid="{00000000-0005-0000-0000-000062340000}"/>
    <cellStyle name="Comma 2 2 3 2 3 11 5" xfId="13363" xr:uid="{00000000-0005-0000-0000-000063340000}"/>
    <cellStyle name="Comma 2 2 3 2 3 11 6" xfId="13364" xr:uid="{00000000-0005-0000-0000-000064340000}"/>
    <cellStyle name="Comma 2 2 3 2 3 12" xfId="2822" xr:uid="{00000000-0005-0000-0000-0000360B0000}"/>
    <cellStyle name="Comma 2 2 3 2 3 13" xfId="11854" xr:uid="{00000000-0005-0000-0000-00007E2E0000}"/>
    <cellStyle name="Comma 2 2 3 2 3 14" xfId="3009" xr:uid="{00000000-0005-0000-0000-0000F10B0000}"/>
    <cellStyle name="Comma 2 2 3 2 3 15" xfId="13366" xr:uid="{00000000-0005-0000-0000-000066340000}"/>
    <cellStyle name="Comma 2 2 3 2 3 16" xfId="6949" xr:uid="{00000000-0005-0000-0000-0000551B0000}"/>
    <cellStyle name="Comma 2 2 3 2 3 17" xfId="6954" xr:uid="{00000000-0005-0000-0000-00005A1B0000}"/>
    <cellStyle name="Comma 2 2 3 2 3 18" xfId="6957" xr:uid="{00000000-0005-0000-0000-00005D1B0000}"/>
    <cellStyle name="Comma 2 2 3 2 3 19" xfId="13374" xr:uid="{00000000-0005-0000-0000-00006E340000}"/>
    <cellStyle name="Comma 2 2 3 2 3 2" xfId="8529" xr:uid="{00000000-0005-0000-0000-000081210000}"/>
    <cellStyle name="Comma 2 2 3 2 3 2 10" xfId="13380" xr:uid="{00000000-0005-0000-0000-000074340000}"/>
    <cellStyle name="Comma 2 2 3 2 3 2 11" xfId="13382" xr:uid="{00000000-0005-0000-0000-000076340000}"/>
    <cellStyle name="Comma 2 2 3 2 3 2 12" xfId="13384" xr:uid="{00000000-0005-0000-0000-000078340000}"/>
    <cellStyle name="Comma 2 2 3 2 3 2 13" xfId="13386" xr:uid="{00000000-0005-0000-0000-00007A340000}"/>
    <cellStyle name="Comma 2 2 3 2 3 2 14" xfId="13387" xr:uid="{00000000-0005-0000-0000-00007B340000}"/>
    <cellStyle name="Comma 2 2 3 2 3 2 15" xfId="13388" xr:uid="{00000000-0005-0000-0000-00007C340000}"/>
    <cellStyle name="Comma 2 2 3 2 3 2 16" xfId="5951" xr:uid="{00000000-0005-0000-0000-00006F170000}"/>
    <cellStyle name="Comma 2 2 3 2 3 2 17" xfId="13393" xr:uid="{00000000-0005-0000-0000-000081340000}"/>
    <cellStyle name="Comma 2 2 3 2 3 2 18" xfId="13396" xr:uid="{00000000-0005-0000-0000-000084340000}"/>
    <cellStyle name="Comma 2 2 3 2 3 2 2" xfId="13397" xr:uid="{00000000-0005-0000-0000-000085340000}"/>
    <cellStyle name="Comma 2 2 3 2 3 2 2 10" xfId="13399" xr:uid="{00000000-0005-0000-0000-000087340000}"/>
    <cellStyle name="Comma 2 2 3 2 3 2 2 11" xfId="13402" xr:uid="{00000000-0005-0000-0000-00008A340000}"/>
    <cellStyle name="Comma 2 2 3 2 3 2 2 12" xfId="13408" xr:uid="{00000000-0005-0000-0000-000090340000}"/>
    <cellStyle name="Comma 2 2 3 2 3 2 2 2" xfId="8414" xr:uid="{00000000-0005-0000-0000-00000E210000}"/>
    <cellStyle name="Comma 2 2 3 2 3 2 2 2 2" xfId="13417" xr:uid="{00000000-0005-0000-0000-000099340000}"/>
    <cellStyle name="Comma 2 2 3 2 3 2 2 2 2 2" xfId="3767" xr:uid="{00000000-0005-0000-0000-0000E70E0000}"/>
    <cellStyle name="Comma 2 2 3 2 3 2 2 2 3" xfId="13421" xr:uid="{00000000-0005-0000-0000-00009D340000}"/>
    <cellStyle name="Comma 2 2 3 2 3 2 2 2 4" xfId="13428" xr:uid="{00000000-0005-0000-0000-0000A4340000}"/>
    <cellStyle name="Comma 2 2 3 2 3 2 2 2 5" xfId="13431" xr:uid="{00000000-0005-0000-0000-0000A7340000}"/>
    <cellStyle name="Comma 2 2 3 2 3 2 2 3" xfId="6425" xr:uid="{00000000-0005-0000-0000-000049190000}"/>
    <cellStyle name="Comma 2 2 3 2 3 2 2 3 2" xfId="13434" xr:uid="{00000000-0005-0000-0000-0000AA340000}"/>
    <cellStyle name="Comma 2 2 3 2 3 2 2 4" xfId="7187" xr:uid="{00000000-0005-0000-0000-0000431C0000}"/>
    <cellStyle name="Comma 2 2 3 2 3 2 2 5" xfId="7198" xr:uid="{00000000-0005-0000-0000-00004E1C0000}"/>
    <cellStyle name="Comma 2 2 3 2 3 2 2 6" xfId="4869" xr:uid="{00000000-0005-0000-0000-000035130000}"/>
    <cellStyle name="Comma 2 2 3 2 3 2 2 7" xfId="7206" xr:uid="{00000000-0005-0000-0000-0000561C0000}"/>
    <cellStyle name="Comma 2 2 3 2 3 2 2 8" xfId="7219" xr:uid="{00000000-0005-0000-0000-0000631C0000}"/>
    <cellStyle name="Comma 2 2 3 2 3 2 2 9" xfId="6538" xr:uid="{00000000-0005-0000-0000-0000BA190000}"/>
    <cellStyle name="Comma 2 2 3 2 3 2 3" xfId="13436" xr:uid="{00000000-0005-0000-0000-0000AC340000}"/>
    <cellStyle name="Comma 2 2 3 2 3 2 3 10" xfId="13438" xr:uid="{00000000-0005-0000-0000-0000AE340000}"/>
    <cellStyle name="Comma 2 2 3 2 3 2 3 11" xfId="13447" xr:uid="{00000000-0005-0000-0000-0000B7340000}"/>
    <cellStyle name="Comma 2 2 3 2 3 2 3 12" xfId="13452" xr:uid="{00000000-0005-0000-0000-0000BC340000}"/>
    <cellStyle name="Comma 2 2 3 2 3 2 3 2" xfId="8440" xr:uid="{00000000-0005-0000-0000-000028210000}"/>
    <cellStyle name="Comma 2 2 3 2 3 2 3 2 2" xfId="9080" xr:uid="{00000000-0005-0000-0000-0000A8230000}"/>
    <cellStyle name="Comma 2 2 3 2 3 2 3 2 2 2" xfId="9874" xr:uid="{00000000-0005-0000-0000-0000C2260000}"/>
    <cellStyle name="Comma 2 2 3 2 3 2 3 2 3" xfId="9096" xr:uid="{00000000-0005-0000-0000-0000B8230000}"/>
    <cellStyle name="Comma 2 2 3 2 3 2 3 2 4" xfId="1587" xr:uid="{00000000-0005-0000-0000-000063060000}"/>
    <cellStyle name="Comma 2 2 3 2 3 2 3 2 5" xfId="9988" xr:uid="{00000000-0005-0000-0000-000034270000}"/>
    <cellStyle name="Comma 2 2 3 2 3 2 3 3" xfId="7239" xr:uid="{00000000-0005-0000-0000-0000771C0000}"/>
    <cellStyle name="Comma 2 2 3 2 3 2 3 3 2" xfId="10028" xr:uid="{00000000-0005-0000-0000-00005C270000}"/>
    <cellStyle name="Comma 2 2 3 2 3 2 3 4" xfId="7246" xr:uid="{00000000-0005-0000-0000-00007E1C0000}"/>
    <cellStyle name="Comma 2 2 3 2 3 2 3 5" xfId="8444" xr:uid="{00000000-0005-0000-0000-00002C210000}"/>
    <cellStyle name="Comma 2 2 3 2 3 2 3 6" xfId="8447" xr:uid="{00000000-0005-0000-0000-00002F210000}"/>
    <cellStyle name="Comma 2 2 3 2 3 2 3 7" xfId="8451" xr:uid="{00000000-0005-0000-0000-000033210000}"/>
    <cellStyle name="Comma 2 2 3 2 3 2 3 8" xfId="11110" xr:uid="{00000000-0005-0000-0000-0000962B0000}"/>
    <cellStyle name="Comma 2 2 3 2 3 2 3 9" xfId="11136" xr:uid="{00000000-0005-0000-0000-0000B02B0000}"/>
    <cellStyle name="Comma 2 2 3 2 3 2 4" xfId="201" xr:uid="{00000000-0005-0000-0000-0000D8000000}"/>
    <cellStyle name="Comma 2 2 3 2 3 2 4 10" xfId="13456" xr:uid="{00000000-0005-0000-0000-0000C0340000}"/>
    <cellStyle name="Comma 2 2 3 2 3 2 4 2" xfId="7072" xr:uid="{00000000-0005-0000-0000-0000D01B0000}"/>
    <cellStyle name="Comma 2 2 3 2 3 2 4 2 2" xfId="5634" xr:uid="{00000000-0005-0000-0000-000032160000}"/>
    <cellStyle name="Comma 2 2 3 2 3 2 4 2 2 2" xfId="13457" xr:uid="{00000000-0005-0000-0000-0000C1340000}"/>
    <cellStyle name="Comma 2 2 3 2 3 2 4 2 3" xfId="807" xr:uid="{00000000-0005-0000-0000-000057030000}"/>
    <cellStyle name="Comma 2 2 3 2 3 2 4 2 4" xfId="854" xr:uid="{00000000-0005-0000-0000-000086030000}"/>
    <cellStyle name="Comma 2 2 3 2 3 2 4 2 5" xfId="13458" xr:uid="{00000000-0005-0000-0000-0000C2340000}"/>
    <cellStyle name="Comma 2 2 3 2 3 2 4 3" xfId="7263" xr:uid="{00000000-0005-0000-0000-00008F1C0000}"/>
    <cellStyle name="Comma 2 2 3 2 3 2 4 3 2" xfId="5993" xr:uid="{00000000-0005-0000-0000-000099170000}"/>
    <cellStyle name="Comma 2 2 3 2 3 2 4 4" xfId="8482" xr:uid="{00000000-0005-0000-0000-000052210000}"/>
    <cellStyle name="Comma 2 2 3 2 3 2 4 5" xfId="8492" xr:uid="{00000000-0005-0000-0000-00005C210000}"/>
    <cellStyle name="Comma 2 2 3 2 3 2 4 6" xfId="8502" xr:uid="{00000000-0005-0000-0000-000066210000}"/>
    <cellStyle name="Comma 2 2 3 2 3 2 4 7" xfId="8511" xr:uid="{00000000-0005-0000-0000-00006F210000}"/>
    <cellStyle name="Comma 2 2 3 2 3 2 4 8" xfId="11157" xr:uid="{00000000-0005-0000-0000-0000C52B0000}"/>
    <cellStyle name="Comma 2 2 3 2 3 2 4 9" xfId="11159" xr:uid="{00000000-0005-0000-0000-0000C72B0000}"/>
    <cellStyle name="Comma 2 2 3 2 3 2 5" xfId="13462" xr:uid="{00000000-0005-0000-0000-0000C6340000}"/>
    <cellStyle name="Comma 2 2 3 2 3 2 5 10" xfId="13465" xr:uid="{00000000-0005-0000-0000-0000C9340000}"/>
    <cellStyle name="Comma 2 2 3 2 3 2 5 2" xfId="8553" xr:uid="{00000000-0005-0000-0000-000099210000}"/>
    <cellStyle name="Comma 2 2 3 2 3 2 5 2 2" xfId="10251" xr:uid="{00000000-0005-0000-0000-00003B280000}"/>
    <cellStyle name="Comma 2 2 3 2 3 2 5 2 2 2" xfId="447" xr:uid="{00000000-0005-0000-0000-0000DC010000}"/>
    <cellStyle name="Comma 2 2 3 2 3 2 5 2 3" xfId="1165" xr:uid="{00000000-0005-0000-0000-0000BD040000}"/>
    <cellStyle name="Comma 2 2 3 2 3 2 5 2 4" xfId="832" xr:uid="{00000000-0005-0000-0000-000070030000}"/>
    <cellStyle name="Comma 2 2 3 2 3 2 5 2 5" xfId="4992" xr:uid="{00000000-0005-0000-0000-0000B0130000}"/>
    <cellStyle name="Comma 2 2 3 2 3 2 5 3" xfId="7276" xr:uid="{00000000-0005-0000-0000-00009C1C0000}"/>
    <cellStyle name="Comma 2 2 3 2 3 2 5 3 2" xfId="13466" xr:uid="{00000000-0005-0000-0000-0000CA340000}"/>
    <cellStyle name="Comma 2 2 3 2 3 2 5 4" xfId="8561" xr:uid="{00000000-0005-0000-0000-0000A1210000}"/>
    <cellStyle name="Comma 2 2 3 2 3 2 5 5" xfId="8570" xr:uid="{00000000-0005-0000-0000-0000AA210000}"/>
    <cellStyle name="Comma 2 2 3 2 3 2 5 6" xfId="8576" xr:uid="{00000000-0005-0000-0000-0000B0210000}"/>
    <cellStyle name="Comma 2 2 3 2 3 2 5 7" xfId="8582" xr:uid="{00000000-0005-0000-0000-0000B6210000}"/>
    <cellStyle name="Comma 2 2 3 2 3 2 5 8" xfId="11174" xr:uid="{00000000-0005-0000-0000-0000D62B0000}"/>
    <cellStyle name="Comma 2 2 3 2 3 2 5 9" xfId="11181" xr:uid="{00000000-0005-0000-0000-0000DD2B0000}"/>
    <cellStyle name="Comma 2 2 3 2 3 2 6" xfId="13467" xr:uid="{00000000-0005-0000-0000-0000CB340000}"/>
    <cellStyle name="Comma 2 2 3 2 3 2 6 2" xfId="8612" xr:uid="{00000000-0005-0000-0000-0000D4210000}"/>
    <cellStyle name="Comma 2 2 3 2 3 2 6 2 2" xfId="10307" xr:uid="{00000000-0005-0000-0000-000073280000}"/>
    <cellStyle name="Comma 2 2 3 2 3 2 6 3" xfId="2732" xr:uid="{00000000-0005-0000-0000-0000DC0A0000}"/>
    <cellStyle name="Comma 2 2 3 2 3 2 6 4" xfId="8623" xr:uid="{00000000-0005-0000-0000-0000DF210000}"/>
    <cellStyle name="Comma 2 2 3 2 3 2 6 5" xfId="8635" xr:uid="{00000000-0005-0000-0000-0000EB210000}"/>
    <cellStyle name="Comma 2 2 3 2 3 2 6 6" xfId="1342" xr:uid="{00000000-0005-0000-0000-00006E050000}"/>
    <cellStyle name="Comma 2 2 3 2 3 2 6 7" xfId="1529" xr:uid="{00000000-0005-0000-0000-000029060000}"/>
    <cellStyle name="Comma 2 2 3 2 3 2 6 8" xfId="11194" xr:uid="{00000000-0005-0000-0000-0000EA2B0000}"/>
    <cellStyle name="Comma 2 2 3 2 3 2 6 9" xfId="13470" xr:uid="{00000000-0005-0000-0000-0000CE340000}"/>
    <cellStyle name="Comma 2 2 3 2 3 2 7" xfId="13474" xr:uid="{00000000-0005-0000-0000-0000D2340000}"/>
    <cellStyle name="Comma 2 2 3 2 3 2 7 2" xfId="13479" xr:uid="{00000000-0005-0000-0000-0000D7340000}"/>
    <cellStyle name="Comma 2 2 3 2 3 2 8" xfId="13482" xr:uid="{00000000-0005-0000-0000-0000DA340000}"/>
    <cellStyle name="Comma 2 2 3 2 3 2 9" xfId="13483" xr:uid="{00000000-0005-0000-0000-0000DB340000}"/>
    <cellStyle name="Comma 2 2 3 2 3 20" xfId="13367" xr:uid="{00000000-0005-0000-0000-000067340000}"/>
    <cellStyle name="Comma 2 2 3 2 3 21" xfId="6950" xr:uid="{00000000-0005-0000-0000-0000561B0000}"/>
    <cellStyle name="Comma 2 2 3 2 3 22" xfId="6955" xr:uid="{00000000-0005-0000-0000-00005B1B0000}"/>
    <cellStyle name="Comma 2 2 3 2 3 23" xfId="6958" xr:uid="{00000000-0005-0000-0000-00005E1B0000}"/>
    <cellStyle name="Comma 2 2 3 2 3 3" xfId="3099" xr:uid="{00000000-0005-0000-0000-00004B0C0000}"/>
    <cellStyle name="Comma 2 2 3 2 3 3 10" xfId="5112" xr:uid="{00000000-0005-0000-0000-000028140000}"/>
    <cellStyle name="Comma 2 2 3 2 3 3 11" xfId="7140" xr:uid="{00000000-0005-0000-0000-0000141C0000}"/>
    <cellStyle name="Comma 2 2 3 2 3 3 12" xfId="7156" xr:uid="{00000000-0005-0000-0000-0000241C0000}"/>
    <cellStyle name="Comma 2 2 3 2 3 3 13" xfId="10418" xr:uid="{00000000-0005-0000-0000-0000E2280000}"/>
    <cellStyle name="Comma 2 2 3 2 3 3 14" xfId="10423" xr:uid="{00000000-0005-0000-0000-0000E7280000}"/>
    <cellStyle name="Comma 2 2 3 2 3 3 15" xfId="13486" xr:uid="{00000000-0005-0000-0000-0000DE340000}"/>
    <cellStyle name="Comma 2 2 3 2 3 3 16" xfId="13489" xr:uid="{00000000-0005-0000-0000-0000E1340000}"/>
    <cellStyle name="Comma 2 2 3 2 3 3 17" xfId="13493" xr:uid="{00000000-0005-0000-0000-0000E5340000}"/>
    <cellStyle name="Comma 2 2 3 2 3 3 18" xfId="12130" xr:uid="{00000000-0005-0000-0000-0000922F0000}"/>
    <cellStyle name="Comma 2 2 3 2 3 3 2" xfId="13497" xr:uid="{00000000-0005-0000-0000-0000E9340000}"/>
    <cellStyle name="Comma 2 2 3 2 3 3 2 10" xfId="13500" xr:uid="{00000000-0005-0000-0000-0000EC340000}"/>
    <cellStyle name="Comma 2 2 3 2 3 3 2 2" xfId="8680" xr:uid="{00000000-0005-0000-0000-000018220000}"/>
    <cellStyle name="Comma 2 2 3 2 3 3 2 2 2" xfId="13502" xr:uid="{00000000-0005-0000-0000-0000EE340000}"/>
    <cellStyle name="Comma 2 2 3 2 3 3 2 3" xfId="7310" xr:uid="{00000000-0005-0000-0000-0000BE1C0000}"/>
    <cellStyle name="Comma 2 2 3 2 3 3 2 4" xfId="8683" xr:uid="{00000000-0005-0000-0000-00001B220000}"/>
    <cellStyle name="Comma 2 2 3 2 3 3 2 5" xfId="8688" xr:uid="{00000000-0005-0000-0000-000020220000}"/>
    <cellStyle name="Comma 2 2 3 2 3 3 2 6" xfId="8695" xr:uid="{00000000-0005-0000-0000-000027220000}"/>
    <cellStyle name="Comma 2 2 3 2 3 3 2 7" xfId="8701" xr:uid="{00000000-0005-0000-0000-00002D220000}"/>
    <cellStyle name="Comma 2 2 3 2 3 3 2 8" xfId="11226" xr:uid="{00000000-0005-0000-0000-00000A2C0000}"/>
    <cellStyle name="Comma 2 2 3 2 3 3 2 9" xfId="6583" xr:uid="{00000000-0005-0000-0000-0000E7190000}"/>
    <cellStyle name="Comma 2 2 3 2 3 3 3" xfId="13506" xr:uid="{00000000-0005-0000-0000-0000F2340000}"/>
    <cellStyle name="Comma 2 2 3 2 3 3 3 2" xfId="8712" xr:uid="{00000000-0005-0000-0000-000038220000}"/>
    <cellStyle name="Comma 2 2 3 2 3 3 3 3" xfId="6920" xr:uid="{00000000-0005-0000-0000-0000381B0000}"/>
    <cellStyle name="Comma 2 2 3 2 3 3 3 4" xfId="8716" xr:uid="{00000000-0005-0000-0000-00003C220000}"/>
    <cellStyle name="Comma 2 2 3 2 3 3 3 5" xfId="13510" xr:uid="{00000000-0005-0000-0000-0000F6340000}"/>
    <cellStyle name="Comma 2 2 3 2 3 3 3 6" xfId="13513" xr:uid="{00000000-0005-0000-0000-0000F9340000}"/>
    <cellStyle name="Comma 2 2 3 2 3 3 4" xfId="5458" xr:uid="{00000000-0005-0000-0000-000082150000}"/>
    <cellStyle name="Comma 2 2 3 2 3 3 4 2" xfId="5410" xr:uid="{00000000-0005-0000-0000-000052150000}"/>
    <cellStyle name="Comma 2 2 3 2 3 3 4 3" xfId="975" xr:uid="{00000000-0005-0000-0000-0000FF030000}"/>
    <cellStyle name="Comma 2 2 3 2 3 3 4 4" xfId="8740" xr:uid="{00000000-0005-0000-0000-000054220000}"/>
    <cellStyle name="Comma 2 2 3 2 3 3 4 5" xfId="13521" xr:uid="{00000000-0005-0000-0000-000001350000}"/>
    <cellStyle name="Comma 2 2 3 2 3 3 4 6" xfId="13525" xr:uid="{00000000-0005-0000-0000-000005350000}"/>
    <cellStyle name="Comma 2 2 3 2 3 3 5" xfId="13528" xr:uid="{00000000-0005-0000-0000-000008350000}"/>
    <cellStyle name="Comma 2 2 3 2 3 3 5 2" xfId="8759" xr:uid="{00000000-0005-0000-0000-000067220000}"/>
    <cellStyle name="Comma 2 2 3 2 3 3 5 3" xfId="7338" xr:uid="{00000000-0005-0000-0000-0000DA1C0000}"/>
    <cellStyle name="Comma 2 2 3 2 3 3 5 4" xfId="8770" xr:uid="{00000000-0005-0000-0000-000072220000}"/>
    <cellStyle name="Comma 2 2 3 2 3 3 5 5" xfId="13538" xr:uid="{00000000-0005-0000-0000-000012350000}"/>
    <cellStyle name="Comma 2 2 3 2 3 3 5 6" xfId="13543" xr:uid="{00000000-0005-0000-0000-000017350000}"/>
    <cellStyle name="Comma 2 2 3 2 3 3 6" xfId="13546" xr:uid="{00000000-0005-0000-0000-00001A350000}"/>
    <cellStyle name="Comma 2 2 3 2 3 3 6 2" xfId="8785" xr:uid="{00000000-0005-0000-0000-000081220000}"/>
    <cellStyle name="Comma 2 2 3 2 3 3 6 3" xfId="7351" xr:uid="{00000000-0005-0000-0000-0000E71C0000}"/>
    <cellStyle name="Comma 2 2 3 2 3 3 6 4" xfId="8798" xr:uid="{00000000-0005-0000-0000-00008E220000}"/>
    <cellStyle name="Comma 2 2 3 2 3 3 6 5" xfId="13554" xr:uid="{00000000-0005-0000-0000-000022350000}"/>
    <cellStyle name="Comma 2 2 3 2 3 3 6 6" xfId="13559" xr:uid="{00000000-0005-0000-0000-000027350000}"/>
    <cellStyle name="Comma 2 2 3 2 3 3 7" xfId="13568" xr:uid="{00000000-0005-0000-0000-000030350000}"/>
    <cellStyle name="Comma 2 2 3 2 3 3 8" xfId="13570" xr:uid="{00000000-0005-0000-0000-000032350000}"/>
    <cellStyle name="Comma 2 2 3 2 3 3 9" xfId="2582" xr:uid="{00000000-0005-0000-0000-0000460A0000}"/>
    <cellStyle name="Comma 2 2 3 2 3 4" xfId="4962" xr:uid="{00000000-0005-0000-0000-000092130000}"/>
    <cellStyle name="Comma 2 2 3 2 3 4 10" xfId="4898" xr:uid="{00000000-0005-0000-0000-000052130000}"/>
    <cellStyle name="Comma 2 2 3 2 3 4 11" xfId="6087" xr:uid="{00000000-0005-0000-0000-0000F7170000}"/>
    <cellStyle name="Comma 2 2 3 2 3 4 12" xfId="13574" xr:uid="{00000000-0005-0000-0000-000036350000}"/>
    <cellStyle name="Comma 2 2 3 2 3 4 13" xfId="13579" xr:uid="{00000000-0005-0000-0000-00003B350000}"/>
    <cellStyle name="Comma 2 2 3 2 3 4 14" xfId="13581" xr:uid="{00000000-0005-0000-0000-00003D350000}"/>
    <cellStyle name="Comma 2 2 3 2 3 4 15" xfId="13584" xr:uid="{00000000-0005-0000-0000-000040350000}"/>
    <cellStyle name="Comma 2 2 3 2 3 4 2" xfId="13589" xr:uid="{00000000-0005-0000-0000-000045350000}"/>
    <cellStyle name="Comma 2 2 3 2 3 4 2 2" xfId="8824" xr:uid="{00000000-0005-0000-0000-0000A8220000}"/>
    <cellStyle name="Comma 2 2 3 2 3 4 2 2 2" xfId="1268" xr:uid="{00000000-0005-0000-0000-000024050000}"/>
    <cellStyle name="Comma 2 2 3 2 3 4 2 3" xfId="7386" xr:uid="{00000000-0005-0000-0000-00000A1D0000}"/>
    <cellStyle name="Comma 2 2 3 2 3 4 2 4" xfId="8828" xr:uid="{00000000-0005-0000-0000-0000AC220000}"/>
    <cellStyle name="Comma 2 2 3 2 3 4 2 5" xfId="8835" xr:uid="{00000000-0005-0000-0000-0000B3220000}"/>
    <cellStyle name="Comma 2 2 3 2 3 4 2 6" xfId="8840" xr:uid="{00000000-0005-0000-0000-0000B8220000}"/>
    <cellStyle name="Comma 2 2 3 2 3 4 2 7" xfId="8844" xr:uid="{00000000-0005-0000-0000-0000BC220000}"/>
    <cellStyle name="Comma 2 2 3 2 3 4 2 8" xfId="11321" xr:uid="{00000000-0005-0000-0000-0000692C0000}"/>
    <cellStyle name="Comma 2 2 3 2 3 4 2 9" xfId="4144" xr:uid="{00000000-0005-0000-0000-000060100000}"/>
    <cellStyle name="Comma 2 2 3 2 3 4 3" xfId="13592" xr:uid="{00000000-0005-0000-0000-000048350000}"/>
    <cellStyle name="Comma 2 2 3 2 3 4 3 2" xfId="8855" xr:uid="{00000000-0005-0000-0000-0000C7220000}"/>
    <cellStyle name="Comma 2 2 3 2 3 4 3 3" xfId="8859" xr:uid="{00000000-0005-0000-0000-0000CB220000}"/>
    <cellStyle name="Comma 2 2 3 2 3 4 3 4" xfId="8863" xr:uid="{00000000-0005-0000-0000-0000CF220000}"/>
    <cellStyle name="Comma 2 2 3 2 3 4 3 5" xfId="13596" xr:uid="{00000000-0005-0000-0000-00004C350000}"/>
    <cellStyle name="Comma 2 2 3 2 3 4 3 6" xfId="13601" xr:uid="{00000000-0005-0000-0000-000051350000}"/>
    <cellStyle name="Comma 2 2 3 2 3 4 4" xfId="13605" xr:uid="{00000000-0005-0000-0000-000055350000}"/>
    <cellStyle name="Comma 2 2 3 2 3 4 4 2" xfId="13610" xr:uid="{00000000-0005-0000-0000-00005A350000}"/>
    <cellStyle name="Comma 2 2 3 2 3 4 5" xfId="13615" xr:uid="{00000000-0005-0000-0000-00005F350000}"/>
    <cellStyle name="Comma 2 2 3 2 3 4 6" xfId="13618" xr:uid="{00000000-0005-0000-0000-000062350000}"/>
    <cellStyle name="Comma 2 2 3 2 3 4 7" xfId="13622" xr:uid="{00000000-0005-0000-0000-000066350000}"/>
    <cellStyle name="Comma 2 2 3 2 3 4 8" xfId="13625" xr:uid="{00000000-0005-0000-0000-000069350000}"/>
    <cellStyle name="Comma 2 2 3 2 3 4 9" xfId="13628" xr:uid="{00000000-0005-0000-0000-00006C350000}"/>
    <cellStyle name="Comma 2 2 3 2 3 5" xfId="13630" xr:uid="{00000000-0005-0000-0000-00006E350000}"/>
    <cellStyle name="Comma 2 2 3 2 3 5 10" xfId="13635" xr:uid="{00000000-0005-0000-0000-000073350000}"/>
    <cellStyle name="Comma 2 2 3 2 3 5 11" xfId="13638" xr:uid="{00000000-0005-0000-0000-000076350000}"/>
    <cellStyle name="Comma 2 2 3 2 3 5 12" xfId="13639" xr:uid="{00000000-0005-0000-0000-000077350000}"/>
    <cellStyle name="Comma 2 2 3 2 3 5 13" xfId="13640" xr:uid="{00000000-0005-0000-0000-000078350000}"/>
    <cellStyle name="Comma 2 2 3 2 3 5 2" xfId="13644" xr:uid="{00000000-0005-0000-0000-00007C350000}"/>
    <cellStyle name="Comma 2 2 3 2 3 5 2 2" xfId="8921" xr:uid="{00000000-0005-0000-0000-000009230000}"/>
    <cellStyle name="Comma 2 2 3 2 3 5 2 2 2" xfId="13649" xr:uid="{00000000-0005-0000-0000-000081350000}"/>
    <cellStyle name="Comma 2 2 3 2 3 5 2 3" xfId="7408" xr:uid="{00000000-0005-0000-0000-0000201D0000}"/>
    <cellStyle name="Comma 2 2 3 2 3 5 2 4" xfId="8927" xr:uid="{00000000-0005-0000-0000-00000F230000}"/>
    <cellStyle name="Comma 2 2 3 2 3 5 2 5" xfId="8933" xr:uid="{00000000-0005-0000-0000-000015230000}"/>
    <cellStyle name="Comma 2 2 3 2 3 5 2 6" xfId="8939" xr:uid="{00000000-0005-0000-0000-00001B230000}"/>
    <cellStyle name="Comma 2 2 3 2 3 5 2 7" xfId="8945" xr:uid="{00000000-0005-0000-0000-000021230000}"/>
    <cellStyle name="Comma 2 2 3 2 3 5 2 8" xfId="11361" xr:uid="{00000000-0005-0000-0000-0000912C0000}"/>
    <cellStyle name="Comma 2 2 3 2 3 5 2 9" xfId="5527" xr:uid="{00000000-0005-0000-0000-0000C7150000}"/>
    <cellStyle name="Comma 2 2 3 2 3 5 3" xfId="13651" xr:uid="{00000000-0005-0000-0000-000083350000}"/>
    <cellStyle name="Comma 2 2 3 2 3 5 3 2" xfId="8953" xr:uid="{00000000-0005-0000-0000-000029230000}"/>
    <cellStyle name="Comma 2 2 3 2 3 5 3 3" xfId="8960" xr:uid="{00000000-0005-0000-0000-000030230000}"/>
    <cellStyle name="Comma 2 2 3 2 3 5 3 4" xfId="8968" xr:uid="{00000000-0005-0000-0000-000038230000}"/>
    <cellStyle name="Comma 2 2 3 2 3 5 3 5" xfId="13658" xr:uid="{00000000-0005-0000-0000-00008A350000}"/>
    <cellStyle name="Comma 2 2 3 2 3 5 3 6" xfId="13665" xr:uid="{00000000-0005-0000-0000-000091350000}"/>
    <cellStyle name="Comma 2 2 3 2 3 5 4" xfId="13667" xr:uid="{00000000-0005-0000-0000-000093350000}"/>
    <cellStyle name="Comma 2 2 3 2 3 5 4 2" xfId="13670" xr:uid="{00000000-0005-0000-0000-000096350000}"/>
    <cellStyle name="Comma 2 2 3 2 3 5 5" xfId="13673" xr:uid="{00000000-0005-0000-0000-000099350000}"/>
    <cellStyle name="Comma 2 2 3 2 3 5 6" xfId="13676" xr:uid="{00000000-0005-0000-0000-00009C350000}"/>
    <cellStyle name="Comma 2 2 3 2 3 5 7" xfId="13679" xr:uid="{00000000-0005-0000-0000-00009F350000}"/>
    <cellStyle name="Comma 2 2 3 2 3 5 8" xfId="13681" xr:uid="{00000000-0005-0000-0000-0000A1350000}"/>
    <cellStyle name="Comma 2 2 3 2 3 5 9" xfId="13683" xr:uid="{00000000-0005-0000-0000-0000A3350000}"/>
    <cellStyle name="Comma 2 2 3 2 3 6" xfId="13685" xr:uid="{00000000-0005-0000-0000-0000A5350000}"/>
    <cellStyle name="Comma 2 2 3 2 3 6 10" xfId="13689" xr:uid="{00000000-0005-0000-0000-0000A9350000}"/>
    <cellStyle name="Comma 2 2 3 2 3 6 11" xfId="2763" xr:uid="{00000000-0005-0000-0000-0000FB0A0000}"/>
    <cellStyle name="Comma 2 2 3 2 3 6 12" xfId="13691" xr:uid="{00000000-0005-0000-0000-0000AB350000}"/>
    <cellStyle name="Comma 2 2 3 2 3 6 2" xfId="13696" xr:uid="{00000000-0005-0000-0000-0000B0350000}"/>
    <cellStyle name="Comma 2 2 3 2 3 6 2 2" xfId="8011" xr:uid="{00000000-0005-0000-0000-00007B1F0000}"/>
    <cellStyle name="Comma 2 2 3 2 3 6 2 2 2" xfId="13700" xr:uid="{00000000-0005-0000-0000-0000B4350000}"/>
    <cellStyle name="Comma 2 2 3 2 3 6 2 3" xfId="7435" xr:uid="{00000000-0005-0000-0000-00003B1D0000}"/>
    <cellStyle name="Comma 2 2 3 2 3 6 2 4" xfId="8017" xr:uid="{00000000-0005-0000-0000-0000811F0000}"/>
    <cellStyle name="Comma 2 2 3 2 3 6 2 5" xfId="8023" xr:uid="{00000000-0005-0000-0000-0000871F0000}"/>
    <cellStyle name="Comma 2 2 3 2 3 6 2 6" xfId="2319" xr:uid="{00000000-0005-0000-0000-00003F090000}"/>
    <cellStyle name="Comma 2 2 3 2 3 6 2 7" xfId="765" xr:uid="{00000000-0005-0000-0000-00002D030000}"/>
    <cellStyle name="Comma 2 2 3 2 3 6 2 8" xfId="384" xr:uid="{00000000-0005-0000-0000-000099010000}"/>
    <cellStyle name="Comma 2 2 3 2 3 6 2 9" xfId="1259" xr:uid="{00000000-0005-0000-0000-00001B050000}"/>
    <cellStyle name="Comma 2 2 3 2 3 6 3" xfId="13705" xr:uid="{00000000-0005-0000-0000-0000B9350000}"/>
    <cellStyle name="Comma 2 2 3 2 3 6 3 2" xfId="8058" xr:uid="{00000000-0005-0000-0000-0000AA1F0000}"/>
    <cellStyle name="Comma 2 2 3 2 3 6 3 3" xfId="8066" xr:uid="{00000000-0005-0000-0000-0000B21F0000}"/>
    <cellStyle name="Comma 2 2 3 2 3 6 3 4" xfId="8073" xr:uid="{00000000-0005-0000-0000-0000B91F0000}"/>
    <cellStyle name="Comma 2 2 3 2 3 6 3 5" xfId="8082" xr:uid="{00000000-0005-0000-0000-0000C21F0000}"/>
    <cellStyle name="Comma 2 2 3 2 3 6 3 6" xfId="2343" xr:uid="{00000000-0005-0000-0000-000057090000}"/>
    <cellStyle name="Comma 2 2 3 2 3 6 4" xfId="13711" xr:uid="{00000000-0005-0000-0000-0000BF350000}"/>
    <cellStyle name="Comma 2 2 3 2 3 6 4 2" xfId="8110" xr:uid="{00000000-0005-0000-0000-0000DE1F0000}"/>
    <cellStyle name="Comma 2 2 3 2 3 6 5" xfId="13717" xr:uid="{00000000-0005-0000-0000-0000C5350000}"/>
    <cellStyle name="Comma 2 2 3 2 3 6 6" xfId="6387" xr:uid="{00000000-0005-0000-0000-000023190000}"/>
    <cellStyle name="Comma 2 2 3 2 3 6 7" xfId="13720" xr:uid="{00000000-0005-0000-0000-0000C8350000}"/>
    <cellStyle name="Comma 2 2 3 2 3 6 8" xfId="13722" xr:uid="{00000000-0005-0000-0000-0000CA350000}"/>
    <cellStyle name="Comma 2 2 3 2 3 6 9" xfId="13724" xr:uid="{00000000-0005-0000-0000-0000CC350000}"/>
    <cellStyle name="Comma 2 2 3 2 3 7" xfId="4647" xr:uid="{00000000-0005-0000-0000-000057120000}"/>
    <cellStyle name="Comma 2 2 3 2 3 7 2" xfId="4660" xr:uid="{00000000-0005-0000-0000-000064120000}"/>
    <cellStyle name="Comma 2 2 3 2 3 7 2 2" xfId="13726" xr:uid="{00000000-0005-0000-0000-0000CE350000}"/>
    <cellStyle name="Comma 2 2 3 2 3 7 3" xfId="13728" xr:uid="{00000000-0005-0000-0000-0000D0350000}"/>
    <cellStyle name="Comma 2 2 3 2 3 7 4" xfId="13730" xr:uid="{00000000-0005-0000-0000-0000D2350000}"/>
    <cellStyle name="Comma 2 2 3 2 3 7 5" xfId="13736" xr:uid="{00000000-0005-0000-0000-0000D8350000}"/>
    <cellStyle name="Comma 2 2 3 2 3 7 6" xfId="13739" xr:uid="{00000000-0005-0000-0000-0000DB350000}"/>
    <cellStyle name="Comma 2 2 3 2 3 7 7" xfId="13741" xr:uid="{00000000-0005-0000-0000-0000DD350000}"/>
    <cellStyle name="Comma 2 2 3 2 3 7 8" xfId="13743" xr:uid="{00000000-0005-0000-0000-0000DF350000}"/>
    <cellStyle name="Comma 2 2 3 2 3 7 9" xfId="13745" xr:uid="{00000000-0005-0000-0000-0000E1350000}"/>
    <cellStyle name="Comma 2 2 3 2 3 8" xfId="1982" xr:uid="{00000000-0005-0000-0000-0000EE070000}"/>
    <cellStyle name="Comma 2 2 3 2 3 8 2" xfId="13747" xr:uid="{00000000-0005-0000-0000-0000E3350000}"/>
    <cellStyle name="Comma 2 2 3 2 3 8 3" xfId="13749" xr:uid="{00000000-0005-0000-0000-0000E5350000}"/>
    <cellStyle name="Comma 2 2 3 2 3 8 4" xfId="13753" xr:uid="{00000000-0005-0000-0000-0000E9350000}"/>
    <cellStyle name="Comma 2 2 3 2 3 8 5" xfId="13758" xr:uid="{00000000-0005-0000-0000-0000EE350000}"/>
    <cellStyle name="Comma 2 2 3 2 3 8 6" xfId="13763" xr:uid="{00000000-0005-0000-0000-0000F3350000}"/>
    <cellStyle name="Comma 2 2 3 2 3 9" xfId="4680" xr:uid="{00000000-0005-0000-0000-000078120000}"/>
    <cellStyle name="Comma 2 2 3 2 3 9 2" xfId="13765" xr:uid="{00000000-0005-0000-0000-0000F5350000}"/>
    <cellStyle name="Comma 2 2 3 2 3 9 3" xfId="13767" xr:uid="{00000000-0005-0000-0000-0000F7350000}"/>
    <cellStyle name="Comma 2 2 3 2 3 9 4" xfId="13771" xr:uid="{00000000-0005-0000-0000-0000FB350000}"/>
    <cellStyle name="Comma 2 2 3 2 3 9 5" xfId="11783" xr:uid="{00000000-0005-0000-0000-0000372E0000}"/>
    <cellStyle name="Comma 2 2 3 2 3 9 6" xfId="11791" xr:uid="{00000000-0005-0000-0000-00003F2E0000}"/>
    <cellStyle name="Comma 2 2 3 2 4" xfId="3990" xr:uid="{00000000-0005-0000-0000-0000C60F0000}"/>
    <cellStyle name="Comma 2 2 3 2 4 10" xfId="13776" xr:uid="{00000000-0005-0000-0000-000000360000}"/>
    <cellStyle name="Comma 2 2 3 2 4 10 2" xfId="13779" xr:uid="{00000000-0005-0000-0000-000003360000}"/>
    <cellStyle name="Comma 2 2 3 2 4 10 3" xfId="13783" xr:uid="{00000000-0005-0000-0000-000007360000}"/>
    <cellStyle name="Comma 2 2 3 2 4 10 4" xfId="13789" xr:uid="{00000000-0005-0000-0000-00000D360000}"/>
    <cellStyle name="Comma 2 2 3 2 4 10 5" xfId="13796" xr:uid="{00000000-0005-0000-0000-000014360000}"/>
    <cellStyle name="Comma 2 2 3 2 4 10 6" xfId="13801" xr:uid="{00000000-0005-0000-0000-000019360000}"/>
    <cellStyle name="Comma 2 2 3 2 4 11" xfId="12002" xr:uid="{00000000-0005-0000-0000-0000122F0000}"/>
    <cellStyle name="Comma 2 2 3 2 4 11 2" xfId="12005" xr:uid="{00000000-0005-0000-0000-0000152F0000}"/>
    <cellStyle name="Comma 2 2 3 2 4 11 3" xfId="6272" xr:uid="{00000000-0005-0000-0000-0000B0180000}"/>
    <cellStyle name="Comma 2 2 3 2 4 11 4" xfId="12017" xr:uid="{00000000-0005-0000-0000-0000212F0000}"/>
    <cellStyle name="Comma 2 2 3 2 4 11 5" xfId="12021" xr:uid="{00000000-0005-0000-0000-0000252F0000}"/>
    <cellStyle name="Comma 2 2 3 2 4 11 6" xfId="12024" xr:uid="{00000000-0005-0000-0000-0000282F0000}"/>
    <cellStyle name="Comma 2 2 3 2 4 12" xfId="12033" xr:uid="{00000000-0005-0000-0000-0000312F0000}"/>
    <cellStyle name="Comma 2 2 3 2 4 13" xfId="12051" xr:uid="{00000000-0005-0000-0000-0000432F0000}"/>
    <cellStyle name="Comma 2 2 3 2 4 14" xfId="12059" xr:uid="{00000000-0005-0000-0000-00004B2F0000}"/>
    <cellStyle name="Comma 2 2 3 2 4 15" xfId="7699" xr:uid="{00000000-0005-0000-0000-0000431E0000}"/>
    <cellStyle name="Comma 2 2 3 2 4 16" xfId="7716" xr:uid="{00000000-0005-0000-0000-0000541E0000}"/>
    <cellStyle name="Comma 2 2 3 2 4 17" xfId="7725" xr:uid="{00000000-0005-0000-0000-00005D1E0000}"/>
    <cellStyle name="Comma 2 2 3 2 4 18" xfId="7728" xr:uid="{00000000-0005-0000-0000-0000601E0000}"/>
    <cellStyle name="Comma 2 2 3 2 4 19" xfId="7739" xr:uid="{00000000-0005-0000-0000-00006B1E0000}"/>
    <cellStyle name="Comma 2 2 3 2 4 2" xfId="7516" xr:uid="{00000000-0005-0000-0000-00008C1D0000}"/>
    <cellStyle name="Comma 2 2 3 2 4 2 10" xfId="8649" xr:uid="{00000000-0005-0000-0000-0000F9210000}"/>
    <cellStyle name="Comma 2 2 3 2 4 2 11" xfId="8658" xr:uid="{00000000-0005-0000-0000-000002220000}"/>
    <cellStyle name="Comma 2 2 3 2 4 2 12" xfId="13803" xr:uid="{00000000-0005-0000-0000-00001B360000}"/>
    <cellStyle name="Comma 2 2 3 2 4 2 13" xfId="13805" xr:uid="{00000000-0005-0000-0000-00001D360000}"/>
    <cellStyle name="Comma 2 2 3 2 4 2 14" xfId="13810" xr:uid="{00000000-0005-0000-0000-000022360000}"/>
    <cellStyle name="Comma 2 2 3 2 4 2 15" xfId="13815" xr:uid="{00000000-0005-0000-0000-000027360000}"/>
    <cellStyle name="Comma 2 2 3 2 4 2 16" xfId="3678" xr:uid="{00000000-0005-0000-0000-00008E0E0000}"/>
    <cellStyle name="Comma 2 2 3 2 4 2 17" xfId="6406" xr:uid="{00000000-0005-0000-0000-000036190000}"/>
    <cellStyle name="Comma 2 2 3 2 4 2 18" xfId="13818" xr:uid="{00000000-0005-0000-0000-00002A360000}"/>
    <cellStyle name="Comma 2 2 3 2 4 2 2" xfId="4058" xr:uid="{00000000-0005-0000-0000-00000A100000}"/>
    <cellStyle name="Comma 2 2 3 2 4 2 2 10" xfId="13819" xr:uid="{00000000-0005-0000-0000-00002B360000}"/>
    <cellStyle name="Comma 2 2 3 2 4 2 2 11" xfId="13821" xr:uid="{00000000-0005-0000-0000-00002D360000}"/>
    <cellStyle name="Comma 2 2 3 2 4 2 2 12" xfId="13822" xr:uid="{00000000-0005-0000-0000-00002E360000}"/>
    <cellStyle name="Comma 2 2 3 2 4 2 2 2" xfId="4063" xr:uid="{00000000-0005-0000-0000-00000F100000}"/>
    <cellStyle name="Comma 2 2 3 2 4 2 2 2 2" xfId="13825" xr:uid="{00000000-0005-0000-0000-000031360000}"/>
    <cellStyle name="Comma 2 2 3 2 4 2 2 2 2 2" xfId="13836" xr:uid="{00000000-0005-0000-0000-00003C360000}"/>
    <cellStyle name="Comma 2 2 3 2 4 2 2 2 3" xfId="4274" xr:uid="{00000000-0005-0000-0000-0000E2100000}"/>
    <cellStyle name="Comma 2 2 3 2 4 2 2 2 4" xfId="4300" xr:uid="{00000000-0005-0000-0000-0000FC100000}"/>
    <cellStyle name="Comma 2 2 3 2 4 2 2 2 5" xfId="6294" xr:uid="{00000000-0005-0000-0000-0000C6180000}"/>
    <cellStyle name="Comma 2 2 3 2 4 2 2 3" xfId="1336" xr:uid="{00000000-0005-0000-0000-000068050000}"/>
    <cellStyle name="Comma 2 2 3 2 4 2 2 3 2" xfId="13839" xr:uid="{00000000-0005-0000-0000-00003F360000}"/>
    <cellStyle name="Comma 2 2 3 2 4 2 2 4" xfId="9221" xr:uid="{00000000-0005-0000-0000-000035240000}"/>
    <cellStyle name="Comma 2 2 3 2 4 2 2 5" xfId="9229" xr:uid="{00000000-0005-0000-0000-00003D240000}"/>
    <cellStyle name="Comma 2 2 3 2 4 2 2 6" xfId="5300" xr:uid="{00000000-0005-0000-0000-0000E4140000}"/>
    <cellStyle name="Comma 2 2 3 2 4 2 2 7" xfId="9236" xr:uid="{00000000-0005-0000-0000-000044240000}"/>
    <cellStyle name="Comma 2 2 3 2 4 2 2 8" xfId="10751" xr:uid="{00000000-0005-0000-0000-00002F2A0000}"/>
    <cellStyle name="Comma 2 2 3 2 4 2 2 9" xfId="10756" xr:uid="{00000000-0005-0000-0000-0000342A0000}"/>
    <cellStyle name="Comma 2 2 3 2 4 2 3" xfId="4067" xr:uid="{00000000-0005-0000-0000-000013100000}"/>
    <cellStyle name="Comma 2 2 3 2 4 2 3 10" xfId="11175" xr:uid="{00000000-0005-0000-0000-0000D72B0000}"/>
    <cellStyle name="Comma 2 2 3 2 4 2 3 11" xfId="11182" xr:uid="{00000000-0005-0000-0000-0000DE2B0000}"/>
    <cellStyle name="Comma 2 2 3 2 4 2 3 12" xfId="10164" xr:uid="{00000000-0005-0000-0000-0000E4270000}"/>
    <cellStyle name="Comma 2 2 3 2 4 2 3 2" xfId="8384" xr:uid="{00000000-0005-0000-0000-0000F0200000}"/>
    <cellStyle name="Comma 2 2 3 2 4 2 3 2 2" xfId="13846" xr:uid="{00000000-0005-0000-0000-000046360000}"/>
    <cellStyle name="Comma 2 2 3 2 4 2 3 2 2 2" xfId="4120" xr:uid="{00000000-0005-0000-0000-000048100000}"/>
    <cellStyle name="Comma 2 2 3 2 4 2 3 2 3" xfId="13863" xr:uid="{00000000-0005-0000-0000-000057360000}"/>
    <cellStyle name="Comma 2 2 3 2 4 2 3 2 4" xfId="13869" xr:uid="{00000000-0005-0000-0000-00005D360000}"/>
    <cellStyle name="Comma 2 2 3 2 4 2 3 2 5" xfId="13874" xr:uid="{00000000-0005-0000-0000-000062360000}"/>
    <cellStyle name="Comma 2 2 3 2 4 2 3 3" xfId="8391" xr:uid="{00000000-0005-0000-0000-0000F7200000}"/>
    <cellStyle name="Comma 2 2 3 2 4 2 3 3 2" xfId="13877" xr:uid="{00000000-0005-0000-0000-000065360000}"/>
    <cellStyle name="Comma 2 2 3 2 4 2 3 4" xfId="9312" xr:uid="{00000000-0005-0000-0000-000090240000}"/>
    <cellStyle name="Comma 2 2 3 2 4 2 3 5" xfId="9317" xr:uid="{00000000-0005-0000-0000-000095240000}"/>
    <cellStyle name="Comma 2 2 3 2 4 2 3 6" xfId="9321" xr:uid="{00000000-0005-0000-0000-000099240000}"/>
    <cellStyle name="Comma 2 2 3 2 4 2 3 7" xfId="9325" xr:uid="{00000000-0005-0000-0000-00009D240000}"/>
    <cellStyle name="Comma 2 2 3 2 4 2 3 8" xfId="11548" xr:uid="{00000000-0005-0000-0000-00004C2D0000}"/>
    <cellStyle name="Comma 2 2 3 2 4 2 3 9" xfId="11549" xr:uid="{00000000-0005-0000-0000-00004D2D0000}"/>
    <cellStyle name="Comma 2 2 3 2 4 2 4" xfId="5518" xr:uid="{00000000-0005-0000-0000-0000BE150000}"/>
    <cellStyle name="Comma 2 2 3 2 4 2 4 10" xfId="13887" xr:uid="{00000000-0005-0000-0000-00006F360000}"/>
    <cellStyle name="Comma 2 2 3 2 4 2 4 2" xfId="8213" xr:uid="{00000000-0005-0000-0000-000045200000}"/>
    <cellStyle name="Comma 2 2 3 2 4 2 4 2 2" xfId="13889" xr:uid="{00000000-0005-0000-0000-000071360000}"/>
    <cellStyle name="Comma 2 2 3 2 4 2 4 2 2 2" xfId="9878" xr:uid="{00000000-0005-0000-0000-0000C6260000}"/>
    <cellStyle name="Comma 2 2 3 2 4 2 4 2 3" xfId="13897" xr:uid="{00000000-0005-0000-0000-000079360000}"/>
    <cellStyle name="Comma 2 2 3 2 4 2 4 2 4" xfId="13901" xr:uid="{00000000-0005-0000-0000-00007D360000}"/>
    <cellStyle name="Comma 2 2 3 2 4 2 4 2 5" xfId="13902" xr:uid="{00000000-0005-0000-0000-00007E360000}"/>
    <cellStyle name="Comma 2 2 3 2 4 2 4 3" xfId="8223" xr:uid="{00000000-0005-0000-0000-00004F200000}"/>
    <cellStyle name="Comma 2 2 3 2 4 2 4 3 2" xfId="13906" xr:uid="{00000000-0005-0000-0000-000082360000}"/>
    <cellStyle name="Comma 2 2 3 2 4 2 4 4" xfId="55" xr:uid="{00000000-0005-0000-0000-00003B000000}"/>
    <cellStyle name="Comma 2 2 3 2 4 2 4 5" xfId="5058" xr:uid="{00000000-0005-0000-0000-0000F2130000}"/>
    <cellStyle name="Comma 2 2 3 2 4 2 4 6" xfId="9345" xr:uid="{00000000-0005-0000-0000-0000B1240000}"/>
    <cellStyle name="Comma 2 2 3 2 4 2 4 7" xfId="9348" xr:uid="{00000000-0005-0000-0000-0000B4240000}"/>
    <cellStyle name="Comma 2 2 3 2 4 2 4 8" xfId="11561" xr:uid="{00000000-0005-0000-0000-0000592D0000}"/>
    <cellStyle name="Comma 2 2 3 2 4 2 4 9" xfId="11563" xr:uid="{00000000-0005-0000-0000-00005B2D0000}"/>
    <cellStyle name="Comma 2 2 3 2 4 2 5" xfId="13907" xr:uid="{00000000-0005-0000-0000-000083360000}"/>
    <cellStyle name="Comma 2 2 3 2 4 2 5 10" xfId="13909" xr:uid="{00000000-0005-0000-0000-000085360000}"/>
    <cellStyle name="Comma 2 2 3 2 4 2 5 2" xfId="9374" xr:uid="{00000000-0005-0000-0000-0000CE240000}"/>
    <cellStyle name="Comma 2 2 3 2 4 2 5 2 2" xfId="13914" xr:uid="{00000000-0005-0000-0000-00008A360000}"/>
    <cellStyle name="Comma 2 2 3 2 4 2 5 2 2 2" xfId="12892" xr:uid="{00000000-0005-0000-0000-00008C320000}"/>
    <cellStyle name="Comma 2 2 3 2 4 2 5 2 3" xfId="13919" xr:uid="{00000000-0005-0000-0000-00008F360000}"/>
    <cellStyle name="Comma 2 2 3 2 4 2 5 2 4" xfId="13923" xr:uid="{00000000-0005-0000-0000-000093360000}"/>
    <cellStyle name="Comma 2 2 3 2 4 2 5 2 5" xfId="13927" xr:uid="{00000000-0005-0000-0000-000097360000}"/>
    <cellStyle name="Comma 2 2 3 2 4 2 5 3" xfId="9376" xr:uid="{00000000-0005-0000-0000-0000D0240000}"/>
    <cellStyle name="Comma 2 2 3 2 4 2 5 3 2" xfId="13928" xr:uid="{00000000-0005-0000-0000-000098360000}"/>
    <cellStyle name="Comma 2 2 3 2 4 2 5 4" xfId="9378" xr:uid="{00000000-0005-0000-0000-0000D2240000}"/>
    <cellStyle name="Comma 2 2 3 2 4 2 5 5" xfId="5076" xr:uid="{00000000-0005-0000-0000-000004140000}"/>
    <cellStyle name="Comma 2 2 3 2 4 2 5 6" xfId="9381" xr:uid="{00000000-0005-0000-0000-0000D5240000}"/>
    <cellStyle name="Comma 2 2 3 2 4 2 5 7" xfId="9386" xr:uid="{00000000-0005-0000-0000-0000DA240000}"/>
    <cellStyle name="Comma 2 2 3 2 4 2 5 8" xfId="11577" xr:uid="{00000000-0005-0000-0000-0000692D0000}"/>
    <cellStyle name="Comma 2 2 3 2 4 2 5 9" xfId="11580" xr:uid="{00000000-0005-0000-0000-00006C2D0000}"/>
    <cellStyle name="Comma 2 2 3 2 4 2 6" xfId="13930" xr:uid="{00000000-0005-0000-0000-00009A360000}"/>
    <cellStyle name="Comma 2 2 3 2 4 2 6 2" xfId="7159" xr:uid="{00000000-0005-0000-0000-0000271C0000}"/>
    <cellStyle name="Comma 2 2 3 2 4 2 6 2 2" xfId="13932" xr:uid="{00000000-0005-0000-0000-00009C360000}"/>
    <cellStyle name="Comma 2 2 3 2 4 2 6 3" xfId="7285" xr:uid="{00000000-0005-0000-0000-0000A51C0000}"/>
    <cellStyle name="Comma 2 2 3 2 4 2 6 4" xfId="7368" xr:uid="{00000000-0005-0000-0000-0000F81C0000}"/>
    <cellStyle name="Comma 2 2 3 2 4 2 6 5" xfId="5094" xr:uid="{00000000-0005-0000-0000-000016140000}"/>
    <cellStyle name="Comma 2 2 3 2 4 2 6 6" xfId="7424" xr:uid="{00000000-0005-0000-0000-0000301D0000}"/>
    <cellStyle name="Comma 2 2 3 2 4 2 6 7" xfId="9391" xr:uid="{00000000-0005-0000-0000-0000DF240000}"/>
    <cellStyle name="Comma 2 2 3 2 4 2 6 8" xfId="11596" xr:uid="{00000000-0005-0000-0000-00007C2D0000}"/>
    <cellStyle name="Comma 2 2 3 2 4 2 6 9" xfId="13937" xr:uid="{00000000-0005-0000-0000-0000A1360000}"/>
    <cellStyle name="Comma 2 2 3 2 4 2 7" xfId="4838" xr:uid="{00000000-0005-0000-0000-000016130000}"/>
    <cellStyle name="Comma 2 2 3 2 4 2 7 2" xfId="13942" xr:uid="{00000000-0005-0000-0000-0000A6360000}"/>
    <cellStyle name="Comma 2 2 3 2 4 2 8" xfId="13944" xr:uid="{00000000-0005-0000-0000-0000A8360000}"/>
    <cellStyle name="Comma 2 2 3 2 4 2 9" xfId="13945" xr:uid="{00000000-0005-0000-0000-0000A9360000}"/>
    <cellStyle name="Comma 2 2 3 2 4 20" xfId="7700" xr:uid="{00000000-0005-0000-0000-0000441E0000}"/>
    <cellStyle name="Comma 2 2 3 2 4 21" xfId="7717" xr:uid="{00000000-0005-0000-0000-0000551E0000}"/>
    <cellStyle name="Comma 2 2 3 2 4 22" xfId="7726" xr:uid="{00000000-0005-0000-0000-00005E1E0000}"/>
    <cellStyle name="Comma 2 2 3 2 4 23" xfId="7729" xr:uid="{00000000-0005-0000-0000-0000611E0000}"/>
    <cellStyle name="Comma 2 2 3 2 4 3" xfId="3123" xr:uid="{00000000-0005-0000-0000-0000630C0000}"/>
    <cellStyle name="Comma 2 2 3 2 4 3 10" xfId="9015" xr:uid="{00000000-0005-0000-0000-000067230000}"/>
    <cellStyle name="Comma 2 2 3 2 4 3 11" xfId="9018" xr:uid="{00000000-0005-0000-0000-00006A230000}"/>
    <cellStyle name="Comma 2 2 3 2 4 3 12" xfId="13946" xr:uid="{00000000-0005-0000-0000-0000AA360000}"/>
    <cellStyle name="Comma 2 2 3 2 4 3 13" xfId="7092" xr:uid="{00000000-0005-0000-0000-0000E41B0000}"/>
    <cellStyle name="Comma 2 2 3 2 4 3 14" xfId="13948" xr:uid="{00000000-0005-0000-0000-0000AC360000}"/>
    <cellStyle name="Comma 2 2 3 2 4 3 15" xfId="13953" xr:uid="{00000000-0005-0000-0000-0000B1360000}"/>
    <cellStyle name="Comma 2 2 3 2 4 3 16" xfId="3712" xr:uid="{00000000-0005-0000-0000-0000B00E0000}"/>
    <cellStyle name="Comma 2 2 3 2 4 3 17" xfId="13957" xr:uid="{00000000-0005-0000-0000-0000B5360000}"/>
    <cellStyle name="Comma 2 2 3 2 4 3 18" xfId="13961" xr:uid="{00000000-0005-0000-0000-0000B9360000}"/>
    <cellStyle name="Comma 2 2 3 2 4 3 2" xfId="13964" xr:uid="{00000000-0005-0000-0000-0000BC360000}"/>
    <cellStyle name="Comma 2 2 3 2 4 3 2 10" xfId="13965" xr:uid="{00000000-0005-0000-0000-0000BD360000}"/>
    <cellStyle name="Comma 2 2 3 2 4 3 2 2" xfId="9456" xr:uid="{00000000-0005-0000-0000-000020250000}"/>
    <cellStyle name="Comma 2 2 3 2 4 3 2 2 2" xfId="13971" xr:uid="{00000000-0005-0000-0000-0000C3360000}"/>
    <cellStyle name="Comma 2 2 3 2 4 3 2 3" xfId="9460" xr:uid="{00000000-0005-0000-0000-000024250000}"/>
    <cellStyle name="Comma 2 2 3 2 4 3 2 4" xfId="9468" xr:uid="{00000000-0005-0000-0000-00002C250000}"/>
    <cellStyle name="Comma 2 2 3 2 4 3 2 5" xfId="9477" xr:uid="{00000000-0005-0000-0000-000035250000}"/>
    <cellStyle name="Comma 2 2 3 2 4 3 2 6" xfId="9485" xr:uid="{00000000-0005-0000-0000-00003D250000}"/>
    <cellStyle name="Comma 2 2 3 2 4 3 2 7" xfId="9492" xr:uid="{00000000-0005-0000-0000-000044250000}"/>
    <cellStyle name="Comma 2 2 3 2 4 3 2 8" xfId="10851" xr:uid="{00000000-0005-0000-0000-0000932A0000}"/>
    <cellStyle name="Comma 2 2 3 2 4 3 2 9" xfId="10858" xr:uid="{00000000-0005-0000-0000-00009A2A0000}"/>
    <cellStyle name="Comma 2 2 3 2 4 3 3" xfId="13975" xr:uid="{00000000-0005-0000-0000-0000C7360000}"/>
    <cellStyle name="Comma 2 2 3 2 4 3 3 2" xfId="9514" xr:uid="{00000000-0005-0000-0000-00005A250000}"/>
    <cellStyle name="Comma 2 2 3 2 4 3 3 3" xfId="264" xr:uid="{00000000-0005-0000-0000-000019010000}"/>
    <cellStyle name="Comma 2 2 3 2 4 3 3 4" xfId="749" xr:uid="{00000000-0005-0000-0000-00001D030000}"/>
    <cellStyle name="Comma 2 2 3 2 4 3 3 5" xfId="13982" xr:uid="{00000000-0005-0000-0000-0000CE360000}"/>
    <cellStyle name="Comma 2 2 3 2 4 3 3 6" xfId="13987" xr:uid="{00000000-0005-0000-0000-0000D3360000}"/>
    <cellStyle name="Comma 2 2 3 2 4 3 4" xfId="13990" xr:uid="{00000000-0005-0000-0000-0000D6360000}"/>
    <cellStyle name="Comma 2 2 3 2 4 3 4 2" xfId="9520" xr:uid="{00000000-0005-0000-0000-000060250000}"/>
    <cellStyle name="Comma 2 2 3 2 4 3 4 3" xfId="9525" xr:uid="{00000000-0005-0000-0000-000065250000}"/>
    <cellStyle name="Comma 2 2 3 2 4 3 4 4" xfId="9533" xr:uid="{00000000-0005-0000-0000-00006D250000}"/>
    <cellStyle name="Comma 2 2 3 2 4 3 4 5" xfId="13996" xr:uid="{00000000-0005-0000-0000-0000DC360000}"/>
    <cellStyle name="Comma 2 2 3 2 4 3 4 6" xfId="13998" xr:uid="{00000000-0005-0000-0000-0000DE360000}"/>
    <cellStyle name="Comma 2 2 3 2 4 3 5" xfId="14002" xr:uid="{00000000-0005-0000-0000-0000E2360000}"/>
    <cellStyle name="Comma 2 2 3 2 4 3 5 2" xfId="9549" xr:uid="{00000000-0005-0000-0000-00007D250000}"/>
    <cellStyle name="Comma 2 2 3 2 4 3 5 3" xfId="9552" xr:uid="{00000000-0005-0000-0000-000080250000}"/>
    <cellStyle name="Comma 2 2 3 2 4 3 5 4" xfId="9556" xr:uid="{00000000-0005-0000-0000-000084250000}"/>
    <cellStyle name="Comma 2 2 3 2 4 3 5 5" xfId="14005" xr:uid="{00000000-0005-0000-0000-0000E5360000}"/>
    <cellStyle name="Comma 2 2 3 2 4 3 5 6" xfId="6105" xr:uid="{00000000-0005-0000-0000-000009180000}"/>
    <cellStyle name="Comma 2 2 3 2 4 3 6" xfId="14008" xr:uid="{00000000-0005-0000-0000-0000E8360000}"/>
    <cellStyle name="Comma 2 2 3 2 4 3 6 2" xfId="9565" xr:uid="{00000000-0005-0000-0000-00008D250000}"/>
    <cellStyle name="Comma 2 2 3 2 4 3 6 3" xfId="9572" xr:uid="{00000000-0005-0000-0000-000094250000}"/>
    <cellStyle name="Comma 2 2 3 2 4 3 6 4" xfId="9579" xr:uid="{00000000-0005-0000-0000-00009B250000}"/>
    <cellStyle name="Comma 2 2 3 2 4 3 6 5" xfId="14013" xr:uid="{00000000-0005-0000-0000-0000ED360000}"/>
    <cellStyle name="Comma 2 2 3 2 4 3 6 6" xfId="6134" xr:uid="{00000000-0005-0000-0000-000026180000}"/>
    <cellStyle name="Comma 2 2 3 2 4 3 7" xfId="4845" xr:uid="{00000000-0005-0000-0000-00001D130000}"/>
    <cellStyle name="Comma 2 2 3 2 4 3 8" xfId="14015" xr:uid="{00000000-0005-0000-0000-0000EF360000}"/>
    <cellStyle name="Comma 2 2 3 2 4 3 9" xfId="14017" xr:uid="{00000000-0005-0000-0000-0000F1360000}"/>
    <cellStyle name="Comma 2 2 3 2 4 4" xfId="4976" xr:uid="{00000000-0005-0000-0000-0000A0130000}"/>
    <cellStyle name="Comma 2 2 3 2 4 4 10" xfId="14021" xr:uid="{00000000-0005-0000-0000-0000F5360000}"/>
    <cellStyle name="Comma 2 2 3 2 4 4 11" xfId="14022" xr:uid="{00000000-0005-0000-0000-0000F6360000}"/>
    <cellStyle name="Comma 2 2 3 2 4 4 12" xfId="6745" xr:uid="{00000000-0005-0000-0000-0000891A0000}"/>
    <cellStyle name="Comma 2 2 3 2 4 4 13" xfId="7643" xr:uid="{00000000-0005-0000-0000-00000B1E0000}"/>
    <cellStyle name="Comma 2 2 3 2 4 4 14" xfId="14023" xr:uid="{00000000-0005-0000-0000-0000F7360000}"/>
    <cellStyle name="Comma 2 2 3 2 4 4 15" xfId="14025" xr:uid="{00000000-0005-0000-0000-0000F9360000}"/>
    <cellStyle name="Comma 2 2 3 2 4 4 2" xfId="14029" xr:uid="{00000000-0005-0000-0000-0000FD360000}"/>
    <cellStyle name="Comma 2 2 3 2 4 4 2 2" xfId="9645" xr:uid="{00000000-0005-0000-0000-0000DD250000}"/>
    <cellStyle name="Comma 2 2 3 2 4 4 2 2 2" xfId="14033" xr:uid="{00000000-0005-0000-0000-000001370000}"/>
    <cellStyle name="Comma 2 2 3 2 4 4 2 3" xfId="3802" xr:uid="{00000000-0005-0000-0000-00000A0F0000}"/>
    <cellStyle name="Comma 2 2 3 2 4 4 2 4" xfId="9646" xr:uid="{00000000-0005-0000-0000-0000DE250000}"/>
    <cellStyle name="Comma 2 2 3 2 4 4 2 5" xfId="9657" xr:uid="{00000000-0005-0000-0000-0000E9250000}"/>
    <cellStyle name="Comma 2 2 3 2 4 4 2 6" xfId="9665" xr:uid="{00000000-0005-0000-0000-0000F1250000}"/>
    <cellStyle name="Comma 2 2 3 2 4 4 2 7" xfId="5413" xr:uid="{00000000-0005-0000-0000-000055150000}"/>
    <cellStyle name="Comma 2 2 3 2 4 4 2 8" xfId="9997" xr:uid="{00000000-0005-0000-0000-00003D270000}"/>
    <cellStyle name="Comma 2 2 3 2 4 4 2 9" xfId="5712" xr:uid="{00000000-0005-0000-0000-000080160000}"/>
    <cellStyle name="Comma 2 2 3 2 4 4 3" xfId="14037" xr:uid="{00000000-0005-0000-0000-000005370000}"/>
    <cellStyle name="Comma 2 2 3 2 4 4 3 2" xfId="9676" xr:uid="{00000000-0005-0000-0000-0000FC250000}"/>
    <cellStyle name="Comma 2 2 3 2 4 4 3 3" xfId="3823" xr:uid="{00000000-0005-0000-0000-00001F0F0000}"/>
    <cellStyle name="Comma 2 2 3 2 4 4 3 4" xfId="9678" xr:uid="{00000000-0005-0000-0000-0000FE250000}"/>
    <cellStyle name="Comma 2 2 3 2 4 4 3 5" xfId="10502" xr:uid="{00000000-0005-0000-0000-000036290000}"/>
    <cellStyle name="Comma 2 2 3 2 4 4 3 6" xfId="10565" xr:uid="{00000000-0005-0000-0000-000075290000}"/>
    <cellStyle name="Comma 2 2 3 2 4 4 4" xfId="8288" xr:uid="{00000000-0005-0000-0000-000090200000}"/>
    <cellStyle name="Comma 2 2 3 2 4 4 4 2" xfId="372" xr:uid="{00000000-0005-0000-0000-00008D010000}"/>
    <cellStyle name="Comma 2 2 3 2 4 4 5" xfId="8295" xr:uid="{00000000-0005-0000-0000-000097200000}"/>
    <cellStyle name="Comma 2 2 3 2 4 4 6" xfId="8301" xr:uid="{00000000-0005-0000-0000-00009D200000}"/>
    <cellStyle name="Comma 2 2 3 2 4 4 7" xfId="468" xr:uid="{00000000-0005-0000-0000-0000F2010000}"/>
    <cellStyle name="Comma 2 2 3 2 4 4 8" xfId="8307" xr:uid="{00000000-0005-0000-0000-0000A3200000}"/>
    <cellStyle name="Comma 2 2 3 2 4 4 9" xfId="14041" xr:uid="{00000000-0005-0000-0000-000009370000}"/>
    <cellStyle name="Comma 2 2 3 2 4 5" xfId="10242" xr:uid="{00000000-0005-0000-0000-000032280000}"/>
    <cellStyle name="Comma 2 2 3 2 4 5 10" xfId="9762" xr:uid="{00000000-0005-0000-0000-000052260000}"/>
    <cellStyle name="Comma 2 2 3 2 4 5 11" xfId="11336" xr:uid="{00000000-0005-0000-0000-0000782C0000}"/>
    <cellStyle name="Comma 2 2 3 2 4 5 12" xfId="5887" xr:uid="{00000000-0005-0000-0000-00002F170000}"/>
    <cellStyle name="Comma 2 2 3 2 4 5 13" xfId="11343" xr:uid="{00000000-0005-0000-0000-00007F2C0000}"/>
    <cellStyle name="Comma 2 2 3 2 4 5 2" xfId="5736" xr:uid="{00000000-0005-0000-0000-000098160000}"/>
    <cellStyle name="Comma 2 2 3 2 4 5 2 2" xfId="991" xr:uid="{00000000-0005-0000-0000-00000F040000}"/>
    <cellStyle name="Comma 2 2 3 2 4 5 2 2 2" xfId="14048" xr:uid="{00000000-0005-0000-0000-000010370000}"/>
    <cellStyle name="Comma 2 2 3 2 4 5 2 3" xfId="1024" xr:uid="{00000000-0005-0000-0000-000030040000}"/>
    <cellStyle name="Comma 2 2 3 2 4 5 2 4" xfId="9733" xr:uid="{00000000-0005-0000-0000-000035260000}"/>
    <cellStyle name="Comma 2 2 3 2 4 5 2 5" xfId="9741" xr:uid="{00000000-0005-0000-0000-00003D260000}"/>
    <cellStyle name="Comma 2 2 3 2 4 5 2 6" xfId="9749" xr:uid="{00000000-0005-0000-0000-000045260000}"/>
    <cellStyle name="Comma 2 2 3 2 4 5 2 7" xfId="9757" xr:uid="{00000000-0005-0000-0000-00004D260000}"/>
    <cellStyle name="Comma 2 2 3 2 4 5 2 8" xfId="11331" xr:uid="{00000000-0005-0000-0000-0000732C0000}"/>
    <cellStyle name="Comma 2 2 3 2 4 5 2 9" xfId="5882" xr:uid="{00000000-0005-0000-0000-00002A170000}"/>
    <cellStyle name="Comma 2 2 3 2 4 5 3" xfId="5744" xr:uid="{00000000-0005-0000-0000-0000A0160000}"/>
    <cellStyle name="Comma 2 2 3 2 4 5 3 2" xfId="1180" xr:uid="{00000000-0005-0000-0000-0000CC040000}"/>
    <cellStyle name="Comma 2 2 3 2 4 5 3 3" xfId="1204" xr:uid="{00000000-0005-0000-0000-0000E4040000}"/>
    <cellStyle name="Comma 2 2 3 2 4 5 3 4" xfId="9768" xr:uid="{00000000-0005-0000-0000-000058260000}"/>
    <cellStyle name="Comma 2 2 3 2 4 5 3 5" xfId="11262" xr:uid="{00000000-0005-0000-0000-00002E2C0000}"/>
    <cellStyle name="Comma 2 2 3 2 4 5 3 6" xfId="11270" xr:uid="{00000000-0005-0000-0000-0000362C0000}"/>
    <cellStyle name="Comma 2 2 3 2 4 5 4" xfId="7673" xr:uid="{00000000-0005-0000-0000-0000291E0000}"/>
    <cellStyle name="Comma 2 2 3 2 4 5 4 2" xfId="7753" xr:uid="{00000000-0005-0000-0000-0000791E0000}"/>
    <cellStyle name="Comma 2 2 3 2 4 5 5" xfId="7679" xr:uid="{00000000-0005-0000-0000-00002F1E0000}"/>
    <cellStyle name="Comma 2 2 3 2 4 5 6" xfId="7685" xr:uid="{00000000-0005-0000-0000-0000351E0000}"/>
    <cellStyle name="Comma 2 2 3 2 4 5 7" xfId="7690" xr:uid="{00000000-0005-0000-0000-00003A1E0000}"/>
    <cellStyle name="Comma 2 2 3 2 4 5 8" xfId="7695" xr:uid="{00000000-0005-0000-0000-00003F1E0000}"/>
    <cellStyle name="Comma 2 2 3 2 4 5 9" xfId="7646" xr:uid="{00000000-0005-0000-0000-00000E1E0000}"/>
    <cellStyle name="Comma 2 2 3 2 4 6" xfId="106" xr:uid="{00000000-0005-0000-0000-000073000000}"/>
    <cellStyle name="Comma 2 2 3 2 4 6 10" xfId="11449" xr:uid="{00000000-0005-0000-0000-0000E92C0000}"/>
    <cellStyle name="Comma 2 2 3 2 4 6 11" xfId="14050" xr:uid="{00000000-0005-0000-0000-000012370000}"/>
    <cellStyle name="Comma 2 2 3 2 4 6 12" xfId="5932" xr:uid="{00000000-0005-0000-0000-00005C170000}"/>
    <cellStyle name="Comma 2 2 3 2 4 6 2" xfId="14052" xr:uid="{00000000-0005-0000-0000-000014370000}"/>
    <cellStyle name="Comma 2 2 3 2 4 6 2 2" xfId="7619" xr:uid="{00000000-0005-0000-0000-0000F31D0000}"/>
    <cellStyle name="Comma 2 2 3 2 4 6 2 2 2" xfId="9005" xr:uid="{00000000-0005-0000-0000-00005D230000}"/>
    <cellStyle name="Comma 2 2 3 2 4 6 2 3" xfId="7832" xr:uid="{00000000-0005-0000-0000-0000C81E0000}"/>
    <cellStyle name="Comma 2 2 3 2 4 6 2 4" xfId="9804" xr:uid="{00000000-0005-0000-0000-00007C260000}"/>
    <cellStyle name="Comma 2 2 3 2 4 6 2 5" xfId="9812" xr:uid="{00000000-0005-0000-0000-000084260000}"/>
    <cellStyle name="Comma 2 2 3 2 4 6 2 6" xfId="2914" xr:uid="{00000000-0005-0000-0000-0000920B0000}"/>
    <cellStyle name="Comma 2 2 3 2 4 6 2 7" xfId="9822" xr:uid="{00000000-0005-0000-0000-00008E260000}"/>
    <cellStyle name="Comma 2 2 3 2 4 6 2 8" xfId="11697" xr:uid="{00000000-0005-0000-0000-0000E12D0000}"/>
    <cellStyle name="Comma 2 2 3 2 4 6 2 9" xfId="5963" xr:uid="{00000000-0005-0000-0000-00007B170000}"/>
    <cellStyle name="Comma 2 2 3 2 4 6 3" xfId="14054" xr:uid="{00000000-0005-0000-0000-000016370000}"/>
    <cellStyle name="Comma 2 2 3 2 4 6 3 2" xfId="4726" xr:uid="{00000000-0005-0000-0000-0000A6120000}"/>
    <cellStyle name="Comma 2 2 3 2 4 6 3 3" xfId="4747" xr:uid="{00000000-0005-0000-0000-0000BB120000}"/>
    <cellStyle name="Comma 2 2 3 2 4 6 3 4" xfId="9829" xr:uid="{00000000-0005-0000-0000-000095260000}"/>
    <cellStyle name="Comma 2 2 3 2 4 6 3 5" xfId="11717" xr:uid="{00000000-0005-0000-0000-0000F52D0000}"/>
    <cellStyle name="Comma 2 2 3 2 4 6 3 6" xfId="2922" xr:uid="{00000000-0005-0000-0000-00009A0B0000}"/>
    <cellStyle name="Comma 2 2 3 2 4 6 4" xfId="14056" xr:uid="{00000000-0005-0000-0000-000018370000}"/>
    <cellStyle name="Comma 2 2 3 2 4 6 4 2" xfId="7865" xr:uid="{00000000-0005-0000-0000-0000E91E0000}"/>
    <cellStyle name="Comma 2 2 3 2 4 6 5" xfId="3577" xr:uid="{00000000-0005-0000-0000-0000290E0000}"/>
    <cellStyle name="Comma 2 2 3 2 4 6 6" xfId="3595" xr:uid="{00000000-0005-0000-0000-00003B0E0000}"/>
    <cellStyle name="Comma 2 2 3 2 4 6 7" xfId="14059" xr:uid="{00000000-0005-0000-0000-00001B370000}"/>
    <cellStyle name="Comma 2 2 3 2 4 6 8" xfId="14063" xr:uid="{00000000-0005-0000-0000-00001F370000}"/>
    <cellStyle name="Comma 2 2 3 2 4 6 9" xfId="14067" xr:uid="{00000000-0005-0000-0000-000023370000}"/>
    <cellStyle name="Comma 2 2 3 2 4 7" xfId="11960" xr:uid="{00000000-0005-0000-0000-0000E82E0000}"/>
    <cellStyle name="Comma 2 2 3 2 4 7 2" xfId="14070" xr:uid="{00000000-0005-0000-0000-000026370000}"/>
    <cellStyle name="Comma 2 2 3 2 4 7 2 2" xfId="14075" xr:uid="{00000000-0005-0000-0000-00002B370000}"/>
    <cellStyle name="Comma 2 2 3 2 4 7 3" xfId="14076" xr:uid="{00000000-0005-0000-0000-00002C370000}"/>
    <cellStyle name="Comma 2 2 3 2 4 7 4" xfId="14077" xr:uid="{00000000-0005-0000-0000-00002D370000}"/>
    <cellStyle name="Comma 2 2 3 2 4 7 5" xfId="3608" xr:uid="{00000000-0005-0000-0000-0000480E0000}"/>
    <cellStyle name="Comma 2 2 3 2 4 7 6" xfId="14079" xr:uid="{00000000-0005-0000-0000-00002F370000}"/>
    <cellStyle name="Comma 2 2 3 2 4 7 7" xfId="14081" xr:uid="{00000000-0005-0000-0000-000031370000}"/>
    <cellStyle name="Comma 2 2 3 2 4 7 8" xfId="14083" xr:uid="{00000000-0005-0000-0000-000033370000}"/>
    <cellStyle name="Comma 2 2 3 2 4 7 9" xfId="14085" xr:uid="{00000000-0005-0000-0000-000035370000}"/>
    <cellStyle name="Comma 2 2 3 2 4 8" xfId="6011" xr:uid="{00000000-0005-0000-0000-0000AB170000}"/>
    <cellStyle name="Comma 2 2 3 2 4 8 2" xfId="14088" xr:uid="{00000000-0005-0000-0000-000038370000}"/>
    <cellStyle name="Comma 2 2 3 2 4 8 3" xfId="14090" xr:uid="{00000000-0005-0000-0000-00003A370000}"/>
    <cellStyle name="Comma 2 2 3 2 4 8 4" xfId="14094" xr:uid="{00000000-0005-0000-0000-00003E370000}"/>
    <cellStyle name="Comma 2 2 3 2 4 8 5" xfId="2350" xr:uid="{00000000-0005-0000-0000-00005E090000}"/>
    <cellStyle name="Comma 2 2 3 2 4 8 6" xfId="14098" xr:uid="{00000000-0005-0000-0000-000042370000}"/>
    <cellStyle name="Comma 2 2 3 2 4 9" xfId="11966" xr:uid="{00000000-0005-0000-0000-0000EE2E0000}"/>
    <cellStyle name="Comma 2 2 3 2 4 9 2" xfId="14100" xr:uid="{00000000-0005-0000-0000-000044370000}"/>
    <cellStyle name="Comma 2 2 3 2 4 9 3" xfId="14104" xr:uid="{00000000-0005-0000-0000-000048370000}"/>
    <cellStyle name="Comma 2 2 3 2 4 9 4" xfId="14109" xr:uid="{00000000-0005-0000-0000-00004D370000}"/>
    <cellStyle name="Comma 2 2 3 2 4 9 5" xfId="14116" xr:uid="{00000000-0005-0000-0000-000054370000}"/>
    <cellStyle name="Comma 2 2 3 2 4 9 6" xfId="14122" xr:uid="{00000000-0005-0000-0000-00005A370000}"/>
    <cellStyle name="Comma 2 2 3 2 5" xfId="1146" xr:uid="{00000000-0005-0000-0000-0000AA040000}"/>
    <cellStyle name="Comma 2 2 3 2 5 10" xfId="14128" xr:uid="{00000000-0005-0000-0000-000060370000}"/>
    <cellStyle name="Comma 2 2 3 2 5 11" xfId="14132" xr:uid="{00000000-0005-0000-0000-000064370000}"/>
    <cellStyle name="Comma 2 2 3 2 5 12" xfId="14134" xr:uid="{00000000-0005-0000-0000-000066370000}"/>
    <cellStyle name="Comma 2 2 3 2 5 13" xfId="14136" xr:uid="{00000000-0005-0000-0000-000068370000}"/>
    <cellStyle name="Comma 2 2 3 2 5 14" xfId="1781" xr:uid="{00000000-0005-0000-0000-000025070000}"/>
    <cellStyle name="Comma 2 2 3 2 5 15" xfId="5711" xr:uid="{00000000-0005-0000-0000-00007F160000}"/>
    <cellStyle name="Comma 2 2 3 2 5 16" xfId="8091" xr:uid="{00000000-0005-0000-0000-0000CB1F0000}"/>
    <cellStyle name="Comma 2 2 3 2 5 17" xfId="8092" xr:uid="{00000000-0005-0000-0000-0000CC1F0000}"/>
    <cellStyle name="Comma 2 2 3 2 5 18" xfId="8103" xr:uid="{00000000-0005-0000-0000-0000D71F0000}"/>
    <cellStyle name="Comma 2 2 3 2 5 2" xfId="1166" xr:uid="{00000000-0005-0000-0000-0000BE040000}"/>
    <cellStyle name="Comma 2 2 3 2 5 2 10" xfId="10811" xr:uid="{00000000-0005-0000-0000-00006B2A0000}"/>
    <cellStyle name="Comma 2 2 3 2 5 2 11" xfId="10817" xr:uid="{00000000-0005-0000-0000-0000712A0000}"/>
    <cellStyle name="Comma 2 2 3 2 5 2 12" xfId="14141" xr:uid="{00000000-0005-0000-0000-00006D370000}"/>
    <cellStyle name="Comma 2 2 3 2 5 2 13" xfId="14143" xr:uid="{00000000-0005-0000-0000-00006F370000}"/>
    <cellStyle name="Comma 2 2 3 2 5 2 14" xfId="14148" xr:uid="{00000000-0005-0000-0000-000074370000}"/>
    <cellStyle name="Comma 2 2 3 2 5 2 2" xfId="8420" xr:uid="{00000000-0005-0000-0000-000014210000}"/>
    <cellStyle name="Comma 2 2 3 2 5 2 2 10" xfId="14161" xr:uid="{00000000-0005-0000-0000-000081370000}"/>
    <cellStyle name="Comma 2 2 3 2 5 2 2 2" xfId="8424" xr:uid="{00000000-0005-0000-0000-000018210000}"/>
    <cellStyle name="Comma 2 2 3 2 5 2 2 2 2" xfId="3298" xr:uid="{00000000-0005-0000-0000-0000120D0000}"/>
    <cellStyle name="Comma 2 2 3 2 5 2 2 3" xfId="2390" xr:uid="{00000000-0005-0000-0000-000086090000}"/>
    <cellStyle name="Comma 2 2 3 2 5 2 2 4" xfId="1564" xr:uid="{00000000-0005-0000-0000-00004C060000}"/>
    <cellStyle name="Comma 2 2 3 2 5 2 2 5" xfId="9979" xr:uid="{00000000-0005-0000-0000-00002B270000}"/>
    <cellStyle name="Comma 2 2 3 2 5 2 2 6" xfId="5589" xr:uid="{00000000-0005-0000-0000-000005160000}"/>
    <cellStyle name="Comma 2 2 3 2 5 2 2 7" xfId="9981" xr:uid="{00000000-0005-0000-0000-00002D270000}"/>
    <cellStyle name="Comma 2 2 3 2 5 2 2 8" xfId="11819" xr:uid="{00000000-0005-0000-0000-00005B2E0000}"/>
    <cellStyle name="Comma 2 2 3 2 5 2 2 9" xfId="11022" xr:uid="{00000000-0005-0000-0000-00003E2B0000}"/>
    <cellStyle name="Comma 2 2 3 2 5 2 3" xfId="8437" xr:uid="{00000000-0005-0000-0000-000025210000}"/>
    <cellStyle name="Comma 2 2 3 2 5 2 3 2" xfId="9084" xr:uid="{00000000-0005-0000-0000-0000AC230000}"/>
    <cellStyle name="Comma 2 2 3 2 5 2 3 3" xfId="9099" xr:uid="{00000000-0005-0000-0000-0000BB230000}"/>
    <cellStyle name="Comma 2 2 3 2 5 2 3 4" xfId="1591" xr:uid="{00000000-0005-0000-0000-000067060000}"/>
    <cellStyle name="Comma 2 2 3 2 5 2 3 5" xfId="9991" xr:uid="{00000000-0005-0000-0000-000037270000}"/>
    <cellStyle name="Comma 2 2 3 2 5 2 3 6" xfId="9994" xr:uid="{00000000-0005-0000-0000-00003A270000}"/>
    <cellStyle name="Comma 2 2 3 2 5 2 4" xfId="7236" xr:uid="{00000000-0005-0000-0000-0000741C0000}"/>
    <cellStyle name="Comma 2 2 3 2 5 2 4 2" xfId="10031" xr:uid="{00000000-0005-0000-0000-00005F270000}"/>
    <cellStyle name="Comma 2 2 3 2 5 2 4 3" xfId="10039" xr:uid="{00000000-0005-0000-0000-000067270000}"/>
    <cellStyle name="Comma 2 2 3 2 5 2 4 4" xfId="1633" xr:uid="{00000000-0005-0000-0000-000091060000}"/>
    <cellStyle name="Comma 2 2 3 2 5 2 4 5" xfId="10045" xr:uid="{00000000-0005-0000-0000-00006D270000}"/>
    <cellStyle name="Comma 2 2 3 2 5 2 5" xfId="7244" xr:uid="{00000000-0005-0000-0000-00007C1C0000}"/>
    <cellStyle name="Comma 2 2 3 2 5 2 6" xfId="8441" xr:uid="{00000000-0005-0000-0000-000029210000}"/>
    <cellStyle name="Comma 2 2 3 2 5 2 7" xfId="8445" xr:uid="{00000000-0005-0000-0000-00002D210000}"/>
    <cellStyle name="Comma 2 2 3 2 5 2 8" xfId="8449" xr:uid="{00000000-0005-0000-0000-000031210000}"/>
    <cellStyle name="Comma 2 2 3 2 5 2 9" xfId="11107" xr:uid="{00000000-0005-0000-0000-0000932B0000}"/>
    <cellStyle name="Comma 2 2 3 2 5 3" xfId="833" xr:uid="{00000000-0005-0000-0000-000071030000}"/>
    <cellStyle name="Comma 2 2 3 2 5 3 10" xfId="14163" xr:uid="{00000000-0005-0000-0000-000083370000}"/>
    <cellStyle name="Comma 2 2 3 2 5 3 11" xfId="6389" xr:uid="{00000000-0005-0000-0000-000025190000}"/>
    <cellStyle name="Comma 2 2 3 2 5 3 12" xfId="14164" xr:uid="{00000000-0005-0000-0000-000084370000}"/>
    <cellStyle name="Comma 2 2 3 2 5 3 2" xfId="8470" xr:uid="{00000000-0005-0000-0000-000046210000}"/>
    <cellStyle name="Comma 2 2 3 2 5 3 2 2" xfId="1855" xr:uid="{00000000-0005-0000-0000-00006F070000}"/>
    <cellStyle name="Comma 2 2 3 2 5 3 2 2 2" xfId="1895" xr:uid="{00000000-0005-0000-0000-000097070000}"/>
    <cellStyle name="Comma 2 2 3 2 5 3 2 3" xfId="1931" xr:uid="{00000000-0005-0000-0000-0000BB070000}"/>
    <cellStyle name="Comma 2 2 3 2 5 3 2 4" xfId="1916" xr:uid="{00000000-0005-0000-0000-0000AC070000}"/>
    <cellStyle name="Comma 2 2 3 2 5 3 2 5" xfId="5607" xr:uid="{00000000-0005-0000-0000-000017160000}"/>
    <cellStyle name="Comma 2 2 3 2 5 3 3" xfId="7070" xr:uid="{00000000-0005-0000-0000-0000CE1B0000}"/>
    <cellStyle name="Comma 2 2 3 2 5 3 3 2" xfId="5637" xr:uid="{00000000-0005-0000-0000-000035160000}"/>
    <cellStyle name="Comma 2 2 3 2 5 3 4" xfId="7261" xr:uid="{00000000-0005-0000-0000-00008D1C0000}"/>
    <cellStyle name="Comma 2 2 3 2 5 3 5" xfId="8480" xr:uid="{00000000-0005-0000-0000-000050210000}"/>
    <cellStyle name="Comma 2 2 3 2 5 3 6" xfId="8490" xr:uid="{00000000-0005-0000-0000-00005A210000}"/>
    <cellStyle name="Comma 2 2 3 2 5 3 7" xfId="8500" xr:uid="{00000000-0005-0000-0000-000064210000}"/>
    <cellStyle name="Comma 2 2 3 2 5 3 8" xfId="8509" xr:uid="{00000000-0005-0000-0000-00006D210000}"/>
    <cellStyle name="Comma 2 2 3 2 5 3 9" xfId="11156" xr:uid="{00000000-0005-0000-0000-0000C42B0000}"/>
    <cellStyle name="Comma 2 2 3 2 5 4" xfId="4993" xr:uid="{00000000-0005-0000-0000-0000B1130000}"/>
    <cellStyle name="Comma 2 2 3 2 5 4 10" xfId="14167" xr:uid="{00000000-0005-0000-0000-000087370000}"/>
    <cellStyle name="Comma 2 2 3 2 5 4 11" xfId="7234" xr:uid="{00000000-0005-0000-0000-0000721C0000}"/>
    <cellStyle name="Comma 2 2 3 2 5 4 2" xfId="8535" xr:uid="{00000000-0005-0000-0000-000087210000}"/>
    <cellStyle name="Comma 2 2 3 2 5 4 2 2" xfId="8540" xr:uid="{00000000-0005-0000-0000-00008C210000}"/>
    <cellStyle name="Comma 2 2 3 2 5 4 2 2 2" xfId="3971" xr:uid="{00000000-0005-0000-0000-0000B30F0000}"/>
    <cellStyle name="Comma 2 2 3 2 5 4 2 3" xfId="7514" xr:uid="{00000000-0005-0000-0000-00008A1D0000}"/>
    <cellStyle name="Comma 2 2 3 2 5 4 2 4" xfId="3121" xr:uid="{00000000-0005-0000-0000-0000610C0000}"/>
    <cellStyle name="Comma 2 2 3 2 5 4 2 5" xfId="4974" xr:uid="{00000000-0005-0000-0000-00009E130000}"/>
    <cellStyle name="Comma 2 2 3 2 5 4 3" xfId="8549" xr:uid="{00000000-0005-0000-0000-000095210000}"/>
    <cellStyle name="Comma 2 2 3 2 5 4 3 2" xfId="10249" xr:uid="{00000000-0005-0000-0000-000039280000}"/>
    <cellStyle name="Comma 2 2 3 2 5 4 4" xfId="7272" xr:uid="{00000000-0005-0000-0000-0000981C0000}"/>
    <cellStyle name="Comma 2 2 3 2 5 4 5" xfId="8559" xr:uid="{00000000-0005-0000-0000-00009F210000}"/>
    <cellStyle name="Comma 2 2 3 2 5 4 6" xfId="8566" xr:uid="{00000000-0005-0000-0000-0000A6210000}"/>
    <cellStyle name="Comma 2 2 3 2 5 4 7" xfId="8572" xr:uid="{00000000-0005-0000-0000-0000AC210000}"/>
    <cellStyle name="Comma 2 2 3 2 5 4 8" xfId="8578" xr:uid="{00000000-0005-0000-0000-0000B2210000}"/>
    <cellStyle name="Comma 2 2 3 2 5 4 9" xfId="11173" xr:uid="{00000000-0005-0000-0000-0000D52B0000}"/>
    <cellStyle name="Comma 2 2 3 2 5 5" xfId="8985" xr:uid="{00000000-0005-0000-0000-000049230000}"/>
    <cellStyle name="Comma 2 2 3 2 5 5 10" xfId="12457" xr:uid="{00000000-0005-0000-0000-0000D9300000}"/>
    <cellStyle name="Comma 2 2 3 2 5 5 2" xfId="8604" xr:uid="{00000000-0005-0000-0000-0000CC210000}"/>
    <cellStyle name="Comma 2 2 3 2 5 5 2 2" xfId="10288" xr:uid="{00000000-0005-0000-0000-000060280000}"/>
    <cellStyle name="Comma 2 2 3 2 5 5 2 2 2" xfId="12411" xr:uid="{00000000-0005-0000-0000-0000AB300000}"/>
    <cellStyle name="Comma 2 2 3 2 5 5 2 3" xfId="10294" xr:uid="{00000000-0005-0000-0000-000066280000}"/>
    <cellStyle name="Comma 2 2 3 2 5 5 2 4" xfId="498" xr:uid="{00000000-0005-0000-0000-000012020000}"/>
    <cellStyle name="Comma 2 2 3 2 5 5 2 5" xfId="399" xr:uid="{00000000-0005-0000-0000-0000A9010000}"/>
    <cellStyle name="Comma 2 2 3 2 5 5 3" xfId="8610" xr:uid="{00000000-0005-0000-0000-0000D2210000}"/>
    <cellStyle name="Comma 2 2 3 2 5 5 3 2" xfId="10305" xr:uid="{00000000-0005-0000-0000-000071280000}"/>
    <cellStyle name="Comma 2 2 3 2 5 5 4" xfId="2729" xr:uid="{00000000-0005-0000-0000-0000D90A0000}"/>
    <cellStyle name="Comma 2 2 3 2 5 5 5" xfId="8619" xr:uid="{00000000-0005-0000-0000-0000DB210000}"/>
    <cellStyle name="Comma 2 2 3 2 5 5 6" xfId="8629" xr:uid="{00000000-0005-0000-0000-0000E5210000}"/>
    <cellStyle name="Comma 2 2 3 2 5 5 7" xfId="1339" xr:uid="{00000000-0005-0000-0000-00006B050000}"/>
    <cellStyle name="Comma 2 2 3 2 5 5 8" xfId="1526" xr:uid="{00000000-0005-0000-0000-000026060000}"/>
    <cellStyle name="Comma 2 2 3 2 5 5 9" xfId="11191" xr:uid="{00000000-0005-0000-0000-0000E72B0000}"/>
    <cellStyle name="Comma 2 2 3 2 5 6" xfId="14172" xr:uid="{00000000-0005-0000-0000-00008C370000}"/>
    <cellStyle name="Comma 2 2 3 2 5 6 2" xfId="14176" xr:uid="{00000000-0005-0000-0000-000090370000}"/>
    <cellStyle name="Comma 2 2 3 2 5 6 2 2" xfId="10326" xr:uid="{00000000-0005-0000-0000-000086280000}"/>
    <cellStyle name="Comma 2 2 3 2 5 6 3" xfId="13478" xr:uid="{00000000-0005-0000-0000-0000D6340000}"/>
    <cellStyle name="Comma 2 2 3 2 5 6 4" xfId="14180" xr:uid="{00000000-0005-0000-0000-000094370000}"/>
    <cellStyle name="Comma 2 2 3 2 5 6 5" xfId="1676" xr:uid="{00000000-0005-0000-0000-0000BC060000}"/>
    <cellStyle name="Comma 2 2 3 2 5 6 6" xfId="1792" xr:uid="{00000000-0005-0000-0000-000030070000}"/>
    <cellStyle name="Comma 2 2 3 2 5 6 7" xfId="1822" xr:uid="{00000000-0005-0000-0000-00004E070000}"/>
    <cellStyle name="Comma 2 2 3 2 5 6 8" xfId="1844" xr:uid="{00000000-0005-0000-0000-000064070000}"/>
    <cellStyle name="Comma 2 2 3 2 5 6 9" xfId="1870" xr:uid="{00000000-0005-0000-0000-00007E070000}"/>
    <cellStyle name="Comma 2 2 3 2 5 7" xfId="11971" xr:uid="{00000000-0005-0000-0000-0000F32E0000}"/>
    <cellStyle name="Comma 2 2 3 2 5 7 2" xfId="14183" xr:uid="{00000000-0005-0000-0000-000097370000}"/>
    <cellStyle name="Comma 2 2 3 2 5 8" xfId="14189" xr:uid="{00000000-0005-0000-0000-00009D370000}"/>
    <cellStyle name="Comma 2 2 3 2 5 9" xfId="14196" xr:uid="{00000000-0005-0000-0000-0000A4370000}"/>
    <cellStyle name="Comma 2 2 3 2 6" xfId="1186" xr:uid="{00000000-0005-0000-0000-0000D2040000}"/>
    <cellStyle name="Comma 2 2 3 2 6 10" xfId="5216" xr:uid="{00000000-0005-0000-0000-000090140000}"/>
    <cellStyle name="Comma 2 2 3 2 6 11" xfId="10544" xr:uid="{00000000-0005-0000-0000-000060290000}"/>
    <cellStyle name="Comma 2 2 3 2 6 12" xfId="10552" xr:uid="{00000000-0005-0000-0000-000068290000}"/>
    <cellStyle name="Comma 2 2 3 2 6 13" xfId="10555" xr:uid="{00000000-0005-0000-0000-00006B290000}"/>
    <cellStyle name="Comma 2 2 3 2 6 14" xfId="10558" xr:uid="{00000000-0005-0000-0000-00006E290000}"/>
    <cellStyle name="Comma 2 2 3 2 6 15" xfId="10560" xr:uid="{00000000-0005-0000-0000-000070290000}"/>
    <cellStyle name="Comma 2 2 3 2 6 16" xfId="10563" xr:uid="{00000000-0005-0000-0000-000073290000}"/>
    <cellStyle name="Comma 2 2 3 2 6 17" xfId="14198" xr:uid="{00000000-0005-0000-0000-0000A6370000}"/>
    <cellStyle name="Comma 2 2 3 2 6 18" xfId="9438" xr:uid="{00000000-0005-0000-0000-00000E250000}"/>
    <cellStyle name="Comma 2 2 3 2 6 2" xfId="14199" xr:uid="{00000000-0005-0000-0000-0000A7370000}"/>
    <cellStyle name="Comma 2 2 3 2 6 2 10" xfId="13564" xr:uid="{00000000-0005-0000-0000-00002C350000}"/>
    <cellStyle name="Comma 2 2 3 2 6 2 2" xfId="7030" xr:uid="{00000000-0005-0000-0000-0000A61B0000}"/>
    <cellStyle name="Comma 2 2 3 2 6 2 2 2" xfId="7024" xr:uid="{00000000-0005-0000-0000-0000A01B0000}"/>
    <cellStyle name="Comma 2 2 3 2 6 2 3" xfId="8709" xr:uid="{00000000-0005-0000-0000-000035220000}"/>
    <cellStyle name="Comma 2 2 3 2 6 2 4" xfId="6917" xr:uid="{00000000-0005-0000-0000-0000351B0000}"/>
    <cellStyle name="Comma 2 2 3 2 6 2 5" xfId="8713" xr:uid="{00000000-0005-0000-0000-000039220000}"/>
    <cellStyle name="Comma 2 2 3 2 6 2 6" xfId="13507" xr:uid="{00000000-0005-0000-0000-0000F3340000}"/>
    <cellStyle name="Comma 2 2 3 2 6 2 7" xfId="13511" xr:uid="{00000000-0005-0000-0000-0000F7340000}"/>
    <cellStyle name="Comma 2 2 3 2 6 2 8" xfId="14200" xr:uid="{00000000-0005-0000-0000-0000A8370000}"/>
    <cellStyle name="Comma 2 2 3 2 6 2 9" xfId="11232" xr:uid="{00000000-0005-0000-0000-0000102C0000}"/>
    <cellStyle name="Comma 2 2 3 2 6 3" xfId="14201" xr:uid="{00000000-0005-0000-0000-0000A9370000}"/>
    <cellStyle name="Comma 2 2 3 2 6 3 2" xfId="8729" xr:uid="{00000000-0005-0000-0000-000049220000}"/>
    <cellStyle name="Comma 2 2 3 2 6 3 3" xfId="5406" xr:uid="{00000000-0005-0000-0000-00004E150000}"/>
    <cellStyle name="Comma 2 2 3 2 6 3 4" xfId="970" xr:uid="{00000000-0005-0000-0000-0000FA030000}"/>
    <cellStyle name="Comma 2 2 3 2 6 3 5" xfId="8733" xr:uid="{00000000-0005-0000-0000-00004D220000}"/>
    <cellStyle name="Comma 2 2 3 2 6 3 6" xfId="13516" xr:uid="{00000000-0005-0000-0000-0000FC340000}"/>
    <cellStyle name="Comma 2 2 3 2 6 4" xfId="14203" xr:uid="{00000000-0005-0000-0000-0000AB370000}"/>
    <cellStyle name="Comma 2 2 3 2 6 4 2" xfId="8748" xr:uid="{00000000-0005-0000-0000-00005C220000}"/>
    <cellStyle name="Comma 2 2 3 2 6 4 3" xfId="8755" xr:uid="{00000000-0005-0000-0000-000063220000}"/>
    <cellStyle name="Comma 2 2 3 2 6 4 4" xfId="7332" xr:uid="{00000000-0005-0000-0000-0000D41C0000}"/>
    <cellStyle name="Comma 2 2 3 2 6 4 5" xfId="8764" xr:uid="{00000000-0005-0000-0000-00006C220000}"/>
    <cellStyle name="Comma 2 2 3 2 6 4 6" xfId="13533" xr:uid="{00000000-0005-0000-0000-00000D350000}"/>
    <cellStyle name="Comma 2 2 3 2 6 5" xfId="14205" xr:uid="{00000000-0005-0000-0000-0000AD370000}"/>
    <cellStyle name="Comma 2 2 3 2 6 5 2" xfId="8780" xr:uid="{00000000-0005-0000-0000-00007C220000}"/>
    <cellStyle name="Comma 2 2 3 2 6 5 3" xfId="8789" xr:uid="{00000000-0005-0000-0000-000085220000}"/>
    <cellStyle name="Comma 2 2 3 2 6 5 4" xfId="7355" xr:uid="{00000000-0005-0000-0000-0000EB1C0000}"/>
    <cellStyle name="Comma 2 2 3 2 6 5 5" xfId="8793" xr:uid="{00000000-0005-0000-0000-000089220000}"/>
    <cellStyle name="Comma 2 2 3 2 6 5 6" xfId="13549" xr:uid="{00000000-0005-0000-0000-00001D350000}"/>
    <cellStyle name="Comma 2 2 3 2 6 6" xfId="14207" xr:uid="{00000000-0005-0000-0000-0000AF370000}"/>
    <cellStyle name="Comma 2 2 3 2 6 6 2" xfId="13808" xr:uid="{00000000-0005-0000-0000-000020360000}"/>
    <cellStyle name="Comma 2 2 3 2 6 6 3" xfId="13814" xr:uid="{00000000-0005-0000-0000-000026360000}"/>
    <cellStyle name="Comma 2 2 3 2 6 6 4" xfId="13817" xr:uid="{00000000-0005-0000-0000-000029360000}"/>
    <cellStyle name="Comma 2 2 3 2 6 6 5" xfId="3682" xr:uid="{00000000-0005-0000-0000-0000920E0000}"/>
    <cellStyle name="Comma 2 2 3 2 6 6 6" xfId="6405" xr:uid="{00000000-0005-0000-0000-000035190000}"/>
    <cellStyle name="Comma 2 2 3 2 6 7" xfId="14209" xr:uid="{00000000-0005-0000-0000-0000B1370000}"/>
    <cellStyle name="Comma 2 2 3 2 6 8" xfId="14212" xr:uid="{00000000-0005-0000-0000-0000B4370000}"/>
    <cellStyle name="Comma 2 2 3 2 6 9" xfId="14215" xr:uid="{00000000-0005-0000-0000-0000B7370000}"/>
    <cellStyle name="Comma 2 2 3 2 7" xfId="1209" xr:uid="{00000000-0005-0000-0000-0000E9040000}"/>
    <cellStyle name="Comma 2 2 3 2 7 10" xfId="14216" xr:uid="{00000000-0005-0000-0000-0000B8370000}"/>
    <cellStyle name="Comma 2 2 3 2 7 11" xfId="14218" xr:uid="{00000000-0005-0000-0000-0000BA370000}"/>
    <cellStyle name="Comma 2 2 3 2 7 12" xfId="14219" xr:uid="{00000000-0005-0000-0000-0000BB370000}"/>
    <cellStyle name="Comma 2 2 3 2 7 13" xfId="14220" xr:uid="{00000000-0005-0000-0000-0000BC370000}"/>
    <cellStyle name="Comma 2 2 3 2 7 14" xfId="14224" xr:uid="{00000000-0005-0000-0000-0000C0370000}"/>
    <cellStyle name="Comma 2 2 3 2 7 15" xfId="14225" xr:uid="{00000000-0005-0000-0000-0000C1370000}"/>
    <cellStyle name="Comma 2 2 3 2 7 16" xfId="14226" xr:uid="{00000000-0005-0000-0000-0000C2370000}"/>
    <cellStyle name="Comma 2 2 3 2 7 17" xfId="14227" xr:uid="{00000000-0005-0000-0000-0000C3370000}"/>
    <cellStyle name="Comma 2 2 3 2 7 18" xfId="14228" xr:uid="{00000000-0005-0000-0000-0000C4370000}"/>
    <cellStyle name="Comma 2 2 3 2 7 2" xfId="14231" xr:uid="{00000000-0005-0000-0000-0000C7370000}"/>
    <cellStyle name="Comma 2 2 3 2 7 2 10" xfId="14233" xr:uid="{00000000-0005-0000-0000-0000C9370000}"/>
    <cellStyle name="Comma 2 2 3 2 7 2 2" xfId="8850" xr:uid="{00000000-0005-0000-0000-0000C2220000}"/>
    <cellStyle name="Comma 2 2 3 2 7 2 2 2" xfId="14234" xr:uid="{00000000-0005-0000-0000-0000CA370000}"/>
    <cellStyle name="Comma 2 2 3 2 7 2 3" xfId="8852" xr:uid="{00000000-0005-0000-0000-0000C4220000}"/>
    <cellStyle name="Comma 2 2 3 2 7 2 4" xfId="8856" xr:uid="{00000000-0005-0000-0000-0000C8220000}"/>
    <cellStyle name="Comma 2 2 3 2 7 2 5" xfId="8860" xr:uid="{00000000-0005-0000-0000-0000CC220000}"/>
    <cellStyle name="Comma 2 2 3 2 7 2 6" xfId="13594" xr:uid="{00000000-0005-0000-0000-00004A350000}"/>
    <cellStyle name="Comma 2 2 3 2 7 2 7" xfId="13598" xr:uid="{00000000-0005-0000-0000-00004E350000}"/>
    <cellStyle name="Comma 2 2 3 2 7 2 8" xfId="14237" xr:uid="{00000000-0005-0000-0000-0000CD370000}"/>
    <cellStyle name="Comma 2 2 3 2 7 2 9" xfId="11327" xr:uid="{00000000-0005-0000-0000-00006F2C0000}"/>
    <cellStyle name="Comma 2 2 3 2 7 3" xfId="14239" xr:uid="{00000000-0005-0000-0000-0000CF370000}"/>
    <cellStyle name="Comma 2 2 3 2 7 3 2" xfId="14240" xr:uid="{00000000-0005-0000-0000-0000D0370000}"/>
    <cellStyle name="Comma 2 2 3 2 7 3 3" xfId="13606" xr:uid="{00000000-0005-0000-0000-000056350000}"/>
    <cellStyle name="Comma 2 2 3 2 7 3 4" xfId="14242" xr:uid="{00000000-0005-0000-0000-0000D2370000}"/>
    <cellStyle name="Comma 2 2 3 2 7 3 5" xfId="14245" xr:uid="{00000000-0005-0000-0000-0000D5370000}"/>
    <cellStyle name="Comma 2 2 3 2 7 3 6" xfId="14249" xr:uid="{00000000-0005-0000-0000-0000D9370000}"/>
    <cellStyle name="Comma 2 2 3 2 7 4" xfId="14253" xr:uid="{00000000-0005-0000-0000-0000DD370000}"/>
    <cellStyle name="Comma 2 2 3 2 7 4 2" xfId="14258" xr:uid="{00000000-0005-0000-0000-0000E2370000}"/>
    <cellStyle name="Comma 2 2 3 2 7 4 3" xfId="14263" xr:uid="{00000000-0005-0000-0000-0000E7370000}"/>
    <cellStyle name="Comma 2 2 3 2 7 4 4" xfId="14269" xr:uid="{00000000-0005-0000-0000-0000ED370000}"/>
    <cellStyle name="Comma 2 2 3 2 7 4 5" xfId="14274" xr:uid="{00000000-0005-0000-0000-0000F2370000}"/>
    <cellStyle name="Comma 2 2 3 2 7 4 6" xfId="14280" xr:uid="{00000000-0005-0000-0000-0000F8370000}"/>
    <cellStyle name="Comma 2 2 3 2 7 5" xfId="14283" xr:uid="{00000000-0005-0000-0000-0000FB370000}"/>
    <cellStyle name="Comma 2 2 3 2 7 5 2" xfId="14286" xr:uid="{00000000-0005-0000-0000-0000FE370000}"/>
    <cellStyle name="Comma 2 2 3 2 7 5 3" xfId="14289" xr:uid="{00000000-0005-0000-0000-000001380000}"/>
    <cellStyle name="Comma 2 2 3 2 7 5 4" xfId="14291" xr:uid="{00000000-0005-0000-0000-000003380000}"/>
    <cellStyle name="Comma 2 2 3 2 7 5 5" xfId="14294" xr:uid="{00000000-0005-0000-0000-000006380000}"/>
    <cellStyle name="Comma 2 2 3 2 7 5 6" xfId="14298" xr:uid="{00000000-0005-0000-0000-00000A380000}"/>
    <cellStyle name="Comma 2 2 3 2 7 6" xfId="14300" xr:uid="{00000000-0005-0000-0000-00000C380000}"/>
    <cellStyle name="Comma 2 2 3 2 7 6 2" xfId="14303" xr:uid="{00000000-0005-0000-0000-00000F380000}"/>
    <cellStyle name="Comma 2 2 3 2 7 6 3" xfId="14305" xr:uid="{00000000-0005-0000-0000-000011380000}"/>
    <cellStyle name="Comma 2 2 3 2 7 6 4" xfId="14307" xr:uid="{00000000-0005-0000-0000-000013380000}"/>
    <cellStyle name="Comma 2 2 3 2 7 6 5" xfId="14308" xr:uid="{00000000-0005-0000-0000-000014380000}"/>
    <cellStyle name="Comma 2 2 3 2 7 6 6" xfId="6413" xr:uid="{00000000-0005-0000-0000-00003D190000}"/>
    <cellStyle name="Comma 2 2 3 2 7 7" xfId="14310" xr:uid="{00000000-0005-0000-0000-000016380000}"/>
    <cellStyle name="Comma 2 2 3 2 7 8" xfId="14312" xr:uid="{00000000-0005-0000-0000-000018380000}"/>
    <cellStyle name="Comma 2 2 3 2 7 9" xfId="14314" xr:uid="{00000000-0005-0000-0000-00001A380000}"/>
    <cellStyle name="Comma 2 2 3 2 8" xfId="1220" xr:uid="{00000000-0005-0000-0000-0000F4040000}"/>
    <cellStyle name="Comma 2 2 3 2 8 10" xfId="14318" xr:uid="{00000000-0005-0000-0000-00001E380000}"/>
    <cellStyle name="Comma 2 2 3 2 8 11" xfId="11869" xr:uid="{00000000-0005-0000-0000-00008D2E0000}"/>
    <cellStyle name="Comma 2 2 3 2 8 12" xfId="14321" xr:uid="{00000000-0005-0000-0000-000021380000}"/>
    <cellStyle name="Comma 2 2 3 2 8 13" xfId="14324" xr:uid="{00000000-0005-0000-0000-000024380000}"/>
    <cellStyle name="Comma 2 2 3 2 8 14" xfId="14327" xr:uid="{00000000-0005-0000-0000-000027380000}"/>
    <cellStyle name="Comma 2 2 3 2 8 15" xfId="14331" xr:uid="{00000000-0005-0000-0000-00002B380000}"/>
    <cellStyle name="Comma 2 2 3 2 8 2" xfId="14333" xr:uid="{00000000-0005-0000-0000-00002D380000}"/>
    <cellStyle name="Comma 2 2 3 2 8 2 2" xfId="8947" xr:uid="{00000000-0005-0000-0000-000023230000}"/>
    <cellStyle name="Comma 2 2 3 2 8 2 2 2" xfId="11016" xr:uid="{00000000-0005-0000-0000-0000382B0000}"/>
    <cellStyle name="Comma 2 2 3 2 8 2 3" xfId="8949" xr:uid="{00000000-0005-0000-0000-000025230000}"/>
    <cellStyle name="Comma 2 2 3 2 8 2 4" xfId="8955" xr:uid="{00000000-0005-0000-0000-00002B230000}"/>
    <cellStyle name="Comma 2 2 3 2 8 2 5" xfId="8963" xr:uid="{00000000-0005-0000-0000-000033230000}"/>
    <cellStyle name="Comma 2 2 3 2 8 2 6" xfId="13653" xr:uid="{00000000-0005-0000-0000-000085350000}"/>
    <cellStyle name="Comma 2 2 3 2 8 2 7" xfId="13660" xr:uid="{00000000-0005-0000-0000-00008C350000}"/>
    <cellStyle name="Comma 2 2 3 2 8 2 8" xfId="14336" xr:uid="{00000000-0005-0000-0000-000030380000}"/>
    <cellStyle name="Comma 2 2 3 2 8 2 9" xfId="11380" xr:uid="{00000000-0005-0000-0000-0000A42C0000}"/>
    <cellStyle name="Comma 2 2 3 2 8 3" xfId="14338" xr:uid="{00000000-0005-0000-0000-000032380000}"/>
    <cellStyle name="Comma 2 2 3 2 8 3 2" xfId="14339" xr:uid="{00000000-0005-0000-0000-000033380000}"/>
    <cellStyle name="Comma 2 2 3 2 8 3 3" xfId="13668" xr:uid="{00000000-0005-0000-0000-000094350000}"/>
    <cellStyle name="Comma 2 2 3 2 8 3 4" xfId="14341" xr:uid="{00000000-0005-0000-0000-000035380000}"/>
    <cellStyle name="Comma 2 2 3 2 8 3 5" xfId="14342" xr:uid="{00000000-0005-0000-0000-000036380000}"/>
    <cellStyle name="Comma 2 2 3 2 8 3 6" xfId="14344" xr:uid="{00000000-0005-0000-0000-000038380000}"/>
    <cellStyle name="Comma 2 2 3 2 8 4" xfId="14346" xr:uid="{00000000-0005-0000-0000-00003A380000}"/>
    <cellStyle name="Comma 2 2 3 2 8 4 2" xfId="14349" xr:uid="{00000000-0005-0000-0000-00003D380000}"/>
    <cellStyle name="Comma 2 2 3 2 8 5" xfId="14350" xr:uid="{00000000-0005-0000-0000-00003E380000}"/>
    <cellStyle name="Comma 2 2 3 2 8 6" xfId="14351" xr:uid="{00000000-0005-0000-0000-00003F380000}"/>
    <cellStyle name="Comma 2 2 3 2 8 7" xfId="14352" xr:uid="{00000000-0005-0000-0000-000040380000}"/>
    <cellStyle name="Comma 2 2 3 2 8 8" xfId="14354" xr:uid="{00000000-0005-0000-0000-000042380000}"/>
    <cellStyle name="Comma 2 2 3 2 8 9" xfId="14356" xr:uid="{00000000-0005-0000-0000-000044380000}"/>
    <cellStyle name="Comma 2 2 3 2 9" xfId="14357" xr:uid="{00000000-0005-0000-0000-000045380000}"/>
    <cellStyle name="Comma 2 2 3 2 9 10" xfId="14363" xr:uid="{00000000-0005-0000-0000-00004B380000}"/>
    <cellStyle name="Comma 2 2 3 2 9 11" xfId="12246" xr:uid="{00000000-0005-0000-0000-000006300000}"/>
    <cellStyle name="Comma 2 2 3 2 9 12" xfId="12263" xr:uid="{00000000-0005-0000-0000-000017300000}"/>
    <cellStyle name="Comma 2 2 3 2 9 13" xfId="12270" xr:uid="{00000000-0005-0000-0000-00001E300000}"/>
    <cellStyle name="Comma 2 2 3 2 9 14" xfId="4695" xr:uid="{00000000-0005-0000-0000-000087120000}"/>
    <cellStyle name="Comma 2 2 3 2 9 2" xfId="14364" xr:uid="{00000000-0005-0000-0000-00004C380000}"/>
    <cellStyle name="Comma 2 2 3 2 9 2 2" xfId="8047" xr:uid="{00000000-0005-0000-0000-00009F1F0000}"/>
    <cellStyle name="Comma 2 2 3 2 9 2 2 2" xfId="14365" xr:uid="{00000000-0005-0000-0000-00004D380000}"/>
    <cellStyle name="Comma 2 2 3 2 9 2 3" xfId="8051" xr:uid="{00000000-0005-0000-0000-0000A31F0000}"/>
    <cellStyle name="Comma 2 2 3 2 9 2 4" xfId="8061" xr:uid="{00000000-0005-0000-0000-0000AD1F0000}"/>
    <cellStyle name="Comma 2 2 3 2 9 2 5" xfId="8068" xr:uid="{00000000-0005-0000-0000-0000B41F0000}"/>
    <cellStyle name="Comma 2 2 3 2 9 2 6" xfId="8075" xr:uid="{00000000-0005-0000-0000-0000BB1F0000}"/>
    <cellStyle name="Comma 2 2 3 2 9 2 7" xfId="2340" xr:uid="{00000000-0005-0000-0000-000054090000}"/>
    <cellStyle name="Comma 2 2 3 2 9 2 8" xfId="1356" xr:uid="{00000000-0005-0000-0000-00007C050000}"/>
    <cellStyle name="Comma 2 2 3 2 9 2 9" xfId="1376" xr:uid="{00000000-0005-0000-0000-000090050000}"/>
    <cellStyle name="Comma 2 2 3 2 9 3" xfId="14366" xr:uid="{00000000-0005-0000-0000-00004E380000}"/>
    <cellStyle name="Comma 2 2 3 2 9 3 2" xfId="8102" xr:uid="{00000000-0005-0000-0000-0000D61F0000}"/>
    <cellStyle name="Comma 2 2 3 2 9 3 3" xfId="8106" xr:uid="{00000000-0005-0000-0000-0000DA1F0000}"/>
    <cellStyle name="Comma 2 2 3 2 9 3 4" xfId="8114" xr:uid="{00000000-0005-0000-0000-0000E21F0000}"/>
    <cellStyle name="Comma 2 2 3 2 9 3 5" xfId="8117" xr:uid="{00000000-0005-0000-0000-0000E51F0000}"/>
    <cellStyle name="Comma 2 2 3 2 9 3 6" xfId="8119" xr:uid="{00000000-0005-0000-0000-0000E71F0000}"/>
    <cellStyle name="Comma 2 2 3 2 9 4" xfId="14367" xr:uid="{00000000-0005-0000-0000-00004F380000}"/>
    <cellStyle name="Comma 2 2 3 2 9 4 2" xfId="6869" xr:uid="{00000000-0005-0000-0000-0000051B0000}"/>
    <cellStyle name="Comma 2 2 3 2 9 5" xfId="272" xr:uid="{00000000-0005-0000-0000-000022010000}"/>
    <cellStyle name="Comma 2 2 3 2 9 6" xfId="290" xr:uid="{00000000-0005-0000-0000-000035010000}"/>
    <cellStyle name="Comma 2 2 3 2 9 7" xfId="319" xr:uid="{00000000-0005-0000-0000-000054010000}"/>
    <cellStyle name="Comma 2 2 3 2 9 8" xfId="187" xr:uid="{00000000-0005-0000-0000-0000C9000000}"/>
    <cellStyle name="Comma 2 2 3 2 9 9" xfId="9448" xr:uid="{00000000-0005-0000-0000-000018250000}"/>
    <cellStyle name="Comma 2 2 3 20" xfId="3155" xr:uid="{00000000-0005-0000-0000-0000830C0000}"/>
    <cellStyle name="Comma 2 2 3 21" xfId="12762" xr:uid="{00000000-0005-0000-0000-00000A320000}"/>
    <cellStyle name="Comma 2 2 3 22" xfId="3510" xr:uid="{00000000-0005-0000-0000-0000E60D0000}"/>
    <cellStyle name="Comma 2 2 3 23" xfId="12771" xr:uid="{00000000-0005-0000-0000-000013320000}"/>
    <cellStyle name="Comma 2 2 3 24" xfId="3525" xr:uid="{00000000-0005-0000-0000-0000F50D0000}"/>
    <cellStyle name="Comma 2 2 3 25" xfId="9856" xr:uid="{00000000-0005-0000-0000-0000B0260000}"/>
    <cellStyle name="Comma 2 2 3 26" xfId="12784" xr:uid="{00000000-0005-0000-0000-000020320000}"/>
    <cellStyle name="Comma 2 2 3 27" xfId="14072" xr:uid="{00000000-0005-0000-0000-000028370000}"/>
    <cellStyle name="Comma 2 2 3 3" xfId="14370" xr:uid="{00000000-0005-0000-0000-000052380000}"/>
    <cellStyle name="Comma 2 2 3 3 10" xfId="9383" xr:uid="{00000000-0005-0000-0000-0000D7240000}"/>
    <cellStyle name="Comma 2 2 3 3 10 2" xfId="6034" xr:uid="{00000000-0005-0000-0000-0000C2170000}"/>
    <cellStyle name="Comma 2 2 3 3 10 3" xfId="14372" xr:uid="{00000000-0005-0000-0000-000054380000}"/>
    <cellStyle name="Comma 2 2 3 3 10 4" xfId="14374" xr:uid="{00000000-0005-0000-0000-000056380000}"/>
    <cellStyle name="Comma 2 2 3 3 10 5" xfId="14376" xr:uid="{00000000-0005-0000-0000-000058380000}"/>
    <cellStyle name="Comma 2 2 3 3 10 6" xfId="14378" xr:uid="{00000000-0005-0000-0000-00005A380000}"/>
    <cellStyle name="Comma 2 2 3 3 11" xfId="11576" xr:uid="{00000000-0005-0000-0000-0000682D0000}"/>
    <cellStyle name="Comma 2 2 3 3 11 2" xfId="6250" xr:uid="{00000000-0005-0000-0000-00009A180000}"/>
    <cellStyle name="Comma 2 2 3 3 11 3" xfId="2235" xr:uid="{00000000-0005-0000-0000-0000EB080000}"/>
    <cellStyle name="Comma 2 2 3 3 11 4" xfId="6259" xr:uid="{00000000-0005-0000-0000-0000A3180000}"/>
    <cellStyle name="Comma 2 2 3 3 11 5" xfId="6263" xr:uid="{00000000-0005-0000-0000-0000A7180000}"/>
    <cellStyle name="Comma 2 2 3 3 11 6" xfId="149" xr:uid="{00000000-0005-0000-0000-0000A1000000}"/>
    <cellStyle name="Comma 2 2 3 3 12" xfId="11578" xr:uid="{00000000-0005-0000-0000-00006A2D0000}"/>
    <cellStyle name="Comma 2 2 3 3 13" xfId="10238" xr:uid="{00000000-0005-0000-0000-00002E280000}"/>
    <cellStyle name="Comma 2 2 3 3 14" xfId="11581" xr:uid="{00000000-0005-0000-0000-00006D2D0000}"/>
    <cellStyle name="Comma 2 2 3 3 15" xfId="5483" xr:uid="{00000000-0005-0000-0000-00009B150000}"/>
    <cellStyle name="Comma 2 2 3 3 16" xfId="11583" xr:uid="{00000000-0005-0000-0000-00006F2D0000}"/>
    <cellStyle name="Comma 2 2 3 3 17" xfId="11587" xr:uid="{00000000-0005-0000-0000-0000732D0000}"/>
    <cellStyle name="Comma 2 2 3 3 18" xfId="4810" xr:uid="{00000000-0005-0000-0000-0000FA120000}"/>
    <cellStyle name="Comma 2 2 3 3 19" xfId="11977" xr:uid="{00000000-0005-0000-0000-0000F92E0000}"/>
    <cellStyle name="Comma 2 2 3 3 2" xfId="5629" xr:uid="{00000000-0005-0000-0000-00002D160000}"/>
    <cellStyle name="Comma 2 2 3 3 2 10" xfId="14380" xr:uid="{00000000-0005-0000-0000-00005C380000}"/>
    <cellStyle name="Comma 2 2 3 3 2 11" xfId="14382" xr:uid="{00000000-0005-0000-0000-00005E380000}"/>
    <cellStyle name="Comma 2 2 3 3 2 12" xfId="14384" xr:uid="{00000000-0005-0000-0000-000060380000}"/>
    <cellStyle name="Comma 2 2 3 3 2 13" xfId="5918" xr:uid="{00000000-0005-0000-0000-00004E170000}"/>
    <cellStyle name="Comma 2 2 3 3 2 14" xfId="14385" xr:uid="{00000000-0005-0000-0000-000061380000}"/>
    <cellStyle name="Comma 2 2 3 3 2 15" xfId="14386" xr:uid="{00000000-0005-0000-0000-000062380000}"/>
    <cellStyle name="Comma 2 2 3 3 2 16" xfId="14387" xr:uid="{00000000-0005-0000-0000-000063380000}"/>
    <cellStyle name="Comma 2 2 3 3 2 17" xfId="14393" xr:uid="{00000000-0005-0000-0000-000069380000}"/>
    <cellStyle name="Comma 2 2 3 3 2 18" xfId="14399" xr:uid="{00000000-0005-0000-0000-00006F380000}"/>
    <cellStyle name="Comma 2 2 3 3 2 2" xfId="14403" xr:uid="{00000000-0005-0000-0000-000073380000}"/>
    <cellStyle name="Comma 2 2 3 3 2 2 10" xfId="14411" xr:uid="{00000000-0005-0000-0000-00007B380000}"/>
    <cellStyle name="Comma 2 2 3 3 2 2 11" xfId="14413" xr:uid="{00000000-0005-0000-0000-00007D380000}"/>
    <cellStyle name="Comma 2 2 3 3 2 2 12" xfId="14416" xr:uid="{00000000-0005-0000-0000-000080380000}"/>
    <cellStyle name="Comma 2 2 3 3 2 2 2" xfId="14417" xr:uid="{00000000-0005-0000-0000-000081380000}"/>
    <cellStyle name="Comma 2 2 3 3 2 2 2 2" xfId="14423" xr:uid="{00000000-0005-0000-0000-000087380000}"/>
    <cellStyle name="Comma 2 2 3 3 2 2 2 2 2" xfId="11303" xr:uid="{00000000-0005-0000-0000-0000572C0000}"/>
    <cellStyle name="Comma 2 2 3 3 2 2 2 3" xfId="14428" xr:uid="{00000000-0005-0000-0000-00008C380000}"/>
    <cellStyle name="Comma 2 2 3 3 2 2 2 4" xfId="14433" xr:uid="{00000000-0005-0000-0000-000091380000}"/>
    <cellStyle name="Comma 2 2 3 3 2 2 2 5" xfId="14444" xr:uid="{00000000-0005-0000-0000-00009C380000}"/>
    <cellStyle name="Comma 2 2 3 3 2 2 3" xfId="14445" xr:uid="{00000000-0005-0000-0000-00009D380000}"/>
    <cellStyle name="Comma 2 2 3 3 2 2 3 2" xfId="14451" xr:uid="{00000000-0005-0000-0000-0000A3380000}"/>
    <cellStyle name="Comma 2 2 3 3 2 2 4" xfId="14452" xr:uid="{00000000-0005-0000-0000-0000A4380000}"/>
    <cellStyle name="Comma 2 2 3 3 2 2 5" xfId="14454" xr:uid="{00000000-0005-0000-0000-0000A6380000}"/>
    <cellStyle name="Comma 2 2 3 3 2 2 6" xfId="14455" xr:uid="{00000000-0005-0000-0000-0000A7380000}"/>
    <cellStyle name="Comma 2 2 3 3 2 2 7" xfId="14456" xr:uid="{00000000-0005-0000-0000-0000A8380000}"/>
    <cellStyle name="Comma 2 2 3 3 2 2 8" xfId="14457" xr:uid="{00000000-0005-0000-0000-0000A9380000}"/>
    <cellStyle name="Comma 2 2 3 3 2 2 9" xfId="14458" xr:uid="{00000000-0005-0000-0000-0000AA380000}"/>
    <cellStyle name="Comma 2 2 3 3 2 3" xfId="14459" xr:uid="{00000000-0005-0000-0000-0000AB380000}"/>
    <cellStyle name="Comma 2 2 3 3 2 3 10" xfId="14460" xr:uid="{00000000-0005-0000-0000-0000AC380000}"/>
    <cellStyle name="Comma 2 2 3 3 2 3 11" xfId="14462" xr:uid="{00000000-0005-0000-0000-0000AE380000}"/>
    <cellStyle name="Comma 2 2 3 3 2 3 12" xfId="3240" xr:uid="{00000000-0005-0000-0000-0000D80C0000}"/>
    <cellStyle name="Comma 2 2 3 3 2 3 2" xfId="1486" xr:uid="{00000000-0005-0000-0000-0000FE050000}"/>
    <cellStyle name="Comma 2 2 3 3 2 3 2 2" xfId="1502" xr:uid="{00000000-0005-0000-0000-00000E060000}"/>
    <cellStyle name="Comma 2 2 3 3 2 3 2 2 2" xfId="11654" xr:uid="{00000000-0005-0000-0000-0000B62D0000}"/>
    <cellStyle name="Comma 2 2 3 3 2 3 2 3" xfId="14467" xr:uid="{00000000-0005-0000-0000-0000B3380000}"/>
    <cellStyle name="Comma 2 2 3 3 2 3 2 4" xfId="14472" xr:uid="{00000000-0005-0000-0000-0000B8380000}"/>
    <cellStyle name="Comma 2 2 3 3 2 3 2 5" xfId="14475" xr:uid="{00000000-0005-0000-0000-0000BB380000}"/>
    <cellStyle name="Comma 2 2 3 3 2 3 3" xfId="435" xr:uid="{00000000-0005-0000-0000-0000CF010000}"/>
    <cellStyle name="Comma 2 2 3 3 2 3 3 2" xfId="14481" xr:uid="{00000000-0005-0000-0000-0000C1380000}"/>
    <cellStyle name="Comma 2 2 3 3 2 3 4" xfId="1511" xr:uid="{00000000-0005-0000-0000-000017060000}"/>
    <cellStyle name="Comma 2 2 3 3 2 3 5" xfId="14482" xr:uid="{00000000-0005-0000-0000-0000C2380000}"/>
    <cellStyle name="Comma 2 2 3 3 2 3 6" xfId="14483" xr:uid="{00000000-0005-0000-0000-0000C3380000}"/>
    <cellStyle name="Comma 2 2 3 3 2 3 7" xfId="14485" xr:uid="{00000000-0005-0000-0000-0000C5380000}"/>
    <cellStyle name="Comma 2 2 3 3 2 3 8" xfId="14487" xr:uid="{00000000-0005-0000-0000-0000C7380000}"/>
    <cellStyle name="Comma 2 2 3 3 2 3 9" xfId="14488" xr:uid="{00000000-0005-0000-0000-0000C8380000}"/>
    <cellStyle name="Comma 2 2 3 3 2 4" xfId="14490" xr:uid="{00000000-0005-0000-0000-0000CA380000}"/>
    <cellStyle name="Comma 2 2 3 3 2 4 10" xfId="14493" xr:uid="{00000000-0005-0000-0000-0000CD380000}"/>
    <cellStyle name="Comma 2 2 3 3 2 4 2" xfId="3485" xr:uid="{00000000-0005-0000-0000-0000CD0D0000}"/>
    <cellStyle name="Comma 2 2 3 3 2 4 2 2" xfId="329" xr:uid="{00000000-0005-0000-0000-00005F010000}"/>
    <cellStyle name="Comma 2 2 3 3 2 4 2 2 2" xfId="4703" xr:uid="{00000000-0005-0000-0000-00008F120000}"/>
    <cellStyle name="Comma 2 2 3 3 2 4 2 3" xfId="12671" xr:uid="{00000000-0005-0000-0000-0000AF310000}"/>
    <cellStyle name="Comma 2 2 3 3 2 4 2 4" xfId="12681" xr:uid="{00000000-0005-0000-0000-0000B9310000}"/>
    <cellStyle name="Comma 2 2 3 3 2 4 2 5" xfId="14496" xr:uid="{00000000-0005-0000-0000-0000D0380000}"/>
    <cellStyle name="Comma 2 2 3 3 2 4 3" xfId="4068" xr:uid="{00000000-0005-0000-0000-000014100000}"/>
    <cellStyle name="Comma 2 2 3 3 2 4 3 2" xfId="4071" xr:uid="{00000000-0005-0000-0000-000017100000}"/>
    <cellStyle name="Comma 2 2 3 3 2 4 4" xfId="3780" xr:uid="{00000000-0005-0000-0000-0000F40E0000}"/>
    <cellStyle name="Comma 2 2 3 3 2 4 5" xfId="671" xr:uid="{00000000-0005-0000-0000-0000CF020000}"/>
    <cellStyle name="Comma 2 2 3 3 2 4 6" xfId="3837" xr:uid="{00000000-0005-0000-0000-00002D0F0000}"/>
    <cellStyle name="Comma 2 2 3 3 2 4 7" xfId="3816" xr:uid="{00000000-0005-0000-0000-0000180F0000}"/>
    <cellStyle name="Comma 2 2 3 3 2 4 8" xfId="9887" xr:uid="{00000000-0005-0000-0000-0000CF260000}"/>
    <cellStyle name="Comma 2 2 3 3 2 4 9" xfId="9899" xr:uid="{00000000-0005-0000-0000-0000DB260000}"/>
    <cellStyle name="Comma 2 2 3 3 2 5" xfId="3147" xr:uid="{00000000-0005-0000-0000-00007B0C0000}"/>
    <cellStyle name="Comma 2 2 3 3 2 5 10" xfId="9311" xr:uid="{00000000-0005-0000-0000-00008F240000}"/>
    <cellStyle name="Comma 2 2 3 3 2 5 2" xfId="3492" xr:uid="{00000000-0005-0000-0000-0000D40D0000}"/>
    <cellStyle name="Comma 2 2 3 3 2 5 2 2" xfId="4097" xr:uid="{00000000-0005-0000-0000-000031100000}"/>
    <cellStyle name="Comma 2 2 3 3 2 5 2 2 2" xfId="4520" xr:uid="{00000000-0005-0000-0000-0000D8110000}"/>
    <cellStyle name="Comma 2 2 3 3 2 5 2 3" xfId="3233" xr:uid="{00000000-0005-0000-0000-0000D10C0000}"/>
    <cellStyle name="Comma 2 2 3 3 2 5 2 4" xfId="4526" xr:uid="{00000000-0005-0000-0000-0000DE110000}"/>
    <cellStyle name="Comma 2 2 3 3 2 5 2 5" xfId="14498" xr:uid="{00000000-0005-0000-0000-0000D2380000}"/>
    <cellStyle name="Comma 2 2 3 3 2 5 3" xfId="4109" xr:uid="{00000000-0005-0000-0000-00003D100000}"/>
    <cellStyle name="Comma 2 2 3 3 2 5 3 2" xfId="4112" xr:uid="{00000000-0005-0000-0000-000040100000}"/>
    <cellStyle name="Comma 2 2 3 3 2 5 4" xfId="3913" xr:uid="{00000000-0005-0000-0000-0000790F0000}"/>
    <cellStyle name="Comma 2 2 3 3 2 5 5" xfId="204" xr:uid="{00000000-0005-0000-0000-0000DC000000}"/>
    <cellStyle name="Comma 2 2 3 3 2 5 6" xfId="370" xr:uid="{00000000-0005-0000-0000-00008A010000}"/>
    <cellStyle name="Comma 2 2 3 3 2 5 7" xfId="3850" xr:uid="{00000000-0005-0000-0000-00003A0F0000}"/>
    <cellStyle name="Comma 2 2 3 3 2 5 8" xfId="14503" xr:uid="{00000000-0005-0000-0000-0000D7380000}"/>
    <cellStyle name="Comma 2 2 3 3 2 5 9" xfId="14507" xr:uid="{00000000-0005-0000-0000-0000DB380000}"/>
    <cellStyle name="Comma 2 2 3 3 2 6" xfId="14509" xr:uid="{00000000-0005-0000-0000-0000DD380000}"/>
    <cellStyle name="Comma 2 2 3 3 2 6 2" xfId="14513" xr:uid="{00000000-0005-0000-0000-0000E1380000}"/>
    <cellStyle name="Comma 2 2 3 3 2 6 2 2" xfId="14515" xr:uid="{00000000-0005-0000-0000-0000E3380000}"/>
    <cellStyle name="Comma 2 2 3 3 2 6 3" xfId="14523" xr:uid="{00000000-0005-0000-0000-0000EB380000}"/>
    <cellStyle name="Comma 2 2 3 3 2 6 4" xfId="10456" xr:uid="{00000000-0005-0000-0000-000008290000}"/>
    <cellStyle name="Comma 2 2 3 3 2 6 5" xfId="14527" xr:uid="{00000000-0005-0000-0000-0000EF380000}"/>
    <cellStyle name="Comma 2 2 3 3 2 6 6" xfId="14529" xr:uid="{00000000-0005-0000-0000-0000F1380000}"/>
    <cellStyle name="Comma 2 2 3 3 2 6 7" xfId="14530" xr:uid="{00000000-0005-0000-0000-0000F2380000}"/>
    <cellStyle name="Comma 2 2 3 3 2 6 8" xfId="14532" xr:uid="{00000000-0005-0000-0000-0000F4380000}"/>
    <cellStyle name="Comma 2 2 3 3 2 6 9" xfId="14535" xr:uid="{00000000-0005-0000-0000-0000F7380000}"/>
    <cellStyle name="Comma 2 2 3 3 2 7" xfId="14538" xr:uid="{00000000-0005-0000-0000-0000FA380000}"/>
    <cellStyle name="Comma 2 2 3 3 2 7 2" xfId="14541" xr:uid="{00000000-0005-0000-0000-0000FD380000}"/>
    <cellStyle name="Comma 2 2 3 3 2 8" xfId="14543" xr:uid="{00000000-0005-0000-0000-0000FF380000}"/>
    <cellStyle name="Comma 2 2 3 3 2 9" xfId="14548" xr:uid="{00000000-0005-0000-0000-000004390000}"/>
    <cellStyle name="Comma 2 2 3 3 20" xfId="5484" xr:uid="{00000000-0005-0000-0000-00009C150000}"/>
    <cellStyle name="Comma 2 2 3 3 21" xfId="11584" xr:uid="{00000000-0005-0000-0000-0000702D0000}"/>
    <cellStyle name="Comma 2 2 3 3 22" xfId="11588" xr:uid="{00000000-0005-0000-0000-0000742D0000}"/>
    <cellStyle name="Comma 2 2 3 3 23" xfId="4811" xr:uid="{00000000-0005-0000-0000-0000FB120000}"/>
    <cellStyle name="Comma 2 2 3 3 3" xfId="11912" xr:uid="{00000000-0005-0000-0000-0000B82E0000}"/>
    <cellStyle name="Comma 2 2 3 3 3 10" xfId="14550" xr:uid="{00000000-0005-0000-0000-000006390000}"/>
    <cellStyle name="Comma 2 2 3 3 3 11" xfId="14552" xr:uid="{00000000-0005-0000-0000-000008390000}"/>
    <cellStyle name="Comma 2 2 3 3 3 12" xfId="14554" xr:uid="{00000000-0005-0000-0000-00000A390000}"/>
    <cellStyle name="Comma 2 2 3 3 3 13" xfId="14558" xr:uid="{00000000-0005-0000-0000-00000E390000}"/>
    <cellStyle name="Comma 2 2 3 3 3 14" xfId="14561" xr:uid="{00000000-0005-0000-0000-000011390000}"/>
    <cellStyle name="Comma 2 2 3 3 3 15" xfId="14565" xr:uid="{00000000-0005-0000-0000-000015390000}"/>
    <cellStyle name="Comma 2 2 3 3 3 16" xfId="14567" xr:uid="{00000000-0005-0000-0000-000017390000}"/>
    <cellStyle name="Comma 2 2 3 3 3 17" xfId="14569" xr:uid="{00000000-0005-0000-0000-000019390000}"/>
    <cellStyle name="Comma 2 2 3 3 3 18" xfId="14570" xr:uid="{00000000-0005-0000-0000-00001A390000}"/>
    <cellStyle name="Comma 2 2 3 3 3 2" xfId="14571" xr:uid="{00000000-0005-0000-0000-00001B390000}"/>
    <cellStyle name="Comma 2 2 3 3 3 2 10" xfId="6138" xr:uid="{00000000-0005-0000-0000-00002A180000}"/>
    <cellStyle name="Comma 2 2 3 3 3 2 2" xfId="2331" xr:uid="{00000000-0005-0000-0000-00004B090000}"/>
    <cellStyle name="Comma 2 2 3 3 3 2 2 2" xfId="11069" xr:uid="{00000000-0005-0000-0000-00006D2B0000}"/>
    <cellStyle name="Comma 2 2 3 3 3 2 3" xfId="14575" xr:uid="{00000000-0005-0000-0000-00001F390000}"/>
    <cellStyle name="Comma 2 2 3 3 3 2 4" xfId="14579" xr:uid="{00000000-0005-0000-0000-000023390000}"/>
    <cellStyle name="Comma 2 2 3 3 3 2 5" xfId="14583" xr:uid="{00000000-0005-0000-0000-000027390000}"/>
    <cellStyle name="Comma 2 2 3 3 3 2 6" xfId="9904" xr:uid="{00000000-0005-0000-0000-0000E0260000}"/>
    <cellStyle name="Comma 2 2 3 3 3 2 7" xfId="9935" xr:uid="{00000000-0005-0000-0000-0000FF260000}"/>
    <cellStyle name="Comma 2 2 3 3 3 2 8" xfId="9951" xr:uid="{00000000-0005-0000-0000-00000F270000}"/>
    <cellStyle name="Comma 2 2 3 3 3 2 9" xfId="9954" xr:uid="{00000000-0005-0000-0000-000012270000}"/>
    <cellStyle name="Comma 2 2 3 3 3 3" xfId="14584" xr:uid="{00000000-0005-0000-0000-000028390000}"/>
    <cellStyle name="Comma 2 2 3 3 3 3 2" xfId="2467" xr:uid="{00000000-0005-0000-0000-0000D3090000}"/>
    <cellStyle name="Comma 2 2 3 3 3 3 3" xfId="14585" xr:uid="{00000000-0005-0000-0000-000029390000}"/>
    <cellStyle name="Comma 2 2 3 3 3 3 4" xfId="14586" xr:uid="{00000000-0005-0000-0000-00002A390000}"/>
    <cellStyle name="Comma 2 2 3 3 3 3 5" xfId="14587" xr:uid="{00000000-0005-0000-0000-00002B390000}"/>
    <cellStyle name="Comma 2 2 3 3 3 3 6" xfId="14588" xr:uid="{00000000-0005-0000-0000-00002C390000}"/>
    <cellStyle name="Comma 2 2 3 3 3 4" xfId="14592" xr:uid="{00000000-0005-0000-0000-000030390000}"/>
    <cellStyle name="Comma 2 2 3 3 3 4 2" xfId="4547" xr:uid="{00000000-0005-0000-0000-0000F3110000}"/>
    <cellStyle name="Comma 2 2 3 3 3 4 3" xfId="14593" xr:uid="{00000000-0005-0000-0000-000031390000}"/>
    <cellStyle name="Comma 2 2 3 3 3 4 4" xfId="14594" xr:uid="{00000000-0005-0000-0000-000032390000}"/>
    <cellStyle name="Comma 2 2 3 3 3 4 5" xfId="14597" xr:uid="{00000000-0005-0000-0000-000035390000}"/>
    <cellStyle name="Comma 2 2 3 3 3 4 6" xfId="14598" xr:uid="{00000000-0005-0000-0000-000036390000}"/>
    <cellStyle name="Comma 2 2 3 3 3 5" xfId="14601" xr:uid="{00000000-0005-0000-0000-000039390000}"/>
    <cellStyle name="Comma 2 2 3 3 3 5 2" xfId="14602" xr:uid="{00000000-0005-0000-0000-00003A390000}"/>
    <cellStyle name="Comma 2 2 3 3 3 5 3" xfId="14603" xr:uid="{00000000-0005-0000-0000-00003B390000}"/>
    <cellStyle name="Comma 2 2 3 3 3 5 4" xfId="14604" xr:uid="{00000000-0005-0000-0000-00003C390000}"/>
    <cellStyle name="Comma 2 2 3 3 3 5 5" xfId="14605" xr:uid="{00000000-0005-0000-0000-00003D390000}"/>
    <cellStyle name="Comma 2 2 3 3 3 5 6" xfId="14606" xr:uid="{00000000-0005-0000-0000-00003E390000}"/>
    <cellStyle name="Comma 2 2 3 3 3 6" xfId="14609" xr:uid="{00000000-0005-0000-0000-000041390000}"/>
    <cellStyle name="Comma 2 2 3 3 3 6 2" xfId="14612" xr:uid="{00000000-0005-0000-0000-000044390000}"/>
    <cellStyle name="Comma 2 2 3 3 3 6 3" xfId="14616" xr:uid="{00000000-0005-0000-0000-000048390000}"/>
    <cellStyle name="Comma 2 2 3 3 3 6 4" xfId="14621" xr:uid="{00000000-0005-0000-0000-00004D390000}"/>
    <cellStyle name="Comma 2 2 3 3 3 6 5" xfId="14624" xr:uid="{00000000-0005-0000-0000-000050390000}"/>
    <cellStyle name="Comma 2 2 3 3 3 6 6" xfId="14627" xr:uid="{00000000-0005-0000-0000-000053390000}"/>
    <cellStyle name="Comma 2 2 3 3 3 7" xfId="11980" xr:uid="{00000000-0005-0000-0000-0000FC2E0000}"/>
    <cellStyle name="Comma 2 2 3 3 3 8" xfId="2178" xr:uid="{00000000-0005-0000-0000-0000B2080000}"/>
    <cellStyle name="Comma 2 2 3 3 3 9" xfId="4625" xr:uid="{00000000-0005-0000-0000-000041120000}"/>
    <cellStyle name="Comma 2 2 3 3 4" xfId="4017" xr:uid="{00000000-0005-0000-0000-0000E10F0000}"/>
    <cellStyle name="Comma 2 2 3 3 4 10" xfId="14631" xr:uid="{00000000-0005-0000-0000-000057390000}"/>
    <cellStyle name="Comma 2 2 3 3 4 11" xfId="14634" xr:uid="{00000000-0005-0000-0000-00005A390000}"/>
    <cellStyle name="Comma 2 2 3 3 4 12" xfId="14637" xr:uid="{00000000-0005-0000-0000-00005D390000}"/>
    <cellStyle name="Comma 2 2 3 3 4 13" xfId="14640" xr:uid="{00000000-0005-0000-0000-000060390000}"/>
    <cellStyle name="Comma 2 2 3 3 4 14" xfId="14644" xr:uid="{00000000-0005-0000-0000-000064390000}"/>
    <cellStyle name="Comma 2 2 3 3 4 15" xfId="14647" xr:uid="{00000000-0005-0000-0000-000067390000}"/>
    <cellStyle name="Comma 2 2 3 3 4 2" xfId="10290" xr:uid="{00000000-0005-0000-0000-000062280000}"/>
    <cellStyle name="Comma 2 2 3 3 4 2 2" xfId="12518" xr:uid="{00000000-0005-0000-0000-000016310000}"/>
    <cellStyle name="Comma 2 2 3 3 4 2 2 2" xfId="12522" xr:uid="{00000000-0005-0000-0000-00001A310000}"/>
    <cellStyle name="Comma 2 2 3 3 4 2 3" xfId="2946" xr:uid="{00000000-0005-0000-0000-0000B20B0000}"/>
    <cellStyle name="Comma 2 2 3 3 4 2 4" xfId="12548" xr:uid="{00000000-0005-0000-0000-000034310000}"/>
    <cellStyle name="Comma 2 2 3 3 4 2 5" xfId="12552" xr:uid="{00000000-0005-0000-0000-000038310000}"/>
    <cellStyle name="Comma 2 2 3 3 4 2 6" xfId="10628" xr:uid="{00000000-0005-0000-0000-0000B4290000}"/>
    <cellStyle name="Comma 2 2 3 3 4 2 7" xfId="5249" xr:uid="{00000000-0005-0000-0000-0000B1140000}"/>
    <cellStyle name="Comma 2 2 3 3 4 2 8" xfId="10080" xr:uid="{00000000-0005-0000-0000-000090270000}"/>
    <cellStyle name="Comma 2 2 3 3 4 2 9" xfId="10937" xr:uid="{00000000-0005-0000-0000-0000E92A0000}"/>
    <cellStyle name="Comma 2 2 3 3 4 3" xfId="494" xr:uid="{00000000-0005-0000-0000-00000E020000}"/>
    <cellStyle name="Comma 2 2 3 3 4 3 2" xfId="14649" xr:uid="{00000000-0005-0000-0000-000069390000}"/>
    <cellStyle name="Comma 2 2 3 3 4 3 3" xfId="14651" xr:uid="{00000000-0005-0000-0000-00006B390000}"/>
    <cellStyle name="Comma 2 2 3 3 4 3 4" xfId="14655" xr:uid="{00000000-0005-0000-0000-00006F390000}"/>
    <cellStyle name="Comma 2 2 3 3 4 3 5" xfId="14660" xr:uid="{00000000-0005-0000-0000-000074390000}"/>
    <cellStyle name="Comma 2 2 3 3 4 3 6" xfId="14665" xr:uid="{00000000-0005-0000-0000-000079390000}"/>
    <cellStyle name="Comma 2 2 3 3 4 4" xfId="394" xr:uid="{00000000-0005-0000-0000-0000A4010000}"/>
    <cellStyle name="Comma 2 2 3 3 4 4 2" xfId="14674" xr:uid="{00000000-0005-0000-0000-000082390000}"/>
    <cellStyle name="Comma 2 2 3 3 4 5" xfId="2001" xr:uid="{00000000-0005-0000-0000-000001080000}"/>
    <cellStyle name="Comma 2 2 3 3 4 6" xfId="2027" xr:uid="{00000000-0005-0000-0000-00001B080000}"/>
    <cellStyle name="Comma 2 2 3 3 4 7" xfId="2049" xr:uid="{00000000-0005-0000-0000-000031080000}"/>
    <cellStyle name="Comma 2 2 3 3 4 8" xfId="6235" xr:uid="{00000000-0005-0000-0000-00008B180000}"/>
    <cellStyle name="Comma 2 2 3 3 4 9" xfId="6671" xr:uid="{00000000-0005-0000-0000-00003F1A0000}"/>
    <cellStyle name="Comma 2 2 3 3 5" xfId="538" xr:uid="{00000000-0005-0000-0000-00003E020000}"/>
    <cellStyle name="Comma 2 2 3 3 5 10" xfId="14676" xr:uid="{00000000-0005-0000-0000-000084390000}"/>
    <cellStyle name="Comma 2 2 3 3 5 11" xfId="14687" xr:uid="{00000000-0005-0000-0000-00008F390000}"/>
    <cellStyle name="Comma 2 2 3 3 5 12" xfId="14691" xr:uid="{00000000-0005-0000-0000-000093390000}"/>
    <cellStyle name="Comma 2 2 3 3 5 13" xfId="14695" xr:uid="{00000000-0005-0000-0000-000097390000}"/>
    <cellStyle name="Comma 2 2 3 3 5 2" xfId="10308" xr:uid="{00000000-0005-0000-0000-000074280000}"/>
    <cellStyle name="Comma 2 2 3 3 5 2 2" xfId="2137" xr:uid="{00000000-0005-0000-0000-000089080000}"/>
    <cellStyle name="Comma 2 2 3 3 5 2 2 2" xfId="9300" xr:uid="{00000000-0005-0000-0000-000084240000}"/>
    <cellStyle name="Comma 2 2 3 3 5 2 3" xfId="8381" xr:uid="{00000000-0005-0000-0000-0000ED200000}"/>
    <cellStyle name="Comma 2 2 3 3 5 2 4" xfId="8388" xr:uid="{00000000-0005-0000-0000-0000F4200000}"/>
    <cellStyle name="Comma 2 2 3 3 5 2 5" xfId="9309" xr:uid="{00000000-0005-0000-0000-00008D240000}"/>
    <cellStyle name="Comma 2 2 3 3 5 2 6" xfId="9315" xr:uid="{00000000-0005-0000-0000-000093240000}"/>
    <cellStyle name="Comma 2 2 3 3 5 2 7" xfId="9319" xr:uid="{00000000-0005-0000-0000-000097240000}"/>
    <cellStyle name="Comma 2 2 3 3 5 2 8" xfId="9323" xr:uid="{00000000-0005-0000-0000-00009B240000}"/>
    <cellStyle name="Comma 2 2 3 3 5 2 9" xfId="11545" xr:uid="{00000000-0005-0000-0000-0000492D0000}"/>
    <cellStyle name="Comma 2 2 3 3 5 3" xfId="2146" xr:uid="{00000000-0005-0000-0000-000092080000}"/>
    <cellStyle name="Comma 2 2 3 3 5 3 2" xfId="2155" xr:uid="{00000000-0005-0000-0000-00009B080000}"/>
    <cellStyle name="Comma 2 2 3 3 5 3 3" xfId="8211" xr:uid="{00000000-0005-0000-0000-000043200000}"/>
    <cellStyle name="Comma 2 2 3 3 5 3 4" xfId="8221" xr:uid="{00000000-0005-0000-0000-00004D200000}"/>
    <cellStyle name="Comma 2 2 3 3 5 3 5" xfId="53" xr:uid="{00000000-0005-0000-0000-000039000000}"/>
    <cellStyle name="Comma 2 2 3 3 5 3 6" xfId="5056" xr:uid="{00000000-0005-0000-0000-0000F0130000}"/>
    <cellStyle name="Comma 2 2 3 3 5 4" xfId="14698" xr:uid="{00000000-0005-0000-0000-00009A390000}"/>
    <cellStyle name="Comma 2 2 3 3 5 4 2" xfId="2198" xr:uid="{00000000-0005-0000-0000-0000C6080000}"/>
    <cellStyle name="Comma 2 2 3 3 5 5" xfId="14706" xr:uid="{00000000-0005-0000-0000-0000A2390000}"/>
    <cellStyle name="Comma 2 2 3 3 5 6" xfId="14711" xr:uid="{00000000-0005-0000-0000-0000A7390000}"/>
    <cellStyle name="Comma 2 2 3 3 5 7" xfId="2248" xr:uid="{00000000-0005-0000-0000-0000F8080000}"/>
    <cellStyle name="Comma 2 2 3 3 5 8" xfId="14716" xr:uid="{00000000-0005-0000-0000-0000AC390000}"/>
    <cellStyle name="Comma 2 2 3 3 5 9" xfId="14719" xr:uid="{00000000-0005-0000-0000-0000AF390000}"/>
    <cellStyle name="Comma 2 2 3 3 6" xfId="14722" xr:uid="{00000000-0005-0000-0000-0000B2390000}"/>
    <cellStyle name="Comma 2 2 3 3 6 10" xfId="14723" xr:uid="{00000000-0005-0000-0000-0000B3390000}"/>
    <cellStyle name="Comma 2 2 3 3 6 11" xfId="14724" xr:uid="{00000000-0005-0000-0000-0000B4390000}"/>
    <cellStyle name="Comma 2 2 3 3 6 12" xfId="14726" xr:uid="{00000000-0005-0000-0000-0000B6390000}"/>
    <cellStyle name="Comma 2 2 3 3 6 2" xfId="14727" xr:uid="{00000000-0005-0000-0000-0000B7390000}"/>
    <cellStyle name="Comma 2 2 3 3 6 2 2" xfId="9507" xr:uid="{00000000-0005-0000-0000-000053250000}"/>
    <cellStyle name="Comma 2 2 3 3 6 2 2 2" xfId="14731" xr:uid="{00000000-0005-0000-0000-0000BB390000}"/>
    <cellStyle name="Comma 2 2 3 3 6 2 3" xfId="9512" xr:uid="{00000000-0005-0000-0000-000058250000}"/>
    <cellStyle name="Comma 2 2 3 3 6 2 4" xfId="262" xr:uid="{00000000-0005-0000-0000-000017010000}"/>
    <cellStyle name="Comma 2 2 3 3 6 2 5" xfId="746" xr:uid="{00000000-0005-0000-0000-00001A030000}"/>
    <cellStyle name="Comma 2 2 3 3 6 2 6" xfId="13980" xr:uid="{00000000-0005-0000-0000-0000CC360000}"/>
    <cellStyle name="Comma 2 2 3 3 6 2 7" xfId="13985" xr:uid="{00000000-0005-0000-0000-0000D1360000}"/>
    <cellStyle name="Comma 2 2 3 3 6 2 8" xfId="14733" xr:uid="{00000000-0005-0000-0000-0000BD390000}"/>
    <cellStyle name="Comma 2 2 3 3 6 2 9" xfId="11629" xr:uid="{00000000-0005-0000-0000-00009D2D0000}"/>
    <cellStyle name="Comma 2 2 3 3 6 3" xfId="14735" xr:uid="{00000000-0005-0000-0000-0000BF390000}"/>
    <cellStyle name="Comma 2 2 3 3 6 3 2" xfId="7412" xr:uid="{00000000-0005-0000-0000-0000241D0000}"/>
    <cellStyle name="Comma 2 2 3 3 6 3 3" xfId="9517" xr:uid="{00000000-0005-0000-0000-00005D250000}"/>
    <cellStyle name="Comma 2 2 3 3 6 3 4" xfId="9523" xr:uid="{00000000-0005-0000-0000-000063250000}"/>
    <cellStyle name="Comma 2 2 3 3 6 3 5" xfId="9530" xr:uid="{00000000-0005-0000-0000-00006A250000}"/>
    <cellStyle name="Comma 2 2 3 3 6 3 6" xfId="13994" xr:uid="{00000000-0005-0000-0000-0000DA360000}"/>
    <cellStyle name="Comma 2 2 3 3 6 4" xfId="14738" xr:uid="{00000000-0005-0000-0000-0000C2390000}"/>
    <cellStyle name="Comma 2 2 3 3 6 4 2" xfId="9545" xr:uid="{00000000-0005-0000-0000-000079250000}"/>
    <cellStyle name="Comma 2 2 3 3 6 5" xfId="14747" xr:uid="{00000000-0005-0000-0000-0000CB390000}"/>
    <cellStyle name="Comma 2 2 3 3 6 6" xfId="14752" xr:uid="{00000000-0005-0000-0000-0000D0390000}"/>
    <cellStyle name="Comma 2 2 3 3 6 7" xfId="14759" xr:uid="{00000000-0005-0000-0000-0000D7390000}"/>
    <cellStyle name="Comma 2 2 3 3 6 8" xfId="14765" xr:uid="{00000000-0005-0000-0000-0000DD390000}"/>
    <cellStyle name="Comma 2 2 3 3 6 9" xfId="14768" xr:uid="{00000000-0005-0000-0000-0000E0390000}"/>
    <cellStyle name="Comma 2 2 3 3 7" xfId="14770" xr:uid="{00000000-0005-0000-0000-0000E2390000}"/>
    <cellStyle name="Comma 2 2 3 3 7 2" xfId="14772" xr:uid="{00000000-0005-0000-0000-0000E4390000}"/>
    <cellStyle name="Comma 2 2 3 3 7 2 2" xfId="9672" xr:uid="{00000000-0005-0000-0000-0000F8250000}"/>
    <cellStyle name="Comma 2 2 3 3 7 3" xfId="14774" xr:uid="{00000000-0005-0000-0000-0000E6390000}"/>
    <cellStyle name="Comma 2 2 3 3 7 4" xfId="14775" xr:uid="{00000000-0005-0000-0000-0000E7390000}"/>
    <cellStyle name="Comma 2 2 3 3 7 5" xfId="14780" xr:uid="{00000000-0005-0000-0000-0000EC390000}"/>
    <cellStyle name="Comma 2 2 3 3 7 6" xfId="14787" xr:uid="{00000000-0005-0000-0000-0000F3390000}"/>
    <cellStyle name="Comma 2 2 3 3 7 7" xfId="14792" xr:uid="{00000000-0005-0000-0000-0000F8390000}"/>
    <cellStyle name="Comma 2 2 3 3 7 8" xfId="14796" xr:uid="{00000000-0005-0000-0000-0000FC390000}"/>
    <cellStyle name="Comma 2 2 3 3 7 9" xfId="14800" xr:uid="{00000000-0005-0000-0000-0000003A0000}"/>
    <cellStyle name="Comma 2 2 3 3 8" xfId="600" xr:uid="{00000000-0005-0000-0000-000081020000}"/>
    <cellStyle name="Comma 2 2 3 3 8 2" xfId="14805" xr:uid="{00000000-0005-0000-0000-0000053A0000}"/>
    <cellStyle name="Comma 2 2 3 3 8 3" xfId="14808" xr:uid="{00000000-0005-0000-0000-0000083A0000}"/>
    <cellStyle name="Comma 2 2 3 3 8 4" xfId="14810" xr:uid="{00000000-0005-0000-0000-00000A3A0000}"/>
    <cellStyle name="Comma 2 2 3 3 8 5" xfId="14814" xr:uid="{00000000-0005-0000-0000-00000E3A0000}"/>
    <cellStyle name="Comma 2 2 3 3 8 6" xfId="14816" xr:uid="{00000000-0005-0000-0000-0000103A0000}"/>
    <cellStyle name="Comma 2 2 3 3 9" xfId="14818" xr:uid="{00000000-0005-0000-0000-0000123A0000}"/>
    <cellStyle name="Comma 2 2 3 3 9 2" xfId="14820" xr:uid="{00000000-0005-0000-0000-0000143A0000}"/>
    <cellStyle name="Comma 2 2 3 3 9 3" xfId="14822" xr:uid="{00000000-0005-0000-0000-0000163A0000}"/>
    <cellStyle name="Comma 2 2 3 3 9 4" xfId="14824" xr:uid="{00000000-0005-0000-0000-0000183A0000}"/>
    <cellStyle name="Comma 2 2 3 3 9 5" xfId="14826" xr:uid="{00000000-0005-0000-0000-00001A3A0000}"/>
    <cellStyle name="Comma 2 2 3 3 9 6" xfId="14833" xr:uid="{00000000-0005-0000-0000-0000213A0000}"/>
    <cellStyle name="Comma 2 2 3 4" xfId="14836" xr:uid="{00000000-0005-0000-0000-0000243A0000}"/>
    <cellStyle name="Comma 2 2 3 4 10" xfId="14840" xr:uid="{00000000-0005-0000-0000-0000283A0000}"/>
    <cellStyle name="Comma 2 2 3 4 10 2" xfId="14843" xr:uid="{00000000-0005-0000-0000-00002B3A0000}"/>
    <cellStyle name="Comma 2 2 3 4 10 3" xfId="11453" xr:uid="{00000000-0005-0000-0000-0000ED2C0000}"/>
    <cellStyle name="Comma 2 2 3 4 10 4" xfId="11477" xr:uid="{00000000-0005-0000-0000-0000052D0000}"/>
    <cellStyle name="Comma 2 2 3 4 10 5" xfId="10898" xr:uid="{00000000-0005-0000-0000-0000C22A0000}"/>
    <cellStyle name="Comma 2 2 3 4 10 6" xfId="10902" xr:uid="{00000000-0005-0000-0000-0000C62A0000}"/>
    <cellStyle name="Comma 2 2 3 4 11" xfId="14847" xr:uid="{00000000-0005-0000-0000-00002F3A0000}"/>
    <cellStyle name="Comma 2 2 3 4 11 2" xfId="14848" xr:uid="{00000000-0005-0000-0000-0000303A0000}"/>
    <cellStyle name="Comma 2 2 3 4 11 3" xfId="6760" xr:uid="{00000000-0005-0000-0000-0000981A0000}"/>
    <cellStyle name="Comma 2 2 3 4 11 4" xfId="6790" xr:uid="{00000000-0005-0000-0000-0000B61A0000}"/>
    <cellStyle name="Comma 2 2 3 4 11 5" xfId="6806" xr:uid="{00000000-0005-0000-0000-0000C61A0000}"/>
    <cellStyle name="Comma 2 2 3 4 11 6" xfId="5364" xr:uid="{00000000-0005-0000-0000-000024150000}"/>
    <cellStyle name="Comma 2 2 3 4 12" xfId="14850" xr:uid="{00000000-0005-0000-0000-0000323A0000}"/>
    <cellStyle name="Comma 2 2 3 4 13" xfId="14030" xr:uid="{00000000-0005-0000-0000-0000FE360000}"/>
    <cellStyle name="Comma 2 2 3 4 14" xfId="14038" xr:uid="{00000000-0005-0000-0000-000006370000}"/>
    <cellStyle name="Comma 2 2 3 4 15" xfId="8289" xr:uid="{00000000-0005-0000-0000-000091200000}"/>
    <cellStyle name="Comma 2 2 3 4 16" xfId="8296" xr:uid="{00000000-0005-0000-0000-000098200000}"/>
    <cellStyle name="Comma 2 2 3 4 17" xfId="8302" xr:uid="{00000000-0005-0000-0000-00009E200000}"/>
    <cellStyle name="Comma 2 2 3 4 18" xfId="469" xr:uid="{00000000-0005-0000-0000-0000F3010000}"/>
    <cellStyle name="Comma 2 2 3 4 19" xfId="8308" xr:uid="{00000000-0005-0000-0000-0000A4200000}"/>
    <cellStyle name="Comma 2 2 3 4 2" xfId="962" xr:uid="{00000000-0005-0000-0000-0000F2030000}"/>
    <cellStyle name="Comma 2 2 3 4 2 10" xfId="14854" xr:uid="{00000000-0005-0000-0000-0000363A0000}"/>
    <cellStyle name="Comma 2 2 3 4 2 11" xfId="14858" xr:uid="{00000000-0005-0000-0000-00003A3A0000}"/>
    <cellStyle name="Comma 2 2 3 4 2 12" xfId="14862" xr:uid="{00000000-0005-0000-0000-00003E3A0000}"/>
    <cellStyle name="Comma 2 2 3 4 2 13" xfId="3337" xr:uid="{00000000-0005-0000-0000-0000390D0000}"/>
    <cellStyle name="Comma 2 2 3 4 2 14" xfId="14865" xr:uid="{00000000-0005-0000-0000-0000413A0000}"/>
    <cellStyle name="Comma 2 2 3 4 2 15" xfId="14870" xr:uid="{00000000-0005-0000-0000-0000463A0000}"/>
    <cellStyle name="Comma 2 2 3 4 2 16" xfId="14874" xr:uid="{00000000-0005-0000-0000-00004A3A0000}"/>
    <cellStyle name="Comma 2 2 3 4 2 17" xfId="14878" xr:uid="{00000000-0005-0000-0000-00004E3A0000}"/>
    <cellStyle name="Comma 2 2 3 4 2 18" xfId="14880" xr:uid="{00000000-0005-0000-0000-0000503A0000}"/>
    <cellStyle name="Comma 2 2 3 4 2 2" xfId="14882" xr:uid="{00000000-0005-0000-0000-0000523A0000}"/>
    <cellStyle name="Comma 2 2 3 4 2 2 10" xfId="10723" xr:uid="{00000000-0005-0000-0000-0000132A0000}"/>
    <cellStyle name="Comma 2 2 3 4 2 2 11" xfId="5264" xr:uid="{00000000-0005-0000-0000-0000C0140000}"/>
    <cellStyle name="Comma 2 2 3 4 2 2 12" xfId="10726" xr:uid="{00000000-0005-0000-0000-0000162A0000}"/>
    <cellStyle name="Comma 2 2 3 4 2 2 2" xfId="12504" xr:uid="{00000000-0005-0000-0000-000008310000}"/>
    <cellStyle name="Comma 2 2 3 4 2 2 2 2" xfId="14885" xr:uid="{00000000-0005-0000-0000-0000553A0000}"/>
    <cellStyle name="Comma 2 2 3 4 2 2 2 2 2" xfId="9117" xr:uid="{00000000-0005-0000-0000-0000CD230000}"/>
    <cellStyle name="Comma 2 2 3 4 2 2 2 3" xfId="14886" xr:uid="{00000000-0005-0000-0000-0000563A0000}"/>
    <cellStyle name="Comma 2 2 3 4 2 2 2 4" xfId="14887" xr:uid="{00000000-0005-0000-0000-0000573A0000}"/>
    <cellStyle name="Comma 2 2 3 4 2 2 2 5" xfId="14889" xr:uid="{00000000-0005-0000-0000-0000593A0000}"/>
    <cellStyle name="Comma 2 2 3 4 2 2 3" xfId="12509" xr:uid="{00000000-0005-0000-0000-00000D310000}"/>
    <cellStyle name="Comma 2 2 3 4 2 2 3 2" xfId="14891" xr:uid="{00000000-0005-0000-0000-00005B3A0000}"/>
    <cellStyle name="Comma 2 2 3 4 2 2 4" xfId="14893" xr:uid="{00000000-0005-0000-0000-00005D3A0000}"/>
    <cellStyle name="Comma 2 2 3 4 2 2 5" xfId="14896" xr:uid="{00000000-0005-0000-0000-0000603A0000}"/>
    <cellStyle name="Comma 2 2 3 4 2 2 6" xfId="14898" xr:uid="{00000000-0005-0000-0000-0000623A0000}"/>
    <cellStyle name="Comma 2 2 3 4 2 2 7" xfId="14900" xr:uid="{00000000-0005-0000-0000-0000643A0000}"/>
    <cellStyle name="Comma 2 2 3 4 2 2 8" xfId="14902" xr:uid="{00000000-0005-0000-0000-0000663A0000}"/>
    <cellStyle name="Comma 2 2 3 4 2 2 9" xfId="14904" xr:uid="{00000000-0005-0000-0000-0000683A0000}"/>
    <cellStyle name="Comma 2 2 3 4 2 3" xfId="14905" xr:uid="{00000000-0005-0000-0000-0000693A0000}"/>
    <cellStyle name="Comma 2 2 3 4 2 3 10" xfId="5078" xr:uid="{00000000-0005-0000-0000-000006140000}"/>
    <cellStyle name="Comma 2 2 3 4 2 3 11" xfId="14907" xr:uid="{00000000-0005-0000-0000-00006B3A0000}"/>
    <cellStyle name="Comma 2 2 3 4 2 3 12" xfId="14909" xr:uid="{00000000-0005-0000-0000-00006D3A0000}"/>
    <cellStyle name="Comma 2 2 3 4 2 3 2" xfId="14911" xr:uid="{00000000-0005-0000-0000-00006F3A0000}"/>
    <cellStyle name="Comma 2 2 3 4 2 3 2 2" xfId="569" xr:uid="{00000000-0005-0000-0000-000060020000}"/>
    <cellStyle name="Comma 2 2 3 4 2 3 2 2 2" xfId="11314" xr:uid="{00000000-0005-0000-0000-0000622C0000}"/>
    <cellStyle name="Comma 2 2 3 4 2 3 2 3" xfId="618" xr:uid="{00000000-0005-0000-0000-000094020000}"/>
    <cellStyle name="Comma 2 2 3 4 2 3 2 4" xfId="644" xr:uid="{00000000-0005-0000-0000-0000B1020000}"/>
    <cellStyle name="Comma 2 2 3 4 2 3 2 5" xfId="11015" xr:uid="{00000000-0005-0000-0000-0000372B0000}"/>
    <cellStyle name="Comma 2 2 3 4 2 3 3" xfId="14913" xr:uid="{00000000-0005-0000-0000-0000713A0000}"/>
    <cellStyle name="Comma 2 2 3 4 2 3 3 2" xfId="14915" xr:uid="{00000000-0005-0000-0000-0000733A0000}"/>
    <cellStyle name="Comma 2 2 3 4 2 3 4" xfId="14917" xr:uid="{00000000-0005-0000-0000-0000753A0000}"/>
    <cellStyle name="Comma 2 2 3 4 2 3 5" xfId="14919" xr:uid="{00000000-0005-0000-0000-0000773A0000}"/>
    <cellStyle name="Comma 2 2 3 4 2 3 6" xfId="5793" xr:uid="{00000000-0005-0000-0000-0000D1160000}"/>
    <cellStyle name="Comma 2 2 3 4 2 3 7" xfId="14920" xr:uid="{00000000-0005-0000-0000-0000783A0000}"/>
    <cellStyle name="Comma 2 2 3 4 2 3 8" xfId="5649" xr:uid="{00000000-0005-0000-0000-000041160000}"/>
    <cellStyle name="Comma 2 2 3 4 2 3 9" xfId="5682" xr:uid="{00000000-0005-0000-0000-000062160000}"/>
    <cellStyle name="Comma 2 2 3 4 2 4" xfId="14923" xr:uid="{00000000-0005-0000-0000-00007B3A0000}"/>
    <cellStyle name="Comma 2 2 3 4 2 4 10" xfId="14926" xr:uid="{00000000-0005-0000-0000-00007E3A0000}"/>
    <cellStyle name="Comma 2 2 3 4 2 4 2" xfId="14932" xr:uid="{00000000-0005-0000-0000-0000843A0000}"/>
    <cellStyle name="Comma 2 2 3 4 2 4 2 2" xfId="12383" xr:uid="{00000000-0005-0000-0000-00008F300000}"/>
    <cellStyle name="Comma 2 2 3 4 2 4 2 2 2" xfId="11669" xr:uid="{00000000-0005-0000-0000-0000C52D0000}"/>
    <cellStyle name="Comma 2 2 3 4 2 4 2 3" xfId="5751" xr:uid="{00000000-0005-0000-0000-0000A7160000}"/>
    <cellStyle name="Comma 2 2 3 4 2 4 2 4" xfId="12389" xr:uid="{00000000-0005-0000-0000-000095300000}"/>
    <cellStyle name="Comma 2 2 3 4 2 4 2 5" xfId="14935" xr:uid="{00000000-0005-0000-0000-0000873A0000}"/>
    <cellStyle name="Comma 2 2 3 4 2 4 3" xfId="14940" xr:uid="{00000000-0005-0000-0000-00008C3A0000}"/>
    <cellStyle name="Comma 2 2 3 4 2 4 3 2" xfId="14943" xr:uid="{00000000-0005-0000-0000-00008F3A0000}"/>
    <cellStyle name="Comma 2 2 3 4 2 4 4" xfId="14947" xr:uid="{00000000-0005-0000-0000-0000933A0000}"/>
    <cellStyle name="Comma 2 2 3 4 2 4 5" xfId="14957" xr:uid="{00000000-0005-0000-0000-00009D3A0000}"/>
    <cellStyle name="Comma 2 2 3 4 2 4 6" xfId="5799" xr:uid="{00000000-0005-0000-0000-0000D7160000}"/>
    <cellStyle name="Comma 2 2 3 4 2 4 7" xfId="14958" xr:uid="{00000000-0005-0000-0000-00009E3A0000}"/>
    <cellStyle name="Comma 2 2 3 4 2 4 8" xfId="825" xr:uid="{00000000-0005-0000-0000-000069030000}"/>
    <cellStyle name="Comma 2 2 3 4 2 4 9" xfId="5780" xr:uid="{00000000-0005-0000-0000-0000C4160000}"/>
    <cellStyle name="Comma 2 2 3 4 2 5" xfId="3378" xr:uid="{00000000-0005-0000-0000-0000620D0000}"/>
    <cellStyle name="Comma 2 2 3 4 2 5 10" xfId="14961" xr:uid="{00000000-0005-0000-0000-0000A13A0000}"/>
    <cellStyle name="Comma 2 2 3 4 2 5 2" xfId="14962" xr:uid="{00000000-0005-0000-0000-0000A23A0000}"/>
    <cellStyle name="Comma 2 2 3 4 2 5 2 2" xfId="14965" xr:uid="{00000000-0005-0000-0000-0000A53A0000}"/>
    <cellStyle name="Comma 2 2 3 4 2 5 2 2 2" xfId="4733" xr:uid="{00000000-0005-0000-0000-0000AD120000}"/>
    <cellStyle name="Comma 2 2 3 4 2 5 2 3" xfId="14970" xr:uid="{00000000-0005-0000-0000-0000AA3A0000}"/>
    <cellStyle name="Comma 2 2 3 4 2 5 2 4" xfId="14975" xr:uid="{00000000-0005-0000-0000-0000AF3A0000}"/>
    <cellStyle name="Comma 2 2 3 4 2 5 2 5" xfId="14979" xr:uid="{00000000-0005-0000-0000-0000B33A0000}"/>
    <cellStyle name="Comma 2 2 3 4 2 5 3" xfId="14981" xr:uid="{00000000-0005-0000-0000-0000B53A0000}"/>
    <cellStyle name="Comma 2 2 3 4 2 5 3 2" xfId="14693" xr:uid="{00000000-0005-0000-0000-000095390000}"/>
    <cellStyle name="Comma 2 2 3 4 2 5 4" xfId="14983" xr:uid="{00000000-0005-0000-0000-0000B73A0000}"/>
    <cellStyle name="Comma 2 2 3 4 2 5 5" xfId="14985" xr:uid="{00000000-0005-0000-0000-0000B93A0000}"/>
    <cellStyle name="Comma 2 2 3 4 2 5 6" xfId="5826" xr:uid="{00000000-0005-0000-0000-0000F2160000}"/>
    <cellStyle name="Comma 2 2 3 4 2 5 7" xfId="14987" xr:uid="{00000000-0005-0000-0000-0000BB3A0000}"/>
    <cellStyle name="Comma 2 2 3 4 2 5 8" xfId="425" xr:uid="{00000000-0005-0000-0000-0000C4010000}"/>
    <cellStyle name="Comma 2 2 3 4 2 5 9" xfId="5941" xr:uid="{00000000-0005-0000-0000-000065170000}"/>
    <cellStyle name="Comma 2 2 3 4 2 6" xfId="14992" xr:uid="{00000000-0005-0000-0000-0000C03A0000}"/>
    <cellStyle name="Comma 2 2 3 4 2 6 2" xfId="14994" xr:uid="{00000000-0005-0000-0000-0000C23A0000}"/>
    <cellStyle name="Comma 2 2 3 4 2 6 2 2" xfId="14999" xr:uid="{00000000-0005-0000-0000-0000C73A0000}"/>
    <cellStyle name="Comma 2 2 3 4 2 6 3" xfId="15000" xr:uid="{00000000-0005-0000-0000-0000C83A0000}"/>
    <cellStyle name="Comma 2 2 3 4 2 6 4" xfId="10525" xr:uid="{00000000-0005-0000-0000-00004D290000}"/>
    <cellStyle name="Comma 2 2 3 4 2 6 5" xfId="15003" xr:uid="{00000000-0005-0000-0000-0000CB3A0000}"/>
    <cellStyle name="Comma 2 2 3 4 2 6 6" xfId="5841" xr:uid="{00000000-0005-0000-0000-000001170000}"/>
    <cellStyle name="Comma 2 2 3 4 2 6 7" xfId="15005" xr:uid="{00000000-0005-0000-0000-0000CD3A0000}"/>
    <cellStyle name="Comma 2 2 3 4 2 6 8" xfId="910" xr:uid="{00000000-0005-0000-0000-0000BE030000}"/>
    <cellStyle name="Comma 2 2 3 4 2 6 9" xfId="6931" xr:uid="{00000000-0005-0000-0000-0000431B0000}"/>
    <cellStyle name="Comma 2 2 3 4 2 7" xfId="13780" xr:uid="{00000000-0005-0000-0000-000004360000}"/>
    <cellStyle name="Comma 2 2 3 4 2 7 2" xfId="15007" xr:uid="{00000000-0005-0000-0000-0000CF3A0000}"/>
    <cellStyle name="Comma 2 2 3 4 2 8" xfId="13784" xr:uid="{00000000-0005-0000-0000-000008360000}"/>
    <cellStyle name="Comma 2 2 3 4 2 9" xfId="13790" xr:uid="{00000000-0005-0000-0000-00000E360000}"/>
    <cellStyle name="Comma 2 2 3 4 20" xfId="8290" xr:uid="{00000000-0005-0000-0000-000092200000}"/>
    <cellStyle name="Comma 2 2 3 4 21" xfId="8297" xr:uid="{00000000-0005-0000-0000-000099200000}"/>
    <cellStyle name="Comma 2 2 3 4 22" xfId="8303" xr:uid="{00000000-0005-0000-0000-00009F200000}"/>
    <cellStyle name="Comma 2 2 3 4 23" xfId="470" xr:uid="{00000000-0005-0000-0000-0000F4010000}"/>
    <cellStyle name="Comma 2 2 3 4 3" xfId="985" xr:uid="{00000000-0005-0000-0000-000009040000}"/>
    <cellStyle name="Comma 2 2 3 4 3 10" xfId="15012" xr:uid="{00000000-0005-0000-0000-0000D43A0000}"/>
    <cellStyle name="Comma 2 2 3 4 3 11" xfId="15017" xr:uid="{00000000-0005-0000-0000-0000D93A0000}"/>
    <cellStyle name="Comma 2 2 3 4 3 12" xfId="15020" xr:uid="{00000000-0005-0000-0000-0000DC3A0000}"/>
    <cellStyle name="Comma 2 2 3 4 3 13" xfId="15022" xr:uid="{00000000-0005-0000-0000-0000DE3A0000}"/>
    <cellStyle name="Comma 2 2 3 4 3 14" xfId="15026" xr:uid="{00000000-0005-0000-0000-0000E23A0000}"/>
    <cellStyle name="Comma 2 2 3 4 3 15" xfId="15028" xr:uid="{00000000-0005-0000-0000-0000E43A0000}"/>
    <cellStyle name="Comma 2 2 3 4 3 16" xfId="10270" xr:uid="{00000000-0005-0000-0000-00004E280000}"/>
    <cellStyle name="Comma 2 2 3 4 3 17" xfId="10281" xr:uid="{00000000-0005-0000-0000-000059280000}"/>
    <cellStyle name="Comma 2 2 3 4 3 18" xfId="10284" xr:uid="{00000000-0005-0000-0000-00005C280000}"/>
    <cellStyle name="Comma 2 2 3 4 3 2" xfId="15032" xr:uid="{00000000-0005-0000-0000-0000E83A0000}"/>
    <cellStyle name="Comma 2 2 3 4 3 2 10" xfId="15033" xr:uid="{00000000-0005-0000-0000-0000E93A0000}"/>
    <cellStyle name="Comma 2 2 3 4 3 2 2" xfId="15035" xr:uid="{00000000-0005-0000-0000-0000EB3A0000}"/>
    <cellStyle name="Comma 2 2 3 4 3 2 2 2" xfId="4830" xr:uid="{00000000-0005-0000-0000-00000E130000}"/>
    <cellStyle name="Comma 2 2 3 4 3 2 3" xfId="15038" xr:uid="{00000000-0005-0000-0000-0000EE3A0000}"/>
    <cellStyle name="Comma 2 2 3 4 3 2 4" xfId="15044" xr:uid="{00000000-0005-0000-0000-0000F43A0000}"/>
    <cellStyle name="Comma 2 2 3 4 3 2 5" xfId="15050" xr:uid="{00000000-0005-0000-0000-0000FA3A0000}"/>
    <cellStyle name="Comma 2 2 3 4 3 2 6" xfId="15055" xr:uid="{00000000-0005-0000-0000-0000FF3A0000}"/>
    <cellStyle name="Comma 2 2 3 4 3 2 7" xfId="15059" xr:uid="{00000000-0005-0000-0000-0000033B0000}"/>
    <cellStyle name="Comma 2 2 3 4 3 2 8" xfId="15063" xr:uid="{00000000-0005-0000-0000-0000073B0000}"/>
    <cellStyle name="Comma 2 2 3 4 3 2 9" xfId="15068" xr:uid="{00000000-0005-0000-0000-00000C3B0000}"/>
    <cellStyle name="Comma 2 2 3 4 3 3" xfId="15071" xr:uid="{00000000-0005-0000-0000-00000F3B0000}"/>
    <cellStyle name="Comma 2 2 3 4 3 3 2" xfId="15072" xr:uid="{00000000-0005-0000-0000-0000103B0000}"/>
    <cellStyle name="Comma 2 2 3 4 3 3 3" xfId="15073" xr:uid="{00000000-0005-0000-0000-0000113B0000}"/>
    <cellStyle name="Comma 2 2 3 4 3 3 4" xfId="15074" xr:uid="{00000000-0005-0000-0000-0000123B0000}"/>
    <cellStyle name="Comma 2 2 3 4 3 3 5" xfId="15075" xr:uid="{00000000-0005-0000-0000-0000133B0000}"/>
    <cellStyle name="Comma 2 2 3 4 3 3 6" xfId="15076" xr:uid="{00000000-0005-0000-0000-0000143B0000}"/>
    <cellStyle name="Comma 2 2 3 4 3 4" xfId="15079" xr:uid="{00000000-0005-0000-0000-0000173B0000}"/>
    <cellStyle name="Comma 2 2 3 4 3 4 2" xfId="15080" xr:uid="{00000000-0005-0000-0000-0000183B0000}"/>
    <cellStyle name="Comma 2 2 3 4 3 4 3" xfId="15084" xr:uid="{00000000-0005-0000-0000-00001C3B0000}"/>
    <cellStyle name="Comma 2 2 3 4 3 4 4" xfId="15088" xr:uid="{00000000-0005-0000-0000-0000203B0000}"/>
    <cellStyle name="Comma 2 2 3 4 3 4 5" xfId="15089" xr:uid="{00000000-0005-0000-0000-0000213B0000}"/>
    <cellStyle name="Comma 2 2 3 4 3 4 6" xfId="15090" xr:uid="{00000000-0005-0000-0000-0000223B0000}"/>
    <cellStyle name="Comma 2 2 3 4 3 5" xfId="3391" xr:uid="{00000000-0005-0000-0000-00006F0D0000}"/>
    <cellStyle name="Comma 2 2 3 4 3 5 2" xfId="15091" xr:uid="{00000000-0005-0000-0000-0000233B0000}"/>
    <cellStyle name="Comma 2 2 3 4 3 5 3" xfId="15092" xr:uid="{00000000-0005-0000-0000-0000243B0000}"/>
    <cellStyle name="Comma 2 2 3 4 3 5 4" xfId="15094" xr:uid="{00000000-0005-0000-0000-0000263B0000}"/>
    <cellStyle name="Comma 2 2 3 4 3 5 5" xfId="6495" xr:uid="{00000000-0005-0000-0000-00008F190000}"/>
    <cellStyle name="Comma 2 2 3 4 3 5 6" xfId="6508" xr:uid="{00000000-0005-0000-0000-00009C190000}"/>
    <cellStyle name="Comma 2 2 3 4 3 6" xfId="15097" xr:uid="{00000000-0005-0000-0000-0000293B0000}"/>
    <cellStyle name="Comma 2 2 3 4 3 6 2" xfId="15098" xr:uid="{00000000-0005-0000-0000-00002A3B0000}"/>
    <cellStyle name="Comma 2 2 3 4 3 6 3" xfId="15099" xr:uid="{00000000-0005-0000-0000-00002B3B0000}"/>
    <cellStyle name="Comma 2 2 3 4 3 6 4" xfId="15101" xr:uid="{00000000-0005-0000-0000-00002D3B0000}"/>
    <cellStyle name="Comma 2 2 3 4 3 6 5" xfId="15102" xr:uid="{00000000-0005-0000-0000-00002E3B0000}"/>
    <cellStyle name="Comma 2 2 3 4 3 6 6" xfId="15103" xr:uid="{00000000-0005-0000-0000-00002F3B0000}"/>
    <cellStyle name="Comma 2 2 3 4 3 7" xfId="12006" xr:uid="{00000000-0005-0000-0000-0000162F0000}"/>
    <cellStyle name="Comma 2 2 3 4 3 8" xfId="6273" xr:uid="{00000000-0005-0000-0000-0000B1180000}"/>
    <cellStyle name="Comma 2 2 3 4 3 9" xfId="12018" xr:uid="{00000000-0005-0000-0000-0000222F0000}"/>
    <cellStyle name="Comma 2 2 3 4 4" xfId="4026" xr:uid="{00000000-0005-0000-0000-0000EA0F0000}"/>
    <cellStyle name="Comma 2 2 3 4 4 10" xfId="9879" xr:uid="{00000000-0005-0000-0000-0000C7260000}"/>
    <cellStyle name="Comma 2 2 3 4 4 11" xfId="11650" xr:uid="{00000000-0005-0000-0000-0000B22D0000}"/>
    <cellStyle name="Comma 2 2 3 4 4 12" xfId="11657" xr:uid="{00000000-0005-0000-0000-0000B92D0000}"/>
    <cellStyle name="Comma 2 2 3 4 4 13" xfId="11665" xr:uid="{00000000-0005-0000-0000-0000C12D0000}"/>
    <cellStyle name="Comma 2 2 3 4 4 14" xfId="11672" xr:uid="{00000000-0005-0000-0000-0000C82D0000}"/>
    <cellStyle name="Comma 2 2 3 4 4 15" xfId="11678" xr:uid="{00000000-0005-0000-0000-0000CE2D0000}"/>
    <cellStyle name="Comma 2 2 3 4 4 2" xfId="10327" xr:uid="{00000000-0005-0000-0000-000087280000}"/>
    <cellStyle name="Comma 2 2 3 4 4 2 2" xfId="15106" xr:uid="{00000000-0005-0000-0000-0000323B0000}"/>
    <cellStyle name="Comma 2 2 3 4 4 2 2 2" xfId="3066" xr:uid="{00000000-0005-0000-0000-00002A0C0000}"/>
    <cellStyle name="Comma 2 2 3 4 4 2 3" xfId="13419" xr:uid="{00000000-0005-0000-0000-00009B340000}"/>
    <cellStyle name="Comma 2 2 3 4 4 2 4" xfId="13424" xr:uid="{00000000-0005-0000-0000-0000A0340000}"/>
    <cellStyle name="Comma 2 2 3 4 4 2 5" xfId="13429" xr:uid="{00000000-0005-0000-0000-0000A5340000}"/>
    <cellStyle name="Comma 2 2 3 4 4 2 6" xfId="13432" xr:uid="{00000000-0005-0000-0000-0000A8340000}"/>
    <cellStyle name="Comma 2 2 3 4 4 2 7" xfId="5551" xr:uid="{00000000-0005-0000-0000-0000DF150000}"/>
    <cellStyle name="Comma 2 2 3 4 4 2 8" xfId="15107" xr:uid="{00000000-0005-0000-0000-0000333B0000}"/>
    <cellStyle name="Comma 2 2 3 4 4 2 9" xfId="15108" xr:uid="{00000000-0005-0000-0000-0000343B0000}"/>
    <cellStyle name="Comma 2 2 3 4 4 3" xfId="3741" xr:uid="{00000000-0005-0000-0000-0000CD0E0000}"/>
    <cellStyle name="Comma 2 2 3 4 4 3 2" xfId="15110" xr:uid="{00000000-0005-0000-0000-0000363B0000}"/>
    <cellStyle name="Comma 2 2 3 4 4 3 3" xfId="13435" xr:uid="{00000000-0005-0000-0000-0000AB340000}"/>
    <cellStyle name="Comma 2 2 3 4 4 3 4" xfId="15115" xr:uid="{00000000-0005-0000-0000-00003B3B0000}"/>
    <cellStyle name="Comma 2 2 3 4 4 3 5" xfId="15117" xr:uid="{00000000-0005-0000-0000-00003D3B0000}"/>
    <cellStyle name="Comma 2 2 3 4 4 3 6" xfId="15120" xr:uid="{00000000-0005-0000-0000-0000403B0000}"/>
    <cellStyle name="Comma 2 2 3 4 4 4" xfId="10331" xr:uid="{00000000-0005-0000-0000-00008B280000}"/>
    <cellStyle name="Comma 2 2 3 4 4 4 2" xfId="15125" xr:uid="{00000000-0005-0000-0000-0000453B0000}"/>
    <cellStyle name="Comma 2 2 3 4 4 5" xfId="3410" xr:uid="{00000000-0005-0000-0000-0000820D0000}"/>
    <cellStyle name="Comma 2 2 3 4 4 6" xfId="10333" xr:uid="{00000000-0005-0000-0000-00008D280000}"/>
    <cellStyle name="Comma 2 2 3 4 4 7" xfId="12035" xr:uid="{00000000-0005-0000-0000-0000332F0000}"/>
    <cellStyle name="Comma 2 2 3 4 4 8" xfId="6279" xr:uid="{00000000-0005-0000-0000-0000B7180000}"/>
    <cellStyle name="Comma 2 2 3 4 4 9" xfId="12038" xr:uid="{00000000-0005-0000-0000-0000362F0000}"/>
    <cellStyle name="Comma 2 2 3 4 5" xfId="1277" xr:uid="{00000000-0005-0000-0000-00002D050000}"/>
    <cellStyle name="Comma 2 2 3 4 5 10" xfId="10934" xr:uid="{00000000-0005-0000-0000-0000E62A0000}"/>
    <cellStyle name="Comma 2 2 3 4 5 11" xfId="15128" xr:uid="{00000000-0005-0000-0000-0000483B0000}"/>
    <cellStyle name="Comma 2 2 3 4 5 12" xfId="15132" xr:uid="{00000000-0005-0000-0000-00004C3B0000}"/>
    <cellStyle name="Comma 2 2 3 4 5 13" xfId="15134" xr:uid="{00000000-0005-0000-0000-00004E3B0000}"/>
    <cellStyle name="Comma 2 2 3 4 5 2" xfId="10345" xr:uid="{00000000-0005-0000-0000-000099280000}"/>
    <cellStyle name="Comma 2 2 3 4 5 2 2" xfId="9069" xr:uid="{00000000-0005-0000-0000-00009D230000}"/>
    <cellStyle name="Comma 2 2 3 4 5 2 2 2" xfId="267" xr:uid="{00000000-0005-0000-0000-00001D010000}"/>
    <cellStyle name="Comma 2 2 3 4 5 2 3" xfId="9081" xr:uid="{00000000-0005-0000-0000-0000A9230000}"/>
    <cellStyle name="Comma 2 2 3 4 5 2 4" xfId="9093" xr:uid="{00000000-0005-0000-0000-0000B5230000}"/>
    <cellStyle name="Comma 2 2 3 4 5 2 5" xfId="1588" xr:uid="{00000000-0005-0000-0000-000064060000}"/>
    <cellStyle name="Comma 2 2 3 4 5 2 6" xfId="9989" xr:uid="{00000000-0005-0000-0000-000035270000}"/>
    <cellStyle name="Comma 2 2 3 4 5 2 7" xfId="9992" xr:uid="{00000000-0005-0000-0000-000038270000}"/>
    <cellStyle name="Comma 2 2 3 4 5 2 8" xfId="9995" xr:uid="{00000000-0005-0000-0000-00003B270000}"/>
    <cellStyle name="Comma 2 2 3 4 5 2 9" xfId="11835" xr:uid="{00000000-0005-0000-0000-00006B2E0000}"/>
    <cellStyle name="Comma 2 2 3 4 5 3" xfId="3747" xr:uid="{00000000-0005-0000-0000-0000D30E0000}"/>
    <cellStyle name="Comma 2 2 3 4 5 3 2" xfId="10022" xr:uid="{00000000-0005-0000-0000-000056270000}"/>
    <cellStyle name="Comma 2 2 3 4 5 3 3" xfId="10029" xr:uid="{00000000-0005-0000-0000-00005D270000}"/>
    <cellStyle name="Comma 2 2 3 4 5 3 4" xfId="10033" xr:uid="{00000000-0005-0000-0000-000061270000}"/>
    <cellStyle name="Comma 2 2 3 4 5 3 5" xfId="1631" xr:uid="{00000000-0005-0000-0000-00008F060000}"/>
    <cellStyle name="Comma 2 2 3 4 5 3 6" xfId="10043" xr:uid="{00000000-0005-0000-0000-00006B270000}"/>
    <cellStyle name="Comma 2 2 3 4 5 4" xfId="15136" xr:uid="{00000000-0005-0000-0000-0000503B0000}"/>
    <cellStyle name="Comma 2 2 3 4 5 4 2" xfId="10077" xr:uid="{00000000-0005-0000-0000-00008D270000}"/>
    <cellStyle name="Comma 2 2 3 4 5 5" xfId="3420" xr:uid="{00000000-0005-0000-0000-00008C0D0000}"/>
    <cellStyle name="Comma 2 2 3 4 5 6" xfId="15139" xr:uid="{00000000-0005-0000-0000-0000533B0000}"/>
    <cellStyle name="Comma 2 2 3 4 5 7" xfId="12054" xr:uid="{00000000-0005-0000-0000-0000462F0000}"/>
    <cellStyle name="Comma 2 2 3 4 5 8" xfId="15143" xr:uid="{00000000-0005-0000-0000-0000573B0000}"/>
    <cellStyle name="Comma 2 2 3 4 5 9" xfId="15146" xr:uid="{00000000-0005-0000-0000-00005A3B0000}"/>
    <cellStyle name="Comma 2 2 3 4 6" xfId="14492" xr:uid="{00000000-0005-0000-0000-0000CC380000}"/>
    <cellStyle name="Comma 2 2 3 4 6 10" xfId="8775" xr:uid="{00000000-0005-0000-0000-000077220000}"/>
    <cellStyle name="Comma 2 2 3 4 6 11" xfId="8782" xr:uid="{00000000-0005-0000-0000-00007E220000}"/>
    <cellStyle name="Comma 2 2 3 4 6 12" xfId="7347" xr:uid="{00000000-0005-0000-0000-0000E31C0000}"/>
    <cellStyle name="Comma 2 2 3 4 6 2" xfId="15147" xr:uid="{00000000-0005-0000-0000-00005B3B0000}"/>
    <cellStyle name="Comma 2 2 3 4 6 2 2" xfId="10169" xr:uid="{00000000-0005-0000-0000-0000E9270000}"/>
    <cellStyle name="Comma 2 2 3 4 6 2 2 2" xfId="15149" xr:uid="{00000000-0005-0000-0000-00005D3B0000}"/>
    <cellStyle name="Comma 2 2 3 4 6 2 3" xfId="5635" xr:uid="{00000000-0005-0000-0000-000033160000}"/>
    <cellStyle name="Comma 2 2 3 4 6 2 4" xfId="809" xr:uid="{00000000-0005-0000-0000-000059030000}"/>
    <cellStyle name="Comma 2 2 3 4 6 2 5" xfId="856" xr:uid="{00000000-0005-0000-0000-000088030000}"/>
    <cellStyle name="Comma 2 2 3 4 6 2 6" xfId="13459" xr:uid="{00000000-0005-0000-0000-0000C3340000}"/>
    <cellStyle name="Comma 2 2 3 4 6 2 7" xfId="15150" xr:uid="{00000000-0005-0000-0000-00005E3B0000}"/>
    <cellStyle name="Comma 2 2 3 4 6 2 8" xfId="15151" xr:uid="{00000000-0005-0000-0000-00005F3B0000}"/>
    <cellStyle name="Comma 2 2 3 4 6 2 9" xfId="936" xr:uid="{00000000-0005-0000-0000-0000D8030000}"/>
    <cellStyle name="Comma 2 2 3 4 6 3" xfId="15152" xr:uid="{00000000-0005-0000-0000-0000603B0000}"/>
    <cellStyle name="Comma 2 2 3 4 6 3 2" xfId="10175" xr:uid="{00000000-0005-0000-0000-0000EF270000}"/>
    <cellStyle name="Comma 2 2 3 4 6 3 3" xfId="5994" xr:uid="{00000000-0005-0000-0000-00009A170000}"/>
    <cellStyle name="Comma 2 2 3 4 6 3 4" xfId="1002" xr:uid="{00000000-0005-0000-0000-00001A040000}"/>
    <cellStyle name="Comma 2 2 3 4 6 3 5" xfId="2501" xr:uid="{00000000-0005-0000-0000-0000F5090000}"/>
    <cellStyle name="Comma 2 2 3 4 6 3 6" xfId="15153" xr:uid="{00000000-0005-0000-0000-0000613B0000}"/>
    <cellStyle name="Comma 2 2 3 4 6 4" xfId="15154" xr:uid="{00000000-0005-0000-0000-0000623B0000}"/>
    <cellStyle name="Comma 2 2 3 4 6 4 2" xfId="10178" xr:uid="{00000000-0005-0000-0000-0000F2270000}"/>
    <cellStyle name="Comma 2 2 3 4 6 5" xfId="3432" xr:uid="{00000000-0005-0000-0000-0000980D0000}"/>
    <cellStyle name="Comma 2 2 3 4 6 6" xfId="15156" xr:uid="{00000000-0005-0000-0000-0000643B0000}"/>
    <cellStyle name="Comma 2 2 3 4 6 7" xfId="15157" xr:uid="{00000000-0005-0000-0000-0000653B0000}"/>
    <cellStyle name="Comma 2 2 3 4 6 8" xfId="15158" xr:uid="{00000000-0005-0000-0000-0000663B0000}"/>
    <cellStyle name="Comma 2 2 3 4 6 9" xfId="15160" xr:uid="{00000000-0005-0000-0000-0000683B0000}"/>
    <cellStyle name="Comma 2 2 3 4 7" xfId="10673" xr:uid="{00000000-0005-0000-0000-0000E1290000}"/>
    <cellStyle name="Comma 2 2 3 4 7 2" xfId="1712" xr:uid="{00000000-0005-0000-0000-0000E0060000}"/>
    <cellStyle name="Comma 2 2 3 4 7 2 2" xfId="1728" xr:uid="{00000000-0005-0000-0000-0000F0060000}"/>
    <cellStyle name="Comma 2 2 3 4 7 3" xfId="1745" xr:uid="{00000000-0005-0000-0000-000001070000}"/>
    <cellStyle name="Comma 2 2 3 4 7 4" xfId="1767" xr:uid="{00000000-0005-0000-0000-000017070000}"/>
    <cellStyle name="Comma 2 2 3 4 7 5" xfId="39" xr:uid="{00000000-0005-0000-0000-00002A000000}"/>
    <cellStyle name="Comma 2 2 3 4 7 6" xfId="3627" xr:uid="{00000000-0005-0000-0000-00005B0E0000}"/>
    <cellStyle name="Comma 2 2 3 4 7 7" xfId="3601" xr:uid="{00000000-0005-0000-0000-0000410E0000}"/>
    <cellStyle name="Comma 2 2 3 4 7 8" xfId="3650" xr:uid="{00000000-0005-0000-0000-0000720E0000}"/>
    <cellStyle name="Comma 2 2 3 4 7 9" xfId="7487" xr:uid="{00000000-0005-0000-0000-00006F1D0000}"/>
    <cellStyle name="Comma 2 2 3 4 8" xfId="4224" xr:uid="{00000000-0005-0000-0000-0000B0100000}"/>
    <cellStyle name="Comma 2 2 3 4 8 2" xfId="15163" xr:uid="{00000000-0005-0000-0000-00006B3B0000}"/>
    <cellStyle name="Comma 2 2 3 4 8 3" xfId="15165" xr:uid="{00000000-0005-0000-0000-00006D3B0000}"/>
    <cellStyle name="Comma 2 2 3 4 8 4" xfId="15167" xr:uid="{00000000-0005-0000-0000-00006F3B0000}"/>
    <cellStyle name="Comma 2 2 3 4 8 5" xfId="10990" xr:uid="{00000000-0005-0000-0000-00001E2B0000}"/>
    <cellStyle name="Comma 2 2 3 4 8 6" xfId="10994" xr:uid="{00000000-0005-0000-0000-0000222B0000}"/>
    <cellStyle name="Comma 2 2 3 4 9" xfId="10677" xr:uid="{00000000-0005-0000-0000-0000E5290000}"/>
    <cellStyle name="Comma 2 2 3 4 9 2" xfId="15169" xr:uid="{00000000-0005-0000-0000-0000713B0000}"/>
    <cellStyle name="Comma 2 2 3 4 9 3" xfId="15172" xr:uid="{00000000-0005-0000-0000-0000743B0000}"/>
    <cellStyle name="Comma 2 2 3 4 9 4" xfId="15175" xr:uid="{00000000-0005-0000-0000-0000773B0000}"/>
    <cellStyle name="Comma 2 2 3 4 9 5" xfId="11002" xr:uid="{00000000-0005-0000-0000-00002A2B0000}"/>
    <cellStyle name="Comma 2 2 3 4 9 6" xfId="11008" xr:uid="{00000000-0005-0000-0000-0000302B0000}"/>
    <cellStyle name="Comma 2 2 3 5" xfId="15180" xr:uid="{00000000-0005-0000-0000-00007C3B0000}"/>
    <cellStyle name="Comma 2 2 3 5 10" xfId="15182" xr:uid="{00000000-0005-0000-0000-00007E3B0000}"/>
    <cellStyle name="Comma 2 2 3 5 10 2" xfId="15185" xr:uid="{00000000-0005-0000-0000-0000813B0000}"/>
    <cellStyle name="Comma 2 2 3 5 10 3" xfId="15189" xr:uid="{00000000-0005-0000-0000-0000853B0000}"/>
    <cellStyle name="Comma 2 2 3 5 10 4" xfId="15193" xr:uid="{00000000-0005-0000-0000-0000893B0000}"/>
    <cellStyle name="Comma 2 2 3 5 10 5" xfId="15196" xr:uid="{00000000-0005-0000-0000-00008C3B0000}"/>
    <cellStyle name="Comma 2 2 3 5 10 6" xfId="15199" xr:uid="{00000000-0005-0000-0000-00008F3B0000}"/>
    <cellStyle name="Comma 2 2 3 5 11" xfId="15202" xr:uid="{00000000-0005-0000-0000-0000923B0000}"/>
    <cellStyle name="Comma 2 2 3 5 11 2" xfId="8040" xr:uid="{00000000-0005-0000-0000-0000981F0000}"/>
    <cellStyle name="Comma 2 2 3 5 11 3" xfId="10669" xr:uid="{00000000-0005-0000-0000-0000DD290000}"/>
    <cellStyle name="Comma 2 2 3 5 11 4" xfId="7658" xr:uid="{00000000-0005-0000-0000-00001A1E0000}"/>
    <cellStyle name="Comma 2 2 3 5 11 5" xfId="7665" xr:uid="{00000000-0005-0000-0000-0000211E0000}"/>
    <cellStyle name="Comma 2 2 3 5 11 6" xfId="5731" xr:uid="{00000000-0005-0000-0000-000093160000}"/>
    <cellStyle name="Comma 2 2 3 5 12" xfId="15204" xr:uid="{00000000-0005-0000-0000-0000943B0000}"/>
    <cellStyle name="Comma 2 2 3 5 13" xfId="14101" xr:uid="{00000000-0005-0000-0000-000045370000}"/>
    <cellStyle name="Comma 2 2 3 5 14" xfId="14105" xr:uid="{00000000-0005-0000-0000-000049370000}"/>
    <cellStyle name="Comma 2 2 3 5 15" xfId="14110" xr:uid="{00000000-0005-0000-0000-00004E370000}"/>
    <cellStyle name="Comma 2 2 3 5 16" xfId="14117" xr:uid="{00000000-0005-0000-0000-000055370000}"/>
    <cellStyle name="Comma 2 2 3 5 17" xfId="14123" xr:uid="{00000000-0005-0000-0000-00005B370000}"/>
    <cellStyle name="Comma 2 2 3 5 18" xfId="792" xr:uid="{00000000-0005-0000-0000-000048030000}"/>
    <cellStyle name="Comma 2 2 3 5 19" xfId="12202" xr:uid="{00000000-0005-0000-0000-0000DA2F0000}"/>
    <cellStyle name="Comma 2 2 3 5 2" xfId="6367" xr:uid="{00000000-0005-0000-0000-00000F190000}"/>
    <cellStyle name="Comma 2 2 3 5 2 10" xfId="15211" xr:uid="{00000000-0005-0000-0000-00009B3B0000}"/>
    <cellStyle name="Comma 2 2 3 5 2 11" xfId="15216" xr:uid="{00000000-0005-0000-0000-0000A03B0000}"/>
    <cellStyle name="Comma 2 2 3 5 2 12" xfId="15220" xr:uid="{00000000-0005-0000-0000-0000A43B0000}"/>
    <cellStyle name="Comma 2 2 3 5 2 13" xfId="15224" xr:uid="{00000000-0005-0000-0000-0000A83B0000}"/>
    <cellStyle name="Comma 2 2 3 5 2 14" xfId="15226" xr:uid="{00000000-0005-0000-0000-0000AA3B0000}"/>
    <cellStyle name="Comma 2 2 3 5 2 15" xfId="1080" xr:uid="{00000000-0005-0000-0000-000068040000}"/>
    <cellStyle name="Comma 2 2 3 5 2 16" xfId="15228" xr:uid="{00000000-0005-0000-0000-0000AC3B0000}"/>
    <cellStyle name="Comma 2 2 3 5 2 17" xfId="221" xr:uid="{00000000-0005-0000-0000-0000ED000000}"/>
    <cellStyle name="Comma 2 2 3 5 2 18" xfId="15233" xr:uid="{00000000-0005-0000-0000-0000B13B0000}"/>
    <cellStyle name="Comma 2 2 3 5 2 2" xfId="15238" xr:uid="{00000000-0005-0000-0000-0000B63B0000}"/>
    <cellStyle name="Comma 2 2 3 5 2 2 10" xfId="15243" xr:uid="{00000000-0005-0000-0000-0000BB3B0000}"/>
    <cellStyle name="Comma 2 2 3 5 2 2 11" xfId="15249" xr:uid="{00000000-0005-0000-0000-0000C13B0000}"/>
    <cellStyle name="Comma 2 2 3 5 2 2 12" xfId="15251" xr:uid="{00000000-0005-0000-0000-0000C33B0000}"/>
    <cellStyle name="Comma 2 2 3 5 2 2 2" xfId="15254" xr:uid="{00000000-0005-0000-0000-0000C63B0000}"/>
    <cellStyle name="Comma 2 2 3 5 2 2 2 2" xfId="15255" xr:uid="{00000000-0005-0000-0000-0000C73B0000}"/>
    <cellStyle name="Comma 2 2 3 5 2 2 2 2 2" xfId="15256" xr:uid="{00000000-0005-0000-0000-0000C83B0000}"/>
    <cellStyle name="Comma 2 2 3 5 2 2 2 3" xfId="15258" xr:uid="{00000000-0005-0000-0000-0000CA3B0000}"/>
    <cellStyle name="Comma 2 2 3 5 2 2 2 4" xfId="15259" xr:uid="{00000000-0005-0000-0000-0000CB3B0000}"/>
    <cellStyle name="Comma 2 2 3 5 2 2 2 5" xfId="15262" xr:uid="{00000000-0005-0000-0000-0000CE3B0000}"/>
    <cellStyle name="Comma 2 2 3 5 2 2 3" xfId="15265" xr:uid="{00000000-0005-0000-0000-0000D13B0000}"/>
    <cellStyle name="Comma 2 2 3 5 2 2 3 2" xfId="15268" xr:uid="{00000000-0005-0000-0000-0000D43B0000}"/>
    <cellStyle name="Comma 2 2 3 5 2 2 4" xfId="15270" xr:uid="{00000000-0005-0000-0000-0000D63B0000}"/>
    <cellStyle name="Comma 2 2 3 5 2 2 5" xfId="15272" xr:uid="{00000000-0005-0000-0000-0000D83B0000}"/>
    <cellStyle name="Comma 2 2 3 5 2 2 6" xfId="15274" xr:uid="{00000000-0005-0000-0000-0000DA3B0000}"/>
    <cellStyle name="Comma 2 2 3 5 2 2 7" xfId="15276" xr:uid="{00000000-0005-0000-0000-0000DC3B0000}"/>
    <cellStyle name="Comma 2 2 3 5 2 2 8" xfId="15278" xr:uid="{00000000-0005-0000-0000-0000DE3B0000}"/>
    <cellStyle name="Comma 2 2 3 5 2 2 9" xfId="15281" xr:uid="{00000000-0005-0000-0000-0000E13B0000}"/>
    <cellStyle name="Comma 2 2 3 5 2 3" xfId="15285" xr:uid="{00000000-0005-0000-0000-0000E53B0000}"/>
    <cellStyle name="Comma 2 2 3 5 2 3 10" xfId="15288" xr:uid="{00000000-0005-0000-0000-0000E83B0000}"/>
    <cellStyle name="Comma 2 2 3 5 2 3 11" xfId="10582" xr:uid="{00000000-0005-0000-0000-000086290000}"/>
    <cellStyle name="Comma 2 2 3 5 2 3 12" xfId="15290" xr:uid="{00000000-0005-0000-0000-0000EA3B0000}"/>
    <cellStyle name="Comma 2 2 3 5 2 3 2" xfId="15292" xr:uid="{00000000-0005-0000-0000-0000EC3B0000}"/>
    <cellStyle name="Comma 2 2 3 5 2 3 2 2" xfId="15295" xr:uid="{00000000-0005-0000-0000-0000EF3B0000}"/>
    <cellStyle name="Comma 2 2 3 5 2 3 2 2 2" xfId="9137" xr:uid="{00000000-0005-0000-0000-0000E1230000}"/>
    <cellStyle name="Comma 2 2 3 5 2 3 2 3" xfId="1741" xr:uid="{00000000-0005-0000-0000-0000FD060000}"/>
    <cellStyle name="Comma 2 2 3 5 2 3 2 4" xfId="15297" xr:uid="{00000000-0005-0000-0000-0000F13B0000}"/>
    <cellStyle name="Comma 2 2 3 5 2 3 2 5" xfId="15301" xr:uid="{00000000-0005-0000-0000-0000F53B0000}"/>
    <cellStyle name="Comma 2 2 3 5 2 3 3" xfId="15304" xr:uid="{00000000-0005-0000-0000-0000F83B0000}"/>
    <cellStyle name="Comma 2 2 3 5 2 3 3 2" xfId="15306" xr:uid="{00000000-0005-0000-0000-0000FA3B0000}"/>
    <cellStyle name="Comma 2 2 3 5 2 3 4" xfId="15310" xr:uid="{00000000-0005-0000-0000-0000FE3B0000}"/>
    <cellStyle name="Comma 2 2 3 5 2 3 5" xfId="15313" xr:uid="{00000000-0005-0000-0000-0000013C0000}"/>
    <cellStyle name="Comma 2 2 3 5 2 3 6" xfId="15317" xr:uid="{00000000-0005-0000-0000-0000053C0000}"/>
    <cellStyle name="Comma 2 2 3 5 2 3 7" xfId="15322" xr:uid="{00000000-0005-0000-0000-00000A3C0000}"/>
    <cellStyle name="Comma 2 2 3 5 2 3 8" xfId="15326" xr:uid="{00000000-0005-0000-0000-00000E3C0000}"/>
    <cellStyle name="Comma 2 2 3 5 2 3 9" xfId="15331" xr:uid="{00000000-0005-0000-0000-0000133C0000}"/>
    <cellStyle name="Comma 2 2 3 5 2 4" xfId="15337" xr:uid="{00000000-0005-0000-0000-0000193C0000}"/>
    <cellStyle name="Comma 2 2 3 5 2 4 10" xfId="15339" xr:uid="{00000000-0005-0000-0000-00001B3C0000}"/>
    <cellStyle name="Comma 2 2 3 5 2 4 2" xfId="15345" xr:uid="{00000000-0005-0000-0000-0000213C0000}"/>
    <cellStyle name="Comma 2 2 3 5 2 4 2 2" xfId="4463" xr:uid="{00000000-0005-0000-0000-00009F110000}"/>
    <cellStyle name="Comma 2 2 3 5 2 4 2 2 2" xfId="11318" xr:uid="{00000000-0005-0000-0000-0000662C0000}"/>
    <cellStyle name="Comma 2 2 3 5 2 4 2 3" xfId="2107" xr:uid="{00000000-0005-0000-0000-00006B080000}"/>
    <cellStyle name="Comma 2 2 3 5 2 4 2 4" xfId="2128" xr:uid="{00000000-0005-0000-0000-000080080000}"/>
    <cellStyle name="Comma 2 2 3 5 2 4 2 5" xfId="2134" xr:uid="{00000000-0005-0000-0000-000086080000}"/>
    <cellStyle name="Comma 2 2 3 5 2 4 3" xfId="15348" xr:uid="{00000000-0005-0000-0000-0000243C0000}"/>
    <cellStyle name="Comma 2 2 3 5 2 4 3 2" xfId="4468" xr:uid="{00000000-0005-0000-0000-0000A4110000}"/>
    <cellStyle name="Comma 2 2 3 5 2 4 4" xfId="4473" xr:uid="{00000000-0005-0000-0000-0000A9110000}"/>
    <cellStyle name="Comma 2 2 3 5 2 4 5" xfId="15351" xr:uid="{00000000-0005-0000-0000-0000273C0000}"/>
    <cellStyle name="Comma 2 2 3 5 2 4 6" xfId="15355" xr:uid="{00000000-0005-0000-0000-00002B3C0000}"/>
    <cellStyle name="Comma 2 2 3 5 2 4 7" xfId="15357" xr:uid="{00000000-0005-0000-0000-00002D3C0000}"/>
    <cellStyle name="Comma 2 2 3 5 2 4 8" xfId="15359" xr:uid="{00000000-0005-0000-0000-00002F3C0000}"/>
    <cellStyle name="Comma 2 2 3 5 2 4 9" xfId="14166" xr:uid="{00000000-0005-0000-0000-000086370000}"/>
    <cellStyle name="Comma 2 2 3 5 2 5" xfId="3498" xr:uid="{00000000-0005-0000-0000-0000DA0D0000}"/>
    <cellStyle name="Comma 2 2 3 5 2 5 10" xfId="9480" xr:uid="{00000000-0005-0000-0000-000038250000}"/>
    <cellStyle name="Comma 2 2 3 5 2 5 2" xfId="4105" xr:uid="{00000000-0005-0000-0000-000039100000}"/>
    <cellStyle name="Comma 2 2 3 5 2 5 2 2" xfId="15364" xr:uid="{00000000-0005-0000-0000-0000343C0000}"/>
    <cellStyle name="Comma 2 2 3 5 2 5 2 2 2" xfId="11680" xr:uid="{00000000-0005-0000-0000-0000D02D0000}"/>
    <cellStyle name="Comma 2 2 3 5 2 5 2 3" xfId="2423" xr:uid="{00000000-0005-0000-0000-0000A7090000}"/>
    <cellStyle name="Comma 2 2 3 5 2 5 2 4" xfId="15366" xr:uid="{00000000-0005-0000-0000-0000363C0000}"/>
    <cellStyle name="Comma 2 2 3 5 2 5 2 5" xfId="15368" xr:uid="{00000000-0005-0000-0000-0000383C0000}"/>
    <cellStyle name="Comma 2 2 3 5 2 5 3" xfId="15371" xr:uid="{00000000-0005-0000-0000-00003B3C0000}"/>
    <cellStyle name="Comma 2 2 3 5 2 5 3 2" xfId="15374" xr:uid="{00000000-0005-0000-0000-00003E3C0000}"/>
    <cellStyle name="Comma 2 2 3 5 2 5 4" xfId="15377" xr:uid="{00000000-0005-0000-0000-0000413C0000}"/>
    <cellStyle name="Comma 2 2 3 5 2 5 5" xfId="15380" xr:uid="{00000000-0005-0000-0000-0000443C0000}"/>
    <cellStyle name="Comma 2 2 3 5 2 5 6" xfId="15384" xr:uid="{00000000-0005-0000-0000-0000483C0000}"/>
    <cellStyle name="Comma 2 2 3 5 2 5 7" xfId="8459" xr:uid="{00000000-0005-0000-0000-00003B210000}"/>
    <cellStyle name="Comma 2 2 3 5 2 5 8" xfId="8467" xr:uid="{00000000-0005-0000-0000-000043210000}"/>
    <cellStyle name="Comma 2 2 3 5 2 5 9" xfId="7065" xr:uid="{00000000-0005-0000-0000-0000C91B0000}"/>
    <cellStyle name="Comma 2 2 3 5 2 6" xfId="15388" xr:uid="{00000000-0005-0000-0000-00004C3C0000}"/>
    <cellStyle name="Comma 2 2 3 5 2 6 2" xfId="15390" xr:uid="{00000000-0005-0000-0000-00004E3C0000}"/>
    <cellStyle name="Comma 2 2 3 5 2 6 2 2" xfId="15393" xr:uid="{00000000-0005-0000-0000-0000513C0000}"/>
    <cellStyle name="Comma 2 2 3 5 2 6 3" xfId="15400" xr:uid="{00000000-0005-0000-0000-0000583C0000}"/>
    <cellStyle name="Comma 2 2 3 5 2 6 4" xfId="7535" xr:uid="{00000000-0005-0000-0000-00009F1D0000}"/>
    <cellStyle name="Comma 2 2 3 5 2 6 5" xfId="15403" xr:uid="{00000000-0005-0000-0000-00005B3C0000}"/>
    <cellStyle name="Comma 2 2 3 5 2 6 6" xfId="15407" xr:uid="{00000000-0005-0000-0000-00005F3C0000}"/>
    <cellStyle name="Comma 2 2 3 5 2 6 7" xfId="15409" xr:uid="{00000000-0005-0000-0000-0000613C0000}"/>
    <cellStyle name="Comma 2 2 3 5 2 6 8" xfId="15411" xr:uid="{00000000-0005-0000-0000-0000633C0000}"/>
    <cellStyle name="Comma 2 2 3 5 2 6 9" xfId="15413" xr:uid="{00000000-0005-0000-0000-0000653C0000}"/>
    <cellStyle name="Comma 2 2 3 5 2 7" xfId="15418" xr:uid="{00000000-0005-0000-0000-00006A3C0000}"/>
    <cellStyle name="Comma 2 2 3 5 2 7 2" xfId="15421" xr:uid="{00000000-0005-0000-0000-00006D3C0000}"/>
    <cellStyle name="Comma 2 2 3 5 2 8" xfId="15426" xr:uid="{00000000-0005-0000-0000-0000723C0000}"/>
    <cellStyle name="Comma 2 2 3 5 2 9" xfId="15435" xr:uid="{00000000-0005-0000-0000-00007B3C0000}"/>
    <cellStyle name="Comma 2 2 3 5 20" xfId="14111" xr:uid="{00000000-0005-0000-0000-00004F370000}"/>
    <cellStyle name="Comma 2 2 3 5 21" xfId="14118" xr:uid="{00000000-0005-0000-0000-000056370000}"/>
    <cellStyle name="Comma 2 2 3 5 22" xfId="14124" xr:uid="{00000000-0005-0000-0000-00005C370000}"/>
    <cellStyle name="Comma 2 2 3 5 23" xfId="793" xr:uid="{00000000-0005-0000-0000-000049030000}"/>
    <cellStyle name="Comma 2 2 3 5 3" xfId="11918" xr:uid="{00000000-0005-0000-0000-0000BE2E0000}"/>
    <cellStyle name="Comma 2 2 3 5 3 10" xfId="15436" xr:uid="{00000000-0005-0000-0000-00007C3C0000}"/>
    <cellStyle name="Comma 2 2 3 5 3 11" xfId="15438" xr:uid="{00000000-0005-0000-0000-00007E3C0000}"/>
    <cellStyle name="Comma 2 2 3 5 3 12" xfId="15439" xr:uid="{00000000-0005-0000-0000-00007F3C0000}"/>
    <cellStyle name="Comma 2 2 3 5 3 13" xfId="15440" xr:uid="{00000000-0005-0000-0000-0000803C0000}"/>
    <cellStyle name="Comma 2 2 3 5 3 14" xfId="6506" xr:uid="{00000000-0005-0000-0000-00009A190000}"/>
    <cellStyle name="Comma 2 2 3 5 3 15" xfId="6512" xr:uid="{00000000-0005-0000-0000-0000A0190000}"/>
    <cellStyle name="Comma 2 2 3 5 3 16" xfId="4926" xr:uid="{00000000-0005-0000-0000-00006E130000}"/>
    <cellStyle name="Comma 2 2 3 5 3 17" xfId="3555" xr:uid="{00000000-0005-0000-0000-0000130E0000}"/>
    <cellStyle name="Comma 2 2 3 5 3 18" xfId="15442" xr:uid="{00000000-0005-0000-0000-0000823C0000}"/>
    <cellStyle name="Comma 2 2 3 5 3 2" xfId="15448" xr:uid="{00000000-0005-0000-0000-0000883C0000}"/>
    <cellStyle name="Comma 2 2 3 5 3 2 10" xfId="5156" xr:uid="{00000000-0005-0000-0000-000054140000}"/>
    <cellStyle name="Comma 2 2 3 5 3 2 2" xfId="15449" xr:uid="{00000000-0005-0000-0000-0000893C0000}"/>
    <cellStyle name="Comma 2 2 3 5 3 2 2 2" xfId="10895" xr:uid="{00000000-0005-0000-0000-0000BF2A0000}"/>
    <cellStyle name="Comma 2 2 3 5 3 2 3" xfId="15451" xr:uid="{00000000-0005-0000-0000-00008B3C0000}"/>
    <cellStyle name="Comma 2 2 3 5 3 2 4" xfId="15453" xr:uid="{00000000-0005-0000-0000-00008D3C0000}"/>
    <cellStyle name="Comma 2 2 3 5 3 2 5" xfId="15455" xr:uid="{00000000-0005-0000-0000-00008F3C0000}"/>
    <cellStyle name="Comma 2 2 3 5 3 2 6" xfId="15457" xr:uid="{00000000-0005-0000-0000-0000913C0000}"/>
    <cellStyle name="Comma 2 2 3 5 3 2 7" xfId="15459" xr:uid="{00000000-0005-0000-0000-0000933C0000}"/>
    <cellStyle name="Comma 2 2 3 5 3 2 8" xfId="15461" xr:uid="{00000000-0005-0000-0000-0000953C0000}"/>
    <cellStyle name="Comma 2 2 3 5 3 2 9" xfId="15464" xr:uid="{00000000-0005-0000-0000-0000983C0000}"/>
    <cellStyle name="Comma 2 2 3 5 3 3" xfId="15466" xr:uid="{00000000-0005-0000-0000-00009A3C0000}"/>
    <cellStyle name="Comma 2 2 3 5 3 3 2" xfId="15467" xr:uid="{00000000-0005-0000-0000-00009B3C0000}"/>
    <cellStyle name="Comma 2 2 3 5 3 3 3" xfId="15469" xr:uid="{00000000-0005-0000-0000-00009D3C0000}"/>
    <cellStyle name="Comma 2 2 3 5 3 3 4" xfId="15471" xr:uid="{00000000-0005-0000-0000-00009F3C0000}"/>
    <cellStyle name="Comma 2 2 3 5 3 3 5" xfId="15473" xr:uid="{00000000-0005-0000-0000-0000A13C0000}"/>
    <cellStyle name="Comma 2 2 3 5 3 3 6" xfId="10051" xr:uid="{00000000-0005-0000-0000-000073270000}"/>
    <cellStyle name="Comma 2 2 3 5 3 4" xfId="15475" xr:uid="{00000000-0005-0000-0000-0000A33C0000}"/>
    <cellStyle name="Comma 2 2 3 5 3 4 2" xfId="15476" xr:uid="{00000000-0005-0000-0000-0000A43C0000}"/>
    <cellStyle name="Comma 2 2 3 5 3 4 3" xfId="15479" xr:uid="{00000000-0005-0000-0000-0000A73C0000}"/>
    <cellStyle name="Comma 2 2 3 5 3 4 4" xfId="15481" xr:uid="{00000000-0005-0000-0000-0000A93C0000}"/>
    <cellStyle name="Comma 2 2 3 5 3 4 5" xfId="15483" xr:uid="{00000000-0005-0000-0000-0000AB3C0000}"/>
    <cellStyle name="Comma 2 2 3 5 3 4 6" xfId="15485" xr:uid="{00000000-0005-0000-0000-0000AD3C0000}"/>
    <cellStyle name="Comma 2 2 3 5 3 5" xfId="3501" xr:uid="{00000000-0005-0000-0000-0000DD0D0000}"/>
    <cellStyle name="Comma 2 2 3 5 3 5 2" xfId="5225" xr:uid="{00000000-0005-0000-0000-000099140000}"/>
    <cellStyle name="Comma 2 2 3 5 3 5 3" xfId="12064" xr:uid="{00000000-0005-0000-0000-0000502F0000}"/>
    <cellStyle name="Comma 2 2 3 5 3 5 4" xfId="12067" xr:uid="{00000000-0005-0000-0000-0000532F0000}"/>
    <cellStyle name="Comma 2 2 3 5 3 5 5" xfId="12070" xr:uid="{00000000-0005-0000-0000-0000562F0000}"/>
    <cellStyle name="Comma 2 2 3 5 3 5 6" xfId="12073" xr:uid="{00000000-0005-0000-0000-0000592F0000}"/>
    <cellStyle name="Comma 2 2 3 5 3 6" xfId="15487" xr:uid="{00000000-0005-0000-0000-0000AF3C0000}"/>
    <cellStyle name="Comma 2 2 3 5 3 6 2" xfId="5248" xr:uid="{00000000-0005-0000-0000-0000B0140000}"/>
    <cellStyle name="Comma 2 2 3 5 3 6 3" xfId="15489" xr:uid="{00000000-0005-0000-0000-0000B13C0000}"/>
    <cellStyle name="Comma 2 2 3 5 3 6 4" xfId="15491" xr:uid="{00000000-0005-0000-0000-0000B33C0000}"/>
    <cellStyle name="Comma 2 2 3 5 3 6 5" xfId="15493" xr:uid="{00000000-0005-0000-0000-0000B53C0000}"/>
    <cellStyle name="Comma 2 2 3 5 3 6 6" xfId="15495" xr:uid="{00000000-0005-0000-0000-0000B73C0000}"/>
    <cellStyle name="Comma 2 2 3 5 3 7" xfId="10453" xr:uid="{00000000-0005-0000-0000-000005290000}"/>
    <cellStyle name="Comma 2 2 3 5 3 8" xfId="15498" xr:uid="{00000000-0005-0000-0000-0000BA3C0000}"/>
    <cellStyle name="Comma 2 2 3 5 3 9" xfId="15505" xr:uid="{00000000-0005-0000-0000-0000C13C0000}"/>
    <cellStyle name="Comma 2 2 3 5 4" xfId="4033" xr:uid="{00000000-0005-0000-0000-0000F10F0000}"/>
    <cellStyle name="Comma 2 2 3 5 4 10" xfId="15507" xr:uid="{00000000-0005-0000-0000-0000C33C0000}"/>
    <cellStyle name="Comma 2 2 3 5 4 11" xfId="15508" xr:uid="{00000000-0005-0000-0000-0000C43C0000}"/>
    <cellStyle name="Comma 2 2 3 5 4 12" xfId="15509" xr:uid="{00000000-0005-0000-0000-0000C53C0000}"/>
    <cellStyle name="Comma 2 2 3 5 4 13" xfId="15512" xr:uid="{00000000-0005-0000-0000-0000C83C0000}"/>
    <cellStyle name="Comma 2 2 3 5 4 14" xfId="15515" xr:uid="{00000000-0005-0000-0000-0000CB3C0000}"/>
    <cellStyle name="Comma 2 2 3 5 4 15" xfId="1559" xr:uid="{00000000-0005-0000-0000-000047060000}"/>
    <cellStyle name="Comma 2 2 3 5 4 2" xfId="15516" xr:uid="{00000000-0005-0000-0000-0000CC3C0000}"/>
    <cellStyle name="Comma 2 2 3 5 4 2 2" xfId="15518" xr:uid="{00000000-0005-0000-0000-0000CE3C0000}"/>
    <cellStyle name="Comma 2 2 3 5 4 2 2 2" xfId="2843" xr:uid="{00000000-0005-0000-0000-00004B0B0000}"/>
    <cellStyle name="Comma 2 2 3 5 4 2 3" xfId="13504" xr:uid="{00000000-0005-0000-0000-0000F0340000}"/>
    <cellStyle name="Comma 2 2 3 5 4 2 4" xfId="15523" xr:uid="{00000000-0005-0000-0000-0000D33C0000}"/>
    <cellStyle name="Comma 2 2 3 5 4 2 5" xfId="15530" xr:uid="{00000000-0005-0000-0000-0000DA3C0000}"/>
    <cellStyle name="Comma 2 2 3 5 4 2 6" xfId="15533" xr:uid="{00000000-0005-0000-0000-0000DD3C0000}"/>
    <cellStyle name="Comma 2 2 3 5 4 2 7" xfId="72" xr:uid="{00000000-0005-0000-0000-00004C000000}"/>
    <cellStyle name="Comma 2 2 3 5 4 2 8" xfId="15535" xr:uid="{00000000-0005-0000-0000-0000DF3C0000}"/>
    <cellStyle name="Comma 2 2 3 5 4 2 9" xfId="15538" xr:uid="{00000000-0005-0000-0000-0000E23C0000}"/>
    <cellStyle name="Comma 2 2 3 5 4 3" xfId="15540" xr:uid="{00000000-0005-0000-0000-0000E43C0000}"/>
    <cellStyle name="Comma 2 2 3 5 4 3 2" xfId="15542" xr:uid="{00000000-0005-0000-0000-0000E63C0000}"/>
    <cellStyle name="Comma 2 2 3 5 4 3 3" xfId="15545" xr:uid="{00000000-0005-0000-0000-0000E93C0000}"/>
    <cellStyle name="Comma 2 2 3 5 4 3 4" xfId="15549" xr:uid="{00000000-0005-0000-0000-0000ED3C0000}"/>
    <cellStyle name="Comma 2 2 3 5 4 3 5" xfId="15552" xr:uid="{00000000-0005-0000-0000-0000F03C0000}"/>
    <cellStyle name="Comma 2 2 3 5 4 3 6" xfId="15557" xr:uid="{00000000-0005-0000-0000-0000F53C0000}"/>
    <cellStyle name="Comma 2 2 3 5 4 4" xfId="15561" xr:uid="{00000000-0005-0000-0000-0000F93C0000}"/>
    <cellStyle name="Comma 2 2 3 5 4 4 2" xfId="15565" xr:uid="{00000000-0005-0000-0000-0000FD3C0000}"/>
    <cellStyle name="Comma 2 2 3 5 4 5" xfId="3184" xr:uid="{00000000-0005-0000-0000-0000A00C0000}"/>
    <cellStyle name="Comma 2 2 3 5 4 6" xfId="15566" xr:uid="{00000000-0005-0000-0000-0000FE3C0000}"/>
    <cellStyle name="Comma 2 2 3 5 4 7" xfId="15567" xr:uid="{00000000-0005-0000-0000-0000FF3C0000}"/>
    <cellStyle name="Comma 2 2 3 5 4 8" xfId="15568" xr:uid="{00000000-0005-0000-0000-0000003D0000}"/>
    <cellStyle name="Comma 2 2 3 5 4 9" xfId="15570" xr:uid="{00000000-0005-0000-0000-0000023D0000}"/>
    <cellStyle name="Comma 2 2 3 5 5" xfId="1291" xr:uid="{00000000-0005-0000-0000-00003B050000}"/>
    <cellStyle name="Comma 2 2 3 5 5 10" xfId="15572" xr:uid="{00000000-0005-0000-0000-0000043D0000}"/>
    <cellStyle name="Comma 2 2 3 5 5 11" xfId="15574" xr:uid="{00000000-0005-0000-0000-0000063D0000}"/>
    <cellStyle name="Comma 2 2 3 5 5 12" xfId="15577" xr:uid="{00000000-0005-0000-0000-0000093D0000}"/>
    <cellStyle name="Comma 2 2 3 5 5 13" xfId="15581" xr:uid="{00000000-0005-0000-0000-00000D3D0000}"/>
    <cellStyle name="Comma 2 2 3 5 5 2" xfId="15584" xr:uid="{00000000-0005-0000-0000-0000103D0000}"/>
    <cellStyle name="Comma 2 2 3 5 5 2 2" xfId="7139" xr:uid="{00000000-0005-0000-0000-0000131C0000}"/>
    <cellStyle name="Comma 2 2 3 5 5 2 2 2" xfId="13732" xr:uid="{00000000-0005-0000-0000-0000D4350000}"/>
    <cellStyle name="Comma 2 2 3 5 5 2 3" xfId="7155" xr:uid="{00000000-0005-0000-0000-0000231C0000}"/>
    <cellStyle name="Comma 2 2 3 5 5 2 4" xfId="10417" xr:uid="{00000000-0005-0000-0000-0000E1280000}"/>
    <cellStyle name="Comma 2 2 3 5 5 2 5" xfId="10422" xr:uid="{00000000-0005-0000-0000-0000E6280000}"/>
    <cellStyle name="Comma 2 2 3 5 5 2 6" xfId="13485" xr:uid="{00000000-0005-0000-0000-0000DD340000}"/>
    <cellStyle name="Comma 2 2 3 5 5 2 7" xfId="13488" xr:uid="{00000000-0005-0000-0000-0000E0340000}"/>
    <cellStyle name="Comma 2 2 3 5 5 2 8" xfId="13491" xr:uid="{00000000-0005-0000-0000-0000E3340000}"/>
    <cellStyle name="Comma 2 2 3 5 5 2 9" xfId="12128" xr:uid="{00000000-0005-0000-0000-0000902F0000}"/>
    <cellStyle name="Comma 2 2 3 5 5 3" xfId="15585" xr:uid="{00000000-0005-0000-0000-0000113D0000}"/>
    <cellStyle name="Comma 2 2 3 5 5 3 2" xfId="8319" xr:uid="{00000000-0005-0000-0000-0000AF200000}"/>
    <cellStyle name="Comma 2 2 3 5 5 3 3" xfId="8329" xr:uid="{00000000-0005-0000-0000-0000B9200000}"/>
    <cellStyle name="Comma 2 2 3 5 5 3 4" xfId="8337" xr:uid="{00000000-0005-0000-0000-0000C1200000}"/>
    <cellStyle name="Comma 2 2 3 5 5 3 5" xfId="8347" xr:uid="{00000000-0005-0000-0000-0000CB200000}"/>
    <cellStyle name="Comma 2 2 3 5 5 3 6" xfId="8354" xr:uid="{00000000-0005-0000-0000-0000D2200000}"/>
    <cellStyle name="Comma 2 2 3 5 5 4" xfId="15586" xr:uid="{00000000-0005-0000-0000-0000123D0000}"/>
    <cellStyle name="Comma 2 2 3 5 5 4 2" xfId="15592" xr:uid="{00000000-0005-0000-0000-0000183D0000}"/>
    <cellStyle name="Comma 2 2 3 5 5 5" xfId="2719" xr:uid="{00000000-0005-0000-0000-0000CF0A0000}"/>
    <cellStyle name="Comma 2 2 3 5 5 6" xfId="6072" xr:uid="{00000000-0005-0000-0000-0000E8170000}"/>
    <cellStyle name="Comma 2 2 3 5 5 7" xfId="6079" xr:uid="{00000000-0005-0000-0000-0000EF170000}"/>
    <cellStyle name="Comma 2 2 3 5 5 8" xfId="6096" xr:uid="{00000000-0005-0000-0000-000000180000}"/>
    <cellStyle name="Comma 2 2 3 5 5 9" xfId="6127" xr:uid="{00000000-0005-0000-0000-00001F180000}"/>
    <cellStyle name="Comma 2 2 3 5 6" xfId="15594" xr:uid="{00000000-0005-0000-0000-00001A3D0000}"/>
    <cellStyle name="Comma 2 2 3 5 6 10" xfId="15596" xr:uid="{00000000-0005-0000-0000-00001C3D0000}"/>
    <cellStyle name="Comma 2 2 3 5 6 11" xfId="15599" xr:uid="{00000000-0005-0000-0000-00001F3D0000}"/>
    <cellStyle name="Comma 2 2 3 5 6 12" xfId="15606" xr:uid="{00000000-0005-0000-0000-0000263D0000}"/>
    <cellStyle name="Comma 2 2 3 5 6 2" xfId="15612" xr:uid="{00000000-0005-0000-0000-00002C3D0000}"/>
    <cellStyle name="Comma 2 2 3 5 6 2 2" xfId="15615" xr:uid="{00000000-0005-0000-0000-00002F3D0000}"/>
    <cellStyle name="Comma 2 2 3 5 6 2 2 2" xfId="15618" xr:uid="{00000000-0005-0000-0000-0000323D0000}"/>
    <cellStyle name="Comma 2 2 3 5 6 2 3" xfId="15622" xr:uid="{00000000-0005-0000-0000-0000363D0000}"/>
    <cellStyle name="Comma 2 2 3 5 6 2 4" xfId="15625" xr:uid="{00000000-0005-0000-0000-0000393D0000}"/>
    <cellStyle name="Comma 2 2 3 5 6 2 5" xfId="15630" xr:uid="{00000000-0005-0000-0000-00003E3D0000}"/>
    <cellStyle name="Comma 2 2 3 5 6 2 6" xfId="15633" xr:uid="{00000000-0005-0000-0000-0000413D0000}"/>
    <cellStyle name="Comma 2 2 3 5 6 2 7" xfId="15636" xr:uid="{00000000-0005-0000-0000-0000443D0000}"/>
    <cellStyle name="Comma 2 2 3 5 6 2 8" xfId="15641" xr:uid="{00000000-0005-0000-0000-0000493D0000}"/>
    <cellStyle name="Comma 2 2 3 5 6 2 9" xfId="15647" xr:uid="{00000000-0005-0000-0000-00004F3D0000}"/>
    <cellStyle name="Comma 2 2 3 5 6 3" xfId="15651" xr:uid="{00000000-0005-0000-0000-0000533D0000}"/>
    <cellStyle name="Comma 2 2 3 5 6 3 2" xfId="10785" xr:uid="{00000000-0005-0000-0000-0000512A0000}"/>
    <cellStyle name="Comma 2 2 3 5 6 3 3" xfId="10792" xr:uid="{00000000-0005-0000-0000-0000582A0000}"/>
    <cellStyle name="Comma 2 2 3 5 6 3 4" xfId="10798" xr:uid="{00000000-0005-0000-0000-00005E2A0000}"/>
    <cellStyle name="Comma 2 2 3 5 6 3 5" xfId="5656" xr:uid="{00000000-0005-0000-0000-000048160000}"/>
    <cellStyle name="Comma 2 2 3 5 6 3 6" xfId="5667" xr:uid="{00000000-0005-0000-0000-000053160000}"/>
    <cellStyle name="Comma 2 2 3 5 6 4" xfId="15653" xr:uid="{00000000-0005-0000-0000-0000553D0000}"/>
    <cellStyle name="Comma 2 2 3 5 6 4 2" xfId="15655" xr:uid="{00000000-0005-0000-0000-0000573D0000}"/>
    <cellStyle name="Comma 2 2 3 5 6 5" xfId="6178" xr:uid="{00000000-0005-0000-0000-000052180000}"/>
    <cellStyle name="Comma 2 2 3 5 6 6" xfId="15656" xr:uid="{00000000-0005-0000-0000-0000583D0000}"/>
    <cellStyle name="Comma 2 2 3 5 6 7" xfId="15657" xr:uid="{00000000-0005-0000-0000-0000593D0000}"/>
    <cellStyle name="Comma 2 2 3 5 6 8" xfId="15658" xr:uid="{00000000-0005-0000-0000-00005A3D0000}"/>
    <cellStyle name="Comma 2 2 3 5 6 9" xfId="15660" xr:uid="{00000000-0005-0000-0000-00005C3D0000}"/>
    <cellStyle name="Comma 2 2 3 5 7" xfId="10695" xr:uid="{00000000-0005-0000-0000-0000F7290000}"/>
    <cellStyle name="Comma 2 2 3 5 7 2" xfId="15662" xr:uid="{00000000-0005-0000-0000-00005E3D0000}"/>
    <cellStyle name="Comma 2 2 3 5 7 2 2" xfId="15666" xr:uid="{00000000-0005-0000-0000-0000623D0000}"/>
    <cellStyle name="Comma 2 2 3 5 7 3" xfId="15668" xr:uid="{00000000-0005-0000-0000-0000643D0000}"/>
    <cellStyle name="Comma 2 2 3 5 7 4" xfId="15671" xr:uid="{00000000-0005-0000-0000-0000673D0000}"/>
    <cellStyle name="Comma 2 2 3 5 7 5" xfId="2638" xr:uid="{00000000-0005-0000-0000-00007E0A0000}"/>
    <cellStyle name="Comma 2 2 3 5 7 6" xfId="15675" xr:uid="{00000000-0005-0000-0000-00006B3D0000}"/>
    <cellStyle name="Comma 2 2 3 5 7 7" xfId="7787" xr:uid="{00000000-0005-0000-0000-00009B1E0000}"/>
    <cellStyle name="Comma 2 2 3 5 7 8" xfId="7563" xr:uid="{00000000-0005-0000-0000-0000BB1D0000}"/>
    <cellStyle name="Comma 2 2 3 5 7 9" xfId="7580" xr:uid="{00000000-0005-0000-0000-0000CC1D0000}"/>
    <cellStyle name="Comma 2 2 3 5 8" xfId="4953" xr:uid="{00000000-0005-0000-0000-000089130000}"/>
    <cellStyle name="Comma 2 2 3 5 8 2" xfId="15677" xr:uid="{00000000-0005-0000-0000-00006D3D0000}"/>
    <cellStyle name="Comma 2 2 3 5 8 3" xfId="15679" xr:uid="{00000000-0005-0000-0000-00006F3D0000}"/>
    <cellStyle name="Comma 2 2 3 5 8 4" xfId="15681" xr:uid="{00000000-0005-0000-0000-0000713D0000}"/>
    <cellStyle name="Comma 2 2 3 5 8 5" xfId="2910" xr:uid="{00000000-0005-0000-0000-00008E0B0000}"/>
    <cellStyle name="Comma 2 2 3 5 8 6" xfId="15682" xr:uid="{00000000-0005-0000-0000-0000723D0000}"/>
    <cellStyle name="Comma 2 2 3 5 9" xfId="10700" xr:uid="{00000000-0005-0000-0000-0000FC290000}"/>
    <cellStyle name="Comma 2 2 3 5 9 2" xfId="15684" xr:uid="{00000000-0005-0000-0000-0000743D0000}"/>
    <cellStyle name="Comma 2 2 3 5 9 3" xfId="15686" xr:uid="{00000000-0005-0000-0000-0000763D0000}"/>
    <cellStyle name="Comma 2 2 3 5 9 4" xfId="15688" xr:uid="{00000000-0005-0000-0000-0000783D0000}"/>
    <cellStyle name="Comma 2 2 3 5 9 5" xfId="2706" xr:uid="{00000000-0005-0000-0000-0000C20A0000}"/>
    <cellStyle name="Comma 2 2 3 5 9 6" xfId="15693" xr:uid="{00000000-0005-0000-0000-00007D3D0000}"/>
    <cellStyle name="Comma 2 2 3 6" xfId="2205" xr:uid="{00000000-0005-0000-0000-0000CD080000}"/>
    <cellStyle name="Comma 2 2 3 6 10" xfId="15695" xr:uid="{00000000-0005-0000-0000-00007F3D0000}"/>
    <cellStyle name="Comma 2 2 3 6 11" xfId="15697" xr:uid="{00000000-0005-0000-0000-0000813D0000}"/>
    <cellStyle name="Comma 2 2 3 6 12" xfId="15701" xr:uid="{00000000-0005-0000-0000-0000853D0000}"/>
    <cellStyle name="Comma 2 2 3 6 13" xfId="15706" xr:uid="{00000000-0005-0000-0000-00008A3D0000}"/>
    <cellStyle name="Comma 2 2 3 6 14" xfId="15711" xr:uid="{00000000-0005-0000-0000-00008F3D0000}"/>
    <cellStyle name="Comma 2 2 3 6 15" xfId="15717" xr:uid="{00000000-0005-0000-0000-0000953D0000}"/>
    <cellStyle name="Comma 2 2 3 6 16" xfId="15726" xr:uid="{00000000-0005-0000-0000-00009E3D0000}"/>
    <cellStyle name="Comma 2 2 3 6 17" xfId="15731" xr:uid="{00000000-0005-0000-0000-0000A33D0000}"/>
    <cellStyle name="Comma 2 2 3 6 18" xfId="15733" xr:uid="{00000000-0005-0000-0000-0000A53D0000}"/>
    <cellStyle name="Comma 2 2 3 6 2" xfId="11931" xr:uid="{00000000-0005-0000-0000-0000CB2E0000}"/>
    <cellStyle name="Comma 2 2 3 6 2 10" xfId="4449" xr:uid="{00000000-0005-0000-0000-000091110000}"/>
    <cellStyle name="Comma 2 2 3 6 2 11" xfId="15734" xr:uid="{00000000-0005-0000-0000-0000A63D0000}"/>
    <cellStyle name="Comma 2 2 3 6 2 12" xfId="1117" xr:uid="{00000000-0005-0000-0000-00008D040000}"/>
    <cellStyle name="Comma 2 2 3 6 2 13" xfId="15735" xr:uid="{00000000-0005-0000-0000-0000A73D0000}"/>
    <cellStyle name="Comma 2 2 3 6 2 14" xfId="15738" xr:uid="{00000000-0005-0000-0000-0000AA3D0000}"/>
    <cellStyle name="Comma 2 2 3 6 2 2" xfId="15741" xr:uid="{00000000-0005-0000-0000-0000AD3D0000}"/>
    <cellStyle name="Comma 2 2 3 6 2 2 10" xfId="10820" xr:uid="{00000000-0005-0000-0000-0000742A0000}"/>
    <cellStyle name="Comma 2 2 3 6 2 2 2" xfId="15743" xr:uid="{00000000-0005-0000-0000-0000AF3D0000}"/>
    <cellStyle name="Comma 2 2 3 6 2 2 2 2" xfId="10123" xr:uid="{00000000-0005-0000-0000-0000BB270000}"/>
    <cellStyle name="Comma 2 2 3 6 2 2 3" xfId="15746" xr:uid="{00000000-0005-0000-0000-0000B23D0000}"/>
    <cellStyle name="Comma 2 2 3 6 2 2 4" xfId="15748" xr:uid="{00000000-0005-0000-0000-0000B43D0000}"/>
    <cellStyle name="Comma 2 2 3 6 2 2 5" xfId="15750" xr:uid="{00000000-0005-0000-0000-0000B63D0000}"/>
    <cellStyle name="Comma 2 2 3 6 2 2 6" xfId="13289" xr:uid="{00000000-0005-0000-0000-000019340000}"/>
    <cellStyle name="Comma 2 2 3 6 2 2 7" xfId="15752" xr:uid="{00000000-0005-0000-0000-0000B83D0000}"/>
    <cellStyle name="Comma 2 2 3 6 2 2 8" xfId="15754" xr:uid="{00000000-0005-0000-0000-0000BA3D0000}"/>
    <cellStyle name="Comma 2 2 3 6 2 2 9" xfId="15756" xr:uid="{00000000-0005-0000-0000-0000BC3D0000}"/>
    <cellStyle name="Comma 2 2 3 6 2 3" xfId="15760" xr:uid="{00000000-0005-0000-0000-0000C03D0000}"/>
    <cellStyle name="Comma 2 2 3 6 2 3 2" xfId="15761" xr:uid="{00000000-0005-0000-0000-0000C13D0000}"/>
    <cellStyle name="Comma 2 2 3 6 2 3 3" xfId="15763" xr:uid="{00000000-0005-0000-0000-0000C33D0000}"/>
    <cellStyle name="Comma 2 2 3 6 2 3 4" xfId="15765" xr:uid="{00000000-0005-0000-0000-0000C53D0000}"/>
    <cellStyle name="Comma 2 2 3 6 2 3 5" xfId="15767" xr:uid="{00000000-0005-0000-0000-0000C73D0000}"/>
    <cellStyle name="Comma 2 2 3 6 2 3 6" xfId="15769" xr:uid="{00000000-0005-0000-0000-0000C93D0000}"/>
    <cellStyle name="Comma 2 2 3 6 2 4" xfId="15776" xr:uid="{00000000-0005-0000-0000-0000D03D0000}"/>
    <cellStyle name="Comma 2 2 3 6 2 4 2" xfId="15232" xr:uid="{00000000-0005-0000-0000-0000B03B0000}"/>
    <cellStyle name="Comma 2 2 3 6 2 4 3" xfId="225" xr:uid="{00000000-0005-0000-0000-0000F1000000}"/>
    <cellStyle name="Comma 2 2 3 6 2 4 4" xfId="15237" xr:uid="{00000000-0005-0000-0000-0000B53B0000}"/>
    <cellStyle name="Comma 2 2 3 6 2 4 5" xfId="15781" xr:uid="{00000000-0005-0000-0000-0000D53D0000}"/>
    <cellStyle name="Comma 2 2 3 6 2 5" xfId="15786" xr:uid="{00000000-0005-0000-0000-0000DA3D0000}"/>
    <cellStyle name="Comma 2 2 3 6 2 6" xfId="15792" xr:uid="{00000000-0005-0000-0000-0000E03D0000}"/>
    <cellStyle name="Comma 2 2 3 6 2 7" xfId="15797" xr:uid="{00000000-0005-0000-0000-0000E53D0000}"/>
    <cellStyle name="Comma 2 2 3 6 2 8" xfId="15802" xr:uid="{00000000-0005-0000-0000-0000EA3D0000}"/>
    <cellStyle name="Comma 2 2 3 6 2 9" xfId="15809" xr:uid="{00000000-0005-0000-0000-0000F13D0000}"/>
    <cellStyle name="Comma 2 2 3 6 3" xfId="11937" xr:uid="{00000000-0005-0000-0000-0000D12E0000}"/>
    <cellStyle name="Comma 2 2 3 6 3 10" xfId="15810" xr:uid="{00000000-0005-0000-0000-0000F23D0000}"/>
    <cellStyle name="Comma 2 2 3 6 3 11" xfId="15811" xr:uid="{00000000-0005-0000-0000-0000F33D0000}"/>
    <cellStyle name="Comma 2 2 3 6 3 12" xfId="15813" xr:uid="{00000000-0005-0000-0000-0000F53D0000}"/>
    <cellStyle name="Comma 2 2 3 6 3 2" xfId="15815" xr:uid="{00000000-0005-0000-0000-0000F73D0000}"/>
    <cellStyle name="Comma 2 2 3 6 3 2 2" xfId="15817" xr:uid="{00000000-0005-0000-0000-0000F93D0000}"/>
    <cellStyle name="Comma 2 2 3 6 3 2 2 2" xfId="15819" xr:uid="{00000000-0005-0000-0000-0000FB3D0000}"/>
    <cellStyle name="Comma 2 2 3 6 3 2 3" xfId="15825" xr:uid="{00000000-0005-0000-0000-0000013E0000}"/>
    <cellStyle name="Comma 2 2 3 6 3 2 4" xfId="15828" xr:uid="{00000000-0005-0000-0000-0000043E0000}"/>
    <cellStyle name="Comma 2 2 3 6 3 2 5" xfId="4797" xr:uid="{00000000-0005-0000-0000-0000ED120000}"/>
    <cellStyle name="Comma 2 2 3 6 3 3" xfId="123" xr:uid="{00000000-0005-0000-0000-000085000000}"/>
    <cellStyle name="Comma 2 2 3 6 3 3 2" xfId="15830" xr:uid="{00000000-0005-0000-0000-0000063E0000}"/>
    <cellStyle name="Comma 2 2 3 6 3 4" xfId="15833" xr:uid="{00000000-0005-0000-0000-0000093E0000}"/>
    <cellStyle name="Comma 2 2 3 6 3 5" xfId="15835" xr:uid="{00000000-0005-0000-0000-00000B3E0000}"/>
    <cellStyle name="Comma 2 2 3 6 3 6" xfId="15837" xr:uid="{00000000-0005-0000-0000-00000D3E0000}"/>
    <cellStyle name="Comma 2 2 3 6 3 7" xfId="15839" xr:uid="{00000000-0005-0000-0000-00000F3E0000}"/>
    <cellStyle name="Comma 2 2 3 6 3 8" xfId="15842" xr:uid="{00000000-0005-0000-0000-0000123E0000}"/>
    <cellStyle name="Comma 2 2 3 6 3 9" xfId="15844" xr:uid="{00000000-0005-0000-0000-0000143E0000}"/>
    <cellStyle name="Comma 2 2 3 6 4" xfId="4049" xr:uid="{00000000-0005-0000-0000-000001100000}"/>
    <cellStyle name="Comma 2 2 3 6 4 10" xfId="10026" xr:uid="{00000000-0005-0000-0000-00005A270000}"/>
    <cellStyle name="Comma 2 2 3 6 4 11" xfId="10036" xr:uid="{00000000-0005-0000-0000-000064270000}"/>
    <cellStyle name="Comma 2 2 3 6 4 2" xfId="5567" xr:uid="{00000000-0005-0000-0000-0000EF150000}"/>
    <cellStyle name="Comma 2 2 3 6 4 2 2" xfId="1255" xr:uid="{00000000-0005-0000-0000-000017050000}"/>
    <cellStyle name="Comma 2 2 3 6 4 2 2 2" xfId="15847" xr:uid="{00000000-0005-0000-0000-0000173E0000}"/>
    <cellStyle name="Comma 2 2 3 6 4 2 3" xfId="1271" xr:uid="{00000000-0005-0000-0000-000027050000}"/>
    <cellStyle name="Comma 2 2 3 6 4 2 4" xfId="1282" xr:uid="{00000000-0005-0000-0000-000032050000}"/>
    <cellStyle name="Comma 2 2 3 6 4 2 5" xfId="1299" xr:uid="{00000000-0005-0000-0000-000043050000}"/>
    <cellStyle name="Comma 2 2 3 6 4 3" xfId="4391" xr:uid="{00000000-0005-0000-0000-000057110000}"/>
    <cellStyle name="Comma 2 2 3 6 4 3 2" xfId="1405" xr:uid="{00000000-0005-0000-0000-0000AD050000}"/>
    <cellStyle name="Comma 2 2 3 6 4 4" xfId="5578" xr:uid="{00000000-0005-0000-0000-0000FA150000}"/>
    <cellStyle name="Comma 2 2 3 6 4 5" xfId="4582" xr:uid="{00000000-0005-0000-0000-000016120000}"/>
    <cellStyle name="Comma 2 2 3 6 4 6" xfId="5596" xr:uid="{00000000-0005-0000-0000-00000C160000}"/>
    <cellStyle name="Comma 2 2 3 6 4 7" xfId="5602" xr:uid="{00000000-0005-0000-0000-000012160000}"/>
    <cellStyle name="Comma 2 2 3 6 4 8" xfId="10984" xr:uid="{00000000-0005-0000-0000-0000182B0000}"/>
    <cellStyle name="Comma 2 2 3 6 4 9" xfId="10369" xr:uid="{00000000-0005-0000-0000-0000B1280000}"/>
    <cellStyle name="Comma 2 2 3 6 5" xfId="1313" xr:uid="{00000000-0005-0000-0000-000051050000}"/>
    <cellStyle name="Comma 2 2 3 6 5 10" xfId="11113" xr:uid="{00000000-0005-0000-0000-0000992B0000}"/>
    <cellStyle name="Comma 2 2 3 6 5 2" xfId="15852" xr:uid="{00000000-0005-0000-0000-00001C3E0000}"/>
    <cellStyle name="Comma 2 2 3 6 5 2 2" xfId="15855" xr:uid="{00000000-0005-0000-0000-00001F3E0000}"/>
    <cellStyle name="Comma 2 2 3 6 5 2 2 2" xfId="15857" xr:uid="{00000000-0005-0000-0000-0000213E0000}"/>
    <cellStyle name="Comma 2 2 3 6 5 2 3" xfId="15862" xr:uid="{00000000-0005-0000-0000-0000263E0000}"/>
    <cellStyle name="Comma 2 2 3 6 5 2 4" xfId="15864" xr:uid="{00000000-0005-0000-0000-0000283E0000}"/>
    <cellStyle name="Comma 2 2 3 6 5 2 5" xfId="15866" xr:uid="{00000000-0005-0000-0000-00002A3E0000}"/>
    <cellStyle name="Comma 2 2 3 6 5 3" xfId="4402" xr:uid="{00000000-0005-0000-0000-000062110000}"/>
    <cellStyle name="Comma 2 2 3 6 5 3 2" xfId="15870" xr:uid="{00000000-0005-0000-0000-00002E3E0000}"/>
    <cellStyle name="Comma 2 2 3 6 5 4" xfId="15873" xr:uid="{00000000-0005-0000-0000-0000313E0000}"/>
    <cellStyle name="Comma 2 2 3 6 5 5" xfId="4616" xr:uid="{00000000-0005-0000-0000-000038120000}"/>
    <cellStyle name="Comma 2 2 3 6 5 6" xfId="6635" xr:uid="{00000000-0005-0000-0000-00001B1A0000}"/>
    <cellStyle name="Comma 2 2 3 6 5 7" xfId="6642" xr:uid="{00000000-0005-0000-0000-0000221A0000}"/>
    <cellStyle name="Comma 2 2 3 6 5 8" xfId="6646" xr:uid="{00000000-0005-0000-0000-0000261A0000}"/>
    <cellStyle name="Comma 2 2 3 6 5 9" xfId="15875" xr:uid="{00000000-0005-0000-0000-0000333E0000}"/>
    <cellStyle name="Comma 2 2 3 6 6" xfId="15877" xr:uid="{00000000-0005-0000-0000-0000353E0000}"/>
    <cellStyle name="Comma 2 2 3 6 6 2" xfId="15882" xr:uid="{00000000-0005-0000-0000-00003A3E0000}"/>
    <cellStyle name="Comma 2 2 3 6 6 2 2" xfId="15885" xr:uid="{00000000-0005-0000-0000-00003D3E0000}"/>
    <cellStyle name="Comma 2 2 3 6 6 3" xfId="4414" xr:uid="{00000000-0005-0000-0000-00006E110000}"/>
    <cellStyle name="Comma 2 2 3 6 6 4" xfId="15889" xr:uid="{00000000-0005-0000-0000-0000413E0000}"/>
    <cellStyle name="Comma 2 2 3 6 6 5" xfId="6210" xr:uid="{00000000-0005-0000-0000-000072180000}"/>
    <cellStyle name="Comma 2 2 3 6 6 6" xfId="15895" xr:uid="{00000000-0005-0000-0000-0000473E0000}"/>
    <cellStyle name="Comma 2 2 3 6 6 7" xfId="15900" xr:uid="{00000000-0005-0000-0000-00004C3E0000}"/>
    <cellStyle name="Comma 2 2 3 6 6 8" xfId="15908" xr:uid="{00000000-0005-0000-0000-0000543E0000}"/>
    <cellStyle name="Comma 2 2 3 6 6 9" xfId="15909" xr:uid="{00000000-0005-0000-0000-0000553E0000}"/>
    <cellStyle name="Comma 2 2 3 6 7" xfId="15911" xr:uid="{00000000-0005-0000-0000-0000573E0000}"/>
    <cellStyle name="Comma 2 2 3 6 7 2" xfId="15913" xr:uid="{00000000-0005-0000-0000-0000593E0000}"/>
    <cellStyle name="Comma 2 2 3 6 8" xfId="5267" xr:uid="{00000000-0005-0000-0000-0000C3140000}"/>
    <cellStyle name="Comma 2 2 3 6 9" xfId="12781" xr:uid="{00000000-0005-0000-0000-00001D320000}"/>
    <cellStyle name="Comma 2 2 3 7" xfId="15914" xr:uid="{00000000-0005-0000-0000-00005A3E0000}"/>
    <cellStyle name="Comma 2 2 3 7 10" xfId="15915" xr:uid="{00000000-0005-0000-0000-00005B3E0000}"/>
    <cellStyle name="Comma 2 2 3 7 11" xfId="15917" xr:uid="{00000000-0005-0000-0000-00005D3E0000}"/>
    <cellStyle name="Comma 2 2 3 7 12" xfId="15918" xr:uid="{00000000-0005-0000-0000-00005E3E0000}"/>
    <cellStyle name="Comma 2 2 3 7 13" xfId="15919" xr:uid="{00000000-0005-0000-0000-00005F3E0000}"/>
    <cellStyle name="Comma 2 2 3 7 14" xfId="15921" xr:uid="{00000000-0005-0000-0000-0000613E0000}"/>
    <cellStyle name="Comma 2 2 3 7 15" xfId="15924" xr:uid="{00000000-0005-0000-0000-0000643E0000}"/>
    <cellStyle name="Comma 2 2 3 7 16" xfId="15926" xr:uid="{00000000-0005-0000-0000-0000663E0000}"/>
    <cellStyle name="Comma 2 2 3 7 17" xfId="15928" xr:uid="{00000000-0005-0000-0000-0000683E0000}"/>
    <cellStyle name="Comma 2 2 3 7 18" xfId="15931" xr:uid="{00000000-0005-0000-0000-00006B3E0000}"/>
    <cellStyle name="Comma 2 2 3 7 2" xfId="15933" xr:uid="{00000000-0005-0000-0000-00006D3E0000}"/>
    <cellStyle name="Comma 2 2 3 7 2 10" xfId="15934" xr:uid="{00000000-0005-0000-0000-00006E3E0000}"/>
    <cellStyle name="Comma 2 2 3 7 2 2" xfId="5694" xr:uid="{00000000-0005-0000-0000-00006E160000}"/>
    <cellStyle name="Comma 2 2 3 7 2 2 2" xfId="5704" xr:uid="{00000000-0005-0000-0000-000078160000}"/>
    <cellStyle name="Comma 2 2 3 7 2 3" xfId="110" xr:uid="{00000000-0005-0000-0000-000078000000}"/>
    <cellStyle name="Comma 2 2 3 7 2 4" xfId="5723" xr:uid="{00000000-0005-0000-0000-00008B160000}"/>
    <cellStyle name="Comma 2 2 3 7 2 5" xfId="2010" xr:uid="{00000000-0005-0000-0000-00000A080000}"/>
    <cellStyle name="Comma 2 2 3 7 2 6" xfId="8137" xr:uid="{00000000-0005-0000-0000-0000F91F0000}"/>
    <cellStyle name="Comma 2 2 3 7 2 7" xfId="12561" xr:uid="{00000000-0005-0000-0000-000041310000}"/>
    <cellStyle name="Comma 2 2 3 7 2 8" xfId="12562" xr:uid="{00000000-0005-0000-0000-000042310000}"/>
    <cellStyle name="Comma 2 2 3 7 2 9" xfId="12568" xr:uid="{00000000-0005-0000-0000-000048310000}"/>
    <cellStyle name="Comma 2 2 3 7 3" xfId="15935" xr:uid="{00000000-0005-0000-0000-00006F3E0000}"/>
    <cellStyle name="Comma 2 2 3 7 3 2" xfId="15936" xr:uid="{00000000-0005-0000-0000-0000703E0000}"/>
    <cellStyle name="Comma 2 2 3 7 3 3" xfId="15937" xr:uid="{00000000-0005-0000-0000-0000713E0000}"/>
    <cellStyle name="Comma 2 2 3 7 3 4" xfId="15938" xr:uid="{00000000-0005-0000-0000-0000723E0000}"/>
    <cellStyle name="Comma 2 2 3 7 3 5" xfId="15939" xr:uid="{00000000-0005-0000-0000-0000733E0000}"/>
    <cellStyle name="Comma 2 2 3 7 3 6" xfId="15940" xr:uid="{00000000-0005-0000-0000-0000743E0000}"/>
    <cellStyle name="Comma 2 2 3 7 4" xfId="4054" xr:uid="{00000000-0005-0000-0000-000006100000}"/>
    <cellStyle name="Comma 2 2 3 7 4 2" xfId="15945" xr:uid="{00000000-0005-0000-0000-0000793E0000}"/>
    <cellStyle name="Comma 2 2 3 7 4 3" xfId="15951" xr:uid="{00000000-0005-0000-0000-00007F3E0000}"/>
    <cellStyle name="Comma 2 2 3 7 4 4" xfId="15956" xr:uid="{00000000-0005-0000-0000-0000843E0000}"/>
    <cellStyle name="Comma 2 2 3 7 4 5" xfId="15961" xr:uid="{00000000-0005-0000-0000-0000893E0000}"/>
    <cellStyle name="Comma 2 2 3 7 4 6" xfId="15968" xr:uid="{00000000-0005-0000-0000-0000903E0000}"/>
    <cellStyle name="Comma 2 2 3 7 5" xfId="15969" xr:uid="{00000000-0005-0000-0000-0000913E0000}"/>
    <cellStyle name="Comma 2 2 3 7 5 2" xfId="12830" xr:uid="{00000000-0005-0000-0000-00004E320000}"/>
    <cellStyle name="Comma 2 2 3 7 5 3" xfId="9787" xr:uid="{00000000-0005-0000-0000-00006B260000}"/>
    <cellStyle name="Comma 2 2 3 7 5 4" xfId="9792" xr:uid="{00000000-0005-0000-0000-000070260000}"/>
    <cellStyle name="Comma 2 2 3 7 5 5" xfId="6659" xr:uid="{00000000-0005-0000-0000-0000331A0000}"/>
    <cellStyle name="Comma 2 2 3 7 5 6" xfId="6663" xr:uid="{00000000-0005-0000-0000-0000371A0000}"/>
    <cellStyle name="Comma 2 2 3 7 6" xfId="15970" xr:uid="{00000000-0005-0000-0000-0000923E0000}"/>
    <cellStyle name="Comma 2 2 3 7 6 2" xfId="12851" xr:uid="{00000000-0005-0000-0000-000063320000}"/>
    <cellStyle name="Comma 2 2 3 7 6 3" xfId="12856" xr:uid="{00000000-0005-0000-0000-000068320000}"/>
    <cellStyle name="Comma 2 2 3 7 6 4" xfId="15972" xr:uid="{00000000-0005-0000-0000-0000943E0000}"/>
    <cellStyle name="Comma 2 2 3 7 6 5" xfId="15974" xr:uid="{00000000-0005-0000-0000-0000963E0000}"/>
    <cellStyle name="Comma 2 2 3 7 6 6" xfId="15975" xr:uid="{00000000-0005-0000-0000-0000973E0000}"/>
    <cellStyle name="Comma 2 2 3 7 7" xfId="15976" xr:uid="{00000000-0005-0000-0000-0000983E0000}"/>
    <cellStyle name="Comma 2 2 3 7 8" xfId="5285" xr:uid="{00000000-0005-0000-0000-0000D5140000}"/>
    <cellStyle name="Comma 2 2 3 7 9" xfId="15977" xr:uid="{00000000-0005-0000-0000-0000993E0000}"/>
    <cellStyle name="Comma 2 2 3 8" xfId="9167" xr:uid="{00000000-0005-0000-0000-0000FF230000}"/>
    <cellStyle name="Comma 2 2 3 8 10" xfId="9171" xr:uid="{00000000-0005-0000-0000-000003240000}"/>
    <cellStyle name="Comma 2 2 3 8 11" xfId="9178" xr:uid="{00000000-0005-0000-0000-00000A240000}"/>
    <cellStyle name="Comma 2 2 3 8 12" xfId="9183" xr:uid="{00000000-0005-0000-0000-00000F240000}"/>
    <cellStyle name="Comma 2 2 3 8 13" xfId="11637" xr:uid="{00000000-0005-0000-0000-0000A52D0000}"/>
    <cellStyle name="Comma 2 2 3 8 14" xfId="11639" xr:uid="{00000000-0005-0000-0000-0000A72D0000}"/>
    <cellStyle name="Comma 2 2 3 8 15" xfId="6398" xr:uid="{00000000-0005-0000-0000-00002E190000}"/>
    <cellStyle name="Comma 2 2 3 8 16" xfId="15979" xr:uid="{00000000-0005-0000-0000-00009B3E0000}"/>
    <cellStyle name="Comma 2 2 3 8 17" xfId="15980" xr:uid="{00000000-0005-0000-0000-00009C3E0000}"/>
    <cellStyle name="Comma 2 2 3 8 18" xfId="4859" xr:uid="{00000000-0005-0000-0000-00002B130000}"/>
    <cellStyle name="Comma 2 2 3 8 2" xfId="9190" xr:uid="{00000000-0005-0000-0000-000016240000}"/>
    <cellStyle name="Comma 2 2 3 8 2 10" xfId="699" xr:uid="{00000000-0005-0000-0000-0000EB020000}"/>
    <cellStyle name="Comma 2 2 3 8 2 2" xfId="9196" xr:uid="{00000000-0005-0000-0000-00001C240000}"/>
    <cellStyle name="Comma 2 2 3 8 2 2 2" xfId="9202" xr:uid="{00000000-0005-0000-0000-000022240000}"/>
    <cellStyle name="Comma 2 2 3 8 2 3" xfId="6016" xr:uid="{00000000-0005-0000-0000-0000B0170000}"/>
    <cellStyle name="Comma 2 2 3 8 2 4" xfId="6027" xr:uid="{00000000-0005-0000-0000-0000BB170000}"/>
    <cellStyle name="Comma 2 2 3 8 2 5" xfId="2216" xr:uid="{00000000-0005-0000-0000-0000D8080000}"/>
    <cellStyle name="Comma 2 2 3 8 2 6" xfId="7162" xr:uid="{00000000-0005-0000-0000-00002A1C0000}"/>
    <cellStyle name="Comma 2 2 3 8 2 7" xfId="7288" xr:uid="{00000000-0005-0000-0000-0000A81C0000}"/>
    <cellStyle name="Comma 2 2 3 8 2 8" xfId="7371" xr:uid="{00000000-0005-0000-0000-0000FB1C0000}"/>
    <cellStyle name="Comma 2 2 3 8 2 9" xfId="5097" xr:uid="{00000000-0005-0000-0000-000019140000}"/>
    <cellStyle name="Comma 2 2 3 8 3" xfId="9208" xr:uid="{00000000-0005-0000-0000-000028240000}"/>
    <cellStyle name="Comma 2 2 3 8 3 2" xfId="9212" xr:uid="{00000000-0005-0000-0000-00002C240000}"/>
    <cellStyle name="Comma 2 2 3 8 3 3" xfId="15983" xr:uid="{00000000-0005-0000-0000-00009F3E0000}"/>
    <cellStyle name="Comma 2 2 3 8 3 4" xfId="15986" xr:uid="{00000000-0005-0000-0000-0000A23E0000}"/>
    <cellStyle name="Comma 2 2 3 8 3 5" xfId="15989" xr:uid="{00000000-0005-0000-0000-0000A53E0000}"/>
    <cellStyle name="Comma 2 2 3 8 3 6" xfId="15992" xr:uid="{00000000-0005-0000-0000-0000A83E0000}"/>
    <cellStyle name="Comma 2 2 3 8 4" xfId="4060" xr:uid="{00000000-0005-0000-0000-00000C100000}"/>
    <cellStyle name="Comma 2 2 3 8 4 2" xfId="13831" xr:uid="{00000000-0005-0000-0000-000037360000}"/>
    <cellStyle name="Comma 2 2 3 8 4 3" xfId="4281" xr:uid="{00000000-0005-0000-0000-0000E9100000}"/>
    <cellStyle name="Comma 2 2 3 8 4 4" xfId="4309" xr:uid="{00000000-0005-0000-0000-000005110000}"/>
    <cellStyle name="Comma 2 2 3 8 4 5" xfId="6302" xr:uid="{00000000-0005-0000-0000-0000CE180000}"/>
    <cellStyle name="Comma 2 2 3 8 4 6" xfId="6320" xr:uid="{00000000-0005-0000-0000-0000E0180000}"/>
    <cellStyle name="Comma 2 2 3 8 5" xfId="1334" xr:uid="{00000000-0005-0000-0000-000066050000}"/>
    <cellStyle name="Comma 2 2 3 8 5 2" xfId="13844" xr:uid="{00000000-0005-0000-0000-000044360000}"/>
    <cellStyle name="Comma 2 2 3 8 5 3" xfId="4332" xr:uid="{00000000-0005-0000-0000-00001C110000}"/>
    <cellStyle name="Comma 2 2 3 8 5 4" xfId="7546" xr:uid="{00000000-0005-0000-0000-0000AA1D0000}"/>
    <cellStyle name="Comma 2 2 3 8 5 5" xfId="314" xr:uid="{00000000-0005-0000-0000-00004F010000}"/>
    <cellStyle name="Comma 2 2 3 8 5 6" xfId="178" xr:uid="{00000000-0005-0000-0000-0000BF000000}"/>
    <cellStyle name="Comma 2 2 3 8 6" xfId="9223" xr:uid="{00000000-0005-0000-0000-000037240000}"/>
    <cellStyle name="Comma 2 2 3 8 6 2" xfId="15996" xr:uid="{00000000-0005-0000-0000-0000AC3E0000}"/>
    <cellStyle name="Comma 2 2 3 8 6 3" xfId="16000" xr:uid="{00000000-0005-0000-0000-0000B03E0000}"/>
    <cellStyle name="Comma 2 2 3 8 6 4" xfId="16001" xr:uid="{00000000-0005-0000-0000-0000B13E0000}"/>
    <cellStyle name="Comma 2 2 3 8 6 5" xfId="16002" xr:uid="{00000000-0005-0000-0000-0000B23E0000}"/>
    <cellStyle name="Comma 2 2 3 8 6 6" xfId="16003" xr:uid="{00000000-0005-0000-0000-0000B33E0000}"/>
    <cellStyle name="Comma 2 2 3 8 7" xfId="9227" xr:uid="{00000000-0005-0000-0000-00003B240000}"/>
    <cellStyle name="Comma 2 2 3 8 8" xfId="5301" xr:uid="{00000000-0005-0000-0000-0000E5140000}"/>
    <cellStyle name="Comma 2 2 3 8 9" xfId="9234" xr:uid="{00000000-0005-0000-0000-000042240000}"/>
    <cellStyle name="Comma 2 2 3 9" xfId="9237" xr:uid="{00000000-0005-0000-0000-000045240000}"/>
    <cellStyle name="Comma 2 2 3 9 10" xfId="9244" xr:uid="{00000000-0005-0000-0000-00004C240000}"/>
    <cellStyle name="Comma 2 2 3 9 11" xfId="9251" xr:uid="{00000000-0005-0000-0000-000053240000}"/>
    <cellStyle name="Comma 2 2 3 9 12" xfId="8520" xr:uid="{00000000-0005-0000-0000-000078210000}"/>
    <cellStyle name="Comma 2 2 3 9 13" xfId="8536" xr:uid="{00000000-0005-0000-0000-000088210000}"/>
    <cellStyle name="Comma 2 2 3 9 14" xfId="8550" xr:uid="{00000000-0005-0000-0000-000096210000}"/>
    <cellStyle name="Comma 2 2 3 9 15" xfId="7273" xr:uid="{00000000-0005-0000-0000-0000991C0000}"/>
    <cellStyle name="Comma 2 2 3 9 2" xfId="8374" xr:uid="{00000000-0005-0000-0000-0000E6200000}"/>
    <cellStyle name="Comma 2 2 3 9 2 2" xfId="9257" xr:uid="{00000000-0005-0000-0000-000059240000}"/>
    <cellStyle name="Comma 2 2 3 9 2 2 2" xfId="9263" xr:uid="{00000000-0005-0000-0000-00005F240000}"/>
    <cellStyle name="Comma 2 2 3 9 2 3" xfId="9267" xr:uid="{00000000-0005-0000-0000-000063240000}"/>
    <cellStyle name="Comma 2 2 3 9 2 4" xfId="9277" xr:uid="{00000000-0005-0000-0000-00006D240000}"/>
    <cellStyle name="Comma 2 2 3 9 2 5" xfId="9287" xr:uid="{00000000-0005-0000-0000-000077240000}"/>
    <cellStyle name="Comma 2 2 3 9 2 6" xfId="16005" xr:uid="{00000000-0005-0000-0000-0000B53E0000}"/>
    <cellStyle name="Comma 2 2 3 9 2 7" xfId="16006" xr:uid="{00000000-0005-0000-0000-0000B63E0000}"/>
    <cellStyle name="Comma 2 2 3 9 2 8" xfId="15253" xr:uid="{00000000-0005-0000-0000-0000C53B0000}"/>
    <cellStyle name="Comma 2 2 3 9 2 9" xfId="15263" xr:uid="{00000000-0005-0000-0000-0000CF3B0000}"/>
    <cellStyle name="Comma 2 2 3 9 3" xfId="2136" xr:uid="{00000000-0005-0000-0000-000088080000}"/>
    <cellStyle name="Comma 2 2 3 9 3 2" xfId="9299" xr:uid="{00000000-0005-0000-0000-000083240000}"/>
    <cellStyle name="Comma 2 2 3 9 3 3" xfId="16009" xr:uid="{00000000-0005-0000-0000-0000B93E0000}"/>
    <cellStyle name="Comma 2 2 3 9 3 4" xfId="16013" xr:uid="{00000000-0005-0000-0000-0000BD3E0000}"/>
    <cellStyle name="Comma 2 2 3 9 3 5" xfId="16015" xr:uid="{00000000-0005-0000-0000-0000BF3E0000}"/>
    <cellStyle name="Comma 2 2 3 9 3 6" xfId="16017" xr:uid="{00000000-0005-0000-0000-0000C13E0000}"/>
    <cellStyle name="Comma 2 2 3 9 4" xfId="8379" xr:uid="{00000000-0005-0000-0000-0000EB200000}"/>
    <cellStyle name="Comma 2 2 3 9 4 2" xfId="13857" xr:uid="{00000000-0005-0000-0000-000051360000}"/>
    <cellStyle name="Comma 2 2 3 9 5" xfId="8386" xr:uid="{00000000-0005-0000-0000-0000F2200000}"/>
    <cellStyle name="Comma 2 2 3 9 6" xfId="9308" xr:uid="{00000000-0005-0000-0000-00008C240000}"/>
    <cellStyle name="Comma 2 2 3 9 7" xfId="9314" xr:uid="{00000000-0005-0000-0000-000092240000}"/>
    <cellStyle name="Comma 2 2 3 9 8" xfId="9318" xr:uid="{00000000-0005-0000-0000-000096240000}"/>
    <cellStyle name="Comma 2 2 3 9 9" xfId="9322" xr:uid="{00000000-0005-0000-0000-00009A240000}"/>
    <cellStyle name="Comma 2 2 30" xfId="12557" xr:uid="{00000000-0005-0000-0000-00003D310000}"/>
    <cellStyle name="Comma 2 2 4" xfId="13007" xr:uid="{00000000-0005-0000-0000-0000FF320000}"/>
    <cellStyle name="Comma 2 2 4 10" xfId="2302" xr:uid="{00000000-0005-0000-0000-00002E090000}"/>
    <cellStyle name="Comma 2 2 4 10 2" xfId="9402" xr:uid="{00000000-0005-0000-0000-0000EA240000}"/>
    <cellStyle name="Comma 2 2 4 10 2 2" xfId="16018" xr:uid="{00000000-0005-0000-0000-0000C23E0000}"/>
    <cellStyle name="Comma 2 2 4 10 3" xfId="9406" xr:uid="{00000000-0005-0000-0000-0000EE240000}"/>
    <cellStyle name="Comma 2 2 4 10 4" xfId="9410" xr:uid="{00000000-0005-0000-0000-0000F2240000}"/>
    <cellStyle name="Comma 2 2 4 10 5" xfId="9415" xr:uid="{00000000-0005-0000-0000-0000F7240000}"/>
    <cellStyle name="Comma 2 2 4 10 6" xfId="9419" xr:uid="{00000000-0005-0000-0000-0000FB240000}"/>
    <cellStyle name="Comma 2 2 4 10 7" xfId="16019" xr:uid="{00000000-0005-0000-0000-0000C33E0000}"/>
    <cellStyle name="Comma 2 2 4 10 8" xfId="16020" xr:uid="{00000000-0005-0000-0000-0000C43E0000}"/>
    <cellStyle name="Comma 2 2 4 10 9" xfId="16021" xr:uid="{00000000-0005-0000-0000-0000C53E0000}"/>
    <cellStyle name="Comma 2 2 4 11" xfId="664" xr:uid="{00000000-0005-0000-0000-0000C8020000}"/>
    <cellStyle name="Comma 2 2 4 11 2" xfId="568" xr:uid="{00000000-0005-0000-0000-00005F020000}"/>
    <cellStyle name="Comma 2 2 4 11 3" xfId="609" xr:uid="{00000000-0005-0000-0000-00008B020000}"/>
    <cellStyle name="Comma 2 2 4 11 4" xfId="16024" xr:uid="{00000000-0005-0000-0000-0000C83E0000}"/>
    <cellStyle name="Comma 2 2 4 11 5" xfId="14127" xr:uid="{00000000-0005-0000-0000-00005F370000}"/>
    <cellStyle name="Comma 2 2 4 11 6" xfId="14131" xr:uid="{00000000-0005-0000-0000-000063370000}"/>
    <cellStyle name="Comma 2 2 4 12" xfId="669" xr:uid="{00000000-0005-0000-0000-0000CD020000}"/>
    <cellStyle name="Comma 2 2 4 12 2" xfId="684" xr:uid="{00000000-0005-0000-0000-0000DC020000}"/>
    <cellStyle name="Comma 2 2 4 12 3" xfId="16026" xr:uid="{00000000-0005-0000-0000-0000CA3E0000}"/>
    <cellStyle name="Comma 2 2 4 12 4" xfId="16029" xr:uid="{00000000-0005-0000-0000-0000CD3E0000}"/>
    <cellStyle name="Comma 2 2 4 12 5" xfId="16032" xr:uid="{00000000-0005-0000-0000-0000D03E0000}"/>
    <cellStyle name="Comma 2 2 4 12 6" xfId="16035" xr:uid="{00000000-0005-0000-0000-0000D33E0000}"/>
    <cellStyle name="Comma 2 2 4 13" xfId="694" xr:uid="{00000000-0005-0000-0000-0000E6020000}"/>
    <cellStyle name="Comma 2 2 4 13 2" xfId="213" xr:uid="{00000000-0005-0000-0000-0000E5000000}"/>
    <cellStyle name="Comma 2 2 4 13 3" xfId="16037" xr:uid="{00000000-0005-0000-0000-0000D53E0000}"/>
    <cellStyle name="Comma 2 2 4 13 4" xfId="16040" xr:uid="{00000000-0005-0000-0000-0000D83E0000}"/>
    <cellStyle name="Comma 2 2 4 13 5" xfId="16042" xr:uid="{00000000-0005-0000-0000-0000DA3E0000}"/>
    <cellStyle name="Comma 2 2 4 13 6" xfId="16044" xr:uid="{00000000-0005-0000-0000-0000DC3E0000}"/>
    <cellStyle name="Comma 2 2 4 14" xfId="161" xr:uid="{00000000-0005-0000-0000-0000AD000000}"/>
    <cellStyle name="Comma 2 2 4 14 2" xfId="16045" xr:uid="{00000000-0005-0000-0000-0000DD3E0000}"/>
    <cellStyle name="Comma 2 2 4 14 3" xfId="16048" xr:uid="{00000000-0005-0000-0000-0000E03E0000}"/>
    <cellStyle name="Comma 2 2 4 14 4" xfId="10393" xr:uid="{00000000-0005-0000-0000-0000C9280000}"/>
    <cellStyle name="Comma 2 2 4 14 5" xfId="4219" xr:uid="{00000000-0005-0000-0000-0000AB100000}"/>
    <cellStyle name="Comma 2 2 4 14 6" xfId="5125" xr:uid="{00000000-0005-0000-0000-000035140000}"/>
    <cellStyle name="Comma 2 2 4 15" xfId="708" xr:uid="{00000000-0005-0000-0000-0000F4020000}"/>
    <cellStyle name="Comma 2 2 4 16" xfId="11390" xr:uid="{00000000-0005-0000-0000-0000AE2C0000}"/>
    <cellStyle name="Comma 2 2 4 17" xfId="11393" xr:uid="{00000000-0005-0000-0000-0000B12C0000}"/>
    <cellStyle name="Comma 2 2 4 18" xfId="11396" xr:uid="{00000000-0005-0000-0000-0000B42C0000}"/>
    <cellStyle name="Comma 2 2 4 19" xfId="11399" xr:uid="{00000000-0005-0000-0000-0000B72C0000}"/>
    <cellStyle name="Comma 2 2 4 2" xfId="13009" xr:uid="{00000000-0005-0000-0000-000001330000}"/>
    <cellStyle name="Comma 2 2 4 2 10" xfId="11859" xr:uid="{00000000-0005-0000-0000-0000832E0000}"/>
    <cellStyle name="Comma 2 2 4 2 10 2" xfId="11865" xr:uid="{00000000-0005-0000-0000-0000892E0000}"/>
    <cellStyle name="Comma 2 2 4 2 10 3" xfId="11878" xr:uid="{00000000-0005-0000-0000-0000962E0000}"/>
    <cellStyle name="Comma 2 2 4 2 10 4" xfId="10276" xr:uid="{00000000-0005-0000-0000-000054280000}"/>
    <cellStyle name="Comma 2 2 4 2 10 5" xfId="3964" xr:uid="{00000000-0005-0000-0000-0000AC0F0000}"/>
    <cellStyle name="Comma 2 2 4 2 10 6" xfId="11883" xr:uid="{00000000-0005-0000-0000-00009B2E0000}"/>
    <cellStyle name="Comma 2 2 4 2 11" xfId="6968" xr:uid="{00000000-0005-0000-0000-0000681B0000}"/>
    <cellStyle name="Comma 2 2 4 2 11 2" xfId="6971" xr:uid="{00000000-0005-0000-0000-00006B1B0000}"/>
    <cellStyle name="Comma 2 2 4 2 11 3" xfId="11205" xr:uid="{00000000-0005-0000-0000-0000F52B0000}"/>
    <cellStyle name="Comma 2 2 4 2 11 4" xfId="12311" xr:uid="{00000000-0005-0000-0000-000047300000}"/>
    <cellStyle name="Comma 2 2 4 2 11 5" xfId="1685" xr:uid="{00000000-0005-0000-0000-0000C5060000}"/>
    <cellStyle name="Comma 2 2 4 2 11 6" xfId="12339" xr:uid="{00000000-0005-0000-0000-000063300000}"/>
    <cellStyle name="Comma 2 2 4 2 12" xfId="6984" xr:uid="{00000000-0005-0000-0000-0000781B0000}"/>
    <cellStyle name="Comma 2 2 4 2 13" xfId="6994" xr:uid="{00000000-0005-0000-0000-0000821B0000}"/>
    <cellStyle name="Comma 2 2 4 2 14" xfId="16054" xr:uid="{00000000-0005-0000-0000-0000E63E0000}"/>
    <cellStyle name="Comma 2 2 4 2 15" xfId="16056" xr:uid="{00000000-0005-0000-0000-0000E83E0000}"/>
    <cellStyle name="Comma 2 2 4 2 16" xfId="12152" xr:uid="{00000000-0005-0000-0000-0000A82F0000}"/>
    <cellStyle name="Comma 2 2 4 2 17" xfId="4423" xr:uid="{00000000-0005-0000-0000-000077110000}"/>
    <cellStyle name="Comma 2 2 4 2 18" xfId="16058" xr:uid="{00000000-0005-0000-0000-0000EA3E0000}"/>
    <cellStyle name="Comma 2 2 4 2 19" xfId="16061" xr:uid="{00000000-0005-0000-0000-0000ED3E0000}"/>
    <cellStyle name="Comma 2 2 4 2 2" xfId="1981" xr:uid="{00000000-0005-0000-0000-0000ED070000}"/>
    <cellStyle name="Comma 2 2 4 2 2 10" xfId="10472" xr:uid="{00000000-0005-0000-0000-000018290000}"/>
    <cellStyle name="Comma 2 2 4 2 2 11" xfId="15616" xr:uid="{00000000-0005-0000-0000-0000303D0000}"/>
    <cellStyle name="Comma 2 2 4 2 2 12" xfId="15623" xr:uid="{00000000-0005-0000-0000-0000373D0000}"/>
    <cellStyle name="Comma 2 2 4 2 2 13" xfId="15626" xr:uid="{00000000-0005-0000-0000-00003A3D0000}"/>
    <cellStyle name="Comma 2 2 4 2 2 14" xfId="15631" xr:uid="{00000000-0005-0000-0000-00003F3D0000}"/>
    <cellStyle name="Comma 2 2 4 2 2 15" xfId="15634" xr:uid="{00000000-0005-0000-0000-0000423D0000}"/>
    <cellStyle name="Comma 2 2 4 2 2 16" xfId="15637" xr:uid="{00000000-0005-0000-0000-0000453D0000}"/>
    <cellStyle name="Comma 2 2 4 2 2 17" xfId="15642" xr:uid="{00000000-0005-0000-0000-00004A3D0000}"/>
    <cellStyle name="Comma 2 2 4 2 2 18" xfId="15648" xr:uid="{00000000-0005-0000-0000-0000503D0000}"/>
    <cellStyle name="Comma 2 2 4 2 2 2" xfId="13746" xr:uid="{00000000-0005-0000-0000-0000E2350000}"/>
    <cellStyle name="Comma 2 2 4 2 2 2 10" xfId="16063" xr:uid="{00000000-0005-0000-0000-0000EF3E0000}"/>
    <cellStyle name="Comma 2 2 4 2 2 2 11" xfId="16071" xr:uid="{00000000-0005-0000-0000-0000F73E0000}"/>
    <cellStyle name="Comma 2 2 4 2 2 2 12" xfId="16075" xr:uid="{00000000-0005-0000-0000-0000FB3E0000}"/>
    <cellStyle name="Comma 2 2 4 2 2 2 2" xfId="16076" xr:uid="{00000000-0005-0000-0000-0000FC3E0000}"/>
    <cellStyle name="Comma 2 2 4 2 2 2 2 2" xfId="16081" xr:uid="{00000000-0005-0000-0000-0000013F0000}"/>
    <cellStyle name="Comma 2 2 4 2 2 2 2 2 2" xfId="7499" xr:uid="{00000000-0005-0000-0000-00007B1D0000}"/>
    <cellStyle name="Comma 2 2 4 2 2 2 2 3" xfId="16086" xr:uid="{00000000-0005-0000-0000-0000063F0000}"/>
    <cellStyle name="Comma 2 2 4 2 2 2 2 4" xfId="16092" xr:uid="{00000000-0005-0000-0000-00000C3F0000}"/>
    <cellStyle name="Comma 2 2 4 2 2 2 2 5" xfId="16098" xr:uid="{00000000-0005-0000-0000-0000123F0000}"/>
    <cellStyle name="Comma 2 2 4 2 2 2 3" xfId="13401" xr:uid="{00000000-0005-0000-0000-000089340000}"/>
    <cellStyle name="Comma 2 2 4 2 2 2 3 2" xfId="16102" xr:uid="{00000000-0005-0000-0000-0000163F0000}"/>
    <cellStyle name="Comma 2 2 4 2 2 2 4" xfId="13407" xr:uid="{00000000-0005-0000-0000-00008F340000}"/>
    <cellStyle name="Comma 2 2 4 2 2 2 5" xfId="13414" xr:uid="{00000000-0005-0000-0000-000096340000}"/>
    <cellStyle name="Comma 2 2 4 2 2 2 6" xfId="5324" xr:uid="{00000000-0005-0000-0000-0000FC140000}"/>
    <cellStyle name="Comma 2 2 4 2 2 2 7" xfId="2702" xr:uid="{00000000-0005-0000-0000-0000BE0A0000}"/>
    <cellStyle name="Comma 2 2 4 2 2 2 8" xfId="2839" xr:uid="{00000000-0005-0000-0000-0000470B0000}"/>
    <cellStyle name="Comma 2 2 4 2 2 2 9" xfId="2886" xr:uid="{00000000-0005-0000-0000-0000760B0000}"/>
    <cellStyle name="Comma 2 2 4 2 2 3" xfId="13748" xr:uid="{00000000-0005-0000-0000-0000E4350000}"/>
    <cellStyle name="Comma 2 2 4 2 2 3 10" xfId="1114" xr:uid="{00000000-0005-0000-0000-00008A040000}"/>
    <cellStyle name="Comma 2 2 4 2 2 3 11" xfId="2714" xr:uid="{00000000-0005-0000-0000-0000CA0A0000}"/>
    <cellStyle name="Comma 2 2 4 2 2 3 12" xfId="2723" xr:uid="{00000000-0005-0000-0000-0000D30A0000}"/>
    <cellStyle name="Comma 2 2 4 2 2 3 2" xfId="16105" xr:uid="{00000000-0005-0000-0000-0000193F0000}"/>
    <cellStyle name="Comma 2 2 4 2 2 3 2 2" xfId="16109" xr:uid="{00000000-0005-0000-0000-00001D3F0000}"/>
    <cellStyle name="Comma 2 2 4 2 2 3 2 2 2" xfId="1102" xr:uid="{00000000-0005-0000-0000-00007E040000}"/>
    <cellStyle name="Comma 2 2 4 2 2 3 2 3" xfId="16112" xr:uid="{00000000-0005-0000-0000-0000203F0000}"/>
    <cellStyle name="Comma 2 2 4 2 2 3 2 4" xfId="16115" xr:uid="{00000000-0005-0000-0000-0000233F0000}"/>
    <cellStyle name="Comma 2 2 4 2 2 3 2 5" xfId="16118" xr:uid="{00000000-0005-0000-0000-0000263F0000}"/>
    <cellStyle name="Comma 2 2 4 2 2 3 3" xfId="16120" xr:uid="{00000000-0005-0000-0000-0000283F0000}"/>
    <cellStyle name="Comma 2 2 4 2 2 3 3 2" xfId="12863" xr:uid="{00000000-0005-0000-0000-00006F320000}"/>
    <cellStyle name="Comma 2 2 4 2 2 3 4" xfId="16123" xr:uid="{00000000-0005-0000-0000-00002B3F0000}"/>
    <cellStyle name="Comma 2 2 4 2 2 3 5" xfId="16129" xr:uid="{00000000-0005-0000-0000-0000313F0000}"/>
    <cellStyle name="Comma 2 2 4 2 2 3 6" xfId="5327" xr:uid="{00000000-0005-0000-0000-0000FF140000}"/>
    <cellStyle name="Comma 2 2 4 2 2 3 7" xfId="715" xr:uid="{00000000-0005-0000-0000-0000FB020000}"/>
    <cellStyle name="Comma 2 2 4 2 2 3 8" xfId="2998" xr:uid="{00000000-0005-0000-0000-0000E60B0000}"/>
    <cellStyle name="Comma 2 2 4 2 2 3 9" xfId="3014" xr:uid="{00000000-0005-0000-0000-0000F60B0000}"/>
    <cellStyle name="Comma 2 2 4 2 2 4" xfId="13752" xr:uid="{00000000-0005-0000-0000-0000E8350000}"/>
    <cellStyle name="Comma 2 2 4 2 2 4 10" xfId="13023" xr:uid="{00000000-0005-0000-0000-00000F330000}"/>
    <cellStyle name="Comma 2 2 4 2 2 4 2" xfId="16133" xr:uid="{00000000-0005-0000-0000-0000353F0000}"/>
    <cellStyle name="Comma 2 2 4 2 2 4 2 2" xfId="16139" xr:uid="{00000000-0005-0000-0000-00003B3F0000}"/>
    <cellStyle name="Comma 2 2 4 2 2 4 2 2 2" xfId="16144" xr:uid="{00000000-0005-0000-0000-0000403F0000}"/>
    <cellStyle name="Comma 2 2 4 2 2 4 2 3" xfId="16151" xr:uid="{00000000-0005-0000-0000-0000473F0000}"/>
    <cellStyle name="Comma 2 2 4 2 2 4 2 4" xfId="16156" xr:uid="{00000000-0005-0000-0000-00004C3F0000}"/>
    <cellStyle name="Comma 2 2 4 2 2 4 2 5" xfId="16161" xr:uid="{00000000-0005-0000-0000-0000513F0000}"/>
    <cellStyle name="Comma 2 2 4 2 2 4 3" xfId="16165" xr:uid="{00000000-0005-0000-0000-0000553F0000}"/>
    <cellStyle name="Comma 2 2 4 2 2 4 3 2" xfId="14223" xr:uid="{00000000-0005-0000-0000-0000BF370000}"/>
    <cellStyle name="Comma 2 2 4 2 2 4 4" xfId="16172" xr:uid="{00000000-0005-0000-0000-00005C3F0000}"/>
    <cellStyle name="Comma 2 2 4 2 2 4 5" xfId="16179" xr:uid="{00000000-0005-0000-0000-0000633F0000}"/>
    <cellStyle name="Comma 2 2 4 2 2 4 6" xfId="16185" xr:uid="{00000000-0005-0000-0000-0000693F0000}"/>
    <cellStyle name="Comma 2 2 4 2 2 4 7" xfId="3103" xr:uid="{00000000-0005-0000-0000-00004F0C0000}"/>
    <cellStyle name="Comma 2 2 4 2 2 4 8" xfId="4966" xr:uid="{00000000-0005-0000-0000-000096130000}"/>
    <cellStyle name="Comma 2 2 4 2 2 4 9" xfId="16188" xr:uid="{00000000-0005-0000-0000-00006C3F0000}"/>
    <cellStyle name="Comma 2 2 4 2 2 5" xfId="13756" xr:uid="{00000000-0005-0000-0000-0000EC350000}"/>
    <cellStyle name="Comma 2 2 4 2 2 5 10" xfId="13317" xr:uid="{00000000-0005-0000-0000-000035340000}"/>
    <cellStyle name="Comma 2 2 4 2 2 5 2" xfId="16193" xr:uid="{00000000-0005-0000-0000-0000713F0000}"/>
    <cellStyle name="Comma 2 2 4 2 2 5 2 2" xfId="16199" xr:uid="{00000000-0005-0000-0000-0000773F0000}"/>
    <cellStyle name="Comma 2 2 4 2 2 5 2 2 2" xfId="12960" xr:uid="{00000000-0005-0000-0000-0000D0320000}"/>
    <cellStyle name="Comma 2 2 4 2 2 5 2 3" xfId="16209" xr:uid="{00000000-0005-0000-0000-0000813F0000}"/>
    <cellStyle name="Comma 2 2 4 2 2 5 2 4" xfId="16216" xr:uid="{00000000-0005-0000-0000-0000883F0000}"/>
    <cellStyle name="Comma 2 2 4 2 2 5 2 5" xfId="16222" xr:uid="{00000000-0005-0000-0000-00008E3F0000}"/>
    <cellStyle name="Comma 2 2 4 2 2 5 3" xfId="16227" xr:uid="{00000000-0005-0000-0000-0000933F0000}"/>
    <cellStyle name="Comma 2 2 4 2 2 5 3 2" xfId="16235" xr:uid="{00000000-0005-0000-0000-00009B3F0000}"/>
    <cellStyle name="Comma 2 2 4 2 2 5 4" xfId="16240" xr:uid="{00000000-0005-0000-0000-0000A03F0000}"/>
    <cellStyle name="Comma 2 2 4 2 2 5 5" xfId="16248" xr:uid="{00000000-0005-0000-0000-0000A83F0000}"/>
    <cellStyle name="Comma 2 2 4 2 2 5 6" xfId="7521" xr:uid="{00000000-0005-0000-0000-0000911D0000}"/>
    <cellStyle name="Comma 2 2 4 2 2 5 7" xfId="3125" xr:uid="{00000000-0005-0000-0000-0000650C0000}"/>
    <cellStyle name="Comma 2 2 4 2 2 5 8" xfId="4982" xr:uid="{00000000-0005-0000-0000-0000A6130000}"/>
    <cellStyle name="Comma 2 2 4 2 2 5 9" xfId="16252" xr:uid="{00000000-0005-0000-0000-0000AC3F0000}"/>
    <cellStyle name="Comma 2 2 4 2 2 6" xfId="13761" xr:uid="{00000000-0005-0000-0000-0000F1350000}"/>
    <cellStyle name="Comma 2 2 4 2 2 6 2" xfId="15603" xr:uid="{00000000-0005-0000-0000-0000233D0000}"/>
    <cellStyle name="Comma 2 2 4 2 2 6 2 2" xfId="11517" xr:uid="{00000000-0005-0000-0000-00002D2D0000}"/>
    <cellStyle name="Comma 2 2 4 2 2 6 3" xfId="15610" xr:uid="{00000000-0005-0000-0000-00002A3D0000}"/>
    <cellStyle name="Comma 2 2 4 2 2 6 4" xfId="16259" xr:uid="{00000000-0005-0000-0000-0000B33F0000}"/>
    <cellStyle name="Comma 2 2 4 2 2 6 5" xfId="16266" xr:uid="{00000000-0005-0000-0000-0000BA3F0000}"/>
    <cellStyle name="Comma 2 2 4 2 2 6 6" xfId="1173" xr:uid="{00000000-0005-0000-0000-0000C5040000}"/>
    <cellStyle name="Comma 2 2 4 2 2 6 7" xfId="839" xr:uid="{00000000-0005-0000-0000-000077030000}"/>
    <cellStyle name="Comma 2 2 4 2 2 6 8" xfId="4997" xr:uid="{00000000-0005-0000-0000-0000B5130000}"/>
    <cellStyle name="Comma 2 2 4 2 2 6 9" xfId="16270" xr:uid="{00000000-0005-0000-0000-0000BE3F0000}"/>
    <cellStyle name="Comma 2 2 4 2 2 7" xfId="16274" xr:uid="{00000000-0005-0000-0000-0000C23F0000}"/>
    <cellStyle name="Comma 2 2 4 2 2 7 2" xfId="14158" xr:uid="{00000000-0005-0000-0000-00007E370000}"/>
    <cellStyle name="Comma 2 2 4 2 2 8" xfId="16278" xr:uid="{00000000-0005-0000-0000-0000C63F0000}"/>
    <cellStyle name="Comma 2 2 4 2 2 9" xfId="16284" xr:uid="{00000000-0005-0000-0000-0000CC3F0000}"/>
    <cellStyle name="Comma 2 2 4 2 20" xfId="16057" xr:uid="{00000000-0005-0000-0000-0000E93E0000}"/>
    <cellStyle name="Comma 2 2 4 2 21" xfId="12153" xr:uid="{00000000-0005-0000-0000-0000A92F0000}"/>
    <cellStyle name="Comma 2 2 4 2 22" xfId="4424" xr:uid="{00000000-0005-0000-0000-000078110000}"/>
    <cellStyle name="Comma 2 2 4 2 23" xfId="16059" xr:uid="{00000000-0005-0000-0000-0000EB3E0000}"/>
    <cellStyle name="Comma 2 2 4 2 3" xfId="4679" xr:uid="{00000000-0005-0000-0000-000077120000}"/>
    <cellStyle name="Comma 2 2 4 2 3 10" xfId="5011" xr:uid="{00000000-0005-0000-0000-0000C3130000}"/>
    <cellStyle name="Comma 2 2 4 2 3 11" xfId="1697" xr:uid="{00000000-0005-0000-0000-0000D1060000}"/>
    <cellStyle name="Comma 2 2 4 2 3 12" xfId="5021" xr:uid="{00000000-0005-0000-0000-0000CD130000}"/>
    <cellStyle name="Comma 2 2 4 2 3 13" xfId="5037" xr:uid="{00000000-0005-0000-0000-0000DD130000}"/>
    <cellStyle name="Comma 2 2 4 2 3 14" xfId="5044" xr:uid="{00000000-0005-0000-0000-0000E4130000}"/>
    <cellStyle name="Comma 2 2 4 2 3 15" xfId="5067" xr:uid="{00000000-0005-0000-0000-0000FB130000}"/>
    <cellStyle name="Comma 2 2 4 2 3 16" xfId="5085" xr:uid="{00000000-0005-0000-0000-00000D140000}"/>
    <cellStyle name="Comma 2 2 4 2 3 17" xfId="6037" xr:uid="{00000000-0005-0000-0000-0000C5170000}"/>
    <cellStyle name="Comma 2 2 4 2 3 18" xfId="6043" xr:uid="{00000000-0005-0000-0000-0000CB170000}"/>
    <cellStyle name="Comma 2 2 4 2 3 2" xfId="13764" xr:uid="{00000000-0005-0000-0000-0000F4350000}"/>
    <cellStyle name="Comma 2 2 4 2 3 2 10" xfId="16289" xr:uid="{00000000-0005-0000-0000-0000D13F0000}"/>
    <cellStyle name="Comma 2 2 4 2 3 2 2" xfId="16290" xr:uid="{00000000-0005-0000-0000-0000D23F0000}"/>
    <cellStyle name="Comma 2 2 4 2 3 2 2 2" xfId="12901" xr:uid="{00000000-0005-0000-0000-000095320000}"/>
    <cellStyle name="Comma 2 2 4 2 3 2 3" xfId="16292" xr:uid="{00000000-0005-0000-0000-0000D43F0000}"/>
    <cellStyle name="Comma 2 2 4 2 3 2 4" xfId="5778" xr:uid="{00000000-0005-0000-0000-0000C2160000}"/>
    <cellStyle name="Comma 2 2 4 2 3 2 5" xfId="12406" xr:uid="{00000000-0005-0000-0000-0000A6300000}"/>
    <cellStyle name="Comma 2 2 4 2 3 2 6" xfId="5627" xr:uid="{00000000-0005-0000-0000-00002B160000}"/>
    <cellStyle name="Comma 2 2 4 2 3 2 7" xfId="234" xr:uid="{00000000-0005-0000-0000-0000FB000000}"/>
    <cellStyle name="Comma 2 2 4 2 3 2 8" xfId="3315" xr:uid="{00000000-0005-0000-0000-0000230D0000}"/>
    <cellStyle name="Comma 2 2 4 2 3 2 9" xfId="2643" xr:uid="{00000000-0005-0000-0000-0000830A0000}"/>
    <cellStyle name="Comma 2 2 4 2 3 3" xfId="13766" xr:uid="{00000000-0005-0000-0000-0000F6350000}"/>
    <cellStyle name="Comma 2 2 4 2 3 3 2" xfId="16294" xr:uid="{00000000-0005-0000-0000-0000D63F0000}"/>
    <cellStyle name="Comma 2 2 4 2 3 3 3" xfId="16297" xr:uid="{00000000-0005-0000-0000-0000D93F0000}"/>
    <cellStyle name="Comma 2 2 4 2 3 3 4" xfId="4257" xr:uid="{00000000-0005-0000-0000-0000D1100000}"/>
    <cellStyle name="Comma 2 2 4 2 3 3 5" xfId="16300" xr:uid="{00000000-0005-0000-0000-0000DC3F0000}"/>
    <cellStyle name="Comma 2 2 4 2 3 3 6" xfId="4356" xr:uid="{00000000-0005-0000-0000-000034110000}"/>
    <cellStyle name="Comma 2 2 4 2 3 4" xfId="13770" xr:uid="{00000000-0005-0000-0000-0000FA350000}"/>
    <cellStyle name="Comma 2 2 4 2 3 4 2" xfId="16307" xr:uid="{00000000-0005-0000-0000-0000E33F0000}"/>
    <cellStyle name="Comma 2 2 4 2 3 4 3" xfId="16311" xr:uid="{00000000-0005-0000-0000-0000E73F0000}"/>
    <cellStyle name="Comma 2 2 4 2 3 4 4" xfId="16315" xr:uid="{00000000-0005-0000-0000-0000EB3F0000}"/>
    <cellStyle name="Comma 2 2 4 2 3 4 5" xfId="16319" xr:uid="{00000000-0005-0000-0000-0000EF3F0000}"/>
    <cellStyle name="Comma 2 2 4 2 3 4 6" xfId="16322" xr:uid="{00000000-0005-0000-0000-0000F23F0000}"/>
    <cellStyle name="Comma 2 2 4 2 3 5" xfId="11781" xr:uid="{00000000-0005-0000-0000-0000352E0000}"/>
    <cellStyle name="Comma 2 2 4 2 3 5 2" xfId="16327" xr:uid="{00000000-0005-0000-0000-0000F73F0000}"/>
    <cellStyle name="Comma 2 2 4 2 3 5 3" xfId="16332" xr:uid="{00000000-0005-0000-0000-0000FC3F0000}"/>
    <cellStyle name="Comma 2 2 4 2 3 5 4" xfId="16337" xr:uid="{00000000-0005-0000-0000-000001400000}"/>
    <cellStyle name="Comma 2 2 4 2 3 5 5" xfId="16342" xr:uid="{00000000-0005-0000-0000-000006400000}"/>
    <cellStyle name="Comma 2 2 4 2 3 5 6" xfId="16347" xr:uid="{00000000-0005-0000-0000-00000B400000}"/>
    <cellStyle name="Comma 2 2 4 2 3 6" xfId="11789" xr:uid="{00000000-0005-0000-0000-00003D2E0000}"/>
    <cellStyle name="Comma 2 2 4 2 3 6 2" xfId="16352" xr:uid="{00000000-0005-0000-0000-000010400000}"/>
    <cellStyle name="Comma 2 2 4 2 3 6 3" xfId="16357" xr:uid="{00000000-0005-0000-0000-000015400000}"/>
    <cellStyle name="Comma 2 2 4 2 3 6 4" xfId="16362" xr:uid="{00000000-0005-0000-0000-00001A400000}"/>
    <cellStyle name="Comma 2 2 4 2 3 6 5" xfId="16367" xr:uid="{00000000-0005-0000-0000-00001F400000}"/>
    <cellStyle name="Comma 2 2 4 2 3 6 6" xfId="16373" xr:uid="{00000000-0005-0000-0000-000025400000}"/>
    <cellStyle name="Comma 2 2 4 2 3 7" xfId="11797" xr:uid="{00000000-0005-0000-0000-0000452E0000}"/>
    <cellStyle name="Comma 2 2 4 2 3 8" xfId="11801" xr:uid="{00000000-0005-0000-0000-0000492E0000}"/>
    <cellStyle name="Comma 2 2 4 2 3 9" xfId="11808" xr:uid="{00000000-0005-0000-0000-0000502E0000}"/>
    <cellStyle name="Comma 2 2 4 2 4" xfId="4704" xr:uid="{00000000-0005-0000-0000-000090120000}"/>
    <cellStyle name="Comma 2 2 4 2 4 10" xfId="10056" xr:uid="{00000000-0005-0000-0000-000078270000}"/>
    <cellStyle name="Comma 2 2 4 2 4 11" xfId="16375" xr:uid="{00000000-0005-0000-0000-000027400000}"/>
    <cellStyle name="Comma 2 2 4 2 4 12" xfId="16377" xr:uid="{00000000-0005-0000-0000-000029400000}"/>
    <cellStyle name="Comma 2 2 4 2 4 13" xfId="16379" xr:uid="{00000000-0005-0000-0000-00002B400000}"/>
    <cellStyle name="Comma 2 2 4 2 4 14" xfId="16381" xr:uid="{00000000-0005-0000-0000-00002D400000}"/>
    <cellStyle name="Comma 2 2 4 2 4 15" xfId="5399" xr:uid="{00000000-0005-0000-0000-000047150000}"/>
    <cellStyle name="Comma 2 2 4 2 4 2" xfId="2663" xr:uid="{00000000-0005-0000-0000-0000970A0000}"/>
    <cellStyle name="Comma 2 2 4 2 4 2 2" xfId="16385" xr:uid="{00000000-0005-0000-0000-000031400000}"/>
    <cellStyle name="Comma 2 2 4 2 4 2 2 2" xfId="7184" xr:uid="{00000000-0005-0000-0000-0000401C0000}"/>
    <cellStyle name="Comma 2 2 4 2 4 2 3" xfId="16389" xr:uid="{00000000-0005-0000-0000-000035400000}"/>
    <cellStyle name="Comma 2 2 4 2 4 2 4" xfId="5877" xr:uid="{00000000-0005-0000-0000-000025170000}"/>
    <cellStyle name="Comma 2 2 4 2 4 2 5" xfId="16395" xr:uid="{00000000-0005-0000-0000-00003B400000}"/>
    <cellStyle name="Comma 2 2 4 2 4 2 6" xfId="949" xr:uid="{00000000-0005-0000-0000-0000E5030000}"/>
    <cellStyle name="Comma 2 2 4 2 4 2 7" xfId="3615" xr:uid="{00000000-0005-0000-0000-00004F0E0000}"/>
    <cellStyle name="Comma 2 2 4 2 4 2 8" xfId="3665" xr:uid="{00000000-0005-0000-0000-0000810E0000}"/>
    <cellStyle name="Comma 2 2 4 2 4 2 9" xfId="3323" xr:uid="{00000000-0005-0000-0000-00002B0D0000}"/>
    <cellStyle name="Comma 2 2 4 2 4 3" xfId="16397" xr:uid="{00000000-0005-0000-0000-00003D400000}"/>
    <cellStyle name="Comma 2 2 4 2 4 3 2" xfId="16398" xr:uid="{00000000-0005-0000-0000-00003E400000}"/>
    <cellStyle name="Comma 2 2 4 2 4 3 3" xfId="16400" xr:uid="{00000000-0005-0000-0000-000040400000}"/>
    <cellStyle name="Comma 2 2 4 2 4 3 4" xfId="16403" xr:uid="{00000000-0005-0000-0000-000043400000}"/>
    <cellStyle name="Comma 2 2 4 2 4 3 5" xfId="16409" xr:uid="{00000000-0005-0000-0000-000049400000}"/>
    <cellStyle name="Comma 2 2 4 2 4 3 6" xfId="25" xr:uid="{00000000-0005-0000-0000-00001B000000}"/>
    <cellStyle name="Comma 2 2 4 2 4 4" xfId="16411" xr:uid="{00000000-0005-0000-0000-00004B400000}"/>
    <cellStyle name="Comma 2 2 4 2 4 4 2" xfId="16417" xr:uid="{00000000-0005-0000-0000-000051400000}"/>
    <cellStyle name="Comma 2 2 4 2 4 5" xfId="16420" xr:uid="{00000000-0005-0000-0000-000054400000}"/>
    <cellStyle name="Comma 2 2 4 2 4 6" xfId="16424" xr:uid="{00000000-0005-0000-0000-000058400000}"/>
    <cellStyle name="Comma 2 2 4 2 4 7" xfId="12175" xr:uid="{00000000-0005-0000-0000-0000BF2F0000}"/>
    <cellStyle name="Comma 2 2 4 2 4 8" xfId="16427" xr:uid="{00000000-0005-0000-0000-00005B400000}"/>
    <cellStyle name="Comma 2 2 4 2 4 9" xfId="16430" xr:uid="{00000000-0005-0000-0000-00005E400000}"/>
    <cellStyle name="Comma 2 2 4 2 5" xfId="1390" xr:uid="{00000000-0005-0000-0000-00009E050000}"/>
    <cellStyle name="Comma 2 2 4 2 5 10" xfId="16433" xr:uid="{00000000-0005-0000-0000-000061400000}"/>
    <cellStyle name="Comma 2 2 4 2 5 11" xfId="2862" xr:uid="{00000000-0005-0000-0000-00005E0B0000}"/>
    <cellStyle name="Comma 2 2 4 2 5 12" xfId="16435" xr:uid="{00000000-0005-0000-0000-000063400000}"/>
    <cellStyle name="Comma 2 2 4 2 5 13" xfId="8526" xr:uid="{00000000-0005-0000-0000-00007E210000}"/>
    <cellStyle name="Comma 2 2 4 2 5 2" xfId="16441" xr:uid="{00000000-0005-0000-0000-000069400000}"/>
    <cellStyle name="Comma 2 2 4 2 5 2 2" xfId="16447" xr:uid="{00000000-0005-0000-0000-00006F400000}"/>
    <cellStyle name="Comma 2 2 4 2 5 2 2 2" xfId="9219" xr:uid="{00000000-0005-0000-0000-000033240000}"/>
    <cellStyle name="Comma 2 2 4 2 5 2 3" xfId="16453" xr:uid="{00000000-0005-0000-0000-000075400000}"/>
    <cellStyle name="Comma 2 2 4 2 5 2 4" xfId="16458" xr:uid="{00000000-0005-0000-0000-00007A400000}"/>
    <cellStyle name="Comma 2 2 4 2 5 2 5" xfId="16466" xr:uid="{00000000-0005-0000-0000-000082400000}"/>
    <cellStyle name="Comma 2 2 4 2 5 2 6" xfId="6361" xr:uid="{00000000-0005-0000-0000-000009190000}"/>
    <cellStyle name="Comma 2 2 4 2 5 2 7" xfId="3772" xr:uid="{00000000-0005-0000-0000-0000EC0E0000}"/>
    <cellStyle name="Comma 2 2 4 2 5 2 8" xfId="457" xr:uid="{00000000-0005-0000-0000-0000E6010000}"/>
    <cellStyle name="Comma 2 2 4 2 5 2 9" xfId="3483" xr:uid="{00000000-0005-0000-0000-0000CB0D0000}"/>
    <cellStyle name="Comma 2 2 4 2 5 3" xfId="16471" xr:uid="{00000000-0005-0000-0000-000087400000}"/>
    <cellStyle name="Comma 2 2 4 2 5 3 2" xfId="16475" xr:uid="{00000000-0005-0000-0000-00008B400000}"/>
    <cellStyle name="Comma 2 2 4 2 5 3 3" xfId="16480" xr:uid="{00000000-0005-0000-0000-000090400000}"/>
    <cellStyle name="Comma 2 2 4 2 5 3 4" xfId="16484" xr:uid="{00000000-0005-0000-0000-000094400000}"/>
    <cellStyle name="Comma 2 2 4 2 5 3 5" xfId="16488" xr:uid="{00000000-0005-0000-0000-000098400000}"/>
    <cellStyle name="Comma 2 2 4 2 5 3 6" xfId="4905" xr:uid="{00000000-0005-0000-0000-000059130000}"/>
    <cellStyle name="Comma 2 2 4 2 5 4" xfId="16495" xr:uid="{00000000-0005-0000-0000-00009F400000}"/>
    <cellStyle name="Comma 2 2 4 2 5 4 2" xfId="16503" xr:uid="{00000000-0005-0000-0000-0000A7400000}"/>
    <cellStyle name="Comma 2 2 4 2 5 5" xfId="6698" xr:uid="{00000000-0005-0000-0000-00005A1A0000}"/>
    <cellStyle name="Comma 2 2 4 2 5 6" xfId="6706" xr:uid="{00000000-0005-0000-0000-0000621A0000}"/>
    <cellStyle name="Comma 2 2 4 2 5 7" xfId="6715" xr:uid="{00000000-0005-0000-0000-00006B1A0000}"/>
    <cellStyle name="Comma 2 2 4 2 5 8" xfId="16511" xr:uid="{00000000-0005-0000-0000-0000AF400000}"/>
    <cellStyle name="Comma 2 2 4 2 5 9" xfId="16516" xr:uid="{00000000-0005-0000-0000-0000B4400000}"/>
    <cellStyle name="Comma 2 2 4 2 6" xfId="4732" xr:uid="{00000000-0005-0000-0000-0000AC120000}"/>
    <cellStyle name="Comma 2 2 4 2 6 10" xfId="16524" xr:uid="{00000000-0005-0000-0000-0000BC400000}"/>
    <cellStyle name="Comma 2 2 4 2 6 11" xfId="16526" xr:uid="{00000000-0005-0000-0000-0000BE400000}"/>
    <cellStyle name="Comma 2 2 4 2 6 12" xfId="16529" xr:uid="{00000000-0005-0000-0000-0000C1400000}"/>
    <cellStyle name="Comma 2 2 4 2 6 2" xfId="16534" xr:uid="{00000000-0005-0000-0000-0000C6400000}"/>
    <cellStyle name="Comma 2 2 4 2 6 2 2" xfId="16542" xr:uid="{00000000-0005-0000-0000-0000CE400000}"/>
    <cellStyle name="Comma 2 2 4 2 6 2 2 2" xfId="1562" xr:uid="{00000000-0005-0000-0000-00004A060000}"/>
    <cellStyle name="Comma 2 2 4 2 6 2 3" xfId="16546" xr:uid="{00000000-0005-0000-0000-0000D2400000}"/>
    <cellStyle name="Comma 2 2 4 2 6 2 4" xfId="16552" xr:uid="{00000000-0005-0000-0000-0000D8400000}"/>
    <cellStyle name="Comma 2 2 4 2 6 2 5" xfId="1670" xr:uid="{00000000-0005-0000-0000-0000B6060000}"/>
    <cellStyle name="Comma 2 2 4 2 6 2 6" xfId="6576" xr:uid="{00000000-0005-0000-0000-0000E0190000}"/>
    <cellStyle name="Comma 2 2 4 2 6 2 7" xfId="6599" xr:uid="{00000000-0005-0000-0000-0000F7190000}"/>
    <cellStyle name="Comma 2 2 4 2 6 2 8" xfId="8264" xr:uid="{00000000-0005-0000-0000-000078200000}"/>
    <cellStyle name="Comma 2 2 4 2 6 2 9" xfId="4551" xr:uid="{00000000-0005-0000-0000-0000F7110000}"/>
    <cellStyle name="Comma 2 2 4 2 6 3" xfId="16556" xr:uid="{00000000-0005-0000-0000-0000DC400000}"/>
    <cellStyle name="Comma 2 2 4 2 6 3 2" xfId="16561" xr:uid="{00000000-0005-0000-0000-0000E1400000}"/>
    <cellStyle name="Comma 2 2 4 2 6 3 3" xfId="16565" xr:uid="{00000000-0005-0000-0000-0000E5400000}"/>
    <cellStyle name="Comma 2 2 4 2 6 3 4" xfId="16570" xr:uid="{00000000-0005-0000-0000-0000EA400000}"/>
    <cellStyle name="Comma 2 2 4 2 6 3 5" xfId="16573" xr:uid="{00000000-0005-0000-0000-0000ED400000}"/>
    <cellStyle name="Comma 2 2 4 2 6 3 6" xfId="16576" xr:uid="{00000000-0005-0000-0000-0000F0400000}"/>
    <cellStyle name="Comma 2 2 4 2 6 4" xfId="16579" xr:uid="{00000000-0005-0000-0000-0000F3400000}"/>
    <cellStyle name="Comma 2 2 4 2 6 4 2" xfId="16592" xr:uid="{00000000-0005-0000-0000-000000410000}"/>
    <cellStyle name="Comma 2 2 4 2 6 5" xfId="16596" xr:uid="{00000000-0005-0000-0000-000004410000}"/>
    <cellStyle name="Comma 2 2 4 2 6 6" xfId="16605" xr:uid="{00000000-0005-0000-0000-00000D410000}"/>
    <cellStyle name="Comma 2 2 4 2 6 7" xfId="16614" xr:uid="{00000000-0005-0000-0000-000016410000}"/>
    <cellStyle name="Comma 2 2 4 2 6 8" xfId="16620" xr:uid="{00000000-0005-0000-0000-00001C410000}"/>
    <cellStyle name="Comma 2 2 4 2 6 9" xfId="16625" xr:uid="{00000000-0005-0000-0000-000021410000}"/>
    <cellStyle name="Comma 2 2 4 2 7" xfId="4753" xr:uid="{00000000-0005-0000-0000-0000C1120000}"/>
    <cellStyle name="Comma 2 2 4 2 7 2" xfId="16631" xr:uid="{00000000-0005-0000-0000-000027410000}"/>
    <cellStyle name="Comma 2 2 4 2 7 2 2" xfId="16636" xr:uid="{00000000-0005-0000-0000-00002C410000}"/>
    <cellStyle name="Comma 2 2 4 2 7 3" xfId="16640" xr:uid="{00000000-0005-0000-0000-000030410000}"/>
    <cellStyle name="Comma 2 2 4 2 7 4" xfId="16645" xr:uid="{00000000-0005-0000-0000-000035410000}"/>
    <cellStyle name="Comma 2 2 4 2 7 5" xfId="5812" xr:uid="{00000000-0005-0000-0000-0000E4160000}"/>
    <cellStyle name="Comma 2 2 4 2 7 6" xfId="16650" xr:uid="{00000000-0005-0000-0000-00003A410000}"/>
    <cellStyle name="Comma 2 2 4 2 7 7" xfId="16653" xr:uid="{00000000-0005-0000-0000-00003D410000}"/>
    <cellStyle name="Comma 2 2 4 2 7 8" xfId="16655" xr:uid="{00000000-0005-0000-0000-00003F410000}"/>
    <cellStyle name="Comma 2 2 4 2 7 9" xfId="16656" xr:uid="{00000000-0005-0000-0000-000040410000}"/>
    <cellStyle name="Comma 2 2 4 2 8" xfId="4361" xr:uid="{00000000-0005-0000-0000-000039110000}"/>
    <cellStyle name="Comma 2 2 4 2 8 2" xfId="16660" xr:uid="{00000000-0005-0000-0000-000044410000}"/>
    <cellStyle name="Comma 2 2 4 2 8 3" xfId="16664" xr:uid="{00000000-0005-0000-0000-000048410000}"/>
    <cellStyle name="Comma 2 2 4 2 8 4" xfId="16668" xr:uid="{00000000-0005-0000-0000-00004C410000}"/>
    <cellStyle name="Comma 2 2 4 2 8 5" xfId="11896" xr:uid="{00000000-0005-0000-0000-0000A82E0000}"/>
    <cellStyle name="Comma 2 2 4 2 8 6" xfId="11899" xr:uid="{00000000-0005-0000-0000-0000AB2E0000}"/>
    <cellStyle name="Comma 2 2 4 2 9" xfId="16670" xr:uid="{00000000-0005-0000-0000-00004E410000}"/>
    <cellStyle name="Comma 2 2 4 2 9 2" xfId="16674" xr:uid="{00000000-0005-0000-0000-000052410000}"/>
    <cellStyle name="Comma 2 2 4 2 9 3" xfId="16678" xr:uid="{00000000-0005-0000-0000-000056410000}"/>
    <cellStyle name="Comma 2 2 4 2 9 4" xfId="16681" xr:uid="{00000000-0005-0000-0000-000059410000}"/>
    <cellStyle name="Comma 2 2 4 2 9 5" xfId="16687" xr:uid="{00000000-0005-0000-0000-00005F410000}"/>
    <cellStyle name="Comma 2 2 4 2 9 6" xfId="16692" xr:uid="{00000000-0005-0000-0000-000064410000}"/>
    <cellStyle name="Comma 2 2 4 20" xfId="709" xr:uid="{00000000-0005-0000-0000-0000F5020000}"/>
    <cellStyle name="Comma 2 2 4 21" xfId="11391" xr:uid="{00000000-0005-0000-0000-0000AF2C0000}"/>
    <cellStyle name="Comma 2 2 4 22" xfId="11394" xr:uid="{00000000-0005-0000-0000-0000B22C0000}"/>
    <cellStyle name="Comma 2 2 4 23" xfId="11397" xr:uid="{00000000-0005-0000-0000-0000B52C0000}"/>
    <cellStyle name="Comma 2 2 4 24" xfId="11400" xr:uid="{00000000-0005-0000-0000-0000B82C0000}"/>
    <cellStyle name="Comma 2 2 4 25" xfId="16693" xr:uid="{00000000-0005-0000-0000-000065410000}"/>
    <cellStyle name="Comma 2 2 4 26" xfId="16696" xr:uid="{00000000-0005-0000-0000-000068410000}"/>
    <cellStyle name="Comma 2 2 4 3" xfId="13011" xr:uid="{00000000-0005-0000-0000-000003330000}"/>
    <cellStyle name="Comma 2 2 4 3 10" xfId="7779" xr:uid="{00000000-0005-0000-0000-0000931E0000}"/>
    <cellStyle name="Comma 2 2 4 3 10 2" xfId="7785" xr:uid="{00000000-0005-0000-0000-0000991E0000}"/>
    <cellStyle name="Comma 2 2 4 3 10 3" xfId="7561" xr:uid="{00000000-0005-0000-0000-0000B91D0000}"/>
    <cellStyle name="Comma 2 2 4 3 10 4" xfId="7579" xr:uid="{00000000-0005-0000-0000-0000CB1D0000}"/>
    <cellStyle name="Comma 2 2 4 3 10 5" xfId="7593" xr:uid="{00000000-0005-0000-0000-0000D91D0000}"/>
    <cellStyle name="Comma 2 2 4 3 10 6" xfId="7798" xr:uid="{00000000-0005-0000-0000-0000A61E0000}"/>
    <cellStyle name="Comma 2 2 4 3 11" xfId="7814" xr:uid="{00000000-0005-0000-0000-0000B61E0000}"/>
    <cellStyle name="Comma 2 2 4 3 11 2" xfId="2952" xr:uid="{00000000-0005-0000-0000-0000B80B0000}"/>
    <cellStyle name="Comma 2 2 4 3 11 3" xfId="2973" xr:uid="{00000000-0005-0000-0000-0000CD0B0000}"/>
    <cellStyle name="Comma 2 2 4 3 11 4" xfId="167" xr:uid="{00000000-0005-0000-0000-0000B3000000}"/>
    <cellStyle name="Comma 2 2 4 3 11 5" xfId="7601" xr:uid="{00000000-0005-0000-0000-0000E11D0000}"/>
    <cellStyle name="Comma 2 2 4 3 11 6" xfId="7817" xr:uid="{00000000-0005-0000-0000-0000B91E0000}"/>
    <cellStyle name="Comma 2 2 4 3 12" xfId="7826" xr:uid="{00000000-0005-0000-0000-0000C21E0000}"/>
    <cellStyle name="Comma 2 2 4 3 13" xfId="7841" xr:uid="{00000000-0005-0000-0000-0000D11E0000}"/>
    <cellStyle name="Comma 2 2 4 3 14" xfId="7849" xr:uid="{00000000-0005-0000-0000-0000D91E0000}"/>
    <cellStyle name="Comma 2 2 4 3 15" xfId="7874" xr:uid="{00000000-0005-0000-0000-0000F21E0000}"/>
    <cellStyle name="Comma 2 2 4 3 16" xfId="7877" xr:uid="{00000000-0005-0000-0000-0000F51E0000}"/>
    <cellStyle name="Comma 2 2 4 3 17" xfId="4469" xr:uid="{00000000-0005-0000-0000-0000A5110000}"/>
    <cellStyle name="Comma 2 2 4 3 18" xfId="2285" xr:uid="{00000000-0005-0000-0000-00001D090000}"/>
    <cellStyle name="Comma 2 2 4 3 19" xfId="16701" xr:uid="{00000000-0005-0000-0000-00006D410000}"/>
    <cellStyle name="Comma 2 2 4 3 2" xfId="6010" xr:uid="{00000000-0005-0000-0000-0000AA170000}"/>
    <cellStyle name="Comma 2 2 4 3 2 10" xfId="9867" xr:uid="{00000000-0005-0000-0000-0000BB260000}"/>
    <cellStyle name="Comma 2 2 4 3 2 11" xfId="9870" xr:uid="{00000000-0005-0000-0000-0000BE260000}"/>
    <cellStyle name="Comma 2 2 4 3 2 12" xfId="16703" xr:uid="{00000000-0005-0000-0000-00006F410000}"/>
    <cellStyle name="Comma 2 2 4 3 2 13" xfId="16704" xr:uid="{00000000-0005-0000-0000-000070410000}"/>
    <cellStyle name="Comma 2 2 4 3 2 14" xfId="16709" xr:uid="{00000000-0005-0000-0000-000075410000}"/>
    <cellStyle name="Comma 2 2 4 3 2 15" xfId="16714" xr:uid="{00000000-0005-0000-0000-00007A410000}"/>
    <cellStyle name="Comma 2 2 4 3 2 16" xfId="474" xr:uid="{00000000-0005-0000-0000-0000F9010000}"/>
    <cellStyle name="Comma 2 2 4 3 2 17" xfId="16719" xr:uid="{00000000-0005-0000-0000-00007F410000}"/>
    <cellStyle name="Comma 2 2 4 3 2 18" xfId="16722" xr:uid="{00000000-0005-0000-0000-000082410000}"/>
    <cellStyle name="Comma 2 2 4 3 2 2" xfId="14086" xr:uid="{00000000-0005-0000-0000-000036370000}"/>
    <cellStyle name="Comma 2 2 4 3 2 2 10" xfId="6964" xr:uid="{00000000-0005-0000-0000-0000641B0000}"/>
    <cellStyle name="Comma 2 2 4 3 2 2 11" xfId="6979" xr:uid="{00000000-0005-0000-0000-0000731B0000}"/>
    <cellStyle name="Comma 2 2 4 3 2 2 12" xfId="6990" xr:uid="{00000000-0005-0000-0000-00007E1B0000}"/>
    <cellStyle name="Comma 2 2 4 3 2 2 2" xfId="16724" xr:uid="{00000000-0005-0000-0000-000084410000}"/>
    <cellStyle name="Comma 2 2 4 3 2 2 2 2" xfId="16271" xr:uid="{00000000-0005-0000-0000-0000BF3F0000}"/>
    <cellStyle name="Comma 2 2 4 3 2 2 2 2 2" xfId="14153" xr:uid="{00000000-0005-0000-0000-000079370000}"/>
    <cellStyle name="Comma 2 2 4 3 2 2 2 3" xfId="16276" xr:uid="{00000000-0005-0000-0000-0000C43F0000}"/>
    <cellStyle name="Comma 2 2 4 3 2 2 2 4" xfId="16281" xr:uid="{00000000-0005-0000-0000-0000C93F0000}"/>
    <cellStyle name="Comma 2 2 4 3 2 2 2 5" xfId="4509" xr:uid="{00000000-0005-0000-0000-0000CD110000}"/>
    <cellStyle name="Comma 2 2 4 3 2 2 3" xfId="12158" xr:uid="{00000000-0005-0000-0000-0000AE2F0000}"/>
    <cellStyle name="Comma 2 2 4 3 2 2 3 2" xfId="11793" xr:uid="{00000000-0005-0000-0000-0000412E0000}"/>
    <cellStyle name="Comma 2 2 4 3 2 2 4" xfId="12170" xr:uid="{00000000-0005-0000-0000-0000BA2F0000}"/>
    <cellStyle name="Comma 2 2 4 3 2 2 5" xfId="12181" xr:uid="{00000000-0005-0000-0000-0000C52F0000}"/>
    <cellStyle name="Comma 2 2 4 3 2 2 6" xfId="4656" xr:uid="{00000000-0005-0000-0000-000060120000}"/>
    <cellStyle name="Comma 2 2 4 3 2 2 7" xfId="12189" xr:uid="{00000000-0005-0000-0000-0000CD2F0000}"/>
    <cellStyle name="Comma 2 2 4 3 2 2 8" xfId="7145" xr:uid="{00000000-0005-0000-0000-0000191C0000}"/>
    <cellStyle name="Comma 2 2 4 3 2 2 9" xfId="12192" xr:uid="{00000000-0005-0000-0000-0000D02F0000}"/>
    <cellStyle name="Comma 2 2 4 3 2 3" xfId="14089" xr:uid="{00000000-0005-0000-0000-000039370000}"/>
    <cellStyle name="Comma 2 2 4 3 2 3 10" xfId="7810" xr:uid="{00000000-0005-0000-0000-0000B21E0000}"/>
    <cellStyle name="Comma 2 2 4 3 2 3 11" xfId="7822" xr:uid="{00000000-0005-0000-0000-0000BE1E0000}"/>
    <cellStyle name="Comma 2 2 4 3 2 3 12" xfId="7838" xr:uid="{00000000-0005-0000-0000-0000CE1E0000}"/>
    <cellStyle name="Comma 2 2 4 3 2 3 2" xfId="16726" xr:uid="{00000000-0005-0000-0000-000086410000}"/>
    <cellStyle name="Comma 2 2 4 3 2 3 2 2" xfId="16727" xr:uid="{00000000-0005-0000-0000-000087410000}"/>
    <cellStyle name="Comma 2 2 4 3 2 3 2 2 2" xfId="16739" xr:uid="{00000000-0005-0000-0000-000093410000}"/>
    <cellStyle name="Comma 2 2 4 3 2 3 2 3" xfId="16740" xr:uid="{00000000-0005-0000-0000-000094410000}"/>
    <cellStyle name="Comma 2 2 4 3 2 3 2 4" xfId="16745" xr:uid="{00000000-0005-0000-0000-000099410000}"/>
    <cellStyle name="Comma 2 2 4 3 2 3 2 5" xfId="16752" xr:uid="{00000000-0005-0000-0000-0000A0410000}"/>
    <cellStyle name="Comma 2 2 4 3 2 3 3" xfId="758" xr:uid="{00000000-0005-0000-0000-000026030000}"/>
    <cellStyle name="Comma 2 2 4 3 2 3 3 2" xfId="795" xr:uid="{00000000-0005-0000-0000-00004B030000}"/>
    <cellStyle name="Comma 2 2 4 3 2 3 4" xfId="376" xr:uid="{00000000-0005-0000-0000-000091010000}"/>
    <cellStyle name="Comma 2 2 4 3 2 3 5" xfId="12209" xr:uid="{00000000-0005-0000-0000-0000E12F0000}"/>
    <cellStyle name="Comma 2 2 4 3 2 3 6" xfId="4665" xr:uid="{00000000-0005-0000-0000-000069120000}"/>
    <cellStyle name="Comma 2 2 4 3 2 3 7" xfId="12218" xr:uid="{00000000-0005-0000-0000-0000EA2F0000}"/>
    <cellStyle name="Comma 2 2 4 3 2 3 8" xfId="12228" xr:uid="{00000000-0005-0000-0000-0000F42F0000}"/>
    <cellStyle name="Comma 2 2 4 3 2 3 9" xfId="12236" xr:uid="{00000000-0005-0000-0000-0000FC2F0000}"/>
    <cellStyle name="Comma 2 2 4 3 2 4" xfId="14092" xr:uid="{00000000-0005-0000-0000-00003C370000}"/>
    <cellStyle name="Comma 2 2 4 3 2 4 10" xfId="6834" xr:uid="{00000000-0005-0000-0000-0000E21A0000}"/>
    <cellStyle name="Comma 2 2 4 3 2 4 2" xfId="14362" xr:uid="{00000000-0005-0000-0000-00004A380000}"/>
    <cellStyle name="Comma 2 2 4 3 2 4 2 2" xfId="16759" xr:uid="{00000000-0005-0000-0000-0000A7410000}"/>
    <cellStyle name="Comma 2 2 4 3 2 4 2 2 2" xfId="3466" xr:uid="{00000000-0005-0000-0000-0000BA0D0000}"/>
    <cellStyle name="Comma 2 2 4 3 2 4 2 3" xfId="16767" xr:uid="{00000000-0005-0000-0000-0000AF410000}"/>
    <cellStyle name="Comma 2 2 4 3 2 4 2 4" xfId="3214" xr:uid="{00000000-0005-0000-0000-0000BE0C0000}"/>
    <cellStyle name="Comma 2 2 4 3 2 4 2 5" xfId="16771" xr:uid="{00000000-0005-0000-0000-0000B3410000}"/>
    <cellStyle name="Comma 2 2 4 3 2 4 3" xfId="12245" xr:uid="{00000000-0005-0000-0000-000005300000}"/>
    <cellStyle name="Comma 2 2 4 3 2 4 3 2" xfId="12258" xr:uid="{00000000-0005-0000-0000-000012300000}"/>
    <cellStyle name="Comma 2 2 4 3 2 4 4" xfId="12260" xr:uid="{00000000-0005-0000-0000-000014300000}"/>
    <cellStyle name="Comma 2 2 4 3 2 4 5" xfId="12267" xr:uid="{00000000-0005-0000-0000-00001B300000}"/>
    <cellStyle name="Comma 2 2 4 3 2 4 6" xfId="4692" xr:uid="{00000000-0005-0000-0000-000084120000}"/>
    <cellStyle name="Comma 2 2 4 3 2 4 7" xfId="12274" xr:uid="{00000000-0005-0000-0000-000022300000}"/>
    <cellStyle name="Comma 2 2 4 3 2 4 8" xfId="12280" xr:uid="{00000000-0005-0000-0000-000028300000}"/>
    <cellStyle name="Comma 2 2 4 3 2 4 9" xfId="11774" xr:uid="{00000000-0005-0000-0000-00002E2E0000}"/>
    <cellStyle name="Comma 2 2 4 3 2 5" xfId="2348" xr:uid="{00000000-0005-0000-0000-00005C090000}"/>
    <cellStyle name="Comma 2 2 4 3 2 5 10" xfId="10611" xr:uid="{00000000-0005-0000-0000-0000A3290000}"/>
    <cellStyle name="Comma 2 2 4 3 2 5 2" xfId="13207" xr:uid="{00000000-0005-0000-0000-0000C7330000}"/>
    <cellStyle name="Comma 2 2 4 3 2 5 2 2" xfId="16783" xr:uid="{00000000-0005-0000-0000-0000BF410000}"/>
    <cellStyle name="Comma 2 2 4 3 2 5 2 2 2" xfId="16787" xr:uid="{00000000-0005-0000-0000-0000C3410000}"/>
    <cellStyle name="Comma 2 2 4 3 2 5 2 3" xfId="16798" xr:uid="{00000000-0005-0000-0000-0000CE410000}"/>
    <cellStyle name="Comma 2 2 4 3 2 5 2 4" xfId="16808" xr:uid="{00000000-0005-0000-0000-0000D8410000}"/>
    <cellStyle name="Comma 2 2 4 3 2 5 2 5" xfId="16813" xr:uid="{00000000-0005-0000-0000-0000DD410000}"/>
    <cellStyle name="Comma 2 2 4 3 2 5 3" xfId="10517" xr:uid="{00000000-0005-0000-0000-000045290000}"/>
    <cellStyle name="Comma 2 2 4 3 2 5 3 2" xfId="16825" xr:uid="{00000000-0005-0000-0000-0000E9410000}"/>
    <cellStyle name="Comma 2 2 4 3 2 5 4" xfId="16830" xr:uid="{00000000-0005-0000-0000-0000EE410000}"/>
    <cellStyle name="Comma 2 2 4 3 2 5 5" xfId="16835" xr:uid="{00000000-0005-0000-0000-0000F3410000}"/>
    <cellStyle name="Comma 2 2 4 3 2 5 6" xfId="2673" xr:uid="{00000000-0005-0000-0000-0000A10A0000}"/>
    <cellStyle name="Comma 2 2 4 3 2 5 7" xfId="9435" xr:uid="{00000000-0005-0000-0000-00000B250000}"/>
    <cellStyle name="Comma 2 2 4 3 2 5 8" xfId="16842" xr:uid="{00000000-0005-0000-0000-0000FA410000}"/>
    <cellStyle name="Comma 2 2 4 3 2 5 9" xfId="16851" xr:uid="{00000000-0005-0000-0000-000003420000}"/>
    <cellStyle name="Comma 2 2 4 3 2 6" xfId="14096" xr:uid="{00000000-0005-0000-0000-000040370000}"/>
    <cellStyle name="Comma 2 2 4 3 2 6 2" xfId="2386" xr:uid="{00000000-0005-0000-0000-000082090000}"/>
    <cellStyle name="Comma 2 2 4 3 2 6 2 2" xfId="7467" xr:uid="{00000000-0005-0000-0000-00005B1D0000}"/>
    <cellStyle name="Comma 2 2 4 3 2 6 3" xfId="7474" xr:uid="{00000000-0005-0000-0000-0000621D0000}"/>
    <cellStyle name="Comma 2 2 4 3 2 6 4" xfId="2607" xr:uid="{00000000-0005-0000-0000-00005F0A0000}"/>
    <cellStyle name="Comma 2 2 4 3 2 6 5" xfId="7481" xr:uid="{00000000-0005-0000-0000-0000691D0000}"/>
    <cellStyle name="Comma 2 2 4 3 2 6 6" xfId="4721" xr:uid="{00000000-0005-0000-0000-0000A1120000}"/>
    <cellStyle name="Comma 2 2 4 3 2 6 7" xfId="16855" xr:uid="{00000000-0005-0000-0000-000007420000}"/>
    <cellStyle name="Comma 2 2 4 3 2 6 8" xfId="16859" xr:uid="{00000000-0005-0000-0000-00000B420000}"/>
    <cellStyle name="Comma 2 2 4 3 2 6 9" xfId="16861" xr:uid="{00000000-0005-0000-0000-00000D420000}"/>
    <cellStyle name="Comma 2 2 4 3 2 7" xfId="16730" xr:uid="{00000000-0005-0000-0000-00008A410000}"/>
    <cellStyle name="Comma 2 2 4 3 2 7 2" xfId="16736" xr:uid="{00000000-0005-0000-0000-000090410000}"/>
    <cellStyle name="Comma 2 2 4 3 2 8" xfId="16743" xr:uid="{00000000-0005-0000-0000-000097410000}"/>
    <cellStyle name="Comma 2 2 4 3 2 9" xfId="16748" xr:uid="{00000000-0005-0000-0000-00009C410000}"/>
    <cellStyle name="Comma 2 2 4 3 20" xfId="7875" xr:uid="{00000000-0005-0000-0000-0000F31E0000}"/>
    <cellStyle name="Comma 2 2 4 3 21" xfId="7878" xr:uid="{00000000-0005-0000-0000-0000F61E0000}"/>
    <cellStyle name="Comma 2 2 4 3 22" xfId="4470" xr:uid="{00000000-0005-0000-0000-0000A6110000}"/>
    <cellStyle name="Comma 2 2 4 3 23" xfId="2286" xr:uid="{00000000-0005-0000-0000-00001E090000}"/>
    <cellStyle name="Comma 2 2 4 3 3" xfId="11965" xr:uid="{00000000-0005-0000-0000-0000ED2E0000}"/>
    <cellStyle name="Comma 2 2 4 3 3 10" xfId="16863" xr:uid="{00000000-0005-0000-0000-00000F420000}"/>
    <cellStyle name="Comma 2 2 4 3 3 11" xfId="16866" xr:uid="{00000000-0005-0000-0000-000012420000}"/>
    <cellStyle name="Comma 2 2 4 3 3 12" xfId="16867" xr:uid="{00000000-0005-0000-0000-000013420000}"/>
    <cellStyle name="Comma 2 2 4 3 3 13" xfId="16869" xr:uid="{00000000-0005-0000-0000-000015420000}"/>
    <cellStyle name="Comma 2 2 4 3 3 14" xfId="16871" xr:uid="{00000000-0005-0000-0000-000017420000}"/>
    <cellStyle name="Comma 2 2 4 3 3 15" xfId="16873" xr:uid="{00000000-0005-0000-0000-000019420000}"/>
    <cellStyle name="Comma 2 2 4 3 3 16" xfId="16875" xr:uid="{00000000-0005-0000-0000-00001B420000}"/>
    <cellStyle name="Comma 2 2 4 3 3 17" xfId="16877" xr:uid="{00000000-0005-0000-0000-00001D420000}"/>
    <cellStyle name="Comma 2 2 4 3 3 18" xfId="16879" xr:uid="{00000000-0005-0000-0000-00001F420000}"/>
    <cellStyle name="Comma 2 2 4 3 3 2" xfId="14099" xr:uid="{00000000-0005-0000-0000-000043370000}"/>
    <cellStyle name="Comma 2 2 4 3 3 2 10" xfId="16885" xr:uid="{00000000-0005-0000-0000-000025420000}"/>
    <cellStyle name="Comma 2 2 4 3 3 2 2" xfId="16887" xr:uid="{00000000-0005-0000-0000-000027420000}"/>
    <cellStyle name="Comma 2 2 4 3 3 2 2 2" xfId="14434" xr:uid="{00000000-0005-0000-0000-000092380000}"/>
    <cellStyle name="Comma 2 2 4 3 3 2 3" xfId="12322" xr:uid="{00000000-0005-0000-0000-000052300000}"/>
    <cellStyle name="Comma 2 2 4 3 3 2 4" xfId="12326" xr:uid="{00000000-0005-0000-0000-000056300000}"/>
    <cellStyle name="Comma 2 2 4 3 3 2 5" xfId="12329" xr:uid="{00000000-0005-0000-0000-000059300000}"/>
    <cellStyle name="Comma 2 2 4 3 3 2 6" xfId="12333" xr:uid="{00000000-0005-0000-0000-00005D300000}"/>
    <cellStyle name="Comma 2 2 4 3 3 2 7" xfId="7057" xr:uid="{00000000-0005-0000-0000-0000C11B0000}"/>
    <cellStyle name="Comma 2 2 4 3 3 2 8" xfId="16888" xr:uid="{00000000-0005-0000-0000-000028420000}"/>
    <cellStyle name="Comma 2 2 4 3 3 2 9" xfId="16889" xr:uid="{00000000-0005-0000-0000-000029420000}"/>
    <cellStyle name="Comma 2 2 4 3 3 3" xfId="14103" xr:uid="{00000000-0005-0000-0000-000047370000}"/>
    <cellStyle name="Comma 2 2 4 3 3 3 2" xfId="16890" xr:uid="{00000000-0005-0000-0000-00002A420000}"/>
    <cellStyle name="Comma 2 2 4 3 3 3 3" xfId="12341" xr:uid="{00000000-0005-0000-0000-000065300000}"/>
    <cellStyle name="Comma 2 2 4 3 3 3 4" xfId="12344" xr:uid="{00000000-0005-0000-0000-000068300000}"/>
    <cellStyle name="Comma 2 2 4 3 3 3 5" xfId="12347" xr:uid="{00000000-0005-0000-0000-00006B300000}"/>
    <cellStyle name="Comma 2 2 4 3 3 3 6" xfId="12351" xr:uid="{00000000-0005-0000-0000-00006F300000}"/>
    <cellStyle name="Comma 2 2 4 3 3 4" xfId="14108" xr:uid="{00000000-0005-0000-0000-00004C370000}"/>
    <cellStyle name="Comma 2 2 4 3 3 4 2" xfId="16893" xr:uid="{00000000-0005-0000-0000-00002D420000}"/>
    <cellStyle name="Comma 2 2 4 3 3 4 3" xfId="12355" xr:uid="{00000000-0005-0000-0000-000073300000}"/>
    <cellStyle name="Comma 2 2 4 3 3 4 4" xfId="12358" xr:uid="{00000000-0005-0000-0000-000076300000}"/>
    <cellStyle name="Comma 2 2 4 3 3 4 5" xfId="12361" xr:uid="{00000000-0005-0000-0000-000079300000}"/>
    <cellStyle name="Comma 2 2 4 3 3 4 6" xfId="12368" xr:uid="{00000000-0005-0000-0000-000080300000}"/>
    <cellStyle name="Comma 2 2 4 3 3 5" xfId="14114" xr:uid="{00000000-0005-0000-0000-000052370000}"/>
    <cellStyle name="Comma 2 2 4 3 3 5 2" xfId="6171" xr:uid="{00000000-0005-0000-0000-00004B180000}"/>
    <cellStyle name="Comma 2 2 4 3 3 5 3" xfId="1622" xr:uid="{00000000-0005-0000-0000-000086060000}"/>
    <cellStyle name="Comma 2 2 4 3 3 5 4" xfId="1650" xr:uid="{00000000-0005-0000-0000-0000A2060000}"/>
    <cellStyle name="Comma 2 2 4 3 3 5 5" xfId="774" xr:uid="{00000000-0005-0000-0000-000036030000}"/>
    <cellStyle name="Comma 2 2 4 3 3 5 6" xfId="16896" xr:uid="{00000000-0005-0000-0000-000030420000}"/>
    <cellStyle name="Comma 2 2 4 3 3 6" xfId="14120" xr:uid="{00000000-0005-0000-0000-000058370000}"/>
    <cellStyle name="Comma 2 2 4 3 3 6 2" xfId="16899" xr:uid="{00000000-0005-0000-0000-000033420000}"/>
    <cellStyle name="Comma 2 2 4 3 3 6 3" xfId="16902" xr:uid="{00000000-0005-0000-0000-000036420000}"/>
    <cellStyle name="Comma 2 2 4 3 3 6 4" xfId="16905" xr:uid="{00000000-0005-0000-0000-000039420000}"/>
    <cellStyle name="Comma 2 2 4 3 3 6 5" xfId="16908" xr:uid="{00000000-0005-0000-0000-00003C420000}"/>
    <cellStyle name="Comma 2 2 4 3 3 6 6" xfId="16911" xr:uid="{00000000-0005-0000-0000-00003F420000}"/>
    <cellStyle name="Comma 2 2 4 3 3 7" xfId="788" xr:uid="{00000000-0005-0000-0000-000044030000}"/>
    <cellStyle name="Comma 2 2 4 3 3 8" xfId="12198" xr:uid="{00000000-0005-0000-0000-0000D62F0000}"/>
    <cellStyle name="Comma 2 2 4 3 3 9" xfId="12203" xr:uid="{00000000-0005-0000-0000-0000DB2F0000}"/>
    <cellStyle name="Comma 2 2 4 3 4" xfId="7640" xr:uid="{00000000-0005-0000-0000-0000081E0000}"/>
    <cellStyle name="Comma 2 2 4 3 4 10" xfId="9820" xr:uid="{00000000-0005-0000-0000-00008C260000}"/>
    <cellStyle name="Comma 2 2 4 3 4 11" xfId="11695" xr:uid="{00000000-0005-0000-0000-0000DF2D0000}"/>
    <cellStyle name="Comma 2 2 4 3 4 12" xfId="5960" xr:uid="{00000000-0005-0000-0000-000078170000}"/>
    <cellStyle name="Comma 2 2 4 3 4 13" xfId="11704" xr:uid="{00000000-0005-0000-0000-0000E82D0000}"/>
    <cellStyle name="Comma 2 2 4 3 4 14" xfId="11748" xr:uid="{00000000-0005-0000-0000-0000142E0000}"/>
    <cellStyle name="Comma 2 2 4 3 4 15" xfId="11754" xr:uid="{00000000-0005-0000-0000-00001A2E0000}"/>
    <cellStyle name="Comma 2 2 4 3 4 2" xfId="2744" xr:uid="{00000000-0005-0000-0000-0000E80A0000}"/>
    <cellStyle name="Comma 2 2 4 3 4 2 2" xfId="16913" xr:uid="{00000000-0005-0000-0000-000041420000}"/>
    <cellStyle name="Comma 2 2 4 3 4 2 2 2" xfId="16915" xr:uid="{00000000-0005-0000-0000-000043420000}"/>
    <cellStyle name="Comma 2 2 4 3 4 2 3" xfId="12427" xr:uid="{00000000-0005-0000-0000-0000BB300000}"/>
    <cellStyle name="Comma 2 2 4 3 4 2 4" xfId="12434" xr:uid="{00000000-0005-0000-0000-0000C2300000}"/>
    <cellStyle name="Comma 2 2 4 3 4 2 5" xfId="12442" xr:uid="{00000000-0005-0000-0000-0000CA300000}"/>
    <cellStyle name="Comma 2 2 4 3 4 2 6" xfId="12449" xr:uid="{00000000-0005-0000-0000-0000D1300000}"/>
    <cellStyle name="Comma 2 2 4 3 4 2 7" xfId="12454" xr:uid="{00000000-0005-0000-0000-0000D6300000}"/>
    <cellStyle name="Comma 2 2 4 3 4 2 8" xfId="16917" xr:uid="{00000000-0005-0000-0000-000045420000}"/>
    <cellStyle name="Comma 2 2 4 3 4 2 9" xfId="16919" xr:uid="{00000000-0005-0000-0000-000047420000}"/>
    <cellStyle name="Comma 2 2 4 3 4 3" xfId="2751" xr:uid="{00000000-0005-0000-0000-0000EF0A0000}"/>
    <cellStyle name="Comma 2 2 4 3 4 3 2" xfId="2759" xr:uid="{00000000-0005-0000-0000-0000F70A0000}"/>
    <cellStyle name="Comma 2 2 4 3 4 3 3" xfId="8260" xr:uid="{00000000-0005-0000-0000-000074200000}"/>
    <cellStyle name="Comma 2 2 4 3 4 3 4" xfId="8273" xr:uid="{00000000-0005-0000-0000-000081200000}"/>
    <cellStyle name="Comma 2 2 4 3 4 3 5" xfId="8281" xr:uid="{00000000-0005-0000-0000-000089200000}"/>
    <cellStyle name="Comma 2 2 4 3 4 3 6" xfId="6878" xr:uid="{00000000-0005-0000-0000-00000E1B0000}"/>
    <cellStyle name="Comma 2 2 4 3 4 4" xfId="2768" xr:uid="{00000000-0005-0000-0000-0000000B0000}"/>
    <cellStyle name="Comma 2 2 4 3 4 4 2" xfId="16923" xr:uid="{00000000-0005-0000-0000-00004B420000}"/>
    <cellStyle name="Comma 2 2 4 3 4 5" xfId="2788" xr:uid="{00000000-0005-0000-0000-0000140B0000}"/>
    <cellStyle name="Comma 2 2 4 3 4 6" xfId="2807" xr:uid="{00000000-0005-0000-0000-0000270B0000}"/>
    <cellStyle name="Comma 2 2 4 3 4 7" xfId="1125" xr:uid="{00000000-0005-0000-0000-000095040000}"/>
    <cellStyle name="Comma 2 2 4 3 4 8" xfId="7776" xr:uid="{00000000-0005-0000-0000-0000901E0000}"/>
    <cellStyle name="Comma 2 2 4 3 4 9" xfId="16924" xr:uid="{00000000-0005-0000-0000-00004C420000}"/>
    <cellStyle name="Comma 2 2 4 3 5" xfId="1424" xr:uid="{00000000-0005-0000-0000-0000C0050000}"/>
    <cellStyle name="Comma 2 2 4 3 5 10" xfId="8344" xr:uid="{00000000-0005-0000-0000-0000C8200000}"/>
    <cellStyle name="Comma 2 2 4 3 5 11" xfId="16928" xr:uid="{00000000-0005-0000-0000-000050420000}"/>
    <cellStyle name="Comma 2 2 4 3 5 12" xfId="8360" xr:uid="{00000000-0005-0000-0000-0000D8200000}"/>
    <cellStyle name="Comma 2 2 4 3 5 13" xfId="8367" xr:uid="{00000000-0005-0000-0000-0000DF200000}"/>
    <cellStyle name="Comma 2 2 4 3 5 2" xfId="16932" xr:uid="{00000000-0005-0000-0000-000054420000}"/>
    <cellStyle name="Comma 2 2 4 3 5 2 2" xfId="16936" xr:uid="{00000000-0005-0000-0000-000058420000}"/>
    <cellStyle name="Comma 2 2 4 3 5 2 2 2" xfId="12527" xr:uid="{00000000-0005-0000-0000-00001F310000}"/>
    <cellStyle name="Comma 2 2 4 3 5 2 3" xfId="12542" xr:uid="{00000000-0005-0000-0000-00002E310000}"/>
    <cellStyle name="Comma 2 2 4 3 5 2 4" xfId="16940" xr:uid="{00000000-0005-0000-0000-00005C420000}"/>
    <cellStyle name="Comma 2 2 4 3 5 2 5" xfId="16944" xr:uid="{00000000-0005-0000-0000-000060420000}"/>
    <cellStyle name="Comma 2 2 4 3 5 2 6" xfId="16948" xr:uid="{00000000-0005-0000-0000-000064420000}"/>
    <cellStyle name="Comma 2 2 4 3 5 2 7" xfId="16953" xr:uid="{00000000-0005-0000-0000-000069420000}"/>
    <cellStyle name="Comma 2 2 4 3 5 2 8" xfId="16955" xr:uid="{00000000-0005-0000-0000-00006B420000}"/>
    <cellStyle name="Comma 2 2 4 3 5 2 9" xfId="14930" xr:uid="{00000000-0005-0000-0000-0000823A0000}"/>
    <cellStyle name="Comma 2 2 4 3 5 3" xfId="16959" xr:uid="{00000000-0005-0000-0000-00006F420000}"/>
    <cellStyle name="Comma 2 2 4 3 5 3 2" xfId="8891" xr:uid="{00000000-0005-0000-0000-0000EB220000}"/>
    <cellStyle name="Comma 2 2 4 3 5 3 3" xfId="8900" xr:uid="{00000000-0005-0000-0000-0000F4220000}"/>
    <cellStyle name="Comma 2 2 4 3 5 3 4" xfId="8912" xr:uid="{00000000-0005-0000-0000-000000230000}"/>
    <cellStyle name="Comma 2 2 4 3 5 3 5" xfId="12292" xr:uid="{00000000-0005-0000-0000-000034300000}"/>
    <cellStyle name="Comma 2 2 4 3 5 3 6" xfId="12300" xr:uid="{00000000-0005-0000-0000-00003C300000}"/>
    <cellStyle name="Comma 2 2 4 3 5 4" xfId="16964" xr:uid="{00000000-0005-0000-0000-000074420000}"/>
    <cellStyle name="Comma 2 2 4 3 5 4 2" xfId="16972" xr:uid="{00000000-0005-0000-0000-00007C420000}"/>
    <cellStyle name="Comma 2 2 4 3 5 5" xfId="16978" xr:uid="{00000000-0005-0000-0000-000082420000}"/>
    <cellStyle name="Comma 2 2 4 3 5 6" xfId="16984" xr:uid="{00000000-0005-0000-0000-000088420000}"/>
    <cellStyle name="Comma 2 2 4 3 5 7" xfId="16990" xr:uid="{00000000-0005-0000-0000-00008E420000}"/>
    <cellStyle name="Comma 2 2 4 3 5 8" xfId="16996" xr:uid="{00000000-0005-0000-0000-000094420000}"/>
    <cellStyle name="Comma 2 2 4 3 5 9" xfId="16999" xr:uid="{00000000-0005-0000-0000-000097420000}"/>
    <cellStyle name="Comma 2 2 4 3 6" xfId="17001" xr:uid="{00000000-0005-0000-0000-000099420000}"/>
    <cellStyle name="Comma 2 2 4 3 6 10" xfId="9128" xr:uid="{00000000-0005-0000-0000-0000D8230000}"/>
    <cellStyle name="Comma 2 2 4 3 6 11" xfId="9140" xr:uid="{00000000-0005-0000-0000-0000E4230000}"/>
    <cellStyle name="Comma 2 2 4 3 6 12" xfId="17002" xr:uid="{00000000-0005-0000-0000-00009A420000}"/>
    <cellStyle name="Comma 2 2 4 3 6 2" xfId="17007" xr:uid="{00000000-0005-0000-0000-00009F420000}"/>
    <cellStyle name="Comma 2 2 4 3 6 2 2" xfId="17010" xr:uid="{00000000-0005-0000-0000-0000A2420000}"/>
    <cellStyle name="Comma 2 2 4 3 6 2 2 2" xfId="16010" xr:uid="{00000000-0005-0000-0000-0000BA3E0000}"/>
    <cellStyle name="Comma 2 2 4 3 6 2 3" xfId="17018" xr:uid="{00000000-0005-0000-0000-0000AA420000}"/>
    <cellStyle name="Comma 2 2 4 3 6 2 4" xfId="17025" xr:uid="{00000000-0005-0000-0000-0000B1420000}"/>
    <cellStyle name="Comma 2 2 4 3 6 2 5" xfId="17031" xr:uid="{00000000-0005-0000-0000-0000B7420000}"/>
    <cellStyle name="Comma 2 2 4 3 6 2 6" xfId="17036" xr:uid="{00000000-0005-0000-0000-0000BC420000}"/>
    <cellStyle name="Comma 2 2 4 3 6 2 7" xfId="17041" xr:uid="{00000000-0005-0000-0000-0000C1420000}"/>
    <cellStyle name="Comma 2 2 4 3 6 2 8" xfId="17044" xr:uid="{00000000-0005-0000-0000-0000C4420000}"/>
    <cellStyle name="Comma 2 2 4 3 6 2 9" xfId="15083" xr:uid="{00000000-0005-0000-0000-00001B3B0000}"/>
    <cellStyle name="Comma 2 2 4 3 6 3" xfId="17050" xr:uid="{00000000-0005-0000-0000-0000CA420000}"/>
    <cellStyle name="Comma 2 2 4 3 6 3 2" xfId="9698" xr:uid="{00000000-0005-0000-0000-000012260000}"/>
    <cellStyle name="Comma 2 2 4 3 6 3 3" xfId="9708" xr:uid="{00000000-0005-0000-0000-00001C260000}"/>
    <cellStyle name="Comma 2 2 4 3 6 3 4" xfId="17056" xr:uid="{00000000-0005-0000-0000-0000D0420000}"/>
    <cellStyle name="Comma 2 2 4 3 6 3 5" xfId="17062" xr:uid="{00000000-0005-0000-0000-0000D6420000}"/>
    <cellStyle name="Comma 2 2 4 3 6 3 6" xfId="17067" xr:uid="{00000000-0005-0000-0000-0000DB420000}"/>
    <cellStyle name="Comma 2 2 4 3 6 4" xfId="17071" xr:uid="{00000000-0005-0000-0000-0000DF420000}"/>
    <cellStyle name="Comma 2 2 4 3 6 4 2" xfId="14630" xr:uid="{00000000-0005-0000-0000-000056390000}"/>
    <cellStyle name="Comma 2 2 4 3 6 5" xfId="17077" xr:uid="{00000000-0005-0000-0000-0000E5420000}"/>
    <cellStyle name="Comma 2 2 4 3 6 6" xfId="17079" xr:uid="{00000000-0005-0000-0000-0000E7420000}"/>
    <cellStyle name="Comma 2 2 4 3 6 7" xfId="17084" xr:uid="{00000000-0005-0000-0000-0000EC420000}"/>
    <cellStyle name="Comma 2 2 4 3 6 8" xfId="17086" xr:uid="{00000000-0005-0000-0000-0000EE420000}"/>
    <cellStyle name="Comma 2 2 4 3 6 9" xfId="17087" xr:uid="{00000000-0005-0000-0000-0000EF420000}"/>
    <cellStyle name="Comma 2 2 4 3 7" xfId="17089" xr:uid="{00000000-0005-0000-0000-0000F1420000}"/>
    <cellStyle name="Comma 2 2 4 3 7 2" xfId="17093" xr:uid="{00000000-0005-0000-0000-0000F5420000}"/>
    <cellStyle name="Comma 2 2 4 3 7 2 2" xfId="17096" xr:uid="{00000000-0005-0000-0000-0000F8420000}"/>
    <cellStyle name="Comma 2 2 4 3 7 3" xfId="17101" xr:uid="{00000000-0005-0000-0000-0000FD420000}"/>
    <cellStyle name="Comma 2 2 4 3 7 4" xfId="17105" xr:uid="{00000000-0005-0000-0000-000001430000}"/>
    <cellStyle name="Comma 2 2 4 3 7 5" xfId="17113" xr:uid="{00000000-0005-0000-0000-000009430000}"/>
    <cellStyle name="Comma 2 2 4 3 7 6" xfId="17115" xr:uid="{00000000-0005-0000-0000-00000B430000}"/>
    <cellStyle name="Comma 2 2 4 3 7 7" xfId="17120" xr:uid="{00000000-0005-0000-0000-000010430000}"/>
    <cellStyle name="Comma 2 2 4 3 7 8" xfId="17123" xr:uid="{00000000-0005-0000-0000-000013430000}"/>
    <cellStyle name="Comma 2 2 4 3 7 9" xfId="17127" xr:uid="{00000000-0005-0000-0000-000017430000}"/>
    <cellStyle name="Comma 2 2 4 3 8" xfId="15340" xr:uid="{00000000-0005-0000-0000-00001C3C0000}"/>
    <cellStyle name="Comma 2 2 4 3 8 2" xfId="15709" xr:uid="{00000000-0005-0000-0000-00008D3D0000}"/>
    <cellStyle name="Comma 2 2 4 3 8 3" xfId="15715" xr:uid="{00000000-0005-0000-0000-0000933D0000}"/>
    <cellStyle name="Comma 2 2 4 3 8 4" xfId="15721" xr:uid="{00000000-0005-0000-0000-0000993D0000}"/>
    <cellStyle name="Comma 2 2 4 3 8 5" xfId="15729" xr:uid="{00000000-0005-0000-0000-0000A13D0000}"/>
    <cellStyle name="Comma 2 2 4 3 8 6" xfId="15730" xr:uid="{00000000-0005-0000-0000-0000A23D0000}"/>
    <cellStyle name="Comma 2 2 4 3 9" xfId="17129" xr:uid="{00000000-0005-0000-0000-000019430000}"/>
    <cellStyle name="Comma 2 2 4 3 9 2" xfId="7894" xr:uid="{00000000-0005-0000-0000-0000061F0000}"/>
    <cellStyle name="Comma 2 2 4 3 9 3" xfId="5972" xr:uid="{00000000-0005-0000-0000-000084170000}"/>
    <cellStyle name="Comma 2 2 4 3 9 4" xfId="7899" xr:uid="{00000000-0005-0000-0000-00000B1F0000}"/>
    <cellStyle name="Comma 2 2 4 3 9 5" xfId="2120" xr:uid="{00000000-0005-0000-0000-000078080000}"/>
    <cellStyle name="Comma 2 2 4 3 9 6" xfId="17133" xr:uid="{00000000-0005-0000-0000-00001D430000}"/>
    <cellStyle name="Comma 2 2 4 4" xfId="13014" xr:uid="{00000000-0005-0000-0000-000006330000}"/>
    <cellStyle name="Comma 2 2 4 4 10" xfId="6817" xr:uid="{00000000-0005-0000-0000-0000D11A0000}"/>
    <cellStyle name="Comma 2 2 4 4 10 2" xfId="17138" xr:uid="{00000000-0005-0000-0000-000022430000}"/>
    <cellStyle name="Comma 2 2 4 4 10 3" xfId="17141" xr:uid="{00000000-0005-0000-0000-000025430000}"/>
    <cellStyle name="Comma 2 2 4 4 10 4" xfId="17144" xr:uid="{00000000-0005-0000-0000-000028430000}"/>
    <cellStyle name="Comma 2 2 4 4 10 5" xfId="17147" xr:uid="{00000000-0005-0000-0000-00002B430000}"/>
    <cellStyle name="Comma 2 2 4 4 10 6" xfId="12491" xr:uid="{00000000-0005-0000-0000-0000FB300000}"/>
    <cellStyle name="Comma 2 2 4 4 11" xfId="6832" xr:uid="{00000000-0005-0000-0000-0000E01A0000}"/>
    <cellStyle name="Comma 2 2 4 4 11 2" xfId="17148" xr:uid="{00000000-0005-0000-0000-00002C430000}"/>
    <cellStyle name="Comma 2 2 4 4 11 3" xfId="17150" xr:uid="{00000000-0005-0000-0000-00002E430000}"/>
    <cellStyle name="Comma 2 2 4 4 11 4" xfId="8584" xr:uid="{00000000-0005-0000-0000-0000B8210000}"/>
    <cellStyle name="Comma 2 2 4 4 11 5" xfId="17152" xr:uid="{00000000-0005-0000-0000-000030430000}"/>
    <cellStyle name="Comma 2 2 4 4 11 6" xfId="12519" xr:uid="{00000000-0005-0000-0000-000017310000}"/>
    <cellStyle name="Comma 2 2 4 4 12" xfId="6860" xr:uid="{00000000-0005-0000-0000-0000FC1A0000}"/>
    <cellStyle name="Comma 2 2 4 4 13" xfId="6870" xr:uid="{00000000-0005-0000-0000-0000061B0000}"/>
    <cellStyle name="Comma 2 2 4 4 14" xfId="8128" xr:uid="{00000000-0005-0000-0000-0000F01F0000}"/>
    <cellStyle name="Comma 2 2 4 4 15" xfId="9041" xr:uid="{00000000-0005-0000-0000-000081230000}"/>
    <cellStyle name="Comma 2 2 4 4 16" xfId="9050" xr:uid="{00000000-0005-0000-0000-00008A230000}"/>
    <cellStyle name="Comma 2 2 4 4 17" xfId="8430" xr:uid="{00000000-0005-0000-0000-00001E210000}"/>
    <cellStyle name="Comma 2 2 4 4 18" xfId="2393" xr:uid="{00000000-0005-0000-0000-000089090000}"/>
    <cellStyle name="Comma 2 2 4 4 19" xfId="1568" xr:uid="{00000000-0005-0000-0000-000050060000}"/>
    <cellStyle name="Comma 2 2 4 4 2" xfId="14187" xr:uid="{00000000-0005-0000-0000-00009B370000}"/>
    <cellStyle name="Comma 2 2 4 4 2 10" xfId="17154" xr:uid="{00000000-0005-0000-0000-000032430000}"/>
    <cellStyle name="Comma 2 2 4 4 2 11" xfId="17155" xr:uid="{00000000-0005-0000-0000-000033430000}"/>
    <cellStyle name="Comma 2 2 4 4 2 12" xfId="17156" xr:uid="{00000000-0005-0000-0000-000034430000}"/>
    <cellStyle name="Comma 2 2 4 4 2 13" xfId="17157" xr:uid="{00000000-0005-0000-0000-000035430000}"/>
    <cellStyle name="Comma 2 2 4 4 2 14" xfId="17159" xr:uid="{00000000-0005-0000-0000-000037430000}"/>
    <cellStyle name="Comma 2 2 4 4 2 15" xfId="17161" xr:uid="{00000000-0005-0000-0000-000039430000}"/>
    <cellStyle name="Comma 2 2 4 4 2 16" xfId="17163" xr:uid="{00000000-0005-0000-0000-00003B430000}"/>
    <cellStyle name="Comma 2 2 4 4 2 17" xfId="17165" xr:uid="{00000000-0005-0000-0000-00003D430000}"/>
    <cellStyle name="Comma 2 2 4 4 2 18" xfId="4190" xr:uid="{00000000-0005-0000-0000-00008E100000}"/>
    <cellStyle name="Comma 2 2 4 4 2 2" xfId="17168" xr:uid="{00000000-0005-0000-0000-000040430000}"/>
    <cellStyle name="Comma 2 2 4 4 2 2 10" xfId="5187" xr:uid="{00000000-0005-0000-0000-000073140000}"/>
    <cellStyle name="Comma 2 2 4 4 2 2 11" xfId="17171" xr:uid="{00000000-0005-0000-0000-000043430000}"/>
    <cellStyle name="Comma 2 2 4 4 2 2 12" xfId="17172" xr:uid="{00000000-0005-0000-0000-000044430000}"/>
    <cellStyle name="Comma 2 2 4 4 2 2 2" xfId="2899" xr:uid="{00000000-0005-0000-0000-0000830B0000}"/>
    <cellStyle name="Comma 2 2 4 4 2 2 2 2" xfId="686" xr:uid="{00000000-0005-0000-0000-0000DE020000}"/>
    <cellStyle name="Comma 2 2 4 4 2 2 2 2 2" xfId="17174" xr:uid="{00000000-0005-0000-0000-000046430000}"/>
    <cellStyle name="Comma 2 2 4 4 2 2 2 3" xfId="154" xr:uid="{00000000-0005-0000-0000-0000A6000000}"/>
    <cellStyle name="Comma 2 2 4 4 2 2 2 4" xfId="698" xr:uid="{00000000-0005-0000-0000-0000EA020000}"/>
    <cellStyle name="Comma 2 2 4 4 2 2 2 5" xfId="4313" xr:uid="{00000000-0005-0000-0000-000009110000}"/>
    <cellStyle name="Comma 2 2 4 4 2 2 3" xfId="5565" xr:uid="{00000000-0005-0000-0000-0000ED150000}"/>
    <cellStyle name="Comma 2 2 4 4 2 2 3 2" xfId="1251" xr:uid="{00000000-0005-0000-0000-000013050000}"/>
    <cellStyle name="Comma 2 2 4 4 2 2 4" xfId="4388" xr:uid="{00000000-0005-0000-0000-000054110000}"/>
    <cellStyle name="Comma 2 2 4 4 2 2 5" xfId="5572" xr:uid="{00000000-0005-0000-0000-0000F4150000}"/>
    <cellStyle name="Comma 2 2 4 4 2 2 6" xfId="4579" xr:uid="{00000000-0005-0000-0000-000013120000}"/>
    <cellStyle name="Comma 2 2 4 4 2 2 7" xfId="5593" xr:uid="{00000000-0005-0000-0000-000009160000}"/>
    <cellStyle name="Comma 2 2 4 4 2 2 8" xfId="5599" xr:uid="{00000000-0005-0000-0000-00000F160000}"/>
    <cellStyle name="Comma 2 2 4 4 2 2 9" xfId="10982" xr:uid="{00000000-0005-0000-0000-0000162B0000}"/>
    <cellStyle name="Comma 2 2 4 4 2 3" xfId="17176" xr:uid="{00000000-0005-0000-0000-000048430000}"/>
    <cellStyle name="Comma 2 2 4 4 2 3 10" xfId="17178" xr:uid="{00000000-0005-0000-0000-00004A430000}"/>
    <cellStyle name="Comma 2 2 4 4 2 3 11" xfId="17180" xr:uid="{00000000-0005-0000-0000-00004C430000}"/>
    <cellStyle name="Comma 2 2 4 4 2 3 12" xfId="4607" xr:uid="{00000000-0005-0000-0000-00002F120000}"/>
    <cellStyle name="Comma 2 2 4 4 2 3 2" xfId="3758" xr:uid="{00000000-0005-0000-0000-0000DE0E0000}"/>
    <cellStyle name="Comma 2 2 4 4 2 3 2 2" xfId="1744" xr:uid="{00000000-0005-0000-0000-000000070000}"/>
    <cellStyle name="Comma 2 2 4 4 2 3 2 2 2" xfId="13444" xr:uid="{00000000-0005-0000-0000-0000B4340000}"/>
    <cellStyle name="Comma 2 2 4 4 2 3 2 3" xfId="14235" xr:uid="{00000000-0005-0000-0000-0000CB370000}"/>
    <cellStyle name="Comma 2 2 4 4 2 3 2 4" xfId="17182" xr:uid="{00000000-0005-0000-0000-00004E430000}"/>
    <cellStyle name="Comma 2 2 4 4 2 3 2 5" xfId="17183" xr:uid="{00000000-0005-0000-0000-00004F430000}"/>
    <cellStyle name="Comma 2 2 4 4 2 3 3" xfId="15851" xr:uid="{00000000-0005-0000-0000-00001B3E0000}"/>
    <cellStyle name="Comma 2 2 4 4 2 3 3 2" xfId="15853" xr:uid="{00000000-0005-0000-0000-00001D3E0000}"/>
    <cellStyle name="Comma 2 2 4 4 2 3 4" xfId="4401" xr:uid="{00000000-0005-0000-0000-000061110000}"/>
    <cellStyle name="Comma 2 2 4 4 2 3 5" xfId="15872" xr:uid="{00000000-0005-0000-0000-0000303E0000}"/>
    <cellStyle name="Comma 2 2 4 4 2 3 6" xfId="4613" xr:uid="{00000000-0005-0000-0000-000035120000}"/>
    <cellStyle name="Comma 2 2 4 4 2 3 7" xfId="6632" xr:uid="{00000000-0005-0000-0000-0000181A0000}"/>
    <cellStyle name="Comma 2 2 4 4 2 3 8" xfId="6639" xr:uid="{00000000-0005-0000-0000-00001F1A0000}"/>
    <cellStyle name="Comma 2 2 4 4 2 3 9" xfId="6645" xr:uid="{00000000-0005-0000-0000-0000251A0000}"/>
    <cellStyle name="Comma 2 2 4 4 2 4" xfId="17185" xr:uid="{00000000-0005-0000-0000-000051430000}"/>
    <cellStyle name="Comma 2 2 4 4 2 4 10" xfId="13460" xr:uid="{00000000-0005-0000-0000-0000C4340000}"/>
    <cellStyle name="Comma 2 2 4 4 2 4 2" xfId="4172" xr:uid="{00000000-0005-0000-0000-00007C100000}"/>
    <cellStyle name="Comma 2 2 4 4 2 4 2 2" xfId="2625" xr:uid="{00000000-0005-0000-0000-0000710A0000}"/>
    <cellStyle name="Comma 2 2 4 4 2 4 2 2 2" xfId="17188" xr:uid="{00000000-0005-0000-0000-000054430000}"/>
    <cellStyle name="Comma 2 2 4 4 2 4 2 3" xfId="17191" xr:uid="{00000000-0005-0000-0000-000057430000}"/>
    <cellStyle name="Comma 2 2 4 4 2 4 2 4" xfId="17192" xr:uid="{00000000-0005-0000-0000-000058430000}"/>
    <cellStyle name="Comma 2 2 4 4 2 4 2 5" xfId="17193" xr:uid="{00000000-0005-0000-0000-000059430000}"/>
    <cellStyle name="Comma 2 2 4 4 2 4 3" xfId="15879" xr:uid="{00000000-0005-0000-0000-0000373E0000}"/>
    <cellStyle name="Comma 2 2 4 4 2 4 3 2" xfId="15883" xr:uid="{00000000-0005-0000-0000-00003B3E0000}"/>
    <cellStyle name="Comma 2 2 4 4 2 4 4" xfId="4408" xr:uid="{00000000-0005-0000-0000-000068110000}"/>
    <cellStyle name="Comma 2 2 4 4 2 4 5" xfId="15888" xr:uid="{00000000-0005-0000-0000-0000403E0000}"/>
    <cellStyle name="Comma 2 2 4 4 2 4 6" xfId="6208" xr:uid="{00000000-0005-0000-0000-000070180000}"/>
    <cellStyle name="Comma 2 2 4 4 2 4 7" xfId="15894" xr:uid="{00000000-0005-0000-0000-0000463E0000}"/>
    <cellStyle name="Comma 2 2 4 4 2 4 8" xfId="15899" xr:uid="{00000000-0005-0000-0000-00004B3E0000}"/>
    <cellStyle name="Comma 2 2 4 4 2 4 9" xfId="15905" xr:uid="{00000000-0005-0000-0000-0000513E0000}"/>
    <cellStyle name="Comma 2 2 4 4 2 5" xfId="2940" xr:uid="{00000000-0005-0000-0000-0000AC0B0000}"/>
    <cellStyle name="Comma 2 2 4 4 2 5 10" xfId="13733" xr:uid="{00000000-0005-0000-0000-0000D5350000}"/>
    <cellStyle name="Comma 2 2 4 4 2 5 2" xfId="17194" xr:uid="{00000000-0005-0000-0000-00005A430000}"/>
    <cellStyle name="Comma 2 2 4 4 2 5 2 2" xfId="3135" xr:uid="{00000000-0005-0000-0000-00006F0C0000}"/>
    <cellStyle name="Comma 2 2 4 4 2 5 2 2 2" xfId="3156" xr:uid="{00000000-0005-0000-0000-0000840C0000}"/>
    <cellStyle name="Comma 2 2 4 4 2 5 2 3" xfId="3162" xr:uid="{00000000-0005-0000-0000-00008A0C0000}"/>
    <cellStyle name="Comma 2 2 4 4 2 5 2 4" xfId="17198" xr:uid="{00000000-0005-0000-0000-00005E430000}"/>
    <cellStyle name="Comma 2 2 4 4 2 5 2 5" xfId="17201" xr:uid="{00000000-0005-0000-0000-000061430000}"/>
    <cellStyle name="Comma 2 2 4 4 2 5 3" xfId="15912" xr:uid="{00000000-0005-0000-0000-0000583E0000}"/>
    <cellStyle name="Comma 2 2 4 4 2 5 3 2" xfId="17202" xr:uid="{00000000-0005-0000-0000-000062430000}"/>
    <cellStyle name="Comma 2 2 4 4 2 5 4" xfId="3139" xr:uid="{00000000-0005-0000-0000-0000730C0000}"/>
    <cellStyle name="Comma 2 2 4 4 2 5 5" xfId="17203" xr:uid="{00000000-0005-0000-0000-000063430000}"/>
    <cellStyle name="Comma 2 2 4 4 2 5 6" xfId="3171" xr:uid="{00000000-0005-0000-0000-0000930C0000}"/>
    <cellStyle name="Comma 2 2 4 4 2 5 7" xfId="17204" xr:uid="{00000000-0005-0000-0000-000064430000}"/>
    <cellStyle name="Comma 2 2 4 4 2 5 8" xfId="7902" xr:uid="{00000000-0005-0000-0000-00000E1F0000}"/>
    <cellStyle name="Comma 2 2 4 4 2 5 9" xfId="7911" xr:uid="{00000000-0005-0000-0000-0000171F0000}"/>
    <cellStyle name="Comma 2 2 4 4 2 6" xfId="17206" xr:uid="{00000000-0005-0000-0000-000066430000}"/>
    <cellStyle name="Comma 2 2 4 4 2 6 2" xfId="17209" xr:uid="{00000000-0005-0000-0000-000069430000}"/>
    <cellStyle name="Comma 2 2 4 4 2 6 2 2" xfId="17210" xr:uid="{00000000-0005-0000-0000-00006A430000}"/>
    <cellStyle name="Comma 2 2 4 4 2 6 3" xfId="17211" xr:uid="{00000000-0005-0000-0000-00006B430000}"/>
    <cellStyle name="Comma 2 2 4 4 2 6 4" xfId="2649" xr:uid="{00000000-0005-0000-0000-0000890A0000}"/>
    <cellStyle name="Comma 2 2 4 4 2 6 5" xfId="17212" xr:uid="{00000000-0005-0000-0000-00006C430000}"/>
    <cellStyle name="Comma 2 2 4 4 2 6 6" xfId="3400" xr:uid="{00000000-0005-0000-0000-0000780D0000}"/>
    <cellStyle name="Comma 2 2 4 4 2 6 7" xfId="17213" xr:uid="{00000000-0005-0000-0000-00006D430000}"/>
    <cellStyle name="Comma 2 2 4 4 2 6 8" xfId="3422" xr:uid="{00000000-0005-0000-0000-00008E0D0000}"/>
    <cellStyle name="Comma 2 2 4 4 2 6 9" xfId="3433" xr:uid="{00000000-0005-0000-0000-0000990D0000}"/>
    <cellStyle name="Comma 2 2 4 4 2 7" xfId="16754" xr:uid="{00000000-0005-0000-0000-0000A2410000}"/>
    <cellStyle name="Comma 2 2 4 4 2 7 2" xfId="3460" xr:uid="{00000000-0005-0000-0000-0000B40D0000}"/>
    <cellStyle name="Comma 2 2 4 4 2 8" xfId="16761" xr:uid="{00000000-0005-0000-0000-0000A9410000}"/>
    <cellStyle name="Comma 2 2 4 4 2 9" xfId="3207" xr:uid="{00000000-0005-0000-0000-0000B70C0000}"/>
    <cellStyle name="Comma 2 2 4 4 20" xfId="9042" xr:uid="{00000000-0005-0000-0000-000082230000}"/>
    <cellStyle name="Comma 2 2 4 4 21" xfId="9051" xr:uid="{00000000-0005-0000-0000-00008B230000}"/>
    <cellStyle name="Comma 2 2 4 4 22" xfId="8431" xr:uid="{00000000-0005-0000-0000-00001F210000}"/>
    <cellStyle name="Comma 2 2 4 4 23" xfId="2394" xr:uid="{00000000-0005-0000-0000-00008A090000}"/>
    <cellStyle name="Comma 2 2 4 4 3" xfId="14194" xr:uid="{00000000-0005-0000-0000-0000A2370000}"/>
    <cellStyle name="Comma 2 2 4 4 3 10" xfId="17214" xr:uid="{00000000-0005-0000-0000-00006E430000}"/>
    <cellStyle name="Comma 2 2 4 4 3 11" xfId="6921" xr:uid="{00000000-0005-0000-0000-0000391B0000}"/>
    <cellStyle name="Comma 2 2 4 4 3 12" xfId="17215" xr:uid="{00000000-0005-0000-0000-00006F430000}"/>
    <cellStyle name="Comma 2 2 4 4 3 13" xfId="17218" xr:uid="{00000000-0005-0000-0000-000072430000}"/>
    <cellStyle name="Comma 2 2 4 4 3 14" xfId="17222" xr:uid="{00000000-0005-0000-0000-000076430000}"/>
    <cellStyle name="Comma 2 2 4 4 3 15" xfId="17226" xr:uid="{00000000-0005-0000-0000-00007A430000}"/>
    <cellStyle name="Comma 2 2 4 4 3 16" xfId="17229" xr:uid="{00000000-0005-0000-0000-00007D430000}"/>
    <cellStyle name="Comma 2 2 4 4 3 17" xfId="17232" xr:uid="{00000000-0005-0000-0000-000080430000}"/>
    <cellStyle name="Comma 2 2 4 4 3 18" xfId="17235" xr:uid="{00000000-0005-0000-0000-000083430000}"/>
    <cellStyle name="Comma 2 2 4 4 3 2" xfId="17239" xr:uid="{00000000-0005-0000-0000-000087430000}"/>
    <cellStyle name="Comma 2 2 4 4 3 2 10" xfId="1132" xr:uid="{00000000-0005-0000-0000-00009C040000}"/>
    <cellStyle name="Comma 2 2 4 4 3 2 2" xfId="17242" xr:uid="{00000000-0005-0000-0000-00008A430000}"/>
    <cellStyle name="Comma 2 2 4 4 3 2 2 2" xfId="14888" xr:uid="{00000000-0005-0000-0000-0000583A0000}"/>
    <cellStyle name="Comma 2 2 4 4 3 2 3" xfId="15943" xr:uid="{00000000-0005-0000-0000-0000773E0000}"/>
    <cellStyle name="Comma 2 2 4 4 3 2 4" xfId="15948" xr:uid="{00000000-0005-0000-0000-00007C3E0000}"/>
    <cellStyle name="Comma 2 2 4 4 3 2 5" xfId="15953" xr:uid="{00000000-0005-0000-0000-0000813E0000}"/>
    <cellStyle name="Comma 2 2 4 4 3 2 6" xfId="15958" xr:uid="{00000000-0005-0000-0000-0000863E0000}"/>
    <cellStyle name="Comma 2 2 4 4 3 2 7" xfId="15965" xr:uid="{00000000-0005-0000-0000-00008D3E0000}"/>
    <cellStyle name="Comma 2 2 4 4 3 2 8" xfId="17246" xr:uid="{00000000-0005-0000-0000-00008E430000}"/>
    <cellStyle name="Comma 2 2 4 4 3 2 9" xfId="17247" xr:uid="{00000000-0005-0000-0000-00008F430000}"/>
    <cellStyle name="Comma 2 2 4 4 3 3" xfId="17248" xr:uid="{00000000-0005-0000-0000-000090430000}"/>
    <cellStyle name="Comma 2 2 4 4 3 3 2" xfId="12823" xr:uid="{00000000-0005-0000-0000-000047320000}"/>
    <cellStyle name="Comma 2 2 4 4 3 3 3" xfId="12828" xr:uid="{00000000-0005-0000-0000-00004C320000}"/>
    <cellStyle name="Comma 2 2 4 4 3 3 4" xfId="9782" xr:uid="{00000000-0005-0000-0000-000066260000}"/>
    <cellStyle name="Comma 2 2 4 4 3 3 5" xfId="9790" xr:uid="{00000000-0005-0000-0000-00006E260000}"/>
    <cellStyle name="Comma 2 2 4 4 3 3 6" xfId="6655" xr:uid="{00000000-0005-0000-0000-00002F1A0000}"/>
    <cellStyle name="Comma 2 2 4 4 3 4" xfId="17251" xr:uid="{00000000-0005-0000-0000-000093430000}"/>
    <cellStyle name="Comma 2 2 4 4 3 4 2" xfId="12845" xr:uid="{00000000-0005-0000-0000-00005D320000}"/>
    <cellStyle name="Comma 2 2 4 4 3 4 3" xfId="12850" xr:uid="{00000000-0005-0000-0000-000062320000}"/>
    <cellStyle name="Comma 2 2 4 4 3 4 4" xfId="12855" xr:uid="{00000000-0005-0000-0000-000067320000}"/>
    <cellStyle name="Comma 2 2 4 4 3 4 5" xfId="15971" xr:uid="{00000000-0005-0000-0000-0000933E0000}"/>
    <cellStyle name="Comma 2 2 4 4 3 4 6" xfId="15973" xr:uid="{00000000-0005-0000-0000-0000953E0000}"/>
    <cellStyle name="Comma 2 2 4 4 3 5" xfId="3048" xr:uid="{00000000-0005-0000-0000-0000180C0000}"/>
    <cellStyle name="Comma 2 2 4 4 3 5 2" xfId="17254" xr:uid="{00000000-0005-0000-0000-000096430000}"/>
    <cellStyle name="Comma 2 2 4 4 3 5 3" xfId="17257" xr:uid="{00000000-0005-0000-0000-000099430000}"/>
    <cellStyle name="Comma 2 2 4 4 3 5 4" xfId="17259" xr:uid="{00000000-0005-0000-0000-00009B430000}"/>
    <cellStyle name="Comma 2 2 4 4 3 5 5" xfId="17261" xr:uid="{00000000-0005-0000-0000-00009D430000}"/>
    <cellStyle name="Comma 2 2 4 4 3 5 6" xfId="17262" xr:uid="{00000000-0005-0000-0000-00009E430000}"/>
    <cellStyle name="Comma 2 2 4 4 3 6" xfId="17264" xr:uid="{00000000-0005-0000-0000-0000A0430000}"/>
    <cellStyle name="Comma 2 2 4 4 3 6 2" xfId="17267" xr:uid="{00000000-0005-0000-0000-0000A3430000}"/>
    <cellStyle name="Comma 2 2 4 4 3 6 3" xfId="17268" xr:uid="{00000000-0005-0000-0000-0000A4430000}"/>
    <cellStyle name="Comma 2 2 4 4 3 6 4" xfId="17269" xr:uid="{00000000-0005-0000-0000-0000A5430000}"/>
    <cellStyle name="Comma 2 2 4 4 3 6 5" xfId="17271" xr:uid="{00000000-0005-0000-0000-0000A7430000}"/>
    <cellStyle name="Comma 2 2 4 4 3 6 6" xfId="17273" xr:uid="{00000000-0005-0000-0000-0000A9430000}"/>
    <cellStyle name="Comma 2 2 4 4 3 7" xfId="12249" xr:uid="{00000000-0005-0000-0000-000009300000}"/>
    <cellStyle name="Comma 2 2 4 4 3 8" xfId="17276" xr:uid="{00000000-0005-0000-0000-0000AC430000}"/>
    <cellStyle name="Comma 2 2 4 4 3 9" xfId="13882" xr:uid="{00000000-0005-0000-0000-00006A360000}"/>
    <cellStyle name="Comma 2 2 4 4 4" xfId="17281" xr:uid="{00000000-0005-0000-0000-0000B1430000}"/>
    <cellStyle name="Comma 2 2 4 4 4 10" xfId="16949" xr:uid="{00000000-0005-0000-0000-000065420000}"/>
    <cellStyle name="Comma 2 2 4 4 4 11" xfId="16954" xr:uid="{00000000-0005-0000-0000-00006A420000}"/>
    <cellStyle name="Comma 2 2 4 4 4 12" xfId="14928" xr:uid="{00000000-0005-0000-0000-0000803A0000}"/>
    <cellStyle name="Comma 2 2 4 4 4 13" xfId="14936" xr:uid="{00000000-0005-0000-0000-0000883A0000}"/>
    <cellStyle name="Comma 2 2 4 4 4 14" xfId="14944" xr:uid="{00000000-0005-0000-0000-0000903A0000}"/>
    <cellStyle name="Comma 2 2 4 4 4 15" xfId="14952" xr:uid="{00000000-0005-0000-0000-0000983A0000}"/>
    <cellStyle name="Comma 2 2 4 4 4 2" xfId="14851" xr:uid="{00000000-0005-0000-0000-0000333A0000}"/>
    <cellStyle name="Comma 2 2 4 4 4 2 2" xfId="15445" xr:uid="{00000000-0005-0000-0000-0000853C0000}"/>
    <cellStyle name="Comma 2 2 4 4 4 2 2 2" xfId="17282" xr:uid="{00000000-0005-0000-0000-0000B2430000}"/>
    <cellStyle name="Comma 2 2 4 4 4 2 3" xfId="13827" xr:uid="{00000000-0005-0000-0000-000033360000}"/>
    <cellStyle name="Comma 2 2 4 4 4 2 4" xfId="4277" xr:uid="{00000000-0005-0000-0000-0000E5100000}"/>
    <cellStyle name="Comma 2 2 4 4 4 2 5" xfId="4303" xr:uid="{00000000-0005-0000-0000-0000FF100000}"/>
    <cellStyle name="Comma 2 2 4 4 4 2 6" xfId="6297" xr:uid="{00000000-0005-0000-0000-0000C9180000}"/>
    <cellStyle name="Comma 2 2 4 4 4 2 7" xfId="6314" xr:uid="{00000000-0005-0000-0000-0000DA180000}"/>
    <cellStyle name="Comma 2 2 4 4 4 2 8" xfId="6328" xr:uid="{00000000-0005-0000-0000-0000E8180000}"/>
    <cellStyle name="Comma 2 2 4 4 4 2 9" xfId="3981" xr:uid="{00000000-0005-0000-0000-0000BD0F0000}"/>
    <cellStyle name="Comma 2 2 4 4 4 3" xfId="14855" xr:uid="{00000000-0005-0000-0000-0000373A0000}"/>
    <cellStyle name="Comma 2 2 4 4 4 3 2" xfId="17286" xr:uid="{00000000-0005-0000-0000-0000B6430000}"/>
    <cellStyle name="Comma 2 2 4 4 4 3 3" xfId="13841" xr:uid="{00000000-0005-0000-0000-000041360000}"/>
    <cellStyle name="Comma 2 2 4 4 4 3 4" xfId="4330" xr:uid="{00000000-0005-0000-0000-00001A110000}"/>
    <cellStyle name="Comma 2 2 4 4 4 3 5" xfId="7545" xr:uid="{00000000-0005-0000-0000-0000A91D0000}"/>
    <cellStyle name="Comma 2 2 4 4 4 3 6" xfId="311" xr:uid="{00000000-0005-0000-0000-00004B010000}"/>
    <cellStyle name="Comma 2 2 4 4 4 4" xfId="14860" xr:uid="{00000000-0005-0000-0000-00003C3A0000}"/>
    <cellStyle name="Comma 2 2 4 4 4 4 2" xfId="17293" xr:uid="{00000000-0005-0000-0000-0000BD430000}"/>
    <cellStyle name="Comma 2 2 4 4 4 5" xfId="3334" xr:uid="{00000000-0005-0000-0000-0000360D0000}"/>
    <cellStyle name="Comma 2 2 4 4 4 6" xfId="14863" xr:uid="{00000000-0005-0000-0000-00003F3A0000}"/>
    <cellStyle name="Comma 2 2 4 4 4 7" xfId="14867" xr:uid="{00000000-0005-0000-0000-0000433A0000}"/>
    <cellStyle name="Comma 2 2 4 4 4 8" xfId="14872" xr:uid="{00000000-0005-0000-0000-0000483A0000}"/>
    <cellStyle name="Comma 2 2 4 4 4 9" xfId="14876" xr:uid="{00000000-0005-0000-0000-00004C3A0000}"/>
    <cellStyle name="Comma 2 2 4 4 5" xfId="17298" xr:uid="{00000000-0005-0000-0000-0000C2430000}"/>
    <cellStyle name="Comma 2 2 4 4 5 10" xfId="17299" xr:uid="{00000000-0005-0000-0000-0000C3430000}"/>
    <cellStyle name="Comma 2 2 4 4 5 11" xfId="17303" xr:uid="{00000000-0005-0000-0000-0000C7430000}"/>
    <cellStyle name="Comma 2 2 4 4 5 12" xfId="17305" xr:uid="{00000000-0005-0000-0000-0000C9430000}"/>
    <cellStyle name="Comma 2 2 4 4 5 13" xfId="17306" xr:uid="{00000000-0005-0000-0000-0000CA430000}"/>
    <cellStyle name="Comma 2 2 4 4 5 2" xfId="17310" xr:uid="{00000000-0005-0000-0000-0000CE430000}"/>
    <cellStyle name="Comma 2 2 4 4 5 2 2" xfId="6458" xr:uid="{00000000-0005-0000-0000-00006A190000}"/>
    <cellStyle name="Comma 2 2 4 4 5 2 2 2" xfId="3727" xr:uid="{00000000-0005-0000-0000-0000BF0E0000}"/>
    <cellStyle name="Comma 2 2 4 4 5 2 3" xfId="13848" xr:uid="{00000000-0005-0000-0000-000048360000}"/>
    <cellStyle name="Comma 2 2 4 4 5 2 4" xfId="13859" xr:uid="{00000000-0005-0000-0000-000053360000}"/>
    <cellStyle name="Comma 2 2 4 4 5 2 5" xfId="13865" xr:uid="{00000000-0005-0000-0000-000059360000}"/>
    <cellStyle name="Comma 2 2 4 4 5 2 6" xfId="13873" xr:uid="{00000000-0005-0000-0000-000061360000}"/>
    <cellStyle name="Comma 2 2 4 4 5 2 7" xfId="17313" xr:uid="{00000000-0005-0000-0000-0000D1430000}"/>
    <cellStyle name="Comma 2 2 4 4 5 2 8" xfId="17314" xr:uid="{00000000-0005-0000-0000-0000D2430000}"/>
    <cellStyle name="Comma 2 2 4 4 5 2 9" xfId="15341" xr:uid="{00000000-0005-0000-0000-00001D3C0000}"/>
    <cellStyle name="Comma 2 2 4 4 5 3" xfId="17318" xr:uid="{00000000-0005-0000-0000-0000D6430000}"/>
    <cellStyle name="Comma 2 2 4 4 5 3 2" xfId="6482" xr:uid="{00000000-0005-0000-0000-000082190000}"/>
    <cellStyle name="Comma 2 2 4 4 5 3 3" xfId="13880" xr:uid="{00000000-0005-0000-0000-000068360000}"/>
    <cellStyle name="Comma 2 2 4 4 5 3 4" xfId="17320" xr:uid="{00000000-0005-0000-0000-0000D8430000}"/>
    <cellStyle name="Comma 2 2 4 4 5 3 5" xfId="17323" xr:uid="{00000000-0005-0000-0000-0000DB430000}"/>
    <cellStyle name="Comma 2 2 4 4 5 3 6" xfId="3647" xr:uid="{00000000-0005-0000-0000-00006F0E0000}"/>
    <cellStyle name="Comma 2 2 4 4 5 4" xfId="17328" xr:uid="{00000000-0005-0000-0000-0000E0430000}"/>
    <cellStyle name="Comma 2 2 4 4 5 4 2" xfId="6527" xr:uid="{00000000-0005-0000-0000-0000AF190000}"/>
    <cellStyle name="Comma 2 2 4 4 5 5" xfId="3353" xr:uid="{00000000-0005-0000-0000-0000490D0000}"/>
    <cellStyle name="Comma 2 2 4 4 5 6" xfId="17332" xr:uid="{00000000-0005-0000-0000-0000E4430000}"/>
    <cellStyle name="Comma 2 2 4 4 5 7" xfId="17336" xr:uid="{00000000-0005-0000-0000-0000E8430000}"/>
    <cellStyle name="Comma 2 2 4 4 5 8" xfId="17340" xr:uid="{00000000-0005-0000-0000-0000EC430000}"/>
    <cellStyle name="Comma 2 2 4 4 5 9" xfId="17341" xr:uid="{00000000-0005-0000-0000-0000ED430000}"/>
    <cellStyle name="Comma 2 2 4 4 6" xfId="17343" xr:uid="{00000000-0005-0000-0000-0000EF430000}"/>
    <cellStyle name="Comma 2 2 4 4 6 10" xfId="10958" xr:uid="{00000000-0005-0000-0000-0000FE2A0000}"/>
    <cellStyle name="Comma 2 2 4 4 6 11" xfId="8402" xr:uid="{00000000-0005-0000-0000-000002210000}"/>
    <cellStyle name="Comma 2 2 4 4 6 12" xfId="17349" xr:uid="{00000000-0005-0000-0000-0000F5430000}"/>
    <cellStyle name="Comma 2 2 4 4 6 2" xfId="17354" xr:uid="{00000000-0005-0000-0000-0000FA430000}"/>
    <cellStyle name="Comma 2 2 4 4 6 2 2" xfId="17357" xr:uid="{00000000-0005-0000-0000-0000FD430000}"/>
    <cellStyle name="Comma 2 2 4 4 6 2 2 2" xfId="9863" xr:uid="{00000000-0005-0000-0000-0000B7260000}"/>
    <cellStyle name="Comma 2 2 4 4 6 2 3" xfId="13891" xr:uid="{00000000-0005-0000-0000-000073360000}"/>
    <cellStyle name="Comma 2 2 4 4 6 2 4" xfId="13894" xr:uid="{00000000-0005-0000-0000-000076360000}"/>
    <cellStyle name="Comma 2 2 4 4 6 2 5" xfId="13898" xr:uid="{00000000-0005-0000-0000-00007A360000}"/>
    <cellStyle name="Comma 2 2 4 4 6 2 6" xfId="13903" xr:uid="{00000000-0005-0000-0000-00007F360000}"/>
    <cellStyle name="Comma 2 2 4 4 6 2 7" xfId="17360" xr:uid="{00000000-0005-0000-0000-000000440000}"/>
    <cellStyle name="Comma 2 2 4 4 6 2 8" xfId="17361" xr:uid="{00000000-0005-0000-0000-000001440000}"/>
    <cellStyle name="Comma 2 2 4 4 6 2 9" xfId="15477" xr:uid="{00000000-0005-0000-0000-0000A53C0000}"/>
    <cellStyle name="Comma 2 2 4 4 6 3" xfId="17365" xr:uid="{00000000-0005-0000-0000-000005440000}"/>
    <cellStyle name="Comma 2 2 4 4 6 3 2" xfId="17367" xr:uid="{00000000-0005-0000-0000-000007440000}"/>
    <cellStyle name="Comma 2 2 4 4 6 3 3" xfId="13905" xr:uid="{00000000-0005-0000-0000-000081360000}"/>
    <cellStyle name="Comma 2 2 4 4 6 3 4" xfId="17370" xr:uid="{00000000-0005-0000-0000-00000A440000}"/>
    <cellStyle name="Comma 2 2 4 4 6 3 5" xfId="17371" xr:uid="{00000000-0005-0000-0000-00000B440000}"/>
    <cellStyle name="Comma 2 2 4 4 6 3 6" xfId="6681" xr:uid="{00000000-0005-0000-0000-0000491A0000}"/>
    <cellStyle name="Comma 2 2 4 4 6 4" xfId="17374" xr:uid="{00000000-0005-0000-0000-00000E440000}"/>
    <cellStyle name="Comma 2 2 4 4 6 4 2" xfId="17376" xr:uid="{00000000-0005-0000-0000-000010440000}"/>
    <cellStyle name="Comma 2 2 4 4 6 5" xfId="3366" xr:uid="{00000000-0005-0000-0000-0000560D0000}"/>
    <cellStyle name="Comma 2 2 4 4 6 6" xfId="17378" xr:uid="{00000000-0005-0000-0000-000012440000}"/>
    <cellStyle name="Comma 2 2 4 4 6 7" xfId="17379" xr:uid="{00000000-0005-0000-0000-000013440000}"/>
    <cellStyle name="Comma 2 2 4 4 6 8" xfId="17380" xr:uid="{00000000-0005-0000-0000-000014440000}"/>
    <cellStyle name="Comma 2 2 4 4 6 9" xfId="17381" xr:uid="{00000000-0005-0000-0000-000015440000}"/>
    <cellStyle name="Comma 2 2 4 4 7" xfId="17383" xr:uid="{00000000-0005-0000-0000-000017440000}"/>
    <cellStyle name="Comma 2 2 4 4 7 2" xfId="625" xr:uid="{00000000-0005-0000-0000-00009C020000}"/>
    <cellStyle name="Comma 2 2 4 4 7 2 2" xfId="17386" xr:uid="{00000000-0005-0000-0000-00001A440000}"/>
    <cellStyle name="Comma 2 2 4 4 7 3" xfId="652" xr:uid="{00000000-0005-0000-0000-0000BA020000}"/>
    <cellStyle name="Comma 2 2 4 4 7 4" xfId="17389" xr:uid="{00000000-0005-0000-0000-00001D440000}"/>
    <cellStyle name="Comma 2 2 4 4 7 5" xfId="734" xr:uid="{00000000-0005-0000-0000-00000E030000}"/>
    <cellStyle name="Comma 2 2 4 4 7 6" xfId="17390" xr:uid="{00000000-0005-0000-0000-00001E440000}"/>
    <cellStyle name="Comma 2 2 4 4 7 7" xfId="17391" xr:uid="{00000000-0005-0000-0000-00001F440000}"/>
    <cellStyle name="Comma 2 2 4 4 7 8" xfId="17392" xr:uid="{00000000-0005-0000-0000-000020440000}"/>
    <cellStyle name="Comma 2 2 4 4 7 9" xfId="17393" xr:uid="{00000000-0005-0000-0000-000021440000}"/>
    <cellStyle name="Comma 2 2 4 4 8" xfId="17395" xr:uid="{00000000-0005-0000-0000-000023440000}"/>
    <cellStyle name="Comma 2 2 4 4 8 2" xfId="17396" xr:uid="{00000000-0005-0000-0000-000024440000}"/>
    <cellStyle name="Comma 2 2 4 4 8 3" xfId="17397" xr:uid="{00000000-0005-0000-0000-000025440000}"/>
    <cellStyle name="Comma 2 2 4 4 8 4" xfId="17398" xr:uid="{00000000-0005-0000-0000-000026440000}"/>
    <cellStyle name="Comma 2 2 4 4 8 5" xfId="17399" xr:uid="{00000000-0005-0000-0000-000027440000}"/>
    <cellStyle name="Comma 2 2 4 4 8 6" xfId="17400" xr:uid="{00000000-0005-0000-0000-000028440000}"/>
    <cellStyle name="Comma 2 2 4 4 9" xfId="17402" xr:uid="{00000000-0005-0000-0000-00002A440000}"/>
    <cellStyle name="Comma 2 2 4 4 9 2" xfId="15010" xr:uid="{00000000-0005-0000-0000-0000D23A0000}"/>
    <cellStyle name="Comma 2 2 4 4 9 3" xfId="15015" xr:uid="{00000000-0005-0000-0000-0000D73A0000}"/>
    <cellStyle name="Comma 2 2 4 4 9 4" xfId="15018" xr:uid="{00000000-0005-0000-0000-0000DA3A0000}"/>
    <cellStyle name="Comma 2 2 4 4 9 5" xfId="15021" xr:uid="{00000000-0005-0000-0000-0000DD3A0000}"/>
    <cellStyle name="Comma 2 2 4 4 9 6" xfId="15025" xr:uid="{00000000-0005-0000-0000-0000E13A0000}"/>
    <cellStyle name="Comma 2 2 4 5" xfId="13018" xr:uid="{00000000-0005-0000-0000-00000A330000}"/>
    <cellStyle name="Comma 2 2 4 5 10" xfId="10603" xr:uid="{00000000-0005-0000-0000-00009B290000}"/>
    <cellStyle name="Comma 2 2 4 5 11" xfId="10607" xr:uid="{00000000-0005-0000-0000-00009F290000}"/>
    <cellStyle name="Comma 2 2 4 5 12" xfId="17403" xr:uid="{00000000-0005-0000-0000-00002B440000}"/>
    <cellStyle name="Comma 2 2 4 5 13" xfId="17408" xr:uid="{00000000-0005-0000-0000-000030440000}"/>
    <cellStyle name="Comma 2 2 4 5 14" xfId="17414" xr:uid="{00000000-0005-0000-0000-000036440000}"/>
    <cellStyle name="Comma 2 2 4 5 15" xfId="17418" xr:uid="{00000000-0005-0000-0000-00003A440000}"/>
    <cellStyle name="Comma 2 2 4 5 16" xfId="17422" xr:uid="{00000000-0005-0000-0000-00003E440000}"/>
    <cellStyle name="Comma 2 2 4 5 17" xfId="17427" xr:uid="{00000000-0005-0000-0000-000043440000}"/>
    <cellStyle name="Comma 2 2 4 5 18" xfId="17430" xr:uid="{00000000-0005-0000-0000-000046440000}"/>
    <cellStyle name="Comma 2 2 4 5 2" xfId="14211" xr:uid="{00000000-0005-0000-0000-0000B3370000}"/>
    <cellStyle name="Comma 2 2 4 5 2 10" xfId="16728" xr:uid="{00000000-0005-0000-0000-000088410000}"/>
    <cellStyle name="Comma 2 2 4 5 2 11" xfId="16741" xr:uid="{00000000-0005-0000-0000-000095410000}"/>
    <cellStyle name="Comma 2 2 4 5 2 12" xfId="16746" xr:uid="{00000000-0005-0000-0000-00009A410000}"/>
    <cellStyle name="Comma 2 2 4 5 2 13" xfId="16750" xr:uid="{00000000-0005-0000-0000-00009E410000}"/>
    <cellStyle name="Comma 2 2 4 5 2 14" xfId="17432" xr:uid="{00000000-0005-0000-0000-000048440000}"/>
    <cellStyle name="Comma 2 2 4 5 2 2" xfId="17434" xr:uid="{00000000-0005-0000-0000-00004A440000}"/>
    <cellStyle name="Comma 2 2 4 5 2 2 10" xfId="7104" xr:uid="{00000000-0005-0000-0000-0000F01B0000}"/>
    <cellStyle name="Comma 2 2 4 5 2 2 2" xfId="17437" xr:uid="{00000000-0005-0000-0000-00004D440000}"/>
    <cellStyle name="Comma 2 2 4 5 2 2 2 2" xfId="7394" xr:uid="{00000000-0005-0000-0000-0000121D0000}"/>
    <cellStyle name="Comma 2 2 4 5 2 2 3" xfId="17441" xr:uid="{00000000-0005-0000-0000-000051440000}"/>
    <cellStyle name="Comma 2 2 4 5 2 2 4" xfId="17444" xr:uid="{00000000-0005-0000-0000-000054440000}"/>
    <cellStyle name="Comma 2 2 4 5 2 2 5" xfId="17449" xr:uid="{00000000-0005-0000-0000-000059440000}"/>
    <cellStyle name="Comma 2 2 4 5 2 2 6" xfId="17453" xr:uid="{00000000-0005-0000-0000-00005D440000}"/>
    <cellStyle name="Comma 2 2 4 5 2 2 7" xfId="17457" xr:uid="{00000000-0005-0000-0000-000061440000}"/>
    <cellStyle name="Comma 2 2 4 5 2 2 8" xfId="17460" xr:uid="{00000000-0005-0000-0000-000064440000}"/>
    <cellStyle name="Comma 2 2 4 5 2 2 9" xfId="17466" xr:uid="{00000000-0005-0000-0000-00006A440000}"/>
    <cellStyle name="Comma 2 2 4 5 2 3" xfId="17467" xr:uid="{00000000-0005-0000-0000-00006B440000}"/>
    <cellStyle name="Comma 2 2 4 5 2 3 2" xfId="16702" xr:uid="{00000000-0005-0000-0000-00006E410000}"/>
    <cellStyle name="Comma 2 2 4 5 2 3 3" xfId="16708" xr:uid="{00000000-0005-0000-0000-000074410000}"/>
    <cellStyle name="Comma 2 2 4 5 2 3 4" xfId="16713" xr:uid="{00000000-0005-0000-0000-000079410000}"/>
    <cellStyle name="Comma 2 2 4 5 2 3 5" xfId="16718" xr:uid="{00000000-0005-0000-0000-00007E410000}"/>
    <cellStyle name="Comma 2 2 4 5 2 3 6" xfId="476" xr:uid="{00000000-0005-0000-0000-0000FB010000}"/>
    <cellStyle name="Comma 2 2 4 5 2 4" xfId="17472" xr:uid="{00000000-0005-0000-0000-000070440000}"/>
    <cellStyle name="Comma 2 2 4 5 2 4 2" xfId="16096" xr:uid="{00000000-0005-0000-0000-0000103F0000}"/>
    <cellStyle name="Comma 2 2 4 5 2 4 3" xfId="17477" xr:uid="{00000000-0005-0000-0000-000075440000}"/>
    <cellStyle name="Comma 2 2 4 5 2 4 4" xfId="17480" xr:uid="{00000000-0005-0000-0000-000078440000}"/>
    <cellStyle name="Comma 2 2 4 5 2 4 5" xfId="17487" xr:uid="{00000000-0005-0000-0000-00007F440000}"/>
    <cellStyle name="Comma 2 2 4 5 2 5" xfId="3693" xr:uid="{00000000-0005-0000-0000-00009D0E0000}"/>
    <cellStyle name="Comma 2 2 4 5 2 6" xfId="17490" xr:uid="{00000000-0005-0000-0000-000082440000}"/>
    <cellStyle name="Comma 2 2 4 5 2 7" xfId="16774" xr:uid="{00000000-0005-0000-0000-0000B6410000}"/>
    <cellStyle name="Comma 2 2 4 5 2 8" xfId="16790" xr:uid="{00000000-0005-0000-0000-0000C6410000}"/>
    <cellStyle name="Comma 2 2 4 5 2 9" xfId="16801" xr:uid="{00000000-0005-0000-0000-0000D1410000}"/>
    <cellStyle name="Comma 2 2 4 5 3" xfId="14214" xr:uid="{00000000-0005-0000-0000-0000B6370000}"/>
    <cellStyle name="Comma 2 2 4 5 3 10" xfId="17118" xr:uid="{00000000-0005-0000-0000-00000E430000}"/>
    <cellStyle name="Comma 2 2 4 5 3 11" xfId="17122" xr:uid="{00000000-0005-0000-0000-000012430000}"/>
    <cellStyle name="Comma 2 2 4 5 3 12" xfId="17124" xr:uid="{00000000-0005-0000-0000-000014430000}"/>
    <cellStyle name="Comma 2 2 4 5 3 2" xfId="17494" xr:uid="{00000000-0005-0000-0000-000086440000}"/>
    <cellStyle name="Comma 2 2 4 5 3 2 2" xfId="17496" xr:uid="{00000000-0005-0000-0000-000088440000}"/>
    <cellStyle name="Comma 2 2 4 5 3 2 2 2" xfId="15261" xr:uid="{00000000-0005-0000-0000-0000CD3B0000}"/>
    <cellStyle name="Comma 2 2 4 5 3 2 3" xfId="17501" xr:uid="{00000000-0005-0000-0000-00008D440000}"/>
    <cellStyle name="Comma 2 2 4 5 3 2 4" xfId="17504" xr:uid="{00000000-0005-0000-0000-000090440000}"/>
    <cellStyle name="Comma 2 2 4 5 3 2 5" xfId="17507" xr:uid="{00000000-0005-0000-0000-000093440000}"/>
    <cellStyle name="Comma 2 2 4 5 3 3" xfId="17509" xr:uid="{00000000-0005-0000-0000-000095440000}"/>
    <cellStyle name="Comma 2 2 4 5 3 3 2" xfId="17510" xr:uid="{00000000-0005-0000-0000-000096440000}"/>
    <cellStyle name="Comma 2 2 4 5 3 4" xfId="17514" xr:uid="{00000000-0005-0000-0000-00009A440000}"/>
    <cellStyle name="Comma 2 2 4 5 3 5" xfId="3699" xr:uid="{00000000-0005-0000-0000-0000A30E0000}"/>
    <cellStyle name="Comma 2 2 4 5 3 6" xfId="17516" xr:uid="{00000000-0005-0000-0000-00009C440000}"/>
    <cellStyle name="Comma 2 2 4 5 3 7" xfId="16815" xr:uid="{00000000-0005-0000-0000-0000DF410000}"/>
    <cellStyle name="Comma 2 2 4 5 3 8" xfId="17521" xr:uid="{00000000-0005-0000-0000-0000A1440000}"/>
    <cellStyle name="Comma 2 2 4 5 3 9" xfId="17526" xr:uid="{00000000-0005-0000-0000-0000A6440000}"/>
    <cellStyle name="Comma 2 2 4 5 4" xfId="17533" xr:uid="{00000000-0005-0000-0000-0000AD440000}"/>
    <cellStyle name="Comma 2 2 4 5 4 10" xfId="17534" xr:uid="{00000000-0005-0000-0000-0000AE440000}"/>
    <cellStyle name="Comma 2 2 4 5 4 11" xfId="17535" xr:uid="{00000000-0005-0000-0000-0000AF440000}"/>
    <cellStyle name="Comma 2 2 4 5 4 2" xfId="17536" xr:uid="{00000000-0005-0000-0000-0000B0440000}"/>
    <cellStyle name="Comma 2 2 4 5 4 2 2" xfId="17539" xr:uid="{00000000-0005-0000-0000-0000B3440000}"/>
    <cellStyle name="Comma 2 2 4 5 4 2 2 2" xfId="17543" xr:uid="{00000000-0005-0000-0000-0000B7440000}"/>
    <cellStyle name="Comma 2 2 4 5 4 2 3" xfId="13973" xr:uid="{00000000-0005-0000-0000-0000C5360000}"/>
    <cellStyle name="Comma 2 2 4 5 4 2 4" xfId="17546" xr:uid="{00000000-0005-0000-0000-0000BA440000}"/>
    <cellStyle name="Comma 2 2 4 5 4 2 5" xfId="17551" xr:uid="{00000000-0005-0000-0000-0000BF440000}"/>
    <cellStyle name="Comma 2 2 4 5 4 3" xfId="17553" xr:uid="{00000000-0005-0000-0000-0000C1440000}"/>
    <cellStyle name="Comma 2 2 4 5 4 3 2" xfId="17555" xr:uid="{00000000-0005-0000-0000-0000C3440000}"/>
    <cellStyle name="Comma 2 2 4 5 4 4" xfId="17558" xr:uid="{00000000-0005-0000-0000-0000C6440000}"/>
    <cellStyle name="Comma 2 2 4 5 4 5" xfId="3703" xr:uid="{00000000-0005-0000-0000-0000A70E0000}"/>
    <cellStyle name="Comma 2 2 4 5 4 6" xfId="17559" xr:uid="{00000000-0005-0000-0000-0000C7440000}"/>
    <cellStyle name="Comma 2 2 4 5 4 7" xfId="17561" xr:uid="{00000000-0005-0000-0000-0000C9440000}"/>
    <cellStyle name="Comma 2 2 4 5 4 8" xfId="17563" xr:uid="{00000000-0005-0000-0000-0000CB440000}"/>
    <cellStyle name="Comma 2 2 4 5 4 9" xfId="17565" xr:uid="{00000000-0005-0000-0000-0000CD440000}"/>
    <cellStyle name="Comma 2 2 4 5 5" xfId="17569" xr:uid="{00000000-0005-0000-0000-0000D1440000}"/>
    <cellStyle name="Comma 2 2 4 5 5 10" xfId="4856" xr:uid="{00000000-0005-0000-0000-000028130000}"/>
    <cellStyle name="Comma 2 2 4 5 5 2" xfId="7094" xr:uid="{00000000-0005-0000-0000-0000E61B0000}"/>
    <cellStyle name="Comma 2 2 4 5 5 2 2" xfId="17573" xr:uid="{00000000-0005-0000-0000-0000D5440000}"/>
    <cellStyle name="Comma 2 2 4 5 5 2 2 2" xfId="17576" xr:uid="{00000000-0005-0000-0000-0000D8440000}"/>
    <cellStyle name="Comma 2 2 4 5 5 2 3" xfId="15212" xr:uid="{00000000-0005-0000-0000-00009C3B0000}"/>
    <cellStyle name="Comma 2 2 4 5 5 2 4" xfId="15217" xr:uid="{00000000-0005-0000-0000-0000A13B0000}"/>
    <cellStyle name="Comma 2 2 4 5 5 2 5" xfId="15221" xr:uid="{00000000-0005-0000-0000-0000A53B0000}"/>
    <cellStyle name="Comma 2 2 4 5 5 3" xfId="13950" xr:uid="{00000000-0005-0000-0000-0000AE360000}"/>
    <cellStyle name="Comma 2 2 4 5 5 3 2" xfId="17581" xr:uid="{00000000-0005-0000-0000-0000DD440000}"/>
    <cellStyle name="Comma 2 2 4 5 5 4" xfId="13955" xr:uid="{00000000-0005-0000-0000-0000B3360000}"/>
    <cellStyle name="Comma 2 2 4 5 5 5" xfId="3715" xr:uid="{00000000-0005-0000-0000-0000B30E0000}"/>
    <cellStyle name="Comma 2 2 4 5 5 6" xfId="13959" xr:uid="{00000000-0005-0000-0000-0000B7360000}"/>
    <cellStyle name="Comma 2 2 4 5 5 7" xfId="13963" xr:uid="{00000000-0005-0000-0000-0000BB360000}"/>
    <cellStyle name="Comma 2 2 4 5 5 8" xfId="17585" xr:uid="{00000000-0005-0000-0000-0000E1440000}"/>
    <cellStyle name="Comma 2 2 4 5 5 9" xfId="17586" xr:uid="{00000000-0005-0000-0000-0000E2440000}"/>
    <cellStyle name="Comma 2 2 4 5 6" xfId="17588" xr:uid="{00000000-0005-0000-0000-0000E4440000}"/>
    <cellStyle name="Comma 2 2 4 5 6 2" xfId="7108" xr:uid="{00000000-0005-0000-0000-0000F41B0000}"/>
    <cellStyle name="Comma 2 2 4 5 6 2 2" xfId="17589" xr:uid="{00000000-0005-0000-0000-0000E5440000}"/>
    <cellStyle name="Comma 2 2 4 5 6 3" xfId="11037" xr:uid="{00000000-0005-0000-0000-00004D2B0000}"/>
    <cellStyle name="Comma 2 2 4 5 6 4" xfId="11044" xr:uid="{00000000-0005-0000-0000-0000542B0000}"/>
    <cellStyle name="Comma 2 2 4 5 6 5" xfId="11050" xr:uid="{00000000-0005-0000-0000-00005A2B0000}"/>
    <cellStyle name="Comma 2 2 4 5 6 6" xfId="17593" xr:uid="{00000000-0005-0000-0000-0000E9440000}"/>
    <cellStyle name="Comma 2 2 4 5 6 7" xfId="17594" xr:uid="{00000000-0005-0000-0000-0000EA440000}"/>
    <cellStyle name="Comma 2 2 4 5 6 8" xfId="17595" xr:uid="{00000000-0005-0000-0000-0000EB440000}"/>
    <cellStyle name="Comma 2 2 4 5 6 9" xfId="17598" xr:uid="{00000000-0005-0000-0000-0000EE440000}"/>
    <cellStyle name="Comma 2 2 4 5 7" xfId="17600" xr:uid="{00000000-0005-0000-0000-0000F0440000}"/>
    <cellStyle name="Comma 2 2 4 5 7 2" xfId="17601" xr:uid="{00000000-0005-0000-0000-0000F1440000}"/>
    <cellStyle name="Comma 2 2 4 5 8" xfId="17603" xr:uid="{00000000-0005-0000-0000-0000F3440000}"/>
    <cellStyle name="Comma 2 2 4 5 9" xfId="17605" xr:uid="{00000000-0005-0000-0000-0000F5440000}"/>
    <cellStyle name="Comma 2 2 4 6" xfId="2225" xr:uid="{00000000-0005-0000-0000-0000E1080000}"/>
    <cellStyle name="Comma 2 2 4 6 10" xfId="13001" xr:uid="{00000000-0005-0000-0000-0000F9320000}"/>
    <cellStyle name="Comma 2 2 4 6 11" xfId="17607" xr:uid="{00000000-0005-0000-0000-0000F7440000}"/>
    <cellStyle name="Comma 2 2 4 6 12" xfId="17609" xr:uid="{00000000-0005-0000-0000-0000F9440000}"/>
    <cellStyle name="Comma 2 2 4 6 13" xfId="17613" xr:uid="{00000000-0005-0000-0000-0000FD440000}"/>
    <cellStyle name="Comma 2 2 4 6 14" xfId="17615" xr:uid="{00000000-0005-0000-0000-0000FF440000}"/>
    <cellStyle name="Comma 2 2 4 6 15" xfId="17618" xr:uid="{00000000-0005-0000-0000-000002450000}"/>
    <cellStyle name="Comma 2 2 4 6 16" xfId="17619" xr:uid="{00000000-0005-0000-0000-000003450000}"/>
    <cellStyle name="Comma 2 2 4 6 17" xfId="17622" xr:uid="{00000000-0005-0000-0000-000006450000}"/>
    <cellStyle name="Comma 2 2 4 6 18" xfId="17625" xr:uid="{00000000-0005-0000-0000-000009450000}"/>
    <cellStyle name="Comma 2 2 4 6 2" xfId="14311" xr:uid="{00000000-0005-0000-0000-000017380000}"/>
    <cellStyle name="Comma 2 2 4 6 2 10" xfId="17631" xr:uid="{00000000-0005-0000-0000-00000F450000}"/>
    <cellStyle name="Comma 2 2 4 6 2 2" xfId="17633" xr:uid="{00000000-0005-0000-0000-000011450000}"/>
    <cellStyle name="Comma 2 2 4 6 2 2 2" xfId="17635" xr:uid="{00000000-0005-0000-0000-000013450000}"/>
    <cellStyle name="Comma 2 2 4 6 2 3" xfId="17636" xr:uid="{00000000-0005-0000-0000-000014450000}"/>
    <cellStyle name="Comma 2 2 4 6 2 4" xfId="17639" xr:uid="{00000000-0005-0000-0000-000017450000}"/>
    <cellStyle name="Comma 2 2 4 6 2 5" xfId="17643" xr:uid="{00000000-0005-0000-0000-00001B450000}"/>
    <cellStyle name="Comma 2 2 4 6 2 6" xfId="17647" xr:uid="{00000000-0005-0000-0000-00001F450000}"/>
    <cellStyle name="Comma 2 2 4 6 2 7" xfId="7466" xr:uid="{00000000-0005-0000-0000-00005A1D0000}"/>
    <cellStyle name="Comma 2 2 4 6 2 8" xfId="17650" xr:uid="{00000000-0005-0000-0000-000022450000}"/>
    <cellStyle name="Comma 2 2 4 6 2 9" xfId="17653" xr:uid="{00000000-0005-0000-0000-000025450000}"/>
    <cellStyle name="Comma 2 2 4 6 3" xfId="14313" xr:uid="{00000000-0005-0000-0000-000019380000}"/>
    <cellStyle name="Comma 2 2 4 6 3 2" xfId="17654" xr:uid="{00000000-0005-0000-0000-000026450000}"/>
    <cellStyle name="Comma 2 2 4 6 3 3" xfId="8144" xr:uid="{00000000-0005-0000-0000-000000200000}"/>
    <cellStyle name="Comma 2 2 4 6 3 4" xfId="8147" xr:uid="{00000000-0005-0000-0000-000003200000}"/>
    <cellStyle name="Comma 2 2 4 6 3 5" xfId="4836" xr:uid="{00000000-0005-0000-0000-000014130000}"/>
    <cellStyle name="Comma 2 2 4 6 3 6" xfId="8151" xr:uid="{00000000-0005-0000-0000-000007200000}"/>
    <cellStyle name="Comma 2 2 4 6 4" xfId="17656" xr:uid="{00000000-0005-0000-0000-000028450000}"/>
    <cellStyle name="Comma 2 2 4 6 4 2" xfId="17438" xr:uid="{00000000-0005-0000-0000-00004E440000}"/>
    <cellStyle name="Comma 2 2 4 6 4 3" xfId="17442" xr:uid="{00000000-0005-0000-0000-000052440000}"/>
    <cellStyle name="Comma 2 2 4 6 4 4" xfId="17447" xr:uid="{00000000-0005-0000-0000-000057440000}"/>
    <cellStyle name="Comma 2 2 4 6 4 5" xfId="17451" xr:uid="{00000000-0005-0000-0000-00005B440000}"/>
    <cellStyle name="Comma 2 2 4 6 4 6" xfId="17455" xr:uid="{00000000-0005-0000-0000-00005F440000}"/>
    <cellStyle name="Comma 2 2 4 6 5" xfId="17657" xr:uid="{00000000-0005-0000-0000-000029450000}"/>
    <cellStyle name="Comma 2 2 4 6 5 2" xfId="16706" xr:uid="{00000000-0005-0000-0000-000072410000}"/>
    <cellStyle name="Comma 2 2 4 6 5 3" xfId="16711" xr:uid="{00000000-0005-0000-0000-000077410000}"/>
    <cellStyle name="Comma 2 2 4 6 5 4" xfId="16716" xr:uid="{00000000-0005-0000-0000-00007C410000}"/>
    <cellStyle name="Comma 2 2 4 6 5 5" xfId="473" xr:uid="{00000000-0005-0000-0000-0000F8010000}"/>
    <cellStyle name="Comma 2 2 4 6 5 6" xfId="16721" xr:uid="{00000000-0005-0000-0000-000081410000}"/>
    <cellStyle name="Comma 2 2 4 6 6" xfId="17658" xr:uid="{00000000-0005-0000-0000-00002A450000}"/>
    <cellStyle name="Comma 2 2 4 6 6 2" xfId="17475" xr:uid="{00000000-0005-0000-0000-000073440000}"/>
    <cellStyle name="Comma 2 2 4 6 6 3" xfId="17479" xr:uid="{00000000-0005-0000-0000-000077440000}"/>
    <cellStyle name="Comma 2 2 4 6 6 4" xfId="17483" xr:uid="{00000000-0005-0000-0000-00007B440000}"/>
    <cellStyle name="Comma 2 2 4 6 6 5" xfId="17660" xr:uid="{00000000-0005-0000-0000-00002C450000}"/>
    <cellStyle name="Comma 2 2 4 6 6 6" xfId="17661" xr:uid="{00000000-0005-0000-0000-00002D450000}"/>
    <cellStyle name="Comma 2 2 4 6 7" xfId="17662" xr:uid="{00000000-0005-0000-0000-00002E450000}"/>
    <cellStyle name="Comma 2 2 4 6 8" xfId="17664" xr:uid="{00000000-0005-0000-0000-000030450000}"/>
    <cellStyle name="Comma 2 2 4 6 9" xfId="15916" xr:uid="{00000000-0005-0000-0000-00005C3E0000}"/>
    <cellStyle name="Comma 2 2 4 7" xfId="13021" xr:uid="{00000000-0005-0000-0000-00000D330000}"/>
    <cellStyle name="Comma 2 2 4 7 10" xfId="12142" xr:uid="{00000000-0005-0000-0000-00009E2F0000}"/>
    <cellStyle name="Comma 2 2 4 7 11" xfId="7118" xr:uid="{00000000-0005-0000-0000-0000FE1B0000}"/>
    <cellStyle name="Comma 2 2 4 7 12" xfId="7129" xr:uid="{00000000-0005-0000-0000-0000091C0000}"/>
    <cellStyle name="Comma 2 2 4 7 13" xfId="7133" xr:uid="{00000000-0005-0000-0000-00000D1C0000}"/>
    <cellStyle name="Comma 2 2 4 7 14" xfId="17668" xr:uid="{00000000-0005-0000-0000-000034450000}"/>
    <cellStyle name="Comma 2 2 4 7 15" xfId="17671" xr:uid="{00000000-0005-0000-0000-000037450000}"/>
    <cellStyle name="Comma 2 2 4 7 16" xfId="17673" xr:uid="{00000000-0005-0000-0000-000039450000}"/>
    <cellStyle name="Comma 2 2 4 7 17" xfId="17675" xr:uid="{00000000-0005-0000-0000-00003B450000}"/>
    <cellStyle name="Comma 2 2 4 7 18" xfId="17677" xr:uid="{00000000-0005-0000-0000-00003D450000}"/>
    <cellStyle name="Comma 2 2 4 7 2" xfId="14353" xr:uid="{00000000-0005-0000-0000-000041380000}"/>
    <cellStyle name="Comma 2 2 4 7 2 10" xfId="2828" xr:uid="{00000000-0005-0000-0000-00003C0B0000}"/>
    <cellStyle name="Comma 2 2 4 7 2 2" xfId="17678" xr:uid="{00000000-0005-0000-0000-00003E450000}"/>
    <cellStyle name="Comma 2 2 4 7 2 2 2" xfId="17681" xr:uid="{00000000-0005-0000-0000-000041450000}"/>
    <cellStyle name="Comma 2 2 4 7 2 3" xfId="17683" xr:uid="{00000000-0005-0000-0000-000043450000}"/>
    <cellStyle name="Comma 2 2 4 7 2 4" xfId="17686" xr:uid="{00000000-0005-0000-0000-000046450000}"/>
    <cellStyle name="Comma 2 2 4 7 2 5" xfId="17688" xr:uid="{00000000-0005-0000-0000-000048450000}"/>
    <cellStyle name="Comma 2 2 4 7 2 6" xfId="7208" xr:uid="{00000000-0005-0000-0000-0000581C0000}"/>
    <cellStyle name="Comma 2 2 4 7 2 7" xfId="17689" xr:uid="{00000000-0005-0000-0000-000049450000}"/>
    <cellStyle name="Comma 2 2 4 7 2 8" xfId="17690" xr:uid="{00000000-0005-0000-0000-00004A450000}"/>
    <cellStyle name="Comma 2 2 4 7 2 9" xfId="17691" xr:uid="{00000000-0005-0000-0000-00004B450000}"/>
    <cellStyle name="Comma 2 2 4 7 3" xfId="14355" xr:uid="{00000000-0005-0000-0000-000043380000}"/>
    <cellStyle name="Comma 2 2 4 7 3 2" xfId="17692" xr:uid="{00000000-0005-0000-0000-00004C450000}"/>
    <cellStyle name="Comma 2 2 4 7 3 3" xfId="17696" xr:uid="{00000000-0005-0000-0000-000050450000}"/>
    <cellStyle name="Comma 2 2 4 7 3 4" xfId="17697" xr:uid="{00000000-0005-0000-0000-000051450000}"/>
    <cellStyle name="Comma 2 2 4 7 3 5" xfId="12077" xr:uid="{00000000-0005-0000-0000-00005D2F0000}"/>
    <cellStyle name="Comma 2 2 4 7 3 6" xfId="7213" xr:uid="{00000000-0005-0000-0000-00005D1C0000}"/>
    <cellStyle name="Comma 2 2 4 7 4" xfId="17698" xr:uid="{00000000-0005-0000-0000-000052450000}"/>
    <cellStyle name="Comma 2 2 4 7 4 2" xfId="17498" xr:uid="{00000000-0005-0000-0000-00008A440000}"/>
    <cellStyle name="Comma 2 2 4 7 4 3" xfId="17502" xr:uid="{00000000-0005-0000-0000-00008E440000}"/>
    <cellStyle name="Comma 2 2 4 7 4 4" xfId="17505" xr:uid="{00000000-0005-0000-0000-000091440000}"/>
    <cellStyle name="Comma 2 2 4 7 4 5" xfId="17699" xr:uid="{00000000-0005-0000-0000-000053450000}"/>
    <cellStyle name="Comma 2 2 4 7 4 6" xfId="7216" xr:uid="{00000000-0005-0000-0000-0000601C0000}"/>
    <cellStyle name="Comma 2 2 4 7 5" xfId="17700" xr:uid="{00000000-0005-0000-0000-000054450000}"/>
    <cellStyle name="Comma 2 2 4 7 5 2" xfId="17704" xr:uid="{00000000-0005-0000-0000-000058450000}"/>
    <cellStyle name="Comma 2 2 4 7 5 3" xfId="17707" xr:uid="{00000000-0005-0000-0000-00005B450000}"/>
    <cellStyle name="Comma 2 2 4 7 5 4" xfId="17710" xr:uid="{00000000-0005-0000-0000-00005E450000}"/>
    <cellStyle name="Comma 2 2 4 7 5 5" xfId="17712" xr:uid="{00000000-0005-0000-0000-000060450000}"/>
    <cellStyle name="Comma 2 2 4 7 5 6" xfId="17713" xr:uid="{00000000-0005-0000-0000-000061450000}"/>
    <cellStyle name="Comma 2 2 4 7 6" xfId="518" xr:uid="{00000000-0005-0000-0000-000028020000}"/>
    <cellStyle name="Comma 2 2 4 7 6 2" xfId="17714" xr:uid="{00000000-0005-0000-0000-000062450000}"/>
    <cellStyle name="Comma 2 2 4 7 6 3" xfId="578" xr:uid="{00000000-0005-0000-0000-00006A020000}"/>
    <cellStyle name="Comma 2 2 4 7 6 4" xfId="489" xr:uid="{00000000-0005-0000-0000-000009020000}"/>
    <cellStyle name="Comma 2 2 4 7 6 5" xfId="1347" xr:uid="{00000000-0005-0000-0000-000073050000}"/>
    <cellStyle name="Comma 2 2 4 7 6 6" xfId="1537" xr:uid="{00000000-0005-0000-0000-000031060000}"/>
    <cellStyle name="Comma 2 2 4 7 7" xfId="555" xr:uid="{00000000-0005-0000-0000-00004F020000}"/>
    <cellStyle name="Comma 2 2 4 7 8" xfId="21" xr:uid="{00000000-0005-0000-0000-000016000000}"/>
    <cellStyle name="Comma 2 2 4 7 9" xfId="590" xr:uid="{00000000-0005-0000-0000-000076020000}"/>
    <cellStyle name="Comma 2 2 4 8" xfId="9425" xr:uid="{00000000-0005-0000-0000-000001250000}"/>
    <cellStyle name="Comma 2 2 4 8 10" xfId="9429" xr:uid="{00000000-0005-0000-0000-000005250000}"/>
    <cellStyle name="Comma 2 2 4 8 11" xfId="16837" xr:uid="{00000000-0005-0000-0000-0000F5410000}"/>
    <cellStyle name="Comma 2 2 4 8 12" xfId="16847" xr:uid="{00000000-0005-0000-0000-0000FF410000}"/>
    <cellStyle name="Comma 2 2 4 8 13" xfId="17719" xr:uid="{00000000-0005-0000-0000-000067450000}"/>
    <cellStyle name="Comma 2 2 4 8 14" xfId="17724" xr:uid="{00000000-0005-0000-0000-00006C450000}"/>
    <cellStyle name="Comma 2 2 4 8 15" xfId="17730" xr:uid="{00000000-0005-0000-0000-000072450000}"/>
    <cellStyle name="Comma 2 2 4 8 2" xfId="186" xr:uid="{00000000-0005-0000-0000-0000C8000000}"/>
    <cellStyle name="Comma 2 2 4 8 2 2" xfId="9439" xr:uid="{00000000-0005-0000-0000-00000F250000}"/>
    <cellStyle name="Comma 2 2 4 8 2 2 2" xfId="12779" xr:uid="{00000000-0005-0000-0000-00001B320000}"/>
    <cellStyle name="Comma 2 2 4 8 2 3" xfId="17733" xr:uid="{00000000-0005-0000-0000-000075450000}"/>
    <cellStyle name="Comma 2 2 4 8 2 4" xfId="17736" xr:uid="{00000000-0005-0000-0000-000078450000}"/>
    <cellStyle name="Comma 2 2 4 8 2 5" xfId="17739" xr:uid="{00000000-0005-0000-0000-00007B450000}"/>
    <cellStyle name="Comma 2 2 4 8 2 6" xfId="17742" xr:uid="{00000000-0005-0000-0000-00007E450000}"/>
    <cellStyle name="Comma 2 2 4 8 2 7" xfId="17629" xr:uid="{00000000-0005-0000-0000-00000D450000}"/>
    <cellStyle name="Comma 2 2 4 8 2 8" xfId="17746" xr:uid="{00000000-0005-0000-0000-000082450000}"/>
    <cellStyle name="Comma 2 2 4 8 2 9" xfId="17750" xr:uid="{00000000-0005-0000-0000-000086450000}"/>
    <cellStyle name="Comma 2 2 4 8 3" xfId="9447" xr:uid="{00000000-0005-0000-0000-000017250000}"/>
    <cellStyle name="Comma 2 2 4 8 3 2" xfId="17407" xr:uid="{00000000-0005-0000-0000-00002F440000}"/>
    <cellStyle name="Comma 2 2 4 8 3 3" xfId="17412" xr:uid="{00000000-0005-0000-0000-000034440000}"/>
    <cellStyle name="Comma 2 2 4 8 3 4" xfId="17417" xr:uid="{00000000-0005-0000-0000-000039440000}"/>
    <cellStyle name="Comma 2 2 4 8 3 5" xfId="17421" xr:uid="{00000000-0005-0000-0000-00003D440000}"/>
    <cellStyle name="Comma 2 2 4 8 3 6" xfId="17426" xr:uid="{00000000-0005-0000-0000-000042440000}"/>
    <cellStyle name="Comma 2 2 4 8 4" xfId="9454" xr:uid="{00000000-0005-0000-0000-00001E250000}"/>
    <cellStyle name="Comma 2 2 4 8 4 2" xfId="13969" xr:uid="{00000000-0005-0000-0000-0000C1360000}"/>
    <cellStyle name="Comma 2 2 4 8 5" xfId="9458" xr:uid="{00000000-0005-0000-0000-000022250000}"/>
    <cellStyle name="Comma 2 2 4 8 6" xfId="9463" xr:uid="{00000000-0005-0000-0000-000027250000}"/>
    <cellStyle name="Comma 2 2 4 8 7" xfId="9473" xr:uid="{00000000-0005-0000-0000-000031250000}"/>
    <cellStyle name="Comma 2 2 4 8 8" xfId="9481" xr:uid="{00000000-0005-0000-0000-000039250000}"/>
    <cellStyle name="Comma 2 2 4 8 9" xfId="9488" xr:uid="{00000000-0005-0000-0000-000040250000}"/>
    <cellStyle name="Comma 2 2 4 9" xfId="9497" xr:uid="{00000000-0005-0000-0000-000049250000}"/>
    <cellStyle name="Comma 2 2 4 9 10" xfId="17752" xr:uid="{00000000-0005-0000-0000-000088450000}"/>
    <cellStyle name="Comma 2 2 4 9 11" xfId="17753" xr:uid="{00000000-0005-0000-0000-000089450000}"/>
    <cellStyle name="Comma 2 2 4 9 12" xfId="17754" xr:uid="{00000000-0005-0000-0000-00008A450000}"/>
    <cellStyle name="Comma 2 2 4 9 13" xfId="17755" xr:uid="{00000000-0005-0000-0000-00008B450000}"/>
    <cellStyle name="Comma 2 2 4 9 14" xfId="17756" xr:uid="{00000000-0005-0000-0000-00008C450000}"/>
    <cellStyle name="Comma 2 2 4 9 2" xfId="9501" xr:uid="{00000000-0005-0000-0000-00004D250000}"/>
    <cellStyle name="Comma 2 2 4 9 2 2" xfId="17759" xr:uid="{00000000-0005-0000-0000-00008F450000}"/>
    <cellStyle name="Comma 2 2 4 9 2 2 2" xfId="17760" xr:uid="{00000000-0005-0000-0000-000090450000}"/>
    <cellStyle name="Comma 2 2 4 9 2 3" xfId="17763" xr:uid="{00000000-0005-0000-0000-000093450000}"/>
    <cellStyle name="Comma 2 2 4 9 2 4" xfId="17766" xr:uid="{00000000-0005-0000-0000-000096450000}"/>
    <cellStyle name="Comma 2 2 4 9 2 5" xfId="17768" xr:uid="{00000000-0005-0000-0000-000098450000}"/>
    <cellStyle name="Comma 2 2 4 9 2 6" xfId="17771" xr:uid="{00000000-0005-0000-0000-00009B450000}"/>
    <cellStyle name="Comma 2 2 4 9 2 7" xfId="1050" xr:uid="{00000000-0005-0000-0000-00004A040000}"/>
    <cellStyle name="Comma 2 2 4 9 2 8" xfId="15742" xr:uid="{00000000-0005-0000-0000-0000AE3D0000}"/>
    <cellStyle name="Comma 2 2 4 9 2 9" xfId="15744" xr:uid="{00000000-0005-0000-0000-0000B03D0000}"/>
    <cellStyle name="Comma 2 2 4 9 3" xfId="9505" xr:uid="{00000000-0005-0000-0000-000051250000}"/>
    <cellStyle name="Comma 2 2 4 9 3 2" xfId="14730" xr:uid="{00000000-0005-0000-0000-0000BA390000}"/>
    <cellStyle name="Comma 2 2 4 9 3 3" xfId="17774" xr:uid="{00000000-0005-0000-0000-00009E450000}"/>
    <cellStyle name="Comma 2 2 4 9 3 4" xfId="17777" xr:uid="{00000000-0005-0000-0000-0000A1450000}"/>
    <cellStyle name="Comma 2 2 4 9 3 5" xfId="17779" xr:uid="{00000000-0005-0000-0000-0000A3450000}"/>
    <cellStyle name="Comma 2 2 4 9 3 6" xfId="17782" xr:uid="{00000000-0005-0000-0000-0000A6450000}"/>
    <cellStyle name="Comma 2 2 4 9 4" xfId="9511" xr:uid="{00000000-0005-0000-0000-000057250000}"/>
    <cellStyle name="Comma 2 2 4 9 4 2" xfId="15207" xr:uid="{00000000-0005-0000-0000-0000973B0000}"/>
    <cellStyle name="Comma 2 2 4 9 5" xfId="261" xr:uid="{00000000-0005-0000-0000-000016010000}"/>
    <cellStyle name="Comma 2 2 4 9 6" xfId="744" xr:uid="{00000000-0005-0000-0000-000018030000}"/>
    <cellStyle name="Comma 2 2 4 9 7" xfId="13978" xr:uid="{00000000-0005-0000-0000-0000CA360000}"/>
    <cellStyle name="Comma 2 2 4 9 8" xfId="13983" xr:uid="{00000000-0005-0000-0000-0000CF360000}"/>
    <cellStyle name="Comma 2 2 4 9 9" xfId="14732" xr:uid="{00000000-0005-0000-0000-0000BC390000}"/>
    <cellStyle name="Comma 2 2 5" xfId="13024" xr:uid="{00000000-0005-0000-0000-000010330000}"/>
    <cellStyle name="Comma 2 2 5 10" xfId="9102" xr:uid="{00000000-0005-0000-0000-0000BE230000}"/>
    <cellStyle name="Comma 2 2 5 10 2" xfId="9884" xr:uid="{00000000-0005-0000-0000-0000CC260000}"/>
    <cellStyle name="Comma 2 2 5 10 2 2" xfId="17784" xr:uid="{00000000-0005-0000-0000-0000A8450000}"/>
    <cellStyle name="Comma 2 2 5 10 3" xfId="9892" xr:uid="{00000000-0005-0000-0000-0000D4260000}"/>
    <cellStyle name="Comma 2 2 5 10 4" xfId="1811" xr:uid="{00000000-0005-0000-0000-000043070000}"/>
    <cellStyle name="Comma 2 2 5 10 5" xfId="10138" xr:uid="{00000000-0005-0000-0000-0000CA270000}"/>
    <cellStyle name="Comma 2 2 5 10 6" xfId="10146" xr:uid="{00000000-0005-0000-0000-0000D2270000}"/>
    <cellStyle name="Comma 2 2 5 10 7" xfId="17789" xr:uid="{00000000-0005-0000-0000-0000AD450000}"/>
    <cellStyle name="Comma 2 2 5 10 8" xfId="14966" xr:uid="{00000000-0005-0000-0000-0000A63A0000}"/>
    <cellStyle name="Comma 2 2 5 10 9" xfId="14971" xr:uid="{00000000-0005-0000-0000-0000AB3A0000}"/>
    <cellStyle name="Comma 2 2 5 11" xfId="1596" xr:uid="{00000000-0005-0000-0000-00006C060000}"/>
    <cellStyle name="Comma 2 2 5 11 2" xfId="14502" xr:uid="{00000000-0005-0000-0000-0000D6380000}"/>
    <cellStyle name="Comma 2 2 5 11 3" xfId="14505" xr:uid="{00000000-0005-0000-0000-0000D9380000}"/>
    <cellStyle name="Comma 2 2 5 11 4" xfId="1702" xr:uid="{00000000-0005-0000-0000-0000D6060000}"/>
    <cellStyle name="Comma 2 2 5 11 5" xfId="14680" xr:uid="{00000000-0005-0000-0000-000088390000}"/>
    <cellStyle name="Comma 2 2 5 11 6" xfId="14684" xr:uid="{00000000-0005-0000-0000-00008C390000}"/>
    <cellStyle name="Comma 2 2 5 12" xfId="17794" xr:uid="{00000000-0005-0000-0000-0000B2450000}"/>
    <cellStyle name="Comma 2 2 5 12 2" xfId="14531" xr:uid="{00000000-0005-0000-0000-0000F3380000}"/>
    <cellStyle name="Comma 2 2 5 12 3" xfId="14534" xr:uid="{00000000-0005-0000-0000-0000F6380000}"/>
    <cellStyle name="Comma 2 2 5 12 4" xfId="368" xr:uid="{00000000-0005-0000-0000-000088010000}"/>
    <cellStyle name="Comma 2 2 5 12 5" xfId="17796" xr:uid="{00000000-0005-0000-0000-0000B4450000}"/>
    <cellStyle name="Comma 2 2 5 12 6" xfId="17801" xr:uid="{00000000-0005-0000-0000-0000B9450000}"/>
    <cellStyle name="Comma 2 2 5 13" xfId="17806" xr:uid="{00000000-0005-0000-0000-0000BE450000}"/>
    <cellStyle name="Comma 2 2 5 13 2" xfId="17807" xr:uid="{00000000-0005-0000-0000-0000BF450000}"/>
    <cellStyle name="Comma 2 2 5 13 3" xfId="17808" xr:uid="{00000000-0005-0000-0000-0000C0450000}"/>
    <cellStyle name="Comma 2 2 5 13 4" xfId="1839" xr:uid="{00000000-0005-0000-0000-00005F070000}"/>
    <cellStyle name="Comma 2 2 5 13 5" xfId="17810" xr:uid="{00000000-0005-0000-0000-0000C2450000}"/>
    <cellStyle name="Comma 2 2 5 13 6" xfId="17813" xr:uid="{00000000-0005-0000-0000-0000C5450000}"/>
    <cellStyle name="Comma 2 2 5 14" xfId="17815" xr:uid="{00000000-0005-0000-0000-0000C7450000}"/>
    <cellStyle name="Comma 2 2 5 14 2" xfId="17816" xr:uid="{00000000-0005-0000-0000-0000C8450000}"/>
    <cellStyle name="Comma 2 2 5 14 3" xfId="17817" xr:uid="{00000000-0005-0000-0000-0000C9450000}"/>
    <cellStyle name="Comma 2 2 5 14 4" xfId="1626" xr:uid="{00000000-0005-0000-0000-00008A060000}"/>
    <cellStyle name="Comma 2 2 5 14 5" xfId="17819" xr:uid="{00000000-0005-0000-0000-0000CB450000}"/>
    <cellStyle name="Comma 2 2 5 14 6" xfId="17822" xr:uid="{00000000-0005-0000-0000-0000CE450000}"/>
    <cellStyle name="Comma 2 2 5 15" xfId="17823" xr:uid="{00000000-0005-0000-0000-0000CF450000}"/>
    <cellStyle name="Comma 2 2 5 16" xfId="17825" xr:uid="{00000000-0005-0000-0000-0000D1450000}"/>
    <cellStyle name="Comma 2 2 5 17" xfId="17827" xr:uid="{00000000-0005-0000-0000-0000D3450000}"/>
    <cellStyle name="Comma 2 2 5 18" xfId="17829" xr:uid="{00000000-0005-0000-0000-0000D5450000}"/>
    <cellStyle name="Comma 2 2 5 19" xfId="16046" xr:uid="{00000000-0005-0000-0000-0000DE3E0000}"/>
    <cellStyle name="Comma 2 2 5 2" xfId="13031" xr:uid="{00000000-0005-0000-0000-000017330000}"/>
    <cellStyle name="Comma 2 2 5 2 10" xfId="17831" xr:uid="{00000000-0005-0000-0000-0000D7450000}"/>
    <cellStyle name="Comma 2 2 5 2 10 2" xfId="17270" xr:uid="{00000000-0005-0000-0000-0000A6430000}"/>
    <cellStyle name="Comma 2 2 5 2 10 3" xfId="17272" xr:uid="{00000000-0005-0000-0000-0000A8430000}"/>
    <cellStyle name="Comma 2 2 5 2 10 4" xfId="17832" xr:uid="{00000000-0005-0000-0000-0000D8450000}"/>
    <cellStyle name="Comma 2 2 5 2 10 5" xfId="3355" xr:uid="{00000000-0005-0000-0000-00004B0D0000}"/>
    <cellStyle name="Comma 2 2 5 2 10 6" xfId="247" xr:uid="{00000000-0005-0000-0000-000008010000}"/>
    <cellStyle name="Comma 2 2 5 2 11" xfId="16881" xr:uid="{00000000-0005-0000-0000-000021420000}"/>
    <cellStyle name="Comma 2 2 5 2 11 2" xfId="17833" xr:uid="{00000000-0005-0000-0000-0000D9450000}"/>
    <cellStyle name="Comma 2 2 5 2 11 3" xfId="11607" xr:uid="{00000000-0005-0000-0000-0000872D0000}"/>
    <cellStyle name="Comma 2 2 5 2 11 4" xfId="17834" xr:uid="{00000000-0005-0000-0000-0000DA450000}"/>
    <cellStyle name="Comma 2 2 5 2 11 5" xfId="3717" xr:uid="{00000000-0005-0000-0000-0000B50E0000}"/>
    <cellStyle name="Comma 2 2 5 2 11 6" xfId="17836" xr:uid="{00000000-0005-0000-0000-0000DC450000}"/>
    <cellStyle name="Comma 2 2 5 2 12" xfId="15034" xr:uid="{00000000-0005-0000-0000-0000EA3A0000}"/>
    <cellStyle name="Comma 2 2 5 2 13" xfId="15037" xr:uid="{00000000-0005-0000-0000-0000ED3A0000}"/>
    <cellStyle name="Comma 2 2 5 2 14" xfId="15042" xr:uid="{00000000-0005-0000-0000-0000F23A0000}"/>
    <cellStyle name="Comma 2 2 5 2 15" xfId="15047" xr:uid="{00000000-0005-0000-0000-0000F73A0000}"/>
    <cellStyle name="Comma 2 2 5 2 16" xfId="15052" xr:uid="{00000000-0005-0000-0000-0000FC3A0000}"/>
    <cellStyle name="Comma 2 2 5 2 17" xfId="15057" xr:uid="{00000000-0005-0000-0000-0000013B0000}"/>
    <cellStyle name="Comma 2 2 5 2 18" xfId="15061" xr:uid="{00000000-0005-0000-0000-0000053B0000}"/>
    <cellStyle name="Comma 2 2 5 2 19" xfId="15066" xr:uid="{00000000-0005-0000-0000-00000A3B0000}"/>
    <cellStyle name="Comma 2 2 5 2 2" xfId="2177" xr:uid="{00000000-0005-0000-0000-0000B1080000}"/>
    <cellStyle name="Comma 2 2 5 2 2 10" xfId="2570" xr:uid="{00000000-0005-0000-0000-00003A0A0000}"/>
    <cellStyle name="Comma 2 2 5 2 2 11" xfId="17838" xr:uid="{00000000-0005-0000-0000-0000DE450000}"/>
    <cellStyle name="Comma 2 2 5 2 2 12" xfId="16135" xr:uid="{00000000-0005-0000-0000-0000373F0000}"/>
    <cellStyle name="Comma 2 2 5 2 2 13" xfId="16147" xr:uid="{00000000-0005-0000-0000-0000433F0000}"/>
    <cellStyle name="Comma 2 2 5 2 2 14" xfId="16153" xr:uid="{00000000-0005-0000-0000-0000493F0000}"/>
    <cellStyle name="Comma 2 2 5 2 2 15" xfId="16157" xr:uid="{00000000-0005-0000-0000-00004D3F0000}"/>
    <cellStyle name="Comma 2 2 5 2 2 16" xfId="17839" xr:uid="{00000000-0005-0000-0000-0000DF450000}"/>
    <cellStyle name="Comma 2 2 5 2 2 17" xfId="17844" xr:uid="{00000000-0005-0000-0000-0000E4450000}"/>
    <cellStyle name="Comma 2 2 5 2 2 18" xfId="17848" xr:uid="{00000000-0005-0000-0000-0000E8450000}"/>
    <cellStyle name="Comma 2 2 5 2 2 2" xfId="17852" xr:uid="{00000000-0005-0000-0000-0000EC450000}"/>
    <cellStyle name="Comma 2 2 5 2 2 2 10" xfId="7457" xr:uid="{00000000-0005-0000-0000-0000511D0000}"/>
    <cellStyle name="Comma 2 2 5 2 2 2 11" xfId="17857" xr:uid="{00000000-0005-0000-0000-0000F1450000}"/>
    <cellStyle name="Comma 2 2 5 2 2 2 12" xfId="17862" xr:uid="{00000000-0005-0000-0000-0000F6450000}"/>
    <cellStyle name="Comma 2 2 5 2 2 2 2" xfId="17863" xr:uid="{00000000-0005-0000-0000-0000F7450000}"/>
    <cellStyle name="Comma 2 2 5 2 2 2 2 2" xfId="4158" xr:uid="{00000000-0005-0000-0000-00006E100000}"/>
    <cellStyle name="Comma 2 2 5 2 2 2 2 2 2" xfId="4161" xr:uid="{00000000-0005-0000-0000-000071100000}"/>
    <cellStyle name="Comma 2 2 5 2 2 2 2 3" xfId="4169" xr:uid="{00000000-0005-0000-0000-000079100000}"/>
    <cellStyle name="Comma 2 2 5 2 2 2 2 4" xfId="15881" xr:uid="{00000000-0005-0000-0000-0000393E0000}"/>
    <cellStyle name="Comma 2 2 5 2 2 2 2 5" xfId="4413" xr:uid="{00000000-0005-0000-0000-00006D110000}"/>
    <cellStyle name="Comma 2 2 5 2 2 2 3" xfId="17865" xr:uid="{00000000-0005-0000-0000-0000F9450000}"/>
    <cellStyle name="Comma 2 2 5 2 2 2 3 2" xfId="17868" xr:uid="{00000000-0005-0000-0000-0000FC450000}"/>
    <cellStyle name="Comma 2 2 5 2 2 2 4" xfId="17870" xr:uid="{00000000-0005-0000-0000-0000FE450000}"/>
    <cellStyle name="Comma 2 2 5 2 2 2 5" xfId="17875" xr:uid="{00000000-0005-0000-0000-000003460000}"/>
    <cellStyle name="Comma 2 2 5 2 2 2 6" xfId="7748" xr:uid="{00000000-0005-0000-0000-0000741E0000}"/>
    <cellStyle name="Comma 2 2 5 2 2 2 7" xfId="4008" xr:uid="{00000000-0005-0000-0000-0000D80F0000}"/>
    <cellStyle name="Comma 2 2 5 2 2 2 8" xfId="534" xr:uid="{00000000-0005-0000-0000-00003A020000}"/>
    <cellStyle name="Comma 2 2 5 2 2 2 9" xfId="7758" xr:uid="{00000000-0005-0000-0000-00007E1E0000}"/>
    <cellStyle name="Comma 2 2 5 2 2 3" xfId="17876" xr:uid="{00000000-0005-0000-0000-000004460000}"/>
    <cellStyle name="Comma 2 2 5 2 2 3 10" xfId="17459" xr:uid="{00000000-0005-0000-0000-000063440000}"/>
    <cellStyle name="Comma 2 2 5 2 2 3 11" xfId="17465" xr:uid="{00000000-0005-0000-0000-000069440000}"/>
    <cellStyle name="Comma 2 2 5 2 2 3 12" xfId="17881" xr:uid="{00000000-0005-0000-0000-000009460000}"/>
    <cellStyle name="Comma 2 2 5 2 2 3 2" xfId="17884" xr:uid="{00000000-0005-0000-0000-00000C460000}"/>
    <cellStyle name="Comma 2 2 5 2 2 3 2 2" xfId="12838" xr:uid="{00000000-0005-0000-0000-000056320000}"/>
    <cellStyle name="Comma 2 2 5 2 2 3 2 2 2" xfId="17301" xr:uid="{00000000-0005-0000-0000-0000C5430000}"/>
    <cellStyle name="Comma 2 2 5 2 2 3 2 3" xfId="12843" xr:uid="{00000000-0005-0000-0000-00005B320000}"/>
    <cellStyle name="Comma 2 2 5 2 2 3 2 4" xfId="12849" xr:uid="{00000000-0005-0000-0000-000061320000}"/>
    <cellStyle name="Comma 2 2 5 2 2 3 2 5" xfId="12854" xr:uid="{00000000-0005-0000-0000-000066320000}"/>
    <cellStyle name="Comma 2 2 5 2 2 3 3" xfId="134" xr:uid="{00000000-0005-0000-0000-000090000000}"/>
    <cellStyle name="Comma 2 2 5 2 2 3 3 2" xfId="17889" xr:uid="{00000000-0005-0000-0000-000011460000}"/>
    <cellStyle name="Comma 2 2 5 2 2 3 4" xfId="17891" xr:uid="{00000000-0005-0000-0000-000013460000}"/>
    <cellStyle name="Comma 2 2 5 2 2 3 5" xfId="17896" xr:uid="{00000000-0005-0000-0000-000018460000}"/>
    <cellStyle name="Comma 2 2 5 2 2 3 6" xfId="17898" xr:uid="{00000000-0005-0000-0000-00001A460000}"/>
    <cellStyle name="Comma 2 2 5 2 2 3 7" xfId="17901" xr:uid="{00000000-0005-0000-0000-00001D460000}"/>
    <cellStyle name="Comma 2 2 5 2 2 3 8" xfId="17905" xr:uid="{00000000-0005-0000-0000-000021460000}"/>
    <cellStyle name="Comma 2 2 5 2 2 3 9" xfId="17908" xr:uid="{00000000-0005-0000-0000-000024460000}"/>
    <cellStyle name="Comma 2 2 5 2 2 4" xfId="17909" xr:uid="{00000000-0005-0000-0000-000025460000}"/>
    <cellStyle name="Comma 2 2 5 2 2 4 10" xfId="3252" xr:uid="{00000000-0005-0000-0000-0000E40C0000}"/>
    <cellStyle name="Comma 2 2 5 2 2 4 2" xfId="17912" xr:uid="{00000000-0005-0000-0000-000028460000}"/>
    <cellStyle name="Comma 2 2 5 2 2 4 2 2" xfId="17919" xr:uid="{00000000-0005-0000-0000-00002F460000}"/>
    <cellStyle name="Comma 2 2 5 2 2 4 2 2 2" xfId="11484" xr:uid="{00000000-0005-0000-0000-00000C2D0000}"/>
    <cellStyle name="Comma 2 2 5 2 2 4 2 3" xfId="17292" xr:uid="{00000000-0005-0000-0000-0000BC430000}"/>
    <cellStyle name="Comma 2 2 5 2 2 4 2 4" xfId="15995" xr:uid="{00000000-0005-0000-0000-0000AB3E0000}"/>
    <cellStyle name="Comma 2 2 5 2 2 4 2 5" xfId="15999" xr:uid="{00000000-0005-0000-0000-0000AF3E0000}"/>
    <cellStyle name="Comma 2 2 5 2 2 4 3" xfId="17921" xr:uid="{00000000-0005-0000-0000-000031460000}"/>
    <cellStyle name="Comma 2 2 5 2 2 4 3 2" xfId="17926" xr:uid="{00000000-0005-0000-0000-000036460000}"/>
    <cellStyle name="Comma 2 2 5 2 2 4 4" xfId="17928" xr:uid="{00000000-0005-0000-0000-000038460000}"/>
    <cellStyle name="Comma 2 2 5 2 2 4 5" xfId="17931" xr:uid="{00000000-0005-0000-0000-00003B460000}"/>
    <cellStyle name="Comma 2 2 5 2 2 4 6" xfId="17933" xr:uid="{00000000-0005-0000-0000-00003D460000}"/>
    <cellStyle name="Comma 2 2 5 2 2 4 7" xfId="17935" xr:uid="{00000000-0005-0000-0000-00003F460000}"/>
    <cellStyle name="Comma 2 2 5 2 2 4 8" xfId="17937" xr:uid="{00000000-0005-0000-0000-000041460000}"/>
    <cellStyle name="Comma 2 2 5 2 2 4 9" xfId="17939" xr:uid="{00000000-0005-0000-0000-000043460000}"/>
    <cellStyle name="Comma 2 2 5 2 2 5" xfId="14420" xr:uid="{00000000-0005-0000-0000-000084380000}"/>
    <cellStyle name="Comma 2 2 5 2 2 5 10" xfId="11741" xr:uid="{00000000-0005-0000-0000-00000D2E0000}"/>
    <cellStyle name="Comma 2 2 5 2 2 5 2" xfId="11300" xr:uid="{00000000-0005-0000-0000-0000542C0000}"/>
    <cellStyle name="Comma 2 2 5 2 2 5 2 2" xfId="6489" xr:uid="{00000000-0005-0000-0000-000089190000}"/>
    <cellStyle name="Comma 2 2 5 2 2 5 2 2 2" xfId="6500" xr:uid="{00000000-0005-0000-0000-000094190000}"/>
    <cellStyle name="Comma 2 2 5 2 2 5 2 3" xfId="6523" xr:uid="{00000000-0005-0000-0000-0000AB190000}"/>
    <cellStyle name="Comma 2 2 5 2 2 5 2 4" xfId="17941" xr:uid="{00000000-0005-0000-0000-000045460000}"/>
    <cellStyle name="Comma 2 2 5 2 2 5 2 5" xfId="17948" xr:uid="{00000000-0005-0000-0000-00004C460000}"/>
    <cellStyle name="Comma 2 2 5 2 2 5 3" xfId="11306" xr:uid="{00000000-0005-0000-0000-00005A2C0000}"/>
    <cellStyle name="Comma 2 2 5 2 2 5 3 2" xfId="6533" xr:uid="{00000000-0005-0000-0000-0000B5190000}"/>
    <cellStyle name="Comma 2 2 5 2 2 5 4" xfId="11311" xr:uid="{00000000-0005-0000-0000-00005F2C0000}"/>
    <cellStyle name="Comma 2 2 5 2 2 5 5" xfId="9364" xr:uid="{00000000-0005-0000-0000-0000C4240000}"/>
    <cellStyle name="Comma 2 2 5 2 2 5 6" xfId="11317" xr:uid="{00000000-0005-0000-0000-0000652C0000}"/>
    <cellStyle name="Comma 2 2 5 2 2 5 7" xfId="17951" xr:uid="{00000000-0005-0000-0000-00004F460000}"/>
    <cellStyle name="Comma 2 2 5 2 2 5 8" xfId="17954" xr:uid="{00000000-0005-0000-0000-000052460000}"/>
    <cellStyle name="Comma 2 2 5 2 2 5 9" xfId="17957" xr:uid="{00000000-0005-0000-0000-000055460000}"/>
    <cellStyle name="Comma 2 2 5 2 2 6" xfId="14427" xr:uid="{00000000-0005-0000-0000-00008B380000}"/>
    <cellStyle name="Comma 2 2 5 2 2 6 2" xfId="6609" xr:uid="{00000000-0005-0000-0000-0000011A0000}"/>
    <cellStyle name="Comma 2 2 5 2 2 6 2 2" xfId="17960" xr:uid="{00000000-0005-0000-0000-000058460000}"/>
    <cellStyle name="Comma 2 2 5 2 2 6 3" xfId="6617" xr:uid="{00000000-0005-0000-0000-0000091A0000}"/>
    <cellStyle name="Comma 2 2 5 2 2 6 4" xfId="17962" xr:uid="{00000000-0005-0000-0000-00005A460000}"/>
    <cellStyle name="Comma 2 2 5 2 2 6 5" xfId="17964" xr:uid="{00000000-0005-0000-0000-00005C460000}"/>
    <cellStyle name="Comma 2 2 5 2 2 6 6" xfId="2122" xr:uid="{00000000-0005-0000-0000-00007A080000}"/>
    <cellStyle name="Comma 2 2 5 2 2 6 7" xfId="17965" xr:uid="{00000000-0005-0000-0000-00005D460000}"/>
    <cellStyle name="Comma 2 2 5 2 2 6 8" xfId="17967" xr:uid="{00000000-0005-0000-0000-00005F460000}"/>
    <cellStyle name="Comma 2 2 5 2 2 6 9" xfId="17969" xr:uid="{00000000-0005-0000-0000-000061460000}"/>
    <cellStyle name="Comma 2 2 5 2 2 7" xfId="14432" xr:uid="{00000000-0005-0000-0000-000090380000}"/>
    <cellStyle name="Comma 2 2 5 2 2 7 2" xfId="17971" xr:uid="{00000000-0005-0000-0000-000063460000}"/>
    <cellStyle name="Comma 2 2 5 2 2 8" xfId="14442" xr:uid="{00000000-0005-0000-0000-00009A380000}"/>
    <cellStyle name="Comma 2 2 5 2 2 9" xfId="2804" xr:uid="{00000000-0005-0000-0000-0000240B0000}"/>
    <cellStyle name="Comma 2 2 5 2 20" xfId="15048" xr:uid="{00000000-0005-0000-0000-0000F83A0000}"/>
    <cellStyle name="Comma 2 2 5 2 21" xfId="15053" xr:uid="{00000000-0005-0000-0000-0000FD3A0000}"/>
    <cellStyle name="Comma 2 2 5 2 22" xfId="15058" xr:uid="{00000000-0005-0000-0000-0000023B0000}"/>
    <cellStyle name="Comma 2 2 5 2 23" xfId="15062" xr:uid="{00000000-0005-0000-0000-0000063B0000}"/>
    <cellStyle name="Comma 2 2 5 2 3" xfId="4624" xr:uid="{00000000-0005-0000-0000-000040120000}"/>
    <cellStyle name="Comma 2 2 5 2 3 10" xfId="17973" xr:uid="{00000000-0005-0000-0000-000065460000}"/>
    <cellStyle name="Comma 2 2 5 2 3 11" xfId="17975" xr:uid="{00000000-0005-0000-0000-000067460000}"/>
    <cellStyle name="Comma 2 2 5 2 3 12" xfId="17977" xr:uid="{00000000-0005-0000-0000-000069460000}"/>
    <cellStyle name="Comma 2 2 5 2 3 13" xfId="17979" xr:uid="{00000000-0005-0000-0000-00006B460000}"/>
    <cellStyle name="Comma 2 2 5 2 3 14" xfId="5462" xr:uid="{00000000-0005-0000-0000-000086150000}"/>
    <cellStyle name="Comma 2 2 5 2 3 15" xfId="7081" xr:uid="{00000000-0005-0000-0000-0000D91B0000}"/>
    <cellStyle name="Comma 2 2 5 2 3 16" xfId="7088" xr:uid="{00000000-0005-0000-0000-0000E01B0000}"/>
    <cellStyle name="Comma 2 2 5 2 3 17" xfId="17983" xr:uid="{00000000-0005-0000-0000-00006F460000}"/>
    <cellStyle name="Comma 2 2 5 2 3 18" xfId="17987" xr:uid="{00000000-0005-0000-0000-000073460000}"/>
    <cellStyle name="Comma 2 2 5 2 3 2" xfId="17990" xr:uid="{00000000-0005-0000-0000-000076460000}"/>
    <cellStyle name="Comma 2 2 5 2 3 2 10" xfId="16370" xr:uid="{00000000-0005-0000-0000-000022400000}"/>
    <cellStyle name="Comma 2 2 5 2 3 2 2" xfId="17991" xr:uid="{00000000-0005-0000-0000-000077460000}"/>
    <cellStyle name="Comma 2 2 5 2 3 2 2 2" xfId="16089" xr:uid="{00000000-0005-0000-0000-0000093F0000}"/>
    <cellStyle name="Comma 2 2 5 2 3 2 3" xfId="17992" xr:uid="{00000000-0005-0000-0000-000078460000}"/>
    <cellStyle name="Comma 2 2 5 2 3 2 4" xfId="6187" xr:uid="{00000000-0005-0000-0000-00005B180000}"/>
    <cellStyle name="Comma 2 2 5 2 3 2 5" xfId="9201" xr:uid="{00000000-0005-0000-0000-000021240000}"/>
    <cellStyle name="Comma 2 2 5 2 3 2 6" xfId="7852" xr:uid="{00000000-0005-0000-0000-0000DC1E0000}"/>
    <cellStyle name="Comma 2 2 5 2 3 2 7" xfId="7628" xr:uid="{00000000-0005-0000-0000-0000FC1D0000}"/>
    <cellStyle name="Comma 2 2 5 2 3 2 8" xfId="1415" xr:uid="{00000000-0005-0000-0000-0000B7050000}"/>
    <cellStyle name="Comma 2 2 5 2 3 2 9" xfId="7862" xr:uid="{00000000-0005-0000-0000-0000E61E0000}"/>
    <cellStyle name="Comma 2 2 5 2 3 3" xfId="17993" xr:uid="{00000000-0005-0000-0000-000079460000}"/>
    <cellStyle name="Comma 2 2 5 2 3 3 2" xfId="17994" xr:uid="{00000000-0005-0000-0000-00007A460000}"/>
    <cellStyle name="Comma 2 2 5 2 3 3 3" xfId="17995" xr:uid="{00000000-0005-0000-0000-00007B460000}"/>
    <cellStyle name="Comma 2 2 5 2 3 3 4" xfId="6194" xr:uid="{00000000-0005-0000-0000-000062180000}"/>
    <cellStyle name="Comma 2 2 5 2 3 3 5" xfId="6845" xr:uid="{00000000-0005-0000-0000-0000ED1A0000}"/>
    <cellStyle name="Comma 2 2 5 2 3 3 6" xfId="6907" xr:uid="{00000000-0005-0000-0000-00002B1B0000}"/>
    <cellStyle name="Comma 2 2 5 2 3 4" xfId="17998" xr:uid="{00000000-0005-0000-0000-00007E460000}"/>
    <cellStyle name="Comma 2 2 5 2 3 4 2" xfId="18001" xr:uid="{00000000-0005-0000-0000-000081460000}"/>
    <cellStyle name="Comma 2 2 5 2 3 4 3" xfId="18004" xr:uid="{00000000-0005-0000-0000-000084460000}"/>
    <cellStyle name="Comma 2 2 5 2 3 4 4" xfId="18007" xr:uid="{00000000-0005-0000-0000-000087460000}"/>
    <cellStyle name="Comma 2 2 5 2 3 4 5" xfId="2071" xr:uid="{00000000-0005-0000-0000-000047080000}"/>
    <cellStyle name="Comma 2 2 5 2 3 4 6" xfId="5451" xr:uid="{00000000-0005-0000-0000-00007B150000}"/>
    <cellStyle name="Comma 2 2 5 2 3 5" xfId="14450" xr:uid="{00000000-0005-0000-0000-0000A2380000}"/>
    <cellStyle name="Comma 2 2 5 2 3 5 2" xfId="5478" xr:uid="{00000000-0005-0000-0000-000096150000}"/>
    <cellStyle name="Comma 2 2 5 2 3 5 3" xfId="4778" xr:uid="{00000000-0005-0000-0000-0000DA120000}"/>
    <cellStyle name="Comma 2 2 5 2 3 5 4" xfId="5490" xr:uid="{00000000-0005-0000-0000-0000A2150000}"/>
    <cellStyle name="Comma 2 2 5 2 3 5 5" xfId="5502" xr:uid="{00000000-0005-0000-0000-0000AE150000}"/>
    <cellStyle name="Comma 2 2 5 2 3 5 6" xfId="5509" xr:uid="{00000000-0005-0000-0000-0000B5150000}"/>
    <cellStyle name="Comma 2 2 5 2 3 6" xfId="18010" xr:uid="{00000000-0005-0000-0000-00008A460000}"/>
    <cellStyle name="Comma 2 2 5 2 3 6 2" xfId="11367" xr:uid="{00000000-0005-0000-0000-0000972C0000}"/>
    <cellStyle name="Comma 2 2 5 2 3 6 3" xfId="11373" xr:uid="{00000000-0005-0000-0000-00009D2C0000}"/>
    <cellStyle name="Comma 2 2 5 2 3 6 4" xfId="18012" xr:uid="{00000000-0005-0000-0000-00008C460000}"/>
    <cellStyle name="Comma 2 2 5 2 3 6 5" xfId="7177" xr:uid="{00000000-0005-0000-0000-0000391C0000}"/>
    <cellStyle name="Comma 2 2 5 2 3 6 6" xfId="7228" xr:uid="{00000000-0005-0000-0000-00006C1C0000}"/>
    <cellStyle name="Comma 2 2 5 2 3 7" xfId="18016" xr:uid="{00000000-0005-0000-0000-000090460000}"/>
    <cellStyle name="Comma 2 2 5 2 3 8" xfId="13222" xr:uid="{00000000-0005-0000-0000-0000D6330000}"/>
    <cellStyle name="Comma 2 2 5 2 3 9" xfId="2826" xr:uid="{00000000-0005-0000-0000-00003A0B0000}"/>
    <cellStyle name="Comma 2 2 5 2 4" xfId="6212" xr:uid="{00000000-0005-0000-0000-000074180000}"/>
    <cellStyle name="Comma 2 2 5 2 4 10" xfId="378" xr:uid="{00000000-0005-0000-0000-000093010000}"/>
    <cellStyle name="Comma 2 2 5 2 4 11" xfId="12211" xr:uid="{00000000-0005-0000-0000-0000E32F0000}"/>
    <cellStyle name="Comma 2 2 5 2 4 12" xfId="4668" xr:uid="{00000000-0005-0000-0000-00006C120000}"/>
    <cellStyle name="Comma 2 2 5 2 4 13" xfId="12220" xr:uid="{00000000-0005-0000-0000-0000EC2F0000}"/>
    <cellStyle name="Comma 2 2 5 2 4 14" xfId="12230" xr:uid="{00000000-0005-0000-0000-0000F62F0000}"/>
    <cellStyle name="Comma 2 2 5 2 4 15" xfId="12237" xr:uid="{00000000-0005-0000-0000-0000FD2F0000}"/>
    <cellStyle name="Comma 2 2 5 2 4 2" xfId="17197" xr:uid="{00000000-0005-0000-0000-00005D430000}"/>
    <cellStyle name="Comma 2 2 5 2 4 2 2" xfId="2007" xr:uid="{00000000-0005-0000-0000-000007080000}"/>
    <cellStyle name="Comma 2 2 5 2 4 2 2 2" xfId="2021" xr:uid="{00000000-0005-0000-0000-000015080000}"/>
    <cellStyle name="Comma 2 2 5 2 4 2 3" xfId="2034" xr:uid="{00000000-0005-0000-0000-000022080000}"/>
    <cellStyle name="Comma 2 2 5 2 4 2 4" xfId="2054" xr:uid="{00000000-0005-0000-0000-000036080000}"/>
    <cellStyle name="Comma 2 2 5 2 4 2 5" xfId="12792" xr:uid="{00000000-0005-0000-0000-000028320000}"/>
    <cellStyle name="Comma 2 2 5 2 4 2 6" xfId="18019" xr:uid="{00000000-0005-0000-0000-000093460000}"/>
    <cellStyle name="Comma 2 2 5 2 4 2 7" xfId="18026" xr:uid="{00000000-0005-0000-0000-00009A460000}"/>
    <cellStyle name="Comma 2 2 5 2 4 2 8" xfId="18031" xr:uid="{00000000-0005-0000-0000-00009F460000}"/>
    <cellStyle name="Comma 2 2 5 2 4 2 9" xfId="13774" xr:uid="{00000000-0005-0000-0000-0000FE350000}"/>
    <cellStyle name="Comma 2 2 5 2 4 3" xfId="17200" xr:uid="{00000000-0005-0000-0000-000060430000}"/>
    <cellStyle name="Comma 2 2 5 2 4 3 2" xfId="2208" xr:uid="{00000000-0005-0000-0000-0000D0080000}"/>
    <cellStyle name="Comma 2 2 5 2 4 3 3" xfId="2230" xr:uid="{00000000-0005-0000-0000-0000E6080000}"/>
    <cellStyle name="Comma 2 2 5 2 4 3 4" xfId="2254" xr:uid="{00000000-0005-0000-0000-0000FE080000}"/>
    <cellStyle name="Comma 2 2 5 2 4 3 5" xfId="12798" xr:uid="{00000000-0005-0000-0000-00002E320000}"/>
    <cellStyle name="Comma 2 2 5 2 4 3 6" xfId="18034" xr:uid="{00000000-0005-0000-0000-0000A2460000}"/>
    <cellStyle name="Comma 2 2 5 2 4 4" xfId="18037" xr:uid="{00000000-0005-0000-0000-0000A5460000}"/>
    <cellStyle name="Comma 2 2 5 2 4 4 2" xfId="12806" xr:uid="{00000000-0005-0000-0000-000036320000}"/>
    <cellStyle name="Comma 2 2 5 2 4 5" xfId="18043" xr:uid="{00000000-0005-0000-0000-0000AB460000}"/>
    <cellStyle name="Comma 2 2 5 2 4 6" xfId="18047" xr:uid="{00000000-0005-0000-0000-0000AF460000}"/>
    <cellStyle name="Comma 2 2 5 2 4 7" xfId="18052" xr:uid="{00000000-0005-0000-0000-0000B4460000}"/>
    <cellStyle name="Comma 2 2 5 2 4 8" xfId="18054" xr:uid="{00000000-0005-0000-0000-0000B6460000}"/>
    <cellStyle name="Comma 2 2 5 2 4 9" xfId="1161" xr:uid="{00000000-0005-0000-0000-0000B9040000}"/>
    <cellStyle name="Comma 2 2 5 2 5" xfId="4176" xr:uid="{00000000-0005-0000-0000-000080100000}"/>
    <cellStyle name="Comma 2 2 5 2 5 10" xfId="18056" xr:uid="{00000000-0005-0000-0000-0000B8460000}"/>
    <cellStyle name="Comma 2 2 5 2 5 11" xfId="18060" xr:uid="{00000000-0005-0000-0000-0000BC460000}"/>
    <cellStyle name="Comma 2 2 5 2 5 12" xfId="18063" xr:uid="{00000000-0005-0000-0000-0000BF460000}"/>
    <cellStyle name="Comma 2 2 5 2 5 13" xfId="18064" xr:uid="{00000000-0005-0000-0000-0000C0460000}"/>
    <cellStyle name="Comma 2 2 5 2 5 2" xfId="18071" xr:uid="{00000000-0005-0000-0000-0000C7460000}"/>
    <cellStyle name="Comma 2 2 5 2 5 2 2" xfId="3416" xr:uid="{00000000-0005-0000-0000-0000880D0000}"/>
    <cellStyle name="Comma 2 2 5 2 5 2 2 2" xfId="4872" xr:uid="{00000000-0005-0000-0000-000038130000}"/>
    <cellStyle name="Comma 2 2 5 2 5 2 3" xfId="4882" xr:uid="{00000000-0005-0000-0000-000042130000}"/>
    <cellStyle name="Comma 2 2 5 2 5 2 4" xfId="4885" xr:uid="{00000000-0005-0000-0000-000045130000}"/>
    <cellStyle name="Comma 2 2 5 2 5 2 5" xfId="13834" xr:uid="{00000000-0005-0000-0000-00003A360000}"/>
    <cellStyle name="Comma 2 2 5 2 5 2 6" xfId="13697" xr:uid="{00000000-0005-0000-0000-0000B1350000}"/>
    <cellStyle name="Comma 2 2 5 2 5 2 7" xfId="18074" xr:uid="{00000000-0005-0000-0000-0000CA460000}"/>
    <cellStyle name="Comma 2 2 5 2 5 2 8" xfId="18076" xr:uid="{00000000-0005-0000-0000-0000CC460000}"/>
    <cellStyle name="Comma 2 2 5 2 5 2 9" xfId="14359" xr:uid="{00000000-0005-0000-0000-000047380000}"/>
    <cellStyle name="Comma 2 2 5 2 5 3" xfId="18085" xr:uid="{00000000-0005-0000-0000-0000D5460000}"/>
    <cellStyle name="Comma 2 2 5 2 5 3 2" xfId="18088" xr:uid="{00000000-0005-0000-0000-0000D8460000}"/>
    <cellStyle name="Comma 2 2 5 2 5 3 3" xfId="18092" xr:uid="{00000000-0005-0000-0000-0000DC460000}"/>
    <cellStyle name="Comma 2 2 5 2 5 3 4" xfId="18093" xr:uid="{00000000-0005-0000-0000-0000DD460000}"/>
    <cellStyle name="Comma 2 2 5 2 5 3 5" xfId="18094" xr:uid="{00000000-0005-0000-0000-0000DE460000}"/>
    <cellStyle name="Comma 2 2 5 2 5 3 6" xfId="13192" xr:uid="{00000000-0005-0000-0000-0000B8330000}"/>
    <cellStyle name="Comma 2 2 5 2 5 4" xfId="18102" xr:uid="{00000000-0005-0000-0000-0000E6460000}"/>
    <cellStyle name="Comma 2 2 5 2 5 4 2" xfId="18106" xr:uid="{00000000-0005-0000-0000-0000EA460000}"/>
    <cellStyle name="Comma 2 2 5 2 5 5" xfId="18115" xr:uid="{00000000-0005-0000-0000-0000F3460000}"/>
    <cellStyle name="Comma 2 2 5 2 5 6" xfId="18126" xr:uid="{00000000-0005-0000-0000-0000FE460000}"/>
    <cellStyle name="Comma 2 2 5 2 5 7" xfId="18136" xr:uid="{00000000-0005-0000-0000-000008470000}"/>
    <cellStyle name="Comma 2 2 5 2 5 8" xfId="18144" xr:uid="{00000000-0005-0000-0000-000010470000}"/>
    <cellStyle name="Comma 2 2 5 2 5 9" xfId="18146" xr:uid="{00000000-0005-0000-0000-000012470000}"/>
    <cellStyle name="Comma 2 2 5 2 6" xfId="6216" xr:uid="{00000000-0005-0000-0000-000078180000}"/>
    <cellStyle name="Comma 2 2 5 2 6 10" xfId="10706" xr:uid="{00000000-0005-0000-0000-0000022A0000}"/>
    <cellStyle name="Comma 2 2 5 2 6 11" xfId="10711" xr:uid="{00000000-0005-0000-0000-0000072A0000}"/>
    <cellStyle name="Comma 2 2 5 2 6 12" xfId="18148" xr:uid="{00000000-0005-0000-0000-000014470000}"/>
    <cellStyle name="Comma 2 2 5 2 6 2" xfId="18151" xr:uid="{00000000-0005-0000-0000-000017470000}"/>
    <cellStyle name="Comma 2 2 5 2 6 2 2" xfId="3187" xr:uid="{00000000-0005-0000-0000-0000A30C0000}"/>
    <cellStyle name="Comma 2 2 5 2 6 2 2 2" xfId="5299" xr:uid="{00000000-0005-0000-0000-0000E3140000}"/>
    <cellStyle name="Comma 2 2 5 2 6 2 3" xfId="5303" xr:uid="{00000000-0005-0000-0000-0000E7140000}"/>
    <cellStyle name="Comma 2 2 5 2 6 2 4" xfId="3943" xr:uid="{00000000-0005-0000-0000-0000970F0000}"/>
    <cellStyle name="Comma 2 2 5 2 6 2 5" xfId="18156" xr:uid="{00000000-0005-0000-0000-00001C470000}"/>
    <cellStyle name="Comma 2 2 5 2 6 2 6" xfId="18157" xr:uid="{00000000-0005-0000-0000-00001D470000}"/>
    <cellStyle name="Comma 2 2 5 2 6 2 7" xfId="18159" xr:uid="{00000000-0005-0000-0000-00001F470000}"/>
    <cellStyle name="Comma 2 2 5 2 6 2 8" xfId="14959" xr:uid="{00000000-0005-0000-0000-00009F3A0000}"/>
    <cellStyle name="Comma 2 2 5 2 6 2 9" xfId="16891" xr:uid="{00000000-0005-0000-0000-00002B420000}"/>
    <cellStyle name="Comma 2 2 5 2 6 3" xfId="18163" xr:uid="{00000000-0005-0000-0000-000023470000}"/>
    <cellStyle name="Comma 2 2 5 2 6 3 2" xfId="18168" xr:uid="{00000000-0005-0000-0000-000028470000}"/>
    <cellStyle name="Comma 2 2 5 2 6 3 3" xfId="18171" xr:uid="{00000000-0005-0000-0000-00002B470000}"/>
    <cellStyle name="Comma 2 2 5 2 6 3 4" xfId="18174" xr:uid="{00000000-0005-0000-0000-00002E470000}"/>
    <cellStyle name="Comma 2 2 5 2 6 3 5" xfId="6092" xr:uid="{00000000-0005-0000-0000-0000FC170000}"/>
    <cellStyle name="Comma 2 2 5 2 6 3 6" xfId="6122" xr:uid="{00000000-0005-0000-0000-00001A180000}"/>
    <cellStyle name="Comma 2 2 5 2 6 4" xfId="18177" xr:uid="{00000000-0005-0000-0000-000031470000}"/>
    <cellStyle name="Comma 2 2 5 2 6 4 2" xfId="18181" xr:uid="{00000000-0005-0000-0000-000035470000}"/>
    <cellStyle name="Comma 2 2 5 2 6 5" xfId="18184" xr:uid="{00000000-0005-0000-0000-000038470000}"/>
    <cellStyle name="Comma 2 2 5 2 6 6" xfId="10634" xr:uid="{00000000-0005-0000-0000-0000BA290000}"/>
    <cellStyle name="Comma 2 2 5 2 6 7" xfId="10641" xr:uid="{00000000-0005-0000-0000-0000C1290000}"/>
    <cellStyle name="Comma 2 2 5 2 6 8" xfId="10648" xr:uid="{00000000-0005-0000-0000-0000C8290000}"/>
    <cellStyle name="Comma 2 2 5 2 6 9" xfId="10655" xr:uid="{00000000-0005-0000-0000-0000CF290000}"/>
    <cellStyle name="Comma 2 2 5 2 7" xfId="6220" xr:uid="{00000000-0005-0000-0000-00007C180000}"/>
    <cellStyle name="Comma 2 2 5 2 7 2" xfId="18190" xr:uid="{00000000-0005-0000-0000-00003E470000}"/>
    <cellStyle name="Comma 2 2 5 2 7 2 2" xfId="4589" xr:uid="{00000000-0005-0000-0000-00001D120000}"/>
    <cellStyle name="Comma 2 2 5 2 7 3" xfId="18196" xr:uid="{00000000-0005-0000-0000-000044470000}"/>
    <cellStyle name="Comma 2 2 5 2 7 4" xfId="18201" xr:uid="{00000000-0005-0000-0000-000049470000}"/>
    <cellStyle name="Comma 2 2 5 2 7 5" xfId="18206" xr:uid="{00000000-0005-0000-0000-00004E470000}"/>
    <cellStyle name="Comma 2 2 5 2 7 6" xfId="4181" xr:uid="{00000000-0005-0000-0000-000085100000}"/>
    <cellStyle name="Comma 2 2 5 2 7 7" xfId="18211" xr:uid="{00000000-0005-0000-0000-000053470000}"/>
    <cellStyle name="Comma 2 2 5 2 7 8" xfId="18213" xr:uid="{00000000-0005-0000-0000-000055470000}"/>
    <cellStyle name="Comma 2 2 5 2 7 9" xfId="18214" xr:uid="{00000000-0005-0000-0000-000056470000}"/>
    <cellStyle name="Comma 2 2 5 2 8" xfId="6223" xr:uid="{00000000-0005-0000-0000-00007F180000}"/>
    <cellStyle name="Comma 2 2 5 2 8 2" xfId="18219" xr:uid="{00000000-0005-0000-0000-00005B470000}"/>
    <cellStyle name="Comma 2 2 5 2 8 3" xfId="18226" xr:uid="{00000000-0005-0000-0000-000062470000}"/>
    <cellStyle name="Comma 2 2 5 2 8 4" xfId="18232" xr:uid="{00000000-0005-0000-0000-000068470000}"/>
    <cellStyle name="Comma 2 2 5 2 8 5" xfId="18238" xr:uid="{00000000-0005-0000-0000-00006E470000}"/>
    <cellStyle name="Comma 2 2 5 2 8 6" xfId="18240" xr:uid="{00000000-0005-0000-0000-000070470000}"/>
    <cellStyle name="Comma 2 2 5 2 9" xfId="18242" xr:uid="{00000000-0005-0000-0000-000072470000}"/>
    <cellStyle name="Comma 2 2 5 2 9 2" xfId="18246" xr:uid="{00000000-0005-0000-0000-000076470000}"/>
    <cellStyle name="Comma 2 2 5 2 9 3" xfId="18250" xr:uid="{00000000-0005-0000-0000-00007A470000}"/>
    <cellStyle name="Comma 2 2 5 2 9 4" xfId="18253" xr:uid="{00000000-0005-0000-0000-00007D470000}"/>
    <cellStyle name="Comma 2 2 5 2 9 5" xfId="18256" xr:uid="{00000000-0005-0000-0000-000080470000}"/>
    <cellStyle name="Comma 2 2 5 2 9 6" xfId="18260" xr:uid="{00000000-0005-0000-0000-000084470000}"/>
    <cellStyle name="Comma 2 2 5 20" xfId="17824" xr:uid="{00000000-0005-0000-0000-0000D0450000}"/>
    <cellStyle name="Comma 2 2 5 21" xfId="17826" xr:uid="{00000000-0005-0000-0000-0000D2450000}"/>
    <cellStyle name="Comma 2 2 5 22" xfId="17828" xr:uid="{00000000-0005-0000-0000-0000D4450000}"/>
    <cellStyle name="Comma 2 2 5 23" xfId="17830" xr:uid="{00000000-0005-0000-0000-0000D6450000}"/>
    <cellStyle name="Comma 2 2 5 24" xfId="16047" xr:uid="{00000000-0005-0000-0000-0000DF3E0000}"/>
    <cellStyle name="Comma 2 2 5 25" xfId="16049" xr:uid="{00000000-0005-0000-0000-0000E13E0000}"/>
    <cellStyle name="Comma 2 2 5 26" xfId="10394" xr:uid="{00000000-0005-0000-0000-0000CA280000}"/>
    <cellStyle name="Comma 2 2 5 3" xfId="13034" xr:uid="{00000000-0005-0000-0000-00001A330000}"/>
    <cellStyle name="Comma 2 2 5 3 10" xfId="18264" xr:uid="{00000000-0005-0000-0000-000088470000}"/>
    <cellStyle name="Comma 2 2 5 3 10 2" xfId="18266" xr:uid="{00000000-0005-0000-0000-00008A470000}"/>
    <cellStyle name="Comma 2 2 5 3 10 3" xfId="9034" xr:uid="{00000000-0005-0000-0000-00007A230000}"/>
    <cellStyle name="Comma 2 2 5 3 10 4" xfId="4195" xr:uid="{00000000-0005-0000-0000-000093100000}"/>
    <cellStyle name="Comma 2 2 5 3 10 5" xfId="5178" xr:uid="{00000000-0005-0000-0000-00006A140000}"/>
    <cellStyle name="Comma 2 2 5 3 10 6" xfId="6112" xr:uid="{00000000-0005-0000-0000-000010180000}"/>
    <cellStyle name="Comma 2 2 5 3 11" xfId="18269" xr:uid="{00000000-0005-0000-0000-00008D470000}"/>
    <cellStyle name="Comma 2 2 5 3 11 2" xfId="18272" xr:uid="{00000000-0005-0000-0000-000090470000}"/>
    <cellStyle name="Comma 2 2 5 3 11 3" xfId="18274" xr:uid="{00000000-0005-0000-0000-000092470000}"/>
    <cellStyle name="Comma 2 2 5 3 11 4" xfId="4917" xr:uid="{00000000-0005-0000-0000-000065130000}"/>
    <cellStyle name="Comma 2 2 5 3 11 5" xfId="18276" xr:uid="{00000000-0005-0000-0000-000094470000}"/>
    <cellStyle name="Comma 2 2 5 3 11 6" xfId="6143" xr:uid="{00000000-0005-0000-0000-00002F180000}"/>
    <cellStyle name="Comma 2 2 5 3 12" xfId="12011" xr:uid="{00000000-0005-0000-0000-00001B2F0000}"/>
    <cellStyle name="Comma 2 2 5 3 13" xfId="18278" xr:uid="{00000000-0005-0000-0000-000096470000}"/>
    <cellStyle name="Comma 2 2 5 3 14" xfId="18280" xr:uid="{00000000-0005-0000-0000-000098470000}"/>
    <cellStyle name="Comma 2 2 5 3 15" xfId="18282" xr:uid="{00000000-0005-0000-0000-00009A470000}"/>
    <cellStyle name="Comma 2 2 5 3 16" xfId="18285" xr:uid="{00000000-0005-0000-0000-00009D470000}"/>
    <cellStyle name="Comma 2 2 5 3 17" xfId="18289" xr:uid="{00000000-0005-0000-0000-0000A1470000}"/>
    <cellStyle name="Comma 2 2 5 3 18" xfId="6340" xr:uid="{00000000-0005-0000-0000-0000F4180000}"/>
    <cellStyle name="Comma 2 2 5 3 19" xfId="18293" xr:uid="{00000000-0005-0000-0000-0000A5470000}"/>
    <cellStyle name="Comma 2 2 5 3 2" xfId="6234" xr:uid="{00000000-0005-0000-0000-00008A180000}"/>
    <cellStyle name="Comma 2 2 5 3 2 10" xfId="18295" xr:uid="{00000000-0005-0000-0000-0000A7470000}"/>
    <cellStyle name="Comma 2 2 5 3 2 11" xfId="5984" xr:uid="{00000000-0005-0000-0000-000090170000}"/>
    <cellStyle name="Comma 2 2 5 3 2 12" xfId="18297" xr:uid="{00000000-0005-0000-0000-0000A9470000}"/>
    <cellStyle name="Comma 2 2 5 3 2 13" xfId="12090" xr:uid="{00000000-0005-0000-0000-00006A2F0000}"/>
    <cellStyle name="Comma 2 2 5 3 2 14" xfId="12098" xr:uid="{00000000-0005-0000-0000-0000722F0000}"/>
    <cellStyle name="Comma 2 2 5 3 2 15" xfId="12102" xr:uid="{00000000-0005-0000-0000-0000762F0000}"/>
    <cellStyle name="Comma 2 2 5 3 2 16" xfId="12107" xr:uid="{00000000-0005-0000-0000-00007B2F0000}"/>
    <cellStyle name="Comma 2 2 5 3 2 17" xfId="1736" xr:uid="{00000000-0005-0000-0000-0000F8060000}"/>
    <cellStyle name="Comma 2 2 5 3 2 18" xfId="12112" xr:uid="{00000000-0005-0000-0000-0000802F0000}"/>
    <cellStyle name="Comma 2 2 5 3 2 2" xfId="18301" xr:uid="{00000000-0005-0000-0000-0000AD470000}"/>
    <cellStyle name="Comma 2 2 5 3 2 2 10" xfId="18307" xr:uid="{00000000-0005-0000-0000-0000B3470000}"/>
    <cellStyle name="Comma 2 2 5 3 2 2 11" xfId="18310" xr:uid="{00000000-0005-0000-0000-0000B6470000}"/>
    <cellStyle name="Comma 2 2 5 3 2 2 12" xfId="18314" xr:uid="{00000000-0005-0000-0000-0000BA470000}"/>
    <cellStyle name="Comma 2 2 5 3 2 2 2" xfId="18315" xr:uid="{00000000-0005-0000-0000-0000BB470000}"/>
    <cellStyle name="Comma 2 2 5 3 2 2 2 2" xfId="13326" xr:uid="{00000000-0005-0000-0000-00003E340000}"/>
    <cellStyle name="Comma 2 2 5 3 2 2 2 2 2" xfId="13330" xr:uid="{00000000-0005-0000-0000-000042340000}"/>
    <cellStyle name="Comma 2 2 5 3 2 2 2 3" xfId="18316" xr:uid="{00000000-0005-0000-0000-0000BC470000}"/>
    <cellStyle name="Comma 2 2 5 3 2 2 2 4" xfId="18320" xr:uid="{00000000-0005-0000-0000-0000C0470000}"/>
    <cellStyle name="Comma 2 2 5 3 2 2 2 5" xfId="18325" xr:uid="{00000000-0005-0000-0000-0000C5470000}"/>
    <cellStyle name="Comma 2 2 5 3 2 2 3" xfId="18326" xr:uid="{00000000-0005-0000-0000-0000C6470000}"/>
    <cellStyle name="Comma 2 2 5 3 2 2 3 2" xfId="4676" xr:uid="{00000000-0005-0000-0000-000074120000}"/>
    <cellStyle name="Comma 2 2 5 3 2 2 4" xfId="18327" xr:uid="{00000000-0005-0000-0000-0000C7470000}"/>
    <cellStyle name="Comma 2 2 5 3 2 2 5" xfId="18328" xr:uid="{00000000-0005-0000-0000-0000C8470000}"/>
    <cellStyle name="Comma 2 2 5 3 2 2 6" xfId="18329" xr:uid="{00000000-0005-0000-0000-0000C9470000}"/>
    <cellStyle name="Comma 2 2 5 3 2 2 7" xfId="10313" xr:uid="{00000000-0005-0000-0000-000079280000}"/>
    <cellStyle name="Comma 2 2 5 3 2 2 8" xfId="18330" xr:uid="{00000000-0005-0000-0000-0000CA470000}"/>
    <cellStyle name="Comma 2 2 5 3 2 2 9" xfId="18332" xr:uid="{00000000-0005-0000-0000-0000CC470000}"/>
    <cellStyle name="Comma 2 2 5 3 2 3" xfId="18336" xr:uid="{00000000-0005-0000-0000-0000D0470000}"/>
    <cellStyle name="Comma 2 2 5 3 2 3 10" xfId="18341" xr:uid="{00000000-0005-0000-0000-0000D5470000}"/>
    <cellStyle name="Comma 2 2 5 3 2 3 11" xfId="18345" xr:uid="{00000000-0005-0000-0000-0000D9470000}"/>
    <cellStyle name="Comma 2 2 5 3 2 3 12" xfId="18349" xr:uid="{00000000-0005-0000-0000-0000DD470000}"/>
    <cellStyle name="Comma 2 2 5 3 2 3 2" xfId="18350" xr:uid="{00000000-0005-0000-0000-0000DE470000}"/>
    <cellStyle name="Comma 2 2 5 3 2 3 2 2" xfId="14546" xr:uid="{00000000-0005-0000-0000-000002390000}"/>
    <cellStyle name="Comma 2 2 5 3 2 3 2 2 2" xfId="18352" xr:uid="{00000000-0005-0000-0000-0000E0470000}"/>
    <cellStyle name="Comma 2 2 5 3 2 3 2 3" xfId="18354" xr:uid="{00000000-0005-0000-0000-0000E2470000}"/>
    <cellStyle name="Comma 2 2 5 3 2 3 2 4" xfId="18356" xr:uid="{00000000-0005-0000-0000-0000E4470000}"/>
    <cellStyle name="Comma 2 2 5 3 2 3 2 5" xfId="18359" xr:uid="{00000000-0005-0000-0000-0000E7470000}"/>
    <cellStyle name="Comma 2 2 5 3 2 3 3" xfId="18360" xr:uid="{00000000-0005-0000-0000-0000E8470000}"/>
    <cellStyle name="Comma 2 2 5 3 2 3 3 2" xfId="4622" xr:uid="{00000000-0005-0000-0000-00003E120000}"/>
    <cellStyle name="Comma 2 2 5 3 2 3 4" xfId="18361" xr:uid="{00000000-0005-0000-0000-0000E9470000}"/>
    <cellStyle name="Comma 2 2 5 3 2 3 5" xfId="18362" xr:uid="{00000000-0005-0000-0000-0000EA470000}"/>
    <cellStyle name="Comma 2 2 5 3 2 3 6" xfId="18363" xr:uid="{00000000-0005-0000-0000-0000EB470000}"/>
    <cellStyle name="Comma 2 2 5 3 2 3 7" xfId="18365" xr:uid="{00000000-0005-0000-0000-0000ED470000}"/>
    <cellStyle name="Comma 2 2 5 3 2 3 8" xfId="18367" xr:uid="{00000000-0005-0000-0000-0000EF470000}"/>
    <cellStyle name="Comma 2 2 5 3 2 3 9" xfId="18369" xr:uid="{00000000-0005-0000-0000-0000F1470000}"/>
    <cellStyle name="Comma 2 2 5 3 2 4" xfId="18374" xr:uid="{00000000-0005-0000-0000-0000F6470000}"/>
    <cellStyle name="Comma 2 2 5 3 2 4 10" xfId="18376" xr:uid="{00000000-0005-0000-0000-0000F8470000}"/>
    <cellStyle name="Comma 2 2 5 3 2 4 2" xfId="18379" xr:uid="{00000000-0005-0000-0000-0000FB470000}"/>
    <cellStyle name="Comma 2 2 5 3 2 4 2 2" xfId="13787" xr:uid="{00000000-0005-0000-0000-00000B360000}"/>
    <cellStyle name="Comma 2 2 5 3 2 4 2 2 2" xfId="17304" xr:uid="{00000000-0005-0000-0000-0000C8430000}"/>
    <cellStyle name="Comma 2 2 5 3 2 4 2 3" xfId="13793" xr:uid="{00000000-0005-0000-0000-000011360000}"/>
    <cellStyle name="Comma 2 2 5 3 2 4 2 4" xfId="13799" xr:uid="{00000000-0005-0000-0000-000017360000}"/>
    <cellStyle name="Comma 2 2 5 3 2 4 2 5" xfId="18382" xr:uid="{00000000-0005-0000-0000-0000FE470000}"/>
    <cellStyle name="Comma 2 2 5 3 2 4 3" xfId="18385" xr:uid="{00000000-0005-0000-0000-000001480000}"/>
    <cellStyle name="Comma 2 2 5 3 2 4 3 2" xfId="12016" xr:uid="{00000000-0005-0000-0000-0000202F0000}"/>
    <cellStyle name="Comma 2 2 5 3 2 4 4" xfId="18388" xr:uid="{00000000-0005-0000-0000-000004480000}"/>
    <cellStyle name="Comma 2 2 5 3 2 4 5" xfId="18391" xr:uid="{00000000-0005-0000-0000-000007480000}"/>
    <cellStyle name="Comma 2 2 5 3 2 4 6" xfId="18394" xr:uid="{00000000-0005-0000-0000-00000A480000}"/>
    <cellStyle name="Comma 2 2 5 3 2 4 7" xfId="18398" xr:uid="{00000000-0005-0000-0000-00000E480000}"/>
    <cellStyle name="Comma 2 2 5 3 2 4 8" xfId="18403" xr:uid="{00000000-0005-0000-0000-000013480000}"/>
    <cellStyle name="Comma 2 2 5 3 2 4 9" xfId="18408" xr:uid="{00000000-0005-0000-0000-000018480000}"/>
    <cellStyle name="Comma 2 2 5 3 2 5" xfId="1500" xr:uid="{00000000-0005-0000-0000-00000C060000}"/>
    <cellStyle name="Comma 2 2 5 3 2 5 10" xfId="18414" xr:uid="{00000000-0005-0000-0000-00001E480000}"/>
    <cellStyle name="Comma 2 2 5 3 2 5 2" xfId="11649" xr:uid="{00000000-0005-0000-0000-0000B12D0000}"/>
    <cellStyle name="Comma 2 2 5 3 2 5 2 2" xfId="15430" xr:uid="{00000000-0005-0000-0000-0000763C0000}"/>
    <cellStyle name="Comma 2 2 5 3 2 5 2 2 2" xfId="11488" xr:uid="{00000000-0005-0000-0000-0000102D0000}"/>
    <cellStyle name="Comma 2 2 5 3 2 5 2 3" xfId="18419" xr:uid="{00000000-0005-0000-0000-000023480000}"/>
    <cellStyle name="Comma 2 2 5 3 2 5 2 4" xfId="18422" xr:uid="{00000000-0005-0000-0000-000026480000}"/>
    <cellStyle name="Comma 2 2 5 3 2 5 2 5" xfId="18423" xr:uid="{00000000-0005-0000-0000-000027480000}"/>
    <cellStyle name="Comma 2 2 5 3 2 5 3" xfId="11656" xr:uid="{00000000-0005-0000-0000-0000B82D0000}"/>
    <cellStyle name="Comma 2 2 5 3 2 5 3 2" xfId="15504" xr:uid="{00000000-0005-0000-0000-0000C03C0000}"/>
    <cellStyle name="Comma 2 2 5 3 2 5 4" xfId="11663" xr:uid="{00000000-0005-0000-0000-0000BF2D0000}"/>
    <cellStyle name="Comma 2 2 5 3 2 5 5" xfId="11671" xr:uid="{00000000-0005-0000-0000-0000C72D0000}"/>
    <cellStyle name="Comma 2 2 5 3 2 5 6" xfId="11676" xr:uid="{00000000-0005-0000-0000-0000CC2D0000}"/>
    <cellStyle name="Comma 2 2 5 3 2 5 7" xfId="18425" xr:uid="{00000000-0005-0000-0000-000029480000}"/>
    <cellStyle name="Comma 2 2 5 3 2 5 8" xfId="18428" xr:uid="{00000000-0005-0000-0000-00002C480000}"/>
    <cellStyle name="Comma 2 2 5 3 2 5 9" xfId="18431" xr:uid="{00000000-0005-0000-0000-00002F480000}"/>
    <cellStyle name="Comma 2 2 5 3 2 6" xfId="14466" xr:uid="{00000000-0005-0000-0000-0000B2380000}"/>
    <cellStyle name="Comma 2 2 5 3 2 6 2" xfId="11683" xr:uid="{00000000-0005-0000-0000-0000D32D0000}"/>
    <cellStyle name="Comma 2 2 5 3 2 6 2 2" xfId="15804" xr:uid="{00000000-0005-0000-0000-0000EC3D0000}"/>
    <cellStyle name="Comma 2 2 5 3 2 6 3" xfId="11688" xr:uid="{00000000-0005-0000-0000-0000D82D0000}"/>
    <cellStyle name="Comma 2 2 5 3 2 6 4" xfId="18434" xr:uid="{00000000-0005-0000-0000-000032480000}"/>
    <cellStyle name="Comma 2 2 5 3 2 6 5" xfId="18436" xr:uid="{00000000-0005-0000-0000-000034480000}"/>
    <cellStyle name="Comma 2 2 5 3 2 6 6" xfId="18439" xr:uid="{00000000-0005-0000-0000-000037480000}"/>
    <cellStyle name="Comma 2 2 5 3 2 6 7" xfId="18443" xr:uid="{00000000-0005-0000-0000-00003B480000}"/>
    <cellStyle name="Comma 2 2 5 3 2 6 8" xfId="18448" xr:uid="{00000000-0005-0000-0000-000040480000}"/>
    <cellStyle name="Comma 2 2 5 3 2 6 9" xfId="18452" xr:uid="{00000000-0005-0000-0000-000044480000}"/>
    <cellStyle name="Comma 2 2 5 3 2 7" xfId="14471" xr:uid="{00000000-0005-0000-0000-0000B7380000}"/>
    <cellStyle name="Comma 2 2 5 3 2 7 2" xfId="18455" xr:uid="{00000000-0005-0000-0000-000047480000}"/>
    <cellStyle name="Comma 2 2 5 3 2 8" xfId="14474" xr:uid="{00000000-0005-0000-0000-0000BA380000}"/>
    <cellStyle name="Comma 2 2 5 3 2 9" xfId="2875" xr:uid="{00000000-0005-0000-0000-00006B0B0000}"/>
    <cellStyle name="Comma 2 2 5 3 20" xfId="18283" xr:uid="{00000000-0005-0000-0000-00009B470000}"/>
    <cellStyle name="Comma 2 2 5 3 21" xfId="18286" xr:uid="{00000000-0005-0000-0000-00009E470000}"/>
    <cellStyle name="Comma 2 2 5 3 22" xfId="18290" xr:uid="{00000000-0005-0000-0000-0000A2470000}"/>
    <cellStyle name="Comma 2 2 5 3 23" xfId="6341" xr:uid="{00000000-0005-0000-0000-0000F5180000}"/>
    <cellStyle name="Comma 2 2 5 3 3" xfId="6670" xr:uid="{00000000-0005-0000-0000-00003E1A0000}"/>
    <cellStyle name="Comma 2 2 5 3 3 10" xfId="12094" xr:uid="{00000000-0005-0000-0000-00006E2F0000}"/>
    <cellStyle name="Comma 2 2 5 3 3 11" xfId="18458" xr:uid="{00000000-0005-0000-0000-00004A480000}"/>
    <cellStyle name="Comma 2 2 5 3 3 12" xfId="15822" xr:uid="{00000000-0005-0000-0000-0000FE3D0000}"/>
    <cellStyle name="Comma 2 2 5 3 3 13" xfId="7123" xr:uid="{00000000-0005-0000-0000-0000031C0000}"/>
    <cellStyle name="Comma 2 2 5 3 3 14" xfId="18461" xr:uid="{00000000-0005-0000-0000-00004D480000}"/>
    <cellStyle name="Comma 2 2 5 3 3 15" xfId="18463" xr:uid="{00000000-0005-0000-0000-00004F480000}"/>
    <cellStyle name="Comma 2 2 5 3 3 16" xfId="136" xr:uid="{00000000-0005-0000-0000-000093000000}"/>
    <cellStyle name="Comma 2 2 5 3 3 17" xfId="3638" xr:uid="{00000000-0005-0000-0000-0000660E0000}"/>
    <cellStyle name="Comma 2 2 5 3 3 18" xfId="8406" xr:uid="{00000000-0005-0000-0000-000006210000}"/>
    <cellStyle name="Comma 2 2 5 3 3 2" xfId="18470" xr:uid="{00000000-0005-0000-0000-000056480000}"/>
    <cellStyle name="Comma 2 2 5 3 3 2 10" xfId="11246" xr:uid="{00000000-0005-0000-0000-00001E2C0000}"/>
    <cellStyle name="Comma 2 2 5 3 3 2 2" xfId="10955" xr:uid="{00000000-0005-0000-0000-0000FB2A0000}"/>
    <cellStyle name="Comma 2 2 5 3 3 2 2 2" xfId="16282" xr:uid="{00000000-0005-0000-0000-0000CA3F0000}"/>
    <cellStyle name="Comma 2 2 5 3 3 2 3" xfId="8393" xr:uid="{00000000-0005-0000-0000-0000F9200000}"/>
    <cellStyle name="Comma 2 2 5 3 3 2 4" xfId="11202" xr:uid="{00000000-0005-0000-0000-0000F22B0000}"/>
    <cellStyle name="Comma 2 2 5 3 3 2 5" xfId="9262" xr:uid="{00000000-0005-0000-0000-00005E240000}"/>
    <cellStyle name="Comma 2 2 5 3 3 2 6" xfId="18475" xr:uid="{00000000-0005-0000-0000-00005B480000}"/>
    <cellStyle name="Comma 2 2 5 3 3 2 7" xfId="10012" xr:uid="{00000000-0005-0000-0000-00004C270000}"/>
    <cellStyle name="Comma 2 2 5 3 3 2 8" xfId="18479" xr:uid="{00000000-0005-0000-0000-00005F480000}"/>
    <cellStyle name="Comma 2 2 5 3 3 2 9" xfId="18482" xr:uid="{00000000-0005-0000-0000-000062480000}"/>
    <cellStyle name="Comma 2 2 5 3 3 3" xfId="18487" xr:uid="{00000000-0005-0000-0000-000067480000}"/>
    <cellStyle name="Comma 2 2 5 3 3 3 2" xfId="16288" xr:uid="{00000000-0005-0000-0000-0000D03F0000}"/>
    <cellStyle name="Comma 2 2 5 3 3 3 3" xfId="18490" xr:uid="{00000000-0005-0000-0000-00006A480000}"/>
    <cellStyle name="Comma 2 2 5 3 3 3 4" xfId="18493" xr:uid="{00000000-0005-0000-0000-00006D480000}"/>
    <cellStyle name="Comma 2 2 5 3 3 3 5" xfId="18496" xr:uid="{00000000-0005-0000-0000-000070480000}"/>
    <cellStyle name="Comma 2 2 5 3 3 3 6" xfId="18502" xr:uid="{00000000-0005-0000-0000-000076480000}"/>
    <cellStyle name="Comma 2 2 5 3 3 4" xfId="18508" xr:uid="{00000000-0005-0000-0000-00007C480000}"/>
    <cellStyle name="Comma 2 2 5 3 3 4 2" xfId="3198" xr:uid="{00000000-0005-0000-0000-0000AE0C0000}"/>
    <cellStyle name="Comma 2 2 5 3 3 4 3" xfId="3219" xr:uid="{00000000-0005-0000-0000-0000C30C0000}"/>
    <cellStyle name="Comma 2 2 5 3 3 4 4" xfId="18511" xr:uid="{00000000-0005-0000-0000-00007F480000}"/>
    <cellStyle name="Comma 2 2 5 3 3 4 5" xfId="18514" xr:uid="{00000000-0005-0000-0000-000082480000}"/>
    <cellStyle name="Comma 2 2 5 3 3 4 6" xfId="18516" xr:uid="{00000000-0005-0000-0000-000084480000}"/>
    <cellStyle name="Comma 2 2 5 3 3 5" xfId="14480" xr:uid="{00000000-0005-0000-0000-0000C0380000}"/>
    <cellStyle name="Comma 2 2 5 3 3 5 2" xfId="5815" xr:uid="{00000000-0005-0000-0000-0000E7160000}"/>
    <cellStyle name="Comma 2 2 5 3 3 5 3" xfId="5833" xr:uid="{00000000-0005-0000-0000-0000F9160000}"/>
    <cellStyle name="Comma 2 2 5 3 3 5 4" xfId="5846" xr:uid="{00000000-0005-0000-0000-000006170000}"/>
    <cellStyle name="Comma 2 2 5 3 3 5 5" xfId="5856" xr:uid="{00000000-0005-0000-0000-000010170000}"/>
    <cellStyle name="Comma 2 2 5 3 3 5 6" xfId="5869" xr:uid="{00000000-0005-0000-0000-00001D170000}"/>
    <cellStyle name="Comma 2 2 5 3 3 6" xfId="18526" xr:uid="{00000000-0005-0000-0000-00008E480000}"/>
    <cellStyle name="Comma 2 2 5 3 3 6 2" xfId="11709" xr:uid="{00000000-0005-0000-0000-0000ED2D0000}"/>
    <cellStyle name="Comma 2 2 5 3 3 6 3" xfId="11712" xr:uid="{00000000-0005-0000-0000-0000F02D0000}"/>
    <cellStyle name="Comma 2 2 5 3 3 6 4" xfId="18528" xr:uid="{00000000-0005-0000-0000-000090480000}"/>
    <cellStyle name="Comma 2 2 5 3 3 6 5" xfId="18530" xr:uid="{00000000-0005-0000-0000-000092480000}"/>
    <cellStyle name="Comma 2 2 5 3 3 6 6" xfId="18536" xr:uid="{00000000-0005-0000-0000-000098480000}"/>
    <cellStyle name="Comma 2 2 5 3 3 7" xfId="18541" xr:uid="{00000000-0005-0000-0000-00009D480000}"/>
    <cellStyle name="Comma 2 2 5 3 3 8" xfId="18544" xr:uid="{00000000-0005-0000-0000-0000A0480000}"/>
    <cellStyle name="Comma 2 2 5 3 3 9" xfId="594" xr:uid="{00000000-0005-0000-0000-00007B020000}"/>
    <cellStyle name="Comma 2 2 5 3 4" xfId="8195" xr:uid="{00000000-0005-0000-0000-000033200000}"/>
    <cellStyle name="Comma 2 2 5 3 4 10" xfId="453" xr:uid="{00000000-0005-0000-0000-0000E2010000}"/>
    <cellStyle name="Comma 2 2 5 3 4 11" xfId="18545" xr:uid="{00000000-0005-0000-0000-0000A1480000}"/>
    <cellStyle name="Comma 2 2 5 3 4 12" xfId="18549" xr:uid="{00000000-0005-0000-0000-0000A5480000}"/>
    <cellStyle name="Comma 2 2 5 3 4 13" xfId="18556" xr:uid="{00000000-0005-0000-0000-0000AC480000}"/>
    <cellStyle name="Comma 2 2 5 3 4 14" xfId="18562" xr:uid="{00000000-0005-0000-0000-0000B2480000}"/>
    <cellStyle name="Comma 2 2 5 3 4 15" xfId="18568" xr:uid="{00000000-0005-0000-0000-0000B8480000}"/>
    <cellStyle name="Comma 2 2 5 3 4 2" xfId="191" xr:uid="{00000000-0005-0000-0000-0000CE000000}"/>
    <cellStyle name="Comma 2 2 5 3 4 2 2" xfId="2792" xr:uid="{00000000-0005-0000-0000-0000180B0000}"/>
    <cellStyle name="Comma 2 2 5 3 4 2 2 2" xfId="2796" xr:uid="{00000000-0005-0000-0000-00001C0B0000}"/>
    <cellStyle name="Comma 2 2 5 3 4 2 3" xfId="2811" xr:uid="{00000000-0005-0000-0000-00002B0B0000}"/>
    <cellStyle name="Comma 2 2 5 3 4 2 4" xfId="1134" xr:uid="{00000000-0005-0000-0000-00009E040000}"/>
    <cellStyle name="Comma 2 2 5 3 4 2 5" xfId="18572" xr:uid="{00000000-0005-0000-0000-0000BC480000}"/>
    <cellStyle name="Comma 2 2 5 3 4 2 6" xfId="18578" xr:uid="{00000000-0005-0000-0000-0000C2480000}"/>
    <cellStyle name="Comma 2 2 5 3 4 2 7" xfId="18581" xr:uid="{00000000-0005-0000-0000-0000C5480000}"/>
    <cellStyle name="Comma 2 2 5 3 4 2 8" xfId="18584" xr:uid="{00000000-0005-0000-0000-0000C8480000}"/>
    <cellStyle name="Comma 2 2 5 3 4 2 9" xfId="18587" xr:uid="{00000000-0005-0000-0000-0000CB480000}"/>
    <cellStyle name="Comma 2 2 5 3 4 3" xfId="18589" xr:uid="{00000000-0005-0000-0000-0000CD480000}"/>
    <cellStyle name="Comma 2 2 5 3 4 3 2" xfId="2870" xr:uid="{00000000-0005-0000-0000-0000660B0000}"/>
    <cellStyle name="Comma 2 2 5 3 4 3 3" xfId="2879" xr:uid="{00000000-0005-0000-0000-00006F0B0000}"/>
    <cellStyle name="Comma 2 2 5 3 4 3 4" xfId="524" xr:uid="{00000000-0005-0000-0000-00002F020000}"/>
    <cellStyle name="Comma 2 2 5 3 4 3 5" xfId="557" xr:uid="{00000000-0005-0000-0000-000052020000}"/>
    <cellStyle name="Comma 2 2 5 3 4 3 6" xfId="82" xr:uid="{00000000-0005-0000-0000-000057000000}"/>
    <cellStyle name="Comma 2 2 5 3 4 4" xfId="18591" xr:uid="{00000000-0005-0000-0000-0000CF480000}"/>
    <cellStyle name="Comma 2 2 5 3 4 4 2" xfId="18595" xr:uid="{00000000-0005-0000-0000-0000D3480000}"/>
    <cellStyle name="Comma 2 2 5 3 4 5" xfId="18597" xr:uid="{00000000-0005-0000-0000-0000D5480000}"/>
    <cellStyle name="Comma 2 2 5 3 4 6" xfId="18599" xr:uid="{00000000-0005-0000-0000-0000D7480000}"/>
    <cellStyle name="Comma 2 2 5 3 4 7" xfId="18601" xr:uid="{00000000-0005-0000-0000-0000D9480000}"/>
    <cellStyle name="Comma 2 2 5 3 4 8" xfId="18603" xr:uid="{00000000-0005-0000-0000-0000DB480000}"/>
    <cellStyle name="Comma 2 2 5 3 4 9" xfId="18606" xr:uid="{00000000-0005-0000-0000-0000DE480000}"/>
    <cellStyle name="Comma 2 2 5 3 5" xfId="11988" xr:uid="{00000000-0005-0000-0000-0000042F0000}"/>
    <cellStyle name="Comma 2 2 5 3 5 10" xfId="18609" xr:uid="{00000000-0005-0000-0000-0000E1480000}"/>
    <cellStyle name="Comma 2 2 5 3 5 11" xfId="14996" xr:uid="{00000000-0005-0000-0000-0000C43A0000}"/>
    <cellStyle name="Comma 2 2 5 3 5 12" xfId="18610" xr:uid="{00000000-0005-0000-0000-0000E2480000}"/>
    <cellStyle name="Comma 2 2 5 3 5 13" xfId="18612" xr:uid="{00000000-0005-0000-0000-0000E4480000}"/>
    <cellStyle name="Comma 2 2 5 3 5 2" xfId="18618" xr:uid="{00000000-0005-0000-0000-0000EA480000}"/>
    <cellStyle name="Comma 2 2 5 3 5 2 2" xfId="3344" xr:uid="{00000000-0005-0000-0000-0000400D0000}"/>
    <cellStyle name="Comma 2 2 5 3 5 2 2 2" xfId="1431" xr:uid="{00000000-0005-0000-0000-0000C7050000}"/>
    <cellStyle name="Comma 2 2 5 3 5 2 3" xfId="3766" xr:uid="{00000000-0005-0000-0000-0000E60E0000}"/>
    <cellStyle name="Comma 2 2 5 3 5 2 4" xfId="4079" xr:uid="{00000000-0005-0000-0000-00001F100000}"/>
    <cellStyle name="Comma 2 2 5 3 5 2 5" xfId="4119" xr:uid="{00000000-0005-0000-0000-000047100000}"/>
    <cellStyle name="Comma 2 2 5 3 5 2 6" xfId="4131" xr:uid="{00000000-0005-0000-0000-000053100000}"/>
    <cellStyle name="Comma 2 2 5 3 5 2 7" xfId="1044" xr:uid="{00000000-0005-0000-0000-000044040000}"/>
    <cellStyle name="Comma 2 2 5 3 5 2 8" xfId="4159" xr:uid="{00000000-0005-0000-0000-00006F100000}"/>
    <cellStyle name="Comma 2 2 5 3 5 2 9" xfId="4170" xr:uid="{00000000-0005-0000-0000-00007A100000}"/>
    <cellStyle name="Comma 2 2 5 3 5 3" xfId="18623" xr:uid="{00000000-0005-0000-0000-0000EF480000}"/>
    <cellStyle name="Comma 2 2 5 3 5 3 2" xfId="13373" xr:uid="{00000000-0005-0000-0000-00006D340000}"/>
    <cellStyle name="Comma 2 2 5 3 5 3 3" xfId="18627" xr:uid="{00000000-0005-0000-0000-0000F3480000}"/>
    <cellStyle name="Comma 2 2 5 3 5 3 4" xfId="18629" xr:uid="{00000000-0005-0000-0000-0000F5480000}"/>
    <cellStyle name="Comma 2 2 5 3 5 3 5" xfId="18630" xr:uid="{00000000-0005-0000-0000-0000F6480000}"/>
    <cellStyle name="Comma 2 2 5 3 5 3 6" xfId="18632" xr:uid="{00000000-0005-0000-0000-0000F8480000}"/>
    <cellStyle name="Comma 2 2 5 3 5 4" xfId="18637" xr:uid="{00000000-0005-0000-0000-0000FD480000}"/>
    <cellStyle name="Comma 2 2 5 3 5 4 2" xfId="16052" xr:uid="{00000000-0005-0000-0000-0000E43E0000}"/>
    <cellStyle name="Comma 2 2 5 3 5 5" xfId="18647" xr:uid="{00000000-0005-0000-0000-000007490000}"/>
    <cellStyle name="Comma 2 2 5 3 5 6" xfId="18651" xr:uid="{00000000-0005-0000-0000-00000B490000}"/>
    <cellStyle name="Comma 2 2 5 3 5 7" xfId="18655" xr:uid="{00000000-0005-0000-0000-00000F490000}"/>
    <cellStyle name="Comma 2 2 5 3 5 8" xfId="16525" xr:uid="{00000000-0005-0000-0000-0000BD400000}"/>
    <cellStyle name="Comma 2 2 5 3 5 9" xfId="16527" xr:uid="{00000000-0005-0000-0000-0000BF400000}"/>
    <cellStyle name="Comma 2 2 5 3 6" xfId="18656" xr:uid="{00000000-0005-0000-0000-000010490000}"/>
    <cellStyle name="Comma 2 2 5 3 6 10" xfId="13163" xr:uid="{00000000-0005-0000-0000-00009B330000}"/>
    <cellStyle name="Comma 2 2 5 3 6 11" xfId="13171" xr:uid="{00000000-0005-0000-0000-0000A3330000}"/>
    <cellStyle name="Comma 2 2 5 3 6 12" xfId="13176" xr:uid="{00000000-0005-0000-0000-0000A8330000}"/>
    <cellStyle name="Comma 2 2 5 3 6 2" xfId="18662" xr:uid="{00000000-0005-0000-0000-000016490000}"/>
    <cellStyle name="Comma 2 2 5 3 6 2 2" xfId="17985" xr:uid="{00000000-0005-0000-0000-000071460000}"/>
    <cellStyle name="Comma 2 2 5 3 6 2 2 2" xfId="12537" xr:uid="{00000000-0005-0000-0000-000029310000}"/>
    <cellStyle name="Comma 2 2 5 3 6 2 3" xfId="17989" xr:uid="{00000000-0005-0000-0000-000075460000}"/>
    <cellStyle name="Comma 2 2 5 3 6 2 4" xfId="18663" xr:uid="{00000000-0005-0000-0000-000017490000}"/>
    <cellStyle name="Comma 2 2 5 3 6 2 5" xfId="18664" xr:uid="{00000000-0005-0000-0000-000018490000}"/>
    <cellStyle name="Comma 2 2 5 3 6 2 6" xfId="18666" xr:uid="{00000000-0005-0000-0000-00001A490000}"/>
    <cellStyle name="Comma 2 2 5 3 6 2 7" xfId="12834" xr:uid="{00000000-0005-0000-0000-000052320000}"/>
    <cellStyle name="Comma 2 2 5 3 6 2 8" xfId="12839" xr:uid="{00000000-0005-0000-0000-000057320000}"/>
    <cellStyle name="Comma 2 2 5 3 6 2 9" xfId="12844" xr:uid="{00000000-0005-0000-0000-00005C320000}"/>
    <cellStyle name="Comma 2 2 5 3 6 3" xfId="18673" xr:uid="{00000000-0005-0000-0000-000021490000}"/>
    <cellStyle name="Comma 2 2 5 3 6 3 2" xfId="18676" xr:uid="{00000000-0005-0000-0000-000024490000}"/>
    <cellStyle name="Comma 2 2 5 3 6 3 3" xfId="18680" xr:uid="{00000000-0005-0000-0000-000028490000}"/>
    <cellStyle name="Comma 2 2 5 3 6 3 4" xfId="18683" xr:uid="{00000000-0005-0000-0000-00002B490000}"/>
    <cellStyle name="Comma 2 2 5 3 6 3 5" xfId="18686" xr:uid="{00000000-0005-0000-0000-00002E490000}"/>
    <cellStyle name="Comma 2 2 5 3 6 3 6" xfId="18690" xr:uid="{00000000-0005-0000-0000-000032490000}"/>
    <cellStyle name="Comma 2 2 5 3 6 4" xfId="18694" xr:uid="{00000000-0005-0000-0000-000036490000}"/>
    <cellStyle name="Comma 2 2 5 3 6 4 2" xfId="17665" xr:uid="{00000000-0005-0000-0000-000031450000}"/>
    <cellStyle name="Comma 2 2 5 3 6 5" xfId="14410" xr:uid="{00000000-0005-0000-0000-00007A380000}"/>
    <cellStyle name="Comma 2 2 5 3 6 6" xfId="14412" xr:uid="{00000000-0005-0000-0000-00007C380000}"/>
    <cellStyle name="Comma 2 2 5 3 6 7" xfId="14414" xr:uid="{00000000-0005-0000-0000-00007E380000}"/>
    <cellStyle name="Comma 2 2 5 3 6 8" xfId="18695" xr:uid="{00000000-0005-0000-0000-000037490000}"/>
    <cellStyle name="Comma 2 2 5 3 6 9" xfId="18697" xr:uid="{00000000-0005-0000-0000-000039490000}"/>
    <cellStyle name="Comma 2 2 5 3 7" xfId="18698" xr:uid="{00000000-0005-0000-0000-00003A490000}"/>
    <cellStyle name="Comma 2 2 5 3 7 2" xfId="18702" xr:uid="{00000000-0005-0000-0000-00003E490000}"/>
    <cellStyle name="Comma 2 2 5 3 7 2 2" xfId="18705" xr:uid="{00000000-0005-0000-0000-000041490000}"/>
    <cellStyle name="Comma 2 2 5 3 7 3" xfId="18709" xr:uid="{00000000-0005-0000-0000-000045490000}"/>
    <cellStyle name="Comma 2 2 5 3 7 4" xfId="18714" xr:uid="{00000000-0005-0000-0000-00004A490000}"/>
    <cellStyle name="Comma 2 2 5 3 7 5" xfId="18721" xr:uid="{00000000-0005-0000-0000-000051490000}"/>
    <cellStyle name="Comma 2 2 5 3 7 6" xfId="4201" xr:uid="{00000000-0005-0000-0000-000099100000}"/>
    <cellStyle name="Comma 2 2 5 3 7 7" xfId="18722" xr:uid="{00000000-0005-0000-0000-000052490000}"/>
    <cellStyle name="Comma 2 2 5 3 7 8" xfId="18723" xr:uid="{00000000-0005-0000-0000-000053490000}"/>
    <cellStyle name="Comma 2 2 5 3 7 9" xfId="18725" xr:uid="{00000000-0005-0000-0000-000055490000}"/>
    <cellStyle name="Comma 2 2 5 3 8" xfId="18726" xr:uid="{00000000-0005-0000-0000-000056490000}"/>
    <cellStyle name="Comma 2 2 5 3 8 2" xfId="18732" xr:uid="{00000000-0005-0000-0000-00005C490000}"/>
    <cellStyle name="Comma 2 2 5 3 8 3" xfId="18740" xr:uid="{00000000-0005-0000-0000-000064490000}"/>
    <cellStyle name="Comma 2 2 5 3 8 4" xfId="18747" xr:uid="{00000000-0005-0000-0000-00006B490000}"/>
    <cellStyle name="Comma 2 2 5 3 8 5" xfId="18755" xr:uid="{00000000-0005-0000-0000-000073490000}"/>
    <cellStyle name="Comma 2 2 5 3 8 6" xfId="18757" xr:uid="{00000000-0005-0000-0000-000075490000}"/>
    <cellStyle name="Comma 2 2 5 3 9" xfId="18758" xr:uid="{00000000-0005-0000-0000-000076490000}"/>
    <cellStyle name="Comma 2 2 5 3 9 2" xfId="18762" xr:uid="{00000000-0005-0000-0000-00007A490000}"/>
    <cellStyle name="Comma 2 2 5 3 9 3" xfId="4288" xr:uid="{00000000-0005-0000-0000-0000F0100000}"/>
    <cellStyle name="Comma 2 2 5 3 9 4" xfId="12596" xr:uid="{00000000-0005-0000-0000-000064310000}"/>
    <cellStyle name="Comma 2 2 5 3 9 5" xfId="12602" xr:uid="{00000000-0005-0000-0000-00006A310000}"/>
    <cellStyle name="Comma 2 2 5 3 9 6" xfId="12609" xr:uid="{00000000-0005-0000-0000-000071310000}"/>
    <cellStyle name="Comma 2 2 5 4" xfId="13038" xr:uid="{00000000-0005-0000-0000-00001E330000}"/>
    <cellStyle name="Comma 2 2 5 4 10" xfId="18764" xr:uid="{00000000-0005-0000-0000-00007C490000}"/>
    <cellStyle name="Comma 2 2 5 4 10 2" xfId="18769" xr:uid="{00000000-0005-0000-0000-000081490000}"/>
    <cellStyle name="Comma 2 2 5 4 10 3" xfId="10943" xr:uid="{00000000-0005-0000-0000-0000EF2A0000}"/>
    <cellStyle name="Comma 2 2 5 4 10 4" xfId="2575" xr:uid="{00000000-0005-0000-0000-00003F0A0000}"/>
    <cellStyle name="Comma 2 2 5 4 10 5" xfId="2586" xr:uid="{00000000-0005-0000-0000-00004A0A0000}"/>
    <cellStyle name="Comma 2 2 5 4 10 6" xfId="10949" xr:uid="{00000000-0005-0000-0000-0000F52A0000}"/>
    <cellStyle name="Comma 2 2 5 4 11" xfId="18772" xr:uid="{00000000-0005-0000-0000-000084490000}"/>
    <cellStyle name="Comma 2 2 5 4 11 2" xfId="11832" xr:uid="{00000000-0005-0000-0000-0000682E0000}"/>
    <cellStyle name="Comma 2 2 5 4 11 3" xfId="10965" xr:uid="{00000000-0005-0000-0000-0000052B0000}"/>
    <cellStyle name="Comma 2 2 5 4 11 4" xfId="2615" xr:uid="{00000000-0005-0000-0000-0000670A0000}"/>
    <cellStyle name="Comma 2 2 5 4 11 5" xfId="18777" xr:uid="{00000000-0005-0000-0000-000089490000}"/>
    <cellStyle name="Comma 2 2 5 4 11 6" xfId="18778" xr:uid="{00000000-0005-0000-0000-00008A490000}"/>
    <cellStyle name="Comma 2 2 5 4 12" xfId="18780" xr:uid="{00000000-0005-0000-0000-00008C490000}"/>
    <cellStyle name="Comma 2 2 5 4 13" xfId="18783" xr:uid="{00000000-0005-0000-0000-00008F490000}"/>
    <cellStyle name="Comma 2 2 5 4 14" xfId="18786" xr:uid="{00000000-0005-0000-0000-000092490000}"/>
    <cellStyle name="Comma 2 2 5 4 15" xfId="9908" xr:uid="{00000000-0005-0000-0000-0000E4260000}"/>
    <cellStyle name="Comma 2 2 5 4 16" xfId="9916" xr:uid="{00000000-0005-0000-0000-0000EC260000}"/>
    <cellStyle name="Comma 2 2 5 4 17" xfId="9922" xr:uid="{00000000-0005-0000-0000-0000F2260000}"/>
    <cellStyle name="Comma 2 2 5 4 18" xfId="9929" xr:uid="{00000000-0005-0000-0000-0000F9260000}"/>
    <cellStyle name="Comma 2 2 5 4 19" xfId="4134" xr:uid="{00000000-0005-0000-0000-000056100000}"/>
    <cellStyle name="Comma 2 2 5 4 2" xfId="14718" xr:uid="{00000000-0005-0000-0000-0000AE390000}"/>
    <cellStyle name="Comma 2 2 5 4 2 10" xfId="17512" xr:uid="{00000000-0005-0000-0000-000098440000}"/>
    <cellStyle name="Comma 2 2 5 4 2 11" xfId="3701" xr:uid="{00000000-0005-0000-0000-0000A50E0000}"/>
    <cellStyle name="Comma 2 2 5 4 2 12" xfId="17518" xr:uid="{00000000-0005-0000-0000-00009E440000}"/>
    <cellStyle name="Comma 2 2 5 4 2 13" xfId="16818" xr:uid="{00000000-0005-0000-0000-0000E2410000}"/>
    <cellStyle name="Comma 2 2 5 4 2 14" xfId="17525" xr:uid="{00000000-0005-0000-0000-0000A5440000}"/>
    <cellStyle name="Comma 2 2 5 4 2 15" xfId="17531" xr:uid="{00000000-0005-0000-0000-0000AB440000}"/>
    <cellStyle name="Comma 2 2 5 4 2 16" xfId="18790" xr:uid="{00000000-0005-0000-0000-000096490000}"/>
    <cellStyle name="Comma 2 2 5 4 2 17" xfId="18793" xr:uid="{00000000-0005-0000-0000-000099490000}"/>
    <cellStyle name="Comma 2 2 5 4 2 18" xfId="12945" xr:uid="{00000000-0005-0000-0000-0000C1320000}"/>
    <cellStyle name="Comma 2 2 5 4 2 2" xfId="12655" xr:uid="{00000000-0005-0000-0000-00009F310000}"/>
    <cellStyle name="Comma 2 2 5 4 2 2 10" xfId="18795" xr:uid="{00000000-0005-0000-0000-00009B490000}"/>
    <cellStyle name="Comma 2 2 5 4 2 2 11" xfId="18799" xr:uid="{00000000-0005-0000-0000-00009F490000}"/>
    <cellStyle name="Comma 2 2 5 4 2 2 12" xfId="18802" xr:uid="{00000000-0005-0000-0000-0000A2490000}"/>
    <cellStyle name="Comma 2 2 5 4 2 2 2" xfId="18804" xr:uid="{00000000-0005-0000-0000-0000A4490000}"/>
    <cellStyle name="Comma 2 2 5 4 2 2 2 2" xfId="14379" xr:uid="{00000000-0005-0000-0000-00005B380000}"/>
    <cellStyle name="Comma 2 2 5 4 2 2 2 2 2" xfId="1657" xr:uid="{00000000-0005-0000-0000-0000A9060000}"/>
    <cellStyle name="Comma 2 2 5 4 2 2 2 3" xfId="14381" xr:uid="{00000000-0005-0000-0000-00005D380000}"/>
    <cellStyle name="Comma 2 2 5 4 2 2 2 4" xfId="14383" xr:uid="{00000000-0005-0000-0000-00005F380000}"/>
    <cellStyle name="Comma 2 2 5 4 2 2 2 5" xfId="5915" xr:uid="{00000000-0005-0000-0000-00004B170000}"/>
    <cellStyle name="Comma 2 2 5 4 2 2 3" xfId="18805" xr:uid="{00000000-0005-0000-0000-0000A5490000}"/>
    <cellStyle name="Comma 2 2 5 4 2 2 3 2" xfId="15519" xr:uid="{00000000-0005-0000-0000-0000CF3C0000}"/>
    <cellStyle name="Comma 2 2 5 4 2 2 4" xfId="18806" xr:uid="{00000000-0005-0000-0000-0000A6490000}"/>
    <cellStyle name="Comma 2 2 5 4 2 2 5" xfId="18808" xr:uid="{00000000-0005-0000-0000-0000A8490000}"/>
    <cellStyle name="Comma 2 2 5 4 2 2 6" xfId="18810" xr:uid="{00000000-0005-0000-0000-0000AA490000}"/>
    <cellStyle name="Comma 2 2 5 4 2 2 7" xfId="18812" xr:uid="{00000000-0005-0000-0000-0000AC490000}"/>
    <cellStyle name="Comma 2 2 5 4 2 2 8" xfId="18813" xr:uid="{00000000-0005-0000-0000-0000AD490000}"/>
    <cellStyle name="Comma 2 2 5 4 2 2 9" xfId="18814" xr:uid="{00000000-0005-0000-0000-0000AE490000}"/>
    <cellStyle name="Comma 2 2 5 4 2 3" xfId="12661" xr:uid="{00000000-0005-0000-0000-0000A5310000}"/>
    <cellStyle name="Comma 2 2 5 4 2 3 10" xfId="12084" xr:uid="{00000000-0005-0000-0000-0000642F0000}"/>
    <cellStyle name="Comma 2 2 5 4 2 3 11" xfId="18817" xr:uid="{00000000-0005-0000-0000-0000B1490000}"/>
    <cellStyle name="Comma 2 2 5 4 2 3 12" xfId="18820" xr:uid="{00000000-0005-0000-0000-0000B4490000}"/>
    <cellStyle name="Comma 2 2 5 4 2 3 2" xfId="18822" xr:uid="{00000000-0005-0000-0000-0000B6490000}"/>
    <cellStyle name="Comma 2 2 5 4 2 3 2 2" xfId="246" xr:uid="{00000000-0005-0000-0000-000007010000}"/>
    <cellStyle name="Comma 2 2 5 4 2 3 2 2 2" xfId="13336" xr:uid="{00000000-0005-0000-0000-000048340000}"/>
    <cellStyle name="Comma 2 2 5 4 2 3 2 3" xfId="10404" xr:uid="{00000000-0005-0000-0000-0000D4280000}"/>
    <cellStyle name="Comma 2 2 5 4 2 3 2 4" xfId="10408" xr:uid="{00000000-0005-0000-0000-0000D8280000}"/>
    <cellStyle name="Comma 2 2 5 4 2 3 2 5" xfId="5990" xr:uid="{00000000-0005-0000-0000-000096170000}"/>
    <cellStyle name="Comma 2 2 5 4 2 3 3" xfId="171" xr:uid="{00000000-0005-0000-0000-0000B7000000}"/>
    <cellStyle name="Comma 2 2 5 4 2 3 3 2" xfId="10415" xr:uid="{00000000-0005-0000-0000-0000DF280000}"/>
    <cellStyle name="Comma 2 2 5 4 2 3 4" xfId="18823" xr:uid="{00000000-0005-0000-0000-0000B7490000}"/>
    <cellStyle name="Comma 2 2 5 4 2 3 5" xfId="18825" xr:uid="{00000000-0005-0000-0000-0000B9490000}"/>
    <cellStyle name="Comma 2 2 5 4 2 3 6" xfId="18826" xr:uid="{00000000-0005-0000-0000-0000BA490000}"/>
    <cellStyle name="Comma 2 2 5 4 2 3 7" xfId="18828" xr:uid="{00000000-0005-0000-0000-0000BC490000}"/>
    <cellStyle name="Comma 2 2 5 4 2 3 8" xfId="18829" xr:uid="{00000000-0005-0000-0000-0000BD490000}"/>
    <cellStyle name="Comma 2 2 5 4 2 3 9" xfId="18830" xr:uid="{00000000-0005-0000-0000-0000BE490000}"/>
    <cellStyle name="Comma 2 2 5 4 2 4" xfId="12666" xr:uid="{00000000-0005-0000-0000-0000AA310000}"/>
    <cellStyle name="Comma 2 2 5 4 2 4 10" xfId="850" xr:uid="{00000000-0005-0000-0000-000082030000}"/>
    <cellStyle name="Comma 2 2 5 4 2 4 2" xfId="18318" xr:uid="{00000000-0005-0000-0000-0000BE470000}"/>
    <cellStyle name="Comma 2 2 5 4 2 4 2 2" xfId="7614" xr:uid="{00000000-0005-0000-0000-0000EE1D0000}"/>
    <cellStyle name="Comma 2 2 5 4 2 4 2 2 2" xfId="10213" xr:uid="{00000000-0005-0000-0000-000015280000}"/>
    <cellStyle name="Comma 2 2 5 4 2 4 2 3" xfId="18833" xr:uid="{00000000-0005-0000-0000-0000C1490000}"/>
    <cellStyle name="Comma 2 2 5 4 2 4 2 4" xfId="18834" xr:uid="{00000000-0005-0000-0000-0000C2490000}"/>
    <cellStyle name="Comma 2 2 5 4 2 4 2 5" xfId="18835" xr:uid="{00000000-0005-0000-0000-0000C3490000}"/>
    <cellStyle name="Comma 2 2 5 4 2 4 3" xfId="18321" xr:uid="{00000000-0005-0000-0000-0000C1470000}"/>
    <cellStyle name="Comma 2 2 5 4 2 4 3 2" xfId="18836" xr:uid="{00000000-0005-0000-0000-0000C4490000}"/>
    <cellStyle name="Comma 2 2 5 4 2 4 4" xfId="18322" xr:uid="{00000000-0005-0000-0000-0000C2470000}"/>
    <cellStyle name="Comma 2 2 5 4 2 4 5" xfId="18837" xr:uid="{00000000-0005-0000-0000-0000C5490000}"/>
    <cellStyle name="Comma 2 2 5 4 2 4 6" xfId="18838" xr:uid="{00000000-0005-0000-0000-0000C6490000}"/>
    <cellStyle name="Comma 2 2 5 4 2 4 7" xfId="18840" xr:uid="{00000000-0005-0000-0000-0000C8490000}"/>
    <cellStyle name="Comma 2 2 5 4 2 4 8" xfId="18842" xr:uid="{00000000-0005-0000-0000-0000CA490000}"/>
    <cellStyle name="Comma 2 2 5 4 2 4 9" xfId="18844" xr:uid="{00000000-0005-0000-0000-0000CC490000}"/>
    <cellStyle name="Comma 2 2 5 4 2 5" xfId="335" xr:uid="{00000000-0005-0000-0000-000065010000}"/>
    <cellStyle name="Comma 2 2 5 4 2 5 10" xfId="18848" xr:uid="{00000000-0005-0000-0000-0000D0490000}"/>
    <cellStyle name="Comma 2 2 5 4 2 5 2" xfId="18851" xr:uid="{00000000-0005-0000-0000-0000D3490000}"/>
    <cellStyle name="Comma 2 2 5 4 2 5 2 2" xfId="2665" xr:uid="{00000000-0005-0000-0000-0000990A0000}"/>
    <cellStyle name="Comma 2 2 5 4 2 5 2 2 2" xfId="18855" xr:uid="{00000000-0005-0000-0000-0000D7490000}"/>
    <cellStyle name="Comma 2 2 5 4 2 5 2 3" xfId="18857" xr:uid="{00000000-0005-0000-0000-0000D9490000}"/>
    <cellStyle name="Comma 2 2 5 4 2 5 2 4" xfId="18858" xr:uid="{00000000-0005-0000-0000-0000DA490000}"/>
    <cellStyle name="Comma 2 2 5 4 2 5 2 5" xfId="18859" xr:uid="{00000000-0005-0000-0000-0000DB490000}"/>
    <cellStyle name="Comma 2 2 5 4 2 5 3" xfId="18860" xr:uid="{00000000-0005-0000-0000-0000DC490000}"/>
    <cellStyle name="Comma 2 2 5 4 2 5 3 2" xfId="18861" xr:uid="{00000000-0005-0000-0000-0000DD490000}"/>
    <cellStyle name="Comma 2 2 5 4 2 5 4" xfId="18862" xr:uid="{00000000-0005-0000-0000-0000DE490000}"/>
    <cellStyle name="Comma 2 2 5 4 2 5 5" xfId="18864" xr:uid="{00000000-0005-0000-0000-0000E0490000}"/>
    <cellStyle name="Comma 2 2 5 4 2 5 6" xfId="18865" xr:uid="{00000000-0005-0000-0000-0000E1490000}"/>
    <cellStyle name="Comma 2 2 5 4 2 5 7" xfId="18867" xr:uid="{00000000-0005-0000-0000-0000E3490000}"/>
    <cellStyle name="Comma 2 2 5 4 2 5 8" xfId="18869" xr:uid="{00000000-0005-0000-0000-0000E5490000}"/>
    <cellStyle name="Comma 2 2 5 4 2 5 9" xfId="18871" xr:uid="{00000000-0005-0000-0000-0000E7490000}"/>
    <cellStyle name="Comma 2 2 5 4 2 6" xfId="12676" xr:uid="{00000000-0005-0000-0000-0000B4310000}"/>
    <cellStyle name="Comma 2 2 5 4 2 6 2" xfId="18873" xr:uid="{00000000-0005-0000-0000-0000E9490000}"/>
    <cellStyle name="Comma 2 2 5 4 2 6 2 2" xfId="2746" xr:uid="{00000000-0005-0000-0000-0000EA0A0000}"/>
    <cellStyle name="Comma 2 2 5 4 2 6 3" xfId="18876" xr:uid="{00000000-0005-0000-0000-0000EC490000}"/>
    <cellStyle name="Comma 2 2 5 4 2 6 4" xfId="18879" xr:uid="{00000000-0005-0000-0000-0000EF490000}"/>
    <cellStyle name="Comma 2 2 5 4 2 6 5" xfId="18882" xr:uid="{00000000-0005-0000-0000-0000F2490000}"/>
    <cellStyle name="Comma 2 2 5 4 2 6 6" xfId="18886" xr:uid="{00000000-0005-0000-0000-0000F6490000}"/>
    <cellStyle name="Comma 2 2 5 4 2 6 7" xfId="18889" xr:uid="{00000000-0005-0000-0000-0000F9490000}"/>
    <cellStyle name="Comma 2 2 5 4 2 6 8" xfId="18893" xr:uid="{00000000-0005-0000-0000-0000FD490000}"/>
    <cellStyle name="Comma 2 2 5 4 2 6 9" xfId="18896" xr:uid="{00000000-0005-0000-0000-0000004A0000}"/>
    <cellStyle name="Comma 2 2 5 4 2 7" xfId="12686" xr:uid="{00000000-0005-0000-0000-0000BE310000}"/>
    <cellStyle name="Comma 2 2 5 4 2 7 2" xfId="18897" xr:uid="{00000000-0005-0000-0000-0000014A0000}"/>
    <cellStyle name="Comma 2 2 5 4 2 8" xfId="18899" xr:uid="{00000000-0005-0000-0000-0000034A0000}"/>
    <cellStyle name="Comma 2 2 5 4 2 9" xfId="18901" xr:uid="{00000000-0005-0000-0000-0000054A0000}"/>
    <cellStyle name="Comma 2 2 5 4 20" xfId="9907" xr:uid="{00000000-0005-0000-0000-0000E3260000}"/>
    <cellStyle name="Comma 2 2 5 4 21" xfId="9915" xr:uid="{00000000-0005-0000-0000-0000EB260000}"/>
    <cellStyle name="Comma 2 2 5 4 22" xfId="9921" xr:uid="{00000000-0005-0000-0000-0000F1260000}"/>
    <cellStyle name="Comma 2 2 5 4 23" xfId="9928" xr:uid="{00000000-0005-0000-0000-0000F8260000}"/>
    <cellStyle name="Comma 2 2 5 4 3" xfId="14721" xr:uid="{00000000-0005-0000-0000-0000B1390000}"/>
    <cellStyle name="Comma 2 2 5 4 3 10" xfId="18902" xr:uid="{00000000-0005-0000-0000-0000064A0000}"/>
    <cellStyle name="Comma 2 2 5 4 3 11" xfId="18903" xr:uid="{00000000-0005-0000-0000-0000074A0000}"/>
    <cellStyle name="Comma 2 2 5 4 3 12" xfId="18904" xr:uid="{00000000-0005-0000-0000-0000084A0000}"/>
    <cellStyle name="Comma 2 2 5 4 3 13" xfId="18905" xr:uid="{00000000-0005-0000-0000-0000094A0000}"/>
    <cellStyle name="Comma 2 2 5 4 3 14" xfId="18908" xr:uid="{00000000-0005-0000-0000-00000C4A0000}"/>
    <cellStyle name="Comma 2 2 5 4 3 15" xfId="18910" xr:uid="{00000000-0005-0000-0000-00000E4A0000}"/>
    <cellStyle name="Comma 2 2 5 4 3 16" xfId="18912" xr:uid="{00000000-0005-0000-0000-0000104A0000}"/>
    <cellStyle name="Comma 2 2 5 4 3 17" xfId="15030" xr:uid="{00000000-0005-0000-0000-0000E63A0000}"/>
    <cellStyle name="Comma 2 2 5 4 3 18" xfId="15069" xr:uid="{00000000-0005-0000-0000-00000D3B0000}"/>
    <cellStyle name="Comma 2 2 5 4 3 2" xfId="12689" xr:uid="{00000000-0005-0000-0000-0000C1310000}"/>
    <cellStyle name="Comma 2 2 5 4 3 2 10" xfId="18914" xr:uid="{00000000-0005-0000-0000-0000124A0000}"/>
    <cellStyle name="Comma 2 2 5 4 3 2 2" xfId="18915" xr:uid="{00000000-0005-0000-0000-0000134A0000}"/>
    <cellStyle name="Comma 2 2 5 4 3 2 2 2" xfId="700" xr:uid="{00000000-0005-0000-0000-0000EC020000}"/>
    <cellStyle name="Comma 2 2 5 4 3 2 3" xfId="18916" xr:uid="{00000000-0005-0000-0000-0000144A0000}"/>
    <cellStyle name="Comma 2 2 5 4 3 2 4" xfId="18917" xr:uid="{00000000-0005-0000-0000-0000154A0000}"/>
    <cellStyle name="Comma 2 2 5 4 3 2 5" xfId="18919" xr:uid="{00000000-0005-0000-0000-0000174A0000}"/>
    <cellStyle name="Comma 2 2 5 4 3 2 6" xfId="18921" xr:uid="{00000000-0005-0000-0000-0000194A0000}"/>
    <cellStyle name="Comma 2 2 5 4 3 2 7" xfId="18926" xr:uid="{00000000-0005-0000-0000-00001E4A0000}"/>
    <cellStyle name="Comma 2 2 5 4 3 2 8" xfId="18929" xr:uid="{00000000-0005-0000-0000-0000214A0000}"/>
    <cellStyle name="Comma 2 2 5 4 3 2 9" xfId="18932" xr:uid="{00000000-0005-0000-0000-0000244A0000}"/>
    <cellStyle name="Comma 2 2 5 4 3 3" xfId="12691" xr:uid="{00000000-0005-0000-0000-0000C3310000}"/>
    <cellStyle name="Comma 2 2 5 4 3 3 2" xfId="18933" xr:uid="{00000000-0005-0000-0000-0000254A0000}"/>
    <cellStyle name="Comma 2 2 5 4 3 3 3" xfId="18935" xr:uid="{00000000-0005-0000-0000-0000274A0000}"/>
    <cellStyle name="Comma 2 2 5 4 3 3 4" xfId="18937" xr:uid="{00000000-0005-0000-0000-0000294A0000}"/>
    <cellStyle name="Comma 2 2 5 4 3 3 5" xfId="18943" xr:uid="{00000000-0005-0000-0000-00002F4A0000}"/>
    <cellStyle name="Comma 2 2 5 4 3 3 6" xfId="18949" xr:uid="{00000000-0005-0000-0000-0000354A0000}"/>
    <cellStyle name="Comma 2 2 5 4 3 4" xfId="12695" xr:uid="{00000000-0005-0000-0000-0000C7310000}"/>
    <cellStyle name="Comma 2 2 5 4 3 4 2" xfId="18353" xr:uid="{00000000-0005-0000-0000-0000E1470000}"/>
    <cellStyle name="Comma 2 2 5 4 3 4 3" xfId="18355" xr:uid="{00000000-0005-0000-0000-0000E3470000}"/>
    <cellStyle name="Comma 2 2 5 4 3 4 4" xfId="18357" xr:uid="{00000000-0005-0000-0000-0000E5470000}"/>
    <cellStyle name="Comma 2 2 5 4 3 4 5" xfId="18951" xr:uid="{00000000-0005-0000-0000-0000374A0000}"/>
    <cellStyle name="Comma 2 2 5 4 3 4 6" xfId="18954" xr:uid="{00000000-0005-0000-0000-00003A4A0000}"/>
    <cellStyle name="Comma 2 2 5 4 3 5" xfId="4073" xr:uid="{00000000-0005-0000-0000-000019100000}"/>
    <cellStyle name="Comma 2 2 5 4 3 5 2" xfId="18957" xr:uid="{00000000-0005-0000-0000-00003D4A0000}"/>
    <cellStyle name="Comma 2 2 5 4 3 5 3" xfId="18958" xr:uid="{00000000-0005-0000-0000-00003E4A0000}"/>
    <cellStyle name="Comma 2 2 5 4 3 5 4" xfId="18959" xr:uid="{00000000-0005-0000-0000-00003F4A0000}"/>
    <cellStyle name="Comma 2 2 5 4 3 5 5" xfId="18960" xr:uid="{00000000-0005-0000-0000-0000404A0000}"/>
    <cellStyle name="Comma 2 2 5 4 3 5 6" xfId="18961" xr:uid="{00000000-0005-0000-0000-0000414A0000}"/>
    <cellStyle name="Comma 2 2 5 4 3 6" xfId="12697" xr:uid="{00000000-0005-0000-0000-0000C9310000}"/>
    <cellStyle name="Comma 2 2 5 4 3 6 2" xfId="18964" xr:uid="{00000000-0005-0000-0000-0000444A0000}"/>
    <cellStyle name="Comma 2 2 5 4 3 6 3" xfId="18966" xr:uid="{00000000-0005-0000-0000-0000464A0000}"/>
    <cellStyle name="Comma 2 2 5 4 3 6 4" xfId="18968" xr:uid="{00000000-0005-0000-0000-0000484A0000}"/>
    <cellStyle name="Comma 2 2 5 4 3 6 5" xfId="18970" xr:uid="{00000000-0005-0000-0000-00004A4A0000}"/>
    <cellStyle name="Comma 2 2 5 4 3 6 6" xfId="18971" xr:uid="{00000000-0005-0000-0000-00004B4A0000}"/>
    <cellStyle name="Comma 2 2 5 4 3 7" xfId="12700" xr:uid="{00000000-0005-0000-0000-0000CC310000}"/>
    <cellStyle name="Comma 2 2 5 4 3 8" xfId="14838" xr:uid="{00000000-0005-0000-0000-0000263A0000}"/>
    <cellStyle name="Comma 2 2 5 4 3 9" xfId="14845" xr:uid="{00000000-0005-0000-0000-00002D3A0000}"/>
    <cellStyle name="Comma 2 2 5 4 4" xfId="18975" xr:uid="{00000000-0005-0000-0000-00004F4A0000}"/>
    <cellStyle name="Comma 2 2 5 4 4 10" xfId="18977" xr:uid="{00000000-0005-0000-0000-0000514A0000}"/>
    <cellStyle name="Comma 2 2 5 4 4 11" xfId="18978" xr:uid="{00000000-0005-0000-0000-0000524A0000}"/>
    <cellStyle name="Comma 2 2 5 4 4 12" xfId="18979" xr:uid="{00000000-0005-0000-0000-0000534A0000}"/>
    <cellStyle name="Comma 2 2 5 4 4 13" xfId="18980" xr:uid="{00000000-0005-0000-0000-0000544A0000}"/>
    <cellStyle name="Comma 2 2 5 4 4 14" xfId="18983" xr:uid="{00000000-0005-0000-0000-0000574A0000}"/>
    <cellStyle name="Comma 2 2 5 4 4 15" xfId="18985" xr:uid="{00000000-0005-0000-0000-0000594A0000}"/>
    <cellStyle name="Comma 2 2 5 4 4 2" xfId="12711" xr:uid="{00000000-0005-0000-0000-0000D7310000}"/>
    <cellStyle name="Comma 2 2 5 4 4 2 2" xfId="18989" xr:uid="{00000000-0005-0000-0000-00005D4A0000}"/>
    <cellStyle name="Comma 2 2 5 4 4 2 2 2" xfId="18990" xr:uid="{00000000-0005-0000-0000-00005E4A0000}"/>
    <cellStyle name="Comma 2 2 5 4 4 2 3" xfId="3299" xr:uid="{00000000-0005-0000-0000-0000130D0000}"/>
    <cellStyle name="Comma 2 2 5 4 4 2 4" xfId="18994" xr:uid="{00000000-0005-0000-0000-0000624A0000}"/>
    <cellStyle name="Comma 2 2 5 4 4 2 5" xfId="9022" xr:uid="{00000000-0005-0000-0000-00006E230000}"/>
    <cellStyle name="Comma 2 2 5 4 4 2 6" xfId="11027" xr:uid="{00000000-0005-0000-0000-0000432B0000}"/>
    <cellStyle name="Comma 2 2 5 4 4 2 7" xfId="11030" xr:uid="{00000000-0005-0000-0000-0000462B0000}"/>
    <cellStyle name="Comma 2 2 5 4 4 2 8" xfId="11033" xr:uid="{00000000-0005-0000-0000-0000492B0000}"/>
    <cellStyle name="Comma 2 2 5 4 4 2 9" xfId="7172" xr:uid="{00000000-0005-0000-0000-0000341C0000}"/>
    <cellStyle name="Comma 2 2 5 4 4 3" xfId="12716" xr:uid="{00000000-0005-0000-0000-0000DC310000}"/>
    <cellStyle name="Comma 2 2 5 4 4 3 2" xfId="18999" xr:uid="{00000000-0005-0000-0000-0000674A0000}"/>
    <cellStyle name="Comma 2 2 5 4 4 3 3" xfId="19003" xr:uid="{00000000-0005-0000-0000-00006B4A0000}"/>
    <cellStyle name="Comma 2 2 5 4 4 3 4" xfId="19009" xr:uid="{00000000-0005-0000-0000-0000714A0000}"/>
    <cellStyle name="Comma 2 2 5 4 4 3 5" xfId="19014" xr:uid="{00000000-0005-0000-0000-0000764A0000}"/>
    <cellStyle name="Comma 2 2 5 4 4 3 6" xfId="19019" xr:uid="{00000000-0005-0000-0000-00007B4A0000}"/>
    <cellStyle name="Comma 2 2 5 4 4 4" xfId="12721" xr:uid="{00000000-0005-0000-0000-0000E1310000}"/>
    <cellStyle name="Comma 2 2 5 4 4 4 2" xfId="13794" xr:uid="{00000000-0005-0000-0000-000012360000}"/>
    <cellStyle name="Comma 2 2 5 4 4 5" xfId="3786" xr:uid="{00000000-0005-0000-0000-0000FA0E0000}"/>
    <cellStyle name="Comma 2 2 5 4 4 6" xfId="19021" xr:uid="{00000000-0005-0000-0000-00007D4A0000}"/>
    <cellStyle name="Comma 2 2 5 4 4 7" xfId="19023" xr:uid="{00000000-0005-0000-0000-00007F4A0000}"/>
    <cellStyle name="Comma 2 2 5 4 4 8" xfId="19025" xr:uid="{00000000-0005-0000-0000-0000814A0000}"/>
    <cellStyle name="Comma 2 2 5 4 4 9" xfId="7661" xr:uid="{00000000-0005-0000-0000-00001D1E0000}"/>
    <cellStyle name="Comma 2 2 5 4 5" xfId="19027" xr:uid="{00000000-0005-0000-0000-0000834A0000}"/>
    <cellStyle name="Comma 2 2 5 4 5 10" xfId="19028" xr:uid="{00000000-0005-0000-0000-0000844A0000}"/>
    <cellStyle name="Comma 2 2 5 4 5 11" xfId="19030" xr:uid="{00000000-0005-0000-0000-0000864A0000}"/>
    <cellStyle name="Comma 2 2 5 4 5 12" xfId="15267" xr:uid="{00000000-0005-0000-0000-0000D33B0000}"/>
    <cellStyle name="Comma 2 2 5 4 5 13" xfId="19032" xr:uid="{00000000-0005-0000-0000-0000884A0000}"/>
    <cellStyle name="Comma 2 2 5 4 5 2" xfId="12734" xr:uid="{00000000-0005-0000-0000-0000EE310000}"/>
    <cellStyle name="Comma 2 2 5 4 5 2 2" xfId="19039" xr:uid="{00000000-0005-0000-0000-00008F4A0000}"/>
    <cellStyle name="Comma 2 2 5 4 5 2 2 2" xfId="19043" xr:uid="{00000000-0005-0000-0000-0000934A0000}"/>
    <cellStyle name="Comma 2 2 5 4 5 2 3" xfId="19046" xr:uid="{00000000-0005-0000-0000-0000964A0000}"/>
    <cellStyle name="Comma 2 2 5 4 5 2 4" xfId="19047" xr:uid="{00000000-0005-0000-0000-0000974A0000}"/>
    <cellStyle name="Comma 2 2 5 4 5 2 5" xfId="19051" xr:uid="{00000000-0005-0000-0000-00009B4A0000}"/>
    <cellStyle name="Comma 2 2 5 4 5 2 6" xfId="16078" xr:uid="{00000000-0005-0000-0000-0000FE3E0000}"/>
    <cellStyle name="Comma 2 2 5 4 5 2 7" xfId="16083" xr:uid="{00000000-0005-0000-0000-0000033F0000}"/>
    <cellStyle name="Comma 2 2 5 4 5 2 8" xfId="16088" xr:uid="{00000000-0005-0000-0000-0000083F0000}"/>
    <cellStyle name="Comma 2 2 5 4 5 2 9" xfId="16095" xr:uid="{00000000-0005-0000-0000-00000F3F0000}"/>
    <cellStyle name="Comma 2 2 5 4 5 3" xfId="12739" xr:uid="{00000000-0005-0000-0000-0000F3310000}"/>
    <cellStyle name="Comma 2 2 5 4 5 3 2" xfId="19057" xr:uid="{00000000-0005-0000-0000-0000A14A0000}"/>
    <cellStyle name="Comma 2 2 5 4 5 3 3" xfId="19060" xr:uid="{00000000-0005-0000-0000-0000A44A0000}"/>
    <cellStyle name="Comma 2 2 5 4 5 3 4" xfId="19061" xr:uid="{00000000-0005-0000-0000-0000A54A0000}"/>
    <cellStyle name="Comma 2 2 5 4 5 3 5" xfId="19065" xr:uid="{00000000-0005-0000-0000-0000A94A0000}"/>
    <cellStyle name="Comma 2 2 5 4 5 3 6" xfId="16100" xr:uid="{00000000-0005-0000-0000-0000143F0000}"/>
    <cellStyle name="Comma 2 2 5 4 5 4" xfId="12744" xr:uid="{00000000-0005-0000-0000-0000F8310000}"/>
    <cellStyle name="Comma 2 2 5 4 5 4 2" xfId="18420" xr:uid="{00000000-0005-0000-0000-000024480000}"/>
    <cellStyle name="Comma 2 2 5 4 5 5" xfId="3812" xr:uid="{00000000-0005-0000-0000-0000140F0000}"/>
    <cellStyle name="Comma 2 2 5 4 5 6" xfId="19068" xr:uid="{00000000-0005-0000-0000-0000AC4A0000}"/>
    <cellStyle name="Comma 2 2 5 4 5 7" xfId="15242" xr:uid="{00000000-0005-0000-0000-0000BA3B0000}"/>
    <cellStyle name="Comma 2 2 5 4 5 8" xfId="15248" xr:uid="{00000000-0005-0000-0000-0000C03B0000}"/>
    <cellStyle name="Comma 2 2 5 4 5 9" xfId="15250" xr:uid="{00000000-0005-0000-0000-0000C23B0000}"/>
    <cellStyle name="Comma 2 2 5 4 6" xfId="19069" xr:uid="{00000000-0005-0000-0000-0000AD4A0000}"/>
    <cellStyle name="Comma 2 2 5 4 6 10" xfId="14268" xr:uid="{00000000-0005-0000-0000-0000EC370000}"/>
    <cellStyle name="Comma 2 2 5 4 6 11" xfId="14273" xr:uid="{00000000-0005-0000-0000-0000F1370000}"/>
    <cellStyle name="Comma 2 2 5 4 6 12" xfId="14279" xr:uid="{00000000-0005-0000-0000-0000F7370000}"/>
    <cellStyle name="Comma 2 2 5 4 6 2" xfId="12750" xr:uid="{00000000-0005-0000-0000-0000FE310000}"/>
    <cellStyle name="Comma 2 2 5 4 6 2 2" xfId="19075" xr:uid="{00000000-0005-0000-0000-0000B34A0000}"/>
    <cellStyle name="Comma 2 2 5 4 6 2 2 2" xfId="19076" xr:uid="{00000000-0005-0000-0000-0000B44A0000}"/>
    <cellStyle name="Comma 2 2 5 4 6 2 3" xfId="19080" xr:uid="{00000000-0005-0000-0000-0000B84A0000}"/>
    <cellStyle name="Comma 2 2 5 4 6 2 4" xfId="19081" xr:uid="{00000000-0005-0000-0000-0000B94A0000}"/>
    <cellStyle name="Comma 2 2 5 4 6 2 5" xfId="19082" xr:uid="{00000000-0005-0000-0000-0000BA4A0000}"/>
    <cellStyle name="Comma 2 2 5 4 6 2 6" xfId="16107" xr:uid="{00000000-0005-0000-0000-00001B3F0000}"/>
    <cellStyle name="Comma 2 2 5 4 6 2 7" xfId="16111" xr:uid="{00000000-0005-0000-0000-00001F3F0000}"/>
    <cellStyle name="Comma 2 2 5 4 6 2 8" xfId="16114" xr:uid="{00000000-0005-0000-0000-0000223F0000}"/>
    <cellStyle name="Comma 2 2 5 4 6 2 9" xfId="16117" xr:uid="{00000000-0005-0000-0000-0000253F0000}"/>
    <cellStyle name="Comma 2 2 5 4 6 3" xfId="12755" xr:uid="{00000000-0005-0000-0000-000003320000}"/>
    <cellStyle name="Comma 2 2 5 4 6 3 2" xfId="19086" xr:uid="{00000000-0005-0000-0000-0000BE4A0000}"/>
    <cellStyle name="Comma 2 2 5 4 6 3 3" xfId="19089" xr:uid="{00000000-0005-0000-0000-0000C14A0000}"/>
    <cellStyle name="Comma 2 2 5 4 6 3 4" xfId="19091" xr:uid="{00000000-0005-0000-0000-0000C34A0000}"/>
    <cellStyle name="Comma 2 2 5 4 6 3 5" xfId="19094" xr:uid="{00000000-0005-0000-0000-0000C64A0000}"/>
    <cellStyle name="Comma 2 2 5 4 6 3 6" xfId="12861" xr:uid="{00000000-0005-0000-0000-00006D320000}"/>
    <cellStyle name="Comma 2 2 5 4 6 4" xfId="12759" xr:uid="{00000000-0005-0000-0000-000007320000}"/>
    <cellStyle name="Comma 2 2 5 4 6 4 2" xfId="19095" xr:uid="{00000000-0005-0000-0000-0000C74A0000}"/>
    <cellStyle name="Comma 2 2 5 4 6 5" xfId="3849" xr:uid="{00000000-0005-0000-0000-0000390F0000}"/>
    <cellStyle name="Comma 2 2 5 4 6 6" xfId="19096" xr:uid="{00000000-0005-0000-0000-0000C84A0000}"/>
    <cellStyle name="Comma 2 2 5 4 6 7" xfId="19097" xr:uid="{00000000-0005-0000-0000-0000C94A0000}"/>
    <cellStyle name="Comma 2 2 5 4 6 8" xfId="19098" xr:uid="{00000000-0005-0000-0000-0000CA4A0000}"/>
    <cellStyle name="Comma 2 2 5 4 6 9" xfId="19099" xr:uid="{00000000-0005-0000-0000-0000CB4A0000}"/>
    <cellStyle name="Comma 2 2 5 4 7" xfId="19100" xr:uid="{00000000-0005-0000-0000-0000CC4A0000}"/>
    <cellStyle name="Comma 2 2 5 4 7 2" xfId="19101" xr:uid="{00000000-0005-0000-0000-0000CD4A0000}"/>
    <cellStyle name="Comma 2 2 5 4 7 2 2" xfId="5259" xr:uid="{00000000-0005-0000-0000-0000BB140000}"/>
    <cellStyle name="Comma 2 2 5 4 7 3" xfId="19102" xr:uid="{00000000-0005-0000-0000-0000CE4A0000}"/>
    <cellStyle name="Comma 2 2 5 4 7 4" xfId="19103" xr:uid="{00000000-0005-0000-0000-0000CF4A0000}"/>
    <cellStyle name="Comma 2 2 5 4 7 5" xfId="3861" xr:uid="{00000000-0005-0000-0000-0000450F0000}"/>
    <cellStyle name="Comma 2 2 5 4 7 6" xfId="19104" xr:uid="{00000000-0005-0000-0000-0000D04A0000}"/>
    <cellStyle name="Comma 2 2 5 4 7 7" xfId="19105" xr:uid="{00000000-0005-0000-0000-0000D14A0000}"/>
    <cellStyle name="Comma 2 2 5 4 7 8" xfId="19106" xr:uid="{00000000-0005-0000-0000-0000D24A0000}"/>
    <cellStyle name="Comma 2 2 5 4 7 9" xfId="19107" xr:uid="{00000000-0005-0000-0000-0000D34A0000}"/>
    <cellStyle name="Comma 2 2 5 4 8" xfId="19108" xr:uid="{00000000-0005-0000-0000-0000D44A0000}"/>
    <cellStyle name="Comma 2 2 5 4 8 2" xfId="19109" xr:uid="{00000000-0005-0000-0000-0000D54A0000}"/>
    <cellStyle name="Comma 2 2 5 4 8 3" xfId="19111" xr:uid="{00000000-0005-0000-0000-0000D74A0000}"/>
    <cellStyle name="Comma 2 2 5 4 8 4" xfId="19112" xr:uid="{00000000-0005-0000-0000-0000D84A0000}"/>
    <cellStyle name="Comma 2 2 5 4 8 5" xfId="17783" xr:uid="{00000000-0005-0000-0000-0000A7450000}"/>
    <cellStyle name="Comma 2 2 5 4 8 6" xfId="19113" xr:uid="{00000000-0005-0000-0000-0000D94A0000}"/>
    <cellStyle name="Comma 2 2 5 4 9" xfId="19114" xr:uid="{00000000-0005-0000-0000-0000DA4A0000}"/>
    <cellStyle name="Comma 2 2 5 4 9 2" xfId="19115" xr:uid="{00000000-0005-0000-0000-0000DB4A0000}"/>
    <cellStyle name="Comma 2 2 5 4 9 3" xfId="19116" xr:uid="{00000000-0005-0000-0000-0000DC4A0000}"/>
    <cellStyle name="Comma 2 2 5 4 9 4" xfId="19117" xr:uid="{00000000-0005-0000-0000-0000DD4A0000}"/>
    <cellStyle name="Comma 2 2 5 4 9 5" xfId="19118" xr:uid="{00000000-0005-0000-0000-0000DE4A0000}"/>
    <cellStyle name="Comma 2 2 5 4 9 6" xfId="19120" xr:uid="{00000000-0005-0000-0000-0000E04A0000}"/>
    <cellStyle name="Comma 2 2 5 5" xfId="13041" xr:uid="{00000000-0005-0000-0000-000021330000}"/>
    <cellStyle name="Comma 2 2 5 5 10" xfId="19121" xr:uid="{00000000-0005-0000-0000-0000E14A0000}"/>
    <cellStyle name="Comma 2 2 5 5 11" xfId="19122" xr:uid="{00000000-0005-0000-0000-0000E24A0000}"/>
    <cellStyle name="Comma 2 2 5 5 12" xfId="19123" xr:uid="{00000000-0005-0000-0000-0000E34A0000}"/>
    <cellStyle name="Comma 2 2 5 5 13" xfId="19124" xr:uid="{00000000-0005-0000-0000-0000E44A0000}"/>
    <cellStyle name="Comma 2 2 5 5 14" xfId="19125" xr:uid="{00000000-0005-0000-0000-0000E54A0000}"/>
    <cellStyle name="Comma 2 2 5 5 15" xfId="19126" xr:uid="{00000000-0005-0000-0000-0000E64A0000}"/>
    <cellStyle name="Comma 2 2 5 5 16" xfId="19127" xr:uid="{00000000-0005-0000-0000-0000E74A0000}"/>
    <cellStyle name="Comma 2 2 5 5 17" xfId="19128" xr:uid="{00000000-0005-0000-0000-0000E84A0000}"/>
    <cellStyle name="Comma 2 2 5 5 18" xfId="19130" xr:uid="{00000000-0005-0000-0000-0000EA4A0000}"/>
    <cellStyle name="Comma 2 2 5 5 2" xfId="14767" xr:uid="{00000000-0005-0000-0000-0000DF390000}"/>
    <cellStyle name="Comma 2 2 5 5 2 10" xfId="19131" xr:uid="{00000000-0005-0000-0000-0000EB4A0000}"/>
    <cellStyle name="Comma 2 2 5 5 2 11" xfId="19132" xr:uid="{00000000-0005-0000-0000-0000EC4A0000}"/>
    <cellStyle name="Comma 2 2 5 5 2 12" xfId="19133" xr:uid="{00000000-0005-0000-0000-0000ED4A0000}"/>
    <cellStyle name="Comma 2 2 5 5 2 13" xfId="1235" xr:uid="{00000000-0005-0000-0000-000003050000}"/>
    <cellStyle name="Comma 2 2 5 5 2 14" xfId="19134" xr:uid="{00000000-0005-0000-0000-0000EE4A0000}"/>
    <cellStyle name="Comma 2 2 5 5 2 2" xfId="19136" xr:uid="{00000000-0005-0000-0000-0000F04A0000}"/>
    <cellStyle name="Comma 2 2 5 5 2 2 10" xfId="19137" xr:uid="{00000000-0005-0000-0000-0000F14A0000}"/>
    <cellStyle name="Comma 2 2 5 5 2 2 2" xfId="19138" xr:uid="{00000000-0005-0000-0000-0000F24A0000}"/>
    <cellStyle name="Comma 2 2 5 5 2 2 2 2" xfId="17413" xr:uid="{00000000-0005-0000-0000-000035440000}"/>
    <cellStyle name="Comma 2 2 5 5 2 2 3" xfId="19139" xr:uid="{00000000-0005-0000-0000-0000F34A0000}"/>
    <cellStyle name="Comma 2 2 5 5 2 2 4" xfId="19140" xr:uid="{00000000-0005-0000-0000-0000F44A0000}"/>
    <cellStyle name="Comma 2 2 5 5 2 2 5" xfId="19142" xr:uid="{00000000-0005-0000-0000-0000F64A0000}"/>
    <cellStyle name="Comma 2 2 5 5 2 2 6" xfId="19143" xr:uid="{00000000-0005-0000-0000-0000F74A0000}"/>
    <cellStyle name="Comma 2 2 5 5 2 2 7" xfId="19144" xr:uid="{00000000-0005-0000-0000-0000F84A0000}"/>
    <cellStyle name="Comma 2 2 5 5 2 2 8" xfId="19145" xr:uid="{00000000-0005-0000-0000-0000F94A0000}"/>
    <cellStyle name="Comma 2 2 5 5 2 2 9" xfId="19146" xr:uid="{00000000-0005-0000-0000-0000FA4A0000}"/>
    <cellStyle name="Comma 2 2 5 5 2 3" xfId="19148" xr:uid="{00000000-0005-0000-0000-0000FC4A0000}"/>
    <cellStyle name="Comma 2 2 5 5 2 3 2" xfId="19149" xr:uid="{00000000-0005-0000-0000-0000FD4A0000}"/>
    <cellStyle name="Comma 2 2 5 5 2 3 3" xfId="19150" xr:uid="{00000000-0005-0000-0000-0000FE4A0000}"/>
    <cellStyle name="Comma 2 2 5 5 2 3 4" xfId="19151" xr:uid="{00000000-0005-0000-0000-0000FF4A0000}"/>
    <cellStyle name="Comma 2 2 5 5 2 3 5" xfId="19152" xr:uid="{00000000-0005-0000-0000-0000004B0000}"/>
    <cellStyle name="Comma 2 2 5 5 2 3 6" xfId="19153" xr:uid="{00000000-0005-0000-0000-0000014B0000}"/>
    <cellStyle name="Comma 2 2 5 5 2 4" xfId="19155" xr:uid="{00000000-0005-0000-0000-0000034B0000}"/>
    <cellStyle name="Comma 2 2 5 5 2 4 2" xfId="4510" xr:uid="{00000000-0005-0000-0000-0000CE110000}"/>
    <cellStyle name="Comma 2 2 5 5 2 4 3" xfId="19156" xr:uid="{00000000-0005-0000-0000-0000044B0000}"/>
    <cellStyle name="Comma 2 2 5 5 2 4 4" xfId="19157" xr:uid="{00000000-0005-0000-0000-0000054B0000}"/>
    <cellStyle name="Comma 2 2 5 5 2 4 5" xfId="19158" xr:uid="{00000000-0005-0000-0000-0000064B0000}"/>
    <cellStyle name="Comma 2 2 5 5 2 5" xfId="4103" xr:uid="{00000000-0005-0000-0000-000037100000}"/>
    <cellStyle name="Comma 2 2 5 5 2 6" xfId="19161" xr:uid="{00000000-0005-0000-0000-0000094B0000}"/>
    <cellStyle name="Comma 2 2 5 5 2 7" xfId="4536" xr:uid="{00000000-0005-0000-0000-0000E8110000}"/>
    <cellStyle name="Comma 2 2 5 5 2 8" xfId="19163" xr:uid="{00000000-0005-0000-0000-00000B4B0000}"/>
    <cellStyle name="Comma 2 2 5 5 2 9" xfId="19165" xr:uid="{00000000-0005-0000-0000-00000D4B0000}"/>
    <cellStyle name="Comma 2 2 5 5 3" xfId="14769" xr:uid="{00000000-0005-0000-0000-0000E1390000}"/>
    <cellStyle name="Comma 2 2 5 5 3 10" xfId="19167" xr:uid="{00000000-0005-0000-0000-00000F4B0000}"/>
    <cellStyle name="Comma 2 2 5 5 3 11" xfId="19172" xr:uid="{00000000-0005-0000-0000-0000144B0000}"/>
    <cellStyle name="Comma 2 2 5 5 3 12" xfId="19177" xr:uid="{00000000-0005-0000-0000-0000194B0000}"/>
    <cellStyle name="Comma 2 2 5 5 3 2" xfId="19182" xr:uid="{00000000-0005-0000-0000-00001E4B0000}"/>
    <cellStyle name="Comma 2 2 5 5 3 2 2" xfId="19184" xr:uid="{00000000-0005-0000-0000-0000204B0000}"/>
    <cellStyle name="Comma 2 2 5 5 3 2 2 2" xfId="19187" xr:uid="{00000000-0005-0000-0000-0000234B0000}"/>
    <cellStyle name="Comma 2 2 5 5 3 2 3" xfId="19191" xr:uid="{00000000-0005-0000-0000-0000274B0000}"/>
    <cellStyle name="Comma 2 2 5 5 3 2 4" xfId="4184" xr:uid="{00000000-0005-0000-0000-000088100000}"/>
    <cellStyle name="Comma 2 2 5 5 3 2 5" xfId="4906" xr:uid="{00000000-0005-0000-0000-00005A130000}"/>
    <cellStyle name="Comma 2 2 5 5 3 3" xfId="19192" xr:uid="{00000000-0005-0000-0000-0000284B0000}"/>
    <cellStyle name="Comma 2 2 5 5 3 3 2" xfId="19195" xr:uid="{00000000-0005-0000-0000-00002B4B0000}"/>
    <cellStyle name="Comma 2 2 5 5 3 4" xfId="19196" xr:uid="{00000000-0005-0000-0000-00002C4B0000}"/>
    <cellStyle name="Comma 2 2 5 5 3 5" xfId="4114" xr:uid="{00000000-0005-0000-0000-000042100000}"/>
    <cellStyle name="Comma 2 2 5 5 3 6" xfId="19200" xr:uid="{00000000-0005-0000-0000-0000304B0000}"/>
    <cellStyle name="Comma 2 2 5 5 3 7" xfId="7538" xr:uid="{00000000-0005-0000-0000-0000A21D0000}"/>
    <cellStyle name="Comma 2 2 5 5 3 8" xfId="9241" xr:uid="{00000000-0005-0000-0000-000049240000}"/>
    <cellStyle name="Comma 2 2 5 5 3 9" xfId="9248" xr:uid="{00000000-0005-0000-0000-000050240000}"/>
    <cellStyle name="Comma 2 2 5 5 4" xfId="19203" xr:uid="{00000000-0005-0000-0000-0000334B0000}"/>
    <cellStyle name="Comma 2 2 5 5 4 10" xfId="19205" xr:uid="{00000000-0005-0000-0000-0000354B0000}"/>
    <cellStyle name="Comma 2 2 5 5 4 11" xfId="19207" xr:uid="{00000000-0005-0000-0000-0000374B0000}"/>
    <cellStyle name="Comma 2 2 5 5 4 2" xfId="19208" xr:uid="{00000000-0005-0000-0000-0000384B0000}"/>
    <cellStyle name="Comma 2 2 5 5 4 2 2" xfId="19212" xr:uid="{00000000-0005-0000-0000-00003C4B0000}"/>
    <cellStyle name="Comma 2 2 5 5 4 2 2 2" xfId="19213" xr:uid="{00000000-0005-0000-0000-00003D4B0000}"/>
    <cellStyle name="Comma 2 2 5 5 4 2 3" xfId="1896" xr:uid="{00000000-0005-0000-0000-000098070000}"/>
    <cellStyle name="Comma 2 2 5 5 4 2 4" xfId="19216" xr:uid="{00000000-0005-0000-0000-0000404B0000}"/>
    <cellStyle name="Comma 2 2 5 5 4 2 5" xfId="5333" xr:uid="{00000000-0005-0000-0000-000005150000}"/>
    <cellStyle name="Comma 2 2 5 5 4 3" xfId="19217" xr:uid="{00000000-0005-0000-0000-0000414B0000}"/>
    <cellStyle name="Comma 2 2 5 5 4 3 2" xfId="19221" xr:uid="{00000000-0005-0000-0000-0000454B0000}"/>
    <cellStyle name="Comma 2 2 5 5 4 4" xfId="19223" xr:uid="{00000000-0005-0000-0000-0000474B0000}"/>
    <cellStyle name="Comma 2 2 5 5 4 5" xfId="1018" xr:uid="{00000000-0005-0000-0000-00002A040000}"/>
    <cellStyle name="Comma 2 2 5 5 4 6" xfId="19225" xr:uid="{00000000-0005-0000-0000-0000494B0000}"/>
    <cellStyle name="Comma 2 2 5 5 4 7" xfId="19227" xr:uid="{00000000-0005-0000-0000-00004B4B0000}"/>
    <cellStyle name="Comma 2 2 5 5 4 8" xfId="19229" xr:uid="{00000000-0005-0000-0000-00004D4B0000}"/>
    <cellStyle name="Comma 2 2 5 5 4 9" xfId="19231" xr:uid="{00000000-0005-0000-0000-00004F4B0000}"/>
    <cellStyle name="Comma 2 2 5 5 5" xfId="11454" xr:uid="{00000000-0005-0000-0000-0000EE2C0000}"/>
    <cellStyle name="Comma 2 2 5 5 5 10" xfId="19233" xr:uid="{00000000-0005-0000-0000-0000514B0000}"/>
    <cellStyle name="Comma 2 2 5 5 5 2" xfId="11463" xr:uid="{00000000-0005-0000-0000-0000F72C0000}"/>
    <cellStyle name="Comma 2 2 5 5 5 2 2" xfId="19238" xr:uid="{00000000-0005-0000-0000-0000564B0000}"/>
    <cellStyle name="Comma 2 2 5 5 5 2 2 2" xfId="19241" xr:uid="{00000000-0005-0000-0000-0000594B0000}"/>
    <cellStyle name="Comma 2 2 5 5 5 2 3" xfId="19244" xr:uid="{00000000-0005-0000-0000-00005C4B0000}"/>
    <cellStyle name="Comma 2 2 5 5 5 2 4" xfId="12889" xr:uid="{00000000-0005-0000-0000-000089320000}"/>
    <cellStyle name="Comma 2 2 5 5 5 2 5" xfId="12894" xr:uid="{00000000-0005-0000-0000-00008E320000}"/>
    <cellStyle name="Comma 2 2 5 5 5 3" xfId="19248" xr:uid="{00000000-0005-0000-0000-0000604B0000}"/>
    <cellStyle name="Comma 2 2 5 5 5 3 2" xfId="19253" xr:uid="{00000000-0005-0000-0000-0000654B0000}"/>
    <cellStyle name="Comma 2 2 5 5 5 4" xfId="19256" xr:uid="{00000000-0005-0000-0000-0000684B0000}"/>
    <cellStyle name="Comma 2 2 5 5 5 5" xfId="1198" xr:uid="{00000000-0005-0000-0000-0000DE040000}"/>
    <cellStyle name="Comma 2 2 5 5 5 6" xfId="19258" xr:uid="{00000000-0005-0000-0000-00006A4B0000}"/>
    <cellStyle name="Comma 2 2 5 5 5 7" xfId="19260" xr:uid="{00000000-0005-0000-0000-00006C4B0000}"/>
    <cellStyle name="Comma 2 2 5 5 5 8" xfId="19263" xr:uid="{00000000-0005-0000-0000-00006F4B0000}"/>
    <cellStyle name="Comma 2 2 5 5 5 9" xfId="19264" xr:uid="{00000000-0005-0000-0000-0000704B0000}"/>
    <cellStyle name="Comma 2 2 5 5 6" xfId="11478" xr:uid="{00000000-0005-0000-0000-0000062D0000}"/>
    <cellStyle name="Comma 2 2 5 5 6 2" xfId="19267" xr:uid="{00000000-0005-0000-0000-0000734B0000}"/>
    <cellStyle name="Comma 2 2 5 5 6 2 2" xfId="19272" xr:uid="{00000000-0005-0000-0000-0000784B0000}"/>
    <cellStyle name="Comma 2 2 5 5 6 3" xfId="19275" xr:uid="{00000000-0005-0000-0000-00007B4B0000}"/>
    <cellStyle name="Comma 2 2 5 5 6 4" xfId="19277" xr:uid="{00000000-0005-0000-0000-00007D4B0000}"/>
    <cellStyle name="Comma 2 2 5 5 6 5" xfId="19279" xr:uid="{00000000-0005-0000-0000-00007F4B0000}"/>
    <cellStyle name="Comma 2 2 5 5 6 6" xfId="19280" xr:uid="{00000000-0005-0000-0000-0000804B0000}"/>
    <cellStyle name="Comma 2 2 5 5 6 7" xfId="19281" xr:uid="{00000000-0005-0000-0000-0000814B0000}"/>
    <cellStyle name="Comma 2 2 5 5 6 8" xfId="19282" xr:uid="{00000000-0005-0000-0000-0000824B0000}"/>
    <cellStyle name="Comma 2 2 5 5 6 9" xfId="19286" xr:uid="{00000000-0005-0000-0000-0000864B0000}"/>
    <cellStyle name="Comma 2 2 5 5 7" xfId="10896" xr:uid="{00000000-0005-0000-0000-0000C02A0000}"/>
    <cellStyle name="Comma 2 2 5 5 7 2" xfId="19287" xr:uid="{00000000-0005-0000-0000-0000874B0000}"/>
    <cellStyle name="Comma 2 2 5 5 8" xfId="10903" xr:uid="{00000000-0005-0000-0000-0000C72A0000}"/>
    <cellStyle name="Comma 2 2 5 5 9" xfId="17541" xr:uid="{00000000-0005-0000-0000-0000B5440000}"/>
    <cellStyle name="Comma 2 2 5 6" xfId="2239" xr:uid="{00000000-0005-0000-0000-0000EF080000}"/>
    <cellStyle name="Comma 2 2 5 6 10" xfId="19291" xr:uid="{00000000-0005-0000-0000-00008B4B0000}"/>
    <cellStyle name="Comma 2 2 5 6 11" xfId="19293" xr:uid="{00000000-0005-0000-0000-00008D4B0000}"/>
    <cellStyle name="Comma 2 2 5 6 12" xfId="19295" xr:uid="{00000000-0005-0000-0000-00008F4B0000}"/>
    <cellStyle name="Comma 2 2 5 6 13" xfId="19297" xr:uid="{00000000-0005-0000-0000-0000914B0000}"/>
    <cellStyle name="Comma 2 2 5 6 14" xfId="19299" xr:uid="{00000000-0005-0000-0000-0000934B0000}"/>
    <cellStyle name="Comma 2 2 5 6 15" xfId="19300" xr:uid="{00000000-0005-0000-0000-0000944B0000}"/>
    <cellStyle name="Comma 2 2 5 6 16" xfId="19303" xr:uid="{00000000-0005-0000-0000-0000974B0000}"/>
    <cellStyle name="Comma 2 2 5 6 17" xfId="907" xr:uid="{00000000-0005-0000-0000-0000BB030000}"/>
    <cellStyle name="Comma 2 2 5 6 18" xfId="5473" xr:uid="{00000000-0005-0000-0000-000091150000}"/>
    <cellStyle name="Comma 2 2 5 6 2" xfId="14799" xr:uid="{00000000-0005-0000-0000-0000FF390000}"/>
    <cellStyle name="Comma 2 2 5 6 2 10" xfId="19141" xr:uid="{00000000-0005-0000-0000-0000F54A0000}"/>
    <cellStyle name="Comma 2 2 5 6 2 2" xfId="19304" xr:uid="{00000000-0005-0000-0000-0000984B0000}"/>
    <cellStyle name="Comma 2 2 5 6 2 2 2" xfId="19306" xr:uid="{00000000-0005-0000-0000-00009A4B0000}"/>
    <cellStyle name="Comma 2 2 5 6 2 3" xfId="19307" xr:uid="{00000000-0005-0000-0000-00009B4B0000}"/>
    <cellStyle name="Comma 2 2 5 6 2 4" xfId="19309" xr:uid="{00000000-0005-0000-0000-00009D4B0000}"/>
    <cellStyle name="Comma 2 2 5 6 2 5" xfId="19311" xr:uid="{00000000-0005-0000-0000-00009F4B0000}"/>
    <cellStyle name="Comma 2 2 5 6 2 6" xfId="19313" xr:uid="{00000000-0005-0000-0000-0000A14B0000}"/>
    <cellStyle name="Comma 2 2 5 6 2 7" xfId="19315" xr:uid="{00000000-0005-0000-0000-0000A34B0000}"/>
    <cellStyle name="Comma 2 2 5 6 2 8" xfId="19317" xr:uid="{00000000-0005-0000-0000-0000A54B0000}"/>
    <cellStyle name="Comma 2 2 5 6 2 9" xfId="19320" xr:uid="{00000000-0005-0000-0000-0000A84B0000}"/>
    <cellStyle name="Comma 2 2 5 6 3" xfId="14802" xr:uid="{00000000-0005-0000-0000-0000023A0000}"/>
    <cellStyle name="Comma 2 2 5 6 3 2" xfId="19322" xr:uid="{00000000-0005-0000-0000-0000AA4B0000}"/>
    <cellStyle name="Comma 2 2 5 6 3 3" xfId="12586" xr:uid="{00000000-0005-0000-0000-00005A310000}"/>
    <cellStyle name="Comma 2 2 5 6 3 4" xfId="7443" xr:uid="{00000000-0005-0000-0000-0000431D0000}"/>
    <cellStyle name="Comma 2 2 5 6 3 5" xfId="5245" xr:uid="{00000000-0005-0000-0000-0000AD140000}"/>
    <cellStyle name="Comma 2 2 5 6 3 6" xfId="12589" xr:uid="{00000000-0005-0000-0000-00005D310000}"/>
    <cellStyle name="Comma 2 2 5 6 4" xfId="19324" xr:uid="{00000000-0005-0000-0000-0000AC4B0000}"/>
    <cellStyle name="Comma 2 2 5 6 4 2" xfId="19325" xr:uid="{00000000-0005-0000-0000-0000AD4B0000}"/>
    <cellStyle name="Comma 2 2 5 6 4 3" xfId="19326" xr:uid="{00000000-0005-0000-0000-0000AE4B0000}"/>
    <cellStyle name="Comma 2 2 5 6 4 4" xfId="19327" xr:uid="{00000000-0005-0000-0000-0000AF4B0000}"/>
    <cellStyle name="Comma 2 2 5 6 4 5" xfId="19329" xr:uid="{00000000-0005-0000-0000-0000B14B0000}"/>
    <cellStyle name="Comma 2 2 5 6 4 6" xfId="19331" xr:uid="{00000000-0005-0000-0000-0000B34B0000}"/>
    <cellStyle name="Comma 2 2 5 6 5" xfId="6762" xr:uid="{00000000-0005-0000-0000-00009A1A0000}"/>
    <cellStyle name="Comma 2 2 5 6 5 2" xfId="6775" xr:uid="{00000000-0005-0000-0000-0000A71A0000}"/>
    <cellStyle name="Comma 2 2 5 6 5 3" xfId="8183" xr:uid="{00000000-0005-0000-0000-000027200000}"/>
    <cellStyle name="Comma 2 2 5 6 5 4" xfId="8453" xr:uid="{00000000-0005-0000-0000-000035210000}"/>
    <cellStyle name="Comma 2 2 5 6 5 5" xfId="8514" xr:uid="{00000000-0005-0000-0000-000072210000}"/>
    <cellStyle name="Comma 2 2 5 6 5 6" xfId="8589" xr:uid="{00000000-0005-0000-0000-0000BD210000}"/>
    <cellStyle name="Comma 2 2 5 6 6" xfId="6792" xr:uid="{00000000-0005-0000-0000-0000B81A0000}"/>
    <cellStyle name="Comma 2 2 5 6 6 2" xfId="8666" xr:uid="{00000000-0005-0000-0000-00000A220000}"/>
    <cellStyle name="Comma 2 2 5 6 6 3" xfId="8707" xr:uid="{00000000-0005-0000-0000-000033220000}"/>
    <cellStyle name="Comma 2 2 5 6 6 4" xfId="8719" xr:uid="{00000000-0005-0000-0000-00003F220000}"/>
    <cellStyle name="Comma 2 2 5 6 6 5" xfId="8742" xr:uid="{00000000-0005-0000-0000-000056220000}"/>
    <cellStyle name="Comma 2 2 5 6 6 6" xfId="8771" xr:uid="{00000000-0005-0000-0000-000073220000}"/>
    <cellStyle name="Comma 2 2 5 6 7" xfId="6807" xr:uid="{00000000-0005-0000-0000-0000C71A0000}"/>
    <cellStyle name="Comma 2 2 5 6 8" xfId="5365" xr:uid="{00000000-0005-0000-0000-000025150000}"/>
    <cellStyle name="Comma 2 2 5 6 9" xfId="5386" xr:uid="{00000000-0005-0000-0000-00003A150000}"/>
    <cellStyle name="Comma 2 2 5 7" xfId="19332" xr:uid="{00000000-0005-0000-0000-0000B44B0000}"/>
    <cellStyle name="Comma 2 2 5 7 10" xfId="19333" xr:uid="{00000000-0005-0000-0000-0000B54B0000}"/>
    <cellStyle name="Comma 2 2 5 7 11" xfId="19334" xr:uid="{00000000-0005-0000-0000-0000B64B0000}"/>
    <cellStyle name="Comma 2 2 5 7 12" xfId="19335" xr:uid="{00000000-0005-0000-0000-0000B74B0000}"/>
    <cellStyle name="Comma 2 2 5 7 13" xfId="19336" xr:uid="{00000000-0005-0000-0000-0000B84B0000}"/>
    <cellStyle name="Comma 2 2 5 7 14" xfId="19337" xr:uid="{00000000-0005-0000-0000-0000B94B0000}"/>
    <cellStyle name="Comma 2 2 5 7 15" xfId="19339" xr:uid="{00000000-0005-0000-0000-0000BB4B0000}"/>
    <cellStyle name="Comma 2 2 5 7 16" xfId="19340" xr:uid="{00000000-0005-0000-0000-0000BC4B0000}"/>
    <cellStyle name="Comma 2 2 5 7 17" xfId="5552" xr:uid="{00000000-0005-0000-0000-0000E0150000}"/>
    <cellStyle name="Comma 2 2 5 7 18" xfId="19341" xr:uid="{00000000-0005-0000-0000-0000BD4B0000}"/>
    <cellStyle name="Comma 2 2 5 7 2" xfId="19343" xr:uid="{00000000-0005-0000-0000-0000BF4B0000}"/>
    <cellStyle name="Comma 2 2 5 7 2 10" xfId="13126" xr:uid="{00000000-0005-0000-0000-000076330000}"/>
    <cellStyle name="Comma 2 2 5 7 2 2" xfId="19344" xr:uid="{00000000-0005-0000-0000-0000C04B0000}"/>
    <cellStyle name="Comma 2 2 5 7 2 2 2" xfId="19345" xr:uid="{00000000-0005-0000-0000-0000C14B0000}"/>
    <cellStyle name="Comma 2 2 5 7 2 3" xfId="7648" xr:uid="{00000000-0005-0000-0000-0000101E0000}"/>
    <cellStyle name="Comma 2 2 5 7 2 4" xfId="5032" xr:uid="{00000000-0005-0000-0000-0000D8130000}"/>
    <cellStyle name="Comma 2 2 5 7 2 5" xfId="5290" xr:uid="{00000000-0005-0000-0000-0000DA140000}"/>
    <cellStyle name="Comma 2 2 5 7 2 6" xfId="7652" xr:uid="{00000000-0005-0000-0000-0000141E0000}"/>
    <cellStyle name="Comma 2 2 5 7 2 7" xfId="19349" xr:uid="{00000000-0005-0000-0000-0000C54B0000}"/>
    <cellStyle name="Comma 2 2 5 7 2 8" xfId="19352" xr:uid="{00000000-0005-0000-0000-0000C84B0000}"/>
    <cellStyle name="Comma 2 2 5 7 2 9" xfId="19353" xr:uid="{00000000-0005-0000-0000-0000C94B0000}"/>
    <cellStyle name="Comma 2 2 5 7 3" xfId="19354" xr:uid="{00000000-0005-0000-0000-0000CA4B0000}"/>
    <cellStyle name="Comma 2 2 5 7 3 2" xfId="19356" xr:uid="{00000000-0005-0000-0000-0000CC4B0000}"/>
    <cellStyle name="Comma 2 2 5 7 3 3" xfId="19357" xr:uid="{00000000-0005-0000-0000-0000CD4B0000}"/>
    <cellStyle name="Comma 2 2 5 7 3 4" xfId="19359" xr:uid="{00000000-0005-0000-0000-0000CF4B0000}"/>
    <cellStyle name="Comma 2 2 5 7 3 5" xfId="19361" xr:uid="{00000000-0005-0000-0000-0000D14B0000}"/>
    <cellStyle name="Comma 2 2 5 7 3 6" xfId="19363" xr:uid="{00000000-0005-0000-0000-0000D34B0000}"/>
    <cellStyle name="Comma 2 2 5 7 4" xfId="19364" xr:uid="{00000000-0005-0000-0000-0000D44B0000}"/>
    <cellStyle name="Comma 2 2 5 7 4 2" xfId="19365" xr:uid="{00000000-0005-0000-0000-0000D54B0000}"/>
    <cellStyle name="Comma 2 2 5 7 4 3" xfId="19366" xr:uid="{00000000-0005-0000-0000-0000D64B0000}"/>
    <cellStyle name="Comma 2 2 5 7 4 4" xfId="19367" xr:uid="{00000000-0005-0000-0000-0000D74B0000}"/>
    <cellStyle name="Comma 2 2 5 7 4 5" xfId="19368" xr:uid="{00000000-0005-0000-0000-0000D84B0000}"/>
    <cellStyle name="Comma 2 2 5 7 4 6" xfId="19369" xr:uid="{00000000-0005-0000-0000-0000D94B0000}"/>
    <cellStyle name="Comma 2 2 5 7 5" xfId="9157" xr:uid="{00000000-0005-0000-0000-0000F5230000}"/>
    <cellStyle name="Comma 2 2 5 7 5 2" xfId="9168" xr:uid="{00000000-0005-0000-0000-000000240000}"/>
    <cellStyle name="Comma 2 2 5 7 5 3" xfId="9238" xr:uid="{00000000-0005-0000-0000-000046240000}"/>
    <cellStyle name="Comma 2 2 5 7 5 4" xfId="5083" xr:uid="{00000000-0005-0000-0000-00000B140000}"/>
    <cellStyle name="Comma 2 2 5 7 5 5" xfId="9349" xr:uid="{00000000-0005-0000-0000-0000B5240000}"/>
    <cellStyle name="Comma 2 2 5 7 5 6" xfId="9387" xr:uid="{00000000-0005-0000-0000-0000DB240000}"/>
    <cellStyle name="Comma 2 2 5 7 6" xfId="9398" xr:uid="{00000000-0005-0000-0000-0000E6240000}"/>
    <cellStyle name="Comma 2 2 5 7 6 2" xfId="9426" xr:uid="{00000000-0005-0000-0000-000002250000}"/>
    <cellStyle name="Comma 2 2 5 7 6 3" xfId="9498" xr:uid="{00000000-0005-0000-0000-00004A250000}"/>
    <cellStyle name="Comma 2 2 5 7 6 4" xfId="5103" xr:uid="{00000000-0005-0000-0000-00001F140000}"/>
    <cellStyle name="Comma 2 2 5 7 6 5" xfId="9534" xr:uid="{00000000-0005-0000-0000-00006E250000}"/>
    <cellStyle name="Comma 2 2 5 7 6 6" xfId="9557" xr:uid="{00000000-0005-0000-0000-000085250000}"/>
    <cellStyle name="Comma 2 2 5 7 7" xfId="9586" xr:uid="{00000000-0005-0000-0000-0000A2250000}"/>
    <cellStyle name="Comma 2 2 5 7 8" xfId="9716" xr:uid="{00000000-0005-0000-0000-000024260000}"/>
    <cellStyle name="Comma 2 2 5 7 9" xfId="4599" xr:uid="{00000000-0005-0000-0000-000027120000}"/>
    <cellStyle name="Comma 2 2 5 8" xfId="19370" xr:uid="{00000000-0005-0000-0000-0000DA4B0000}"/>
    <cellStyle name="Comma 2 2 5 8 10" xfId="19374" xr:uid="{00000000-0005-0000-0000-0000DE4B0000}"/>
    <cellStyle name="Comma 2 2 5 8 11" xfId="19378" xr:uid="{00000000-0005-0000-0000-0000E24B0000}"/>
    <cellStyle name="Comma 2 2 5 8 12" xfId="19382" xr:uid="{00000000-0005-0000-0000-0000E64B0000}"/>
    <cellStyle name="Comma 2 2 5 8 13" xfId="19385" xr:uid="{00000000-0005-0000-0000-0000E94B0000}"/>
    <cellStyle name="Comma 2 2 5 8 14" xfId="19388" xr:uid="{00000000-0005-0000-0000-0000EC4B0000}"/>
    <cellStyle name="Comma 2 2 5 8 15" xfId="19389" xr:uid="{00000000-0005-0000-0000-0000ED4B0000}"/>
    <cellStyle name="Comma 2 2 5 8 2" xfId="19395" xr:uid="{00000000-0005-0000-0000-0000F34B0000}"/>
    <cellStyle name="Comma 2 2 5 8 2 2" xfId="7324" xr:uid="{00000000-0005-0000-0000-0000CC1C0000}"/>
    <cellStyle name="Comma 2 2 5 8 2 2 2" xfId="7339" xr:uid="{00000000-0005-0000-0000-0000DB1C0000}"/>
    <cellStyle name="Comma 2 2 5 8 2 3" xfId="7344" xr:uid="{00000000-0005-0000-0000-0000E01C0000}"/>
    <cellStyle name="Comma 2 2 5 8 2 4" xfId="2090" xr:uid="{00000000-0005-0000-0000-00005A080000}"/>
    <cellStyle name="Comma 2 2 5 8 2 5" xfId="6069" xr:uid="{00000000-0005-0000-0000-0000E5170000}"/>
    <cellStyle name="Comma 2 2 5 8 2 6" xfId="7362" xr:uid="{00000000-0005-0000-0000-0000F21C0000}"/>
    <cellStyle name="Comma 2 2 5 8 2 7" xfId="19397" xr:uid="{00000000-0005-0000-0000-0000F54B0000}"/>
    <cellStyle name="Comma 2 2 5 8 2 8" xfId="19400" xr:uid="{00000000-0005-0000-0000-0000F84B0000}"/>
    <cellStyle name="Comma 2 2 5 8 2 9" xfId="19401" xr:uid="{00000000-0005-0000-0000-0000F94B0000}"/>
    <cellStyle name="Comma 2 2 5 8 3" xfId="19405" xr:uid="{00000000-0005-0000-0000-0000FD4B0000}"/>
    <cellStyle name="Comma 2 2 5 8 3 2" xfId="19410" xr:uid="{00000000-0005-0000-0000-0000024C0000}"/>
    <cellStyle name="Comma 2 2 5 8 3 3" xfId="19190" xr:uid="{00000000-0005-0000-0000-0000264B0000}"/>
    <cellStyle name="Comma 2 2 5 8 3 4" xfId="19415" xr:uid="{00000000-0005-0000-0000-0000074C0000}"/>
    <cellStyle name="Comma 2 2 5 8 3 5" xfId="19419" xr:uid="{00000000-0005-0000-0000-00000B4C0000}"/>
    <cellStyle name="Comma 2 2 5 8 3 6" xfId="19422" xr:uid="{00000000-0005-0000-0000-00000E4C0000}"/>
    <cellStyle name="Comma 2 2 5 8 4" xfId="19425" xr:uid="{00000000-0005-0000-0000-0000114C0000}"/>
    <cellStyle name="Comma 2 2 5 8 4 2" xfId="19427" xr:uid="{00000000-0005-0000-0000-0000134C0000}"/>
    <cellStyle name="Comma 2 2 5 8 5" xfId="3807" xr:uid="{00000000-0005-0000-0000-00000F0F0000}"/>
    <cellStyle name="Comma 2 2 5 8 6" xfId="9654" xr:uid="{00000000-0005-0000-0000-0000E6250000}"/>
    <cellStyle name="Comma 2 2 5 8 7" xfId="9661" xr:uid="{00000000-0005-0000-0000-0000ED250000}"/>
    <cellStyle name="Comma 2 2 5 8 8" xfId="9667" xr:uid="{00000000-0005-0000-0000-0000F3250000}"/>
    <cellStyle name="Comma 2 2 5 8 9" xfId="5415" xr:uid="{00000000-0005-0000-0000-000057150000}"/>
    <cellStyle name="Comma 2 2 5 9" xfId="19428" xr:uid="{00000000-0005-0000-0000-0000144C0000}"/>
    <cellStyle name="Comma 2 2 5 9 10" xfId="19430" xr:uid="{00000000-0005-0000-0000-0000164C0000}"/>
    <cellStyle name="Comma 2 2 5 9 11" xfId="19432" xr:uid="{00000000-0005-0000-0000-0000184C0000}"/>
    <cellStyle name="Comma 2 2 5 9 12" xfId="19434" xr:uid="{00000000-0005-0000-0000-00001A4C0000}"/>
    <cellStyle name="Comma 2 2 5 9 13" xfId="19435" xr:uid="{00000000-0005-0000-0000-00001B4C0000}"/>
    <cellStyle name="Comma 2 2 5 9 14" xfId="19436" xr:uid="{00000000-0005-0000-0000-00001C4C0000}"/>
    <cellStyle name="Comma 2 2 5 9 2" xfId="19440" xr:uid="{00000000-0005-0000-0000-0000204C0000}"/>
    <cellStyle name="Comma 2 2 5 9 2 2" xfId="16023" xr:uid="{00000000-0005-0000-0000-0000C73E0000}"/>
    <cellStyle name="Comma 2 2 5 9 2 2 2" xfId="19441" xr:uid="{00000000-0005-0000-0000-0000214C0000}"/>
    <cellStyle name="Comma 2 2 5 9 2 3" xfId="14126" xr:uid="{00000000-0005-0000-0000-00005E370000}"/>
    <cellStyle name="Comma 2 2 5 9 2 4" xfId="14130" xr:uid="{00000000-0005-0000-0000-000062370000}"/>
    <cellStyle name="Comma 2 2 5 9 2 5" xfId="14133" xr:uid="{00000000-0005-0000-0000-000065370000}"/>
    <cellStyle name="Comma 2 2 5 9 2 6" xfId="14135" xr:uid="{00000000-0005-0000-0000-000067370000}"/>
    <cellStyle name="Comma 2 2 5 9 2 7" xfId="1780" xr:uid="{00000000-0005-0000-0000-000024070000}"/>
    <cellStyle name="Comma 2 2 5 9 2 8" xfId="5710" xr:uid="{00000000-0005-0000-0000-00007E160000}"/>
    <cellStyle name="Comma 2 2 5 9 2 9" xfId="8090" xr:uid="{00000000-0005-0000-0000-0000CA1F0000}"/>
    <cellStyle name="Comma 2 2 5 9 3" xfId="9673" xr:uid="{00000000-0005-0000-0000-0000F9250000}"/>
    <cellStyle name="Comma 2 2 5 9 3 2" xfId="16028" xr:uid="{00000000-0005-0000-0000-0000CC3E0000}"/>
    <cellStyle name="Comma 2 2 5 9 3 3" xfId="16031" xr:uid="{00000000-0005-0000-0000-0000CF3E0000}"/>
    <cellStyle name="Comma 2 2 5 9 3 4" xfId="16034" xr:uid="{00000000-0005-0000-0000-0000D23E0000}"/>
    <cellStyle name="Comma 2 2 5 9 3 5" xfId="19442" xr:uid="{00000000-0005-0000-0000-0000224C0000}"/>
    <cellStyle name="Comma 2 2 5 9 3 6" xfId="19443" xr:uid="{00000000-0005-0000-0000-0000234C0000}"/>
    <cellStyle name="Comma 2 2 5 9 4" xfId="19445" xr:uid="{00000000-0005-0000-0000-0000254C0000}"/>
    <cellStyle name="Comma 2 2 5 9 4 2" xfId="16039" xr:uid="{00000000-0005-0000-0000-0000D73E0000}"/>
    <cellStyle name="Comma 2 2 5 9 5" xfId="3826" xr:uid="{00000000-0005-0000-0000-0000220F0000}"/>
    <cellStyle name="Comma 2 2 5 9 6" xfId="9681" xr:uid="{00000000-0005-0000-0000-000001260000}"/>
    <cellStyle name="Comma 2 2 5 9 7" xfId="10505" xr:uid="{00000000-0005-0000-0000-000039290000}"/>
    <cellStyle name="Comma 2 2 5 9 8" xfId="10566" xr:uid="{00000000-0005-0000-0000-000076290000}"/>
    <cellStyle name="Comma 2 2 5 9 9" xfId="3892" xr:uid="{00000000-0005-0000-0000-0000640F0000}"/>
    <cellStyle name="Comma 2 2 6" xfId="13047" xr:uid="{00000000-0005-0000-0000-000027330000}"/>
    <cellStyle name="Comma 2 2 6 10" xfId="19446" xr:uid="{00000000-0005-0000-0000-0000264C0000}"/>
    <cellStyle name="Comma 2 2 6 10 2" xfId="19449" xr:uid="{00000000-0005-0000-0000-0000294C0000}"/>
    <cellStyle name="Comma 2 2 6 10 3" xfId="19451" xr:uid="{00000000-0005-0000-0000-00002B4C0000}"/>
    <cellStyle name="Comma 2 2 6 10 4" xfId="19453" xr:uid="{00000000-0005-0000-0000-00002D4C0000}"/>
    <cellStyle name="Comma 2 2 6 10 5" xfId="19455" xr:uid="{00000000-0005-0000-0000-00002F4C0000}"/>
    <cellStyle name="Comma 2 2 6 10 6" xfId="19458" xr:uid="{00000000-0005-0000-0000-0000324C0000}"/>
    <cellStyle name="Comma 2 2 6 11" xfId="19459" xr:uid="{00000000-0005-0000-0000-0000334C0000}"/>
    <cellStyle name="Comma 2 2 6 11 2" xfId="19463" xr:uid="{00000000-0005-0000-0000-0000374C0000}"/>
    <cellStyle name="Comma 2 2 6 11 3" xfId="19467" xr:uid="{00000000-0005-0000-0000-00003B4C0000}"/>
    <cellStyle name="Comma 2 2 6 11 4" xfId="19470" xr:uid="{00000000-0005-0000-0000-00003E4C0000}"/>
    <cellStyle name="Comma 2 2 6 11 5" xfId="10935" xr:uid="{00000000-0005-0000-0000-0000E72A0000}"/>
    <cellStyle name="Comma 2 2 6 11 6" xfId="15129" xr:uid="{00000000-0005-0000-0000-0000493B0000}"/>
    <cellStyle name="Comma 2 2 6 12" xfId="19473" xr:uid="{00000000-0005-0000-0000-0000414C0000}"/>
    <cellStyle name="Comma 2 2 6 13" xfId="19476" xr:uid="{00000000-0005-0000-0000-0000444C0000}"/>
    <cellStyle name="Comma 2 2 6 14" xfId="19478" xr:uid="{00000000-0005-0000-0000-0000464C0000}"/>
    <cellStyle name="Comma 2 2 6 15" xfId="19481" xr:uid="{00000000-0005-0000-0000-0000494C0000}"/>
    <cellStyle name="Comma 2 2 6 16" xfId="19484" xr:uid="{00000000-0005-0000-0000-00004C4C0000}"/>
    <cellStyle name="Comma 2 2 6 17" xfId="19486" xr:uid="{00000000-0005-0000-0000-00004E4C0000}"/>
    <cellStyle name="Comma 2 2 6 18" xfId="19489" xr:uid="{00000000-0005-0000-0000-0000514C0000}"/>
    <cellStyle name="Comma 2 2 6 19" xfId="19494" xr:uid="{00000000-0005-0000-0000-0000564C0000}"/>
    <cellStyle name="Comma 2 2 6 2" xfId="13050" xr:uid="{00000000-0005-0000-0000-00002A330000}"/>
    <cellStyle name="Comma 2 2 6 2 10" xfId="19495" xr:uid="{00000000-0005-0000-0000-0000574C0000}"/>
    <cellStyle name="Comma 2 2 6 2 11" xfId="10298" xr:uid="{00000000-0005-0000-0000-00006A280000}"/>
    <cellStyle name="Comma 2 2 6 2 12" xfId="10300" xr:uid="{00000000-0005-0000-0000-00006C280000}"/>
    <cellStyle name="Comma 2 2 6 2 13" xfId="10302" xr:uid="{00000000-0005-0000-0000-00006E280000}"/>
    <cellStyle name="Comma 2 2 6 2 14" xfId="10310" xr:uid="{00000000-0005-0000-0000-000076280000}"/>
    <cellStyle name="Comma 2 2 6 2 15" xfId="2148" xr:uid="{00000000-0005-0000-0000-000094080000}"/>
    <cellStyle name="Comma 2 2 6 2 16" xfId="19496" xr:uid="{00000000-0005-0000-0000-0000584C0000}"/>
    <cellStyle name="Comma 2 2 6 2 17" xfId="19498" xr:uid="{00000000-0005-0000-0000-00005A4C0000}"/>
    <cellStyle name="Comma 2 2 6 2 18" xfId="19500" xr:uid="{00000000-0005-0000-0000-00005C4C0000}"/>
    <cellStyle name="Comma 2 2 6 2 2" xfId="6274" xr:uid="{00000000-0005-0000-0000-0000B2180000}"/>
    <cellStyle name="Comma 2 2 6 2 2 10" xfId="10536" xr:uid="{00000000-0005-0000-0000-000058290000}"/>
    <cellStyle name="Comma 2 2 6 2 2 11" xfId="2664" xr:uid="{00000000-0005-0000-0000-0000980A0000}"/>
    <cellStyle name="Comma 2 2 6 2 2 12" xfId="18856" xr:uid="{00000000-0005-0000-0000-0000D8490000}"/>
    <cellStyle name="Comma 2 2 6 2 2 2" xfId="19501" xr:uid="{00000000-0005-0000-0000-00005D4C0000}"/>
    <cellStyle name="Comma 2 2 6 2 2 2 2" xfId="19502" xr:uid="{00000000-0005-0000-0000-00005E4C0000}"/>
    <cellStyle name="Comma 2 2 6 2 2 2 2 2" xfId="12244" xr:uid="{00000000-0005-0000-0000-000004300000}"/>
    <cellStyle name="Comma 2 2 6 2 2 2 3" xfId="19504" xr:uid="{00000000-0005-0000-0000-0000604C0000}"/>
    <cellStyle name="Comma 2 2 6 2 2 2 4" xfId="5205" xr:uid="{00000000-0005-0000-0000-000085140000}"/>
    <cellStyle name="Comma 2 2 6 2 2 2 5" xfId="19507" xr:uid="{00000000-0005-0000-0000-0000634C0000}"/>
    <cellStyle name="Comma 2 2 6 2 2 3" xfId="19510" xr:uid="{00000000-0005-0000-0000-0000664C0000}"/>
    <cellStyle name="Comma 2 2 6 2 2 3 2" xfId="19511" xr:uid="{00000000-0005-0000-0000-0000674C0000}"/>
    <cellStyle name="Comma 2 2 6 2 2 4" xfId="19514" xr:uid="{00000000-0005-0000-0000-00006A4C0000}"/>
    <cellStyle name="Comma 2 2 6 2 2 5" xfId="19518" xr:uid="{00000000-0005-0000-0000-00006E4C0000}"/>
    <cellStyle name="Comma 2 2 6 2 2 6" xfId="19521" xr:uid="{00000000-0005-0000-0000-0000714C0000}"/>
    <cellStyle name="Comma 2 2 6 2 2 7" xfId="19524" xr:uid="{00000000-0005-0000-0000-0000744C0000}"/>
    <cellStyle name="Comma 2 2 6 2 2 8" xfId="6347" xr:uid="{00000000-0005-0000-0000-0000FB180000}"/>
    <cellStyle name="Comma 2 2 6 2 2 9" xfId="19526" xr:uid="{00000000-0005-0000-0000-0000764C0000}"/>
    <cellStyle name="Comma 2 2 6 2 3" xfId="12019" xr:uid="{00000000-0005-0000-0000-0000232F0000}"/>
    <cellStyle name="Comma 2 2 6 2 3 10" xfId="19530" xr:uid="{00000000-0005-0000-0000-00007A4C0000}"/>
    <cellStyle name="Comma 2 2 6 2 3 11" xfId="19534" xr:uid="{00000000-0005-0000-0000-00007E4C0000}"/>
    <cellStyle name="Comma 2 2 6 2 3 12" xfId="19538" xr:uid="{00000000-0005-0000-0000-0000824C0000}"/>
    <cellStyle name="Comma 2 2 6 2 3 2" xfId="19540" xr:uid="{00000000-0005-0000-0000-0000844C0000}"/>
    <cellStyle name="Comma 2 2 6 2 3 2 2" xfId="19542" xr:uid="{00000000-0005-0000-0000-0000864C0000}"/>
    <cellStyle name="Comma 2 2 6 2 3 2 2 2" xfId="15878" xr:uid="{00000000-0005-0000-0000-0000363E0000}"/>
    <cellStyle name="Comma 2 2 6 2 3 2 3" xfId="19544" xr:uid="{00000000-0005-0000-0000-0000884C0000}"/>
    <cellStyle name="Comma 2 2 6 2 3 2 4" xfId="5269" xr:uid="{00000000-0005-0000-0000-0000C5140000}"/>
    <cellStyle name="Comma 2 2 6 2 3 2 5" xfId="12777" xr:uid="{00000000-0005-0000-0000-000019320000}"/>
    <cellStyle name="Comma 2 2 6 2 3 3" xfId="19547" xr:uid="{00000000-0005-0000-0000-00008B4C0000}"/>
    <cellStyle name="Comma 2 2 6 2 3 3 2" xfId="19548" xr:uid="{00000000-0005-0000-0000-00008C4C0000}"/>
    <cellStyle name="Comma 2 2 6 2 3 4" xfId="16446" xr:uid="{00000000-0005-0000-0000-00006E400000}"/>
    <cellStyle name="Comma 2 2 6 2 3 5" xfId="16452" xr:uid="{00000000-0005-0000-0000-000074400000}"/>
    <cellStyle name="Comma 2 2 6 2 3 6" xfId="16457" xr:uid="{00000000-0005-0000-0000-000079400000}"/>
    <cellStyle name="Comma 2 2 6 2 3 7" xfId="16465" xr:uid="{00000000-0005-0000-0000-000081400000}"/>
    <cellStyle name="Comma 2 2 6 2 3 8" xfId="6359" xr:uid="{00000000-0005-0000-0000-000007190000}"/>
    <cellStyle name="Comma 2 2 6 2 3 9" xfId="3771" xr:uid="{00000000-0005-0000-0000-0000EB0E0000}"/>
    <cellStyle name="Comma 2 2 6 2 4" xfId="12022" xr:uid="{00000000-0005-0000-0000-0000262F0000}"/>
    <cellStyle name="Comma 2 2 6 2 4 10" xfId="19550" xr:uid="{00000000-0005-0000-0000-00008E4C0000}"/>
    <cellStyle name="Comma 2 2 6 2 4 2" xfId="19551" xr:uid="{00000000-0005-0000-0000-00008F4C0000}"/>
    <cellStyle name="Comma 2 2 6 2 4 2 2" xfId="19552" xr:uid="{00000000-0005-0000-0000-0000904C0000}"/>
    <cellStyle name="Comma 2 2 6 2 4 2 2 2" xfId="17476" xr:uid="{00000000-0005-0000-0000-000074440000}"/>
    <cellStyle name="Comma 2 2 6 2 4 2 3" xfId="19553" xr:uid="{00000000-0005-0000-0000-0000914C0000}"/>
    <cellStyle name="Comma 2 2 6 2 4 2 4" xfId="19554" xr:uid="{00000000-0005-0000-0000-0000924C0000}"/>
    <cellStyle name="Comma 2 2 6 2 4 2 5" xfId="19556" xr:uid="{00000000-0005-0000-0000-0000944C0000}"/>
    <cellStyle name="Comma 2 2 6 2 4 3" xfId="19557" xr:uid="{00000000-0005-0000-0000-0000954C0000}"/>
    <cellStyle name="Comma 2 2 6 2 4 3 2" xfId="519" xr:uid="{00000000-0005-0000-0000-000029020000}"/>
    <cellStyle name="Comma 2 2 6 2 4 4" xfId="16474" xr:uid="{00000000-0005-0000-0000-00008A400000}"/>
    <cellStyle name="Comma 2 2 6 2 4 5" xfId="16479" xr:uid="{00000000-0005-0000-0000-00008F400000}"/>
    <cellStyle name="Comma 2 2 6 2 4 6" xfId="16483" xr:uid="{00000000-0005-0000-0000-000093400000}"/>
    <cellStyle name="Comma 2 2 6 2 4 7" xfId="16487" xr:uid="{00000000-0005-0000-0000-000097400000}"/>
    <cellStyle name="Comma 2 2 6 2 4 8" xfId="4903" xr:uid="{00000000-0005-0000-0000-000057130000}"/>
    <cellStyle name="Comma 2 2 6 2 4 9" xfId="19560" xr:uid="{00000000-0005-0000-0000-0000984C0000}"/>
    <cellStyle name="Comma 2 2 6 2 5" xfId="12025" xr:uid="{00000000-0005-0000-0000-0000292F0000}"/>
    <cellStyle name="Comma 2 2 6 2 5 10" xfId="13939" xr:uid="{00000000-0005-0000-0000-0000A3360000}"/>
    <cellStyle name="Comma 2 2 6 2 5 2" xfId="19564" xr:uid="{00000000-0005-0000-0000-00009C4C0000}"/>
    <cellStyle name="Comma 2 2 6 2 5 2 2" xfId="6789" xr:uid="{00000000-0005-0000-0000-0000B51A0000}"/>
    <cellStyle name="Comma 2 2 6 2 5 2 2 2" xfId="8661" xr:uid="{00000000-0005-0000-0000-000005220000}"/>
    <cellStyle name="Comma 2 2 6 2 5 2 3" xfId="6805" xr:uid="{00000000-0005-0000-0000-0000C51A0000}"/>
    <cellStyle name="Comma 2 2 6 2 5 2 4" xfId="5363" xr:uid="{00000000-0005-0000-0000-000023150000}"/>
    <cellStyle name="Comma 2 2 6 2 5 2 5" xfId="19566" xr:uid="{00000000-0005-0000-0000-00009E4C0000}"/>
    <cellStyle name="Comma 2 2 6 2 5 3" xfId="19570" xr:uid="{00000000-0005-0000-0000-0000A24C0000}"/>
    <cellStyle name="Comma 2 2 6 2 5 3 2" xfId="19571" xr:uid="{00000000-0005-0000-0000-0000A34C0000}"/>
    <cellStyle name="Comma 2 2 6 2 5 4" xfId="16502" xr:uid="{00000000-0005-0000-0000-0000A6400000}"/>
    <cellStyle name="Comma 2 2 6 2 5 5" xfId="19577" xr:uid="{00000000-0005-0000-0000-0000A94C0000}"/>
    <cellStyle name="Comma 2 2 6 2 5 6" xfId="19583" xr:uid="{00000000-0005-0000-0000-0000AF4C0000}"/>
    <cellStyle name="Comma 2 2 6 2 5 7" xfId="19588" xr:uid="{00000000-0005-0000-0000-0000B44C0000}"/>
    <cellStyle name="Comma 2 2 6 2 5 8" xfId="19592" xr:uid="{00000000-0005-0000-0000-0000B84C0000}"/>
    <cellStyle name="Comma 2 2 6 2 5 9" xfId="19593" xr:uid="{00000000-0005-0000-0000-0000B94C0000}"/>
    <cellStyle name="Comma 2 2 6 2 6" xfId="12027" xr:uid="{00000000-0005-0000-0000-00002B2F0000}"/>
    <cellStyle name="Comma 2 2 6 2 6 2" xfId="19597" xr:uid="{00000000-0005-0000-0000-0000BD4C0000}"/>
    <cellStyle name="Comma 2 2 6 2 6 2 2" xfId="19600" xr:uid="{00000000-0005-0000-0000-0000C04C0000}"/>
    <cellStyle name="Comma 2 2 6 2 6 3" xfId="19604" xr:uid="{00000000-0005-0000-0000-0000C44C0000}"/>
    <cellStyle name="Comma 2 2 6 2 6 4" xfId="19610" xr:uid="{00000000-0005-0000-0000-0000CA4C0000}"/>
    <cellStyle name="Comma 2 2 6 2 6 5" xfId="9913" xr:uid="{00000000-0005-0000-0000-0000E9260000}"/>
    <cellStyle name="Comma 2 2 6 2 6 6" xfId="9919" xr:uid="{00000000-0005-0000-0000-0000EF260000}"/>
    <cellStyle name="Comma 2 2 6 2 6 7" xfId="9926" xr:uid="{00000000-0005-0000-0000-0000F6260000}"/>
    <cellStyle name="Comma 2 2 6 2 6 8" xfId="9932" xr:uid="{00000000-0005-0000-0000-0000FC260000}"/>
    <cellStyle name="Comma 2 2 6 2 6 9" xfId="4136" xr:uid="{00000000-0005-0000-0000-000058100000}"/>
    <cellStyle name="Comma 2 2 6 2 7" xfId="12029" xr:uid="{00000000-0005-0000-0000-00002D2F0000}"/>
    <cellStyle name="Comma 2 2 6 2 7 2" xfId="19616" xr:uid="{00000000-0005-0000-0000-0000D04C0000}"/>
    <cellStyle name="Comma 2 2 6 2 8" xfId="12031" xr:uid="{00000000-0005-0000-0000-00002F2F0000}"/>
    <cellStyle name="Comma 2 2 6 2 9" xfId="19617" xr:uid="{00000000-0005-0000-0000-0000D14C0000}"/>
    <cellStyle name="Comma 2 2 6 20" xfId="19480" xr:uid="{00000000-0005-0000-0000-0000484C0000}"/>
    <cellStyle name="Comma 2 2 6 21" xfId="19483" xr:uid="{00000000-0005-0000-0000-00004B4C0000}"/>
    <cellStyle name="Comma 2 2 6 22" xfId="19485" xr:uid="{00000000-0005-0000-0000-00004D4C0000}"/>
    <cellStyle name="Comma 2 2 6 23" xfId="19488" xr:uid="{00000000-0005-0000-0000-0000504C0000}"/>
    <cellStyle name="Comma 2 2 6 3" xfId="13053" xr:uid="{00000000-0005-0000-0000-00002D330000}"/>
    <cellStyle name="Comma 2 2 6 3 10" xfId="18438" xr:uid="{00000000-0005-0000-0000-000036480000}"/>
    <cellStyle name="Comma 2 2 6 3 11" xfId="18442" xr:uid="{00000000-0005-0000-0000-00003A480000}"/>
    <cellStyle name="Comma 2 2 6 3 12" xfId="18447" xr:uid="{00000000-0005-0000-0000-00003F480000}"/>
    <cellStyle name="Comma 2 2 6 3 13" xfId="18451" xr:uid="{00000000-0005-0000-0000-000043480000}"/>
    <cellStyle name="Comma 2 2 6 3 14" xfId="19620" xr:uid="{00000000-0005-0000-0000-0000D44C0000}"/>
    <cellStyle name="Comma 2 2 6 3 15" xfId="19623" xr:uid="{00000000-0005-0000-0000-0000D74C0000}"/>
    <cellStyle name="Comma 2 2 6 3 16" xfId="19626" xr:uid="{00000000-0005-0000-0000-0000DA4C0000}"/>
    <cellStyle name="Comma 2 2 6 3 17" xfId="19631" xr:uid="{00000000-0005-0000-0000-0000DF4C0000}"/>
    <cellStyle name="Comma 2 2 6 3 18" xfId="19637" xr:uid="{00000000-0005-0000-0000-0000E54C0000}"/>
    <cellStyle name="Comma 2 2 6 3 2" xfId="6281" xr:uid="{00000000-0005-0000-0000-0000B9180000}"/>
    <cellStyle name="Comma 2 2 6 3 2 10" xfId="17497" xr:uid="{00000000-0005-0000-0000-000089440000}"/>
    <cellStyle name="Comma 2 2 6 3 2 2" xfId="19638" xr:uid="{00000000-0005-0000-0000-0000E64C0000}"/>
    <cellStyle name="Comma 2 2 6 3 2 2 2" xfId="19642" xr:uid="{00000000-0005-0000-0000-0000EA4C0000}"/>
    <cellStyle name="Comma 2 2 6 3 2 3" xfId="19643" xr:uid="{00000000-0005-0000-0000-0000EB4C0000}"/>
    <cellStyle name="Comma 2 2 6 3 2 4" xfId="19647" xr:uid="{00000000-0005-0000-0000-0000EF4C0000}"/>
    <cellStyle name="Comma 2 2 6 3 2 5" xfId="19651" xr:uid="{00000000-0005-0000-0000-0000F34C0000}"/>
    <cellStyle name="Comma 2 2 6 3 2 6" xfId="19655" xr:uid="{00000000-0005-0000-0000-0000F74C0000}"/>
    <cellStyle name="Comma 2 2 6 3 2 7" xfId="19658" xr:uid="{00000000-0005-0000-0000-0000FA4C0000}"/>
    <cellStyle name="Comma 2 2 6 3 2 8" xfId="19660" xr:uid="{00000000-0005-0000-0000-0000FC4C0000}"/>
    <cellStyle name="Comma 2 2 6 3 2 9" xfId="19662" xr:uid="{00000000-0005-0000-0000-0000FE4C0000}"/>
    <cellStyle name="Comma 2 2 6 3 3" xfId="12040" xr:uid="{00000000-0005-0000-0000-0000382F0000}"/>
    <cellStyle name="Comma 2 2 6 3 3 2" xfId="19664" xr:uid="{00000000-0005-0000-0000-0000004D0000}"/>
    <cellStyle name="Comma 2 2 6 3 3 3" xfId="19667" xr:uid="{00000000-0005-0000-0000-0000034D0000}"/>
    <cellStyle name="Comma 2 2 6 3 3 4" xfId="16541" xr:uid="{00000000-0005-0000-0000-0000CD400000}"/>
    <cellStyle name="Comma 2 2 6 3 3 5" xfId="16545" xr:uid="{00000000-0005-0000-0000-0000D1400000}"/>
    <cellStyle name="Comma 2 2 6 3 3 6" xfId="16551" xr:uid="{00000000-0005-0000-0000-0000D7400000}"/>
    <cellStyle name="Comma 2 2 6 3 4" xfId="12043" xr:uid="{00000000-0005-0000-0000-00003B2F0000}"/>
    <cellStyle name="Comma 2 2 6 3 4 2" xfId="19669" xr:uid="{00000000-0005-0000-0000-0000054D0000}"/>
    <cellStyle name="Comma 2 2 6 3 4 3" xfId="19672" xr:uid="{00000000-0005-0000-0000-0000084D0000}"/>
    <cellStyle name="Comma 2 2 6 3 4 4" xfId="16560" xr:uid="{00000000-0005-0000-0000-0000E0400000}"/>
    <cellStyle name="Comma 2 2 6 3 4 5" xfId="16564" xr:uid="{00000000-0005-0000-0000-0000E4400000}"/>
    <cellStyle name="Comma 2 2 6 3 4 6" xfId="16569" xr:uid="{00000000-0005-0000-0000-0000E9400000}"/>
    <cellStyle name="Comma 2 2 6 3 5" xfId="12046" xr:uid="{00000000-0005-0000-0000-00003E2F0000}"/>
    <cellStyle name="Comma 2 2 6 3 5 2" xfId="19680" xr:uid="{00000000-0005-0000-0000-0000104D0000}"/>
    <cellStyle name="Comma 2 2 6 3 5 3" xfId="19687" xr:uid="{00000000-0005-0000-0000-0000174D0000}"/>
    <cellStyle name="Comma 2 2 6 3 5 4" xfId="16591" xr:uid="{00000000-0005-0000-0000-0000FF400000}"/>
    <cellStyle name="Comma 2 2 6 3 5 5" xfId="19692" xr:uid="{00000000-0005-0000-0000-00001C4D0000}"/>
    <cellStyle name="Comma 2 2 6 3 5 6" xfId="19696" xr:uid="{00000000-0005-0000-0000-0000204D0000}"/>
    <cellStyle name="Comma 2 2 6 3 6" xfId="19697" xr:uid="{00000000-0005-0000-0000-0000214D0000}"/>
    <cellStyle name="Comma 2 2 6 3 6 2" xfId="19703" xr:uid="{00000000-0005-0000-0000-0000274D0000}"/>
    <cellStyle name="Comma 2 2 6 3 6 3" xfId="19709" xr:uid="{00000000-0005-0000-0000-00002D4D0000}"/>
    <cellStyle name="Comma 2 2 6 3 6 4" xfId="19714" xr:uid="{00000000-0005-0000-0000-0000324D0000}"/>
    <cellStyle name="Comma 2 2 6 3 6 5" xfId="19719" xr:uid="{00000000-0005-0000-0000-0000374D0000}"/>
    <cellStyle name="Comma 2 2 6 3 6 6" xfId="19720" xr:uid="{00000000-0005-0000-0000-0000384D0000}"/>
    <cellStyle name="Comma 2 2 6 3 7" xfId="19721" xr:uid="{00000000-0005-0000-0000-0000394D0000}"/>
    <cellStyle name="Comma 2 2 6 3 8" xfId="19723" xr:uid="{00000000-0005-0000-0000-00003B4D0000}"/>
    <cellStyle name="Comma 2 2 6 3 9" xfId="14018" xr:uid="{00000000-0005-0000-0000-0000F2360000}"/>
    <cellStyle name="Comma 2 2 6 4" xfId="13056" xr:uid="{00000000-0005-0000-0000-000030330000}"/>
    <cellStyle name="Comma 2 2 6 4 10" xfId="8690" xr:uid="{00000000-0005-0000-0000-000022220000}"/>
    <cellStyle name="Comma 2 2 6 4 11" xfId="8697" xr:uid="{00000000-0005-0000-0000-000029220000}"/>
    <cellStyle name="Comma 2 2 6 4 12" xfId="11223" xr:uid="{00000000-0005-0000-0000-0000072C0000}"/>
    <cellStyle name="Comma 2 2 6 4 13" xfId="6580" xr:uid="{00000000-0005-0000-0000-0000E4190000}"/>
    <cellStyle name="Comma 2 2 6 4 14" xfId="19725" xr:uid="{00000000-0005-0000-0000-00003D4D0000}"/>
    <cellStyle name="Comma 2 2 6 4 15" xfId="19728" xr:uid="{00000000-0005-0000-0000-0000404D0000}"/>
    <cellStyle name="Comma 2 2 6 4 2" xfId="15141" xr:uid="{00000000-0005-0000-0000-0000553B0000}"/>
    <cellStyle name="Comma 2 2 6 4 2 2" xfId="19730" xr:uid="{00000000-0005-0000-0000-0000424D0000}"/>
    <cellStyle name="Comma 2 2 6 4 2 2 2" xfId="19734" xr:uid="{00000000-0005-0000-0000-0000464D0000}"/>
    <cellStyle name="Comma 2 2 6 4 2 3" xfId="11111" xr:uid="{00000000-0005-0000-0000-0000972B0000}"/>
    <cellStyle name="Comma 2 2 6 4 2 4" xfId="19737" xr:uid="{00000000-0005-0000-0000-0000494D0000}"/>
    <cellStyle name="Comma 2 2 6 4 2 5" xfId="19742" xr:uid="{00000000-0005-0000-0000-00004E4D0000}"/>
    <cellStyle name="Comma 2 2 6 4 2 6" xfId="19748" xr:uid="{00000000-0005-0000-0000-0000544D0000}"/>
    <cellStyle name="Comma 2 2 6 4 2 7" xfId="19753" xr:uid="{00000000-0005-0000-0000-0000594D0000}"/>
    <cellStyle name="Comma 2 2 6 4 2 8" xfId="19758" xr:uid="{00000000-0005-0000-0000-00005E4D0000}"/>
    <cellStyle name="Comma 2 2 6 4 2 9" xfId="19761" xr:uid="{00000000-0005-0000-0000-0000614D0000}"/>
    <cellStyle name="Comma 2 2 6 4 3" xfId="15144" xr:uid="{00000000-0005-0000-0000-0000583B0000}"/>
    <cellStyle name="Comma 2 2 6 4 3 2" xfId="19762" xr:uid="{00000000-0005-0000-0000-0000624D0000}"/>
    <cellStyle name="Comma 2 2 6 4 3 3" xfId="19764" xr:uid="{00000000-0005-0000-0000-0000644D0000}"/>
    <cellStyle name="Comma 2 2 6 4 3 4" xfId="16635" xr:uid="{00000000-0005-0000-0000-00002B410000}"/>
    <cellStyle name="Comma 2 2 6 4 3 5" xfId="13498" xr:uid="{00000000-0005-0000-0000-0000EA340000}"/>
    <cellStyle name="Comma 2 2 6 4 3 6" xfId="19769" xr:uid="{00000000-0005-0000-0000-0000694D0000}"/>
    <cellStyle name="Comma 2 2 6 4 4" xfId="19771" xr:uid="{00000000-0005-0000-0000-00006B4D0000}"/>
    <cellStyle name="Comma 2 2 6 4 4 2" xfId="19773" xr:uid="{00000000-0005-0000-0000-00006D4D0000}"/>
    <cellStyle name="Comma 2 2 6 4 5" xfId="19774" xr:uid="{00000000-0005-0000-0000-00006E4D0000}"/>
    <cellStyle name="Comma 2 2 6 4 6" xfId="18766" xr:uid="{00000000-0005-0000-0000-00007E490000}"/>
    <cellStyle name="Comma 2 2 6 4 7" xfId="10940" xr:uid="{00000000-0005-0000-0000-0000EC2A0000}"/>
    <cellStyle name="Comma 2 2 6 4 8" xfId="2572" xr:uid="{00000000-0005-0000-0000-00003C0A0000}"/>
    <cellStyle name="Comma 2 2 6 4 9" xfId="2583" xr:uid="{00000000-0005-0000-0000-0000470A0000}"/>
    <cellStyle name="Comma 2 2 6 5" xfId="13060" xr:uid="{00000000-0005-0000-0000-000034330000}"/>
    <cellStyle name="Comma 2 2 6 5 10" xfId="19783" xr:uid="{00000000-0005-0000-0000-0000774D0000}"/>
    <cellStyle name="Comma 2 2 6 5 11" xfId="19790" xr:uid="{00000000-0005-0000-0000-00007E4D0000}"/>
    <cellStyle name="Comma 2 2 6 5 12" xfId="19796" xr:uid="{00000000-0005-0000-0000-0000844D0000}"/>
    <cellStyle name="Comma 2 2 6 5 13" xfId="19240" xr:uid="{00000000-0005-0000-0000-0000584B0000}"/>
    <cellStyle name="Comma 2 2 6 5 14" xfId="19246" xr:uid="{00000000-0005-0000-0000-00005E4B0000}"/>
    <cellStyle name="Comma 2 2 6 5 2" xfId="15159" xr:uid="{00000000-0005-0000-0000-0000673B0000}"/>
    <cellStyle name="Comma 2 2 6 5 2 2" xfId="19797" xr:uid="{00000000-0005-0000-0000-0000854D0000}"/>
    <cellStyle name="Comma 2 2 6 5 2 2 2" xfId="19798" xr:uid="{00000000-0005-0000-0000-0000864D0000}"/>
    <cellStyle name="Comma 2 2 6 5 2 3" xfId="19799" xr:uid="{00000000-0005-0000-0000-0000874D0000}"/>
    <cellStyle name="Comma 2 2 6 5 2 4" xfId="19801" xr:uid="{00000000-0005-0000-0000-0000894D0000}"/>
    <cellStyle name="Comma 2 2 6 5 2 5" xfId="19803" xr:uid="{00000000-0005-0000-0000-00008B4D0000}"/>
    <cellStyle name="Comma 2 2 6 5 2 6" xfId="19805" xr:uid="{00000000-0005-0000-0000-00008D4D0000}"/>
    <cellStyle name="Comma 2 2 6 5 2 7" xfId="19807" xr:uid="{00000000-0005-0000-0000-00008F4D0000}"/>
    <cellStyle name="Comma 2 2 6 5 2 8" xfId="19809" xr:uid="{00000000-0005-0000-0000-0000914D0000}"/>
    <cellStyle name="Comma 2 2 6 5 2 9" xfId="19811" xr:uid="{00000000-0005-0000-0000-0000934D0000}"/>
    <cellStyle name="Comma 2 2 6 5 3" xfId="15161" xr:uid="{00000000-0005-0000-0000-0000693B0000}"/>
    <cellStyle name="Comma 2 2 6 5 3 2" xfId="19812" xr:uid="{00000000-0005-0000-0000-0000944D0000}"/>
    <cellStyle name="Comma 2 2 6 5 3 3" xfId="19813" xr:uid="{00000000-0005-0000-0000-0000954D0000}"/>
    <cellStyle name="Comma 2 2 6 5 3 4" xfId="19815" xr:uid="{00000000-0005-0000-0000-0000974D0000}"/>
    <cellStyle name="Comma 2 2 6 5 3 5" xfId="19818" xr:uid="{00000000-0005-0000-0000-00009A4D0000}"/>
    <cellStyle name="Comma 2 2 6 5 3 6" xfId="19821" xr:uid="{00000000-0005-0000-0000-00009D4D0000}"/>
    <cellStyle name="Comma 2 2 6 5 4" xfId="19822" xr:uid="{00000000-0005-0000-0000-00009E4D0000}"/>
    <cellStyle name="Comma 2 2 6 5 4 2" xfId="19825" xr:uid="{00000000-0005-0000-0000-0000A14D0000}"/>
    <cellStyle name="Comma 2 2 6 5 5" xfId="11821" xr:uid="{00000000-0005-0000-0000-00005D2E0000}"/>
    <cellStyle name="Comma 2 2 6 5 6" xfId="11830" xr:uid="{00000000-0005-0000-0000-0000662E0000}"/>
    <cellStyle name="Comma 2 2 6 5 7" xfId="10963" xr:uid="{00000000-0005-0000-0000-0000032B0000}"/>
    <cellStyle name="Comma 2 2 6 5 8" xfId="2613" xr:uid="{00000000-0005-0000-0000-0000650A0000}"/>
    <cellStyle name="Comma 2 2 6 5 9" xfId="18776" xr:uid="{00000000-0005-0000-0000-000088490000}"/>
    <cellStyle name="Comma 2 2 6 6" xfId="13062" xr:uid="{00000000-0005-0000-0000-000036330000}"/>
    <cellStyle name="Comma 2 2 6 6 10" xfId="19830" xr:uid="{00000000-0005-0000-0000-0000A64D0000}"/>
    <cellStyle name="Comma 2 2 6 6 11" xfId="19833" xr:uid="{00000000-0005-0000-0000-0000A94D0000}"/>
    <cellStyle name="Comma 2 2 6 6 12" xfId="19836" xr:uid="{00000000-0005-0000-0000-0000AC4D0000}"/>
    <cellStyle name="Comma 2 2 6 6 2" xfId="3651" xr:uid="{00000000-0005-0000-0000-0000730E0000}"/>
    <cellStyle name="Comma 2 2 6 6 2 2" xfId="19837" xr:uid="{00000000-0005-0000-0000-0000AD4D0000}"/>
    <cellStyle name="Comma 2 2 6 6 2 2 2" xfId="19838" xr:uid="{00000000-0005-0000-0000-0000AE4D0000}"/>
    <cellStyle name="Comma 2 2 6 6 2 3" xfId="19839" xr:uid="{00000000-0005-0000-0000-0000AF4D0000}"/>
    <cellStyle name="Comma 2 2 6 6 2 4" xfId="19841" xr:uid="{00000000-0005-0000-0000-0000B14D0000}"/>
    <cellStyle name="Comma 2 2 6 6 2 5" xfId="19842" xr:uid="{00000000-0005-0000-0000-0000B24D0000}"/>
    <cellStyle name="Comma 2 2 6 6 2 6" xfId="19843" xr:uid="{00000000-0005-0000-0000-0000B34D0000}"/>
    <cellStyle name="Comma 2 2 6 6 2 7" xfId="19844" xr:uid="{00000000-0005-0000-0000-0000B44D0000}"/>
    <cellStyle name="Comma 2 2 6 6 2 8" xfId="19848" xr:uid="{00000000-0005-0000-0000-0000B84D0000}"/>
    <cellStyle name="Comma 2 2 6 6 2 9" xfId="19850" xr:uid="{00000000-0005-0000-0000-0000BA4D0000}"/>
    <cellStyle name="Comma 2 2 6 6 3" xfId="7488" xr:uid="{00000000-0005-0000-0000-0000701D0000}"/>
    <cellStyle name="Comma 2 2 6 6 3 2" xfId="19851" xr:uid="{00000000-0005-0000-0000-0000BB4D0000}"/>
    <cellStyle name="Comma 2 2 6 6 3 3" xfId="19852" xr:uid="{00000000-0005-0000-0000-0000BC4D0000}"/>
    <cellStyle name="Comma 2 2 6 6 3 4" xfId="19853" xr:uid="{00000000-0005-0000-0000-0000BD4D0000}"/>
    <cellStyle name="Comma 2 2 6 6 3 5" xfId="19855" xr:uid="{00000000-0005-0000-0000-0000BF4D0000}"/>
    <cellStyle name="Comma 2 2 6 6 3 6" xfId="19857" xr:uid="{00000000-0005-0000-0000-0000C14D0000}"/>
    <cellStyle name="Comma 2 2 6 6 4" xfId="7493" xr:uid="{00000000-0005-0000-0000-0000751D0000}"/>
    <cellStyle name="Comma 2 2 6 6 4 2" xfId="19859" xr:uid="{00000000-0005-0000-0000-0000C34D0000}"/>
    <cellStyle name="Comma 2 2 6 6 5" xfId="7703" xr:uid="{00000000-0005-0000-0000-0000471E0000}"/>
    <cellStyle name="Comma 2 2 6 6 6" xfId="3237" xr:uid="{00000000-0005-0000-0000-0000D50C0000}"/>
    <cellStyle name="Comma 2 2 6 6 7" xfId="7708" xr:uid="{00000000-0005-0000-0000-00004C1E0000}"/>
    <cellStyle name="Comma 2 2 6 6 8" xfId="2628" xr:uid="{00000000-0005-0000-0000-0000740A0000}"/>
    <cellStyle name="Comma 2 2 6 6 9" xfId="11168" xr:uid="{00000000-0005-0000-0000-0000D02B0000}"/>
    <cellStyle name="Comma 2 2 6 7" xfId="19860" xr:uid="{00000000-0005-0000-0000-0000C44D0000}"/>
    <cellStyle name="Comma 2 2 6 7 2" xfId="2365" xr:uid="{00000000-0005-0000-0000-00006D090000}"/>
    <cellStyle name="Comma 2 2 6 7 2 2" xfId="19861" xr:uid="{00000000-0005-0000-0000-0000C54D0000}"/>
    <cellStyle name="Comma 2 2 6 7 3" xfId="7500" xr:uid="{00000000-0005-0000-0000-00007C1D0000}"/>
    <cellStyle name="Comma 2 2 6 7 4" xfId="7507" xr:uid="{00000000-0005-0000-0000-0000831D0000}"/>
    <cellStyle name="Comma 2 2 6 7 5" xfId="7719" xr:uid="{00000000-0005-0000-0000-0000571E0000}"/>
    <cellStyle name="Comma 2 2 6 7 6" xfId="11221" xr:uid="{00000000-0005-0000-0000-0000052C0000}"/>
    <cellStyle name="Comma 2 2 6 7 7" xfId="11228" xr:uid="{00000000-0005-0000-0000-00000C2C0000}"/>
    <cellStyle name="Comma 2 2 6 7 8" xfId="11237" xr:uid="{00000000-0005-0000-0000-0000152C0000}"/>
    <cellStyle name="Comma 2 2 6 7 9" xfId="11249" xr:uid="{00000000-0005-0000-0000-0000212C0000}"/>
    <cellStyle name="Comma 2 2 6 8" xfId="19862" xr:uid="{00000000-0005-0000-0000-0000C64D0000}"/>
    <cellStyle name="Comma 2 2 6 8 2" xfId="2494" xr:uid="{00000000-0005-0000-0000-0000EE090000}"/>
    <cellStyle name="Comma 2 2 6 8 3" xfId="800" xr:uid="{00000000-0005-0000-0000-000050030000}"/>
    <cellStyle name="Comma 2 2 6 8 4" xfId="996" xr:uid="{00000000-0005-0000-0000-000014040000}"/>
    <cellStyle name="Comma 2 2 6 8 5" xfId="1030" xr:uid="{00000000-0005-0000-0000-000036040000}"/>
    <cellStyle name="Comma 2 2 6 8 6" xfId="9736" xr:uid="{00000000-0005-0000-0000-000038260000}"/>
    <cellStyle name="Comma 2 2 6 9" xfId="19863" xr:uid="{00000000-0005-0000-0000-0000C74D0000}"/>
    <cellStyle name="Comma 2 2 6 9 2" xfId="3986" xr:uid="{00000000-0005-0000-0000-0000C20F0000}"/>
    <cellStyle name="Comma 2 2 6 9 3" xfId="1140" xr:uid="{00000000-0005-0000-0000-0000A4040000}"/>
    <cellStyle name="Comma 2 2 6 9 4" xfId="1183" xr:uid="{00000000-0005-0000-0000-0000CF040000}"/>
    <cellStyle name="Comma 2 2 6 9 5" xfId="1205" xr:uid="{00000000-0005-0000-0000-0000E5040000}"/>
    <cellStyle name="Comma 2 2 6 9 6" xfId="9769" xr:uid="{00000000-0005-0000-0000-000059260000}"/>
    <cellStyle name="Comma 2 2 7" xfId="13065" xr:uid="{00000000-0005-0000-0000-000039330000}"/>
    <cellStyle name="Comma 2 2 7 10" xfId="5822" xr:uid="{00000000-0005-0000-0000-0000EE160000}"/>
    <cellStyle name="Comma 2 2 7 10 2" xfId="19864" xr:uid="{00000000-0005-0000-0000-0000C84D0000}"/>
    <cellStyle name="Comma 2 2 7 10 3" xfId="19865" xr:uid="{00000000-0005-0000-0000-0000C94D0000}"/>
    <cellStyle name="Comma 2 2 7 10 4" xfId="2785" xr:uid="{00000000-0005-0000-0000-0000110B0000}"/>
    <cellStyle name="Comma 2 2 7 10 5" xfId="19866" xr:uid="{00000000-0005-0000-0000-0000CA4D0000}"/>
    <cellStyle name="Comma 2 2 7 10 6" xfId="19869" xr:uid="{00000000-0005-0000-0000-0000CD4D0000}"/>
    <cellStyle name="Comma 2 2 7 11" xfId="6473" xr:uid="{00000000-0005-0000-0000-000079190000}"/>
    <cellStyle name="Comma 2 2 7 11 2" xfId="19871" xr:uid="{00000000-0005-0000-0000-0000CF4D0000}"/>
    <cellStyle name="Comma 2 2 7 11 3" xfId="19873" xr:uid="{00000000-0005-0000-0000-0000D14D0000}"/>
    <cellStyle name="Comma 2 2 7 11 4" xfId="2867" xr:uid="{00000000-0005-0000-0000-0000630B0000}"/>
    <cellStyle name="Comma 2 2 7 11 5" xfId="15573" xr:uid="{00000000-0005-0000-0000-0000053D0000}"/>
    <cellStyle name="Comma 2 2 7 11 6" xfId="15576" xr:uid="{00000000-0005-0000-0000-0000083D0000}"/>
    <cellStyle name="Comma 2 2 7 12" xfId="424" xr:uid="{00000000-0005-0000-0000-0000C3010000}"/>
    <cellStyle name="Comma 2 2 7 13" xfId="19874" xr:uid="{00000000-0005-0000-0000-0000D24D0000}"/>
    <cellStyle name="Comma 2 2 7 14" xfId="15944" xr:uid="{00000000-0005-0000-0000-0000783E0000}"/>
    <cellStyle name="Comma 2 2 7 15" xfId="15950" xr:uid="{00000000-0005-0000-0000-00007E3E0000}"/>
    <cellStyle name="Comma 2 2 7 16" xfId="15955" xr:uid="{00000000-0005-0000-0000-0000833E0000}"/>
    <cellStyle name="Comma 2 2 7 17" xfId="15960" xr:uid="{00000000-0005-0000-0000-0000883E0000}"/>
    <cellStyle name="Comma 2 2 7 18" xfId="15967" xr:uid="{00000000-0005-0000-0000-00008F3E0000}"/>
    <cellStyle name="Comma 2 2 7 19" xfId="19875" xr:uid="{00000000-0005-0000-0000-0000D34D0000}"/>
    <cellStyle name="Comma 2 2 7 2" xfId="13068" xr:uid="{00000000-0005-0000-0000-00003C330000}"/>
    <cellStyle name="Comma 2 2 7 2 10" xfId="19879" xr:uid="{00000000-0005-0000-0000-0000D74D0000}"/>
    <cellStyle name="Comma 2 2 7 2 11" xfId="19881" xr:uid="{00000000-0005-0000-0000-0000D94D0000}"/>
    <cellStyle name="Comma 2 2 7 2 12" xfId="19883" xr:uid="{00000000-0005-0000-0000-0000DB4D0000}"/>
    <cellStyle name="Comma 2 2 7 2 13" xfId="17285" xr:uid="{00000000-0005-0000-0000-0000B5430000}"/>
    <cellStyle name="Comma 2 2 7 2 14" xfId="13838" xr:uid="{00000000-0005-0000-0000-00003E360000}"/>
    <cellStyle name="Comma 2 2 7 2 15" xfId="4327" xr:uid="{00000000-0005-0000-0000-000017110000}"/>
    <cellStyle name="Comma 2 2 7 2 16" xfId="7543" xr:uid="{00000000-0005-0000-0000-0000A71D0000}"/>
    <cellStyle name="Comma 2 2 7 2 17" xfId="309" xr:uid="{00000000-0005-0000-0000-000049010000}"/>
    <cellStyle name="Comma 2 2 7 2 18" xfId="181" xr:uid="{00000000-0005-0000-0000-0000C2000000}"/>
    <cellStyle name="Comma 2 2 7 2 2" xfId="15499" xr:uid="{00000000-0005-0000-0000-0000BB3C0000}"/>
    <cellStyle name="Comma 2 2 7 2 2 10" xfId="19884" xr:uid="{00000000-0005-0000-0000-0000DC4D0000}"/>
    <cellStyle name="Comma 2 2 7 2 2 11" xfId="19886" xr:uid="{00000000-0005-0000-0000-0000DE4D0000}"/>
    <cellStyle name="Comma 2 2 7 2 2 12" xfId="19887" xr:uid="{00000000-0005-0000-0000-0000DF4D0000}"/>
    <cellStyle name="Comma 2 2 7 2 2 2" xfId="19892" xr:uid="{00000000-0005-0000-0000-0000E44D0000}"/>
    <cellStyle name="Comma 2 2 7 2 2 2 2" xfId="19894" xr:uid="{00000000-0005-0000-0000-0000E64D0000}"/>
    <cellStyle name="Comma 2 2 7 2 2 2 2 2" xfId="16177" xr:uid="{00000000-0005-0000-0000-0000613F0000}"/>
    <cellStyle name="Comma 2 2 7 2 2 2 3" xfId="19897" xr:uid="{00000000-0005-0000-0000-0000E94D0000}"/>
    <cellStyle name="Comma 2 2 7 2 2 2 4" xfId="19902" xr:uid="{00000000-0005-0000-0000-0000EE4D0000}"/>
    <cellStyle name="Comma 2 2 7 2 2 2 5" xfId="7280" xr:uid="{00000000-0005-0000-0000-0000A01C0000}"/>
    <cellStyle name="Comma 2 2 7 2 2 3" xfId="19907" xr:uid="{00000000-0005-0000-0000-0000F34D0000}"/>
    <cellStyle name="Comma 2 2 7 2 2 3 2" xfId="8592" xr:uid="{00000000-0005-0000-0000-0000C0210000}"/>
    <cellStyle name="Comma 2 2 7 2 2 4" xfId="19915" xr:uid="{00000000-0005-0000-0000-0000FB4D0000}"/>
    <cellStyle name="Comma 2 2 7 2 2 5" xfId="19920" xr:uid="{00000000-0005-0000-0000-0000004E0000}"/>
    <cellStyle name="Comma 2 2 7 2 2 6" xfId="19928" xr:uid="{00000000-0005-0000-0000-0000084E0000}"/>
    <cellStyle name="Comma 2 2 7 2 2 7" xfId="19934" xr:uid="{00000000-0005-0000-0000-00000E4E0000}"/>
    <cellStyle name="Comma 2 2 7 2 2 8" xfId="19940" xr:uid="{00000000-0005-0000-0000-0000144E0000}"/>
    <cellStyle name="Comma 2 2 7 2 2 9" xfId="19943" xr:uid="{00000000-0005-0000-0000-0000174E0000}"/>
    <cellStyle name="Comma 2 2 7 2 3" xfId="15506" xr:uid="{00000000-0005-0000-0000-0000C23C0000}"/>
    <cellStyle name="Comma 2 2 7 2 3 10" xfId="19945" xr:uid="{00000000-0005-0000-0000-0000194E0000}"/>
    <cellStyle name="Comma 2 2 7 2 3 11" xfId="19946" xr:uid="{00000000-0005-0000-0000-00001A4E0000}"/>
    <cellStyle name="Comma 2 2 7 2 3 12" xfId="19949" xr:uid="{00000000-0005-0000-0000-00001D4E0000}"/>
    <cellStyle name="Comma 2 2 7 2 3 2" xfId="19955" xr:uid="{00000000-0005-0000-0000-0000234E0000}"/>
    <cellStyle name="Comma 2 2 7 2 3 2 2" xfId="19956" xr:uid="{00000000-0005-0000-0000-0000244E0000}"/>
    <cellStyle name="Comma 2 2 7 2 3 2 2 2" xfId="12266" xr:uid="{00000000-0005-0000-0000-00001A300000}"/>
    <cellStyle name="Comma 2 2 7 2 3 2 3" xfId="19958" xr:uid="{00000000-0005-0000-0000-0000264E0000}"/>
    <cellStyle name="Comma 2 2 7 2 3 2 4" xfId="19960" xr:uid="{00000000-0005-0000-0000-0000284E0000}"/>
    <cellStyle name="Comma 2 2 7 2 3 2 5" xfId="7341" xr:uid="{00000000-0005-0000-0000-0000DD1C0000}"/>
    <cellStyle name="Comma 2 2 7 2 3 3" xfId="19965" xr:uid="{00000000-0005-0000-0000-00002D4E0000}"/>
    <cellStyle name="Comma 2 2 7 2 3 3 2" xfId="12496" xr:uid="{00000000-0005-0000-0000-000000310000}"/>
    <cellStyle name="Comma 2 2 7 2 3 4" xfId="16935" xr:uid="{00000000-0005-0000-0000-000057420000}"/>
    <cellStyle name="Comma 2 2 7 2 3 5" xfId="12541" xr:uid="{00000000-0005-0000-0000-00002D310000}"/>
    <cellStyle name="Comma 2 2 7 2 3 6" xfId="16939" xr:uid="{00000000-0005-0000-0000-00005B420000}"/>
    <cellStyle name="Comma 2 2 7 2 3 7" xfId="16943" xr:uid="{00000000-0005-0000-0000-00005F420000}"/>
    <cellStyle name="Comma 2 2 7 2 3 8" xfId="16947" xr:uid="{00000000-0005-0000-0000-000063420000}"/>
    <cellStyle name="Comma 2 2 7 2 3 9" xfId="16952" xr:uid="{00000000-0005-0000-0000-000068420000}"/>
    <cellStyle name="Comma 2 2 7 2 4" xfId="19967" xr:uid="{00000000-0005-0000-0000-00002F4E0000}"/>
    <cellStyle name="Comma 2 2 7 2 4 10" xfId="12336" xr:uid="{00000000-0005-0000-0000-000060300000}"/>
    <cellStyle name="Comma 2 2 7 2 4 2" xfId="8876" xr:uid="{00000000-0005-0000-0000-0000DC220000}"/>
    <cellStyle name="Comma 2 2 7 2 4 2 2" xfId="14555" xr:uid="{00000000-0005-0000-0000-00000B390000}"/>
    <cellStyle name="Comma 2 2 7 2 4 2 2 2" xfId="15886" xr:uid="{00000000-0005-0000-0000-00003E3E0000}"/>
    <cellStyle name="Comma 2 2 7 2 4 2 3" xfId="14559" xr:uid="{00000000-0005-0000-0000-00000F390000}"/>
    <cellStyle name="Comma 2 2 7 2 4 2 4" xfId="14562" xr:uid="{00000000-0005-0000-0000-000012390000}"/>
    <cellStyle name="Comma 2 2 7 2 4 2 5" xfId="14566" xr:uid="{00000000-0005-0000-0000-000016390000}"/>
    <cellStyle name="Comma 2 2 7 2 4 3" xfId="8881" xr:uid="{00000000-0005-0000-0000-0000E1220000}"/>
    <cellStyle name="Comma 2 2 7 2 4 3 2" xfId="19969" xr:uid="{00000000-0005-0000-0000-0000314E0000}"/>
    <cellStyle name="Comma 2 2 7 2 4 4" xfId="8890" xr:uid="{00000000-0005-0000-0000-0000EA220000}"/>
    <cellStyle name="Comma 2 2 7 2 4 5" xfId="8899" xr:uid="{00000000-0005-0000-0000-0000F3220000}"/>
    <cellStyle name="Comma 2 2 7 2 4 6" xfId="8911" xr:uid="{00000000-0005-0000-0000-0000FF220000}"/>
    <cellStyle name="Comma 2 2 7 2 4 7" xfId="12291" xr:uid="{00000000-0005-0000-0000-000033300000}"/>
    <cellStyle name="Comma 2 2 7 2 4 8" xfId="12299" xr:uid="{00000000-0005-0000-0000-00003B300000}"/>
    <cellStyle name="Comma 2 2 7 2 4 9" xfId="12303" xr:uid="{00000000-0005-0000-0000-00003F300000}"/>
    <cellStyle name="Comma 2 2 7 2 5" xfId="19970" xr:uid="{00000000-0005-0000-0000-0000324E0000}"/>
    <cellStyle name="Comma 2 2 7 2 5 10" xfId="19971" xr:uid="{00000000-0005-0000-0000-0000334E0000}"/>
    <cellStyle name="Comma 2 2 7 2 5 2" xfId="19978" xr:uid="{00000000-0005-0000-0000-00003A4E0000}"/>
    <cellStyle name="Comma 2 2 7 2 5 2 2" xfId="19984" xr:uid="{00000000-0005-0000-0000-0000404E0000}"/>
    <cellStyle name="Comma 2 2 7 2 5 2 2 2" xfId="17484" xr:uid="{00000000-0005-0000-0000-00007C440000}"/>
    <cellStyle name="Comma 2 2 7 2 5 2 3" xfId="19987" xr:uid="{00000000-0005-0000-0000-0000434E0000}"/>
    <cellStyle name="Comma 2 2 7 2 5 2 4" xfId="19990" xr:uid="{00000000-0005-0000-0000-0000464E0000}"/>
    <cellStyle name="Comma 2 2 7 2 5 2 5" xfId="19993" xr:uid="{00000000-0005-0000-0000-0000494E0000}"/>
    <cellStyle name="Comma 2 2 7 2 5 3" xfId="19999" xr:uid="{00000000-0005-0000-0000-00004F4E0000}"/>
    <cellStyle name="Comma 2 2 7 2 5 3 2" xfId="20003" xr:uid="{00000000-0005-0000-0000-0000534E0000}"/>
    <cellStyle name="Comma 2 2 7 2 5 4" xfId="16971" xr:uid="{00000000-0005-0000-0000-00007B420000}"/>
    <cellStyle name="Comma 2 2 7 2 5 5" xfId="20009" xr:uid="{00000000-0005-0000-0000-0000594E0000}"/>
    <cellStyle name="Comma 2 2 7 2 5 6" xfId="20014" xr:uid="{00000000-0005-0000-0000-00005E4E0000}"/>
    <cellStyle name="Comma 2 2 7 2 5 7" xfId="20020" xr:uid="{00000000-0005-0000-0000-0000644E0000}"/>
    <cellStyle name="Comma 2 2 7 2 5 8" xfId="20026" xr:uid="{00000000-0005-0000-0000-00006A4E0000}"/>
    <cellStyle name="Comma 2 2 7 2 5 9" xfId="20028" xr:uid="{00000000-0005-0000-0000-00006C4E0000}"/>
    <cellStyle name="Comma 2 2 7 2 6" xfId="20029" xr:uid="{00000000-0005-0000-0000-00006D4E0000}"/>
    <cellStyle name="Comma 2 2 7 2 6 2" xfId="20034" xr:uid="{00000000-0005-0000-0000-0000724E0000}"/>
    <cellStyle name="Comma 2 2 7 2 6 2 2" xfId="20036" xr:uid="{00000000-0005-0000-0000-0000744E0000}"/>
    <cellStyle name="Comma 2 2 7 2 6 3" xfId="20042" xr:uid="{00000000-0005-0000-0000-00007A4E0000}"/>
    <cellStyle name="Comma 2 2 7 2 6 4" xfId="20048" xr:uid="{00000000-0005-0000-0000-0000804E0000}"/>
    <cellStyle name="Comma 2 2 7 2 6 5" xfId="20053" xr:uid="{00000000-0005-0000-0000-0000854E0000}"/>
    <cellStyle name="Comma 2 2 7 2 6 6" xfId="20054" xr:uid="{00000000-0005-0000-0000-0000864E0000}"/>
    <cellStyle name="Comma 2 2 7 2 6 7" xfId="20055" xr:uid="{00000000-0005-0000-0000-0000874E0000}"/>
    <cellStyle name="Comma 2 2 7 2 6 8" xfId="20056" xr:uid="{00000000-0005-0000-0000-0000884E0000}"/>
    <cellStyle name="Comma 2 2 7 2 6 9" xfId="20057" xr:uid="{00000000-0005-0000-0000-0000894E0000}"/>
    <cellStyle name="Comma 2 2 7 2 7" xfId="20058" xr:uid="{00000000-0005-0000-0000-00008A4E0000}"/>
    <cellStyle name="Comma 2 2 7 2 7 2" xfId="6742" xr:uid="{00000000-0005-0000-0000-0000861A0000}"/>
    <cellStyle name="Comma 2 2 7 2 8" xfId="20060" xr:uid="{00000000-0005-0000-0000-00008C4E0000}"/>
    <cellStyle name="Comma 2 2 7 2 9" xfId="16140" xr:uid="{00000000-0005-0000-0000-00003C3F0000}"/>
    <cellStyle name="Comma 2 2 7 20" xfId="15949" xr:uid="{00000000-0005-0000-0000-00007D3E0000}"/>
    <cellStyle name="Comma 2 2 7 21" xfId="15954" xr:uid="{00000000-0005-0000-0000-0000823E0000}"/>
    <cellStyle name="Comma 2 2 7 22" xfId="15959" xr:uid="{00000000-0005-0000-0000-0000873E0000}"/>
    <cellStyle name="Comma 2 2 7 23" xfId="15966" xr:uid="{00000000-0005-0000-0000-00008E3E0000}"/>
    <cellStyle name="Comma 2 2 7 3" xfId="13071" xr:uid="{00000000-0005-0000-0000-00003F330000}"/>
    <cellStyle name="Comma 2 2 7 3 10" xfId="1580" xr:uid="{00000000-0005-0000-0000-00005C060000}"/>
    <cellStyle name="Comma 2 2 7 3 11" xfId="4205" xr:uid="{00000000-0005-0000-0000-00009D100000}"/>
    <cellStyle name="Comma 2 2 7 3 12" xfId="5191" xr:uid="{00000000-0005-0000-0000-000077140000}"/>
    <cellStyle name="Comma 2 2 7 3 13" xfId="4122" xr:uid="{00000000-0005-0000-0000-00004A100000}"/>
    <cellStyle name="Comma 2 2 7 3 14" xfId="5220" xr:uid="{00000000-0005-0000-0000-000094140000}"/>
    <cellStyle name="Comma 2 2 7 3 15" xfId="3503" xr:uid="{00000000-0005-0000-0000-0000DF0D0000}"/>
    <cellStyle name="Comma 2 2 7 3 16" xfId="5239" xr:uid="{00000000-0005-0000-0000-0000A7140000}"/>
    <cellStyle name="Comma 2 2 7 3 17" xfId="3929" xr:uid="{00000000-0005-0000-0000-0000890F0000}"/>
    <cellStyle name="Comma 2 2 7 3 18" xfId="20063" xr:uid="{00000000-0005-0000-0000-00008F4E0000}"/>
    <cellStyle name="Comma 2 2 7 3 2" xfId="15569" xr:uid="{00000000-0005-0000-0000-0000013D0000}"/>
    <cellStyle name="Comma 2 2 7 3 2 10" xfId="20064" xr:uid="{00000000-0005-0000-0000-0000904E0000}"/>
    <cellStyle name="Comma 2 2 7 3 2 2" xfId="20068" xr:uid="{00000000-0005-0000-0000-0000944E0000}"/>
    <cellStyle name="Comma 2 2 7 3 2 2 2" xfId="20071" xr:uid="{00000000-0005-0000-0000-0000974E0000}"/>
    <cellStyle name="Comma 2 2 7 3 2 3" xfId="20079" xr:uid="{00000000-0005-0000-0000-00009F4E0000}"/>
    <cellStyle name="Comma 2 2 7 3 2 4" xfId="20084" xr:uid="{00000000-0005-0000-0000-0000A44E0000}"/>
    <cellStyle name="Comma 2 2 7 3 2 5" xfId="20093" xr:uid="{00000000-0005-0000-0000-0000AD4E0000}"/>
    <cellStyle name="Comma 2 2 7 3 2 6" xfId="20101" xr:uid="{00000000-0005-0000-0000-0000B54E0000}"/>
    <cellStyle name="Comma 2 2 7 3 2 7" xfId="20109" xr:uid="{00000000-0005-0000-0000-0000BD4E0000}"/>
    <cellStyle name="Comma 2 2 7 3 2 8" xfId="20116" xr:uid="{00000000-0005-0000-0000-0000C44E0000}"/>
    <cellStyle name="Comma 2 2 7 3 2 9" xfId="20120" xr:uid="{00000000-0005-0000-0000-0000C84E0000}"/>
    <cellStyle name="Comma 2 2 7 3 3" xfId="15571" xr:uid="{00000000-0005-0000-0000-0000033D0000}"/>
    <cellStyle name="Comma 2 2 7 3 3 2" xfId="20124" xr:uid="{00000000-0005-0000-0000-0000CC4E0000}"/>
    <cellStyle name="Comma 2 2 7 3 3 3" xfId="20126" xr:uid="{00000000-0005-0000-0000-0000CE4E0000}"/>
    <cellStyle name="Comma 2 2 7 3 3 4" xfId="17009" xr:uid="{00000000-0005-0000-0000-0000A1420000}"/>
    <cellStyle name="Comma 2 2 7 3 3 5" xfId="17017" xr:uid="{00000000-0005-0000-0000-0000A9420000}"/>
    <cellStyle name="Comma 2 2 7 3 3 6" xfId="17024" xr:uid="{00000000-0005-0000-0000-0000B0420000}"/>
    <cellStyle name="Comma 2 2 7 3 4" xfId="20128" xr:uid="{00000000-0005-0000-0000-0000D04E0000}"/>
    <cellStyle name="Comma 2 2 7 3 4 2" xfId="9686" xr:uid="{00000000-0005-0000-0000-000006260000}"/>
    <cellStyle name="Comma 2 2 7 3 4 3" xfId="9692" xr:uid="{00000000-0005-0000-0000-00000C260000}"/>
    <cellStyle name="Comma 2 2 7 3 4 4" xfId="9697" xr:uid="{00000000-0005-0000-0000-000011260000}"/>
    <cellStyle name="Comma 2 2 7 3 4 5" xfId="9707" xr:uid="{00000000-0005-0000-0000-00001B260000}"/>
    <cellStyle name="Comma 2 2 7 3 4 6" xfId="17055" xr:uid="{00000000-0005-0000-0000-0000CF420000}"/>
    <cellStyle name="Comma 2 2 7 3 5" xfId="20130" xr:uid="{00000000-0005-0000-0000-0000D24E0000}"/>
    <cellStyle name="Comma 2 2 7 3 5 2" xfId="20133" xr:uid="{00000000-0005-0000-0000-0000D54E0000}"/>
    <cellStyle name="Comma 2 2 7 3 5 3" xfId="20135" xr:uid="{00000000-0005-0000-0000-0000D74E0000}"/>
    <cellStyle name="Comma 2 2 7 3 5 4" xfId="14629" xr:uid="{00000000-0005-0000-0000-000055390000}"/>
    <cellStyle name="Comma 2 2 7 3 5 5" xfId="20137" xr:uid="{00000000-0005-0000-0000-0000D94E0000}"/>
    <cellStyle name="Comma 2 2 7 3 5 6" xfId="20139" xr:uid="{00000000-0005-0000-0000-0000DB4E0000}"/>
    <cellStyle name="Comma 2 2 7 3 6" xfId="20140" xr:uid="{00000000-0005-0000-0000-0000DC4E0000}"/>
    <cellStyle name="Comma 2 2 7 3 6 2" xfId="20141" xr:uid="{00000000-0005-0000-0000-0000DD4E0000}"/>
    <cellStyle name="Comma 2 2 7 3 6 3" xfId="20142" xr:uid="{00000000-0005-0000-0000-0000DE4E0000}"/>
    <cellStyle name="Comma 2 2 7 3 6 4" xfId="20144" xr:uid="{00000000-0005-0000-0000-0000E04E0000}"/>
    <cellStyle name="Comma 2 2 7 3 6 5" xfId="20146" xr:uid="{00000000-0005-0000-0000-0000E24E0000}"/>
    <cellStyle name="Comma 2 2 7 3 6 6" xfId="20150" xr:uid="{00000000-0005-0000-0000-0000E64E0000}"/>
    <cellStyle name="Comma 2 2 7 3 7" xfId="20151" xr:uid="{00000000-0005-0000-0000-0000E74E0000}"/>
    <cellStyle name="Comma 2 2 7 3 8" xfId="20152" xr:uid="{00000000-0005-0000-0000-0000E84E0000}"/>
    <cellStyle name="Comma 2 2 7 3 9" xfId="16862" xr:uid="{00000000-0005-0000-0000-00000E420000}"/>
    <cellStyle name="Comma 2 2 7 4" xfId="13074" xr:uid="{00000000-0005-0000-0000-000042330000}"/>
    <cellStyle name="Comma 2 2 7 4 10" xfId="5316" xr:uid="{00000000-0005-0000-0000-0000F4140000}"/>
    <cellStyle name="Comma 2 2 7 4 11" xfId="2696" xr:uid="{00000000-0005-0000-0000-0000B80A0000}"/>
    <cellStyle name="Comma 2 2 7 4 12" xfId="2832" xr:uid="{00000000-0005-0000-0000-0000400B0000}"/>
    <cellStyle name="Comma 2 2 7 4 13" xfId="2883" xr:uid="{00000000-0005-0000-0000-0000730B0000}"/>
    <cellStyle name="Comma 2 2 7 4 14" xfId="20153" xr:uid="{00000000-0005-0000-0000-0000E94E0000}"/>
    <cellStyle name="Comma 2 2 7 4 15" xfId="20154" xr:uid="{00000000-0005-0000-0000-0000EA4E0000}"/>
    <cellStyle name="Comma 2 2 7 4 2" xfId="6097" xr:uid="{00000000-0005-0000-0000-000001180000}"/>
    <cellStyle name="Comma 2 2 7 4 2 2" xfId="6115" xr:uid="{00000000-0005-0000-0000-000013180000}"/>
    <cellStyle name="Comma 2 2 7 4 2 2 2" xfId="20155" xr:uid="{00000000-0005-0000-0000-0000EB4E0000}"/>
    <cellStyle name="Comma 2 2 7 4 2 3" xfId="20164" xr:uid="{00000000-0005-0000-0000-0000F44E0000}"/>
    <cellStyle name="Comma 2 2 7 4 2 4" xfId="20169" xr:uid="{00000000-0005-0000-0000-0000F94E0000}"/>
    <cellStyle name="Comma 2 2 7 4 2 5" xfId="20175" xr:uid="{00000000-0005-0000-0000-0000FF4E0000}"/>
    <cellStyle name="Comma 2 2 7 4 2 6" xfId="20180" xr:uid="{00000000-0005-0000-0000-0000044F0000}"/>
    <cellStyle name="Comma 2 2 7 4 2 7" xfId="20184" xr:uid="{00000000-0005-0000-0000-0000084F0000}"/>
    <cellStyle name="Comma 2 2 7 4 2 8" xfId="20189" xr:uid="{00000000-0005-0000-0000-00000D4F0000}"/>
    <cellStyle name="Comma 2 2 7 4 2 9" xfId="20192" xr:uid="{00000000-0005-0000-0000-0000104F0000}"/>
    <cellStyle name="Comma 2 2 7 4 3" xfId="6128" xr:uid="{00000000-0005-0000-0000-000020180000}"/>
    <cellStyle name="Comma 2 2 7 4 3 2" xfId="6145" xr:uid="{00000000-0005-0000-0000-000031180000}"/>
    <cellStyle name="Comma 2 2 7 4 3 3" xfId="20194" xr:uid="{00000000-0005-0000-0000-0000124F0000}"/>
    <cellStyle name="Comma 2 2 7 4 3 4" xfId="17095" xr:uid="{00000000-0005-0000-0000-0000F7420000}"/>
    <cellStyle name="Comma 2 2 7 4 3 5" xfId="16066" xr:uid="{00000000-0005-0000-0000-0000F23E0000}"/>
    <cellStyle name="Comma 2 2 7 4 3 6" xfId="16070" xr:uid="{00000000-0005-0000-0000-0000F63E0000}"/>
    <cellStyle name="Comma 2 2 7 4 4" xfId="6149" xr:uid="{00000000-0005-0000-0000-000035180000}"/>
    <cellStyle name="Comma 2 2 7 4 4 2" xfId="6161" xr:uid="{00000000-0005-0000-0000-000041180000}"/>
    <cellStyle name="Comma 2 2 7 4 5" xfId="6167" xr:uid="{00000000-0005-0000-0000-000047180000}"/>
    <cellStyle name="Comma 2 2 7 4 6" xfId="6176" xr:uid="{00000000-0005-0000-0000-000050180000}"/>
    <cellStyle name="Comma 2 2 7 4 7" xfId="20196" xr:uid="{00000000-0005-0000-0000-0000144F0000}"/>
    <cellStyle name="Comma 2 2 7 4 8" xfId="1655" xr:uid="{00000000-0005-0000-0000-0000A7060000}"/>
    <cellStyle name="Comma 2 2 7 4 9" xfId="779" xr:uid="{00000000-0005-0000-0000-00003B030000}"/>
    <cellStyle name="Comma 2 2 7 5" xfId="13077" xr:uid="{00000000-0005-0000-0000-000045330000}"/>
    <cellStyle name="Comma 2 2 7 5 10" xfId="20198" xr:uid="{00000000-0005-0000-0000-0000164F0000}"/>
    <cellStyle name="Comma 2 2 7 5 11" xfId="20201" xr:uid="{00000000-0005-0000-0000-0000194F0000}"/>
    <cellStyle name="Comma 2 2 7 5 12" xfId="5000" xr:uid="{00000000-0005-0000-0000-0000B8130000}"/>
    <cellStyle name="Comma 2 2 7 5 13" xfId="20202" xr:uid="{00000000-0005-0000-0000-00001A4F0000}"/>
    <cellStyle name="Comma 2 2 7 5 2" xfId="15659" xr:uid="{00000000-0005-0000-0000-00005B3D0000}"/>
    <cellStyle name="Comma 2 2 7 5 2 2" xfId="20205" xr:uid="{00000000-0005-0000-0000-00001D4F0000}"/>
    <cellStyle name="Comma 2 2 7 5 2 2 2" xfId="545" xr:uid="{00000000-0005-0000-0000-000045020000}"/>
    <cellStyle name="Comma 2 2 7 5 2 3" xfId="20208" xr:uid="{00000000-0005-0000-0000-0000204F0000}"/>
    <cellStyle name="Comma 2 2 7 5 2 4" xfId="20211" xr:uid="{00000000-0005-0000-0000-0000234F0000}"/>
    <cellStyle name="Comma 2 2 7 5 2 5" xfId="20214" xr:uid="{00000000-0005-0000-0000-0000264F0000}"/>
    <cellStyle name="Comma 2 2 7 5 2 6" xfId="20216" xr:uid="{00000000-0005-0000-0000-0000284F0000}"/>
    <cellStyle name="Comma 2 2 7 5 2 7" xfId="20218" xr:uid="{00000000-0005-0000-0000-00002A4F0000}"/>
    <cellStyle name="Comma 2 2 7 5 2 8" xfId="20221" xr:uid="{00000000-0005-0000-0000-00002D4F0000}"/>
    <cellStyle name="Comma 2 2 7 5 2 9" xfId="20223" xr:uid="{00000000-0005-0000-0000-00002F4F0000}"/>
    <cellStyle name="Comma 2 2 7 5 3" xfId="15661" xr:uid="{00000000-0005-0000-0000-00005D3D0000}"/>
    <cellStyle name="Comma 2 2 7 5 3 2" xfId="20227" xr:uid="{00000000-0005-0000-0000-0000334F0000}"/>
    <cellStyle name="Comma 2 2 7 5 3 3" xfId="20230" xr:uid="{00000000-0005-0000-0000-0000364F0000}"/>
    <cellStyle name="Comma 2 2 7 5 3 4" xfId="20233" xr:uid="{00000000-0005-0000-0000-0000394F0000}"/>
    <cellStyle name="Comma 2 2 7 5 3 5" xfId="20236" xr:uid="{00000000-0005-0000-0000-00003C4F0000}"/>
    <cellStyle name="Comma 2 2 7 5 3 6" xfId="20237" xr:uid="{00000000-0005-0000-0000-00003D4F0000}"/>
    <cellStyle name="Comma 2 2 7 5 4" xfId="20238" xr:uid="{00000000-0005-0000-0000-00003E4F0000}"/>
    <cellStyle name="Comma 2 2 7 5 4 2" xfId="20240" xr:uid="{00000000-0005-0000-0000-0000404F0000}"/>
    <cellStyle name="Comma 2 2 7 5 5" xfId="10219" xr:uid="{00000000-0005-0000-0000-00001B280000}"/>
    <cellStyle name="Comma 2 2 7 5 6" xfId="10227" xr:uid="{00000000-0005-0000-0000-000023280000}"/>
    <cellStyle name="Comma 2 2 7 5 7" xfId="1921" xr:uid="{00000000-0005-0000-0000-0000B1070000}"/>
    <cellStyle name="Comma 2 2 7 5 8" xfId="2545" xr:uid="{00000000-0005-0000-0000-0000210A0000}"/>
    <cellStyle name="Comma 2 2 7 5 9" xfId="2849" xr:uid="{00000000-0005-0000-0000-0000510B0000}"/>
    <cellStyle name="Comma 2 2 7 6" xfId="13080" xr:uid="{00000000-0005-0000-0000-000048330000}"/>
    <cellStyle name="Comma 2 2 7 6 10" xfId="20241" xr:uid="{00000000-0005-0000-0000-0000414F0000}"/>
    <cellStyle name="Comma 2 2 7 6 11" xfId="20242" xr:uid="{00000000-0005-0000-0000-0000424F0000}"/>
    <cellStyle name="Comma 2 2 7 6 12" xfId="20244" xr:uid="{00000000-0005-0000-0000-0000444F0000}"/>
    <cellStyle name="Comma 2 2 7 6 2" xfId="7560" xr:uid="{00000000-0005-0000-0000-0000B81D0000}"/>
    <cellStyle name="Comma 2 2 7 6 2 2" xfId="10679" xr:uid="{00000000-0005-0000-0000-0000E7290000}"/>
    <cellStyle name="Comma 2 2 7 6 2 2 2" xfId="20246" xr:uid="{00000000-0005-0000-0000-0000464F0000}"/>
    <cellStyle name="Comma 2 2 7 6 2 3" xfId="10683" xr:uid="{00000000-0005-0000-0000-0000EB290000}"/>
    <cellStyle name="Comma 2 2 7 6 2 4" xfId="20247" xr:uid="{00000000-0005-0000-0000-0000474F0000}"/>
    <cellStyle name="Comma 2 2 7 6 2 5" xfId="20248" xr:uid="{00000000-0005-0000-0000-0000484F0000}"/>
    <cellStyle name="Comma 2 2 7 6 2 6" xfId="20249" xr:uid="{00000000-0005-0000-0000-0000494F0000}"/>
    <cellStyle name="Comma 2 2 7 6 2 7" xfId="20250" xr:uid="{00000000-0005-0000-0000-00004A4F0000}"/>
    <cellStyle name="Comma 2 2 7 6 2 8" xfId="20252" xr:uid="{00000000-0005-0000-0000-00004C4F0000}"/>
    <cellStyle name="Comma 2 2 7 6 2 9" xfId="20253" xr:uid="{00000000-0005-0000-0000-00004D4F0000}"/>
    <cellStyle name="Comma 2 2 7 6 3" xfId="7578" xr:uid="{00000000-0005-0000-0000-0000CA1D0000}"/>
    <cellStyle name="Comma 2 2 7 6 3 2" xfId="10704" xr:uid="{00000000-0005-0000-0000-0000002A0000}"/>
    <cellStyle name="Comma 2 2 7 6 3 3" xfId="10709" xr:uid="{00000000-0005-0000-0000-0000052A0000}"/>
    <cellStyle name="Comma 2 2 7 6 3 4" xfId="20254" xr:uid="{00000000-0005-0000-0000-00004E4F0000}"/>
    <cellStyle name="Comma 2 2 7 6 3 5" xfId="20255" xr:uid="{00000000-0005-0000-0000-00004F4F0000}"/>
    <cellStyle name="Comma 2 2 7 6 3 6" xfId="20256" xr:uid="{00000000-0005-0000-0000-0000504F0000}"/>
    <cellStyle name="Comma 2 2 7 6 4" xfId="7592" xr:uid="{00000000-0005-0000-0000-0000D81D0000}"/>
    <cellStyle name="Comma 2 2 7 6 4 2" xfId="12786" xr:uid="{00000000-0005-0000-0000-000022320000}"/>
    <cellStyle name="Comma 2 2 7 6 5" xfId="7797" xr:uid="{00000000-0005-0000-0000-0000A51E0000}"/>
    <cellStyle name="Comma 2 2 7 6 6" xfId="7809" xr:uid="{00000000-0005-0000-0000-0000B11E0000}"/>
    <cellStyle name="Comma 2 2 7 6 7" xfId="875" xr:uid="{00000000-0005-0000-0000-00009B030000}"/>
    <cellStyle name="Comma 2 2 7 6 8" xfId="898" xr:uid="{00000000-0005-0000-0000-0000B2030000}"/>
    <cellStyle name="Comma 2 2 7 6 9" xfId="11569" xr:uid="{00000000-0005-0000-0000-0000612D0000}"/>
    <cellStyle name="Comma 2 2 7 7" xfId="20257" xr:uid="{00000000-0005-0000-0000-0000514F0000}"/>
    <cellStyle name="Comma 2 2 7 7 2" xfId="2972" xr:uid="{00000000-0005-0000-0000-0000CC0B0000}"/>
    <cellStyle name="Comma 2 2 7 7 2 2" xfId="20258" xr:uid="{00000000-0005-0000-0000-0000524F0000}"/>
    <cellStyle name="Comma 2 2 7 7 3" xfId="166" xr:uid="{00000000-0005-0000-0000-0000B2000000}"/>
    <cellStyle name="Comma 2 2 7 7 4" xfId="7600" xr:uid="{00000000-0005-0000-0000-0000E01D0000}"/>
    <cellStyle name="Comma 2 2 7 7 5" xfId="7816" xr:uid="{00000000-0005-0000-0000-0000B81E0000}"/>
    <cellStyle name="Comma 2 2 7 7 6" xfId="11616" xr:uid="{00000000-0005-0000-0000-0000902D0000}"/>
    <cellStyle name="Comma 2 2 7 7 7" xfId="11625" xr:uid="{00000000-0005-0000-0000-0000992D0000}"/>
    <cellStyle name="Comma 2 2 7 7 8" xfId="2907" xr:uid="{00000000-0005-0000-0000-00008B0B0000}"/>
    <cellStyle name="Comma 2 2 7 7 9" xfId="11634" xr:uid="{00000000-0005-0000-0000-0000A22D0000}"/>
    <cellStyle name="Comma 2 2 7 8" xfId="20259" xr:uid="{00000000-0005-0000-0000-0000534F0000}"/>
    <cellStyle name="Comma 2 2 7 8 2" xfId="3074" xr:uid="{00000000-0005-0000-0000-0000320C0000}"/>
    <cellStyle name="Comma 2 2 7 8 3" xfId="1358" xr:uid="{00000000-0005-0000-0000-00007E050000}"/>
    <cellStyle name="Comma 2 2 7 8 4" xfId="7623" xr:uid="{00000000-0005-0000-0000-0000F71D0000}"/>
    <cellStyle name="Comma 2 2 7 8 5" xfId="7837" xr:uid="{00000000-0005-0000-0000-0000CD1E0000}"/>
    <cellStyle name="Comma 2 2 7 8 6" xfId="9807" xr:uid="{00000000-0005-0000-0000-00007F260000}"/>
    <cellStyle name="Comma 2 2 7 9" xfId="20261" xr:uid="{00000000-0005-0000-0000-0000554F0000}"/>
    <cellStyle name="Comma 2 2 7 9 2" xfId="4699" xr:uid="{00000000-0005-0000-0000-00008B120000}"/>
    <cellStyle name="Comma 2 2 7 9 3" xfId="1384" xr:uid="{00000000-0005-0000-0000-000098050000}"/>
    <cellStyle name="Comma 2 2 7 9 4" xfId="4729" xr:uid="{00000000-0005-0000-0000-0000A9120000}"/>
    <cellStyle name="Comma 2 2 7 9 5" xfId="4748" xr:uid="{00000000-0005-0000-0000-0000BC120000}"/>
    <cellStyle name="Comma 2 2 7 9 6" xfId="9830" xr:uid="{00000000-0005-0000-0000-000096260000}"/>
    <cellStyle name="Comma 2 2 8" xfId="13083" xr:uid="{00000000-0005-0000-0000-00004B330000}"/>
    <cellStyle name="Comma 2 2 8 10" xfId="20268" xr:uid="{00000000-0005-0000-0000-00005C4F0000}"/>
    <cellStyle name="Comma 2 2 8 10 2" xfId="20273" xr:uid="{00000000-0005-0000-0000-0000614F0000}"/>
    <cellStyle name="Comma 2 2 8 10 3" xfId="20276" xr:uid="{00000000-0005-0000-0000-0000644F0000}"/>
    <cellStyle name="Comma 2 2 8 10 4" xfId="20283" xr:uid="{00000000-0005-0000-0000-00006B4F0000}"/>
    <cellStyle name="Comma 2 2 8 10 5" xfId="20288" xr:uid="{00000000-0005-0000-0000-0000704F0000}"/>
    <cellStyle name="Comma 2 2 8 10 6" xfId="20294" xr:uid="{00000000-0005-0000-0000-0000764F0000}"/>
    <cellStyle name="Comma 2 2 8 11" xfId="20301" xr:uid="{00000000-0005-0000-0000-00007D4F0000}"/>
    <cellStyle name="Comma 2 2 8 11 2" xfId="20304" xr:uid="{00000000-0005-0000-0000-0000804F0000}"/>
    <cellStyle name="Comma 2 2 8 11 3" xfId="20306" xr:uid="{00000000-0005-0000-0000-0000824F0000}"/>
    <cellStyle name="Comma 2 2 8 11 4" xfId="19733" xr:uid="{00000000-0005-0000-0000-0000454D0000}"/>
    <cellStyle name="Comma 2 2 8 11 5" xfId="11115" xr:uid="{00000000-0005-0000-0000-00009B2B0000}"/>
    <cellStyle name="Comma 2 2 8 11 6" xfId="19739" xr:uid="{00000000-0005-0000-0000-00004B4D0000}"/>
    <cellStyle name="Comma 2 2 8 12" xfId="34" xr:uid="{00000000-0005-0000-0000-000024000000}"/>
    <cellStyle name="Comma 2 2 8 13" xfId="20308" xr:uid="{00000000-0005-0000-0000-0000844F0000}"/>
    <cellStyle name="Comma 2 2 8 14" xfId="20315" xr:uid="{00000000-0005-0000-0000-00008B4F0000}"/>
    <cellStyle name="Comma 2 2 8 15" xfId="20318" xr:uid="{00000000-0005-0000-0000-00008E4F0000}"/>
    <cellStyle name="Comma 2 2 8 16" xfId="20320" xr:uid="{00000000-0005-0000-0000-0000904F0000}"/>
    <cellStyle name="Comma 2 2 8 17" xfId="11610" xr:uid="{00000000-0005-0000-0000-00008A2D0000}"/>
    <cellStyle name="Comma 2 2 8 18" xfId="20324" xr:uid="{00000000-0005-0000-0000-0000944F0000}"/>
    <cellStyle name="Comma 2 2 8 19" xfId="3720" xr:uid="{00000000-0005-0000-0000-0000B80E0000}"/>
    <cellStyle name="Comma 2 2 8 2" xfId="13087" xr:uid="{00000000-0005-0000-0000-00004F330000}"/>
    <cellStyle name="Comma 2 2 8 2 10" xfId="20328" xr:uid="{00000000-0005-0000-0000-0000984F0000}"/>
    <cellStyle name="Comma 2 2 8 2 11" xfId="20332" xr:uid="{00000000-0005-0000-0000-00009C4F0000}"/>
    <cellStyle name="Comma 2 2 8 2 12" xfId="20336" xr:uid="{00000000-0005-0000-0000-0000A04F0000}"/>
    <cellStyle name="Comma 2 2 8 2 13" xfId="20340" xr:uid="{00000000-0005-0000-0000-0000A44F0000}"/>
    <cellStyle name="Comma 2 2 8 2 14" xfId="20343" xr:uid="{00000000-0005-0000-0000-0000A74F0000}"/>
    <cellStyle name="Comma 2 2 8 2 15" xfId="20346" xr:uid="{00000000-0005-0000-0000-0000AA4F0000}"/>
    <cellStyle name="Comma 2 2 8 2 16" xfId="20349" xr:uid="{00000000-0005-0000-0000-0000AD4F0000}"/>
    <cellStyle name="Comma 2 2 8 2 17" xfId="20351" xr:uid="{00000000-0005-0000-0000-0000AF4F0000}"/>
    <cellStyle name="Comma 2 2 8 2 18" xfId="20353" xr:uid="{00000000-0005-0000-0000-0000B14F0000}"/>
    <cellStyle name="Comma 2 2 8 2 2" xfId="15843" xr:uid="{00000000-0005-0000-0000-0000133E0000}"/>
    <cellStyle name="Comma 2 2 8 2 2 10" xfId="14102" xr:uid="{00000000-0005-0000-0000-000046370000}"/>
    <cellStyle name="Comma 2 2 8 2 2 11" xfId="14107" xr:uid="{00000000-0005-0000-0000-00004B370000}"/>
    <cellStyle name="Comma 2 2 8 2 2 12" xfId="14113" xr:uid="{00000000-0005-0000-0000-000051370000}"/>
    <cellStyle name="Comma 2 2 8 2 2 2" xfId="20357" xr:uid="{00000000-0005-0000-0000-0000B54F0000}"/>
    <cellStyle name="Comma 2 2 8 2 2 2 2" xfId="20360" xr:uid="{00000000-0005-0000-0000-0000B84F0000}"/>
    <cellStyle name="Comma 2 2 8 2 2 2 2 2" xfId="20362" xr:uid="{00000000-0005-0000-0000-0000BA4F0000}"/>
    <cellStyle name="Comma 2 2 8 2 2 2 3" xfId="20363" xr:uid="{00000000-0005-0000-0000-0000BB4F0000}"/>
    <cellStyle name="Comma 2 2 8 2 2 2 4" xfId="20364" xr:uid="{00000000-0005-0000-0000-0000BC4F0000}"/>
    <cellStyle name="Comma 2 2 8 2 2 2 5" xfId="20365" xr:uid="{00000000-0005-0000-0000-0000BD4F0000}"/>
    <cellStyle name="Comma 2 2 8 2 2 3" xfId="20368" xr:uid="{00000000-0005-0000-0000-0000C04F0000}"/>
    <cellStyle name="Comma 2 2 8 2 2 3 2" xfId="3243" xr:uid="{00000000-0005-0000-0000-0000DB0C0000}"/>
    <cellStyle name="Comma 2 2 8 2 2 4" xfId="20376" xr:uid="{00000000-0005-0000-0000-0000C84F0000}"/>
    <cellStyle name="Comma 2 2 8 2 2 5" xfId="9303" xr:uid="{00000000-0005-0000-0000-000087240000}"/>
    <cellStyle name="Comma 2 2 8 2 2 6" xfId="20381" xr:uid="{00000000-0005-0000-0000-0000CD4F0000}"/>
    <cellStyle name="Comma 2 2 8 2 2 7" xfId="20386" xr:uid="{00000000-0005-0000-0000-0000D24F0000}"/>
    <cellStyle name="Comma 2 2 8 2 2 8" xfId="20391" xr:uid="{00000000-0005-0000-0000-0000D74F0000}"/>
    <cellStyle name="Comma 2 2 8 2 2 9" xfId="20393" xr:uid="{00000000-0005-0000-0000-0000D94F0000}"/>
    <cellStyle name="Comma 2 2 8 2 3" xfId="15845" xr:uid="{00000000-0005-0000-0000-0000153E0000}"/>
    <cellStyle name="Comma 2 2 8 2 3 10" xfId="15714" xr:uid="{00000000-0005-0000-0000-0000923D0000}"/>
    <cellStyle name="Comma 2 2 8 2 3 11" xfId="15720" xr:uid="{00000000-0005-0000-0000-0000983D0000}"/>
    <cellStyle name="Comma 2 2 8 2 3 12" xfId="15728" xr:uid="{00000000-0005-0000-0000-0000A03D0000}"/>
    <cellStyle name="Comma 2 2 8 2 3 2" xfId="20396" xr:uid="{00000000-0005-0000-0000-0000DC4F0000}"/>
    <cellStyle name="Comma 2 2 8 2 3 2 2" xfId="3092" xr:uid="{00000000-0005-0000-0000-0000440C0000}"/>
    <cellStyle name="Comma 2 2 8 2 3 2 2 2" xfId="3100" xr:uid="{00000000-0005-0000-0000-00004C0C0000}"/>
    <cellStyle name="Comma 2 2 8 2 3 2 3" xfId="3114" xr:uid="{00000000-0005-0000-0000-00005A0C0000}"/>
    <cellStyle name="Comma 2 2 8 2 3 2 4" xfId="20400" xr:uid="{00000000-0005-0000-0000-0000E04F0000}"/>
    <cellStyle name="Comma 2 2 8 2 3 2 5" xfId="20403" xr:uid="{00000000-0005-0000-0000-0000E34F0000}"/>
    <cellStyle name="Comma 2 2 8 2 3 3" xfId="6444" xr:uid="{00000000-0005-0000-0000-00005C190000}"/>
    <cellStyle name="Comma 2 2 8 2 3 3 2" xfId="3539" xr:uid="{00000000-0005-0000-0000-0000030E0000}"/>
    <cellStyle name="Comma 2 2 8 2 3 4" xfId="6456" xr:uid="{00000000-0005-0000-0000-000068190000}"/>
    <cellStyle name="Comma 2 2 8 2 3 5" xfId="13847" xr:uid="{00000000-0005-0000-0000-000047360000}"/>
    <cellStyle name="Comma 2 2 8 2 3 6" xfId="13858" xr:uid="{00000000-0005-0000-0000-000052360000}"/>
    <cellStyle name="Comma 2 2 8 2 3 7" xfId="13864" xr:uid="{00000000-0005-0000-0000-000058360000}"/>
    <cellStyle name="Comma 2 2 8 2 3 8" xfId="13872" xr:uid="{00000000-0005-0000-0000-000060360000}"/>
    <cellStyle name="Comma 2 2 8 2 3 9" xfId="17312" xr:uid="{00000000-0005-0000-0000-0000D0430000}"/>
    <cellStyle name="Comma 2 2 8 2 4" xfId="20404" xr:uid="{00000000-0005-0000-0000-0000E44F0000}"/>
    <cellStyle name="Comma 2 2 8 2 4 10" xfId="15923" xr:uid="{00000000-0005-0000-0000-0000633E0000}"/>
    <cellStyle name="Comma 2 2 8 2 4 2" xfId="20407" xr:uid="{00000000-0005-0000-0000-0000E74F0000}"/>
    <cellStyle name="Comma 2 2 8 2 4 2 2" xfId="17620" xr:uid="{00000000-0005-0000-0000-000004450000}"/>
    <cellStyle name="Comma 2 2 8 2 4 2 2 2" xfId="12272" xr:uid="{00000000-0005-0000-0000-000020300000}"/>
    <cellStyle name="Comma 2 2 8 2 4 2 3" xfId="17623" xr:uid="{00000000-0005-0000-0000-000007450000}"/>
    <cellStyle name="Comma 2 2 8 2 4 2 4" xfId="20409" xr:uid="{00000000-0005-0000-0000-0000E94F0000}"/>
    <cellStyle name="Comma 2 2 8 2 4 2 5" xfId="20410" xr:uid="{00000000-0005-0000-0000-0000EA4F0000}"/>
    <cellStyle name="Comma 2 2 8 2 4 3" xfId="6466" xr:uid="{00000000-0005-0000-0000-000072190000}"/>
    <cellStyle name="Comma 2 2 8 2 4 3 2" xfId="6470" xr:uid="{00000000-0005-0000-0000-000076190000}"/>
    <cellStyle name="Comma 2 2 8 2 4 4" xfId="6480" xr:uid="{00000000-0005-0000-0000-000080190000}"/>
    <cellStyle name="Comma 2 2 8 2 4 5" xfId="13879" xr:uid="{00000000-0005-0000-0000-000067360000}"/>
    <cellStyle name="Comma 2 2 8 2 4 6" xfId="17319" xr:uid="{00000000-0005-0000-0000-0000D7430000}"/>
    <cellStyle name="Comma 2 2 8 2 4 7" xfId="17322" xr:uid="{00000000-0005-0000-0000-0000DA430000}"/>
    <cellStyle name="Comma 2 2 8 2 4 8" xfId="3646" xr:uid="{00000000-0005-0000-0000-00006E0E0000}"/>
    <cellStyle name="Comma 2 2 8 2 4 9" xfId="20411" xr:uid="{00000000-0005-0000-0000-0000EB4F0000}"/>
    <cellStyle name="Comma 2 2 8 2 5" xfId="20412" xr:uid="{00000000-0005-0000-0000-0000EC4F0000}"/>
    <cellStyle name="Comma 2 2 8 2 5 10" xfId="11640" xr:uid="{00000000-0005-0000-0000-0000A82D0000}"/>
    <cellStyle name="Comma 2 2 8 2 5 2" xfId="20414" xr:uid="{00000000-0005-0000-0000-0000EE4F0000}"/>
    <cellStyle name="Comma 2 2 8 2 5 2 2" xfId="20422" xr:uid="{00000000-0005-0000-0000-0000F64F0000}"/>
    <cellStyle name="Comma 2 2 8 2 5 2 2 2" xfId="15892" xr:uid="{00000000-0005-0000-0000-0000443E0000}"/>
    <cellStyle name="Comma 2 2 8 2 5 2 3" xfId="20426" xr:uid="{00000000-0005-0000-0000-0000FA4F0000}"/>
    <cellStyle name="Comma 2 2 8 2 5 2 4" xfId="20429" xr:uid="{00000000-0005-0000-0000-0000FD4F0000}"/>
    <cellStyle name="Comma 2 2 8 2 5 2 5" xfId="20430" xr:uid="{00000000-0005-0000-0000-0000FE4F0000}"/>
    <cellStyle name="Comma 2 2 8 2 5 3" xfId="6490" xr:uid="{00000000-0005-0000-0000-00008A190000}"/>
    <cellStyle name="Comma 2 2 8 2 5 3 2" xfId="6502" xr:uid="{00000000-0005-0000-0000-000096190000}"/>
    <cellStyle name="Comma 2 2 8 2 5 4" xfId="6525" xr:uid="{00000000-0005-0000-0000-0000AD190000}"/>
    <cellStyle name="Comma 2 2 8 2 5 5" xfId="17943" xr:uid="{00000000-0005-0000-0000-000047460000}"/>
    <cellStyle name="Comma 2 2 8 2 5 6" xfId="17946" xr:uid="{00000000-0005-0000-0000-00004A460000}"/>
    <cellStyle name="Comma 2 2 8 2 5 7" xfId="20433" xr:uid="{00000000-0005-0000-0000-000001500000}"/>
    <cellStyle name="Comma 2 2 8 2 5 8" xfId="20436" xr:uid="{00000000-0005-0000-0000-000004500000}"/>
    <cellStyle name="Comma 2 2 8 2 5 9" xfId="20438" xr:uid="{00000000-0005-0000-0000-000006500000}"/>
    <cellStyle name="Comma 2 2 8 2 6" xfId="20439" xr:uid="{00000000-0005-0000-0000-000007500000}"/>
    <cellStyle name="Comma 2 2 8 2 6 2" xfId="20442" xr:uid="{00000000-0005-0000-0000-00000A500000}"/>
    <cellStyle name="Comma 2 2 8 2 6 2 2" xfId="19180" xr:uid="{00000000-0005-0000-0000-00001C4B0000}"/>
    <cellStyle name="Comma 2 2 8 2 6 3" xfId="6534" xr:uid="{00000000-0005-0000-0000-0000B6190000}"/>
    <cellStyle name="Comma 2 2 8 2 6 4" xfId="6571" xr:uid="{00000000-0005-0000-0000-0000DB190000}"/>
    <cellStyle name="Comma 2 2 8 2 6 5" xfId="20446" xr:uid="{00000000-0005-0000-0000-00000E500000}"/>
    <cellStyle name="Comma 2 2 8 2 6 6" xfId="20449" xr:uid="{00000000-0005-0000-0000-000011500000}"/>
    <cellStyle name="Comma 2 2 8 2 6 7" xfId="20451" xr:uid="{00000000-0005-0000-0000-000013500000}"/>
    <cellStyle name="Comma 2 2 8 2 6 8" xfId="20454" xr:uid="{00000000-0005-0000-0000-000016500000}"/>
    <cellStyle name="Comma 2 2 8 2 6 9" xfId="20456" xr:uid="{00000000-0005-0000-0000-000018500000}"/>
    <cellStyle name="Comma 2 2 8 2 7" xfId="20459" xr:uid="{00000000-0005-0000-0000-00001B500000}"/>
    <cellStyle name="Comma 2 2 8 2 7 2" xfId="20460" xr:uid="{00000000-0005-0000-0000-00001C500000}"/>
    <cellStyle name="Comma 2 2 8 2 8" xfId="20462" xr:uid="{00000000-0005-0000-0000-00001E500000}"/>
    <cellStyle name="Comma 2 2 8 2 9" xfId="20463" xr:uid="{00000000-0005-0000-0000-00001F500000}"/>
    <cellStyle name="Comma 2 2 8 20" xfId="20317" xr:uid="{00000000-0005-0000-0000-00008D4F0000}"/>
    <cellStyle name="Comma 2 2 8 21" xfId="20319" xr:uid="{00000000-0005-0000-0000-00008F4F0000}"/>
    <cellStyle name="Comma 2 2 8 22" xfId="11609" xr:uid="{00000000-0005-0000-0000-0000892D0000}"/>
    <cellStyle name="Comma 2 2 8 23" xfId="20323" xr:uid="{00000000-0005-0000-0000-0000934F0000}"/>
    <cellStyle name="Comma 2 2 8 3" xfId="13090" xr:uid="{00000000-0005-0000-0000-000052330000}"/>
    <cellStyle name="Comma 2 2 8 3 10" xfId="20469" xr:uid="{00000000-0005-0000-0000-000025500000}"/>
    <cellStyle name="Comma 2 2 8 3 11" xfId="11862" xr:uid="{00000000-0005-0000-0000-0000862E0000}"/>
    <cellStyle name="Comma 2 2 8 3 12" xfId="11874" xr:uid="{00000000-0005-0000-0000-0000922E0000}"/>
    <cellStyle name="Comma 2 2 8 3 13" xfId="10277" xr:uid="{00000000-0005-0000-0000-000055280000}"/>
    <cellStyle name="Comma 2 2 8 3 14" xfId="3965" xr:uid="{00000000-0005-0000-0000-0000AD0F0000}"/>
    <cellStyle name="Comma 2 2 8 3 15" xfId="11884" xr:uid="{00000000-0005-0000-0000-00009C2E0000}"/>
    <cellStyle name="Comma 2 2 8 3 16" xfId="11889" xr:uid="{00000000-0005-0000-0000-0000A12E0000}"/>
    <cellStyle name="Comma 2 2 8 3 17" xfId="10510" xr:uid="{00000000-0005-0000-0000-00003E290000}"/>
    <cellStyle name="Comma 2 2 8 3 18" xfId="5211" xr:uid="{00000000-0005-0000-0000-00008B140000}"/>
    <cellStyle name="Comma 2 2 8 3 2" xfId="10985" xr:uid="{00000000-0005-0000-0000-0000192B0000}"/>
    <cellStyle name="Comma 2 2 8 3 2 10" xfId="17411" xr:uid="{00000000-0005-0000-0000-000033440000}"/>
    <cellStyle name="Comma 2 2 8 3 2 2" xfId="20476" xr:uid="{00000000-0005-0000-0000-00002C500000}"/>
    <cellStyle name="Comma 2 2 8 3 2 2 2" xfId="8972" xr:uid="{00000000-0005-0000-0000-00003C230000}"/>
    <cellStyle name="Comma 2 2 8 3 2 3" xfId="20482" xr:uid="{00000000-0005-0000-0000-000032500000}"/>
    <cellStyle name="Comma 2 2 8 3 2 4" xfId="20489" xr:uid="{00000000-0005-0000-0000-000039500000}"/>
    <cellStyle name="Comma 2 2 8 3 2 5" xfId="8205" xr:uid="{00000000-0005-0000-0000-00003D200000}"/>
    <cellStyle name="Comma 2 2 8 3 2 6" xfId="20496" xr:uid="{00000000-0005-0000-0000-000040500000}"/>
    <cellStyle name="Comma 2 2 8 3 2 7" xfId="20502" xr:uid="{00000000-0005-0000-0000-000046500000}"/>
    <cellStyle name="Comma 2 2 8 3 2 8" xfId="20507" xr:uid="{00000000-0005-0000-0000-00004B500000}"/>
    <cellStyle name="Comma 2 2 8 3 2 9" xfId="20509" xr:uid="{00000000-0005-0000-0000-00004D500000}"/>
    <cellStyle name="Comma 2 2 8 3 3" xfId="10370" xr:uid="{00000000-0005-0000-0000-0000B2280000}"/>
    <cellStyle name="Comma 2 2 8 3 3 2" xfId="20512" xr:uid="{00000000-0005-0000-0000-000050500000}"/>
    <cellStyle name="Comma 2 2 8 3 3 3" xfId="20515" xr:uid="{00000000-0005-0000-0000-000053500000}"/>
    <cellStyle name="Comma 2 2 8 3 3 4" xfId="17356" xr:uid="{00000000-0005-0000-0000-0000FC430000}"/>
    <cellStyle name="Comma 2 2 8 3 3 5" xfId="13890" xr:uid="{00000000-0005-0000-0000-000072360000}"/>
    <cellStyle name="Comma 2 2 8 3 3 6" xfId="13893" xr:uid="{00000000-0005-0000-0000-000075360000}"/>
    <cellStyle name="Comma 2 2 8 3 4" xfId="10377" xr:uid="{00000000-0005-0000-0000-0000B9280000}"/>
    <cellStyle name="Comma 2 2 8 3 4 2" xfId="20518" xr:uid="{00000000-0005-0000-0000-000056500000}"/>
    <cellStyle name="Comma 2 2 8 3 4 3" xfId="20520" xr:uid="{00000000-0005-0000-0000-000058500000}"/>
    <cellStyle name="Comma 2 2 8 3 4 4" xfId="17366" xr:uid="{00000000-0005-0000-0000-000006440000}"/>
    <cellStyle name="Comma 2 2 8 3 4 5" xfId="13904" xr:uid="{00000000-0005-0000-0000-000080360000}"/>
    <cellStyle name="Comma 2 2 8 3 4 6" xfId="17369" xr:uid="{00000000-0005-0000-0000-000009440000}"/>
    <cellStyle name="Comma 2 2 8 3 5" xfId="20522" xr:uid="{00000000-0005-0000-0000-00005A500000}"/>
    <cellStyle name="Comma 2 2 8 3 5 2" xfId="20523" xr:uid="{00000000-0005-0000-0000-00005B500000}"/>
    <cellStyle name="Comma 2 2 8 3 5 3" xfId="17958" xr:uid="{00000000-0005-0000-0000-000056460000}"/>
    <cellStyle name="Comma 2 2 8 3 5 4" xfId="17375" xr:uid="{00000000-0005-0000-0000-00000F440000}"/>
    <cellStyle name="Comma 2 2 8 3 5 5" xfId="20525" xr:uid="{00000000-0005-0000-0000-00005D500000}"/>
    <cellStyle name="Comma 2 2 8 3 5 6" xfId="20526" xr:uid="{00000000-0005-0000-0000-00005E500000}"/>
    <cellStyle name="Comma 2 2 8 3 6" xfId="20527" xr:uid="{00000000-0005-0000-0000-00005F500000}"/>
    <cellStyle name="Comma 2 2 8 3 6 2" xfId="20528" xr:uid="{00000000-0005-0000-0000-000060500000}"/>
    <cellStyle name="Comma 2 2 8 3 6 3" xfId="20530" xr:uid="{00000000-0005-0000-0000-000062500000}"/>
    <cellStyle name="Comma 2 2 8 3 6 4" xfId="20532" xr:uid="{00000000-0005-0000-0000-000064500000}"/>
    <cellStyle name="Comma 2 2 8 3 6 5" xfId="20534" xr:uid="{00000000-0005-0000-0000-000066500000}"/>
    <cellStyle name="Comma 2 2 8 3 6 6" xfId="20535" xr:uid="{00000000-0005-0000-0000-000067500000}"/>
    <cellStyle name="Comma 2 2 8 3 7" xfId="20536" xr:uid="{00000000-0005-0000-0000-000068500000}"/>
    <cellStyle name="Comma 2 2 8 3 8" xfId="20537" xr:uid="{00000000-0005-0000-0000-000069500000}"/>
    <cellStyle name="Comma 2 2 8 3 9" xfId="20538" xr:uid="{00000000-0005-0000-0000-00006A500000}"/>
    <cellStyle name="Comma 2 2 8 4" xfId="13093" xr:uid="{00000000-0005-0000-0000-000055330000}"/>
    <cellStyle name="Comma 2 2 8 4 10" xfId="20545" xr:uid="{00000000-0005-0000-0000-000071500000}"/>
    <cellStyle name="Comma 2 2 8 4 11" xfId="20551" xr:uid="{00000000-0005-0000-0000-000077500000}"/>
    <cellStyle name="Comma 2 2 8 4 12" xfId="20557" xr:uid="{00000000-0005-0000-0000-00007D500000}"/>
    <cellStyle name="Comma 2 2 8 4 13" xfId="14673" xr:uid="{00000000-0005-0000-0000-000081390000}"/>
    <cellStyle name="Comma 2 2 8 4 14" xfId="20566" xr:uid="{00000000-0005-0000-0000-000086500000}"/>
    <cellStyle name="Comma 2 2 8 4 15" xfId="20574" xr:uid="{00000000-0005-0000-0000-00008E500000}"/>
    <cellStyle name="Comma 2 2 8 4 2" xfId="6647" xr:uid="{00000000-0005-0000-0000-0000271A0000}"/>
    <cellStyle name="Comma 2 2 8 4 2 2" xfId="20576" xr:uid="{00000000-0005-0000-0000-000090500000}"/>
    <cellStyle name="Comma 2 2 8 4 2 2 2" xfId="6485" xr:uid="{00000000-0005-0000-0000-000085190000}"/>
    <cellStyle name="Comma 2 2 8 4 2 3" xfId="20579" xr:uid="{00000000-0005-0000-0000-000093500000}"/>
    <cellStyle name="Comma 2 2 8 4 2 4" xfId="20583" xr:uid="{00000000-0005-0000-0000-000097500000}"/>
    <cellStyle name="Comma 2 2 8 4 2 5" xfId="9367" xr:uid="{00000000-0005-0000-0000-0000C7240000}"/>
    <cellStyle name="Comma 2 2 8 4 2 6" xfId="20588" xr:uid="{00000000-0005-0000-0000-00009C500000}"/>
    <cellStyle name="Comma 2 2 8 4 2 7" xfId="20592" xr:uid="{00000000-0005-0000-0000-0000A0500000}"/>
    <cellStyle name="Comma 2 2 8 4 2 8" xfId="20597" xr:uid="{00000000-0005-0000-0000-0000A5500000}"/>
    <cellStyle name="Comma 2 2 8 4 2 9" xfId="20599" xr:uid="{00000000-0005-0000-0000-0000A7500000}"/>
    <cellStyle name="Comma 2 2 8 4 3" xfId="15876" xr:uid="{00000000-0005-0000-0000-0000343E0000}"/>
    <cellStyle name="Comma 2 2 8 4 3 2" xfId="20601" xr:uid="{00000000-0005-0000-0000-0000A9500000}"/>
    <cellStyle name="Comma 2 2 8 4 3 3" xfId="20604" xr:uid="{00000000-0005-0000-0000-0000AC500000}"/>
    <cellStyle name="Comma 2 2 8 4 3 4" xfId="17385" xr:uid="{00000000-0005-0000-0000-000019440000}"/>
    <cellStyle name="Comma 2 2 8 4 3 5" xfId="13915" xr:uid="{00000000-0005-0000-0000-00008B360000}"/>
    <cellStyle name="Comma 2 2 8 4 3 6" xfId="13917" xr:uid="{00000000-0005-0000-0000-00008D360000}"/>
    <cellStyle name="Comma 2 2 8 4 4" xfId="20607" xr:uid="{00000000-0005-0000-0000-0000AF500000}"/>
    <cellStyle name="Comma 2 2 8 4 4 2" xfId="20610" xr:uid="{00000000-0005-0000-0000-0000B2500000}"/>
    <cellStyle name="Comma 2 2 8 4 5" xfId="20611" xr:uid="{00000000-0005-0000-0000-0000B3500000}"/>
    <cellStyle name="Comma 2 2 8 4 6" xfId="20612" xr:uid="{00000000-0005-0000-0000-0000B4500000}"/>
    <cellStyle name="Comma 2 2 8 4 7" xfId="20613" xr:uid="{00000000-0005-0000-0000-0000B5500000}"/>
    <cellStyle name="Comma 2 2 8 4 8" xfId="2991" xr:uid="{00000000-0005-0000-0000-0000DF0B0000}"/>
    <cellStyle name="Comma 2 2 8 4 9" xfId="20614" xr:uid="{00000000-0005-0000-0000-0000B6500000}"/>
    <cellStyle name="Comma 2 2 8 5" xfId="13096" xr:uid="{00000000-0005-0000-0000-000058330000}"/>
    <cellStyle name="Comma 2 2 8 5 10" xfId="20617" xr:uid="{00000000-0005-0000-0000-0000B9500000}"/>
    <cellStyle name="Comma 2 2 8 5 11" xfId="20620" xr:uid="{00000000-0005-0000-0000-0000BC500000}"/>
    <cellStyle name="Comma 2 2 8 5 12" xfId="20624" xr:uid="{00000000-0005-0000-0000-0000C0500000}"/>
    <cellStyle name="Comma 2 2 8 5 13" xfId="18471" xr:uid="{00000000-0005-0000-0000-000057480000}"/>
    <cellStyle name="Comma 2 2 8 5 2" xfId="15906" xr:uid="{00000000-0005-0000-0000-0000523E0000}"/>
    <cellStyle name="Comma 2 2 8 5 2 2" xfId="20627" xr:uid="{00000000-0005-0000-0000-0000C3500000}"/>
    <cellStyle name="Comma 2 2 8 5 2 2 2" xfId="2" xr:uid="{00000000-0005-0000-0000-000002000000}"/>
    <cellStyle name="Comma 2 2 8 5 2 3" xfId="20632" xr:uid="{00000000-0005-0000-0000-0000C8500000}"/>
    <cellStyle name="Comma 2 2 8 5 2 4" xfId="20636" xr:uid="{00000000-0005-0000-0000-0000CC500000}"/>
    <cellStyle name="Comma 2 2 8 5 2 5" xfId="20642" xr:uid="{00000000-0005-0000-0000-0000D2500000}"/>
    <cellStyle name="Comma 2 2 8 5 2 6" xfId="20648" xr:uid="{00000000-0005-0000-0000-0000D8500000}"/>
    <cellStyle name="Comma 2 2 8 5 2 7" xfId="20654" xr:uid="{00000000-0005-0000-0000-0000DE500000}"/>
    <cellStyle name="Comma 2 2 8 5 2 8" xfId="20661" xr:uid="{00000000-0005-0000-0000-0000E5500000}"/>
    <cellStyle name="Comma 2 2 8 5 2 9" xfId="20663" xr:uid="{00000000-0005-0000-0000-0000E7500000}"/>
    <cellStyle name="Comma 2 2 8 5 3" xfId="15910" xr:uid="{00000000-0005-0000-0000-0000563E0000}"/>
    <cellStyle name="Comma 2 2 8 5 3 2" xfId="20665" xr:uid="{00000000-0005-0000-0000-0000E9500000}"/>
    <cellStyle name="Comma 2 2 8 5 3 3" xfId="20670" xr:uid="{00000000-0005-0000-0000-0000EE500000}"/>
    <cellStyle name="Comma 2 2 8 5 3 4" xfId="20674" xr:uid="{00000000-0005-0000-0000-0000F2500000}"/>
    <cellStyle name="Comma 2 2 8 5 3 5" xfId="13934" xr:uid="{00000000-0005-0000-0000-00009E360000}"/>
    <cellStyle name="Comma 2 2 8 5 3 6" xfId="20676" xr:uid="{00000000-0005-0000-0000-0000F4500000}"/>
    <cellStyle name="Comma 2 2 8 5 4" xfId="13345" xr:uid="{00000000-0005-0000-0000-000051340000}"/>
    <cellStyle name="Comma 2 2 8 5 4 2" xfId="13350" xr:uid="{00000000-0005-0000-0000-000056340000}"/>
    <cellStyle name="Comma 2 2 8 5 5" xfId="11844" xr:uid="{00000000-0005-0000-0000-0000742E0000}"/>
    <cellStyle name="Comma 2 2 8 5 6" xfId="2818" xr:uid="{00000000-0005-0000-0000-0000320B0000}"/>
    <cellStyle name="Comma 2 2 8 5 7" xfId="11853" xr:uid="{00000000-0005-0000-0000-00007D2E0000}"/>
    <cellStyle name="Comma 2 2 8 5 8" xfId="3008" xr:uid="{00000000-0005-0000-0000-0000F00B0000}"/>
    <cellStyle name="Comma 2 2 8 5 9" xfId="13365" xr:uid="{00000000-0005-0000-0000-000065340000}"/>
    <cellStyle name="Comma 2 2 8 6" xfId="13106" xr:uid="{00000000-0005-0000-0000-000062330000}"/>
    <cellStyle name="Comma 2 2 8 6 10" xfId="20679" xr:uid="{00000000-0005-0000-0000-0000F7500000}"/>
    <cellStyle name="Comma 2 2 8 6 11" xfId="20683" xr:uid="{00000000-0005-0000-0000-0000FB500000}"/>
    <cellStyle name="Comma 2 2 8 6 12" xfId="20687" xr:uid="{00000000-0005-0000-0000-0000FF500000}"/>
    <cellStyle name="Comma 2 2 8 6 2" xfId="7918" xr:uid="{00000000-0005-0000-0000-00001E1F0000}"/>
    <cellStyle name="Comma 2 2 8 6 2 2" xfId="20692" xr:uid="{00000000-0005-0000-0000-000004510000}"/>
    <cellStyle name="Comma 2 2 8 6 2 2 2" xfId="9625" xr:uid="{00000000-0005-0000-0000-0000C9250000}"/>
    <cellStyle name="Comma 2 2 8 6 2 3" xfId="20695" xr:uid="{00000000-0005-0000-0000-000007510000}"/>
    <cellStyle name="Comma 2 2 8 6 2 4" xfId="20697" xr:uid="{00000000-0005-0000-0000-000009510000}"/>
    <cellStyle name="Comma 2 2 8 6 2 5" xfId="20699" xr:uid="{00000000-0005-0000-0000-00000B510000}"/>
    <cellStyle name="Comma 2 2 8 6 2 6" xfId="20701" xr:uid="{00000000-0005-0000-0000-00000D510000}"/>
    <cellStyle name="Comma 2 2 8 6 2 7" xfId="20703" xr:uid="{00000000-0005-0000-0000-00000F510000}"/>
    <cellStyle name="Comma 2 2 8 6 2 8" xfId="20706" xr:uid="{00000000-0005-0000-0000-000012510000}"/>
    <cellStyle name="Comma 2 2 8 6 2 9" xfId="20707" xr:uid="{00000000-0005-0000-0000-000013510000}"/>
    <cellStyle name="Comma 2 2 8 6 3" xfId="7923" xr:uid="{00000000-0005-0000-0000-0000231F0000}"/>
    <cellStyle name="Comma 2 2 8 6 3 2" xfId="20709" xr:uid="{00000000-0005-0000-0000-000015510000}"/>
    <cellStyle name="Comma 2 2 8 6 3 3" xfId="20712" xr:uid="{00000000-0005-0000-0000-000018510000}"/>
    <cellStyle name="Comma 2 2 8 6 3 4" xfId="20715" xr:uid="{00000000-0005-0000-0000-00001B510000}"/>
    <cellStyle name="Comma 2 2 8 6 3 5" xfId="20717" xr:uid="{00000000-0005-0000-0000-00001D510000}"/>
    <cellStyle name="Comma 2 2 8 6 3 6" xfId="20718" xr:uid="{00000000-0005-0000-0000-00001E510000}"/>
    <cellStyle name="Comma 2 2 8 6 4" xfId="7935" xr:uid="{00000000-0005-0000-0000-00002F1F0000}"/>
    <cellStyle name="Comma 2 2 8 6 4 2" xfId="20330" xr:uid="{00000000-0005-0000-0000-00009A4F0000}"/>
    <cellStyle name="Comma 2 2 8 6 5" xfId="7943" xr:uid="{00000000-0005-0000-0000-0000371F0000}"/>
    <cellStyle name="Comma 2 2 8 6 6" xfId="1155" xr:uid="{00000000-0005-0000-0000-0000B3040000}"/>
    <cellStyle name="Comma 2 2 8 6 7" xfId="7945" xr:uid="{00000000-0005-0000-0000-0000391F0000}"/>
    <cellStyle name="Comma 2 2 8 6 8" xfId="3023" xr:uid="{00000000-0005-0000-0000-0000FF0B0000}"/>
    <cellStyle name="Comma 2 2 8 6 9" xfId="11856" xr:uid="{00000000-0005-0000-0000-0000802E0000}"/>
    <cellStyle name="Comma 2 2 8 7" xfId="20724" xr:uid="{00000000-0005-0000-0000-000024510000}"/>
    <cellStyle name="Comma 2 2 8 7 2" xfId="3434" xr:uid="{00000000-0005-0000-0000-00009A0D0000}"/>
    <cellStyle name="Comma 2 2 8 7 2 2" xfId="20726" xr:uid="{00000000-0005-0000-0000-000026510000}"/>
    <cellStyle name="Comma 2 2 8 7 3" xfId="7951" xr:uid="{00000000-0005-0000-0000-00003F1F0000}"/>
    <cellStyle name="Comma 2 2 8 7 4" xfId="7955" xr:uid="{00000000-0005-0000-0000-0000431F0000}"/>
    <cellStyle name="Comma 2 2 8 7 5" xfId="7958" xr:uid="{00000000-0005-0000-0000-0000461F0000}"/>
    <cellStyle name="Comma 2 2 8 7 6" xfId="11909" xr:uid="{00000000-0005-0000-0000-0000B52E0000}"/>
    <cellStyle name="Comma 2 2 8 7 7" xfId="11913" xr:uid="{00000000-0005-0000-0000-0000B92E0000}"/>
    <cellStyle name="Comma 2 2 8 7 8" xfId="561" xr:uid="{00000000-0005-0000-0000-000057020000}"/>
    <cellStyle name="Comma 2 2 8 7 9" xfId="11919" xr:uid="{00000000-0005-0000-0000-0000BF2E0000}"/>
    <cellStyle name="Comma 2 2 8 8" xfId="20733" xr:uid="{00000000-0005-0000-0000-00002D510000}"/>
    <cellStyle name="Comma 2 2 8 8 2" xfId="9857" xr:uid="{00000000-0005-0000-0000-0000B1260000}"/>
    <cellStyle name="Comma 2 2 8 8 3" xfId="12785" xr:uid="{00000000-0005-0000-0000-000021320000}"/>
    <cellStyle name="Comma 2 2 8 8 4" xfId="14074" xr:uid="{00000000-0005-0000-0000-00002A370000}"/>
    <cellStyle name="Comma 2 2 8 8 5" xfId="10646" xr:uid="{00000000-0005-0000-0000-0000C6290000}"/>
    <cellStyle name="Comma 2 2 8 8 6" xfId="10653" xr:uid="{00000000-0005-0000-0000-0000CD290000}"/>
    <cellStyle name="Comma 2 2 8 9" xfId="20741" xr:uid="{00000000-0005-0000-0000-000035510000}"/>
    <cellStyle name="Comma 2 2 8 9 2" xfId="20743" xr:uid="{00000000-0005-0000-0000-000037510000}"/>
    <cellStyle name="Comma 2 2 8 9 3" xfId="20745" xr:uid="{00000000-0005-0000-0000-000039510000}"/>
    <cellStyle name="Comma 2 2 8 9 4" xfId="20747" xr:uid="{00000000-0005-0000-0000-00003B510000}"/>
    <cellStyle name="Comma 2 2 8 9 5" xfId="9165" xr:uid="{00000000-0005-0000-0000-0000FD230000}"/>
    <cellStyle name="Comma 2 2 8 9 6" xfId="11982" xr:uid="{00000000-0005-0000-0000-0000FE2E0000}"/>
    <cellStyle name="Comma 2 2 9" xfId="13108" xr:uid="{00000000-0005-0000-0000-000064330000}"/>
    <cellStyle name="Comma 2 2 9 10" xfId="2446" xr:uid="{00000000-0005-0000-0000-0000BE090000}"/>
    <cellStyle name="Comma 2 2 9 11" xfId="1696" xr:uid="{00000000-0005-0000-0000-0000D0060000}"/>
    <cellStyle name="Comma 2 2 9 12" xfId="1723" xr:uid="{00000000-0005-0000-0000-0000EB060000}"/>
    <cellStyle name="Comma 2 2 9 13" xfId="1756" xr:uid="{00000000-0005-0000-0000-00000C070000}"/>
    <cellStyle name="Comma 2 2 9 14" xfId="1779" xr:uid="{00000000-0005-0000-0000-000023070000}"/>
    <cellStyle name="Comma 2 2 9 15" xfId="51" xr:uid="{00000000-0005-0000-0000-000036000000}"/>
    <cellStyle name="Comma 2 2 9 16" xfId="20750" xr:uid="{00000000-0005-0000-0000-00003E510000}"/>
    <cellStyle name="Comma 2 2 9 17" xfId="20751" xr:uid="{00000000-0005-0000-0000-00003F510000}"/>
    <cellStyle name="Comma 2 2 9 18" xfId="3660" xr:uid="{00000000-0005-0000-0000-00007C0E0000}"/>
    <cellStyle name="Comma 2 2 9 2" xfId="20753" xr:uid="{00000000-0005-0000-0000-000041510000}"/>
    <cellStyle name="Comma 2 2 9 2 10" xfId="15387" xr:uid="{00000000-0005-0000-0000-00004B3C0000}"/>
    <cellStyle name="Comma 2 2 9 2 11" xfId="15417" xr:uid="{00000000-0005-0000-0000-0000693C0000}"/>
    <cellStyle name="Comma 2 2 9 2 12" xfId="15425" xr:uid="{00000000-0005-0000-0000-0000713C0000}"/>
    <cellStyle name="Comma 2 2 9 2 13" xfId="15434" xr:uid="{00000000-0005-0000-0000-00007A3C0000}"/>
    <cellStyle name="Comma 2 2 9 2 14" xfId="20758" xr:uid="{00000000-0005-0000-0000-000046510000}"/>
    <cellStyle name="Comma 2 2 9 2 2" xfId="20759" xr:uid="{00000000-0005-0000-0000-000047510000}"/>
    <cellStyle name="Comma 2 2 9 2 2 10" xfId="6376" xr:uid="{00000000-0005-0000-0000-000018190000}"/>
    <cellStyle name="Comma 2 2 9 2 2 2" xfId="20763" xr:uid="{00000000-0005-0000-0000-00004B510000}"/>
    <cellStyle name="Comma 2 2 9 2 2 2 2" xfId="20765" xr:uid="{00000000-0005-0000-0000-00004D510000}"/>
    <cellStyle name="Comma 2 2 9 2 2 3" xfId="20768" xr:uid="{00000000-0005-0000-0000-000050510000}"/>
    <cellStyle name="Comma 2 2 9 2 2 4" xfId="20775" xr:uid="{00000000-0005-0000-0000-000057510000}"/>
    <cellStyle name="Comma 2 2 9 2 2 5" xfId="20780" xr:uid="{00000000-0005-0000-0000-00005C510000}"/>
    <cellStyle name="Comma 2 2 9 2 2 6" xfId="20784" xr:uid="{00000000-0005-0000-0000-000060510000}"/>
    <cellStyle name="Comma 2 2 9 2 2 7" xfId="20789" xr:uid="{00000000-0005-0000-0000-000065510000}"/>
    <cellStyle name="Comma 2 2 9 2 2 8" xfId="20794" xr:uid="{00000000-0005-0000-0000-00006A510000}"/>
    <cellStyle name="Comma 2 2 9 2 2 9" xfId="20796" xr:uid="{00000000-0005-0000-0000-00006C510000}"/>
    <cellStyle name="Comma 2 2 9 2 3" xfId="20799" xr:uid="{00000000-0005-0000-0000-00006F510000}"/>
    <cellStyle name="Comma 2 2 9 2 3 2" xfId="20802" xr:uid="{00000000-0005-0000-0000-000072510000}"/>
    <cellStyle name="Comma 2 2 9 2 3 3" xfId="20806" xr:uid="{00000000-0005-0000-0000-000076510000}"/>
    <cellStyle name="Comma 2 2 9 2 3 4" xfId="17572" xr:uid="{00000000-0005-0000-0000-0000D4440000}"/>
    <cellStyle name="Comma 2 2 9 2 3 5" xfId="15210" xr:uid="{00000000-0005-0000-0000-00009A3B0000}"/>
    <cellStyle name="Comma 2 2 9 2 3 6" xfId="15215" xr:uid="{00000000-0005-0000-0000-00009F3B0000}"/>
    <cellStyle name="Comma 2 2 9 2 4" xfId="20809" xr:uid="{00000000-0005-0000-0000-000079510000}"/>
    <cellStyle name="Comma 2 2 9 2 4 2" xfId="20812" xr:uid="{00000000-0005-0000-0000-00007C510000}"/>
    <cellStyle name="Comma 2 2 9 2 4 3" xfId="20816" xr:uid="{00000000-0005-0000-0000-000080510000}"/>
    <cellStyle name="Comma 2 2 9 2 4 4" xfId="17580" xr:uid="{00000000-0005-0000-0000-0000DC440000}"/>
    <cellStyle name="Comma 2 2 9 2 4 5" xfId="20820" xr:uid="{00000000-0005-0000-0000-000084510000}"/>
    <cellStyle name="Comma 2 2 9 2 5" xfId="20823" xr:uid="{00000000-0005-0000-0000-000087510000}"/>
    <cellStyle name="Comma 2 2 9 2 6" xfId="20825" xr:uid="{00000000-0005-0000-0000-000089510000}"/>
    <cellStyle name="Comma 2 2 9 2 7" xfId="20827" xr:uid="{00000000-0005-0000-0000-00008B510000}"/>
    <cellStyle name="Comma 2 2 9 2 8" xfId="20829" xr:uid="{00000000-0005-0000-0000-00008D510000}"/>
    <cellStyle name="Comma 2 2 9 2 9" xfId="20831" xr:uid="{00000000-0005-0000-0000-00008F510000}"/>
    <cellStyle name="Comma 2 2 9 3" xfId="20832" xr:uid="{00000000-0005-0000-0000-000090510000}"/>
    <cellStyle name="Comma 2 2 9 3 10" xfId="15674" xr:uid="{00000000-0005-0000-0000-00006A3D0000}"/>
    <cellStyle name="Comma 2 2 9 3 11" xfId="7786" xr:uid="{00000000-0005-0000-0000-00009A1E0000}"/>
    <cellStyle name="Comma 2 2 9 3 12" xfId="7562" xr:uid="{00000000-0005-0000-0000-0000BA1D0000}"/>
    <cellStyle name="Comma 2 2 9 3 2" xfId="20833" xr:uid="{00000000-0005-0000-0000-000091510000}"/>
    <cellStyle name="Comma 2 2 9 3 2 2" xfId="20837" xr:uid="{00000000-0005-0000-0000-000095510000}"/>
    <cellStyle name="Comma 2 2 9 3 2 2 2" xfId="13256" xr:uid="{00000000-0005-0000-0000-0000F8330000}"/>
    <cellStyle name="Comma 2 2 9 3 2 3" xfId="20840" xr:uid="{00000000-0005-0000-0000-000098510000}"/>
    <cellStyle name="Comma 2 2 9 3 2 4" xfId="20847" xr:uid="{00000000-0005-0000-0000-00009F510000}"/>
    <cellStyle name="Comma 2 2 9 3 2 5" xfId="20854" xr:uid="{00000000-0005-0000-0000-0000A6510000}"/>
    <cellStyle name="Comma 2 2 9 3 3" xfId="20859" xr:uid="{00000000-0005-0000-0000-0000AB510000}"/>
    <cellStyle name="Comma 2 2 9 3 3 2" xfId="20862" xr:uid="{00000000-0005-0000-0000-0000AE510000}"/>
    <cellStyle name="Comma 2 2 9 3 4" xfId="20864" xr:uid="{00000000-0005-0000-0000-0000B0510000}"/>
    <cellStyle name="Comma 2 2 9 3 5" xfId="20865" xr:uid="{00000000-0005-0000-0000-0000B1510000}"/>
    <cellStyle name="Comma 2 2 9 3 6" xfId="20866" xr:uid="{00000000-0005-0000-0000-0000B2510000}"/>
    <cellStyle name="Comma 2 2 9 3 7" xfId="20867" xr:uid="{00000000-0005-0000-0000-0000B3510000}"/>
    <cellStyle name="Comma 2 2 9 3 8" xfId="20868" xr:uid="{00000000-0005-0000-0000-0000B4510000}"/>
    <cellStyle name="Comma 2 2 9 3 9" xfId="20869" xr:uid="{00000000-0005-0000-0000-0000B5510000}"/>
    <cellStyle name="Comma 2 2 9 4" xfId="20870" xr:uid="{00000000-0005-0000-0000-0000B6510000}"/>
    <cellStyle name="Comma 2 2 9 4 10" xfId="6849" xr:uid="{00000000-0005-0000-0000-0000F11A0000}"/>
    <cellStyle name="Comma 2 2 9 4 11" xfId="6914" xr:uid="{00000000-0005-0000-0000-0000321B0000}"/>
    <cellStyle name="Comma 2 2 9 4 2" xfId="1503" xr:uid="{00000000-0005-0000-0000-00000F060000}"/>
    <cellStyle name="Comma 2 2 9 4 2 2" xfId="20874" xr:uid="{00000000-0005-0000-0000-0000BA510000}"/>
    <cellStyle name="Comma 2 2 9 4 2 2 2" xfId="369" xr:uid="{00000000-0005-0000-0000-000089010000}"/>
    <cellStyle name="Comma 2 2 9 4 2 3" xfId="20879" xr:uid="{00000000-0005-0000-0000-0000BF510000}"/>
    <cellStyle name="Comma 2 2 9 4 2 4" xfId="20884" xr:uid="{00000000-0005-0000-0000-0000C4510000}"/>
    <cellStyle name="Comma 2 2 9 4 2 5" xfId="20889" xr:uid="{00000000-0005-0000-0000-0000C9510000}"/>
    <cellStyle name="Comma 2 2 9 4 3" xfId="20891" xr:uid="{00000000-0005-0000-0000-0000CB510000}"/>
    <cellStyle name="Comma 2 2 9 4 3 2" xfId="20895" xr:uid="{00000000-0005-0000-0000-0000CF510000}"/>
    <cellStyle name="Comma 2 2 9 4 4" xfId="20897" xr:uid="{00000000-0005-0000-0000-0000D1510000}"/>
    <cellStyle name="Comma 2 2 9 4 5" xfId="20898" xr:uid="{00000000-0005-0000-0000-0000D2510000}"/>
    <cellStyle name="Comma 2 2 9 4 6" xfId="20899" xr:uid="{00000000-0005-0000-0000-0000D3510000}"/>
    <cellStyle name="Comma 2 2 9 4 7" xfId="20900" xr:uid="{00000000-0005-0000-0000-0000D4510000}"/>
    <cellStyle name="Comma 2 2 9 4 8" xfId="20901" xr:uid="{00000000-0005-0000-0000-0000D5510000}"/>
    <cellStyle name="Comma 2 2 9 4 9" xfId="20902" xr:uid="{00000000-0005-0000-0000-0000D6510000}"/>
    <cellStyle name="Comma 2 2 9 5" xfId="20903" xr:uid="{00000000-0005-0000-0000-0000D7510000}"/>
    <cellStyle name="Comma 2 2 9 5 10" xfId="7380" xr:uid="{00000000-0005-0000-0000-0000041D0000}"/>
    <cellStyle name="Comma 2 2 9 5 2" xfId="20907" xr:uid="{00000000-0005-0000-0000-0000DB510000}"/>
    <cellStyle name="Comma 2 2 9 5 2 2" xfId="20911" xr:uid="{00000000-0005-0000-0000-0000DF510000}"/>
    <cellStyle name="Comma 2 2 9 5 2 2 2" xfId="5825" xr:uid="{00000000-0005-0000-0000-0000F1160000}"/>
    <cellStyle name="Comma 2 2 9 5 2 3" xfId="20918" xr:uid="{00000000-0005-0000-0000-0000E6510000}"/>
    <cellStyle name="Comma 2 2 9 5 2 4" xfId="20926" xr:uid="{00000000-0005-0000-0000-0000EE510000}"/>
    <cellStyle name="Comma 2 2 9 5 2 5" xfId="20935" xr:uid="{00000000-0005-0000-0000-0000F7510000}"/>
    <cellStyle name="Comma 2 2 9 5 3" xfId="20938" xr:uid="{00000000-0005-0000-0000-0000FA510000}"/>
    <cellStyle name="Comma 2 2 9 5 3 2" xfId="20942" xr:uid="{00000000-0005-0000-0000-0000FE510000}"/>
    <cellStyle name="Comma 2 2 9 5 4" xfId="14316" xr:uid="{00000000-0005-0000-0000-00001C380000}"/>
    <cellStyle name="Comma 2 2 9 5 5" xfId="11868" xr:uid="{00000000-0005-0000-0000-00008C2E0000}"/>
    <cellStyle name="Comma 2 2 9 5 6" xfId="14320" xr:uid="{00000000-0005-0000-0000-000020380000}"/>
    <cellStyle name="Comma 2 2 9 5 7" xfId="14323" xr:uid="{00000000-0005-0000-0000-000023380000}"/>
    <cellStyle name="Comma 2 2 9 5 8" xfId="14326" xr:uid="{00000000-0005-0000-0000-000026380000}"/>
    <cellStyle name="Comma 2 2 9 5 9" xfId="14330" xr:uid="{00000000-0005-0000-0000-00002A380000}"/>
    <cellStyle name="Comma 2 2 9 6" xfId="20950" xr:uid="{00000000-0005-0000-0000-000006520000}"/>
    <cellStyle name="Comma 2 2 9 6 2" xfId="3281" xr:uid="{00000000-0005-0000-0000-0000010D0000}"/>
    <cellStyle name="Comma 2 2 9 6 2 2" xfId="13394" xr:uid="{00000000-0005-0000-0000-000082340000}"/>
    <cellStyle name="Comma 2 2 9 6 3" xfId="3294" xr:uid="{00000000-0005-0000-0000-00000E0D0000}"/>
    <cellStyle name="Comma 2 2 9 6 4" xfId="2098" xr:uid="{00000000-0005-0000-0000-000062080000}"/>
    <cellStyle name="Comma 2 2 9 6 5" xfId="7980" xr:uid="{00000000-0005-0000-0000-00005C1F0000}"/>
    <cellStyle name="Comma 2 2 9 6 6" xfId="7987" xr:uid="{00000000-0005-0000-0000-0000631F0000}"/>
    <cellStyle name="Comma 2 2 9 6 7" xfId="7990" xr:uid="{00000000-0005-0000-0000-0000661F0000}"/>
    <cellStyle name="Comma 2 2 9 6 8" xfId="7994" xr:uid="{00000000-0005-0000-0000-00006A1F0000}"/>
    <cellStyle name="Comma 2 2 9 6 9" xfId="12139" xr:uid="{00000000-0005-0000-0000-00009B2F0000}"/>
    <cellStyle name="Comma 2 2 9 7" xfId="20955" xr:uid="{00000000-0005-0000-0000-00000B520000}"/>
    <cellStyle name="Comma 2 2 9 7 2" xfId="249" xr:uid="{00000000-0005-0000-0000-00000A010000}"/>
    <cellStyle name="Comma 2 2 9 8" xfId="20960" xr:uid="{00000000-0005-0000-0000-000010520000}"/>
    <cellStyle name="Comma 2 2 9 9" xfId="19038" xr:uid="{00000000-0005-0000-0000-00008E4A0000}"/>
    <cellStyle name="Comma 2 3" xfId="2812" xr:uid="{00000000-0005-0000-0000-00002C0B0000}"/>
    <cellStyle name="Comma 3" xfId="20961" xr:uid="{00000000-0005-0000-0000-000011520000}"/>
    <cellStyle name="Comma 3 10" xfId="20966" xr:uid="{00000000-0005-0000-0000-000016520000}"/>
    <cellStyle name="Comma 3 10 10" xfId="20971" xr:uid="{00000000-0005-0000-0000-00001B520000}"/>
    <cellStyle name="Comma 3 10 11" xfId="20972" xr:uid="{00000000-0005-0000-0000-00001C520000}"/>
    <cellStyle name="Comma 3 10 12" xfId="20974" xr:uid="{00000000-0005-0000-0000-00001E520000}"/>
    <cellStyle name="Comma 3 10 13" xfId="20976" xr:uid="{00000000-0005-0000-0000-000020520000}"/>
    <cellStyle name="Comma 3 10 14" xfId="20978" xr:uid="{00000000-0005-0000-0000-000022520000}"/>
    <cellStyle name="Comma 3 10 15" xfId="20980" xr:uid="{00000000-0005-0000-0000-000024520000}"/>
    <cellStyle name="Comma 3 10 16" xfId="20984" xr:uid="{00000000-0005-0000-0000-000028520000}"/>
    <cellStyle name="Comma 3 10 17" xfId="15500" xr:uid="{00000000-0005-0000-0000-0000BC3C0000}"/>
    <cellStyle name="Comma 3 10 18" xfId="20988" xr:uid="{00000000-0005-0000-0000-00002C520000}"/>
    <cellStyle name="Comma 3 10 2" xfId="20995" xr:uid="{00000000-0005-0000-0000-000033520000}"/>
    <cellStyle name="Comma 3 10 2 10" xfId="10884" xr:uid="{00000000-0005-0000-0000-0000B42A0000}"/>
    <cellStyle name="Comma 3 10 2 2" xfId="21001" xr:uid="{00000000-0005-0000-0000-000039520000}"/>
    <cellStyle name="Comma 3 10 2 2 2" xfId="21004" xr:uid="{00000000-0005-0000-0000-00003C520000}"/>
    <cellStyle name="Comma 3 10 2 3" xfId="21010" xr:uid="{00000000-0005-0000-0000-000042520000}"/>
    <cellStyle name="Comma 3 10 2 4" xfId="21017" xr:uid="{00000000-0005-0000-0000-000049520000}"/>
    <cellStyle name="Comma 3 10 2 5" xfId="21021" xr:uid="{00000000-0005-0000-0000-00004D520000}"/>
    <cellStyle name="Comma 3 10 2 6" xfId="21023" xr:uid="{00000000-0005-0000-0000-00004F520000}"/>
    <cellStyle name="Comma 3 10 2 7" xfId="21025" xr:uid="{00000000-0005-0000-0000-000051520000}"/>
    <cellStyle name="Comma 3 10 2 8" xfId="21027" xr:uid="{00000000-0005-0000-0000-000053520000}"/>
    <cellStyle name="Comma 3 10 2 9" xfId="9194" xr:uid="{00000000-0005-0000-0000-00001A240000}"/>
    <cellStyle name="Comma 3 10 3" xfId="21031" xr:uid="{00000000-0005-0000-0000-000057520000}"/>
    <cellStyle name="Comma 3 10 3 2" xfId="21035" xr:uid="{00000000-0005-0000-0000-00005B520000}"/>
    <cellStyle name="Comma 3 10 3 3" xfId="21037" xr:uid="{00000000-0005-0000-0000-00005D520000}"/>
    <cellStyle name="Comma 3 10 3 4" xfId="20420" xr:uid="{00000000-0005-0000-0000-0000F44F0000}"/>
    <cellStyle name="Comma 3 10 3 5" xfId="20425" xr:uid="{00000000-0005-0000-0000-0000F94F0000}"/>
    <cellStyle name="Comma 3 10 3 6" xfId="20428" xr:uid="{00000000-0005-0000-0000-0000FC4F0000}"/>
    <cellStyle name="Comma 3 10 4" xfId="21041" xr:uid="{00000000-0005-0000-0000-000061520000}"/>
    <cellStyle name="Comma 3 10 4 2" xfId="21043" xr:uid="{00000000-0005-0000-0000-000063520000}"/>
    <cellStyle name="Comma 3 10 4 3" xfId="21045" xr:uid="{00000000-0005-0000-0000-000065520000}"/>
    <cellStyle name="Comma 3 10 4 4" xfId="6499" xr:uid="{00000000-0005-0000-0000-000093190000}"/>
    <cellStyle name="Comma 3 10 4 5" xfId="6516" xr:uid="{00000000-0005-0000-0000-0000A4190000}"/>
    <cellStyle name="Comma 3 10 4 6" xfId="4930" xr:uid="{00000000-0005-0000-0000-000072130000}"/>
    <cellStyle name="Comma 3 10 5" xfId="15124" xr:uid="{00000000-0005-0000-0000-0000443B0000}"/>
    <cellStyle name="Comma 3 10 5 2" xfId="21047" xr:uid="{00000000-0005-0000-0000-000067520000}"/>
    <cellStyle name="Comma 3 10 5 3" xfId="21050" xr:uid="{00000000-0005-0000-0000-00006A520000}"/>
    <cellStyle name="Comma 3 10 5 4" xfId="21052" xr:uid="{00000000-0005-0000-0000-00006C520000}"/>
    <cellStyle name="Comma 3 10 5 5" xfId="21054" xr:uid="{00000000-0005-0000-0000-00006E520000}"/>
    <cellStyle name="Comma 3 10 5 6" xfId="21056" xr:uid="{00000000-0005-0000-0000-000070520000}"/>
    <cellStyle name="Comma 3 10 6" xfId="21060" xr:uid="{00000000-0005-0000-0000-000074520000}"/>
    <cellStyle name="Comma 3 10 6 2" xfId="21062" xr:uid="{00000000-0005-0000-0000-000076520000}"/>
    <cellStyle name="Comma 3 10 6 3" xfId="21064" xr:uid="{00000000-0005-0000-0000-000078520000}"/>
    <cellStyle name="Comma 3 10 6 4" xfId="21066" xr:uid="{00000000-0005-0000-0000-00007A520000}"/>
    <cellStyle name="Comma 3 10 6 5" xfId="21068" xr:uid="{00000000-0005-0000-0000-00007C520000}"/>
    <cellStyle name="Comma 3 10 6 6" xfId="21070" xr:uid="{00000000-0005-0000-0000-00007E520000}"/>
    <cellStyle name="Comma 3 10 7" xfId="21075" xr:uid="{00000000-0005-0000-0000-000083520000}"/>
    <cellStyle name="Comma 3 10 8" xfId="18415" xr:uid="{00000000-0005-0000-0000-00001F480000}"/>
    <cellStyle name="Comma 3 10 9" xfId="21079" xr:uid="{00000000-0005-0000-0000-000087520000}"/>
    <cellStyle name="Comma 3 11" xfId="21084" xr:uid="{00000000-0005-0000-0000-00008C520000}"/>
    <cellStyle name="Comma 3 11 10" xfId="21091" xr:uid="{00000000-0005-0000-0000-000093520000}"/>
    <cellStyle name="Comma 3 11 11" xfId="21098" xr:uid="{00000000-0005-0000-0000-00009A520000}"/>
    <cellStyle name="Comma 3 11 12" xfId="21103" xr:uid="{00000000-0005-0000-0000-00009F520000}"/>
    <cellStyle name="Comma 3 11 13" xfId="21107" xr:uid="{00000000-0005-0000-0000-0000A3520000}"/>
    <cellStyle name="Comma 3 11 14" xfId="21108" xr:uid="{00000000-0005-0000-0000-0000A4520000}"/>
    <cellStyle name="Comma 3 11 15" xfId="21109" xr:uid="{00000000-0005-0000-0000-0000A5520000}"/>
    <cellStyle name="Comma 3 11 16" xfId="21110" xr:uid="{00000000-0005-0000-0000-0000A6520000}"/>
    <cellStyle name="Comma 3 11 17" xfId="21113" xr:uid="{00000000-0005-0000-0000-0000A9520000}"/>
    <cellStyle name="Comma 3 11 18" xfId="21116" xr:uid="{00000000-0005-0000-0000-0000AC520000}"/>
    <cellStyle name="Comma 3 11 2" xfId="18551" xr:uid="{00000000-0005-0000-0000-0000A7480000}"/>
    <cellStyle name="Comma 3 11 2 10" xfId="21117" xr:uid="{00000000-0005-0000-0000-0000AD520000}"/>
    <cellStyle name="Comma 3 11 2 2" xfId="21125" xr:uid="{00000000-0005-0000-0000-0000B5520000}"/>
    <cellStyle name="Comma 3 11 2 2 2" xfId="21127" xr:uid="{00000000-0005-0000-0000-0000B7520000}"/>
    <cellStyle name="Comma 3 11 2 3" xfId="21131" xr:uid="{00000000-0005-0000-0000-0000BB520000}"/>
    <cellStyle name="Comma 3 11 2 4" xfId="21134" xr:uid="{00000000-0005-0000-0000-0000BE520000}"/>
    <cellStyle name="Comma 3 11 2 5" xfId="21137" xr:uid="{00000000-0005-0000-0000-0000C1520000}"/>
    <cellStyle name="Comma 3 11 2 6" xfId="21140" xr:uid="{00000000-0005-0000-0000-0000C4520000}"/>
    <cellStyle name="Comma 3 11 2 7" xfId="21143" xr:uid="{00000000-0005-0000-0000-0000C7520000}"/>
    <cellStyle name="Comma 3 11 2 8" xfId="21145" xr:uid="{00000000-0005-0000-0000-0000C9520000}"/>
    <cellStyle name="Comma 3 11 2 9" xfId="9255" xr:uid="{00000000-0005-0000-0000-000057240000}"/>
    <cellStyle name="Comma 3 11 3" xfId="18558" xr:uid="{00000000-0005-0000-0000-0000AE480000}"/>
    <cellStyle name="Comma 3 11 3 2" xfId="19170" xr:uid="{00000000-0005-0000-0000-0000124B0000}"/>
    <cellStyle name="Comma 3 11 3 3" xfId="19175" xr:uid="{00000000-0005-0000-0000-0000174B0000}"/>
    <cellStyle name="Comma 3 11 3 4" xfId="19179" xr:uid="{00000000-0005-0000-0000-00001B4B0000}"/>
    <cellStyle name="Comma 3 11 3 5" xfId="21148" xr:uid="{00000000-0005-0000-0000-0000CC520000}"/>
    <cellStyle name="Comma 3 11 3 6" xfId="21150" xr:uid="{00000000-0005-0000-0000-0000CE520000}"/>
    <cellStyle name="Comma 3 11 4" xfId="18564" xr:uid="{00000000-0005-0000-0000-0000B4480000}"/>
    <cellStyle name="Comma 3 11 4 2" xfId="7202" xr:uid="{00000000-0005-0000-0000-0000521C0000}"/>
    <cellStyle name="Comma 3 11 4 3" xfId="7225" xr:uid="{00000000-0005-0000-0000-0000691C0000}"/>
    <cellStyle name="Comma 3 11 4 4" xfId="6545" xr:uid="{00000000-0005-0000-0000-0000C1190000}"/>
    <cellStyle name="Comma 3 11 4 5" xfId="6554" xr:uid="{00000000-0005-0000-0000-0000CA190000}"/>
    <cellStyle name="Comma 3 11 4 6" xfId="6564" xr:uid="{00000000-0005-0000-0000-0000D4190000}"/>
    <cellStyle name="Comma 3 11 5" xfId="18570" xr:uid="{00000000-0005-0000-0000-0000BA480000}"/>
    <cellStyle name="Comma 3 11 5 2" xfId="21153" xr:uid="{00000000-0005-0000-0000-0000D1520000}"/>
    <cellStyle name="Comma 3 11 5 3" xfId="21156" xr:uid="{00000000-0005-0000-0000-0000D4520000}"/>
    <cellStyle name="Comma 3 11 5 4" xfId="21158" xr:uid="{00000000-0005-0000-0000-0000D6520000}"/>
    <cellStyle name="Comma 3 11 5 5" xfId="21160" xr:uid="{00000000-0005-0000-0000-0000D8520000}"/>
    <cellStyle name="Comma 3 11 5 6" xfId="21162" xr:uid="{00000000-0005-0000-0000-0000DA520000}"/>
    <cellStyle name="Comma 3 11 6" xfId="21167" xr:uid="{00000000-0005-0000-0000-0000DF520000}"/>
    <cellStyle name="Comma 3 11 6 2" xfId="21169" xr:uid="{00000000-0005-0000-0000-0000E1520000}"/>
    <cellStyle name="Comma 3 11 6 3" xfId="21171" xr:uid="{00000000-0005-0000-0000-0000E3520000}"/>
    <cellStyle name="Comma 3 11 6 4" xfId="21172" xr:uid="{00000000-0005-0000-0000-0000E4520000}"/>
    <cellStyle name="Comma 3 11 6 5" xfId="21173" xr:uid="{00000000-0005-0000-0000-0000E5520000}"/>
    <cellStyle name="Comma 3 11 6 6" xfId="21174" xr:uid="{00000000-0005-0000-0000-0000E6520000}"/>
    <cellStyle name="Comma 3 11 7" xfId="21179" xr:uid="{00000000-0005-0000-0000-0000EB520000}"/>
    <cellStyle name="Comma 3 11 8" xfId="21185" xr:uid="{00000000-0005-0000-0000-0000F1520000}"/>
    <cellStyle name="Comma 3 11 9" xfId="21192" xr:uid="{00000000-0005-0000-0000-0000F8520000}"/>
    <cellStyle name="Comma 3 12" xfId="21195" xr:uid="{00000000-0005-0000-0000-0000FB520000}"/>
    <cellStyle name="Comma 3 12 10" xfId="21196" xr:uid="{00000000-0005-0000-0000-0000FC520000}"/>
    <cellStyle name="Comma 3 12 11" xfId="17999" xr:uid="{00000000-0005-0000-0000-00007F460000}"/>
    <cellStyle name="Comma 3 12 12" xfId="18002" xr:uid="{00000000-0005-0000-0000-000082460000}"/>
    <cellStyle name="Comma 3 12 13" xfId="18005" xr:uid="{00000000-0005-0000-0000-000085460000}"/>
    <cellStyle name="Comma 3 12 14" xfId="2069" xr:uid="{00000000-0005-0000-0000-000045080000}"/>
    <cellStyle name="Comma 3 12 15" xfId="5453" xr:uid="{00000000-0005-0000-0000-00007D150000}"/>
    <cellStyle name="Comma 3 12 2" xfId="21199" xr:uid="{00000000-0005-0000-0000-0000FF520000}"/>
    <cellStyle name="Comma 3 12 2 2" xfId="21203" xr:uid="{00000000-0005-0000-0000-000003530000}"/>
    <cellStyle name="Comma 3 12 2 2 2" xfId="21205" xr:uid="{00000000-0005-0000-0000-000005530000}"/>
    <cellStyle name="Comma 3 12 2 3" xfId="21208" xr:uid="{00000000-0005-0000-0000-000008530000}"/>
    <cellStyle name="Comma 3 12 2 4" xfId="21211" xr:uid="{00000000-0005-0000-0000-00000B530000}"/>
    <cellStyle name="Comma 3 12 2 5" xfId="3261" xr:uid="{00000000-0005-0000-0000-0000ED0C0000}"/>
    <cellStyle name="Comma 3 12 2 6" xfId="21213" xr:uid="{00000000-0005-0000-0000-00000D530000}"/>
    <cellStyle name="Comma 3 12 2 7" xfId="21216" xr:uid="{00000000-0005-0000-0000-000010530000}"/>
    <cellStyle name="Comma 3 12 2 8" xfId="21217" xr:uid="{00000000-0005-0000-0000-000011530000}"/>
    <cellStyle name="Comma 3 12 2 9" xfId="21219" xr:uid="{00000000-0005-0000-0000-000013530000}"/>
    <cellStyle name="Comma 3 12 3" xfId="21220" xr:uid="{00000000-0005-0000-0000-000014530000}"/>
    <cellStyle name="Comma 3 12 3 2" xfId="21223" xr:uid="{00000000-0005-0000-0000-000017530000}"/>
    <cellStyle name="Comma 3 12 3 3" xfId="21226" xr:uid="{00000000-0005-0000-0000-00001A530000}"/>
    <cellStyle name="Comma 3 12 3 4" xfId="21228" xr:uid="{00000000-0005-0000-0000-00001C530000}"/>
    <cellStyle name="Comma 3 12 3 5" xfId="21229" xr:uid="{00000000-0005-0000-0000-00001D530000}"/>
    <cellStyle name="Comma 3 12 3 6" xfId="21230" xr:uid="{00000000-0005-0000-0000-00001E530000}"/>
    <cellStyle name="Comma 3 12 4" xfId="21231" xr:uid="{00000000-0005-0000-0000-00001F530000}"/>
    <cellStyle name="Comma 3 12 4 2" xfId="21233" xr:uid="{00000000-0005-0000-0000-000021530000}"/>
    <cellStyle name="Comma 3 12 5" xfId="21234" xr:uid="{00000000-0005-0000-0000-000022530000}"/>
    <cellStyle name="Comma 3 12 6" xfId="21235" xr:uid="{00000000-0005-0000-0000-000023530000}"/>
    <cellStyle name="Comma 3 12 7" xfId="21236" xr:uid="{00000000-0005-0000-0000-000024530000}"/>
    <cellStyle name="Comma 3 12 8" xfId="21237" xr:uid="{00000000-0005-0000-0000-000025530000}"/>
    <cellStyle name="Comma 3 12 9" xfId="21238" xr:uid="{00000000-0005-0000-0000-000026530000}"/>
    <cellStyle name="Comma 3 13" xfId="21241" xr:uid="{00000000-0005-0000-0000-000029530000}"/>
    <cellStyle name="Comma 3 13 10" xfId="18803" xr:uid="{00000000-0005-0000-0000-0000A3490000}"/>
    <cellStyle name="Comma 3 13 11" xfId="21242" xr:uid="{00000000-0005-0000-0000-00002A530000}"/>
    <cellStyle name="Comma 3 13 12" xfId="21244" xr:uid="{00000000-0005-0000-0000-00002C530000}"/>
    <cellStyle name="Comma 3 13 13" xfId="21247" xr:uid="{00000000-0005-0000-0000-00002F530000}"/>
    <cellStyle name="Comma 3 13 14" xfId="21250" xr:uid="{00000000-0005-0000-0000-000032530000}"/>
    <cellStyle name="Comma 3 13 2" xfId="21252" xr:uid="{00000000-0005-0000-0000-000034530000}"/>
    <cellStyle name="Comma 3 13 2 2" xfId="21255" xr:uid="{00000000-0005-0000-0000-000037530000}"/>
    <cellStyle name="Comma 3 13 2 2 2" xfId="21261" xr:uid="{00000000-0005-0000-0000-00003D530000}"/>
    <cellStyle name="Comma 3 13 2 3" xfId="21265" xr:uid="{00000000-0005-0000-0000-000041530000}"/>
    <cellStyle name="Comma 3 13 2 4" xfId="2511" xr:uid="{00000000-0005-0000-0000-0000FF090000}"/>
    <cellStyle name="Comma 3 13 2 5" xfId="2893" xr:uid="{00000000-0005-0000-0000-00007D0B0000}"/>
    <cellStyle name="Comma 3 13 2 6" xfId="21268" xr:uid="{00000000-0005-0000-0000-000044530000}"/>
    <cellStyle name="Comma 3 13 2 7" xfId="21274" xr:uid="{00000000-0005-0000-0000-00004A530000}"/>
    <cellStyle name="Comma 3 13 2 8" xfId="21277" xr:uid="{00000000-0005-0000-0000-00004D530000}"/>
    <cellStyle name="Comma 3 13 2 9" xfId="21281" xr:uid="{00000000-0005-0000-0000-000051530000}"/>
    <cellStyle name="Comma 3 13 3" xfId="21283" xr:uid="{00000000-0005-0000-0000-000053530000}"/>
    <cellStyle name="Comma 3 13 3 2" xfId="21285" xr:uid="{00000000-0005-0000-0000-000055530000}"/>
    <cellStyle name="Comma 3 13 3 3" xfId="21287" xr:uid="{00000000-0005-0000-0000-000057530000}"/>
    <cellStyle name="Comma 3 13 3 4" xfId="2554" xr:uid="{00000000-0005-0000-0000-00002A0A0000}"/>
    <cellStyle name="Comma 3 13 3 5" xfId="21289" xr:uid="{00000000-0005-0000-0000-000059530000}"/>
    <cellStyle name="Comma 3 13 3 6" xfId="21291" xr:uid="{00000000-0005-0000-0000-00005B530000}"/>
    <cellStyle name="Comma 3 13 4" xfId="21294" xr:uid="{00000000-0005-0000-0000-00005E530000}"/>
    <cellStyle name="Comma 3 13 4 2" xfId="21295" xr:uid="{00000000-0005-0000-0000-00005F530000}"/>
    <cellStyle name="Comma 3 13 5" xfId="21296" xr:uid="{00000000-0005-0000-0000-000060530000}"/>
    <cellStyle name="Comma 3 13 6" xfId="21297" xr:uid="{00000000-0005-0000-0000-000061530000}"/>
    <cellStyle name="Comma 3 13 7" xfId="21298" xr:uid="{00000000-0005-0000-0000-000062530000}"/>
    <cellStyle name="Comma 3 13 8" xfId="21299" xr:uid="{00000000-0005-0000-0000-000063530000}"/>
    <cellStyle name="Comma 3 13 9" xfId="21300" xr:uid="{00000000-0005-0000-0000-000064530000}"/>
    <cellStyle name="Comma 3 14" xfId="21303" xr:uid="{00000000-0005-0000-0000-000067530000}"/>
    <cellStyle name="Comma 3 14 10" xfId="18821" xr:uid="{00000000-0005-0000-0000-0000B5490000}"/>
    <cellStyle name="Comma 3 14 2" xfId="21304" xr:uid="{00000000-0005-0000-0000-000068530000}"/>
    <cellStyle name="Comma 3 14 2 2" xfId="21308" xr:uid="{00000000-0005-0000-0000-00006C530000}"/>
    <cellStyle name="Comma 3 14 2 2 2" xfId="21309" xr:uid="{00000000-0005-0000-0000-00006D530000}"/>
    <cellStyle name="Comma 3 14 2 3" xfId="21313" xr:uid="{00000000-0005-0000-0000-000071530000}"/>
    <cellStyle name="Comma 3 14 2 4" xfId="415" xr:uid="{00000000-0005-0000-0000-0000BA010000}"/>
    <cellStyle name="Comma 3 14 2 5" xfId="5002" xr:uid="{00000000-0005-0000-0000-0000BA130000}"/>
    <cellStyle name="Comma 3 14 3" xfId="21314" xr:uid="{00000000-0005-0000-0000-000072530000}"/>
    <cellStyle name="Comma 3 14 3 2" xfId="19302" xr:uid="{00000000-0005-0000-0000-0000964B0000}"/>
    <cellStyle name="Comma 3 14 4" xfId="21315" xr:uid="{00000000-0005-0000-0000-000073530000}"/>
    <cellStyle name="Comma 3 14 5" xfId="19639" xr:uid="{00000000-0005-0000-0000-0000E74C0000}"/>
    <cellStyle name="Comma 3 14 6" xfId="19644" xr:uid="{00000000-0005-0000-0000-0000EC4C0000}"/>
    <cellStyle name="Comma 3 14 7" xfId="19645" xr:uid="{00000000-0005-0000-0000-0000ED4C0000}"/>
    <cellStyle name="Comma 3 14 8" xfId="19648" xr:uid="{00000000-0005-0000-0000-0000F04C0000}"/>
    <cellStyle name="Comma 3 14 9" xfId="19652" xr:uid="{00000000-0005-0000-0000-0000F44C0000}"/>
    <cellStyle name="Comma 3 15" xfId="21317" xr:uid="{00000000-0005-0000-0000-000075530000}"/>
    <cellStyle name="Comma 3 15 2" xfId="2733" xr:uid="{00000000-0005-0000-0000-0000DD0A0000}"/>
    <cellStyle name="Comma 3 15 2 2" xfId="2738" xr:uid="{00000000-0005-0000-0000-0000E20A0000}"/>
    <cellStyle name="Comma 3 15 3" xfId="583" xr:uid="{00000000-0005-0000-0000-00006F020000}"/>
    <cellStyle name="Comma 3 15 4" xfId="21318" xr:uid="{00000000-0005-0000-0000-000076530000}"/>
    <cellStyle name="Comma 3 15 5" xfId="19665" xr:uid="{00000000-0005-0000-0000-0000014D0000}"/>
    <cellStyle name="Comma 3 15 6" xfId="19668" xr:uid="{00000000-0005-0000-0000-0000044D0000}"/>
    <cellStyle name="Comma 3 15 7" xfId="16538" xr:uid="{00000000-0005-0000-0000-0000CA400000}"/>
    <cellStyle name="Comma 3 15 8" xfId="16547" xr:uid="{00000000-0005-0000-0000-0000D3400000}"/>
    <cellStyle name="Comma 3 15 9" xfId="16548" xr:uid="{00000000-0005-0000-0000-0000D4400000}"/>
    <cellStyle name="Comma 3 16" xfId="21320" xr:uid="{00000000-0005-0000-0000-000078530000}"/>
    <cellStyle name="Comma 3 16 2" xfId="18611" xr:uid="{00000000-0005-0000-0000-0000E3480000}"/>
    <cellStyle name="Comma 3 16 3" xfId="18614" xr:uid="{00000000-0005-0000-0000-0000E6480000}"/>
    <cellStyle name="Comma 3 16 4" xfId="21322" xr:uid="{00000000-0005-0000-0000-00007A530000}"/>
    <cellStyle name="Comma 3 16 5" xfId="19671" xr:uid="{00000000-0005-0000-0000-0000074D0000}"/>
    <cellStyle name="Comma 3 16 6" xfId="19674" xr:uid="{00000000-0005-0000-0000-00000A4D0000}"/>
    <cellStyle name="Comma 3 17" xfId="21324" xr:uid="{00000000-0005-0000-0000-00007C530000}"/>
    <cellStyle name="Comma 3 17 2" xfId="21325" xr:uid="{00000000-0005-0000-0000-00007D530000}"/>
    <cellStyle name="Comma 3 17 3" xfId="21326" xr:uid="{00000000-0005-0000-0000-00007E530000}"/>
    <cellStyle name="Comma 3 17 4" xfId="21329" xr:uid="{00000000-0005-0000-0000-000081530000}"/>
    <cellStyle name="Comma 3 17 5" xfId="19678" xr:uid="{00000000-0005-0000-0000-00000E4D0000}"/>
    <cellStyle name="Comma 3 17 6" xfId="19685" xr:uid="{00000000-0005-0000-0000-0000154D0000}"/>
    <cellStyle name="Comma 3 18" xfId="21332" xr:uid="{00000000-0005-0000-0000-000084530000}"/>
    <cellStyle name="Comma 3 18 2" xfId="21334" xr:uid="{00000000-0005-0000-0000-000086530000}"/>
    <cellStyle name="Comma 3 18 3" xfId="21335" xr:uid="{00000000-0005-0000-0000-000087530000}"/>
    <cellStyle name="Comma 3 18 4" xfId="21339" xr:uid="{00000000-0005-0000-0000-00008B530000}"/>
    <cellStyle name="Comma 3 18 5" xfId="19701" xr:uid="{00000000-0005-0000-0000-0000254D0000}"/>
    <cellStyle name="Comma 3 18 6" xfId="19707" xr:uid="{00000000-0005-0000-0000-00002B4D0000}"/>
    <cellStyle name="Comma 3 19" xfId="21343" xr:uid="{00000000-0005-0000-0000-00008F530000}"/>
    <cellStyle name="Comma 3 2" xfId="2872" xr:uid="{00000000-0005-0000-0000-0000680B0000}"/>
    <cellStyle name="Comma 3 2 10" xfId="21344" xr:uid="{00000000-0005-0000-0000-000090530000}"/>
    <cellStyle name="Comma 3 2 10 10" xfId="21345" xr:uid="{00000000-0005-0000-0000-000091530000}"/>
    <cellStyle name="Comma 3 2 10 11" xfId="21350" xr:uid="{00000000-0005-0000-0000-000096530000}"/>
    <cellStyle name="Comma 3 2 10 12" xfId="21356" xr:uid="{00000000-0005-0000-0000-00009C530000}"/>
    <cellStyle name="Comma 3 2 10 13" xfId="21364" xr:uid="{00000000-0005-0000-0000-0000A4530000}"/>
    <cellStyle name="Comma 3 2 10 14" xfId="21371" xr:uid="{00000000-0005-0000-0000-0000AB530000}"/>
    <cellStyle name="Comma 3 2 10 2" xfId="5398" xr:uid="{00000000-0005-0000-0000-000046150000}"/>
    <cellStyle name="Comma 3 2 10 2 2" xfId="3957" xr:uid="{00000000-0005-0000-0000-0000A50F0000}"/>
    <cellStyle name="Comma 3 2 10 2 2 2" xfId="21372" xr:uid="{00000000-0005-0000-0000-0000AC530000}"/>
    <cellStyle name="Comma 3 2 10 2 3" xfId="9795" xr:uid="{00000000-0005-0000-0000-000073260000}"/>
    <cellStyle name="Comma 3 2 10 2 4" xfId="10868" xr:uid="{00000000-0005-0000-0000-0000A42A0000}"/>
    <cellStyle name="Comma 3 2 10 2 5" xfId="10872" xr:uid="{00000000-0005-0000-0000-0000A82A0000}"/>
    <cellStyle name="Comma 3 2 10 2 6" xfId="10877" xr:uid="{00000000-0005-0000-0000-0000AD2A0000}"/>
    <cellStyle name="Comma 3 2 10 2 7" xfId="10889" xr:uid="{00000000-0005-0000-0000-0000B92A0000}"/>
    <cellStyle name="Comma 3 2 10 2 8" xfId="21378" xr:uid="{00000000-0005-0000-0000-0000B2530000}"/>
    <cellStyle name="Comma 3 2 10 2 9" xfId="21383" xr:uid="{00000000-0005-0000-0000-0000B7530000}"/>
    <cellStyle name="Comma 3 2 10 3" xfId="21390" xr:uid="{00000000-0005-0000-0000-0000BE530000}"/>
    <cellStyle name="Comma 3 2 10 3 2" xfId="4041" xr:uid="{00000000-0005-0000-0000-0000F90F0000}"/>
    <cellStyle name="Comma 3 2 10 3 3" xfId="10909" xr:uid="{00000000-0005-0000-0000-0000CD2A0000}"/>
    <cellStyle name="Comma 3 2 10 3 4" xfId="10916" xr:uid="{00000000-0005-0000-0000-0000D42A0000}"/>
    <cellStyle name="Comma 3 2 10 3 5" xfId="21392" xr:uid="{00000000-0005-0000-0000-0000C0530000}"/>
    <cellStyle name="Comma 3 2 10 3 6" xfId="21396" xr:uid="{00000000-0005-0000-0000-0000C4530000}"/>
    <cellStyle name="Comma 3 2 10 4" xfId="21400" xr:uid="{00000000-0005-0000-0000-0000C8530000}"/>
    <cellStyle name="Comma 3 2 10 4 2" xfId="21403" xr:uid="{00000000-0005-0000-0000-0000CB530000}"/>
    <cellStyle name="Comma 3 2 10 5" xfId="20271" xr:uid="{00000000-0005-0000-0000-00005F4F0000}"/>
    <cellStyle name="Comma 3 2 10 6" xfId="20275" xr:uid="{00000000-0005-0000-0000-0000634F0000}"/>
    <cellStyle name="Comma 3 2 10 7" xfId="20278" xr:uid="{00000000-0005-0000-0000-0000664F0000}"/>
    <cellStyle name="Comma 3 2 10 8" xfId="20284" xr:uid="{00000000-0005-0000-0000-00006C4F0000}"/>
    <cellStyle name="Comma 3 2 10 9" xfId="20289" xr:uid="{00000000-0005-0000-0000-0000714F0000}"/>
    <cellStyle name="Comma 3 2 11" xfId="21404" xr:uid="{00000000-0005-0000-0000-0000CC530000}"/>
    <cellStyle name="Comma 3 2 11 10" xfId="20925" xr:uid="{00000000-0005-0000-0000-0000ED510000}"/>
    <cellStyle name="Comma 3 2 11 2" xfId="21405" xr:uid="{00000000-0005-0000-0000-0000CD530000}"/>
    <cellStyle name="Comma 3 2 11 2 2" xfId="2588" xr:uid="{00000000-0005-0000-0000-00004C0A0000}"/>
    <cellStyle name="Comma 3 2 11 2 2 2" xfId="21406" xr:uid="{00000000-0005-0000-0000-0000CE530000}"/>
    <cellStyle name="Comma 3 2 11 2 3" xfId="10951" xr:uid="{00000000-0005-0000-0000-0000F72A0000}"/>
    <cellStyle name="Comma 3 2 11 2 4" xfId="7297" xr:uid="{00000000-0005-0000-0000-0000B11C0000}"/>
    <cellStyle name="Comma 3 2 11 2 5" xfId="7303" xr:uid="{00000000-0005-0000-0000-0000B71C0000}"/>
    <cellStyle name="Comma 3 2 11 3" xfId="21407" xr:uid="{00000000-0005-0000-0000-0000CF530000}"/>
    <cellStyle name="Comma 3 2 11 3 2" xfId="10971" xr:uid="{00000000-0005-0000-0000-00000B2B0000}"/>
    <cellStyle name="Comma 3 2 11 4" xfId="21408" xr:uid="{00000000-0005-0000-0000-0000D0530000}"/>
    <cellStyle name="Comma 3 2 11 5" xfId="20303" xr:uid="{00000000-0005-0000-0000-00007F4F0000}"/>
    <cellStyle name="Comma 3 2 11 6" xfId="20305" xr:uid="{00000000-0005-0000-0000-0000814F0000}"/>
    <cellStyle name="Comma 3 2 11 7" xfId="19731" xr:uid="{00000000-0005-0000-0000-0000434D0000}"/>
    <cellStyle name="Comma 3 2 11 8" xfId="11112" xr:uid="{00000000-0005-0000-0000-0000982B0000}"/>
    <cellStyle name="Comma 3 2 11 9" xfId="19735" xr:uid="{00000000-0005-0000-0000-0000474D0000}"/>
    <cellStyle name="Comma 3 2 12" xfId="21409" xr:uid="{00000000-0005-0000-0000-0000D1530000}"/>
    <cellStyle name="Comma 3 2 12 2" xfId="21410" xr:uid="{00000000-0005-0000-0000-0000D2530000}"/>
    <cellStyle name="Comma 3 2 12 2 2" xfId="17820" xr:uid="{00000000-0005-0000-0000-0000CC450000}"/>
    <cellStyle name="Comma 3 2 12 3" xfId="21411" xr:uid="{00000000-0005-0000-0000-0000D3530000}"/>
    <cellStyle name="Comma 3 2 12 4" xfId="21412" xr:uid="{00000000-0005-0000-0000-0000D4530000}"/>
    <cellStyle name="Comma 3 2 12 5" xfId="21413" xr:uid="{00000000-0005-0000-0000-0000D5530000}"/>
    <cellStyle name="Comma 3 2 12 6" xfId="21414" xr:uid="{00000000-0005-0000-0000-0000D6530000}"/>
    <cellStyle name="Comma 3 2 12 7" xfId="19763" xr:uid="{00000000-0005-0000-0000-0000634D0000}"/>
    <cellStyle name="Comma 3 2 12 8" xfId="19765" xr:uid="{00000000-0005-0000-0000-0000654D0000}"/>
    <cellStyle name="Comma 3 2 12 9" xfId="16633" xr:uid="{00000000-0005-0000-0000-000029410000}"/>
    <cellStyle name="Comma 3 2 13" xfId="21415" xr:uid="{00000000-0005-0000-0000-0000D7530000}"/>
    <cellStyle name="Comma 3 2 13 2" xfId="21418" xr:uid="{00000000-0005-0000-0000-0000DA530000}"/>
    <cellStyle name="Comma 3 2 13 3" xfId="21419" xr:uid="{00000000-0005-0000-0000-0000DB530000}"/>
    <cellStyle name="Comma 3 2 13 4" xfId="21422" xr:uid="{00000000-0005-0000-0000-0000DE530000}"/>
    <cellStyle name="Comma 3 2 13 5" xfId="21423" xr:uid="{00000000-0005-0000-0000-0000DF530000}"/>
    <cellStyle name="Comma 3 2 13 6" xfId="21424" xr:uid="{00000000-0005-0000-0000-0000E0530000}"/>
    <cellStyle name="Comma 3 2 14" xfId="21426" xr:uid="{00000000-0005-0000-0000-0000E2530000}"/>
    <cellStyle name="Comma 3 2 14 2" xfId="21427" xr:uid="{00000000-0005-0000-0000-0000E3530000}"/>
    <cellStyle name="Comma 3 2 14 3" xfId="21428" xr:uid="{00000000-0005-0000-0000-0000E4530000}"/>
    <cellStyle name="Comma 3 2 14 4" xfId="21429" xr:uid="{00000000-0005-0000-0000-0000E5530000}"/>
    <cellStyle name="Comma 3 2 14 5" xfId="21430" xr:uid="{00000000-0005-0000-0000-0000E6530000}"/>
    <cellStyle name="Comma 3 2 14 6" xfId="21434" xr:uid="{00000000-0005-0000-0000-0000EA530000}"/>
    <cellStyle name="Comma 3 2 15" xfId="2068" xr:uid="{00000000-0005-0000-0000-000044080000}"/>
    <cellStyle name="Comma 3 2 15 2" xfId="21439" xr:uid="{00000000-0005-0000-0000-0000EF530000}"/>
    <cellStyle name="Comma 3 2 15 3" xfId="21443" xr:uid="{00000000-0005-0000-0000-0000F3530000}"/>
    <cellStyle name="Comma 3 2 15 4" xfId="21446" xr:uid="{00000000-0005-0000-0000-0000F6530000}"/>
    <cellStyle name="Comma 3 2 15 5" xfId="21448" xr:uid="{00000000-0005-0000-0000-0000F8530000}"/>
    <cellStyle name="Comma 3 2 15 6" xfId="21452" xr:uid="{00000000-0005-0000-0000-0000FC530000}"/>
    <cellStyle name="Comma 3 2 16" xfId="21455" xr:uid="{00000000-0005-0000-0000-0000FF530000}"/>
    <cellStyle name="Comma 3 2 17" xfId="21457" xr:uid="{00000000-0005-0000-0000-000001540000}"/>
    <cellStyle name="Comma 3 2 18" xfId="21460" xr:uid="{00000000-0005-0000-0000-000004540000}"/>
    <cellStyle name="Comma 3 2 19" xfId="21463" xr:uid="{00000000-0005-0000-0000-000007540000}"/>
    <cellStyle name="Comma 3 2 2" xfId="2876" xr:uid="{00000000-0005-0000-0000-00006C0B0000}"/>
    <cellStyle name="Comma 3 2 2 10" xfId="21464" xr:uid="{00000000-0005-0000-0000-000008540000}"/>
    <cellStyle name="Comma 3 2 2 10 2" xfId="21467" xr:uid="{00000000-0005-0000-0000-00000B540000}"/>
    <cellStyle name="Comma 3 2 2 10 2 2" xfId="15627" xr:uid="{00000000-0005-0000-0000-00003B3D0000}"/>
    <cellStyle name="Comma 3 2 2 10 3" xfId="21468" xr:uid="{00000000-0005-0000-0000-00000C540000}"/>
    <cellStyle name="Comma 3 2 2 10 4" xfId="21470" xr:uid="{00000000-0005-0000-0000-00000E540000}"/>
    <cellStyle name="Comma 3 2 2 10 5" xfId="21471" xr:uid="{00000000-0005-0000-0000-00000F540000}"/>
    <cellStyle name="Comma 3 2 2 10 6" xfId="15694" xr:uid="{00000000-0005-0000-0000-00007E3D0000}"/>
    <cellStyle name="Comma 3 2 2 10 7" xfId="15696" xr:uid="{00000000-0005-0000-0000-0000803D0000}"/>
    <cellStyle name="Comma 3 2 2 10 8" xfId="15700" xr:uid="{00000000-0005-0000-0000-0000843D0000}"/>
    <cellStyle name="Comma 3 2 2 10 9" xfId="15705" xr:uid="{00000000-0005-0000-0000-0000893D0000}"/>
    <cellStyle name="Comma 3 2 2 11" xfId="21472" xr:uid="{00000000-0005-0000-0000-000010540000}"/>
    <cellStyle name="Comma 3 2 2 11 2" xfId="1388" xr:uid="{00000000-0005-0000-0000-00009C050000}"/>
    <cellStyle name="Comma 3 2 2 11 3" xfId="4730" xr:uid="{00000000-0005-0000-0000-0000AA120000}"/>
    <cellStyle name="Comma 3 2 2 11 4" xfId="4751" xr:uid="{00000000-0005-0000-0000-0000BF120000}"/>
    <cellStyle name="Comma 3 2 2 11 5" xfId="4359" xr:uid="{00000000-0005-0000-0000-000037110000}"/>
    <cellStyle name="Comma 3 2 2 11 6" xfId="16669" xr:uid="{00000000-0005-0000-0000-00004D410000}"/>
    <cellStyle name="Comma 3 2 2 12" xfId="21474" xr:uid="{00000000-0005-0000-0000-000012540000}"/>
    <cellStyle name="Comma 3 2 2 12 2" xfId="1422" xr:uid="{00000000-0005-0000-0000-0000BE050000}"/>
    <cellStyle name="Comma 3 2 2 12 3" xfId="17000" xr:uid="{00000000-0005-0000-0000-000098420000}"/>
    <cellStyle name="Comma 3 2 2 12 4" xfId="17088" xr:uid="{00000000-0005-0000-0000-0000F0420000}"/>
    <cellStyle name="Comma 3 2 2 12 5" xfId="15338" xr:uid="{00000000-0005-0000-0000-00001A3C0000}"/>
    <cellStyle name="Comma 3 2 2 12 6" xfId="17128" xr:uid="{00000000-0005-0000-0000-000018430000}"/>
    <cellStyle name="Comma 3 2 2 13" xfId="20325" xr:uid="{00000000-0005-0000-0000-0000954F0000}"/>
    <cellStyle name="Comma 3 2 2 13 2" xfId="17297" xr:uid="{00000000-0005-0000-0000-0000C1430000}"/>
    <cellStyle name="Comma 3 2 2 13 3" xfId="17342" xr:uid="{00000000-0005-0000-0000-0000EE430000}"/>
    <cellStyle name="Comma 3 2 2 13 4" xfId="17382" xr:uid="{00000000-0005-0000-0000-000016440000}"/>
    <cellStyle name="Comma 3 2 2 13 5" xfId="17394" xr:uid="{00000000-0005-0000-0000-000022440000}"/>
    <cellStyle name="Comma 3 2 2 13 6" xfId="17401" xr:uid="{00000000-0005-0000-0000-000029440000}"/>
    <cellStyle name="Comma 3 2 2 14" xfId="20329" xr:uid="{00000000-0005-0000-0000-0000994F0000}"/>
    <cellStyle name="Comma 3 2 2 14 2" xfId="17568" xr:uid="{00000000-0005-0000-0000-0000D0440000}"/>
    <cellStyle name="Comma 3 2 2 14 3" xfId="17587" xr:uid="{00000000-0005-0000-0000-0000E3440000}"/>
    <cellStyle name="Comma 3 2 2 14 4" xfId="17599" xr:uid="{00000000-0005-0000-0000-0000EF440000}"/>
    <cellStyle name="Comma 3 2 2 14 5" xfId="17602" xr:uid="{00000000-0005-0000-0000-0000F2440000}"/>
    <cellStyle name="Comma 3 2 2 14 6" xfId="17604" xr:uid="{00000000-0005-0000-0000-0000F4440000}"/>
    <cellStyle name="Comma 3 2 2 15" xfId="20334" xr:uid="{00000000-0005-0000-0000-00009E4F0000}"/>
    <cellStyle name="Comma 3 2 2 16" xfId="20338" xr:uid="{00000000-0005-0000-0000-0000A24F0000}"/>
    <cellStyle name="Comma 3 2 2 17" xfId="20342" xr:uid="{00000000-0005-0000-0000-0000A64F0000}"/>
    <cellStyle name="Comma 3 2 2 18" xfId="20345" xr:uid="{00000000-0005-0000-0000-0000A94F0000}"/>
    <cellStyle name="Comma 3 2 2 19" xfId="20348" xr:uid="{00000000-0005-0000-0000-0000AC4F0000}"/>
    <cellStyle name="Comma 3 2 2 2" xfId="19456" xr:uid="{00000000-0005-0000-0000-0000304C0000}"/>
    <cellStyle name="Comma 3 2 2 2 10" xfId="14053" xr:uid="{00000000-0005-0000-0000-000015370000}"/>
    <cellStyle name="Comma 3 2 2 2 10 2" xfId="4722" xr:uid="{00000000-0005-0000-0000-0000A2120000}"/>
    <cellStyle name="Comma 3 2 2 2 10 3" xfId="4743" xr:uid="{00000000-0005-0000-0000-0000B7120000}"/>
    <cellStyle name="Comma 3 2 2 2 10 4" xfId="9825" xr:uid="{00000000-0005-0000-0000-000091260000}"/>
    <cellStyle name="Comma 3 2 2 2 10 5" xfId="11714" xr:uid="{00000000-0005-0000-0000-0000F22D0000}"/>
    <cellStyle name="Comma 3 2 2 2 10 6" xfId="2920" xr:uid="{00000000-0005-0000-0000-0000980B0000}"/>
    <cellStyle name="Comma 3 2 2 2 11" xfId="14055" xr:uid="{00000000-0005-0000-0000-000017370000}"/>
    <cellStyle name="Comma 3 2 2 2 11 2" xfId="7864" xr:uid="{00000000-0005-0000-0000-0000E81E0000}"/>
    <cellStyle name="Comma 3 2 2 2 11 3" xfId="21478" xr:uid="{00000000-0005-0000-0000-000016540000}"/>
    <cellStyle name="Comma 3 2 2 2 11 4" xfId="21480" xr:uid="{00000000-0005-0000-0000-000018540000}"/>
    <cellStyle name="Comma 3 2 2 2 11 5" xfId="21482" xr:uid="{00000000-0005-0000-0000-00001A540000}"/>
    <cellStyle name="Comma 3 2 2 2 11 6" xfId="21484" xr:uid="{00000000-0005-0000-0000-00001C540000}"/>
    <cellStyle name="Comma 3 2 2 2 12" xfId="3574" xr:uid="{00000000-0005-0000-0000-0000260E0000}"/>
    <cellStyle name="Comma 3 2 2 2 13" xfId="3591" xr:uid="{00000000-0005-0000-0000-0000370E0000}"/>
    <cellStyle name="Comma 3 2 2 2 14" xfId="14057" xr:uid="{00000000-0005-0000-0000-000019370000}"/>
    <cellStyle name="Comma 3 2 2 2 15" xfId="14061" xr:uid="{00000000-0005-0000-0000-00001D370000}"/>
    <cellStyle name="Comma 3 2 2 2 16" xfId="14065" xr:uid="{00000000-0005-0000-0000-000021370000}"/>
    <cellStyle name="Comma 3 2 2 2 17" xfId="21486" xr:uid="{00000000-0005-0000-0000-00001E540000}"/>
    <cellStyle name="Comma 3 2 2 2 18" xfId="1554" xr:uid="{00000000-0005-0000-0000-000042060000}"/>
    <cellStyle name="Comma 3 2 2 2 19" xfId="21487" xr:uid="{00000000-0005-0000-0000-00001F540000}"/>
    <cellStyle name="Comma 3 2 2 2 2" xfId="15264" xr:uid="{00000000-0005-0000-0000-0000D03B0000}"/>
    <cellStyle name="Comma 3 2 2 2 2 10" xfId="21489" xr:uid="{00000000-0005-0000-0000-000021540000}"/>
    <cellStyle name="Comma 3 2 2 2 2 11" xfId="21490" xr:uid="{00000000-0005-0000-0000-000022540000}"/>
    <cellStyle name="Comma 3 2 2 2 2 12" xfId="21491" xr:uid="{00000000-0005-0000-0000-000023540000}"/>
    <cellStyle name="Comma 3 2 2 2 2 13" xfId="21493" xr:uid="{00000000-0005-0000-0000-000025540000}"/>
    <cellStyle name="Comma 3 2 2 2 2 14" xfId="21495" xr:uid="{00000000-0005-0000-0000-000027540000}"/>
    <cellStyle name="Comma 3 2 2 2 2 15" xfId="21497" xr:uid="{00000000-0005-0000-0000-000029540000}"/>
    <cellStyle name="Comma 3 2 2 2 2 16" xfId="21499" xr:uid="{00000000-0005-0000-0000-00002B540000}"/>
    <cellStyle name="Comma 3 2 2 2 2 17" xfId="21501" xr:uid="{00000000-0005-0000-0000-00002D540000}"/>
    <cellStyle name="Comma 3 2 2 2 2 18" xfId="21503" xr:uid="{00000000-0005-0000-0000-00002F540000}"/>
    <cellStyle name="Comma 3 2 2 2 2 2" xfId="15266" xr:uid="{00000000-0005-0000-0000-0000D23B0000}"/>
    <cellStyle name="Comma 3 2 2 2 2 2 10" xfId="21506" xr:uid="{00000000-0005-0000-0000-000032540000}"/>
    <cellStyle name="Comma 3 2 2 2 2 2 11" xfId="21507" xr:uid="{00000000-0005-0000-0000-000033540000}"/>
    <cellStyle name="Comma 3 2 2 2 2 2 12" xfId="21508" xr:uid="{00000000-0005-0000-0000-000034540000}"/>
    <cellStyle name="Comma 3 2 2 2 2 2 2" xfId="21509" xr:uid="{00000000-0005-0000-0000-000035540000}"/>
    <cellStyle name="Comma 3 2 2 2 2 2 2 2" xfId="21512" xr:uid="{00000000-0005-0000-0000-000038540000}"/>
    <cellStyle name="Comma 3 2 2 2 2 2 2 2 2" xfId="21514" xr:uid="{00000000-0005-0000-0000-00003A540000}"/>
    <cellStyle name="Comma 3 2 2 2 2 2 2 3" xfId="21517" xr:uid="{00000000-0005-0000-0000-00003D540000}"/>
    <cellStyle name="Comma 3 2 2 2 2 2 2 4" xfId="1520" xr:uid="{00000000-0005-0000-0000-000020060000}"/>
    <cellStyle name="Comma 3 2 2 2 2 2 2 5" xfId="9635" xr:uid="{00000000-0005-0000-0000-0000D3250000}"/>
    <cellStyle name="Comma 3 2 2 2 2 2 3" xfId="21518" xr:uid="{00000000-0005-0000-0000-00003E540000}"/>
    <cellStyle name="Comma 3 2 2 2 2 2 3 2" xfId="19635" xr:uid="{00000000-0005-0000-0000-0000E34C0000}"/>
    <cellStyle name="Comma 3 2 2 2 2 2 4" xfId="21520" xr:uid="{00000000-0005-0000-0000-000040540000}"/>
    <cellStyle name="Comma 3 2 2 2 2 2 5" xfId="21522" xr:uid="{00000000-0005-0000-0000-000042540000}"/>
    <cellStyle name="Comma 3 2 2 2 2 2 6" xfId="21523" xr:uid="{00000000-0005-0000-0000-000043540000}"/>
    <cellStyle name="Comma 3 2 2 2 2 2 7" xfId="21527" xr:uid="{00000000-0005-0000-0000-000047540000}"/>
    <cellStyle name="Comma 3 2 2 2 2 2 8" xfId="21531" xr:uid="{00000000-0005-0000-0000-00004B540000}"/>
    <cellStyle name="Comma 3 2 2 2 2 2 9" xfId="21535" xr:uid="{00000000-0005-0000-0000-00004F540000}"/>
    <cellStyle name="Comma 3 2 2 2 2 3" xfId="19031" xr:uid="{00000000-0005-0000-0000-0000874A0000}"/>
    <cellStyle name="Comma 3 2 2 2 2 3 10" xfId="11013" xr:uid="{00000000-0005-0000-0000-0000352B0000}"/>
    <cellStyle name="Comma 3 2 2 2 2 3 11" xfId="21536" xr:uid="{00000000-0005-0000-0000-000050540000}"/>
    <cellStyle name="Comma 3 2 2 2 2 3 12" xfId="21537" xr:uid="{00000000-0005-0000-0000-000051540000}"/>
    <cellStyle name="Comma 3 2 2 2 2 3 2" xfId="21539" xr:uid="{00000000-0005-0000-0000-000053540000}"/>
    <cellStyle name="Comma 3 2 2 2 2 3 2 2" xfId="11009" xr:uid="{00000000-0005-0000-0000-0000312B0000}"/>
    <cellStyle name="Comma 3 2 2 2 2 3 2 2 2" xfId="21540" xr:uid="{00000000-0005-0000-0000-000054540000}"/>
    <cellStyle name="Comma 3 2 2 2 2 3 2 3" xfId="2483" xr:uid="{00000000-0005-0000-0000-0000E3090000}"/>
    <cellStyle name="Comma 3 2 2 2 2 3 2 4" xfId="2495" xr:uid="{00000000-0005-0000-0000-0000EF090000}"/>
    <cellStyle name="Comma 3 2 2 2 2 3 2 5" xfId="801" xr:uid="{00000000-0005-0000-0000-000051030000}"/>
    <cellStyle name="Comma 3 2 2 2 2 3 3" xfId="21546" xr:uid="{00000000-0005-0000-0000-00005A540000}"/>
    <cellStyle name="Comma 3 2 2 2 2 3 3 2" xfId="21547" xr:uid="{00000000-0005-0000-0000-00005B540000}"/>
    <cellStyle name="Comma 3 2 2 2 2 3 4" xfId="21550" xr:uid="{00000000-0005-0000-0000-00005E540000}"/>
    <cellStyle name="Comma 3 2 2 2 2 3 5" xfId="21554" xr:uid="{00000000-0005-0000-0000-000062540000}"/>
    <cellStyle name="Comma 3 2 2 2 2 3 6" xfId="20073" xr:uid="{00000000-0005-0000-0000-0000994E0000}"/>
    <cellStyle name="Comma 3 2 2 2 2 3 7" xfId="21557" xr:uid="{00000000-0005-0000-0000-000065540000}"/>
    <cellStyle name="Comma 3 2 2 2 2 3 8" xfId="21563" xr:uid="{00000000-0005-0000-0000-00006B540000}"/>
    <cellStyle name="Comma 3 2 2 2 2 3 9" xfId="21566" xr:uid="{00000000-0005-0000-0000-00006E540000}"/>
    <cellStyle name="Comma 3 2 2 2 2 4" xfId="21567" xr:uid="{00000000-0005-0000-0000-00006F540000}"/>
    <cellStyle name="Comma 3 2 2 2 2 4 10" xfId="21573" xr:uid="{00000000-0005-0000-0000-000075540000}"/>
    <cellStyle name="Comma 3 2 2 2 2 4 2" xfId="21024" xr:uid="{00000000-0005-0000-0000-000050520000}"/>
    <cellStyle name="Comma 3 2 2 2 2 4 2 2" xfId="21575" xr:uid="{00000000-0005-0000-0000-000077540000}"/>
    <cellStyle name="Comma 3 2 2 2 2 4 2 2 2" xfId="21577" xr:uid="{00000000-0005-0000-0000-000079540000}"/>
    <cellStyle name="Comma 3 2 2 2 2 4 2 3" xfId="21579" xr:uid="{00000000-0005-0000-0000-00007B540000}"/>
    <cellStyle name="Comma 3 2 2 2 2 4 2 4" xfId="3075" xr:uid="{00000000-0005-0000-0000-0000330C0000}"/>
    <cellStyle name="Comma 3 2 2 2 2 4 2 5" xfId="1363" xr:uid="{00000000-0005-0000-0000-000083050000}"/>
    <cellStyle name="Comma 3 2 2 2 2 4 3" xfId="21026" xr:uid="{00000000-0005-0000-0000-000052520000}"/>
    <cellStyle name="Comma 3 2 2 2 2 4 3 2" xfId="21580" xr:uid="{00000000-0005-0000-0000-00007C540000}"/>
    <cellStyle name="Comma 3 2 2 2 2 4 4" xfId="9195" xr:uid="{00000000-0005-0000-0000-00001B240000}"/>
    <cellStyle name="Comma 3 2 2 2 2 4 5" xfId="6015" xr:uid="{00000000-0005-0000-0000-0000AF170000}"/>
    <cellStyle name="Comma 3 2 2 2 2 4 6" xfId="6026" xr:uid="{00000000-0005-0000-0000-0000BA170000}"/>
    <cellStyle name="Comma 3 2 2 2 2 4 7" xfId="2215" xr:uid="{00000000-0005-0000-0000-0000D7080000}"/>
    <cellStyle name="Comma 3 2 2 2 2 4 8" xfId="7161" xr:uid="{00000000-0005-0000-0000-0000291C0000}"/>
    <cellStyle name="Comma 3 2 2 2 2 4 9" xfId="7287" xr:uid="{00000000-0005-0000-0000-0000A71C0000}"/>
    <cellStyle name="Comma 3 2 2 2 2 5" xfId="21581" xr:uid="{00000000-0005-0000-0000-00007D540000}"/>
    <cellStyle name="Comma 3 2 2 2 2 5 10" xfId="21582" xr:uid="{00000000-0005-0000-0000-00007E540000}"/>
    <cellStyle name="Comma 3 2 2 2 2 5 2" xfId="20431" xr:uid="{00000000-0005-0000-0000-0000FF4F0000}"/>
    <cellStyle name="Comma 3 2 2 2 2 5 2 2" xfId="21584" xr:uid="{00000000-0005-0000-0000-000080540000}"/>
    <cellStyle name="Comma 3 2 2 2 2 5 2 2 2" xfId="21586" xr:uid="{00000000-0005-0000-0000-000082540000}"/>
    <cellStyle name="Comma 3 2 2 2 2 5 2 3" xfId="21590" xr:uid="{00000000-0005-0000-0000-000086540000}"/>
    <cellStyle name="Comma 3 2 2 2 2 5 2 4" xfId="9858" xr:uid="{00000000-0005-0000-0000-0000B2260000}"/>
    <cellStyle name="Comma 3 2 2 2 2 5 2 5" xfId="21591" xr:uid="{00000000-0005-0000-0000-000087540000}"/>
    <cellStyle name="Comma 3 2 2 2 2 5 3" xfId="21592" xr:uid="{00000000-0005-0000-0000-000088540000}"/>
    <cellStyle name="Comma 3 2 2 2 2 5 3 2" xfId="2189" xr:uid="{00000000-0005-0000-0000-0000BD080000}"/>
    <cellStyle name="Comma 3 2 2 2 2 5 4" xfId="9211" xr:uid="{00000000-0005-0000-0000-00002B240000}"/>
    <cellStyle name="Comma 3 2 2 2 2 5 5" xfId="15982" xr:uid="{00000000-0005-0000-0000-00009E3E0000}"/>
    <cellStyle name="Comma 3 2 2 2 2 5 6" xfId="15985" xr:uid="{00000000-0005-0000-0000-0000A13E0000}"/>
    <cellStyle name="Comma 3 2 2 2 2 5 7" xfId="15988" xr:uid="{00000000-0005-0000-0000-0000A43E0000}"/>
    <cellStyle name="Comma 3 2 2 2 2 5 8" xfId="15991" xr:uid="{00000000-0005-0000-0000-0000A73E0000}"/>
    <cellStyle name="Comma 3 2 2 2 2 5 9" xfId="21594" xr:uid="{00000000-0005-0000-0000-00008A540000}"/>
    <cellStyle name="Comma 3 2 2 2 2 6" xfId="21595" xr:uid="{00000000-0005-0000-0000-00008B540000}"/>
    <cellStyle name="Comma 3 2 2 2 2 6 2" xfId="3560" xr:uid="{00000000-0005-0000-0000-0000180E0000}"/>
    <cellStyle name="Comma 3 2 2 2 2 6 2 2" xfId="17835" xr:uid="{00000000-0005-0000-0000-0000DB450000}"/>
    <cellStyle name="Comma 3 2 2 2 2 6 3" xfId="21596" xr:uid="{00000000-0005-0000-0000-00008C540000}"/>
    <cellStyle name="Comma 3 2 2 2 2 6 4" xfId="13830" xr:uid="{00000000-0005-0000-0000-000036360000}"/>
    <cellStyle name="Comma 3 2 2 2 2 6 5" xfId="4280" xr:uid="{00000000-0005-0000-0000-0000E8100000}"/>
    <cellStyle name="Comma 3 2 2 2 2 6 6" xfId="4308" xr:uid="{00000000-0005-0000-0000-000004110000}"/>
    <cellStyle name="Comma 3 2 2 2 2 6 7" xfId="6301" xr:uid="{00000000-0005-0000-0000-0000CD180000}"/>
    <cellStyle name="Comma 3 2 2 2 2 6 8" xfId="6319" xr:uid="{00000000-0005-0000-0000-0000DF180000}"/>
    <cellStyle name="Comma 3 2 2 2 2 6 9" xfId="21599" xr:uid="{00000000-0005-0000-0000-00008F540000}"/>
    <cellStyle name="Comma 3 2 2 2 2 7" xfId="21600" xr:uid="{00000000-0005-0000-0000-000090540000}"/>
    <cellStyle name="Comma 3 2 2 2 2 7 2" xfId="21601" xr:uid="{00000000-0005-0000-0000-000091540000}"/>
    <cellStyle name="Comma 3 2 2 2 2 8" xfId="21602" xr:uid="{00000000-0005-0000-0000-000092540000}"/>
    <cellStyle name="Comma 3 2 2 2 2 9" xfId="21603" xr:uid="{00000000-0005-0000-0000-000093540000}"/>
    <cellStyle name="Comma 3 2 2 2 20" xfId="14060" xr:uid="{00000000-0005-0000-0000-00001C370000}"/>
    <cellStyle name="Comma 3 2 2 2 21" xfId="14064" xr:uid="{00000000-0005-0000-0000-000020370000}"/>
    <cellStyle name="Comma 3 2 2 2 22" xfId="21485" xr:uid="{00000000-0005-0000-0000-00001D540000}"/>
    <cellStyle name="Comma 3 2 2 2 23" xfId="1553" xr:uid="{00000000-0005-0000-0000-000041060000}"/>
    <cellStyle name="Comma 3 2 2 2 3" xfId="15269" xr:uid="{00000000-0005-0000-0000-0000D53B0000}"/>
    <cellStyle name="Comma 3 2 2 2 3 10" xfId="21604" xr:uid="{00000000-0005-0000-0000-000094540000}"/>
    <cellStyle name="Comma 3 2 2 2 3 11" xfId="18592" xr:uid="{00000000-0005-0000-0000-0000D0480000}"/>
    <cellStyle name="Comma 3 2 2 2 3 12" xfId="21606" xr:uid="{00000000-0005-0000-0000-000096540000}"/>
    <cellStyle name="Comma 3 2 2 2 3 13" xfId="21610" xr:uid="{00000000-0005-0000-0000-00009A540000}"/>
    <cellStyle name="Comma 3 2 2 2 3 14" xfId="21611" xr:uid="{00000000-0005-0000-0000-00009B540000}"/>
    <cellStyle name="Comma 3 2 2 2 3 15" xfId="21613" xr:uid="{00000000-0005-0000-0000-00009D540000}"/>
    <cellStyle name="Comma 3 2 2 2 3 16" xfId="21615" xr:uid="{00000000-0005-0000-0000-00009F540000}"/>
    <cellStyle name="Comma 3 2 2 2 3 17" xfId="21617" xr:uid="{00000000-0005-0000-0000-0000A1540000}"/>
    <cellStyle name="Comma 3 2 2 2 3 18" xfId="2682" xr:uid="{00000000-0005-0000-0000-0000AA0A0000}"/>
    <cellStyle name="Comma 3 2 2 2 3 2" xfId="21618" xr:uid="{00000000-0005-0000-0000-0000A2540000}"/>
    <cellStyle name="Comma 3 2 2 2 3 2 10" xfId="10188" xr:uid="{00000000-0005-0000-0000-0000FC270000}"/>
    <cellStyle name="Comma 3 2 2 2 3 2 2" xfId="21620" xr:uid="{00000000-0005-0000-0000-0000A4540000}"/>
    <cellStyle name="Comma 3 2 2 2 3 2 2 2" xfId="21621" xr:uid="{00000000-0005-0000-0000-0000A5540000}"/>
    <cellStyle name="Comma 3 2 2 2 3 2 3" xfId="21622" xr:uid="{00000000-0005-0000-0000-0000A6540000}"/>
    <cellStyle name="Comma 3 2 2 2 3 2 4" xfId="21624" xr:uid="{00000000-0005-0000-0000-0000A8540000}"/>
    <cellStyle name="Comma 3 2 2 2 3 2 5" xfId="21626" xr:uid="{00000000-0005-0000-0000-0000AA540000}"/>
    <cellStyle name="Comma 3 2 2 2 3 2 6" xfId="21628" xr:uid="{00000000-0005-0000-0000-0000AC540000}"/>
    <cellStyle name="Comma 3 2 2 2 3 2 7" xfId="21631" xr:uid="{00000000-0005-0000-0000-0000AF540000}"/>
    <cellStyle name="Comma 3 2 2 2 3 2 8" xfId="21634" xr:uid="{00000000-0005-0000-0000-0000B2540000}"/>
    <cellStyle name="Comma 3 2 2 2 3 2 9" xfId="21637" xr:uid="{00000000-0005-0000-0000-0000B5540000}"/>
    <cellStyle name="Comma 3 2 2 2 3 3" xfId="21638" xr:uid="{00000000-0005-0000-0000-0000B6540000}"/>
    <cellStyle name="Comma 3 2 2 2 3 3 2" xfId="11147" xr:uid="{00000000-0005-0000-0000-0000BB2B0000}"/>
    <cellStyle name="Comma 3 2 2 2 3 3 3" xfId="21639" xr:uid="{00000000-0005-0000-0000-0000B7540000}"/>
    <cellStyle name="Comma 3 2 2 2 3 3 4" xfId="21641" xr:uid="{00000000-0005-0000-0000-0000B9540000}"/>
    <cellStyle name="Comma 3 2 2 2 3 3 5" xfId="21643" xr:uid="{00000000-0005-0000-0000-0000BB540000}"/>
    <cellStyle name="Comma 3 2 2 2 3 3 6" xfId="21645" xr:uid="{00000000-0005-0000-0000-0000BD540000}"/>
    <cellStyle name="Comma 3 2 2 2 3 4" xfId="21646" xr:uid="{00000000-0005-0000-0000-0000BE540000}"/>
    <cellStyle name="Comma 3 2 2 2 3 4 2" xfId="21141" xr:uid="{00000000-0005-0000-0000-0000C5520000}"/>
    <cellStyle name="Comma 3 2 2 2 3 4 3" xfId="21144" xr:uid="{00000000-0005-0000-0000-0000C8520000}"/>
    <cellStyle name="Comma 3 2 2 2 3 4 4" xfId="9256" xr:uid="{00000000-0005-0000-0000-000058240000}"/>
    <cellStyle name="Comma 3 2 2 2 3 4 5" xfId="9266" xr:uid="{00000000-0005-0000-0000-000062240000}"/>
    <cellStyle name="Comma 3 2 2 2 3 4 6" xfId="9276" xr:uid="{00000000-0005-0000-0000-00006C240000}"/>
    <cellStyle name="Comma 3 2 2 2 3 5" xfId="11295" xr:uid="{00000000-0005-0000-0000-00004F2C0000}"/>
    <cellStyle name="Comma 3 2 2 2 3 5 2" xfId="11082" xr:uid="{00000000-0005-0000-0000-00007A2B0000}"/>
    <cellStyle name="Comma 3 2 2 2 3 5 3" xfId="21647" xr:uid="{00000000-0005-0000-0000-0000BF540000}"/>
    <cellStyle name="Comma 3 2 2 2 3 5 4" xfId="9298" xr:uid="{00000000-0005-0000-0000-000082240000}"/>
    <cellStyle name="Comma 3 2 2 2 3 5 5" xfId="16008" xr:uid="{00000000-0005-0000-0000-0000B83E0000}"/>
    <cellStyle name="Comma 3 2 2 2 3 5 6" xfId="16012" xr:uid="{00000000-0005-0000-0000-0000BC3E0000}"/>
    <cellStyle name="Comma 3 2 2 2 3 6" xfId="2550" xr:uid="{00000000-0005-0000-0000-0000260A0000}"/>
    <cellStyle name="Comma 3 2 2 2 3 6 2" xfId="6441" xr:uid="{00000000-0005-0000-0000-000059190000}"/>
    <cellStyle name="Comma 3 2 2 2 3 6 3" xfId="21651" xr:uid="{00000000-0005-0000-0000-0000C3540000}"/>
    <cellStyle name="Comma 3 2 2 2 3 6 4" xfId="13856" xr:uid="{00000000-0005-0000-0000-000050360000}"/>
    <cellStyle name="Comma 3 2 2 2 3 6 5" xfId="21653" xr:uid="{00000000-0005-0000-0000-0000C5540000}"/>
    <cellStyle name="Comma 3 2 2 2 3 6 6" xfId="21656" xr:uid="{00000000-0005-0000-0000-0000C8540000}"/>
    <cellStyle name="Comma 3 2 2 2 3 7" xfId="11297" xr:uid="{00000000-0005-0000-0000-0000512C0000}"/>
    <cellStyle name="Comma 3 2 2 2 3 8" xfId="11301" xr:uid="{00000000-0005-0000-0000-0000552C0000}"/>
    <cellStyle name="Comma 3 2 2 2 3 9" xfId="11307" xr:uid="{00000000-0005-0000-0000-00005B2C0000}"/>
    <cellStyle name="Comma 3 2 2 2 4" xfId="15271" xr:uid="{00000000-0005-0000-0000-0000D73B0000}"/>
    <cellStyle name="Comma 3 2 2 2 4 10" xfId="21658" xr:uid="{00000000-0005-0000-0000-0000CA540000}"/>
    <cellStyle name="Comma 3 2 2 2 4 11" xfId="21662" xr:uid="{00000000-0005-0000-0000-0000CE540000}"/>
    <cellStyle name="Comma 3 2 2 2 4 12" xfId="21666" xr:uid="{00000000-0005-0000-0000-0000D2540000}"/>
    <cellStyle name="Comma 3 2 2 2 4 13" xfId="21671" xr:uid="{00000000-0005-0000-0000-0000D7540000}"/>
    <cellStyle name="Comma 3 2 2 2 4 14" xfId="21676" xr:uid="{00000000-0005-0000-0000-0000DC540000}"/>
    <cellStyle name="Comma 3 2 2 2 4 15" xfId="21681" xr:uid="{00000000-0005-0000-0000-0000E1540000}"/>
    <cellStyle name="Comma 3 2 2 2 4 2" xfId="21684" xr:uid="{00000000-0005-0000-0000-0000E4540000}"/>
    <cellStyle name="Comma 3 2 2 2 4 2 2" xfId="21686" xr:uid="{00000000-0005-0000-0000-0000E6540000}"/>
    <cellStyle name="Comma 3 2 2 2 4 2 2 2" xfId="12610" xr:uid="{00000000-0005-0000-0000-000072310000}"/>
    <cellStyle name="Comma 3 2 2 2 4 2 3" xfId="21689" xr:uid="{00000000-0005-0000-0000-0000E9540000}"/>
    <cellStyle name="Comma 3 2 2 2 4 2 4" xfId="21692" xr:uid="{00000000-0005-0000-0000-0000EC540000}"/>
    <cellStyle name="Comma 3 2 2 2 4 2 5" xfId="21695" xr:uid="{00000000-0005-0000-0000-0000EF540000}"/>
    <cellStyle name="Comma 3 2 2 2 4 2 6" xfId="21699" xr:uid="{00000000-0005-0000-0000-0000F3540000}"/>
    <cellStyle name="Comma 3 2 2 2 4 2 7" xfId="17175" xr:uid="{00000000-0005-0000-0000-000047430000}"/>
    <cellStyle name="Comma 3 2 2 2 4 2 8" xfId="21701" xr:uid="{00000000-0005-0000-0000-0000F5540000}"/>
    <cellStyle name="Comma 3 2 2 2 4 2 9" xfId="21703" xr:uid="{00000000-0005-0000-0000-0000F7540000}"/>
    <cellStyle name="Comma 3 2 2 2 4 3" xfId="21704" xr:uid="{00000000-0005-0000-0000-0000F8540000}"/>
    <cellStyle name="Comma 3 2 2 2 4 3 2" xfId="21705" xr:uid="{00000000-0005-0000-0000-0000F9540000}"/>
    <cellStyle name="Comma 3 2 2 2 4 3 3" xfId="21708" xr:uid="{00000000-0005-0000-0000-0000FC540000}"/>
    <cellStyle name="Comma 3 2 2 2 4 3 4" xfId="21711" xr:uid="{00000000-0005-0000-0000-0000FF540000}"/>
    <cellStyle name="Comma 3 2 2 2 4 3 5" xfId="21713" xr:uid="{00000000-0005-0000-0000-000001550000}"/>
    <cellStyle name="Comma 3 2 2 2 4 3 6" xfId="21716" xr:uid="{00000000-0005-0000-0000-000004550000}"/>
    <cellStyle name="Comma 3 2 2 2 4 4" xfId="21717" xr:uid="{00000000-0005-0000-0000-000005550000}"/>
    <cellStyle name="Comma 3 2 2 2 4 4 2" xfId="21215" xr:uid="{00000000-0005-0000-0000-00000F530000}"/>
    <cellStyle name="Comma 3 2 2 2 4 5" xfId="11322" xr:uid="{00000000-0005-0000-0000-00006A2C0000}"/>
    <cellStyle name="Comma 3 2 2 2 4 6" xfId="4145" xr:uid="{00000000-0005-0000-0000-000061100000}"/>
    <cellStyle name="Comma 3 2 2 2 4 7" xfId="6603" xr:uid="{00000000-0005-0000-0000-0000FB190000}"/>
    <cellStyle name="Comma 3 2 2 2 4 8" xfId="6610" xr:uid="{00000000-0005-0000-0000-0000021A0000}"/>
    <cellStyle name="Comma 3 2 2 2 4 9" xfId="6618" xr:uid="{00000000-0005-0000-0000-00000A1A0000}"/>
    <cellStyle name="Comma 3 2 2 2 5" xfId="15273" xr:uid="{00000000-0005-0000-0000-0000D93B0000}"/>
    <cellStyle name="Comma 3 2 2 2 5 10" xfId="21718" xr:uid="{00000000-0005-0000-0000-000006550000}"/>
    <cellStyle name="Comma 3 2 2 2 5 11" xfId="21722" xr:uid="{00000000-0005-0000-0000-00000A550000}"/>
    <cellStyle name="Comma 3 2 2 2 5 12" xfId="21726" xr:uid="{00000000-0005-0000-0000-00000E550000}"/>
    <cellStyle name="Comma 3 2 2 2 5 13" xfId="21730" xr:uid="{00000000-0005-0000-0000-000012550000}"/>
    <cellStyle name="Comma 3 2 2 2 5 2" xfId="13593" xr:uid="{00000000-0005-0000-0000-000049350000}"/>
    <cellStyle name="Comma 3 2 2 2 5 2 2" xfId="21732" xr:uid="{00000000-0005-0000-0000-000014550000}"/>
    <cellStyle name="Comma 3 2 2 2 5 2 2 2" xfId="21733" xr:uid="{00000000-0005-0000-0000-000015550000}"/>
    <cellStyle name="Comma 3 2 2 2 5 2 3" xfId="21737" xr:uid="{00000000-0005-0000-0000-000019550000}"/>
    <cellStyle name="Comma 3 2 2 2 5 2 4" xfId="21741" xr:uid="{00000000-0005-0000-0000-00001D550000}"/>
    <cellStyle name="Comma 3 2 2 2 5 2 5" xfId="21751" xr:uid="{00000000-0005-0000-0000-000027550000}"/>
    <cellStyle name="Comma 3 2 2 2 5 2 6" xfId="21758" xr:uid="{00000000-0005-0000-0000-00002E550000}"/>
    <cellStyle name="Comma 3 2 2 2 5 2 7" xfId="21761" xr:uid="{00000000-0005-0000-0000-000031550000}"/>
    <cellStyle name="Comma 3 2 2 2 5 2 8" xfId="21764" xr:uid="{00000000-0005-0000-0000-000034550000}"/>
    <cellStyle name="Comma 3 2 2 2 5 2 9" xfId="21766" xr:uid="{00000000-0005-0000-0000-000036550000}"/>
    <cellStyle name="Comma 3 2 2 2 5 3" xfId="13597" xr:uid="{00000000-0005-0000-0000-00004D350000}"/>
    <cellStyle name="Comma 3 2 2 2 5 3 2" xfId="21768" xr:uid="{00000000-0005-0000-0000-000038550000}"/>
    <cellStyle name="Comma 3 2 2 2 5 3 3" xfId="21772" xr:uid="{00000000-0005-0000-0000-00003C550000}"/>
    <cellStyle name="Comma 3 2 2 2 5 3 4" xfId="21776" xr:uid="{00000000-0005-0000-0000-000040550000}"/>
    <cellStyle name="Comma 3 2 2 2 5 3 5" xfId="21780" xr:uid="{00000000-0005-0000-0000-000044550000}"/>
    <cellStyle name="Comma 3 2 2 2 5 3 6" xfId="21784" xr:uid="{00000000-0005-0000-0000-000048550000}"/>
    <cellStyle name="Comma 3 2 2 2 5 4" xfId="14236" xr:uid="{00000000-0005-0000-0000-0000CC370000}"/>
    <cellStyle name="Comma 3 2 2 2 5 4 2" xfId="21272" xr:uid="{00000000-0005-0000-0000-000048530000}"/>
    <cellStyle name="Comma 3 2 2 2 5 5" xfId="11326" xr:uid="{00000000-0005-0000-0000-00006E2C0000}"/>
    <cellStyle name="Comma 3 2 2 2 5 6" xfId="21786" xr:uid="{00000000-0005-0000-0000-00004A550000}"/>
    <cellStyle name="Comma 3 2 2 2 5 7" xfId="21789" xr:uid="{00000000-0005-0000-0000-00004D550000}"/>
    <cellStyle name="Comma 3 2 2 2 5 8" xfId="21791" xr:uid="{00000000-0005-0000-0000-00004F550000}"/>
    <cellStyle name="Comma 3 2 2 2 5 9" xfId="21794" xr:uid="{00000000-0005-0000-0000-000052550000}"/>
    <cellStyle name="Comma 3 2 2 2 6" xfId="15275" xr:uid="{00000000-0005-0000-0000-0000DB3B0000}"/>
    <cellStyle name="Comma 3 2 2 2 6 10" xfId="21796" xr:uid="{00000000-0005-0000-0000-000054550000}"/>
    <cellStyle name="Comma 3 2 2 2 6 11" xfId="21799" xr:uid="{00000000-0005-0000-0000-000057550000}"/>
    <cellStyle name="Comma 3 2 2 2 6 12" xfId="21802" xr:uid="{00000000-0005-0000-0000-00005A550000}"/>
    <cellStyle name="Comma 3 2 2 2 6 2" xfId="14248" xr:uid="{00000000-0005-0000-0000-0000D8370000}"/>
    <cellStyle name="Comma 3 2 2 2 6 2 2" xfId="21807" xr:uid="{00000000-0005-0000-0000-00005F550000}"/>
    <cellStyle name="Comma 3 2 2 2 6 2 2 2" xfId="17786" xr:uid="{00000000-0005-0000-0000-0000AA450000}"/>
    <cellStyle name="Comma 3 2 2 2 6 2 3" xfId="21813" xr:uid="{00000000-0005-0000-0000-000065550000}"/>
    <cellStyle name="Comma 3 2 2 2 6 2 4" xfId="21825" xr:uid="{00000000-0005-0000-0000-000071550000}"/>
    <cellStyle name="Comma 3 2 2 2 6 2 5" xfId="21833" xr:uid="{00000000-0005-0000-0000-000079550000}"/>
    <cellStyle name="Comma 3 2 2 2 6 2 6" xfId="21843" xr:uid="{00000000-0005-0000-0000-000083550000}"/>
    <cellStyle name="Comma 3 2 2 2 6 2 7" xfId="21851" xr:uid="{00000000-0005-0000-0000-00008B550000}"/>
    <cellStyle name="Comma 3 2 2 2 6 2 8" xfId="21858" xr:uid="{00000000-0005-0000-0000-000092550000}"/>
    <cellStyle name="Comma 3 2 2 2 6 2 9" xfId="21864" xr:uid="{00000000-0005-0000-0000-000098550000}"/>
    <cellStyle name="Comma 3 2 2 2 6 3" xfId="21867" xr:uid="{00000000-0005-0000-0000-00009B550000}"/>
    <cellStyle name="Comma 3 2 2 2 6 3 2" xfId="21871" xr:uid="{00000000-0005-0000-0000-00009F550000}"/>
    <cellStyle name="Comma 3 2 2 2 6 3 3" xfId="21876" xr:uid="{00000000-0005-0000-0000-0000A4550000}"/>
    <cellStyle name="Comma 3 2 2 2 6 3 4" xfId="21882" xr:uid="{00000000-0005-0000-0000-0000AA550000}"/>
    <cellStyle name="Comma 3 2 2 2 6 3 5" xfId="21887" xr:uid="{00000000-0005-0000-0000-0000AF550000}"/>
    <cellStyle name="Comma 3 2 2 2 6 3 6" xfId="21892" xr:uid="{00000000-0005-0000-0000-0000B4550000}"/>
    <cellStyle name="Comma 3 2 2 2 6 4" xfId="21894" xr:uid="{00000000-0005-0000-0000-0000B6550000}"/>
    <cellStyle name="Comma 3 2 2 2 6 4 2" xfId="4772" xr:uid="{00000000-0005-0000-0000-0000D4120000}"/>
    <cellStyle name="Comma 3 2 2 2 6 5" xfId="21897" xr:uid="{00000000-0005-0000-0000-0000B9550000}"/>
    <cellStyle name="Comma 3 2 2 2 6 6" xfId="21900" xr:uid="{00000000-0005-0000-0000-0000BC550000}"/>
    <cellStyle name="Comma 3 2 2 2 6 7" xfId="21902" xr:uid="{00000000-0005-0000-0000-0000BE550000}"/>
    <cellStyle name="Comma 3 2 2 2 6 8" xfId="21904" xr:uid="{00000000-0005-0000-0000-0000C0550000}"/>
    <cellStyle name="Comma 3 2 2 2 6 9" xfId="21906" xr:uid="{00000000-0005-0000-0000-0000C2550000}"/>
    <cellStyle name="Comma 3 2 2 2 7" xfId="15277" xr:uid="{00000000-0005-0000-0000-0000DD3B0000}"/>
    <cellStyle name="Comma 3 2 2 2 7 2" xfId="14278" xr:uid="{00000000-0005-0000-0000-0000F6370000}"/>
    <cellStyle name="Comma 3 2 2 2 7 2 2" xfId="21910" xr:uid="{00000000-0005-0000-0000-0000C6550000}"/>
    <cellStyle name="Comma 3 2 2 2 7 3" xfId="4433" xr:uid="{00000000-0005-0000-0000-000081110000}"/>
    <cellStyle name="Comma 3 2 2 2 7 4" xfId="21912" xr:uid="{00000000-0005-0000-0000-0000C8550000}"/>
    <cellStyle name="Comma 3 2 2 2 7 5" xfId="21913" xr:uid="{00000000-0005-0000-0000-0000C9550000}"/>
    <cellStyle name="Comma 3 2 2 2 7 6" xfId="21915" xr:uid="{00000000-0005-0000-0000-0000CB550000}"/>
    <cellStyle name="Comma 3 2 2 2 7 7" xfId="21916" xr:uid="{00000000-0005-0000-0000-0000CC550000}"/>
    <cellStyle name="Comma 3 2 2 2 7 8" xfId="21917" xr:uid="{00000000-0005-0000-0000-0000CD550000}"/>
    <cellStyle name="Comma 3 2 2 2 7 9" xfId="21919" xr:uid="{00000000-0005-0000-0000-0000CF550000}"/>
    <cellStyle name="Comma 3 2 2 2 8" xfId="15280" xr:uid="{00000000-0005-0000-0000-0000E03B0000}"/>
    <cellStyle name="Comma 3 2 2 2 8 2" xfId="14297" xr:uid="{00000000-0005-0000-0000-000009380000}"/>
    <cellStyle name="Comma 3 2 2 2 8 3" xfId="7454" xr:uid="{00000000-0005-0000-0000-00004E1D0000}"/>
    <cellStyle name="Comma 3 2 2 2 8 4" xfId="17854" xr:uid="{00000000-0005-0000-0000-0000EE450000}"/>
    <cellStyle name="Comma 3 2 2 2 8 5" xfId="17858" xr:uid="{00000000-0005-0000-0000-0000F2450000}"/>
    <cellStyle name="Comma 3 2 2 2 8 6" xfId="21920" xr:uid="{00000000-0005-0000-0000-0000D0550000}"/>
    <cellStyle name="Comma 3 2 2 2 9" xfId="6408" xr:uid="{00000000-0005-0000-0000-000038190000}"/>
    <cellStyle name="Comma 3 2 2 2 9 2" xfId="6411" xr:uid="{00000000-0005-0000-0000-00003B190000}"/>
    <cellStyle name="Comma 3 2 2 2 9 3" xfId="7459" xr:uid="{00000000-0005-0000-0000-0000531D0000}"/>
    <cellStyle name="Comma 3 2 2 2 9 4" xfId="21921" xr:uid="{00000000-0005-0000-0000-0000D1550000}"/>
    <cellStyle name="Comma 3 2 2 2 9 5" xfId="21922" xr:uid="{00000000-0005-0000-0000-0000D2550000}"/>
    <cellStyle name="Comma 3 2 2 2 9 6" xfId="21923" xr:uid="{00000000-0005-0000-0000-0000D3550000}"/>
    <cellStyle name="Comma 3 2 2 20" xfId="20333" xr:uid="{00000000-0005-0000-0000-00009D4F0000}"/>
    <cellStyle name="Comma 3 2 2 21" xfId="20337" xr:uid="{00000000-0005-0000-0000-0000A14F0000}"/>
    <cellStyle name="Comma 3 2 2 22" xfId="20341" xr:uid="{00000000-0005-0000-0000-0000A54F0000}"/>
    <cellStyle name="Comma 3 2 2 23" xfId="20344" xr:uid="{00000000-0005-0000-0000-0000A84F0000}"/>
    <cellStyle name="Comma 3 2 2 24" xfId="20347" xr:uid="{00000000-0005-0000-0000-0000AB4F0000}"/>
    <cellStyle name="Comma 3 2 2 25" xfId="20350" xr:uid="{00000000-0005-0000-0000-0000AE4F0000}"/>
    <cellStyle name="Comma 3 2 2 26" xfId="20352" xr:uid="{00000000-0005-0000-0000-0000B04F0000}"/>
    <cellStyle name="Comma 3 2 2 3" xfId="21924" xr:uid="{00000000-0005-0000-0000-0000D4550000}"/>
    <cellStyle name="Comma 3 2 2 3 10" xfId="16957" xr:uid="{00000000-0005-0000-0000-00006D420000}"/>
    <cellStyle name="Comma 3 2 2 3 10 2" xfId="8889" xr:uid="{00000000-0005-0000-0000-0000E9220000}"/>
    <cellStyle name="Comma 3 2 2 3 10 3" xfId="8897" xr:uid="{00000000-0005-0000-0000-0000F1220000}"/>
    <cellStyle name="Comma 3 2 2 3 10 4" xfId="8907" xr:uid="{00000000-0005-0000-0000-0000FB220000}"/>
    <cellStyle name="Comma 3 2 2 3 10 5" xfId="12286" xr:uid="{00000000-0005-0000-0000-00002E300000}"/>
    <cellStyle name="Comma 3 2 2 3 10 6" xfId="12294" xr:uid="{00000000-0005-0000-0000-000036300000}"/>
    <cellStyle name="Comma 3 2 2 3 11" xfId="16962" xr:uid="{00000000-0005-0000-0000-000072420000}"/>
    <cellStyle name="Comma 3 2 2 3 11 2" xfId="16967" xr:uid="{00000000-0005-0000-0000-000077420000}"/>
    <cellStyle name="Comma 3 2 2 3 11 3" xfId="20005" xr:uid="{00000000-0005-0000-0000-0000554E0000}"/>
    <cellStyle name="Comma 3 2 2 3 11 4" xfId="20011" xr:uid="{00000000-0005-0000-0000-00005B4E0000}"/>
    <cellStyle name="Comma 3 2 2 3 11 5" xfId="20016" xr:uid="{00000000-0005-0000-0000-0000604E0000}"/>
    <cellStyle name="Comma 3 2 2 3 11 6" xfId="20022" xr:uid="{00000000-0005-0000-0000-0000664E0000}"/>
    <cellStyle name="Comma 3 2 2 3 12" xfId="16975" xr:uid="{00000000-0005-0000-0000-00007F420000}"/>
    <cellStyle name="Comma 3 2 2 3 13" xfId="16982" xr:uid="{00000000-0005-0000-0000-000086420000}"/>
    <cellStyle name="Comma 3 2 2 3 14" xfId="16987" xr:uid="{00000000-0005-0000-0000-00008B420000}"/>
    <cellStyle name="Comma 3 2 2 3 15" xfId="16994" xr:uid="{00000000-0005-0000-0000-000092420000}"/>
    <cellStyle name="Comma 3 2 2 3 16" xfId="16998" xr:uid="{00000000-0005-0000-0000-000096420000}"/>
    <cellStyle name="Comma 3 2 2 3 17" xfId="21928" xr:uid="{00000000-0005-0000-0000-0000D8550000}"/>
    <cellStyle name="Comma 3 2 2 3 18" xfId="21931" xr:uid="{00000000-0005-0000-0000-0000DB550000}"/>
    <cellStyle name="Comma 3 2 2 3 19" xfId="21933" xr:uid="{00000000-0005-0000-0000-0000DD550000}"/>
    <cellStyle name="Comma 3 2 2 3 2" xfId="15303" xr:uid="{00000000-0005-0000-0000-0000F73B0000}"/>
    <cellStyle name="Comma 3 2 2 3 2 10" xfId="21934" xr:uid="{00000000-0005-0000-0000-0000DE550000}"/>
    <cellStyle name="Comma 3 2 2 3 2 11" xfId="21936" xr:uid="{00000000-0005-0000-0000-0000E0550000}"/>
    <cellStyle name="Comma 3 2 2 3 2 12" xfId="21938" xr:uid="{00000000-0005-0000-0000-0000E2550000}"/>
    <cellStyle name="Comma 3 2 2 3 2 13" xfId="21940" xr:uid="{00000000-0005-0000-0000-0000E4550000}"/>
    <cellStyle name="Comma 3 2 2 3 2 14" xfId="21942" xr:uid="{00000000-0005-0000-0000-0000E6550000}"/>
    <cellStyle name="Comma 3 2 2 3 2 15" xfId="21946" xr:uid="{00000000-0005-0000-0000-0000EA550000}"/>
    <cellStyle name="Comma 3 2 2 3 2 16" xfId="20475" xr:uid="{00000000-0005-0000-0000-00002B500000}"/>
    <cellStyle name="Comma 3 2 2 3 2 17" xfId="20481" xr:uid="{00000000-0005-0000-0000-000031500000}"/>
    <cellStyle name="Comma 3 2 2 3 2 18" xfId="20488" xr:uid="{00000000-0005-0000-0000-000038500000}"/>
    <cellStyle name="Comma 3 2 2 3 2 2" xfId="15305" xr:uid="{00000000-0005-0000-0000-0000F93B0000}"/>
    <cellStyle name="Comma 3 2 2 3 2 2 10" xfId="11667" xr:uid="{00000000-0005-0000-0000-0000C32D0000}"/>
    <cellStyle name="Comma 3 2 2 3 2 2 11" xfId="11674" xr:uid="{00000000-0005-0000-0000-0000CA2D0000}"/>
    <cellStyle name="Comma 3 2 2 3 2 2 12" xfId="11679" xr:uid="{00000000-0005-0000-0000-0000CF2D0000}"/>
    <cellStyle name="Comma 3 2 2 3 2 2 2" xfId="5168" xr:uid="{00000000-0005-0000-0000-000060140000}"/>
    <cellStyle name="Comma 3 2 2 3 2 2 2 2" xfId="5179" xr:uid="{00000000-0005-0000-0000-00006B140000}"/>
    <cellStyle name="Comma 3 2 2 3 2 2 2 2 2" xfId="21954" xr:uid="{00000000-0005-0000-0000-0000F2550000}"/>
    <cellStyle name="Comma 3 2 2 3 2 2 2 3" xfId="6116" xr:uid="{00000000-0005-0000-0000-000014180000}"/>
    <cellStyle name="Comma 3 2 2 3 2 2 2 4" xfId="9113" xr:uid="{00000000-0005-0000-0000-0000C9230000}"/>
    <cellStyle name="Comma 3 2 2 3 2 2 2 5" xfId="9118" xr:uid="{00000000-0005-0000-0000-0000CE230000}"/>
    <cellStyle name="Comma 3 2 2 3 2 2 3" xfId="5188" xr:uid="{00000000-0005-0000-0000-000074140000}"/>
    <cellStyle name="Comma 3 2 2 3 2 2 3 2" xfId="21956" xr:uid="{00000000-0005-0000-0000-0000F4550000}"/>
    <cellStyle name="Comma 3 2 2 3 2 2 4" xfId="8132" xr:uid="{00000000-0005-0000-0000-0000F41F0000}"/>
    <cellStyle name="Comma 3 2 2 3 2 2 5" xfId="8136" xr:uid="{00000000-0005-0000-0000-0000F81F0000}"/>
    <cellStyle name="Comma 3 2 2 3 2 2 6" xfId="21958" xr:uid="{00000000-0005-0000-0000-0000F6550000}"/>
    <cellStyle name="Comma 3 2 2 3 2 2 7" xfId="21964" xr:uid="{00000000-0005-0000-0000-0000FC550000}"/>
    <cellStyle name="Comma 3 2 2 3 2 2 8" xfId="21969" xr:uid="{00000000-0005-0000-0000-000001560000}"/>
    <cellStyle name="Comma 3 2 2 3 2 2 9" xfId="21974" xr:uid="{00000000-0005-0000-0000-000006560000}"/>
    <cellStyle name="Comma 3 2 2 3 2 3" xfId="1764" xr:uid="{00000000-0005-0000-0000-000014070000}"/>
    <cellStyle name="Comma 3 2 2 3 2 3 10" xfId="21976" xr:uid="{00000000-0005-0000-0000-000008560000}"/>
    <cellStyle name="Comma 3 2 2 3 2 3 11" xfId="21977" xr:uid="{00000000-0005-0000-0000-000009560000}"/>
    <cellStyle name="Comma 3 2 2 3 2 3 12" xfId="21978" xr:uid="{00000000-0005-0000-0000-00000A560000}"/>
    <cellStyle name="Comma 3 2 2 3 2 3 2" xfId="10501" xr:uid="{00000000-0005-0000-0000-000035290000}"/>
    <cellStyle name="Comma 3 2 2 3 2 3 2 2" xfId="5115" xr:uid="{00000000-0005-0000-0000-00002B140000}"/>
    <cellStyle name="Comma 3 2 2 3 2 3 2 2 2" xfId="5129" xr:uid="{00000000-0005-0000-0000-000039140000}"/>
    <cellStyle name="Comma 3 2 2 3 2 3 2 3" xfId="359" xr:uid="{00000000-0005-0000-0000-00007F010000}"/>
    <cellStyle name="Comma 3 2 2 3 2 3 2 4" xfId="5137" xr:uid="{00000000-0005-0000-0000-000041140000}"/>
    <cellStyle name="Comma 3 2 2 3 2 3 2 5" xfId="5147" xr:uid="{00000000-0005-0000-0000-00004B140000}"/>
    <cellStyle name="Comma 3 2 2 3 2 3 3" xfId="21981" xr:uid="{00000000-0005-0000-0000-00000D560000}"/>
    <cellStyle name="Comma 3 2 2 3 2 3 3 2" xfId="21982" xr:uid="{00000000-0005-0000-0000-00000E560000}"/>
    <cellStyle name="Comma 3 2 2 3 2 3 4" xfId="21988" xr:uid="{00000000-0005-0000-0000-000014560000}"/>
    <cellStyle name="Comma 3 2 2 3 2 3 5" xfId="21992" xr:uid="{00000000-0005-0000-0000-000018560000}"/>
    <cellStyle name="Comma 3 2 2 3 2 3 6" xfId="20157" xr:uid="{00000000-0005-0000-0000-0000ED4E0000}"/>
    <cellStyle name="Comma 3 2 2 3 2 3 7" xfId="21996" xr:uid="{00000000-0005-0000-0000-00001C560000}"/>
    <cellStyle name="Comma 3 2 2 3 2 3 8" xfId="22001" xr:uid="{00000000-0005-0000-0000-000021560000}"/>
    <cellStyle name="Comma 3 2 2 3 2 3 9" xfId="22005" xr:uid="{00000000-0005-0000-0000-000025560000}"/>
    <cellStyle name="Comma 3 2 2 3 2 4" xfId="22006" xr:uid="{00000000-0005-0000-0000-000026560000}"/>
    <cellStyle name="Comma 3 2 2 3 2 4 10" xfId="8792" xr:uid="{00000000-0005-0000-0000-000088220000}"/>
    <cellStyle name="Comma 3 2 2 3 2 4 2" xfId="10562" xr:uid="{00000000-0005-0000-0000-000072290000}"/>
    <cellStyle name="Comma 3 2 2 3 2 4 2 2" xfId="22008" xr:uid="{00000000-0005-0000-0000-000028560000}"/>
    <cellStyle name="Comma 3 2 2 3 2 4 2 2 2" xfId="22009" xr:uid="{00000000-0005-0000-0000-000029560000}"/>
    <cellStyle name="Comma 3 2 2 3 2 4 2 3" xfId="22010" xr:uid="{00000000-0005-0000-0000-00002A560000}"/>
    <cellStyle name="Comma 3 2 2 3 2 4 2 4" xfId="22011" xr:uid="{00000000-0005-0000-0000-00002B560000}"/>
    <cellStyle name="Comma 3 2 2 3 2 4 2 5" xfId="22012" xr:uid="{00000000-0005-0000-0000-00002C560000}"/>
    <cellStyle name="Comma 3 2 2 3 2 4 3" xfId="14197" xr:uid="{00000000-0005-0000-0000-0000A5370000}"/>
    <cellStyle name="Comma 3 2 2 3 2 4 3 2" xfId="22013" xr:uid="{00000000-0005-0000-0000-00002D560000}"/>
    <cellStyle name="Comma 3 2 2 3 2 4 4" xfId="9437" xr:uid="{00000000-0005-0000-0000-00000D250000}"/>
    <cellStyle name="Comma 3 2 2 3 2 4 5" xfId="17732" xr:uid="{00000000-0005-0000-0000-000074450000}"/>
    <cellStyle name="Comma 3 2 2 3 2 4 6" xfId="17735" xr:uid="{00000000-0005-0000-0000-000077450000}"/>
    <cellStyle name="Comma 3 2 2 3 2 4 7" xfId="17738" xr:uid="{00000000-0005-0000-0000-00007A450000}"/>
    <cellStyle name="Comma 3 2 2 3 2 4 8" xfId="17741" xr:uid="{00000000-0005-0000-0000-00007D450000}"/>
    <cellStyle name="Comma 3 2 2 3 2 4 9" xfId="17628" xr:uid="{00000000-0005-0000-0000-00000C450000}"/>
    <cellStyle name="Comma 3 2 2 3 2 5" xfId="22014" xr:uid="{00000000-0005-0000-0000-00002E560000}"/>
    <cellStyle name="Comma 3 2 2 3 2 5 10" xfId="3705" xr:uid="{00000000-0005-0000-0000-0000A90E0000}"/>
    <cellStyle name="Comma 3 2 2 3 2 5 2" xfId="10608" xr:uid="{00000000-0005-0000-0000-0000A0290000}"/>
    <cellStyle name="Comma 3 2 2 3 2 5 2 2" xfId="22016" xr:uid="{00000000-0005-0000-0000-000030560000}"/>
    <cellStyle name="Comma 3 2 2 3 2 5 2 2 2" xfId="15014" xr:uid="{00000000-0005-0000-0000-0000D63A0000}"/>
    <cellStyle name="Comma 3 2 2 3 2 5 2 3" xfId="22018" xr:uid="{00000000-0005-0000-0000-000032560000}"/>
    <cellStyle name="Comma 3 2 2 3 2 5 2 4" xfId="22020" xr:uid="{00000000-0005-0000-0000-000034560000}"/>
    <cellStyle name="Comma 3 2 2 3 2 5 2 5" xfId="22022" xr:uid="{00000000-0005-0000-0000-000036560000}"/>
    <cellStyle name="Comma 3 2 2 3 2 5 3" xfId="17404" xr:uid="{00000000-0005-0000-0000-00002C440000}"/>
    <cellStyle name="Comma 3 2 2 3 2 5 3 2" xfId="22023" xr:uid="{00000000-0005-0000-0000-000037560000}"/>
    <cellStyle name="Comma 3 2 2 3 2 5 4" xfId="17406" xr:uid="{00000000-0005-0000-0000-00002E440000}"/>
    <cellStyle name="Comma 3 2 2 3 2 5 5" xfId="17410" xr:uid="{00000000-0005-0000-0000-000032440000}"/>
    <cellStyle name="Comma 3 2 2 3 2 5 6" xfId="17416" xr:uid="{00000000-0005-0000-0000-000038440000}"/>
    <cellStyle name="Comma 3 2 2 3 2 5 7" xfId="17420" xr:uid="{00000000-0005-0000-0000-00003C440000}"/>
    <cellStyle name="Comma 3 2 2 3 2 5 8" xfId="17425" xr:uid="{00000000-0005-0000-0000-000041440000}"/>
    <cellStyle name="Comma 3 2 2 3 2 5 9" xfId="17431" xr:uid="{00000000-0005-0000-0000-000047440000}"/>
    <cellStyle name="Comma 3 2 2 3 2 6" xfId="22024" xr:uid="{00000000-0005-0000-0000-000038560000}"/>
    <cellStyle name="Comma 3 2 2 3 2 6 2" xfId="5395" xr:uid="{00000000-0005-0000-0000-000043150000}"/>
    <cellStyle name="Comma 3 2 2 3 2 6 2 2" xfId="22025" xr:uid="{00000000-0005-0000-0000-000039560000}"/>
    <cellStyle name="Comma 3 2 2 3 2 6 3" xfId="22026" xr:uid="{00000000-0005-0000-0000-00003A560000}"/>
    <cellStyle name="Comma 3 2 2 3 2 6 4" xfId="13968" xr:uid="{00000000-0005-0000-0000-0000C0360000}"/>
    <cellStyle name="Comma 3 2 2 3 2 6 5" xfId="22028" xr:uid="{00000000-0005-0000-0000-00003C560000}"/>
    <cellStyle name="Comma 3 2 2 3 2 6 6" xfId="22030" xr:uid="{00000000-0005-0000-0000-00003E560000}"/>
    <cellStyle name="Comma 3 2 2 3 2 6 7" xfId="22032" xr:uid="{00000000-0005-0000-0000-000040560000}"/>
    <cellStyle name="Comma 3 2 2 3 2 6 8" xfId="22034" xr:uid="{00000000-0005-0000-0000-000042560000}"/>
    <cellStyle name="Comma 3 2 2 3 2 6 9" xfId="19448" xr:uid="{00000000-0005-0000-0000-0000284C0000}"/>
    <cellStyle name="Comma 3 2 2 3 2 7" xfId="22035" xr:uid="{00000000-0005-0000-0000-000043560000}"/>
    <cellStyle name="Comma 3 2 2 3 2 7 2" xfId="22037" xr:uid="{00000000-0005-0000-0000-000045560000}"/>
    <cellStyle name="Comma 3 2 2 3 2 8" xfId="22038" xr:uid="{00000000-0005-0000-0000-000046560000}"/>
    <cellStyle name="Comma 3 2 2 3 2 9" xfId="22039" xr:uid="{00000000-0005-0000-0000-000047560000}"/>
    <cellStyle name="Comma 3 2 2 3 20" xfId="16993" xr:uid="{00000000-0005-0000-0000-000091420000}"/>
    <cellStyle name="Comma 3 2 2 3 21" xfId="16997" xr:uid="{00000000-0005-0000-0000-000095420000}"/>
    <cellStyle name="Comma 3 2 2 3 22" xfId="21927" xr:uid="{00000000-0005-0000-0000-0000D7550000}"/>
    <cellStyle name="Comma 3 2 2 3 23" xfId="21930" xr:uid="{00000000-0005-0000-0000-0000DA550000}"/>
    <cellStyle name="Comma 3 2 2 3 3" xfId="15309" xr:uid="{00000000-0005-0000-0000-0000FD3B0000}"/>
    <cellStyle name="Comma 3 2 2 3 3 10" xfId="12508" xr:uid="{00000000-0005-0000-0000-00000C310000}"/>
    <cellStyle name="Comma 3 2 2 3 3 11" xfId="14892" xr:uid="{00000000-0005-0000-0000-00005C3A0000}"/>
    <cellStyle name="Comma 3 2 2 3 3 12" xfId="14895" xr:uid="{00000000-0005-0000-0000-00005F3A0000}"/>
    <cellStyle name="Comma 3 2 2 3 3 13" xfId="14897" xr:uid="{00000000-0005-0000-0000-0000613A0000}"/>
    <cellStyle name="Comma 3 2 2 3 3 14" xfId="14899" xr:uid="{00000000-0005-0000-0000-0000633A0000}"/>
    <cellStyle name="Comma 3 2 2 3 3 15" xfId="14901" xr:uid="{00000000-0005-0000-0000-0000653A0000}"/>
    <cellStyle name="Comma 3 2 2 3 3 16" xfId="14903" xr:uid="{00000000-0005-0000-0000-0000673A0000}"/>
    <cellStyle name="Comma 3 2 2 3 3 17" xfId="22040" xr:uid="{00000000-0005-0000-0000-000048560000}"/>
    <cellStyle name="Comma 3 2 2 3 3 18" xfId="22041" xr:uid="{00000000-0005-0000-0000-000049560000}"/>
    <cellStyle name="Comma 3 2 2 3 3 2" xfId="22043" xr:uid="{00000000-0005-0000-0000-00004B560000}"/>
    <cellStyle name="Comma 3 2 2 3 3 2 10" xfId="22049" xr:uid="{00000000-0005-0000-0000-000051560000}"/>
    <cellStyle name="Comma 3 2 2 3 3 2 2" xfId="10689" xr:uid="{00000000-0005-0000-0000-0000F1290000}"/>
    <cellStyle name="Comma 3 2 2 3 3 2 2 2" xfId="21288" xr:uid="{00000000-0005-0000-0000-000058530000}"/>
    <cellStyle name="Comma 3 2 2 3 3 2 3" xfId="22050" xr:uid="{00000000-0005-0000-0000-000052560000}"/>
    <cellStyle name="Comma 3 2 2 3 3 2 4" xfId="22052" xr:uid="{00000000-0005-0000-0000-000054560000}"/>
    <cellStyle name="Comma 3 2 2 3 3 2 5" xfId="22054" xr:uid="{00000000-0005-0000-0000-000056560000}"/>
    <cellStyle name="Comma 3 2 2 3 3 2 6" xfId="22056" xr:uid="{00000000-0005-0000-0000-000058560000}"/>
    <cellStyle name="Comma 3 2 2 3 3 2 7" xfId="22058" xr:uid="{00000000-0005-0000-0000-00005A560000}"/>
    <cellStyle name="Comma 3 2 2 3 3 2 8" xfId="22061" xr:uid="{00000000-0005-0000-0000-00005D560000}"/>
    <cellStyle name="Comma 3 2 2 3 3 2 9" xfId="1012" xr:uid="{00000000-0005-0000-0000-000024040000}"/>
    <cellStyle name="Comma 3 2 2 3 3 3" xfId="22062" xr:uid="{00000000-0005-0000-0000-00005E560000}"/>
    <cellStyle name="Comma 3 2 2 3 3 3 2" xfId="22064" xr:uid="{00000000-0005-0000-0000-000060560000}"/>
    <cellStyle name="Comma 3 2 2 3 3 3 3" xfId="22065" xr:uid="{00000000-0005-0000-0000-000061560000}"/>
    <cellStyle name="Comma 3 2 2 3 3 3 4" xfId="22067" xr:uid="{00000000-0005-0000-0000-000063560000}"/>
    <cellStyle name="Comma 3 2 2 3 3 3 5" xfId="22069" xr:uid="{00000000-0005-0000-0000-000065560000}"/>
    <cellStyle name="Comma 3 2 2 3 3 3 6" xfId="22071" xr:uid="{00000000-0005-0000-0000-000067560000}"/>
    <cellStyle name="Comma 3 2 2 3 3 4" xfId="22072" xr:uid="{00000000-0005-0000-0000-000068560000}"/>
    <cellStyle name="Comma 3 2 2 3 3 4 2" xfId="22074" xr:uid="{00000000-0005-0000-0000-00006A560000}"/>
    <cellStyle name="Comma 3 2 2 3 3 4 3" xfId="22075" xr:uid="{00000000-0005-0000-0000-00006B560000}"/>
    <cellStyle name="Comma 3 2 2 3 3 4 4" xfId="17758" xr:uid="{00000000-0005-0000-0000-00008E450000}"/>
    <cellStyle name="Comma 3 2 2 3 3 4 5" xfId="17762" xr:uid="{00000000-0005-0000-0000-000092450000}"/>
    <cellStyle name="Comma 3 2 2 3 3 4 6" xfId="17765" xr:uid="{00000000-0005-0000-0000-000095450000}"/>
    <cellStyle name="Comma 3 2 2 3 3 5" xfId="11350" xr:uid="{00000000-0005-0000-0000-0000862C0000}"/>
    <cellStyle name="Comma 3 2 2 3 3 5 2" xfId="11353" xr:uid="{00000000-0005-0000-0000-0000892C0000}"/>
    <cellStyle name="Comma 3 2 2 3 3 5 3" xfId="22076" xr:uid="{00000000-0005-0000-0000-00006C560000}"/>
    <cellStyle name="Comma 3 2 2 3 3 5 4" xfId="14729" xr:uid="{00000000-0005-0000-0000-0000B9390000}"/>
    <cellStyle name="Comma 3 2 2 3 3 5 5" xfId="17773" xr:uid="{00000000-0005-0000-0000-00009D450000}"/>
    <cellStyle name="Comma 3 2 2 3 3 5 6" xfId="17776" xr:uid="{00000000-0005-0000-0000-0000A0450000}"/>
    <cellStyle name="Comma 3 2 2 3 3 6" xfId="904" xr:uid="{00000000-0005-0000-0000-0000B8030000}"/>
    <cellStyle name="Comma 3 2 2 3 3 6 2" xfId="22077" xr:uid="{00000000-0005-0000-0000-00006D560000}"/>
    <cellStyle name="Comma 3 2 2 3 3 6 3" xfId="22078" xr:uid="{00000000-0005-0000-0000-00006E560000}"/>
    <cellStyle name="Comma 3 2 2 3 3 6 4" xfId="15206" xr:uid="{00000000-0005-0000-0000-0000963B0000}"/>
    <cellStyle name="Comma 3 2 2 3 3 6 5" xfId="22080" xr:uid="{00000000-0005-0000-0000-000070560000}"/>
    <cellStyle name="Comma 3 2 2 3 3 6 6" xfId="22082" xr:uid="{00000000-0005-0000-0000-000072560000}"/>
    <cellStyle name="Comma 3 2 2 3 3 7" xfId="5470" xr:uid="{00000000-0005-0000-0000-00008E150000}"/>
    <cellStyle name="Comma 3 2 2 3 3 8" xfId="5479" xr:uid="{00000000-0005-0000-0000-000097150000}"/>
    <cellStyle name="Comma 3 2 2 3 3 9" xfId="4779" xr:uid="{00000000-0005-0000-0000-0000DB120000}"/>
    <cellStyle name="Comma 3 2 2 3 4" xfId="15312" xr:uid="{00000000-0005-0000-0000-0000003C0000}"/>
    <cellStyle name="Comma 3 2 2 3 4 10" xfId="22083" xr:uid="{00000000-0005-0000-0000-000073560000}"/>
    <cellStyle name="Comma 3 2 2 3 4 11" xfId="22084" xr:uid="{00000000-0005-0000-0000-000074560000}"/>
    <cellStyle name="Comma 3 2 2 3 4 12" xfId="22085" xr:uid="{00000000-0005-0000-0000-000075560000}"/>
    <cellStyle name="Comma 3 2 2 3 4 13" xfId="22086" xr:uid="{00000000-0005-0000-0000-000076560000}"/>
    <cellStyle name="Comma 3 2 2 3 4 14" xfId="22087" xr:uid="{00000000-0005-0000-0000-000077560000}"/>
    <cellStyle name="Comma 3 2 2 3 4 15" xfId="923" xr:uid="{00000000-0005-0000-0000-0000CB030000}"/>
    <cellStyle name="Comma 3 2 2 3 4 2" xfId="22088" xr:uid="{00000000-0005-0000-0000-000078560000}"/>
    <cellStyle name="Comma 3 2 2 3 4 2 2" xfId="10816" xr:uid="{00000000-0005-0000-0000-0000702A0000}"/>
    <cellStyle name="Comma 3 2 2 3 4 2 2 2" xfId="22091" xr:uid="{00000000-0005-0000-0000-00007B560000}"/>
    <cellStyle name="Comma 3 2 2 3 4 2 3" xfId="14140" xr:uid="{00000000-0005-0000-0000-00006C370000}"/>
    <cellStyle name="Comma 3 2 2 3 4 2 4" xfId="14147" xr:uid="{00000000-0005-0000-0000-000073370000}"/>
    <cellStyle name="Comma 3 2 2 3 4 2 5" xfId="14152" xr:uid="{00000000-0005-0000-0000-000078370000}"/>
    <cellStyle name="Comma 3 2 2 3 4 2 6" xfId="22097" xr:uid="{00000000-0005-0000-0000-000081560000}"/>
    <cellStyle name="Comma 3 2 2 3 4 2 7" xfId="13445" xr:uid="{00000000-0005-0000-0000-0000B5340000}"/>
    <cellStyle name="Comma 3 2 2 3 4 2 8" xfId="22099" xr:uid="{00000000-0005-0000-0000-000083560000}"/>
    <cellStyle name="Comma 3 2 2 3 4 2 9" xfId="512" xr:uid="{00000000-0005-0000-0000-000021020000}"/>
    <cellStyle name="Comma 3 2 2 3 4 3" xfId="22100" xr:uid="{00000000-0005-0000-0000-000084560000}"/>
    <cellStyle name="Comma 3 2 2 3 4 3 2" xfId="22105" xr:uid="{00000000-0005-0000-0000-000089560000}"/>
    <cellStyle name="Comma 3 2 2 3 4 3 3" xfId="22107" xr:uid="{00000000-0005-0000-0000-00008B560000}"/>
    <cellStyle name="Comma 3 2 2 3 4 3 4" xfId="22112" xr:uid="{00000000-0005-0000-0000-000090560000}"/>
    <cellStyle name="Comma 3 2 2 3 4 3 5" xfId="22116" xr:uid="{00000000-0005-0000-0000-000094560000}"/>
    <cellStyle name="Comma 3 2 2 3 4 3 6" xfId="22120" xr:uid="{00000000-0005-0000-0000-000098560000}"/>
    <cellStyle name="Comma 3 2 2 3 4 4" xfId="22121" xr:uid="{00000000-0005-0000-0000-000099560000}"/>
    <cellStyle name="Comma 3 2 2 3 4 4 2" xfId="22124" xr:uid="{00000000-0005-0000-0000-00009C560000}"/>
    <cellStyle name="Comma 3 2 2 3 4 5" xfId="11362" xr:uid="{00000000-0005-0000-0000-0000922C0000}"/>
    <cellStyle name="Comma 3 2 2 3 4 6" xfId="5528" xr:uid="{00000000-0005-0000-0000-0000C8150000}"/>
    <cellStyle name="Comma 3 2 2 3 4 7" xfId="11364" xr:uid="{00000000-0005-0000-0000-0000942C0000}"/>
    <cellStyle name="Comma 3 2 2 3 4 8" xfId="11369" xr:uid="{00000000-0005-0000-0000-0000992C0000}"/>
    <cellStyle name="Comma 3 2 2 3 4 9" xfId="11375" xr:uid="{00000000-0005-0000-0000-00009F2C0000}"/>
    <cellStyle name="Comma 3 2 2 3 5" xfId="15316" xr:uid="{00000000-0005-0000-0000-0000043C0000}"/>
    <cellStyle name="Comma 3 2 2 3 5 10" xfId="21351" xr:uid="{00000000-0005-0000-0000-000097530000}"/>
    <cellStyle name="Comma 3 2 2 3 5 11" xfId="21360" xr:uid="{00000000-0005-0000-0000-0000A0530000}"/>
    <cellStyle name="Comma 3 2 2 3 5 12" xfId="21367" xr:uid="{00000000-0005-0000-0000-0000A7530000}"/>
    <cellStyle name="Comma 3 2 2 3 5 13" xfId="21369" xr:uid="{00000000-0005-0000-0000-0000A9530000}"/>
    <cellStyle name="Comma 3 2 2 3 5 2" xfId="13652" xr:uid="{00000000-0005-0000-0000-000084350000}"/>
    <cellStyle name="Comma 3 2 2 3 5 2 2" xfId="10887" xr:uid="{00000000-0005-0000-0000-0000B72A0000}"/>
    <cellStyle name="Comma 3 2 2 3 5 2 2 2" xfId="22125" xr:uid="{00000000-0005-0000-0000-00009D560000}"/>
    <cellStyle name="Comma 3 2 2 3 5 2 3" xfId="21375" xr:uid="{00000000-0005-0000-0000-0000AF530000}"/>
    <cellStyle name="Comma 3 2 2 3 5 2 4" xfId="21386" xr:uid="{00000000-0005-0000-0000-0000BA530000}"/>
    <cellStyle name="Comma 3 2 2 3 5 2 5" xfId="22134" xr:uid="{00000000-0005-0000-0000-0000A6560000}"/>
    <cellStyle name="Comma 3 2 2 3 5 2 6" xfId="22140" xr:uid="{00000000-0005-0000-0000-0000AC560000}"/>
    <cellStyle name="Comma 3 2 2 3 5 2 7" xfId="22144" xr:uid="{00000000-0005-0000-0000-0000B0560000}"/>
    <cellStyle name="Comma 3 2 2 3 5 2 8" xfId="22147" xr:uid="{00000000-0005-0000-0000-0000B3560000}"/>
    <cellStyle name="Comma 3 2 2 3 5 2 9" xfId="22150" xr:uid="{00000000-0005-0000-0000-0000B6560000}"/>
    <cellStyle name="Comma 3 2 2 3 5 3" xfId="13659" xr:uid="{00000000-0005-0000-0000-00008B350000}"/>
    <cellStyle name="Comma 3 2 2 3 5 3 2" xfId="21570" xr:uid="{00000000-0005-0000-0000-000072540000}"/>
    <cellStyle name="Comma 3 2 2 3 5 3 3" xfId="22152" xr:uid="{00000000-0005-0000-0000-0000B8560000}"/>
    <cellStyle name="Comma 3 2 2 3 5 3 4" xfId="22158" xr:uid="{00000000-0005-0000-0000-0000BE560000}"/>
    <cellStyle name="Comma 3 2 2 3 5 3 5" xfId="22162" xr:uid="{00000000-0005-0000-0000-0000C2560000}"/>
    <cellStyle name="Comma 3 2 2 3 5 3 6" xfId="22166" xr:uid="{00000000-0005-0000-0000-0000C6560000}"/>
    <cellStyle name="Comma 3 2 2 3 5 4" xfId="14335" xr:uid="{00000000-0005-0000-0000-00002F380000}"/>
    <cellStyle name="Comma 3 2 2 3 5 4 2" xfId="22169" xr:uid="{00000000-0005-0000-0000-0000C9560000}"/>
    <cellStyle name="Comma 3 2 2 3 5 5" xfId="11379" xr:uid="{00000000-0005-0000-0000-0000A32C0000}"/>
    <cellStyle name="Comma 3 2 2 3 5 6" xfId="22172" xr:uid="{00000000-0005-0000-0000-0000CC560000}"/>
    <cellStyle name="Comma 3 2 2 3 5 7" xfId="22175" xr:uid="{00000000-0005-0000-0000-0000CF560000}"/>
    <cellStyle name="Comma 3 2 2 3 5 8" xfId="22178" xr:uid="{00000000-0005-0000-0000-0000D2560000}"/>
    <cellStyle name="Comma 3 2 2 3 5 9" xfId="22180" xr:uid="{00000000-0005-0000-0000-0000D4560000}"/>
    <cellStyle name="Comma 3 2 2 3 6" xfId="15321" xr:uid="{00000000-0005-0000-0000-0000093C0000}"/>
    <cellStyle name="Comma 3 2 2 3 6 10" xfId="20930" xr:uid="{00000000-0005-0000-0000-0000F2510000}"/>
    <cellStyle name="Comma 3 2 2 3 6 11" xfId="22182" xr:uid="{00000000-0005-0000-0000-0000D6560000}"/>
    <cellStyle name="Comma 3 2 2 3 6 12" xfId="22185" xr:uid="{00000000-0005-0000-0000-0000D9560000}"/>
    <cellStyle name="Comma 3 2 2 3 6 2" xfId="14343" xr:uid="{00000000-0005-0000-0000-000037380000}"/>
    <cellStyle name="Comma 3 2 2 3 6 2 2" xfId="8400" xr:uid="{00000000-0005-0000-0000-000000210000}"/>
    <cellStyle name="Comma 3 2 2 3 6 2 2 2" xfId="22187" xr:uid="{00000000-0005-0000-0000-0000DB560000}"/>
    <cellStyle name="Comma 3 2 2 3 6 2 3" xfId="17347" xr:uid="{00000000-0005-0000-0000-0000F3430000}"/>
    <cellStyle name="Comma 3 2 2 3 6 2 4" xfId="22194" xr:uid="{00000000-0005-0000-0000-0000E2560000}"/>
    <cellStyle name="Comma 3 2 2 3 6 2 5" xfId="22200" xr:uid="{00000000-0005-0000-0000-0000E8560000}"/>
    <cellStyle name="Comma 3 2 2 3 6 2 6" xfId="22205" xr:uid="{00000000-0005-0000-0000-0000ED560000}"/>
    <cellStyle name="Comma 3 2 2 3 6 2 7" xfId="22208" xr:uid="{00000000-0005-0000-0000-0000F0560000}"/>
    <cellStyle name="Comma 3 2 2 3 6 2 8" xfId="22210" xr:uid="{00000000-0005-0000-0000-0000F2560000}"/>
    <cellStyle name="Comma 3 2 2 3 6 2 9" xfId="22212" xr:uid="{00000000-0005-0000-0000-0000F4560000}"/>
    <cellStyle name="Comma 3 2 2 3 6 3" xfId="22214" xr:uid="{00000000-0005-0000-0000-0000F6560000}"/>
    <cellStyle name="Comma 3 2 2 3 6 3 2" xfId="22216" xr:uid="{00000000-0005-0000-0000-0000F8560000}"/>
    <cellStyle name="Comma 3 2 2 3 6 3 3" xfId="22219" xr:uid="{00000000-0005-0000-0000-0000FB560000}"/>
    <cellStyle name="Comma 3 2 2 3 6 3 4" xfId="22223" xr:uid="{00000000-0005-0000-0000-0000FF560000}"/>
    <cellStyle name="Comma 3 2 2 3 6 3 5" xfId="22227" xr:uid="{00000000-0005-0000-0000-000003570000}"/>
    <cellStyle name="Comma 3 2 2 3 6 3 6" xfId="22232" xr:uid="{00000000-0005-0000-0000-000008570000}"/>
    <cellStyle name="Comma 3 2 2 3 6 4" xfId="22236" xr:uid="{00000000-0005-0000-0000-00000C570000}"/>
    <cellStyle name="Comma 3 2 2 3 6 4 2" xfId="3222" xr:uid="{00000000-0005-0000-0000-0000C60C0000}"/>
    <cellStyle name="Comma 3 2 2 3 6 5" xfId="22241" xr:uid="{00000000-0005-0000-0000-000011570000}"/>
    <cellStyle name="Comma 3 2 2 3 6 6" xfId="22243" xr:uid="{00000000-0005-0000-0000-000013570000}"/>
    <cellStyle name="Comma 3 2 2 3 6 7" xfId="22245" xr:uid="{00000000-0005-0000-0000-000015570000}"/>
    <cellStyle name="Comma 3 2 2 3 6 8" xfId="22247" xr:uid="{00000000-0005-0000-0000-000017570000}"/>
    <cellStyle name="Comma 3 2 2 3 6 9" xfId="22253" xr:uid="{00000000-0005-0000-0000-00001D570000}"/>
    <cellStyle name="Comma 3 2 2 3 7" xfId="15325" xr:uid="{00000000-0005-0000-0000-00000D3C0000}"/>
    <cellStyle name="Comma 3 2 2 3 7 2" xfId="22260" xr:uid="{00000000-0005-0000-0000-000024570000}"/>
    <cellStyle name="Comma 3 2 2 3 7 2 2" xfId="22262" xr:uid="{00000000-0005-0000-0000-000026570000}"/>
    <cellStyle name="Comma 3 2 2 3 7 3" xfId="7484" xr:uid="{00000000-0005-0000-0000-00006C1D0000}"/>
    <cellStyle name="Comma 3 2 2 3 7 4" xfId="22265" xr:uid="{00000000-0005-0000-0000-000029570000}"/>
    <cellStyle name="Comma 3 2 2 3 7 5" xfId="22268" xr:uid="{00000000-0005-0000-0000-00002C570000}"/>
    <cellStyle name="Comma 3 2 2 3 7 6" xfId="22271" xr:uid="{00000000-0005-0000-0000-00002F570000}"/>
    <cellStyle name="Comma 3 2 2 3 7 7" xfId="22274" xr:uid="{00000000-0005-0000-0000-000032570000}"/>
    <cellStyle name="Comma 3 2 2 3 7 8" xfId="22277" xr:uid="{00000000-0005-0000-0000-000035570000}"/>
    <cellStyle name="Comma 3 2 2 3 7 9" xfId="22280" xr:uid="{00000000-0005-0000-0000-000038570000}"/>
    <cellStyle name="Comma 3 2 2 3 8" xfId="15330" xr:uid="{00000000-0005-0000-0000-0000123C0000}"/>
    <cellStyle name="Comma 3 2 2 3 8 2" xfId="22283" xr:uid="{00000000-0005-0000-0000-00003B570000}"/>
    <cellStyle name="Comma 3 2 2 3 8 3" xfId="22286" xr:uid="{00000000-0005-0000-0000-00003E570000}"/>
    <cellStyle name="Comma 3 2 2 3 8 4" xfId="22288" xr:uid="{00000000-0005-0000-0000-000040570000}"/>
    <cellStyle name="Comma 3 2 2 3 8 5" xfId="22290" xr:uid="{00000000-0005-0000-0000-000042570000}"/>
    <cellStyle name="Comma 3 2 2 3 8 6" xfId="22292" xr:uid="{00000000-0005-0000-0000-000044570000}"/>
    <cellStyle name="Comma 3 2 2 3 9" xfId="6419" xr:uid="{00000000-0005-0000-0000-000043190000}"/>
    <cellStyle name="Comma 3 2 2 3 9 2" xfId="6429" xr:uid="{00000000-0005-0000-0000-00004D190000}"/>
    <cellStyle name="Comma 3 2 2 3 9 3" xfId="22293" xr:uid="{00000000-0005-0000-0000-000045570000}"/>
    <cellStyle name="Comma 3 2 2 3 9 4" xfId="22295" xr:uid="{00000000-0005-0000-0000-000047570000}"/>
    <cellStyle name="Comma 3 2 2 3 9 5" xfId="22297" xr:uid="{00000000-0005-0000-0000-000049570000}"/>
    <cellStyle name="Comma 3 2 2 3 9 6" xfId="22299" xr:uid="{00000000-0005-0000-0000-00004B570000}"/>
    <cellStyle name="Comma 3 2 2 4" xfId="22300" xr:uid="{00000000-0005-0000-0000-00004C570000}"/>
    <cellStyle name="Comma 3 2 2 4 10" xfId="22303" xr:uid="{00000000-0005-0000-0000-00004F570000}"/>
    <cellStyle name="Comma 3 2 2 4 10 2" xfId="15920" xr:uid="{00000000-0005-0000-0000-0000603E0000}"/>
    <cellStyle name="Comma 3 2 2 4 10 3" xfId="15922" xr:uid="{00000000-0005-0000-0000-0000623E0000}"/>
    <cellStyle name="Comma 3 2 2 4 10 4" xfId="15925" xr:uid="{00000000-0005-0000-0000-0000653E0000}"/>
    <cellStyle name="Comma 3 2 2 4 10 5" xfId="15927" xr:uid="{00000000-0005-0000-0000-0000673E0000}"/>
    <cellStyle name="Comma 3 2 2 4 10 6" xfId="15929" xr:uid="{00000000-0005-0000-0000-0000693E0000}"/>
    <cellStyle name="Comma 3 2 2 4 11" xfId="22305" xr:uid="{00000000-0005-0000-0000-000051570000}"/>
    <cellStyle name="Comma 3 2 2 4 11 2" xfId="7967" xr:uid="{00000000-0005-0000-0000-00004F1F0000}"/>
    <cellStyle name="Comma 3 2 2 4 11 3" xfId="7970" xr:uid="{00000000-0005-0000-0000-0000521F0000}"/>
    <cellStyle name="Comma 3 2 2 4 11 4" xfId="7973" xr:uid="{00000000-0005-0000-0000-0000551F0000}"/>
    <cellStyle name="Comma 3 2 2 4 11 5" xfId="11611" xr:uid="{00000000-0005-0000-0000-00008B2D0000}"/>
    <cellStyle name="Comma 3 2 2 4 11 6" xfId="11613" xr:uid="{00000000-0005-0000-0000-00008D2D0000}"/>
    <cellStyle name="Comma 3 2 2 4 12" xfId="22306" xr:uid="{00000000-0005-0000-0000-000052570000}"/>
    <cellStyle name="Comma 3 2 2 4 13" xfId="22307" xr:uid="{00000000-0005-0000-0000-000053570000}"/>
    <cellStyle name="Comma 3 2 2 4 14" xfId="22309" xr:uid="{00000000-0005-0000-0000-000055570000}"/>
    <cellStyle name="Comma 3 2 2 4 15" xfId="22312" xr:uid="{00000000-0005-0000-0000-000058570000}"/>
    <cellStyle name="Comma 3 2 2 4 16" xfId="1726" xr:uid="{00000000-0005-0000-0000-0000EE060000}"/>
    <cellStyle name="Comma 3 2 2 4 17" xfId="10253" xr:uid="{00000000-0005-0000-0000-00003D280000}"/>
    <cellStyle name="Comma 3 2 2 4 18" xfId="1168" xr:uid="{00000000-0005-0000-0000-0000C0040000}"/>
    <cellStyle name="Comma 3 2 2 4 19" xfId="834" xr:uid="{00000000-0005-0000-0000-000072030000}"/>
    <cellStyle name="Comma 3 2 2 4 2" xfId="15347" xr:uid="{00000000-0005-0000-0000-0000233C0000}"/>
    <cellStyle name="Comma 3 2 2 4 2 10" xfId="21926" xr:uid="{00000000-0005-0000-0000-0000D6550000}"/>
    <cellStyle name="Comma 3 2 2 4 2 11" xfId="21929" xr:uid="{00000000-0005-0000-0000-0000D9550000}"/>
    <cellStyle name="Comma 3 2 2 4 2 12" xfId="21932" xr:uid="{00000000-0005-0000-0000-0000DC550000}"/>
    <cellStyle name="Comma 3 2 2 4 2 13" xfId="22314" xr:uid="{00000000-0005-0000-0000-00005A570000}"/>
    <cellStyle name="Comma 3 2 2 4 2 14" xfId="22315" xr:uid="{00000000-0005-0000-0000-00005B570000}"/>
    <cellStyle name="Comma 3 2 2 4 2 15" xfId="22316" xr:uid="{00000000-0005-0000-0000-00005C570000}"/>
    <cellStyle name="Comma 3 2 2 4 2 16" xfId="22317" xr:uid="{00000000-0005-0000-0000-00005D570000}"/>
    <cellStyle name="Comma 3 2 2 4 2 17" xfId="22318" xr:uid="{00000000-0005-0000-0000-00005E570000}"/>
    <cellStyle name="Comma 3 2 2 4 2 18" xfId="22319" xr:uid="{00000000-0005-0000-0000-00005F570000}"/>
    <cellStyle name="Comma 3 2 2 4 2 2" xfId="4467" xr:uid="{00000000-0005-0000-0000-0000A3110000}"/>
    <cellStyle name="Comma 3 2 2 4 2 2 10" xfId="14939" xr:uid="{00000000-0005-0000-0000-00008B3A0000}"/>
    <cellStyle name="Comma 3 2 2 4 2 2 11" xfId="14949" xr:uid="{00000000-0005-0000-0000-0000953A0000}"/>
    <cellStyle name="Comma 3 2 2 4 2 2 12" xfId="14956" xr:uid="{00000000-0005-0000-0000-00009C3A0000}"/>
    <cellStyle name="Comma 3 2 2 4 2 2 2" xfId="5512" xr:uid="{00000000-0005-0000-0000-0000B8150000}"/>
    <cellStyle name="Comma 3 2 2 4 2 2 2 2" xfId="19948" xr:uid="{00000000-0005-0000-0000-00001C4E0000}"/>
    <cellStyle name="Comma 3 2 2 4 2 2 2 2 2" xfId="8215" xr:uid="{00000000-0005-0000-0000-000047200000}"/>
    <cellStyle name="Comma 3 2 2 4 2 2 2 3" xfId="22321" xr:uid="{00000000-0005-0000-0000-000061570000}"/>
    <cellStyle name="Comma 3 2 2 4 2 2 2 4" xfId="22324" xr:uid="{00000000-0005-0000-0000-000064570000}"/>
    <cellStyle name="Comma 3 2 2 4 2 2 2 5" xfId="22328" xr:uid="{00000000-0005-0000-0000-000068570000}"/>
    <cellStyle name="Comma 3 2 2 4 2 2 3" xfId="22331" xr:uid="{00000000-0005-0000-0000-00006B570000}"/>
    <cellStyle name="Comma 3 2 2 4 2 2 3 2" xfId="22332" xr:uid="{00000000-0005-0000-0000-00006C570000}"/>
    <cellStyle name="Comma 3 2 2 4 2 2 4" xfId="22335" xr:uid="{00000000-0005-0000-0000-00006F570000}"/>
    <cellStyle name="Comma 3 2 2 4 2 2 5" xfId="22339" xr:uid="{00000000-0005-0000-0000-000073570000}"/>
    <cellStyle name="Comma 3 2 2 4 2 2 6" xfId="5130" xr:uid="{00000000-0005-0000-0000-00003A140000}"/>
    <cellStyle name="Comma 3 2 2 4 2 2 7" xfId="8314" xr:uid="{00000000-0005-0000-0000-0000AA200000}"/>
    <cellStyle name="Comma 3 2 2 4 2 2 8" xfId="8325" xr:uid="{00000000-0005-0000-0000-0000B5200000}"/>
    <cellStyle name="Comma 3 2 2 4 2 2 9" xfId="8335" xr:uid="{00000000-0005-0000-0000-0000BF200000}"/>
    <cellStyle name="Comma 3 2 2 4 2 3" xfId="2283" xr:uid="{00000000-0005-0000-0000-00001B090000}"/>
    <cellStyle name="Comma 3 2 2 4 2 3 10" xfId="22340" xr:uid="{00000000-0005-0000-0000-000074570000}"/>
    <cellStyle name="Comma 3 2 2 4 2 3 11" xfId="16384" xr:uid="{00000000-0005-0000-0000-000030400000}"/>
    <cellStyle name="Comma 3 2 2 4 2 3 12" xfId="16387" xr:uid="{00000000-0005-0000-0000-000033400000}"/>
    <cellStyle name="Comma 3 2 2 4 2 3 2" xfId="7230" xr:uid="{00000000-0005-0000-0000-00006E1C0000}"/>
    <cellStyle name="Comma 3 2 2 4 2 3 2 2" xfId="7232" xr:uid="{00000000-0005-0000-0000-0000701C0000}"/>
    <cellStyle name="Comma 3 2 2 4 2 3 2 2 2" xfId="22345" xr:uid="{00000000-0005-0000-0000-000079570000}"/>
    <cellStyle name="Comma 3 2 2 4 2 3 2 3" xfId="7240" xr:uid="{00000000-0005-0000-0000-0000781C0000}"/>
    <cellStyle name="Comma 3 2 2 4 2 3 2 4" xfId="22347" xr:uid="{00000000-0005-0000-0000-00007B570000}"/>
    <cellStyle name="Comma 3 2 2 4 2 3 2 5" xfId="22350" xr:uid="{00000000-0005-0000-0000-00007E570000}"/>
    <cellStyle name="Comma 3 2 2 4 2 3 3" xfId="7248" xr:uid="{00000000-0005-0000-0000-0000801C0000}"/>
    <cellStyle name="Comma 3 2 2 4 2 3 3 2" xfId="7251" xr:uid="{00000000-0005-0000-0000-0000831C0000}"/>
    <cellStyle name="Comma 3 2 2 4 2 3 4" xfId="7265" xr:uid="{00000000-0005-0000-0000-0000911C0000}"/>
    <cellStyle name="Comma 3 2 2 4 2 3 5" xfId="516" xr:uid="{00000000-0005-0000-0000-000026020000}"/>
    <cellStyle name="Comma 3 2 2 4 2 3 6" xfId="547" xr:uid="{00000000-0005-0000-0000-000047020000}"/>
    <cellStyle name="Comma 3 2 2 4 2 3 7" xfId="17" xr:uid="{00000000-0005-0000-0000-000012000000}"/>
    <cellStyle name="Comma 3 2 2 4 2 3 8" xfId="587" xr:uid="{00000000-0005-0000-0000-000073020000}"/>
    <cellStyle name="Comma 3 2 2 4 2 3 9" xfId="22353" xr:uid="{00000000-0005-0000-0000-000081570000}"/>
    <cellStyle name="Comma 3 2 2 4 2 4" xfId="16700" xr:uid="{00000000-0005-0000-0000-00006C410000}"/>
    <cellStyle name="Comma 3 2 2 4 2 4 10" xfId="22355" xr:uid="{00000000-0005-0000-0000-000083570000}"/>
    <cellStyle name="Comma 3 2 2 4 2 4 2" xfId="7315" xr:uid="{00000000-0005-0000-0000-0000C31C0000}"/>
    <cellStyle name="Comma 3 2 2 4 2 4 2 2" xfId="6922" xr:uid="{00000000-0005-0000-0000-00003A1B0000}"/>
    <cellStyle name="Comma 3 2 2 4 2 4 2 2 2" xfId="22356" xr:uid="{00000000-0005-0000-0000-000084570000}"/>
    <cellStyle name="Comma 3 2 2 4 2 4 2 3" xfId="17217" xr:uid="{00000000-0005-0000-0000-000071430000}"/>
    <cellStyle name="Comma 3 2 2 4 2 4 2 4" xfId="17221" xr:uid="{00000000-0005-0000-0000-000075430000}"/>
    <cellStyle name="Comma 3 2 2 4 2 4 2 5" xfId="17225" xr:uid="{00000000-0005-0000-0000-000079430000}"/>
    <cellStyle name="Comma 3 2 2 4 2 4 3" xfId="7318" xr:uid="{00000000-0005-0000-0000-0000C61C0000}"/>
    <cellStyle name="Comma 3 2 2 4 2 4 3 2" xfId="977" xr:uid="{00000000-0005-0000-0000-000001040000}"/>
    <cellStyle name="Comma 3 2 2 4 2 4 4" xfId="7323" xr:uid="{00000000-0005-0000-0000-0000CB1C0000}"/>
    <cellStyle name="Comma 3 2 2 4 2 4 5" xfId="7343" xr:uid="{00000000-0005-0000-0000-0000DF1C0000}"/>
    <cellStyle name="Comma 3 2 2 4 2 4 6" xfId="2089" xr:uid="{00000000-0005-0000-0000-000059080000}"/>
    <cellStyle name="Comma 3 2 2 4 2 4 7" xfId="6068" xr:uid="{00000000-0005-0000-0000-0000E4170000}"/>
    <cellStyle name="Comma 3 2 2 4 2 4 8" xfId="7361" xr:uid="{00000000-0005-0000-0000-0000F11C0000}"/>
    <cellStyle name="Comma 3 2 2 4 2 4 9" xfId="19396" xr:uid="{00000000-0005-0000-0000-0000F44B0000}"/>
    <cellStyle name="Comma 3 2 2 4 2 5" xfId="22361" xr:uid="{00000000-0005-0000-0000-000089570000}"/>
    <cellStyle name="Comma 3 2 2 4 2 5 10" xfId="22363" xr:uid="{00000000-0005-0000-0000-00008B570000}"/>
    <cellStyle name="Comma 3 2 2 4 2 5 2" xfId="7391" xr:uid="{00000000-0005-0000-0000-00000F1D0000}"/>
    <cellStyle name="Comma 3 2 2 4 2 5 2 2" xfId="22364" xr:uid="{00000000-0005-0000-0000-00008C570000}"/>
    <cellStyle name="Comma 3 2 2 4 2 5 2 2 2" xfId="22365" xr:uid="{00000000-0005-0000-0000-00008D570000}"/>
    <cellStyle name="Comma 3 2 2 4 2 5 2 3" xfId="22371" xr:uid="{00000000-0005-0000-0000-000093570000}"/>
    <cellStyle name="Comma 3 2 2 4 2 5 2 4" xfId="22374" xr:uid="{00000000-0005-0000-0000-000096570000}"/>
    <cellStyle name="Comma 3 2 2 4 2 5 2 5" xfId="22377" xr:uid="{00000000-0005-0000-0000-000099570000}"/>
    <cellStyle name="Comma 3 2 2 4 2 5 3" xfId="7399" xr:uid="{00000000-0005-0000-0000-0000171D0000}"/>
    <cellStyle name="Comma 3 2 2 4 2 5 3 2" xfId="22379" xr:uid="{00000000-0005-0000-0000-00009B570000}"/>
    <cellStyle name="Comma 3 2 2 4 2 5 4" xfId="19409" xr:uid="{00000000-0005-0000-0000-0000014C0000}"/>
    <cellStyle name="Comma 3 2 2 4 2 5 5" xfId="19189" xr:uid="{00000000-0005-0000-0000-0000254B0000}"/>
    <cellStyle name="Comma 3 2 2 4 2 5 6" xfId="19414" xr:uid="{00000000-0005-0000-0000-0000064C0000}"/>
    <cellStyle name="Comma 3 2 2 4 2 5 7" xfId="19418" xr:uid="{00000000-0005-0000-0000-00000A4C0000}"/>
    <cellStyle name="Comma 3 2 2 4 2 5 8" xfId="19421" xr:uid="{00000000-0005-0000-0000-00000D4C0000}"/>
    <cellStyle name="Comma 3 2 2 4 2 5 9" xfId="22381" xr:uid="{00000000-0005-0000-0000-00009D570000}"/>
    <cellStyle name="Comma 3 2 2 4 2 6" xfId="22384" xr:uid="{00000000-0005-0000-0000-0000A0570000}"/>
    <cellStyle name="Comma 3 2 2 4 2 6 2" xfId="7418" xr:uid="{00000000-0005-0000-0000-00002A1D0000}"/>
    <cellStyle name="Comma 3 2 2 4 2 6 2 2" xfId="22385" xr:uid="{00000000-0005-0000-0000-0000A1570000}"/>
    <cellStyle name="Comma 3 2 2 4 2 6 3" xfId="7420" xr:uid="{00000000-0005-0000-0000-00002C1D0000}"/>
    <cellStyle name="Comma 3 2 2 4 2 6 4" xfId="19426" xr:uid="{00000000-0005-0000-0000-0000124C0000}"/>
    <cellStyle name="Comma 3 2 2 4 2 6 5" xfId="22386" xr:uid="{00000000-0005-0000-0000-0000A2570000}"/>
    <cellStyle name="Comma 3 2 2 4 2 6 6" xfId="22387" xr:uid="{00000000-0005-0000-0000-0000A3570000}"/>
    <cellStyle name="Comma 3 2 2 4 2 6 7" xfId="22388" xr:uid="{00000000-0005-0000-0000-0000A4570000}"/>
    <cellStyle name="Comma 3 2 2 4 2 6 8" xfId="22389" xr:uid="{00000000-0005-0000-0000-0000A5570000}"/>
    <cellStyle name="Comma 3 2 2 4 2 6 9" xfId="22390" xr:uid="{00000000-0005-0000-0000-0000A6570000}"/>
    <cellStyle name="Comma 3 2 2 4 2 7" xfId="12805" xr:uid="{00000000-0005-0000-0000-000035320000}"/>
    <cellStyle name="Comma 3 2 2 4 2 7 2" xfId="7438" xr:uid="{00000000-0005-0000-0000-00003E1D0000}"/>
    <cellStyle name="Comma 3 2 2 4 2 8" xfId="12808" xr:uid="{00000000-0005-0000-0000-000038320000}"/>
    <cellStyle name="Comma 3 2 2 4 2 9" xfId="12810" xr:uid="{00000000-0005-0000-0000-00003A320000}"/>
    <cellStyle name="Comma 3 2 2 4 20" xfId="22311" xr:uid="{00000000-0005-0000-0000-000057570000}"/>
    <cellStyle name="Comma 3 2 2 4 21" xfId="1725" xr:uid="{00000000-0005-0000-0000-0000ED060000}"/>
    <cellStyle name="Comma 3 2 2 4 22" xfId="10252" xr:uid="{00000000-0005-0000-0000-00003C280000}"/>
    <cellStyle name="Comma 3 2 2 4 23" xfId="1167" xr:uid="{00000000-0005-0000-0000-0000BF040000}"/>
    <cellStyle name="Comma 3 2 2 4 3" xfId="4472" xr:uid="{00000000-0005-0000-0000-0000A8110000}"/>
    <cellStyle name="Comma 3 2 2 4 3 10" xfId="10254" xr:uid="{00000000-0005-0000-0000-00003E280000}"/>
    <cellStyle name="Comma 3 2 2 4 3 11" xfId="1164" xr:uid="{00000000-0005-0000-0000-0000BC040000}"/>
    <cellStyle name="Comma 3 2 2 4 3 12" xfId="831" xr:uid="{00000000-0005-0000-0000-00006F030000}"/>
    <cellStyle name="Comma 3 2 2 4 3 13" xfId="4990" xr:uid="{00000000-0005-0000-0000-0000AE130000}"/>
    <cellStyle name="Comma 3 2 2 4 3 14" xfId="8982" xr:uid="{00000000-0005-0000-0000-000046230000}"/>
    <cellStyle name="Comma 3 2 2 4 3 15" xfId="14170" xr:uid="{00000000-0005-0000-0000-00008A370000}"/>
    <cellStyle name="Comma 3 2 2 4 3 16" xfId="11969" xr:uid="{00000000-0005-0000-0000-0000F12E0000}"/>
    <cellStyle name="Comma 3 2 2 4 3 17" xfId="14185" xr:uid="{00000000-0005-0000-0000-000099370000}"/>
    <cellStyle name="Comma 3 2 2 4 3 18" xfId="14191" xr:uid="{00000000-0005-0000-0000-00009F370000}"/>
    <cellStyle name="Comma 3 2 2 4 3 2" xfId="4490" xr:uid="{00000000-0005-0000-0000-0000BA110000}"/>
    <cellStyle name="Comma 3 2 2 4 3 2 10" xfId="22392" xr:uid="{00000000-0005-0000-0000-0000A8570000}"/>
    <cellStyle name="Comma 3 2 2 4 3 2 2" xfId="11401" xr:uid="{00000000-0005-0000-0000-0000B92C0000}"/>
    <cellStyle name="Comma 3 2 2 4 3 2 2 2" xfId="19491" xr:uid="{00000000-0005-0000-0000-0000534C0000}"/>
    <cellStyle name="Comma 3 2 2 4 3 2 3" xfId="16694" xr:uid="{00000000-0005-0000-0000-000066410000}"/>
    <cellStyle name="Comma 3 2 2 4 3 2 4" xfId="16697" xr:uid="{00000000-0005-0000-0000-000069410000}"/>
    <cellStyle name="Comma 3 2 2 4 3 2 5" xfId="22394" xr:uid="{00000000-0005-0000-0000-0000AA570000}"/>
    <cellStyle name="Comma 3 2 2 4 3 2 6" xfId="10777" xr:uid="{00000000-0005-0000-0000-0000492A0000}"/>
    <cellStyle name="Comma 3 2 2 4 3 2 7" xfId="10783" xr:uid="{00000000-0005-0000-0000-00004F2A0000}"/>
    <cellStyle name="Comma 3 2 2 4 3 2 8" xfId="10788" xr:uid="{00000000-0005-0000-0000-0000542A0000}"/>
    <cellStyle name="Comma 3 2 2 4 3 2 9" xfId="10795" xr:uid="{00000000-0005-0000-0000-00005B2A0000}"/>
    <cellStyle name="Comma 3 2 2 4 3 3" xfId="2299" xr:uid="{00000000-0005-0000-0000-00002B090000}"/>
    <cellStyle name="Comma 3 2 2 4 3 3 2" xfId="9401" xr:uid="{00000000-0005-0000-0000-0000E9240000}"/>
    <cellStyle name="Comma 3 2 2 4 3 3 3" xfId="9405" xr:uid="{00000000-0005-0000-0000-0000ED240000}"/>
    <cellStyle name="Comma 3 2 2 4 3 3 4" xfId="9411" xr:uid="{00000000-0005-0000-0000-0000F3240000}"/>
    <cellStyle name="Comma 3 2 2 4 3 3 5" xfId="9414" xr:uid="{00000000-0005-0000-0000-0000F6240000}"/>
    <cellStyle name="Comma 3 2 2 4 3 3 6" xfId="9418" xr:uid="{00000000-0005-0000-0000-0000FA240000}"/>
    <cellStyle name="Comma 3 2 2 4 3 4" xfId="662" xr:uid="{00000000-0005-0000-0000-0000C6020000}"/>
    <cellStyle name="Comma 3 2 2 4 3 4 2" xfId="566" xr:uid="{00000000-0005-0000-0000-00005D020000}"/>
    <cellStyle name="Comma 3 2 2 4 3 4 3" xfId="607" xr:uid="{00000000-0005-0000-0000-000089020000}"/>
    <cellStyle name="Comma 3 2 2 4 3 4 4" xfId="16022" xr:uid="{00000000-0005-0000-0000-0000C63E0000}"/>
    <cellStyle name="Comma 3 2 2 4 3 4 5" xfId="14125" xr:uid="{00000000-0005-0000-0000-00005D370000}"/>
    <cellStyle name="Comma 3 2 2 4 3 4 6" xfId="14129" xr:uid="{00000000-0005-0000-0000-000061370000}"/>
    <cellStyle name="Comma 3 2 2 4 3 5" xfId="666" xr:uid="{00000000-0005-0000-0000-0000CA020000}"/>
    <cellStyle name="Comma 3 2 2 4 3 5 2" xfId="681" xr:uid="{00000000-0005-0000-0000-0000D9020000}"/>
    <cellStyle name="Comma 3 2 2 4 3 5 3" xfId="16025" xr:uid="{00000000-0005-0000-0000-0000C93E0000}"/>
    <cellStyle name="Comma 3 2 2 4 3 5 4" xfId="16027" xr:uid="{00000000-0005-0000-0000-0000CB3E0000}"/>
    <cellStyle name="Comma 3 2 2 4 3 5 5" xfId="16030" xr:uid="{00000000-0005-0000-0000-0000CE3E0000}"/>
    <cellStyle name="Comma 3 2 2 4 3 5 6" xfId="16033" xr:uid="{00000000-0005-0000-0000-0000D13E0000}"/>
    <cellStyle name="Comma 3 2 2 4 3 6" xfId="691" xr:uid="{00000000-0005-0000-0000-0000E3020000}"/>
    <cellStyle name="Comma 3 2 2 4 3 6 2" xfId="211" xr:uid="{00000000-0005-0000-0000-0000E3000000}"/>
    <cellStyle name="Comma 3 2 2 4 3 6 3" xfId="16036" xr:uid="{00000000-0005-0000-0000-0000D43E0000}"/>
    <cellStyle name="Comma 3 2 2 4 3 6 4" xfId="16038" xr:uid="{00000000-0005-0000-0000-0000D63E0000}"/>
    <cellStyle name="Comma 3 2 2 4 3 6 5" xfId="16041" xr:uid="{00000000-0005-0000-0000-0000D93E0000}"/>
    <cellStyle name="Comma 3 2 2 4 3 6 6" xfId="16043" xr:uid="{00000000-0005-0000-0000-0000DB3E0000}"/>
    <cellStyle name="Comma 3 2 2 4 3 7" xfId="158" xr:uid="{00000000-0005-0000-0000-0000AA000000}"/>
    <cellStyle name="Comma 3 2 2 4 3 8" xfId="705" xr:uid="{00000000-0005-0000-0000-0000F1020000}"/>
    <cellStyle name="Comma 3 2 2 4 3 9" xfId="11388" xr:uid="{00000000-0005-0000-0000-0000AC2C0000}"/>
    <cellStyle name="Comma 3 2 2 4 4" xfId="15350" xr:uid="{00000000-0005-0000-0000-0000263C0000}"/>
    <cellStyle name="Comma 3 2 2 4 4 10" xfId="22397" xr:uid="{00000000-0005-0000-0000-0000AD570000}"/>
    <cellStyle name="Comma 3 2 2 4 4 11" xfId="22399" xr:uid="{00000000-0005-0000-0000-0000AF570000}"/>
    <cellStyle name="Comma 3 2 2 4 4 12" xfId="22400" xr:uid="{00000000-0005-0000-0000-0000B0570000}"/>
    <cellStyle name="Comma 3 2 2 4 4 13" xfId="22401" xr:uid="{00000000-0005-0000-0000-0000B1570000}"/>
    <cellStyle name="Comma 3 2 2 4 4 14" xfId="22402" xr:uid="{00000000-0005-0000-0000-0000B2570000}"/>
    <cellStyle name="Comma 3 2 2 4 4 15" xfId="22403" xr:uid="{00000000-0005-0000-0000-0000B3570000}"/>
    <cellStyle name="Comma 3 2 2 4 4 2" xfId="8024" xr:uid="{00000000-0005-0000-0000-0000881F0000}"/>
    <cellStyle name="Comma 3 2 2 4 4 2 2" xfId="7491" xr:uid="{00000000-0005-0000-0000-0000731D0000}"/>
    <cellStyle name="Comma 3 2 2 4 4 2 2 2" xfId="22284" xr:uid="{00000000-0005-0000-0000-00003C570000}"/>
    <cellStyle name="Comma 3 2 2 4 4 2 3" xfId="7497" xr:uid="{00000000-0005-0000-0000-0000791D0000}"/>
    <cellStyle name="Comma 3 2 2 4 4 2 4" xfId="22408" xr:uid="{00000000-0005-0000-0000-0000B8570000}"/>
    <cellStyle name="Comma 3 2 2 4 4 2 5" xfId="16738" xr:uid="{00000000-0005-0000-0000-000092410000}"/>
    <cellStyle name="Comma 3 2 2 4 4 2 6" xfId="22411" xr:uid="{00000000-0005-0000-0000-0000BB570000}"/>
    <cellStyle name="Comma 3 2 2 4 4 2 7" xfId="17189" xr:uid="{00000000-0005-0000-0000-000055430000}"/>
    <cellStyle name="Comma 3 2 2 4 4 2 8" xfId="22412" xr:uid="{00000000-0005-0000-0000-0000BC570000}"/>
    <cellStyle name="Comma 3 2 2 4 4 2 9" xfId="22414" xr:uid="{00000000-0005-0000-0000-0000BE570000}"/>
    <cellStyle name="Comma 3 2 2 4 4 3" xfId="2321" xr:uid="{00000000-0005-0000-0000-000041090000}"/>
    <cellStyle name="Comma 3 2 2 4 4 3 2" xfId="7505" xr:uid="{00000000-0005-0000-0000-0000811D0000}"/>
    <cellStyle name="Comma 3 2 2 4 4 3 3" xfId="7510" xr:uid="{00000000-0005-0000-0000-0000861D0000}"/>
    <cellStyle name="Comma 3 2 2 4 4 3 4" xfId="22419" xr:uid="{00000000-0005-0000-0000-0000C3570000}"/>
    <cellStyle name="Comma 3 2 2 4 4 3 5" xfId="22420" xr:uid="{00000000-0005-0000-0000-0000C4570000}"/>
    <cellStyle name="Comma 3 2 2 4 4 3 6" xfId="22421" xr:uid="{00000000-0005-0000-0000-0000C5570000}"/>
    <cellStyle name="Comma 3 2 2 4 4 4" xfId="766" xr:uid="{00000000-0005-0000-0000-00002E030000}"/>
    <cellStyle name="Comma 3 2 2 4 4 4 2" xfId="804" xr:uid="{00000000-0005-0000-0000-000054030000}"/>
    <cellStyle name="Comma 3 2 2 4 4 5" xfId="386" xr:uid="{00000000-0005-0000-0000-00009B010000}"/>
    <cellStyle name="Comma 3 2 2 4 4 6" xfId="1261" xr:uid="{00000000-0005-0000-0000-00001D050000}"/>
    <cellStyle name="Comma 3 2 2 4 4 7" xfId="1273" xr:uid="{00000000-0005-0000-0000-000029050000}"/>
    <cellStyle name="Comma 3 2 2 4 4 8" xfId="1284" xr:uid="{00000000-0005-0000-0000-000034050000}"/>
    <cellStyle name="Comma 3 2 2 4 4 9" xfId="1303" xr:uid="{00000000-0005-0000-0000-000047050000}"/>
    <cellStyle name="Comma 3 2 2 4 5" xfId="15354" xr:uid="{00000000-0005-0000-0000-00002A3C0000}"/>
    <cellStyle name="Comma 3 2 2 4 5 10" xfId="6542" xr:uid="{00000000-0005-0000-0000-0000BE190000}"/>
    <cellStyle name="Comma 3 2 2 4 5 11" xfId="6551" xr:uid="{00000000-0005-0000-0000-0000C7190000}"/>
    <cellStyle name="Comma 3 2 2 4 5 12" xfId="6560" xr:uid="{00000000-0005-0000-0000-0000D0190000}"/>
    <cellStyle name="Comma 3 2 2 4 5 13" xfId="6433" xr:uid="{00000000-0005-0000-0000-000051190000}"/>
    <cellStyle name="Comma 3 2 2 4 5 2" xfId="8074" xr:uid="{00000000-0005-0000-0000-0000BA1F0000}"/>
    <cellStyle name="Comma 3 2 2 4 5 2 2" xfId="7584" xr:uid="{00000000-0005-0000-0000-0000D01D0000}"/>
    <cellStyle name="Comma 3 2 2 4 5 2 2 2" xfId="726" xr:uid="{00000000-0005-0000-0000-000006030000}"/>
    <cellStyle name="Comma 3 2 2 4 5 2 3" xfId="7597" xr:uid="{00000000-0005-0000-0000-0000DD1D0000}"/>
    <cellStyle name="Comma 3 2 2 4 5 2 4" xfId="22428" xr:uid="{00000000-0005-0000-0000-0000CC570000}"/>
    <cellStyle name="Comma 3 2 2 4 5 2 5" xfId="22437" xr:uid="{00000000-0005-0000-0000-0000D5570000}"/>
    <cellStyle name="Comma 3 2 2 4 5 2 6" xfId="22443" xr:uid="{00000000-0005-0000-0000-0000DB570000}"/>
    <cellStyle name="Comma 3 2 2 4 5 2 7" xfId="22446" xr:uid="{00000000-0005-0000-0000-0000DE570000}"/>
    <cellStyle name="Comma 3 2 2 4 5 2 8" xfId="22447" xr:uid="{00000000-0005-0000-0000-0000DF570000}"/>
    <cellStyle name="Comma 3 2 2 4 5 2 9" xfId="19972" xr:uid="{00000000-0005-0000-0000-0000344E0000}"/>
    <cellStyle name="Comma 3 2 2 4 5 3" xfId="2338" xr:uid="{00000000-0005-0000-0000-000052090000}"/>
    <cellStyle name="Comma 3 2 2 4 5 3 2" xfId="173" xr:uid="{00000000-0005-0000-0000-0000BA000000}"/>
    <cellStyle name="Comma 3 2 2 4 5 3 3" xfId="7606" xr:uid="{00000000-0005-0000-0000-0000E61D0000}"/>
    <cellStyle name="Comma 3 2 2 4 5 3 4" xfId="22451" xr:uid="{00000000-0005-0000-0000-0000E3570000}"/>
    <cellStyle name="Comma 3 2 2 4 5 3 5" xfId="22454" xr:uid="{00000000-0005-0000-0000-0000E6570000}"/>
    <cellStyle name="Comma 3 2 2 4 5 3 6" xfId="22456" xr:uid="{00000000-0005-0000-0000-0000E8570000}"/>
    <cellStyle name="Comma 3 2 2 4 5 4" xfId="1354" xr:uid="{00000000-0005-0000-0000-00007A050000}"/>
    <cellStyle name="Comma 3 2 2 4 5 4 2" xfId="1367" xr:uid="{00000000-0005-0000-0000-000087050000}"/>
    <cellStyle name="Comma 3 2 2 4 5 5" xfId="1374" xr:uid="{00000000-0005-0000-0000-00008E050000}"/>
    <cellStyle name="Comma 3 2 2 4 5 6" xfId="1408" xr:uid="{00000000-0005-0000-0000-0000B0050000}"/>
    <cellStyle name="Comma 3 2 2 4 5 7" xfId="1438" xr:uid="{00000000-0005-0000-0000-0000CE050000}"/>
    <cellStyle name="Comma 3 2 2 4 5 8" xfId="1463" xr:uid="{00000000-0005-0000-0000-0000E7050000}"/>
    <cellStyle name="Comma 3 2 2 4 5 9" xfId="1484" xr:uid="{00000000-0005-0000-0000-0000FC050000}"/>
    <cellStyle name="Comma 3 2 2 4 6" xfId="15356" xr:uid="{00000000-0005-0000-0000-00002C3C0000}"/>
    <cellStyle name="Comma 3 2 2 4 6 10" xfId="1943" xr:uid="{00000000-0005-0000-0000-0000C7070000}"/>
    <cellStyle name="Comma 3 2 2 4 6 11" xfId="1899" xr:uid="{00000000-0005-0000-0000-00009B070000}"/>
    <cellStyle name="Comma 3 2 2 4 6 12" xfId="2536" xr:uid="{00000000-0005-0000-0000-0000180A0000}"/>
    <cellStyle name="Comma 3 2 2 4 6 2" xfId="8118" xr:uid="{00000000-0005-0000-0000-0000E61F0000}"/>
    <cellStyle name="Comma 3 2 2 4 6 2 2" xfId="22460" xr:uid="{00000000-0005-0000-0000-0000EC570000}"/>
    <cellStyle name="Comma 3 2 2 4 6 2 2 2" xfId="14813" xr:uid="{00000000-0005-0000-0000-00000D3A0000}"/>
    <cellStyle name="Comma 3 2 2 4 6 2 3" xfId="22464" xr:uid="{00000000-0005-0000-0000-0000F0570000}"/>
    <cellStyle name="Comma 3 2 2 4 6 2 4" xfId="22469" xr:uid="{00000000-0005-0000-0000-0000F5570000}"/>
    <cellStyle name="Comma 3 2 2 4 6 2 5" xfId="22470" xr:uid="{00000000-0005-0000-0000-0000F6570000}"/>
    <cellStyle name="Comma 3 2 2 4 6 2 6" xfId="22472" xr:uid="{00000000-0005-0000-0000-0000F8570000}"/>
    <cellStyle name="Comma 3 2 2 4 6 2 7" xfId="22474" xr:uid="{00000000-0005-0000-0000-0000FA570000}"/>
    <cellStyle name="Comma 3 2 2 4 6 2 8" xfId="22476" xr:uid="{00000000-0005-0000-0000-0000FC570000}"/>
    <cellStyle name="Comma 3 2 2 4 6 2 9" xfId="22478" xr:uid="{00000000-0005-0000-0000-0000FE570000}"/>
    <cellStyle name="Comma 3 2 2 4 6 3" xfId="2361" xr:uid="{00000000-0005-0000-0000-000069090000}"/>
    <cellStyle name="Comma 3 2 2 4 6 3 2" xfId="22480" xr:uid="{00000000-0005-0000-0000-000000580000}"/>
    <cellStyle name="Comma 3 2 2 4 6 3 3" xfId="22483" xr:uid="{00000000-0005-0000-0000-000003580000}"/>
    <cellStyle name="Comma 3 2 2 4 6 3 4" xfId="22485" xr:uid="{00000000-0005-0000-0000-000005580000}"/>
    <cellStyle name="Comma 3 2 2 4 6 3 5" xfId="22486" xr:uid="{00000000-0005-0000-0000-000006580000}"/>
    <cellStyle name="Comma 3 2 2 4 6 3 6" xfId="22488" xr:uid="{00000000-0005-0000-0000-000008580000}"/>
    <cellStyle name="Comma 3 2 2 4 6 4" xfId="1541" xr:uid="{00000000-0005-0000-0000-000035060000}"/>
    <cellStyle name="Comma 3 2 2 4 6 4 2" xfId="6180" xr:uid="{00000000-0005-0000-0000-000054180000}"/>
    <cellStyle name="Comma 3 2 2 4 6 5" xfId="22491" xr:uid="{00000000-0005-0000-0000-00000B580000}"/>
    <cellStyle name="Comma 3 2 2 4 6 6" xfId="22493" xr:uid="{00000000-0005-0000-0000-00000D580000}"/>
    <cellStyle name="Comma 3 2 2 4 6 7" xfId="22495" xr:uid="{00000000-0005-0000-0000-00000F580000}"/>
    <cellStyle name="Comma 3 2 2 4 6 8" xfId="22498" xr:uid="{00000000-0005-0000-0000-000012580000}"/>
    <cellStyle name="Comma 3 2 2 4 6 9" xfId="22499" xr:uid="{00000000-0005-0000-0000-000013580000}"/>
    <cellStyle name="Comma 3 2 2 4 7" xfId="15358" xr:uid="{00000000-0005-0000-0000-00002E3C0000}"/>
    <cellStyle name="Comma 3 2 2 4 7 2" xfId="8429" xr:uid="{00000000-0005-0000-0000-00001D210000}"/>
    <cellStyle name="Comma 3 2 2 4 7 2 2" xfId="22503" xr:uid="{00000000-0005-0000-0000-000017580000}"/>
    <cellStyle name="Comma 3 2 2 4 7 3" xfId="2391" xr:uid="{00000000-0005-0000-0000-000087090000}"/>
    <cellStyle name="Comma 3 2 2 4 7 4" xfId="1566" xr:uid="{00000000-0005-0000-0000-00004E060000}"/>
    <cellStyle name="Comma 3 2 2 4 7 5" xfId="22505" xr:uid="{00000000-0005-0000-0000-000019580000}"/>
    <cellStyle name="Comma 3 2 2 4 7 6" xfId="22507" xr:uid="{00000000-0005-0000-0000-00001B580000}"/>
    <cellStyle name="Comma 3 2 2 4 7 7" xfId="22509" xr:uid="{00000000-0005-0000-0000-00001D580000}"/>
    <cellStyle name="Comma 3 2 2 4 7 8" xfId="22511" xr:uid="{00000000-0005-0000-0000-00001F580000}"/>
    <cellStyle name="Comma 3 2 2 4 7 9" xfId="22512" xr:uid="{00000000-0005-0000-0000-000020580000}"/>
    <cellStyle name="Comma 3 2 2 4 8" xfId="14165" xr:uid="{00000000-0005-0000-0000-000085370000}"/>
    <cellStyle name="Comma 3 2 2 4 8 2" xfId="22513" xr:uid="{00000000-0005-0000-0000-000021580000}"/>
    <cellStyle name="Comma 3 2 2 4 8 3" xfId="9100" xr:uid="{00000000-0005-0000-0000-0000BC230000}"/>
    <cellStyle name="Comma 3 2 2 4 8 4" xfId="1593" xr:uid="{00000000-0005-0000-0000-000069060000}"/>
    <cellStyle name="Comma 3 2 2 4 8 5" xfId="17792" xr:uid="{00000000-0005-0000-0000-0000B0450000}"/>
    <cellStyle name="Comma 3 2 2 4 8 6" xfId="17804" xr:uid="{00000000-0005-0000-0000-0000BC450000}"/>
    <cellStyle name="Comma 3 2 2 4 9" xfId="22516" xr:uid="{00000000-0005-0000-0000-000024580000}"/>
    <cellStyle name="Comma 3 2 2 4 9 2" xfId="21970" xr:uid="{00000000-0005-0000-0000-000002560000}"/>
    <cellStyle name="Comma 3 2 2 4 9 3" xfId="21975" xr:uid="{00000000-0005-0000-0000-000007560000}"/>
    <cellStyle name="Comma 3 2 2 4 9 4" xfId="1638" xr:uid="{00000000-0005-0000-0000-000096060000}"/>
    <cellStyle name="Comma 3 2 2 4 9 5" xfId="22522" xr:uid="{00000000-0005-0000-0000-00002A580000}"/>
    <cellStyle name="Comma 3 2 2 4 9 6" xfId="22526" xr:uid="{00000000-0005-0000-0000-00002E580000}"/>
    <cellStyle name="Comma 3 2 2 5" xfId="22527" xr:uid="{00000000-0005-0000-0000-00002F580000}"/>
    <cellStyle name="Comma 3 2 2 5 10" xfId="11623" xr:uid="{00000000-0005-0000-0000-0000972D0000}"/>
    <cellStyle name="Comma 3 2 2 5 11" xfId="6375" xr:uid="{00000000-0005-0000-0000-000017190000}"/>
    <cellStyle name="Comma 3 2 2 5 12" xfId="22530" xr:uid="{00000000-0005-0000-0000-000032580000}"/>
    <cellStyle name="Comma 3 2 2 5 13" xfId="22531" xr:uid="{00000000-0005-0000-0000-000033580000}"/>
    <cellStyle name="Comma 3 2 2 5 14" xfId="22532" xr:uid="{00000000-0005-0000-0000-000034580000}"/>
    <cellStyle name="Comma 3 2 2 5 15" xfId="22533" xr:uid="{00000000-0005-0000-0000-000035580000}"/>
    <cellStyle name="Comma 3 2 2 5 16" xfId="3643" xr:uid="{00000000-0005-0000-0000-00006B0E0000}"/>
    <cellStyle name="Comma 3 2 2 5 17" xfId="22396" xr:uid="{00000000-0005-0000-0000-0000AC570000}"/>
    <cellStyle name="Comma 3 2 2 5 18" xfId="22398" xr:uid="{00000000-0005-0000-0000-0000AE570000}"/>
    <cellStyle name="Comma 3 2 2 5 2" xfId="15370" xr:uid="{00000000-0005-0000-0000-00003A3C0000}"/>
    <cellStyle name="Comma 3 2 2 5 2 10" xfId="22536" xr:uid="{00000000-0005-0000-0000-000038580000}"/>
    <cellStyle name="Comma 3 2 2 5 2 11" xfId="22538" xr:uid="{00000000-0005-0000-0000-00003A580000}"/>
    <cellStyle name="Comma 3 2 2 5 2 12" xfId="22539" xr:uid="{00000000-0005-0000-0000-00003B580000}"/>
    <cellStyle name="Comma 3 2 2 5 2 13" xfId="22540" xr:uid="{00000000-0005-0000-0000-00003C580000}"/>
    <cellStyle name="Comma 3 2 2 5 2 14" xfId="22541" xr:uid="{00000000-0005-0000-0000-00003D580000}"/>
    <cellStyle name="Comma 3 2 2 5 2 2" xfId="15373" xr:uid="{00000000-0005-0000-0000-00003D3C0000}"/>
    <cellStyle name="Comma 3 2 2 5 2 2 10" xfId="18515" xr:uid="{00000000-0005-0000-0000-000083480000}"/>
    <cellStyle name="Comma 3 2 2 5 2 2 2" xfId="5872" xr:uid="{00000000-0005-0000-0000-000020170000}"/>
    <cellStyle name="Comma 3 2 2 5 2 2 2 2" xfId="17596" xr:uid="{00000000-0005-0000-0000-0000EC440000}"/>
    <cellStyle name="Comma 3 2 2 5 2 2 3" xfId="22542" xr:uid="{00000000-0005-0000-0000-00003E580000}"/>
    <cellStyle name="Comma 3 2 2 5 2 2 4" xfId="22548" xr:uid="{00000000-0005-0000-0000-000044580000}"/>
    <cellStyle name="Comma 3 2 2 5 2 2 5" xfId="22554" xr:uid="{00000000-0005-0000-0000-00004A580000}"/>
    <cellStyle name="Comma 3 2 2 5 2 2 6" xfId="15170" xr:uid="{00000000-0005-0000-0000-0000723B0000}"/>
    <cellStyle name="Comma 3 2 2 5 2 2 7" xfId="15173" xr:uid="{00000000-0005-0000-0000-0000753B0000}"/>
    <cellStyle name="Comma 3 2 2 5 2 2 8" xfId="15177" xr:uid="{00000000-0005-0000-0000-0000793B0000}"/>
    <cellStyle name="Comma 3 2 2 5 2 2 9" xfId="11001" xr:uid="{00000000-0005-0000-0000-0000292B0000}"/>
    <cellStyle name="Comma 3 2 2 5 2 3" xfId="2433" xr:uid="{00000000-0005-0000-0000-0000B1090000}"/>
    <cellStyle name="Comma 3 2 2 5 2 3 2" xfId="22555" xr:uid="{00000000-0005-0000-0000-00004B580000}"/>
    <cellStyle name="Comma 3 2 2 5 2 3 3" xfId="22556" xr:uid="{00000000-0005-0000-0000-00004C580000}"/>
    <cellStyle name="Comma 3 2 2 5 2 3 4" xfId="22557" xr:uid="{00000000-0005-0000-0000-00004D580000}"/>
    <cellStyle name="Comma 3 2 2 5 2 3 5" xfId="22560" xr:uid="{00000000-0005-0000-0000-000050580000}"/>
    <cellStyle name="Comma 3 2 2 5 2 3 6" xfId="20245" xr:uid="{00000000-0005-0000-0000-0000454F0000}"/>
    <cellStyle name="Comma 3 2 2 5 2 4" xfId="22561" xr:uid="{00000000-0005-0000-0000-000051580000}"/>
    <cellStyle name="Comma 3 2 2 5 2 4 2" xfId="22562" xr:uid="{00000000-0005-0000-0000-000052580000}"/>
    <cellStyle name="Comma 3 2 2 5 2 4 3" xfId="22563" xr:uid="{00000000-0005-0000-0000-000053580000}"/>
    <cellStyle name="Comma 3 2 2 5 2 4 4" xfId="22564" xr:uid="{00000000-0005-0000-0000-000054580000}"/>
    <cellStyle name="Comma 3 2 2 5 2 4 5" xfId="22565" xr:uid="{00000000-0005-0000-0000-000055580000}"/>
    <cellStyle name="Comma 3 2 2 5 2 5" xfId="22566" xr:uid="{00000000-0005-0000-0000-000056580000}"/>
    <cellStyle name="Comma 3 2 2 5 2 6" xfId="22567" xr:uid="{00000000-0005-0000-0000-000057580000}"/>
    <cellStyle name="Comma 3 2 2 5 2 7" xfId="22568" xr:uid="{00000000-0005-0000-0000-000058580000}"/>
    <cellStyle name="Comma 3 2 2 5 2 8" xfId="22569" xr:uid="{00000000-0005-0000-0000-000059580000}"/>
    <cellStyle name="Comma 3 2 2 5 2 9" xfId="22570" xr:uid="{00000000-0005-0000-0000-00005A580000}"/>
    <cellStyle name="Comma 3 2 2 5 3" xfId="15376" xr:uid="{00000000-0005-0000-0000-0000403C0000}"/>
    <cellStyle name="Comma 3 2 2 5 3 10" xfId="22571" xr:uid="{00000000-0005-0000-0000-00005B580000}"/>
    <cellStyle name="Comma 3 2 2 5 3 11" xfId="12829" xr:uid="{00000000-0005-0000-0000-00004D320000}"/>
    <cellStyle name="Comma 3 2 2 5 3 12" xfId="9786" xr:uid="{00000000-0005-0000-0000-00006A260000}"/>
    <cellStyle name="Comma 3 2 2 5 3 2" xfId="22572" xr:uid="{00000000-0005-0000-0000-00005C580000}"/>
    <cellStyle name="Comma 3 2 2 5 3 2 2" xfId="11738" xr:uid="{00000000-0005-0000-0000-00000A2E0000}"/>
    <cellStyle name="Comma 3 2 2 5 3 2 2 2" xfId="19283" xr:uid="{00000000-0005-0000-0000-0000834B0000}"/>
    <cellStyle name="Comma 3 2 2 5 3 2 3" xfId="22573" xr:uid="{00000000-0005-0000-0000-00005D580000}"/>
    <cellStyle name="Comma 3 2 2 5 3 2 4" xfId="22574" xr:uid="{00000000-0005-0000-0000-00005E580000}"/>
    <cellStyle name="Comma 3 2 2 5 3 2 5" xfId="22577" xr:uid="{00000000-0005-0000-0000-000061580000}"/>
    <cellStyle name="Comma 3 2 2 5 3 3" xfId="2444" xr:uid="{00000000-0005-0000-0000-0000BC090000}"/>
    <cellStyle name="Comma 3 2 2 5 3 3 2" xfId="22578" xr:uid="{00000000-0005-0000-0000-000062580000}"/>
    <cellStyle name="Comma 3 2 2 5 3 4" xfId="1694" xr:uid="{00000000-0005-0000-0000-0000CE060000}"/>
    <cellStyle name="Comma 3 2 2 5 3 5" xfId="1721" xr:uid="{00000000-0005-0000-0000-0000E9060000}"/>
    <cellStyle name="Comma 3 2 2 5 3 6" xfId="1754" xr:uid="{00000000-0005-0000-0000-00000A070000}"/>
    <cellStyle name="Comma 3 2 2 5 3 7" xfId="1777" xr:uid="{00000000-0005-0000-0000-000021070000}"/>
    <cellStyle name="Comma 3 2 2 5 3 8" xfId="49" xr:uid="{00000000-0005-0000-0000-000034000000}"/>
    <cellStyle name="Comma 3 2 2 5 3 9" xfId="20749" xr:uid="{00000000-0005-0000-0000-00003D510000}"/>
    <cellStyle name="Comma 3 2 2 5 4" xfId="15379" xr:uid="{00000000-0005-0000-0000-0000433C0000}"/>
    <cellStyle name="Comma 3 2 2 5 4 10" xfId="22580" xr:uid="{00000000-0005-0000-0000-000064580000}"/>
    <cellStyle name="Comma 3 2 2 5 4 11" xfId="4819" xr:uid="{00000000-0005-0000-0000-000003130000}"/>
    <cellStyle name="Comma 3 2 2 5 4 2" xfId="22581" xr:uid="{00000000-0005-0000-0000-000065580000}"/>
    <cellStyle name="Comma 3 2 2 5 4 2 2" xfId="4247" xr:uid="{00000000-0005-0000-0000-0000C7100000}"/>
    <cellStyle name="Comma 3 2 2 5 4 2 2 2" xfId="4268" xr:uid="{00000000-0005-0000-0000-0000DC100000}"/>
    <cellStyle name="Comma 3 2 2 5 4 2 3" xfId="1101" xr:uid="{00000000-0005-0000-0000-00007D040000}"/>
    <cellStyle name="Comma 3 2 2 5 4 2 4" xfId="4343" xr:uid="{00000000-0005-0000-0000-000027110000}"/>
    <cellStyle name="Comma 3 2 2 5 4 2 5" xfId="3465" xr:uid="{00000000-0005-0000-0000-0000B90D0000}"/>
    <cellStyle name="Comma 3 2 2 5 4 3" xfId="2455" xr:uid="{00000000-0005-0000-0000-0000C7090000}"/>
    <cellStyle name="Comma 3 2 2 5 4 3 2" xfId="22583" xr:uid="{00000000-0005-0000-0000-000067580000}"/>
    <cellStyle name="Comma 3 2 2 5 4 4" xfId="348" xr:uid="{00000000-0005-0000-0000-000073010000}"/>
    <cellStyle name="Comma 3 2 2 5 4 5" xfId="2081" xr:uid="{00000000-0005-0000-0000-000051080000}"/>
    <cellStyle name="Comma 3 2 2 5 4 6" xfId="2259" xr:uid="{00000000-0005-0000-0000-000003090000}"/>
    <cellStyle name="Comma 3 2 2 5 4 7" xfId="2294" xr:uid="{00000000-0005-0000-0000-000026090000}"/>
    <cellStyle name="Comma 3 2 2 5 4 8" xfId="2309" xr:uid="{00000000-0005-0000-0000-000035090000}"/>
    <cellStyle name="Comma 3 2 2 5 4 9" xfId="2324" xr:uid="{00000000-0005-0000-0000-000044090000}"/>
    <cellStyle name="Comma 3 2 2 5 5" xfId="15383" xr:uid="{00000000-0005-0000-0000-0000473C0000}"/>
    <cellStyle name="Comma 3 2 2 5 5 10" xfId="2262" xr:uid="{00000000-0005-0000-0000-000006090000}"/>
    <cellStyle name="Comma 3 2 2 5 5 2" xfId="22584" xr:uid="{00000000-0005-0000-0000-000068580000}"/>
    <cellStyle name="Comma 3 2 2 5 5 2 2" xfId="20265" xr:uid="{00000000-0005-0000-0000-0000594F0000}"/>
    <cellStyle name="Comma 3 2 2 5 5 2 2 2" xfId="20272" xr:uid="{00000000-0005-0000-0000-0000604F0000}"/>
    <cellStyle name="Comma 3 2 2 5 5 2 3" xfId="20298" xr:uid="{00000000-0005-0000-0000-00007A4F0000}"/>
    <cellStyle name="Comma 3 2 2 5 5 2 4" xfId="30" xr:uid="{00000000-0005-0000-0000-000020000000}"/>
    <cellStyle name="Comma 3 2 2 5 5 2 5" xfId="20314" xr:uid="{00000000-0005-0000-0000-00008A4F0000}"/>
    <cellStyle name="Comma 3 2 2 5 5 3" xfId="2471" xr:uid="{00000000-0005-0000-0000-0000D7090000}"/>
    <cellStyle name="Comma 3 2 2 5 5 3 2" xfId="22587" xr:uid="{00000000-0005-0000-0000-00006B580000}"/>
    <cellStyle name="Comma 3 2 2 5 5 4" xfId="1835" xr:uid="{00000000-0005-0000-0000-00005B070000}"/>
    <cellStyle name="Comma 3 2 2 5 5 5" xfId="2411" xr:uid="{00000000-0005-0000-0000-00009B090000}"/>
    <cellStyle name="Comma 3 2 2 5 5 6" xfId="2428" xr:uid="{00000000-0005-0000-0000-0000AC090000}"/>
    <cellStyle name="Comma 3 2 2 5 5 7" xfId="2439" xr:uid="{00000000-0005-0000-0000-0000B7090000}"/>
    <cellStyle name="Comma 3 2 2 5 5 8" xfId="2451" xr:uid="{00000000-0005-0000-0000-0000C3090000}"/>
    <cellStyle name="Comma 3 2 2 5 5 9" xfId="2464" xr:uid="{00000000-0005-0000-0000-0000D0090000}"/>
    <cellStyle name="Comma 3 2 2 5 6" xfId="8458" xr:uid="{00000000-0005-0000-0000-00003A210000}"/>
    <cellStyle name="Comma 3 2 2 5 6 2" xfId="22588" xr:uid="{00000000-0005-0000-0000-00006C580000}"/>
    <cellStyle name="Comma 3 2 2 5 6 2 2" xfId="22592" xr:uid="{00000000-0005-0000-0000-000070580000}"/>
    <cellStyle name="Comma 3 2 2 5 6 3" xfId="22593" xr:uid="{00000000-0005-0000-0000-000071580000}"/>
    <cellStyle name="Comma 3 2 2 5 6 4" xfId="1609" xr:uid="{00000000-0005-0000-0000-000079060000}"/>
    <cellStyle name="Comma 3 2 2 5 6 5" xfId="22596" xr:uid="{00000000-0005-0000-0000-000074580000}"/>
    <cellStyle name="Comma 3 2 2 5 6 6" xfId="781" xr:uid="{00000000-0005-0000-0000-00003D030000}"/>
    <cellStyle name="Comma 3 2 2 5 6 7" xfId="22598" xr:uid="{00000000-0005-0000-0000-000076580000}"/>
    <cellStyle name="Comma 3 2 2 5 6 8" xfId="22600" xr:uid="{00000000-0005-0000-0000-000078580000}"/>
    <cellStyle name="Comma 3 2 2 5 6 9" xfId="22601" xr:uid="{00000000-0005-0000-0000-000079580000}"/>
    <cellStyle name="Comma 3 2 2 5 7" xfId="8466" xr:uid="{00000000-0005-0000-0000-000042210000}"/>
    <cellStyle name="Comma 3 2 2 5 7 2" xfId="22602" xr:uid="{00000000-0005-0000-0000-00007A580000}"/>
    <cellStyle name="Comma 3 2 2 5 8" xfId="7064" xr:uid="{00000000-0005-0000-0000-0000C81B0000}"/>
    <cellStyle name="Comma 3 2 2 5 9" xfId="7258" xr:uid="{00000000-0005-0000-0000-00008A1C0000}"/>
    <cellStyle name="Comma 3 2 2 6" xfId="22603" xr:uid="{00000000-0005-0000-0000-00007B580000}"/>
    <cellStyle name="Comma 3 2 2 6 10" xfId="22608" xr:uid="{00000000-0005-0000-0000-000080580000}"/>
    <cellStyle name="Comma 3 2 2 6 11" xfId="22611" xr:uid="{00000000-0005-0000-0000-000083580000}"/>
    <cellStyle name="Comma 3 2 2 6 12" xfId="22613" xr:uid="{00000000-0005-0000-0000-000085580000}"/>
    <cellStyle name="Comma 3 2 2 6 13" xfId="22615" xr:uid="{00000000-0005-0000-0000-000087580000}"/>
    <cellStyle name="Comma 3 2 2 6 14" xfId="22617" xr:uid="{00000000-0005-0000-0000-000089580000}"/>
    <cellStyle name="Comma 3 2 2 6 15" xfId="22618" xr:uid="{00000000-0005-0000-0000-00008A580000}"/>
    <cellStyle name="Comma 3 2 2 6 16" xfId="7221" xr:uid="{00000000-0005-0000-0000-0000651C0000}"/>
    <cellStyle name="Comma 3 2 2 6 17" xfId="6541" xr:uid="{00000000-0005-0000-0000-0000BD190000}"/>
    <cellStyle name="Comma 3 2 2 6 18" xfId="6550" xr:uid="{00000000-0005-0000-0000-0000C6190000}"/>
    <cellStyle name="Comma 3 2 2 6 2" xfId="15399" xr:uid="{00000000-0005-0000-0000-0000573C0000}"/>
    <cellStyle name="Comma 3 2 2 6 2 10" xfId="21815" xr:uid="{00000000-0005-0000-0000-000067550000}"/>
    <cellStyle name="Comma 3 2 2 6 2 2" xfId="22619" xr:uid="{00000000-0005-0000-0000-00008B580000}"/>
    <cellStyle name="Comma 3 2 2 6 2 2 2" xfId="6224" xr:uid="{00000000-0005-0000-0000-000080180000}"/>
    <cellStyle name="Comma 3 2 2 6 2 3" xfId="22620" xr:uid="{00000000-0005-0000-0000-00008C580000}"/>
    <cellStyle name="Comma 3 2 2 6 2 4" xfId="22621" xr:uid="{00000000-0005-0000-0000-00008D580000}"/>
    <cellStyle name="Comma 3 2 2 6 2 5" xfId="22622" xr:uid="{00000000-0005-0000-0000-00008E580000}"/>
    <cellStyle name="Comma 3 2 2 6 2 6" xfId="22623" xr:uid="{00000000-0005-0000-0000-00008F580000}"/>
    <cellStyle name="Comma 3 2 2 6 2 7" xfId="22624" xr:uid="{00000000-0005-0000-0000-000090580000}"/>
    <cellStyle name="Comma 3 2 2 6 2 8" xfId="22625" xr:uid="{00000000-0005-0000-0000-000091580000}"/>
    <cellStyle name="Comma 3 2 2 6 2 9" xfId="22626" xr:uid="{00000000-0005-0000-0000-000092580000}"/>
    <cellStyle name="Comma 3 2 2 6 3" xfId="7534" xr:uid="{00000000-0005-0000-0000-00009E1D0000}"/>
    <cellStyle name="Comma 3 2 2 6 3 2" xfId="22627" xr:uid="{00000000-0005-0000-0000-000093580000}"/>
    <cellStyle name="Comma 3 2 2 6 3 3" xfId="22629" xr:uid="{00000000-0005-0000-0000-000095580000}"/>
    <cellStyle name="Comma 3 2 2 6 3 4" xfId="658" xr:uid="{00000000-0005-0000-0000-0000C1020000}"/>
    <cellStyle name="Comma 3 2 2 6 3 5" xfId="2594" xr:uid="{00000000-0005-0000-0000-0000520A0000}"/>
    <cellStyle name="Comma 3 2 2 6 3 6" xfId="2622" xr:uid="{00000000-0005-0000-0000-00006E0A0000}"/>
    <cellStyle name="Comma 3 2 2 6 4" xfId="15402" xr:uid="{00000000-0005-0000-0000-00005A3C0000}"/>
    <cellStyle name="Comma 3 2 2 6 4 2" xfId="22630" xr:uid="{00000000-0005-0000-0000-000096580000}"/>
    <cellStyle name="Comma 3 2 2 6 4 3" xfId="22631" xr:uid="{00000000-0005-0000-0000-000097580000}"/>
    <cellStyle name="Comma 3 2 2 6 4 4" xfId="2703" xr:uid="{00000000-0005-0000-0000-0000BF0A0000}"/>
    <cellStyle name="Comma 3 2 2 6 4 5" xfId="2841" xr:uid="{00000000-0005-0000-0000-0000490B0000}"/>
    <cellStyle name="Comma 3 2 2 6 4 6" xfId="2887" xr:uid="{00000000-0005-0000-0000-0000770B0000}"/>
    <cellStyle name="Comma 3 2 2 6 5" xfId="15406" xr:uid="{00000000-0005-0000-0000-00005E3C0000}"/>
    <cellStyle name="Comma 3 2 2 6 5 2" xfId="22632" xr:uid="{00000000-0005-0000-0000-000098580000}"/>
    <cellStyle name="Comma 3 2 2 6 5 3" xfId="22633" xr:uid="{00000000-0005-0000-0000-000099580000}"/>
    <cellStyle name="Comma 3 2 2 6 5 4" xfId="717" xr:uid="{00000000-0005-0000-0000-0000FD020000}"/>
    <cellStyle name="Comma 3 2 2 6 5 5" xfId="3001" xr:uid="{00000000-0005-0000-0000-0000E90B0000}"/>
    <cellStyle name="Comma 3 2 2 6 5 6" xfId="3016" xr:uid="{00000000-0005-0000-0000-0000F80B0000}"/>
    <cellStyle name="Comma 3 2 2 6 6" xfId="15408" xr:uid="{00000000-0005-0000-0000-0000603C0000}"/>
    <cellStyle name="Comma 3 2 2 6 6 2" xfId="22634" xr:uid="{00000000-0005-0000-0000-00009A580000}"/>
    <cellStyle name="Comma 3 2 2 6 6 3" xfId="22635" xr:uid="{00000000-0005-0000-0000-00009B580000}"/>
    <cellStyle name="Comma 3 2 2 6 6 4" xfId="3107" xr:uid="{00000000-0005-0000-0000-0000530C0000}"/>
    <cellStyle name="Comma 3 2 2 6 6 5" xfId="22638" xr:uid="{00000000-0005-0000-0000-00009E580000}"/>
    <cellStyle name="Comma 3 2 2 6 6 6" xfId="22641" xr:uid="{00000000-0005-0000-0000-0000A1580000}"/>
    <cellStyle name="Comma 3 2 2 6 7" xfId="15410" xr:uid="{00000000-0005-0000-0000-0000623C0000}"/>
    <cellStyle name="Comma 3 2 2 6 8" xfId="15412" xr:uid="{00000000-0005-0000-0000-0000643C0000}"/>
    <cellStyle name="Comma 3 2 2 6 9" xfId="22644" xr:uid="{00000000-0005-0000-0000-0000A4580000}"/>
    <cellStyle name="Comma 3 2 2 7" xfId="22646" xr:uid="{00000000-0005-0000-0000-0000A6580000}"/>
    <cellStyle name="Comma 3 2 2 7 10" xfId="13476" xr:uid="{00000000-0005-0000-0000-0000D4340000}"/>
    <cellStyle name="Comma 3 2 2 7 11" xfId="14178" xr:uid="{00000000-0005-0000-0000-000092370000}"/>
    <cellStyle name="Comma 3 2 2 7 12" xfId="1672" xr:uid="{00000000-0005-0000-0000-0000B8060000}"/>
    <cellStyle name="Comma 3 2 2 7 13" xfId="1785" xr:uid="{00000000-0005-0000-0000-000029070000}"/>
    <cellStyle name="Comma 3 2 2 7 14" xfId="1818" xr:uid="{00000000-0005-0000-0000-00004A070000}"/>
    <cellStyle name="Comma 3 2 2 7 15" xfId="1840" xr:uid="{00000000-0005-0000-0000-000060070000}"/>
    <cellStyle name="Comma 3 2 2 7 16" xfId="1866" xr:uid="{00000000-0005-0000-0000-00007A070000}"/>
    <cellStyle name="Comma 3 2 2 7 17" xfId="1940" xr:uid="{00000000-0005-0000-0000-0000C4070000}"/>
    <cellStyle name="Comma 3 2 2 7 18" xfId="1897" xr:uid="{00000000-0005-0000-0000-000099070000}"/>
    <cellStyle name="Comma 3 2 2 7 2" xfId="22652" xr:uid="{00000000-0005-0000-0000-0000AC580000}"/>
    <cellStyle name="Comma 3 2 2 7 2 10" xfId="5380" xr:uid="{00000000-0005-0000-0000-000034150000}"/>
    <cellStyle name="Comma 3 2 2 7 2 2" xfId="22653" xr:uid="{00000000-0005-0000-0000-0000AD580000}"/>
    <cellStyle name="Comma 3 2 2 7 2 2 2" xfId="22655" xr:uid="{00000000-0005-0000-0000-0000AF580000}"/>
    <cellStyle name="Comma 3 2 2 7 2 3" xfId="22656" xr:uid="{00000000-0005-0000-0000-0000B0580000}"/>
    <cellStyle name="Comma 3 2 2 7 2 4" xfId="22657" xr:uid="{00000000-0005-0000-0000-0000B1580000}"/>
    <cellStyle name="Comma 3 2 2 7 2 5" xfId="22659" xr:uid="{00000000-0005-0000-0000-0000B3580000}"/>
    <cellStyle name="Comma 3 2 2 7 2 6" xfId="22661" xr:uid="{00000000-0005-0000-0000-0000B5580000}"/>
    <cellStyle name="Comma 3 2 2 7 2 7" xfId="22663" xr:uid="{00000000-0005-0000-0000-0000B7580000}"/>
    <cellStyle name="Comma 3 2 2 7 2 8" xfId="22665" xr:uid="{00000000-0005-0000-0000-0000B9580000}"/>
    <cellStyle name="Comma 3 2 2 7 2 9" xfId="22667" xr:uid="{00000000-0005-0000-0000-0000BB580000}"/>
    <cellStyle name="Comma 3 2 2 7 3" xfId="22671" xr:uid="{00000000-0005-0000-0000-0000BF580000}"/>
    <cellStyle name="Comma 3 2 2 7 3 2" xfId="14162" xr:uid="{00000000-0005-0000-0000-000082370000}"/>
    <cellStyle name="Comma 3 2 2 7 3 3" xfId="22672" xr:uid="{00000000-0005-0000-0000-0000C0580000}"/>
    <cellStyle name="Comma 3 2 2 7 3 4" xfId="2959" xr:uid="{00000000-0005-0000-0000-0000BF0B0000}"/>
    <cellStyle name="Comma 3 2 2 7 3 5" xfId="3166" xr:uid="{00000000-0005-0000-0000-00008E0C0000}"/>
    <cellStyle name="Comma 3 2 2 7 3 6" xfId="3132" xr:uid="{00000000-0005-0000-0000-00006C0C0000}"/>
    <cellStyle name="Comma 3 2 2 7 4" xfId="22676" xr:uid="{00000000-0005-0000-0000-0000C4580000}"/>
    <cellStyle name="Comma 3 2 2 7 4 2" xfId="22677" xr:uid="{00000000-0005-0000-0000-0000C5580000}"/>
    <cellStyle name="Comma 3 2 2 7 4 3" xfId="22678" xr:uid="{00000000-0005-0000-0000-0000C6580000}"/>
    <cellStyle name="Comma 3 2 2 7 4 4" xfId="235" xr:uid="{00000000-0005-0000-0000-0000FC000000}"/>
    <cellStyle name="Comma 3 2 2 7 4 5" xfId="3316" xr:uid="{00000000-0005-0000-0000-0000240D0000}"/>
    <cellStyle name="Comma 3 2 2 7 4 6" xfId="2644" xr:uid="{00000000-0005-0000-0000-0000840A0000}"/>
    <cellStyle name="Comma 3 2 2 7 5" xfId="22683" xr:uid="{00000000-0005-0000-0000-0000CB580000}"/>
    <cellStyle name="Comma 3 2 2 7 5 2" xfId="22684" xr:uid="{00000000-0005-0000-0000-0000CC580000}"/>
    <cellStyle name="Comma 3 2 2 7 5 3" xfId="22685" xr:uid="{00000000-0005-0000-0000-0000CD580000}"/>
    <cellStyle name="Comma 3 2 2 7 5 4" xfId="3455" xr:uid="{00000000-0005-0000-0000-0000AF0D0000}"/>
    <cellStyle name="Comma 3 2 2 7 5 5" xfId="3474" xr:uid="{00000000-0005-0000-0000-0000C20D0000}"/>
    <cellStyle name="Comma 3 2 2 7 5 6" xfId="3142" xr:uid="{00000000-0005-0000-0000-0000760C0000}"/>
    <cellStyle name="Comma 3 2 2 7 6" xfId="22686" xr:uid="{00000000-0005-0000-0000-0000CE580000}"/>
    <cellStyle name="Comma 3 2 2 7 6 2" xfId="22687" xr:uid="{00000000-0005-0000-0000-0000CF580000}"/>
    <cellStyle name="Comma 3 2 2 7 6 3" xfId="22688" xr:uid="{00000000-0005-0000-0000-0000D0580000}"/>
    <cellStyle name="Comma 3 2 2 7 6 4" xfId="3547" xr:uid="{00000000-0005-0000-0000-00000B0E0000}"/>
    <cellStyle name="Comma 3 2 2 7 6 5" xfId="22690" xr:uid="{00000000-0005-0000-0000-0000D2580000}"/>
    <cellStyle name="Comma 3 2 2 7 6 6" xfId="22692" xr:uid="{00000000-0005-0000-0000-0000D4580000}"/>
    <cellStyle name="Comma 3 2 2 7 7" xfId="22693" xr:uid="{00000000-0005-0000-0000-0000D5580000}"/>
    <cellStyle name="Comma 3 2 2 7 8" xfId="22694" xr:uid="{00000000-0005-0000-0000-0000D6580000}"/>
    <cellStyle name="Comma 3 2 2 7 9" xfId="22696" xr:uid="{00000000-0005-0000-0000-0000D8580000}"/>
    <cellStyle name="Comma 3 2 2 8" xfId="22697" xr:uid="{00000000-0005-0000-0000-0000D9580000}"/>
    <cellStyle name="Comma 3 2 2 8 10" xfId="17316" xr:uid="{00000000-0005-0000-0000-0000D4430000}"/>
    <cellStyle name="Comma 3 2 2 8 11" xfId="17326" xr:uid="{00000000-0005-0000-0000-0000DE430000}"/>
    <cellStyle name="Comma 3 2 2 8 12" xfId="3350" xr:uid="{00000000-0005-0000-0000-0000460D0000}"/>
    <cellStyle name="Comma 3 2 2 8 13" xfId="17330" xr:uid="{00000000-0005-0000-0000-0000E2430000}"/>
    <cellStyle name="Comma 3 2 2 8 14" xfId="17334" xr:uid="{00000000-0005-0000-0000-0000E6430000}"/>
    <cellStyle name="Comma 3 2 2 8 15" xfId="17338" xr:uid="{00000000-0005-0000-0000-0000EA430000}"/>
    <cellStyle name="Comma 3 2 2 8 2" xfId="11472" xr:uid="{00000000-0005-0000-0000-0000002D0000}"/>
    <cellStyle name="Comma 3 2 2 8 2 2" xfId="22702" xr:uid="{00000000-0005-0000-0000-0000DE580000}"/>
    <cellStyle name="Comma 3 2 2 8 2 2 2" xfId="13611" xr:uid="{00000000-0005-0000-0000-00005B350000}"/>
    <cellStyle name="Comma 3 2 2 8 2 3" xfId="924" xr:uid="{00000000-0005-0000-0000-0000CC030000}"/>
    <cellStyle name="Comma 3 2 2 8 2 4" xfId="22703" xr:uid="{00000000-0005-0000-0000-0000DF580000}"/>
    <cellStyle name="Comma 3 2 2 8 2 5" xfId="22706" xr:uid="{00000000-0005-0000-0000-0000E2580000}"/>
    <cellStyle name="Comma 3 2 2 8 2 6" xfId="22708" xr:uid="{00000000-0005-0000-0000-0000E4580000}"/>
    <cellStyle name="Comma 3 2 2 8 2 7" xfId="22710" xr:uid="{00000000-0005-0000-0000-0000E6580000}"/>
    <cellStyle name="Comma 3 2 2 8 2 8" xfId="22712" xr:uid="{00000000-0005-0000-0000-0000E8580000}"/>
    <cellStyle name="Comma 3 2 2 8 2 9" xfId="22714" xr:uid="{00000000-0005-0000-0000-0000EA580000}"/>
    <cellStyle name="Comma 3 2 2 8 3" xfId="22716" xr:uid="{00000000-0005-0000-0000-0000EC580000}"/>
    <cellStyle name="Comma 3 2 2 8 3 2" xfId="22717" xr:uid="{00000000-0005-0000-0000-0000ED580000}"/>
    <cellStyle name="Comma 3 2 2 8 3 3" xfId="930" xr:uid="{00000000-0005-0000-0000-0000D2030000}"/>
    <cellStyle name="Comma 3 2 2 8 3 4" xfId="3570" xr:uid="{00000000-0005-0000-0000-0000220E0000}"/>
    <cellStyle name="Comma 3 2 2 8 3 5" xfId="280" xr:uid="{00000000-0005-0000-0000-00002B010000}"/>
    <cellStyle name="Comma 3 2 2 8 3 6" xfId="303" xr:uid="{00000000-0005-0000-0000-000043010000}"/>
    <cellStyle name="Comma 3 2 2 8 4" xfId="22720" xr:uid="{00000000-0005-0000-0000-0000F0580000}"/>
    <cellStyle name="Comma 3 2 2 8 4 2" xfId="22721" xr:uid="{00000000-0005-0000-0000-0000F1580000}"/>
    <cellStyle name="Comma 3 2 2 8 5" xfId="22725" xr:uid="{00000000-0005-0000-0000-0000F5580000}"/>
    <cellStyle name="Comma 3 2 2 8 6" xfId="22728" xr:uid="{00000000-0005-0000-0000-0000F8580000}"/>
    <cellStyle name="Comma 3 2 2 8 7" xfId="22731" xr:uid="{00000000-0005-0000-0000-0000FB580000}"/>
    <cellStyle name="Comma 3 2 2 8 8" xfId="22732" xr:uid="{00000000-0005-0000-0000-0000FC580000}"/>
    <cellStyle name="Comma 3 2 2 8 9" xfId="22733" xr:uid="{00000000-0005-0000-0000-0000FD580000}"/>
    <cellStyle name="Comma 3 2 2 9" xfId="22734" xr:uid="{00000000-0005-0000-0000-0000FE580000}"/>
    <cellStyle name="Comma 3 2 2 9 10" xfId="22738" xr:uid="{00000000-0005-0000-0000-000002590000}"/>
    <cellStyle name="Comma 3 2 2 9 11" xfId="22739" xr:uid="{00000000-0005-0000-0000-000003590000}"/>
    <cellStyle name="Comma 3 2 2 9 12" xfId="22740" xr:uid="{00000000-0005-0000-0000-000004590000}"/>
    <cellStyle name="Comma 3 2 2 9 13" xfId="22741" xr:uid="{00000000-0005-0000-0000-000005590000}"/>
    <cellStyle name="Comma 3 2 2 9 14" xfId="22743" xr:uid="{00000000-0005-0000-0000-000007590000}"/>
    <cellStyle name="Comma 3 2 2 9 2" xfId="11493" xr:uid="{00000000-0005-0000-0000-0000152D0000}"/>
    <cellStyle name="Comma 3 2 2 9 2 2" xfId="18288" xr:uid="{00000000-0005-0000-0000-0000A0470000}"/>
    <cellStyle name="Comma 3 2 2 9 2 2 2" xfId="14596" xr:uid="{00000000-0005-0000-0000-000034390000}"/>
    <cellStyle name="Comma 3 2 2 9 2 3" xfId="6339" xr:uid="{00000000-0005-0000-0000-0000F3180000}"/>
    <cellStyle name="Comma 3 2 2 9 2 4" xfId="18292" xr:uid="{00000000-0005-0000-0000-0000A4470000}"/>
    <cellStyle name="Comma 3 2 2 9 2 5" xfId="22746" xr:uid="{00000000-0005-0000-0000-00000A590000}"/>
    <cellStyle name="Comma 3 2 2 9 2 6" xfId="22749" xr:uid="{00000000-0005-0000-0000-00000D590000}"/>
    <cellStyle name="Comma 3 2 2 9 2 7" xfId="22751" xr:uid="{00000000-0005-0000-0000-00000F590000}"/>
    <cellStyle name="Comma 3 2 2 9 2 8" xfId="22753" xr:uid="{00000000-0005-0000-0000-000011590000}"/>
    <cellStyle name="Comma 3 2 2 9 2 9" xfId="22755" xr:uid="{00000000-0005-0000-0000-000013590000}"/>
    <cellStyle name="Comma 3 2 2 9 3" xfId="16914" xr:uid="{00000000-0005-0000-0000-000042420000}"/>
    <cellStyle name="Comma 3 2 2 9 3 2" xfId="16916" xr:uid="{00000000-0005-0000-0000-000044420000}"/>
    <cellStyle name="Comma 3 2 2 9 3 3" xfId="22756" xr:uid="{00000000-0005-0000-0000-000014590000}"/>
    <cellStyle name="Comma 3 2 2 9 3 4" xfId="1426" xr:uid="{00000000-0005-0000-0000-0000C2050000}"/>
    <cellStyle name="Comma 3 2 2 9 3 5" xfId="1453" xr:uid="{00000000-0005-0000-0000-0000DD050000}"/>
    <cellStyle name="Comma 3 2 2 9 3 6" xfId="1488" xr:uid="{00000000-0005-0000-0000-000000060000}"/>
    <cellStyle name="Comma 3 2 2 9 4" xfId="12428" xr:uid="{00000000-0005-0000-0000-0000BC300000}"/>
    <cellStyle name="Comma 3 2 2 9 4 2" xfId="22757" xr:uid="{00000000-0005-0000-0000-000015590000}"/>
    <cellStyle name="Comma 3 2 2 9 5" xfId="12435" xr:uid="{00000000-0005-0000-0000-0000C3300000}"/>
    <cellStyle name="Comma 3 2 2 9 6" xfId="12443" xr:uid="{00000000-0005-0000-0000-0000CB300000}"/>
    <cellStyle name="Comma 3 2 2 9 7" xfId="12450" xr:uid="{00000000-0005-0000-0000-0000D2300000}"/>
    <cellStyle name="Comma 3 2 2 9 8" xfId="12455" xr:uid="{00000000-0005-0000-0000-0000D7300000}"/>
    <cellStyle name="Comma 3 2 2 9 9" xfId="16918" xr:uid="{00000000-0005-0000-0000-000046420000}"/>
    <cellStyle name="Comma 3 2 20" xfId="2067" xr:uid="{00000000-0005-0000-0000-000043080000}"/>
    <cellStyle name="Comma 3 2 21" xfId="21454" xr:uid="{00000000-0005-0000-0000-0000FE530000}"/>
    <cellStyle name="Comma 3 2 22" xfId="21456" xr:uid="{00000000-0005-0000-0000-000000540000}"/>
    <cellStyle name="Comma 3 2 23" xfId="21459" xr:uid="{00000000-0005-0000-0000-000003540000}"/>
    <cellStyle name="Comma 3 2 24" xfId="21462" xr:uid="{00000000-0005-0000-0000-000006540000}"/>
    <cellStyle name="Comma 3 2 25" xfId="5111" xr:uid="{00000000-0005-0000-0000-000027140000}"/>
    <cellStyle name="Comma 3 2 26" xfId="7138" xr:uid="{00000000-0005-0000-0000-0000121C0000}"/>
    <cellStyle name="Comma 3 2 27" xfId="7153" xr:uid="{00000000-0005-0000-0000-0000211C0000}"/>
    <cellStyle name="Comma 3 2 3" xfId="22761" xr:uid="{00000000-0005-0000-0000-000019590000}"/>
    <cellStyle name="Comma 3 2 3 10" xfId="22762" xr:uid="{00000000-0005-0000-0000-00001A590000}"/>
    <cellStyle name="Comma 3 2 3 10 2" xfId="22763" xr:uid="{00000000-0005-0000-0000-00001B590000}"/>
    <cellStyle name="Comma 3 2 3 10 3" xfId="22764" xr:uid="{00000000-0005-0000-0000-00001C590000}"/>
    <cellStyle name="Comma 3 2 3 10 4" xfId="22765" xr:uid="{00000000-0005-0000-0000-00001D590000}"/>
    <cellStyle name="Comma 3 2 3 10 5" xfId="22766" xr:uid="{00000000-0005-0000-0000-00001E590000}"/>
    <cellStyle name="Comma 3 2 3 10 6" xfId="13000" xr:uid="{00000000-0005-0000-0000-0000F8320000}"/>
    <cellStyle name="Comma 3 2 3 11" xfId="22767" xr:uid="{00000000-0005-0000-0000-00001F590000}"/>
    <cellStyle name="Comma 3 2 3 11 2" xfId="20822" xr:uid="{00000000-0005-0000-0000-000086510000}"/>
    <cellStyle name="Comma 3 2 3 11 3" xfId="20824" xr:uid="{00000000-0005-0000-0000-000088510000}"/>
    <cellStyle name="Comma 3 2 3 11 4" xfId="20826" xr:uid="{00000000-0005-0000-0000-00008A510000}"/>
    <cellStyle name="Comma 3 2 3 11 5" xfId="20828" xr:uid="{00000000-0005-0000-0000-00008C510000}"/>
    <cellStyle name="Comma 3 2 3 11 6" xfId="20830" xr:uid="{00000000-0005-0000-0000-00008E510000}"/>
    <cellStyle name="Comma 3 2 3 12" xfId="22769" xr:uid="{00000000-0005-0000-0000-000021590000}"/>
    <cellStyle name="Comma 3 2 3 13" xfId="20467" xr:uid="{00000000-0005-0000-0000-000023500000}"/>
    <cellStyle name="Comma 3 2 3 14" xfId="11860" xr:uid="{00000000-0005-0000-0000-0000842E0000}"/>
    <cellStyle name="Comma 3 2 3 15" xfId="11872" xr:uid="{00000000-0005-0000-0000-0000902E0000}"/>
    <cellStyle name="Comma 3 2 3 16" xfId="10273" xr:uid="{00000000-0005-0000-0000-000051280000}"/>
    <cellStyle name="Comma 3 2 3 17" xfId="3961" xr:uid="{00000000-0005-0000-0000-0000A90F0000}"/>
    <cellStyle name="Comma 3 2 3 18" xfId="11880" xr:uid="{00000000-0005-0000-0000-0000982E0000}"/>
    <cellStyle name="Comma 3 2 3 19" xfId="11886" xr:uid="{00000000-0005-0000-0000-00009E2E0000}"/>
    <cellStyle name="Comma 3 2 3 2" xfId="15127" xr:uid="{00000000-0005-0000-0000-0000473B0000}"/>
    <cellStyle name="Comma 3 2 3 2 10" xfId="8135" xr:uid="{00000000-0005-0000-0000-0000F71F0000}"/>
    <cellStyle name="Comma 3 2 3 2 11" xfId="21961" xr:uid="{00000000-0005-0000-0000-0000F9550000}"/>
    <cellStyle name="Comma 3 2 3 2 12" xfId="21963" xr:uid="{00000000-0005-0000-0000-0000FB550000}"/>
    <cellStyle name="Comma 3 2 3 2 13" xfId="21966" xr:uid="{00000000-0005-0000-0000-0000FE550000}"/>
    <cellStyle name="Comma 3 2 3 2 14" xfId="21972" xr:uid="{00000000-0005-0000-0000-000004560000}"/>
    <cellStyle name="Comma 3 2 3 2 15" xfId="1635" xr:uid="{00000000-0005-0000-0000-000093060000}"/>
    <cellStyle name="Comma 3 2 3 2 16" xfId="22518" xr:uid="{00000000-0005-0000-0000-000026580000}"/>
    <cellStyle name="Comma 3 2 3 2 17" xfId="22523" xr:uid="{00000000-0005-0000-0000-00002B580000}"/>
    <cellStyle name="Comma 3 2 3 2 18" xfId="22771" xr:uid="{00000000-0005-0000-0000-000023590000}"/>
    <cellStyle name="Comma 3 2 3 2 2" xfId="15450" xr:uid="{00000000-0005-0000-0000-00008A3C0000}"/>
    <cellStyle name="Comma 3 2 3 2 2 10" xfId="22775" xr:uid="{00000000-0005-0000-0000-000027590000}"/>
    <cellStyle name="Comma 3 2 3 2 2 11" xfId="7409" xr:uid="{00000000-0005-0000-0000-0000211D0000}"/>
    <cellStyle name="Comma 3 2 3 2 2 12" xfId="22777" xr:uid="{00000000-0005-0000-0000-000029590000}"/>
    <cellStyle name="Comma 3 2 3 2 2 2" xfId="6809" xr:uid="{00000000-0005-0000-0000-0000C91A0000}"/>
    <cellStyle name="Comma 3 2 3 2 2 2 2" xfId="5930" xr:uid="{00000000-0005-0000-0000-00005A170000}"/>
    <cellStyle name="Comma 3 2 3 2 2 2 2 2" xfId="5933" xr:uid="{00000000-0005-0000-0000-00005D170000}"/>
    <cellStyle name="Comma 3 2 3 2 2 2 3" xfId="8847" xr:uid="{00000000-0005-0000-0000-0000BF220000}"/>
    <cellStyle name="Comma 3 2 3 2 2 2 4" xfId="8868" xr:uid="{00000000-0005-0000-0000-0000D4220000}"/>
    <cellStyle name="Comma 3 2 3 2 2 2 5" xfId="8877" xr:uid="{00000000-0005-0000-0000-0000DD220000}"/>
    <cellStyle name="Comma 3 2 3 2 2 3" xfId="5367" xr:uid="{00000000-0005-0000-0000-000027150000}"/>
    <cellStyle name="Comma 3 2 3 2 2 3 2" xfId="5382" xr:uid="{00000000-0005-0000-0000-000036150000}"/>
    <cellStyle name="Comma 3 2 3 2 2 4" xfId="5388" xr:uid="{00000000-0005-0000-0000-00003C150000}"/>
    <cellStyle name="Comma 3 2 3 2 2 5" xfId="9006" xr:uid="{00000000-0005-0000-0000-00005E230000}"/>
    <cellStyle name="Comma 3 2 3 2 2 6" xfId="5660" xr:uid="{00000000-0005-0000-0000-00004C160000}"/>
    <cellStyle name="Comma 3 2 3 2 2 7" xfId="5672" xr:uid="{00000000-0005-0000-0000-000058160000}"/>
    <cellStyle name="Comma 3 2 3 2 2 8" xfId="22778" xr:uid="{00000000-0005-0000-0000-00002A590000}"/>
    <cellStyle name="Comma 3 2 3 2 2 9" xfId="22779" xr:uid="{00000000-0005-0000-0000-00002B590000}"/>
    <cellStyle name="Comma 3 2 3 2 3" xfId="15452" xr:uid="{00000000-0005-0000-0000-00008C3C0000}"/>
    <cellStyle name="Comma 3 2 3 2 3 10" xfId="22781" xr:uid="{00000000-0005-0000-0000-00002D590000}"/>
    <cellStyle name="Comma 3 2 3 2 3 11" xfId="22782" xr:uid="{00000000-0005-0000-0000-00002E590000}"/>
    <cellStyle name="Comma 3 2 3 2 3 12" xfId="22783" xr:uid="{00000000-0005-0000-0000-00002F590000}"/>
    <cellStyle name="Comma 3 2 3 2 3 2" xfId="9587" xr:uid="{00000000-0005-0000-0000-0000A3250000}"/>
    <cellStyle name="Comma 3 2 3 2 3 2 2" xfId="6266" xr:uid="{00000000-0005-0000-0000-0000AA180000}"/>
    <cellStyle name="Comma 3 2 3 2 3 2 2 2" xfId="1517" xr:uid="{00000000-0005-0000-0000-00001D060000}"/>
    <cellStyle name="Comma 3 2 3 2 3 2 3" xfId="152" xr:uid="{00000000-0005-0000-0000-0000A4000000}"/>
    <cellStyle name="Comma 3 2 3 2 3 2 4" xfId="3911" xr:uid="{00000000-0005-0000-0000-0000770F0000}"/>
    <cellStyle name="Comma 3 2 3 2 3 2 5" xfId="9689" xr:uid="{00000000-0005-0000-0000-000009260000}"/>
    <cellStyle name="Comma 3 2 3 2 3 3" xfId="9717" xr:uid="{00000000-0005-0000-0000-000025260000}"/>
    <cellStyle name="Comma 3 2 3 2 3 3 2" xfId="6332" xr:uid="{00000000-0005-0000-0000-0000EC180000}"/>
    <cellStyle name="Comma 3 2 3 2 3 4" xfId="4600" xr:uid="{00000000-0005-0000-0000-000028120000}"/>
    <cellStyle name="Comma 3 2 3 2 3 5" xfId="9847" xr:uid="{00000000-0005-0000-0000-0000A7260000}"/>
    <cellStyle name="Comma 3 2 3 2 3 6" xfId="5688" xr:uid="{00000000-0005-0000-0000-000068160000}"/>
    <cellStyle name="Comma 3 2 3 2 3 7" xfId="9880" xr:uid="{00000000-0005-0000-0000-0000C8260000}"/>
    <cellStyle name="Comma 3 2 3 2 3 8" xfId="11651" xr:uid="{00000000-0005-0000-0000-0000B32D0000}"/>
    <cellStyle name="Comma 3 2 3 2 3 9" xfId="11658" xr:uid="{00000000-0005-0000-0000-0000BA2D0000}"/>
    <cellStyle name="Comma 3 2 3 2 4" xfId="15454" xr:uid="{00000000-0005-0000-0000-00008E3C0000}"/>
    <cellStyle name="Comma 3 2 3 2 4 10" xfId="22784" xr:uid="{00000000-0005-0000-0000-000030590000}"/>
    <cellStyle name="Comma 3 2 3 2 4 2" xfId="9663" xr:uid="{00000000-0005-0000-0000-0000EF250000}"/>
    <cellStyle name="Comma 3 2 3 2 4 2 2" xfId="10234" xr:uid="{00000000-0005-0000-0000-00002A280000}"/>
    <cellStyle name="Comma 3 2 3 2 4 2 2 2" xfId="10236" xr:uid="{00000000-0005-0000-0000-00002C280000}"/>
    <cellStyle name="Comma 3 2 3 2 4 2 3" xfId="10245" xr:uid="{00000000-0005-0000-0000-000035280000}"/>
    <cellStyle name="Comma 3 2 3 2 4 2 4" xfId="10256" xr:uid="{00000000-0005-0000-0000-000040280000}"/>
    <cellStyle name="Comma 3 2 3 2 4 2 5" xfId="6157" xr:uid="{00000000-0005-0000-0000-00003D180000}"/>
    <cellStyle name="Comma 3 2 3 2 4 3" xfId="9669" xr:uid="{00000000-0005-0000-0000-0000F5250000}"/>
    <cellStyle name="Comma 3 2 3 2 4 3 2" xfId="10268" xr:uid="{00000000-0005-0000-0000-00004C280000}"/>
    <cellStyle name="Comma 3 2 3 2 4 4" xfId="5417" xr:uid="{00000000-0005-0000-0000-000059150000}"/>
    <cellStyle name="Comma 3 2 3 2 4 5" xfId="9999" xr:uid="{00000000-0005-0000-0000-00003F270000}"/>
    <cellStyle name="Comma 3 2 3 2 4 6" xfId="5714" xr:uid="{00000000-0005-0000-0000-000082160000}"/>
    <cellStyle name="Comma 3 2 3 2 4 7" xfId="10356" xr:uid="{00000000-0005-0000-0000-0000A4280000}"/>
    <cellStyle name="Comma 3 2 3 2 4 8" xfId="11685" xr:uid="{00000000-0005-0000-0000-0000D52D0000}"/>
    <cellStyle name="Comma 3 2 3 2 4 9" xfId="11689" xr:uid="{00000000-0005-0000-0000-0000D92D0000}"/>
    <cellStyle name="Comma 3 2 3 2 5" xfId="15456" xr:uid="{00000000-0005-0000-0000-0000903C0000}"/>
    <cellStyle name="Comma 3 2 3 2 5 10" xfId="22786" xr:uid="{00000000-0005-0000-0000-000032590000}"/>
    <cellStyle name="Comma 3 2 3 2 5 2" xfId="10507" xr:uid="{00000000-0005-0000-0000-00003B290000}"/>
    <cellStyle name="Comma 3 2 3 2 5 2 2" xfId="10512" xr:uid="{00000000-0005-0000-0000-000040290000}"/>
    <cellStyle name="Comma 3 2 3 2 5 2 2 2" xfId="10523" xr:uid="{00000000-0005-0000-0000-00004B290000}"/>
    <cellStyle name="Comma 3 2 3 2 5 2 3" xfId="5215" xr:uid="{00000000-0005-0000-0000-00008F140000}"/>
    <cellStyle name="Comma 3 2 3 2 5 2 4" xfId="10543" xr:uid="{00000000-0005-0000-0000-00005F290000}"/>
    <cellStyle name="Comma 3 2 3 2 5 2 5" xfId="10551" xr:uid="{00000000-0005-0000-0000-000067290000}"/>
    <cellStyle name="Comma 3 2 3 2 5 3" xfId="10568" xr:uid="{00000000-0005-0000-0000-000078290000}"/>
    <cellStyle name="Comma 3 2 3 2 5 3 2" xfId="10576" xr:uid="{00000000-0005-0000-0000-000080290000}"/>
    <cellStyle name="Comma 3 2 3 2 5 4" xfId="3893" xr:uid="{00000000-0005-0000-0000-0000650F0000}"/>
    <cellStyle name="Comma 3 2 3 2 5 5" xfId="10622" xr:uid="{00000000-0005-0000-0000-0000AE290000}"/>
    <cellStyle name="Comma 3 2 3 2 5 6" xfId="6819" xr:uid="{00000000-0005-0000-0000-0000D31A0000}"/>
    <cellStyle name="Comma 3 2 3 2 5 7" xfId="6838" xr:uid="{00000000-0005-0000-0000-0000E61A0000}"/>
    <cellStyle name="Comma 3 2 3 2 5 8" xfId="22788" xr:uid="{00000000-0005-0000-0000-000034590000}"/>
    <cellStyle name="Comma 3 2 3 2 5 9" xfId="22789" xr:uid="{00000000-0005-0000-0000-000035590000}"/>
    <cellStyle name="Comma 3 2 3 2 6" xfId="15458" xr:uid="{00000000-0005-0000-0000-0000923C0000}"/>
    <cellStyle name="Comma 3 2 3 2 6 2" xfId="10719" xr:uid="{00000000-0005-0000-0000-00000F2A0000}"/>
    <cellStyle name="Comma 3 2 3 2 6 2 2" xfId="10722" xr:uid="{00000000-0005-0000-0000-0000122A0000}"/>
    <cellStyle name="Comma 3 2 3 2 6 3" xfId="10737" xr:uid="{00000000-0005-0000-0000-0000212A0000}"/>
    <cellStyle name="Comma 3 2 3 2 6 4" xfId="5029" xr:uid="{00000000-0005-0000-0000-0000D5130000}"/>
    <cellStyle name="Comma 3 2 3 2 6 5" xfId="10764" xr:uid="{00000000-0005-0000-0000-00003C2A0000}"/>
    <cellStyle name="Comma 3 2 3 2 6 6" xfId="10398" xr:uid="{00000000-0005-0000-0000-0000CE280000}"/>
    <cellStyle name="Comma 3 2 3 2 6 7" xfId="10769" xr:uid="{00000000-0005-0000-0000-0000412A0000}"/>
    <cellStyle name="Comma 3 2 3 2 6 8" xfId="22790" xr:uid="{00000000-0005-0000-0000-000036590000}"/>
    <cellStyle name="Comma 3 2 3 2 6 9" xfId="22791" xr:uid="{00000000-0005-0000-0000-000037590000}"/>
    <cellStyle name="Comma 3 2 3 2 7" xfId="15460" xr:uid="{00000000-0005-0000-0000-0000943C0000}"/>
    <cellStyle name="Comma 3 2 3 2 7 2" xfId="10435" xr:uid="{00000000-0005-0000-0000-0000F3280000}"/>
    <cellStyle name="Comma 3 2 3 2 8" xfId="15463" xr:uid="{00000000-0005-0000-0000-0000973C0000}"/>
    <cellStyle name="Comma 3 2 3 2 9" xfId="22792" xr:uid="{00000000-0005-0000-0000-000038590000}"/>
    <cellStyle name="Comma 3 2 3 20" xfId="11871" xr:uid="{00000000-0005-0000-0000-00008F2E0000}"/>
    <cellStyle name="Comma 3 2 3 21" xfId="10272" xr:uid="{00000000-0005-0000-0000-000050280000}"/>
    <cellStyle name="Comma 3 2 3 22" xfId="3960" xr:uid="{00000000-0005-0000-0000-0000A80F0000}"/>
    <cellStyle name="Comma 3 2 3 23" xfId="11879" xr:uid="{00000000-0005-0000-0000-0000972E0000}"/>
    <cellStyle name="Comma 3 2 3 3" xfId="15131" xr:uid="{00000000-0005-0000-0000-00004B3B0000}"/>
    <cellStyle name="Comma 3 2 3 3 10" xfId="22794" xr:uid="{00000000-0005-0000-0000-00003A590000}"/>
    <cellStyle name="Comma 3 2 3 3 11" xfId="22795" xr:uid="{00000000-0005-0000-0000-00003B590000}"/>
    <cellStyle name="Comma 3 2 3 3 12" xfId="22796" xr:uid="{00000000-0005-0000-0000-00003C590000}"/>
    <cellStyle name="Comma 3 2 3 3 13" xfId="22797" xr:uid="{00000000-0005-0000-0000-00003D590000}"/>
    <cellStyle name="Comma 3 2 3 3 14" xfId="22798" xr:uid="{00000000-0005-0000-0000-00003E590000}"/>
    <cellStyle name="Comma 3 2 3 3 15" xfId="22800" xr:uid="{00000000-0005-0000-0000-000040590000}"/>
    <cellStyle name="Comma 3 2 3 3 16" xfId="15257" xr:uid="{00000000-0005-0000-0000-0000C93B0000}"/>
    <cellStyle name="Comma 3 2 3 3 17" xfId="22534" xr:uid="{00000000-0005-0000-0000-000036580000}"/>
    <cellStyle name="Comma 3 2 3 3 18" xfId="22537" xr:uid="{00000000-0005-0000-0000-000039580000}"/>
    <cellStyle name="Comma 3 2 3 3 2" xfId="15468" xr:uid="{00000000-0005-0000-0000-00009C3C0000}"/>
    <cellStyle name="Comma 3 2 3 3 2 10" xfId="22802" xr:uid="{00000000-0005-0000-0000-000042590000}"/>
    <cellStyle name="Comma 3 2 3 3 2 2" xfId="7709" xr:uid="{00000000-0005-0000-0000-00004D1E0000}"/>
    <cellStyle name="Comma 3 2 3 3 2 2 2" xfId="11108" xr:uid="{00000000-0005-0000-0000-0000942B0000}"/>
    <cellStyle name="Comma 3 2 3 3 2 3" xfId="2626" xr:uid="{00000000-0005-0000-0000-0000720A0000}"/>
    <cellStyle name="Comma 3 2 3 3 2 4" xfId="11169" xr:uid="{00000000-0005-0000-0000-0000D12B0000}"/>
    <cellStyle name="Comma 3 2 3 3 2 5" xfId="11187" xr:uid="{00000000-0005-0000-0000-0000E32B0000}"/>
    <cellStyle name="Comma 3 2 3 3 2 6" xfId="5756" xr:uid="{00000000-0005-0000-0000-0000AC160000}"/>
    <cellStyle name="Comma 3 2 3 3 2 7" xfId="5765" xr:uid="{00000000-0005-0000-0000-0000B5160000}"/>
    <cellStyle name="Comma 3 2 3 3 2 8" xfId="22805" xr:uid="{00000000-0005-0000-0000-000045590000}"/>
    <cellStyle name="Comma 3 2 3 3 2 9" xfId="18976" xr:uid="{00000000-0005-0000-0000-0000504A0000}"/>
    <cellStyle name="Comma 3 2 3 3 3" xfId="15470" xr:uid="{00000000-0005-0000-0000-00009E3C0000}"/>
    <cellStyle name="Comma 3 2 3 3 3 2" xfId="11229" xr:uid="{00000000-0005-0000-0000-00000D2C0000}"/>
    <cellStyle name="Comma 3 2 3 3 3 3" xfId="11238" xr:uid="{00000000-0005-0000-0000-0000162C0000}"/>
    <cellStyle name="Comma 3 2 3 3 3 4" xfId="11250" xr:uid="{00000000-0005-0000-0000-0000222C0000}"/>
    <cellStyle name="Comma 3 2 3 3 3 5" xfId="11257" xr:uid="{00000000-0005-0000-0000-0000292C0000}"/>
    <cellStyle name="Comma 3 2 3 3 3 6" xfId="5783" xr:uid="{00000000-0005-0000-0000-0000C7160000}"/>
    <cellStyle name="Comma 3 2 3 3 4" xfId="15472" xr:uid="{00000000-0005-0000-0000-0000A03C0000}"/>
    <cellStyle name="Comma 3 2 3 3 4 2" xfId="9746" xr:uid="{00000000-0005-0000-0000-000042260000}"/>
    <cellStyle name="Comma 3 2 3 3 4 3" xfId="9753" xr:uid="{00000000-0005-0000-0000-000049260000}"/>
    <cellStyle name="Comma 3 2 3 3 4 4" xfId="9761" xr:uid="{00000000-0005-0000-0000-000051260000}"/>
    <cellStyle name="Comma 3 2 3 3 4 5" xfId="11335" xr:uid="{00000000-0005-0000-0000-0000772C0000}"/>
    <cellStyle name="Comma 3 2 3 3 4 6" xfId="5885" xr:uid="{00000000-0005-0000-0000-00002D170000}"/>
    <cellStyle name="Comma 3 2 3 3 5" xfId="10050" xr:uid="{00000000-0005-0000-0000-000072270000}"/>
    <cellStyle name="Comma 3 2 3 3 5 2" xfId="11265" xr:uid="{00000000-0005-0000-0000-0000312C0000}"/>
    <cellStyle name="Comma 3 2 3 3 5 3" xfId="11271" xr:uid="{00000000-0005-0000-0000-0000372C0000}"/>
    <cellStyle name="Comma 3 2 3 3 5 4" xfId="11278" xr:uid="{00000000-0005-0000-0000-00003E2C0000}"/>
    <cellStyle name="Comma 3 2 3 3 5 5" xfId="11285" xr:uid="{00000000-0005-0000-0000-0000452C0000}"/>
    <cellStyle name="Comma 3 2 3 3 5 6" xfId="5895" xr:uid="{00000000-0005-0000-0000-000037170000}"/>
    <cellStyle name="Comma 3 2 3 3 6" xfId="22806" xr:uid="{00000000-0005-0000-0000-000046590000}"/>
    <cellStyle name="Comma 3 2 3 3 6 2" xfId="8670" xr:uid="{00000000-0005-0000-0000-00000E220000}"/>
    <cellStyle name="Comma 3 2 3 3 6 3" xfId="11406" xr:uid="{00000000-0005-0000-0000-0000BE2C0000}"/>
    <cellStyle name="Comma 3 2 3 3 6 4" xfId="11119" xr:uid="{00000000-0005-0000-0000-00009F2B0000}"/>
    <cellStyle name="Comma 3 2 3 3 6 5" xfId="11418" xr:uid="{00000000-0005-0000-0000-0000CA2C0000}"/>
    <cellStyle name="Comma 3 2 3 3 6 6" xfId="5910" xr:uid="{00000000-0005-0000-0000-000046170000}"/>
    <cellStyle name="Comma 3 2 3 3 7" xfId="22807" xr:uid="{00000000-0005-0000-0000-000047590000}"/>
    <cellStyle name="Comma 3 2 3 3 8" xfId="22809" xr:uid="{00000000-0005-0000-0000-000049590000}"/>
    <cellStyle name="Comma 3 2 3 3 9" xfId="22811" xr:uid="{00000000-0005-0000-0000-00004B590000}"/>
    <cellStyle name="Comma 3 2 3 4" xfId="15133" xr:uid="{00000000-0005-0000-0000-00004D3B0000}"/>
    <cellStyle name="Comma 3 2 3 4 10" xfId="22813" xr:uid="{00000000-0005-0000-0000-00004D590000}"/>
    <cellStyle name="Comma 3 2 3 4 11" xfId="22815" xr:uid="{00000000-0005-0000-0000-00004F590000}"/>
    <cellStyle name="Comma 3 2 3 4 12" xfId="10947" xr:uid="{00000000-0005-0000-0000-0000F32A0000}"/>
    <cellStyle name="Comma 3 2 3 4 13" xfId="22816" xr:uid="{00000000-0005-0000-0000-000050590000}"/>
    <cellStyle name="Comma 3 2 3 4 14" xfId="22817" xr:uid="{00000000-0005-0000-0000-000051590000}"/>
    <cellStyle name="Comma 3 2 3 4 15" xfId="22818" xr:uid="{00000000-0005-0000-0000-000052590000}"/>
    <cellStyle name="Comma 3 2 3 4 2" xfId="15478" xr:uid="{00000000-0005-0000-0000-0000A63C0000}"/>
    <cellStyle name="Comma 3 2 3 4 2 2" xfId="877" xr:uid="{00000000-0005-0000-0000-00009D030000}"/>
    <cellStyle name="Comma 3 2 3 4 2 2 2" xfId="11546" xr:uid="{00000000-0005-0000-0000-00004A2D0000}"/>
    <cellStyle name="Comma 3 2 3 4 2 3" xfId="896" xr:uid="{00000000-0005-0000-0000-0000B0030000}"/>
    <cellStyle name="Comma 3 2 3 4 2 4" xfId="11571" xr:uid="{00000000-0005-0000-0000-0000632D0000}"/>
    <cellStyle name="Comma 3 2 3 4 2 5" xfId="11592" xr:uid="{00000000-0005-0000-0000-0000782D0000}"/>
    <cellStyle name="Comma 3 2 3 4 2 6" xfId="5938" xr:uid="{00000000-0005-0000-0000-000062170000}"/>
    <cellStyle name="Comma 3 2 3 4 2 7" xfId="11601" xr:uid="{00000000-0005-0000-0000-0000812D0000}"/>
    <cellStyle name="Comma 3 2 3 4 2 8" xfId="22819" xr:uid="{00000000-0005-0000-0000-000053590000}"/>
    <cellStyle name="Comma 3 2 3 4 2 9" xfId="22820" xr:uid="{00000000-0005-0000-0000-000054590000}"/>
    <cellStyle name="Comma 3 2 3 4 3" xfId="15480" xr:uid="{00000000-0005-0000-0000-0000A83C0000}"/>
    <cellStyle name="Comma 3 2 3 4 3 2" xfId="11626" xr:uid="{00000000-0005-0000-0000-00009A2D0000}"/>
    <cellStyle name="Comma 3 2 3 4 3 3" xfId="2905" xr:uid="{00000000-0005-0000-0000-0000890B0000}"/>
    <cellStyle name="Comma 3 2 3 4 3 4" xfId="11635" xr:uid="{00000000-0005-0000-0000-0000A32D0000}"/>
    <cellStyle name="Comma 3 2 3 4 3 5" xfId="11642" xr:uid="{00000000-0005-0000-0000-0000AA2D0000}"/>
    <cellStyle name="Comma 3 2 3 4 3 6" xfId="5946" xr:uid="{00000000-0005-0000-0000-00006A170000}"/>
    <cellStyle name="Comma 3 2 3 4 4" xfId="15482" xr:uid="{00000000-0005-0000-0000-0000AA3C0000}"/>
    <cellStyle name="Comma 3 2 3 4 4 2" xfId="9817" xr:uid="{00000000-0005-0000-0000-000089260000}"/>
    <cellStyle name="Comma 3 2 3 4 5" xfId="15484" xr:uid="{00000000-0005-0000-0000-0000AC3C0000}"/>
    <cellStyle name="Comma 3 2 3 4 6" xfId="7029" xr:uid="{00000000-0005-0000-0000-0000A51B0000}"/>
    <cellStyle name="Comma 3 2 3 4 7" xfId="7032" xr:uid="{00000000-0005-0000-0000-0000A81B0000}"/>
    <cellStyle name="Comma 3 2 3 4 8" xfId="22821" xr:uid="{00000000-0005-0000-0000-000055590000}"/>
    <cellStyle name="Comma 3 2 3 4 9" xfId="22824" xr:uid="{00000000-0005-0000-0000-000058590000}"/>
    <cellStyle name="Comma 3 2 3 5" xfId="22827" xr:uid="{00000000-0005-0000-0000-00005B590000}"/>
    <cellStyle name="Comma 3 2 3 5 10" xfId="22829" xr:uid="{00000000-0005-0000-0000-00005D590000}"/>
    <cellStyle name="Comma 3 2 3 5 11" xfId="22832" xr:uid="{00000000-0005-0000-0000-000060590000}"/>
    <cellStyle name="Comma 3 2 3 5 12" xfId="22834" xr:uid="{00000000-0005-0000-0000-000062590000}"/>
    <cellStyle name="Comma 3 2 3 5 13" xfId="22836" xr:uid="{00000000-0005-0000-0000-000064590000}"/>
    <cellStyle name="Comma 3 2 3 5 2" xfId="12063" xr:uid="{00000000-0005-0000-0000-00004F2F0000}"/>
    <cellStyle name="Comma 3 2 3 5 2 2" xfId="7947" xr:uid="{00000000-0005-0000-0000-00003B1F0000}"/>
    <cellStyle name="Comma 3 2 3 5 2 2 2" xfId="11837" xr:uid="{00000000-0005-0000-0000-00006D2E0000}"/>
    <cellStyle name="Comma 3 2 3 5 2 3" xfId="3021" xr:uid="{00000000-0005-0000-0000-0000FD0B0000}"/>
    <cellStyle name="Comma 3 2 3 5 2 4" xfId="11857" xr:uid="{00000000-0005-0000-0000-0000812E0000}"/>
    <cellStyle name="Comma 3 2 3 5 2 5" xfId="6965" xr:uid="{00000000-0005-0000-0000-0000651B0000}"/>
    <cellStyle name="Comma 3 2 3 5 2 6" xfId="6981" xr:uid="{00000000-0005-0000-0000-0000751B0000}"/>
    <cellStyle name="Comma 3 2 3 5 2 7" xfId="6991" xr:uid="{00000000-0005-0000-0000-00007F1B0000}"/>
    <cellStyle name="Comma 3 2 3 5 2 8" xfId="16053" xr:uid="{00000000-0005-0000-0000-0000E53E0000}"/>
    <cellStyle name="Comma 3 2 3 5 2 9" xfId="16055" xr:uid="{00000000-0005-0000-0000-0000E73E0000}"/>
    <cellStyle name="Comma 3 2 3 5 3" xfId="12066" xr:uid="{00000000-0005-0000-0000-0000522F0000}"/>
    <cellStyle name="Comma 3 2 3 5 3 2" xfId="11914" xr:uid="{00000000-0005-0000-0000-0000BA2E0000}"/>
    <cellStyle name="Comma 3 2 3 5 3 3" xfId="559" xr:uid="{00000000-0005-0000-0000-000055020000}"/>
    <cellStyle name="Comma 3 2 3 5 3 4" xfId="11920" xr:uid="{00000000-0005-0000-0000-0000C02E0000}"/>
    <cellStyle name="Comma 3 2 3 5 3 5" xfId="610" xr:uid="{00000000-0005-0000-0000-00008C020000}"/>
    <cellStyle name="Comma 3 2 3 5 3 6" xfId="11940" xr:uid="{00000000-0005-0000-0000-0000D42E0000}"/>
    <cellStyle name="Comma 3 2 3 5 4" xfId="12069" xr:uid="{00000000-0005-0000-0000-0000552F0000}"/>
    <cellStyle name="Comma 3 2 3 5 4 2" xfId="10659" xr:uid="{00000000-0005-0000-0000-0000D3290000}"/>
    <cellStyle name="Comma 3 2 3 5 5" xfId="12072" xr:uid="{00000000-0005-0000-0000-0000582F0000}"/>
    <cellStyle name="Comma 3 2 3 5 6" xfId="8721" xr:uid="{00000000-0005-0000-0000-000041220000}"/>
    <cellStyle name="Comma 3 2 3 5 7" xfId="8725" xr:uid="{00000000-0005-0000-0000-000045220000}"/>
    <cellStyle name="Comma 3 2 3 5 8" xfId="5403" xr:uid="{00000000-0005-0000-0000-00004B150000}"/>
    <cellStyle name="Comma 3 2 3 5 9" xfId="22839" xr:uid="{00000000-0005-0000-0000-000067590000}"/>
    <cellStyle name="Comma 3 2 3 6" xfId="22842" xr:uid="{00000000-0005-0000-0000-00006A590000}"/>
    <cellStyle name="Comma 3 2 3 6 10" xfId="22843" xr:uid="{00000000-0005-0000-0000-00006B590000}"/>
    <cellStyle name="Comma 3 2 3 6 11" xfId="22844" xr:uid="{00000000-0005-0000-0000-00006C590000}"/>
    <cellStyle name="Comma 3 2 3 6 12" xfId="22845" xr:uid="{00000000-0005-0000-0000-00006D590000}"/>
    <cellStyle name="Comma 3 2 3 6 2" xfId="15488" xr:uid="{00000000-0005-0000-0000-0000B03C0000}"/>
    <cellStyle name="Comma 3 2 3 6 2 2" xfId="7991" xr:uid="{00000000-0005-0000-0000-0000671F0000}"/>
    <cellStyle name="Comma 3 2 3 6 2 2 2" xfId="12129" xr:uid="{00000000-0005-0000-0000-0000912F0000}"/>
    <cellStyle name="Comma 3 2 3 6 2 3" xfId="7995" xr:uid="{00000000-0005-0000-0000-00006B1F0000}"/>
    <cellStyle name="Comma 3 2 3 6 2 4" xfId="12140" xr:uid="{00000000-0005-0000-0000-00009C2F0000}"/>
    <cellStyle name="Comma 3 2 3 6 2 5" xfId="7115" xr:uid="{00000000-0005-0000-0000-0000FB1B0000}"/>
    <cellStyle name="Comma 3 2 3 6 2 6" xfId="7126" xr:uid="{00000000-0005-0000-0000-0000061C0000}"/>
    <cellStyle name="Comma 3 2 3 6 2 7" xfId="7130" xr:uid="{00000000-0005-0000-0000-00000A1C0000}"/>
    <cellStyle name="Comma 3 2 3 6 2 8" xfId="17666" xr:uid="{00000000-0005-0000-0000-000032450000}"/>
    <cellStyle name="Comma 3 2 3 6 2 9" xfId="17669" xr:uid="{00000000-0005-0000-0000-000035450000}"/>
    <cellStyle name="Comma 3 2 3 6 3" xfId="15490" xr:uid="{00000000-0005-0000-0000-0000B23C0000}"/>
    <cellStyle name="Comma 3 2 3 6 3 2" xfId="12144" xr:uid="{00000000-0005-0000-0000-0000A02F0000}"/>
    <cellStyle name="Comma 3 2 3 6 3 3" xfId="4643" xr:uid="{00000000-0005-0000-0000-000053120000}"/>
    <cellStyle name="Comma 3 2 3 6 3 4" xfId="12146" xr:uid="{00000000-0005-0000-0000-0000A22F0000}"/>
    <cellStyle name="Comma 3 2 3 6 3 5" xfId="5745" xr:uid="{00000000-0005-0000-0000-0000A1160000}"/>
    <cellStyle name="Comma 3 2 3 6 3 6" xfId="12149" xr:uid="{00000000-0005-0000-0000-0000A52F0000}"/>
    <cellStyle name="Comma 3 2 3 6 4" xfId="15492" xr:uid="{00000000-0005-0000-0000-0000B43C0000}"/>
    <cellStyle name="Comma 3 2 3 6 4 2" xfId="12185" xr:uid="{00000000-0005-0000-0000-0000C92F0000}"/>
    <cellStyle name="Comma 3 2 3 6 5" xfId="15494" xr:uid="{00000000-0005-0000-0000-0000B63C0000}"/>
    <cellStyle name="Comma 3 2 3 6 6" xfId="22846" xr:uid="{00000000-0005-0000-0000-00006E590000}"/>
    <cellStyle name="Comma 3 2 3 6 7" xfId="22847" xr:uid="{00000000-0005-0000-0000-00006F590000}"/>
    <cellStyle name="Comma 3 2 3 6 8" xfId="22848" xr:uid="{00000000-0005-0000-0000-000070590000}"/>
    <cellStyle name="Comma 3 2 3 6 9" xfId="22850" xr:uid="{00000000-0005-0000-0000-000072590000}"/>
    <cellStyle name="Comma 3 2 3 7" xfId="22853" xr:uid="{00000000-0005-0000-0000-000075590000}"/>
    <cellStyle name="Comma 3 2 3 7 2" xfId="22854" xr:uid="{00000000-0005-0000-0000-000076590000}"/>
    <cellStyle name="Comma 3 2 3 7 2 2" xfId="7667" xr:uid="{00000000-0005-0000-0000-0000231E0000}"/>
    <cellStyle name="Comma 3 2 3 7 3" xfId="22855" xr:uid="{00000000-0005-0000-0000-000077590000}"/>
    <cellStyle name="Comma 3 2 3 7 4" xfId="22856" xr:uid="{00000000-0005-0000-0000-000078590000}"/>
    <cellStyle name="Comma 3 2 3 7 5" xfId="22857" xr:uid="{00000000-0005-0000-0000-000079590000}"/>
    <cellStyle name="Comma 3 2 3 7 6" xfId="22858" xr:uid="{00000000-0005-0000-0000-00007A590000}"/>
    <cellStyle name="Comma 3 2 3 7 7" xfId="22859" xr:uid="{00000000-0005-0000-0000-00007B590000}"/>
    <cellStyle name="Comma 3 2 3 7 8" xfId="22860" xr:uid="{00000000-0005-0000-0000-00007C590000}"/>
    <cellStyle name="Comma 3 2 3 7 9" xfId="22862" xr:uid="{00000000-0005-0000-0000-00007E590000}"/>
    <cellStyle name="Comma 3 2 3 8" xfId="22864" xr:uid="{00000000-0005-0000-0000-000080590000}"/>
    <cellStyle name="Comma 3 2 3 8 2" xfId="19908" xr:uid="{00000000-0005-0000-0000-0000F44D0000}"/>
    <cellStyle name="Comma 3 2 3 8 3" xfId="19913" xr:uid="{00000000-0005-0000-0000-0000F94D0000}"/>
    <cellStyle name="Comma 3 2 3 8 4" xfId="19921" xr:uid="{00000000-0005-0000-0000-0000014E0000}"/>
    <cellStyle name="Comma 3 2 3 8 5" xfId="19929" xr:uid="{00000000-0005-0000-0000-0000094E0000}"/>
    <cellStyle name="Comma 3 2 3 8 6" xfId="19935" xr:uid="{00000000-0005-0000-0000-00000F4E0000}"/>
    <cellStyle name="Comma 3 2 3 9" xfId="22866" xr:uid="{00000000-0005-0000-0000-000082590000}"/>
    <cellStyle name="Comma 3 2 3 9 2" xfId="19966" xr:uid="{00000000-0005-0000-0000-00002E4E0000}"/>
    <cellStyle name="Comma 3 2 3 9 3" xfId="16937" xr:uid="{00000000-0005-0000-0000-000059420000}"/>
    <cellStyle name="Comma 3 2 3 9 4" xfId="12543" xr:uid="{00000000-0005-0000-0000-00002F310000}"/>
    <cellStyle name="Comma 3 2 3 9 5" xfId="16941" xr:uid="{00000000-0005-0000-0000-00005D420000}"/>
    <cellStyle name="Comma 3 2 3 9 6" xfId="16945" xr:uid="{00000000-0005-0000-0000-000061420000}"/>
    <cellStyle name="Comma 3 2 4" xfId="13496" xr:uid="{00000000-0005-0000-0000-0000E8340000}"/>
    <cellStyle name="Comma 3 2 4 10" xfId="13499" xr:uid="{00000000-0005-0000-0000-0000EB340000}"/>
    <cellStyle name="Comma 3 2 4 10 2" xfId="10424" xr:uid="{00000000-0005-0000-0000-0000E8280000}"/>
    <cellStyle name="Comma 3 2 4 10 3" xfId="22867" xr:uid="{00000000-0005-0000-0000-000083590000}"/>
    <cellStyle name="Comma 3 2 4 10 4" xfId="22868" xr:uid="{00000000-0005-0000-0000-000084590000}"/>
    <cellStyle name="Comma 3 2 4 10 5" xfId="22869" xr:uid="{00000000-0005-0000-0000-000085590000}"/>
    <cellStyle name="Comma 3 2 4 10 6" xfId="19289" xr:uid="{00000000-0005-0000-0000-0000894B0000}"/>
    <cellStyle name="Comma 3 2 4 11" xfId="19767" xr:uid="{00000000-0005-0000-0000-0000674D0000}"/>
    <cellStyle name="Comma 3 2 4 11 2" xfId="8352" xr:uid="{00000000-0005-0000-0000-0000D0200000}"/>
    <cellStyle name="Comma 3 2 4 11 3" xfId="8359" xr:uid="{00000000-0005-0000-0000-0000D7200000}"/>
    <cellStyle name="Comma 3 2 4 11 4" xfId="8366" xr:uid="{00000000-0005-0000-0000-0000DE200000}"/>
    <cellStyle name="Comma 3 2 4 11 5" xfId="8371" xr:uid="{00000000-0005-0000-0000-0000E3200000}"/>
    <cellStyle name="Comma 3 2 4 11 6" xfId="22774" xr:uid="{00000000-0005-0000-0000-000026590000}"/>
    <cellStyle name="Comma 3 2 4 12" xfId="22871" xr:uid="{00000000-0005-0000-0000-000087590000}"/>
    <cellStyle name="Comma 3 2 4 13" xfId="20540" xr:uid="{00000000-0005-0000-0000-00006C500000}"/>
    <cellStyle name="Comma 3 2 4 14" xfId="20549" xr:uid="{00000000-0005-0000-0000-000075500000}"/>
    <cellStyle name="Comma 3 2 4 15" xfId="20554" xr:uid="{00000000-0005-0000-0000-00007A500000}"/>
    <cellStyle name="Comma 3 2 4 16" xfId="14668" xr:uid="{00000000-0005-0000-0000-00007C390000}"/>
    <cellStyle name="Comma 3 2 4 17" xfId="20560" xr:uid="{00000000-0005-0000-0000-000080500000}"/>
    <cellStyle name="Comma 3 2 4 18" xfId="20569" xr:uid="{00000000-0005-0000-0000-000089500000}"/>
    <cellStyle name="Comma 3 2 4 19" xfId="22874" xr:uid="{00000000-0005-0000-0000-00008A590000}"/>
    <cellStyle name="Comma 3 2 4 2" xfId="8679" xr:uid="{00000000-0005-0000-0000-000017220000}"/>
    <cellStyle name="Comma 3 2 4 2 10" xfId="22879" xr:uid="{00000000-0005-0000-0000-00008F590000}"/>
    <cellStyle name="Comma 3 2 4 2 11" xfId="22882" xr:uid="{00000000-0005-0000-0000-000092590000}"/>
    <cellStyle name="Comma 3 2 4 2 12" xfId="22885" xr:uid="{00000000-0005-0000-0000-000095590000}"/>
    <cellStyle name="Comma 3 2 4 2 13" xfId="22887" xr:uid="{00000000-0005-0000-0000-000097590000}"/>
    <cellStyle name="Comma 3 2 4 2 14" xfId="22888" xr:uid="{00000000-0005-0000-0000-000098590000}"/>
    <cellStyle name="Comma 3 2 4 2 15" xfId="4160" xr:uid="{00000000-0005-0000-0000-000070100000}"/>
    <cellStyle name="Comma 3 2 4 2 16" xfId="22889" xr:uid="{00000000-0005-0000-0000-000099590000}"/>
    <cellStyle name="Comma 3 2 4 2 17" xfId="18351" xr:uid="{00000000-0005-0000-0000-0000DF470000}"/>
    <cellStyle name="Comma 3 2 4 2 18" xfId="22890" xr:uid="{00000000-0005-0000-0000-00009A590000}"/>
    <cellStyle name="Comma 3 2 4 2 2" xfId="13503" xr:uid="{00000000-0005-0000-0000-0000EF340000}"/>
    <cellStyle name="Comma 3 2 4 2 2 10" xfId="22893" xr:uid="{00000000-0005-0000-0000-00009D590000}"/>
    <cellStyle name="Comma 3 2 4 2 2 11" xfId="22895" xr:uid="{00000000-0005-0000-0000-00009F590000}"/>
    <cellStyle name="Comma 3 2 4 2 2 12" xfId="22897" xr:uid="{00000000-0005-0000-0000-0000A1590000}"/>
    <cellStyle name="Comma 3 2 4 2 2 2" xfId="13118" xr:uid="{00000000-0005-0000-0000-00006E330000}"/>
    <cellStyle name="Comma 3 2 4 2 2 2 2" xfId="13120" xr:uid="{00000000-0005-0000-0000-000070330000}"/>
    <cellStyle name="Comma 3 2 4 2 2 2 2 2" xfId="13124" xr:uid="{00000000-0005-0000-0000-000074330000}"/>
    <cellStyle name="Comma 3 2 4 2 2 2 3" xfId="13145" xr:uid="{00000000-0005-0000-0000-000089330000}"/>
    <cellStyle name="Comma 3 2 4 2 2 2 4" xfId="13164" xr:uid="{00000000-0005-0000-0000-00009C330000}"/>
    <cellStyle name="Comma 3 2 4 2 2 2 5" xfId="13167" xr:uid="{00000000-0005-0000-0000-00009F330000}"/>
    <cellStyle name="Comma 3 2 4 2 2 3" xfId="13189" xr:uid="{00000000-0005-0000-0000-0000B5330000}"/>
    <cellStyle name="Comma 3 2 4 2 2 3 2" xfId="13212" xr:uid="{00000000-0005-0000-0000-0000CC330000}"/>
    <cellStyle name="Comma 3 2 4 2 2 4" xfId="13267" xr:uid="{00000000-0005-0000-0000-000003340000}"/>
    <cellStyle name="Comma 3 2 4 2 2 5" xfId="13301" xr:uid="{00000000-0005-0000-0000-000025340000}"/>
    <cellStyle name="Comma 3 2 4 2 2 6" xfId="13312" xr:uid="{00000000-0005-0000-0000-000030340000}"/>
    <cellStyle name="Comma 3 2 4 2 2 7" xfId="13327" xr:uid="{00000000-0005-0000-0000-00003F340000}"/>
    <cellStyle name="Comma 3 2 4 2 2 8" xfId="22901" xr:uid="{00000000-0005-0000-0000-0000A5590000}"/>
    <cellStyle name="Comma 3 2 4 2 2 9" xfId="21465" xr:uid="{00000000-0005-0000-0000-000009540000}"/>
    <cellStyle name="Comma 3 2 4 2 3" xfId="15522" xr:uid="{00000000-0005-0000-0000-0000D23C0000}"/>
    <cellStyle name="Comma 3 2 4 2 3 10" xfId="22904" xr:uid="{00000000-0005-0000-0000-0000A8590000}"/>
    <cellStyle name="Comma 3 2 4 2 3 11" xfId="22905" xr:uid="{00000000-0005-0000-0000-0000A9590000}"/>
    <cellStyle name="Comma 3 2 4 2 3 12" xfId="22906" xr:uid="{00000000-0005-0000-0000-0000AA590000}"/>
    <cellStyle name="Comma 3 2 4 2 3 2" xfId="4961" xr:uid="{00000000-0005-0000-0000-000091130000}"/>
    <cellStyle name="Comma 3 2 4 2 3 2 2" xfId="13587" xr:uid="{00000000-0005-0000-0000-000043350000}"/>
    <cellStyle name="Comma 3 2 4 2 3 2 2 2" xfId="8822" xr:uid="{00000000-0005-0000-0000-0000A6220000}"/>
    <cellStyle name="Comma 3 2 4 2 3 2 3" xfId="13591" xr:uid="{00000000-0005-0000-0000-000047350000}"/>
    <cellStyle name="Comma 3 2 4 2 3 2 4" xfId="13604" xr:uid="{00000000-0005-0000-0000-000054350000}"/>
    <cellStyle name="Comma 3 2 4 2 3 2 5" xfId="13613" xr:uid="{00000000-0005-0000-0000-00005D350000}"/>
    <cellStyle name="Comma 3 2 4 2 3 3" xfId="13629" xr:uid="{00000000-0005-0000-0000-00006D350000}"/>
    <cellStyle name="Comma 3 2 4 2 3 3 2" xfId="13642" xr:uid="{00000000-0005-0000-0000-00007A350000}"/>
    <cellStyle name="Comma 3 2 4 2 3 4" xfId="13684" xr:uid="{00000000-0005-0000-0000-0000A4350000}"/>
    <cellStyle name="Comma 3 2 4 2 3 5" xfId="4646" xr:uid="{00000000-0005-0000-0000-000056120000}"/>
    <cellStyle name="Comma 3 2 4 2 3 6" xfId="1978" xr:uid="{00000000-0005-0000-0000-0000EA070000}"/>
    <cellStyle name="Comma 3 2 4 2 3 7" xfId="4677" xr:uid="{00000000-0005-0000-0000-000075120000}"/>
    <cellStyle name="Comma 3 2 4 2 3 8" xfId="4701" xr:uid="{00000000-0005-0000-0000-00008D120000}"/>
    <cellStyle name="Comma 3 2 4 2 3 9" xfId="1387" xr:uid="{00000000-0005-0000-0000-00009B050000}"/>
    <cellStyle name="Comma 3 2 4 2 4" xfId="15529" xr:uid="{00000000-0005-0000-0000-0000D93C0000}"/>
    <cellStyle name="Comma 3 2 4 2 4 10" xfId="7767" xr:uid="{00000000-0005-0000-0000-0000871E0000}"/>
    <cellStyle name="Comma 3 2 4 2 4 2" xfId="4977" xr:uid="{00000000-0005-0000-0000-0000A1130000}"/>
    <cellStyle name="Comma 3 2 4 2 4 2 2" xfId="14027" xr:uid="{00000000-0005-0000-0000-0000FB360000}"/>
    <cellStyle name="Comma 3 2 4 2 4 2 2 2" xfId="9641" xr:uid="{00000000-0005-0000-0000-0000D9250000}"/>
    <cellStyle name="Comma 3 2 4 2 4 2 3" xfId="14035" xr:uid="{00000000-0005-0000-0000-000003370000}"/>
    <cellStyle name="Comma 3 2 4 2 4 2 4" xfId="8286" xr:uid="{00000000-0005-0000-0000-00008E200000}"/>
    <cellStyle name="Comma 3 2 4 2 4 2 5" xfId="8292" xr:uid="{00000000-0005-0000-0000-000094200000}"/>
    <cellStyle name="Comma 3 2 4 2 4 3" xfId="10241" xr:uid="{00000000-0005-0000-0000-000031280000}"/>
    <cellStyle name="Comma 3 2 4 2 4 3 2" xfId="5735" xr:uid="{00000000-0005-0000-0000-000097160000}"/>
    <cellStyle name="Comma 3 2 4 2 4 4" xfId="105" xr:uid="{00000000-0005-0000-0000-000072000000}"/>
    <cellStyle name="Comma 3 2 4 2 4 5" xfId="11959" xr:uid="{00000000-0005-0000-0000-0000E72E0000}"/>
    <cellStyle name="Comma 3 2 4 2 4 6" xfId="6008" xr:uid="{00000000-0005-0000-0000-0000A8170000}"/>
    <cellStyle name="Comma 3 2 4 2 4 7" xfId="11962" xr:uid="{00000000-0005-0000-0000-0000EA2E0000}"/>
    <cellStyle name="Comma 3 2 4 2 4 8" xfId="7638" xr:uid="{00000000-0005-0000-0000-0000061E0000}"/>
    <cellStyle name="Comma 3 2 4 2 4 9" xfId="1421" xr:uid="{00000000-0005-0000-0000-0000BD050000}"/>
    <cellStyle name="Comma 3 2 4 2 5" xfId="15532" xr:uid="{00000000-0005-0000-0000-0000DC3C0000}"/>
    <cellStyle name="Comma 3 2 4 2 5 10" xfId="8113" xr:uid="{00000000-0005-0000-0000-0000E11F0000}"/>
    <cellStyle name="Comma 3 2 4 2 5 2" xfId="4989" xr:uid="{00000000-0005-0000-0000-0000AD130000}"/>
    <cellStyle name="Comma 3 2 4 2 5 2 2" xfId="8532" xr:uid="{00000000-0005-0000-0000-000084210000}"/>
    <cellStyle name="Comma 3 2 4 2 5 2 2 2" xfId="8539" xr:uid="{00000000-0005-0000-0000-00008B210000}"/>
    <cellStyle name="Comma 3 2 4 2 5 2 3" xfId="8545" xr:uid="{00000000-0005-0000-0000-000091210000}"/>
    <cellStyle name="Comma 3 2 4 2 5 2 4" xfId="7269" xr:uid="{00000000-0005-0000-0000-0000951C0000}"/>
    <cellStyle name="Comma 3 2 4 2 5 2 5" xfId="8556" xr:uid="{00000000-0005-0000-0000-00009C210000}"/>
    <cellStyle name="Comma 3 2 4 2 5 3" xfId="8981" xr:uid="{00000000-0005-0000-0000-000045230000}"/>
    <cellStyle name="Comma 3 2 4 2 5 3 2" xfId="8601" xr:uid="{00000000-0005-0000-0000-0000C9210000}"/>
    <cellStyle name="Comma 3 2 4 2 5 4" xfId="14169" xr:uid="{00000000-0005-0000-0000-000089370000}"/>
    <cellStyle name="Comma 3 2 4 2 5 5" xfId="11968" xr:uid="{00000000-0005-0000-0000-0000F02E0000}"/>
    <cellStyle name="Comma 3 2 4 2 5 6" xfId="14184" xr:uid="{00000000-0005-0000-0000-000098370000}"/>
    <cellStyle name="Comma 3 2 4 2 5 7" xfId="14190" xr:uid="{00000000-0005-0000-0000-00009E370000}"/>
    <cellStyle name="Comma 3 2 4 2 5 8" xfId="17279" xr:uid="{00000000-0005-0000-0000-0000AF430000}"/>
    <cellStyle name="Comma 3 2 4 2 5 9" xfId="17295" xr:uid="{00000000-0005-0000-0000-0000BF430000}"/>
    <cellStyle name="Comma 3 2 4 2 6" xfId="71" xr:uid="{00000000-0005-0000-0000-00004B000000}"/>
    <cellStyle name="Comma 3 2 4 2 6 2" xfId="14202" xr:uid="{00000000-0005-0000-0000-0000AA370000}"/>
    <cellStyle name="Comma 3 2 4 2 6 2 2" xfId="8750" xr:uid="{00000000-0005-0000-0000-00005E220000}"/>
    <cellStyle name="Comma 3 2 4 2 6 3" xfId="14204" xr:uid="{00000000-0005-0000-0000-0000AC370000}"/>
    <cellStyle name="Comma 3 2 4 2 6 4" xfId="14206" xr:uid="{00000000-0005-0000-0000-0000AE370000}"/>
    <cellStyle name="Comma 3 2 4 2 6 5" xfId="14208" xr:uid="{00000000-0005-0000-0000-0000B0370000}"/>
    <cellStyle name="Comma 3 2 4 2 6 6" xfId="14210" xr:uid="{00000000-0005-0000-0000-0000B2370000}"/>
    <cellStyle name="Comma 3 2 4 2 6 7" xfId="14213" xr:uid="{00000000-0005-0000-0000-0000B5370000}"/>
    <cellStyle name="Comma 3 2 4 2 6 8" xfId="17532" xr:uid="{00000000-0005-0000-0000-0000AC440000}"/>
    <cellStyle name="Comma 3 2 4 2 6 9" xfId="17567" xr:uid="{00000000-0005-0000-0000-0000CF440000}"/>
    <cellStyle name="Comma 3 2 4 2 7" xfId="15534" xr:uid="{00000000-0005-0000-0000-0000DE3C0000}"/>
    <cellStyle name="Comma 3 2 4 2 7 2" xfId="14250" xr:uid="{00000000-0005-0000-0000-0000DA370000}"/>
    <cellStyle name="Comma 3 2 4 2 8" xfId="15537" xr:uid="{00000000-0005-0000-0000-0000E13C0000}"/>
    <cellStyle name="Comma 3 2 4 2 9" xfId="22907" xr:uid="{00000000-0005-0000-0000-0000AB590000}"/>
    <cellStyle name="Comma 3 2 4 20" xfId="20553" xr:uid="{00000000-0005-0000-0000-000079500000}"/>
    <cellStyle name="Comma 3 2 4 21" xfId="14667" xr:uid="{00000000-0005-0000-0000-00007B390000}"/>
    <cellStyle name="Comma 3 2 4 22" xfId="20559" xr:uid="{00000000-0005-0000-0000-00007F500000}"/>
    <cellStyle name="Comma 3 2 4 23" xfId="20568" xr:uid="{00000000-0005-0000-0000-000088500000}"/>
    <cellStyle name="Comma 3 2 4 3" xfId="7309" xr:uid="{00000000-0005-0000-0000-0000BD1C0000}"/>
    <cellStyle name="Comma 3 2 4 3 10" xfId="22911" xr:uid="{00000000-0005-0000-0000-0000AF590000}"/>
    <cellStyle name="Comma 3 2 4 3 11" xfId="22912" xr:uid="{00000000-0005-0000-0000-0000B0590000}"/>
    <cellStyle name="Comma 3 2 4 3 12" xfId="22914" xr:uid="{00000000-0005-0000-0000-0000B2590000}"/>
    <cellStyle name="Comma 3 2 4 3 13" xfId="22915" xr:uid="{00000000-0005-0000-0000-0000B3590000}"/>
    <cellStyle name="Comma 3 2 4 3 14" xfId="22916" xr:uid="{00000000-0005-0000-0000-0000B4590000}"/>
    <cellStyle name="Comma 3 2 4 3 15" xfId="22918" xr:uid="{00000000-0005-0000-0000-0000B6590000}"/>
    <cellStyle name="Comma 3 2 4 3 16" xfId="21804" xr:uid="{00000000-0005-0000-0000-00005C550000}"/>
    <cellStyle name="Comma 3 2 4 3 17" xfId="21809" xr:uid="{00000000-0005-0000-0000-000061550000}"/>
    <cellStyle name="Comma 3 2 4 3 18" xfId="21822" xr:uid="{00000000-0005-0000-0000-00006E550000}"/>
    <cellStyle name="Comma 3 2 4 3 2" xfId="15544" xr:uid="{00000000-0005-0000-0000-0000E83C0000}"/>
    <cellStyle name="Comma 3 2 4 3 2 10" xfId="21260" xr:uid="{00000000-0005-0000-0000-00003C530000}"/>
    <cellStyle name="Comma 3 2 4 3 2 2" xfId="14489" xr:uid="{00000000-0005-0000-0000-0000C9380000}"/>
    <cellStyle name="Comma 3 2 4 3 2 2 2" xfId="3484" xr:uid="{00000000-0005-0000-0000-0000CC0D0000}"/>
    <cellStyle name="Comma 3 2 4 3 2 3" xfId="3151" xr:uid="{00000000-0005-0000-0000-00007F0C0000}"/>
    <cellStyle name="Comma 3 2 4 3 2 4" xfId="14511" xr:uid="{00000000-0005-0000-0000-0000DF380000}"/>
    <cellStyle name="Comma 3 2 4 3 2 5" xfId="14540" xr:uid="{00000000-0005-0000-0000-0000FC380000}"/>
    <cellStyle name="Comma 3 2 4 3 2 6" xfId="14545" xr:uid="{00000000-0005-0000-0000-000001390000}"/>
    <cellStyle name="Comma 3 2 4 3 2 7" xfId="14547" xr:uid="{00000000-0005-0000-0000-000003390000}"/>
    <cellStyle name="Comma 3 2 4 3 2 8" xfId="22919" xr:uid="{00000000-0005-0000-0000-0000B7590000}"/>
    <cellStyle name="Comma 3 2 4 3 2 9" xfId="22920" xr:uid="{00000000-0005-0000-0000-0000B8590000}"/>
    <cellStyle name="Comma 3 2 4 3 3" xfId="15548" xr:uid="{00000000-0005-0000-0000-0000EC3C0000}"/>
    <cellStyle name="Comma 3 2 4 3 3 2" xfId="14589" xr:uid="{00000000-0005-0000-0000-00002D390000}"/>
    <cellStyle name="Comma 3 2 4 3 3 3" xfId="14599" xr:uid="{00000000-0005-0000-0000-000037390000}"/>
    <cellStyle name="Comma 3 2 4 3 3 4" xfId="14607" xr:uid="{00000000-0005-0000-0000-00003F390000}"/>
    <cellStyle name="Comma 3 2 4 3 3 5" xfId="11978" xr:uid="{00000000-0005-0000-0000-0000FA2E0000}"/>
    <cellStyle name="Comma 3 2 4 3 3 6" xfId="2175" xr:uid="{00000000-0005-0000-0000-0000AF080000}"/>
    <cellStyle name="Comma 3 2 4 3 4" xfId="15551" xr:uid="{00000000-0005-0000-0000-0000EF3C0000}"/>
    <cellStyle name="Comma 3 2 4 3 4 2" xfId="395" xr:uid="{00000000-0005-0000-0000-0000A5010000}"/>
    <cellStyle name="Comma 3 2 4 3 4 3" xfId="1997" xr:uid="{00000000-0005-0000-0000-0000FD070000}"/>
    <cellStyle name="Comma 3 2 4 3 4 4" xfId="2023" xr:uid="{00000000-0005-0000-0000-000017080000}"/>
    <cellStyle name="Comma 3 2 4 3 4 5" xfId="2047" xr:uid="{00000000-0005-0000-0000-00002F080000}"/>
    <cellStyle name="Comma 3 2 4 3 4 6" xfId="6231" xr:uid="{00000000-0005-0000-0000-000087180000}"/>
    <cellStyle name="Comma 3 2 4 3 5" xfId="15556" xr:uid="{00000000-0005-0000-0000-0000F43C0000}"/>
    <cellStyle name="Comma 3 2 4 3 5 2" xfId="14696" xr:uid="{00000000-0005-0000-0000-000098390000}"/>
    <cellStyle name="Comma 3 2 4 3 5 3" xfId="14700" xr:uid="{00000000-0005-0000-0000-00009C390000}"/>
    <cellStyle name="Comma 3 2 4 3 5 4" xfId="14709" xr:uid="{00000000-0005-0000-0000-0000A5390000}"/>
    <cellStyle name="Comma 3 2 4 3 5 5" xfId="2245" xr:uid="{00000000-0005-0000-0000-0000F5080000}"/>
    <cellStyle name="Comma 3 2 4 3 5 6" xfId="14713" xr:uid="{00000000-0005-0000-0000-0000A9390000}"/>
    <cellStyle name="Comma 3 2 4 3 6" xfId="22921" xr:uid="{00000000-0005-0000-0000-0000B9590000}"/>
    <cellStyle name="Comma 3 2 4 3 6 2" xfId="14736" xr:uid="{00000000-0005-0000-0000-0000C0390000}"/>
    <cellStyle name="Comma 3 2 4 3 6 3" xfId="14741" xr:uid="{00000000-0005-0000-0000-0000C5390000}"/>
    <cellStyle name="Comma 3 2 4 3 6 4" xfId="14750" xr:uid="{00000000-0005-0000-0000-0000CE390000}"/>
    <cellStyle name="Comma 3 2 4 3 6 5" xfId="14757" xr:uid="{00000000-0005-0000-0000-0000D5390000}"/>
    <cellStyle name="Comma 3 2 4 3 6 6" xfId="14761" xr:uid="{00000000-0005-0000-0000-0000D9390000}"/>
    <cellStyle name="Comma 3 2 4 3 7" xfId="22923" xr:uid="{00000000-0005-0000-0000-0000BB590000}"/>
    <cellStyle name="Comma 3 2 4 3 8" xfId="22926" xr:uid="{00000000-0005-0000-0000-0000BE590000}"/>
    <cellStyle name="Comma 3 2 4 3 9" xfId="22928" xr:uid="{00000000-0005-0000-0000-0000C0590000}"/>
    <cellStyle name="Comma 3 2 4 4" xfId="8682" xr:uid="{00000000-0005-0000-0000-00001A220000}"/>
    <cellStyle name="Comma 3 2 4 4 10" xfId="22932" xr:uid="{00000000-0005-0000-0000-0000C4590000}"/>
    <cellStyle name="Comma 3 2 4 4 11" xfId="19640" xr:uid="{00000000-0005-0000-0000-0000E84C0000}"/>
    <cellStyle name="Comma 3 2 4 4 12" xfId="22933" xr:uid="{00000000-0005-0000-0000-0000C5590000}"/>
    <cellStyle name="Comma 3 2 4 4 13" xfId="5533" xr:uid="{00000000-0005-0000-0000-0000CD150000}"/>
    <cellStyle name="Comma 3 2 4 4 14" xfId="22934" xr:uid="{00000000-0005-0000-0000-0000C6590000}"/>
    <cellStyle name="Comma 3 2 4 4 15" xfId="22935" xr:uid="{00000000-0005-0000-0000-0000C7590000}"/>
    <cellStyle name="Comma 3 2 4 4 2" xfId="22939" xr:uid="{00000000-0005-0000-0000-0000CB590000}"/>
    <cellStyle name="Comma 3 2 4 4 2 2" xfId="14922" xr:uid="{00000000-0005-0000-0000-00007A3A0000}"/>
    <cellStyle name="Comma 3 2 4 4 2 2 2" xfId="14931" xr:uid="{00000000-0005-0000-0000-0000833A0000}"/>
    <cellStyle name="Comma 3 2 4 4 2 3" xfId="3376" xr:uid="{00000000-0005-0000-0000-0000600D0000}"/>
    <cellStyle name="Comma 3 2 4 4 2 4" xfId="14990" xr:uid="{00000000-0005-0000-0000-0000BE3A0000}"/>
    <cellStyle name="Comma 3 2 4 4 2 5" xfId="13778" xr:uid="{00000000-0005-0000-0000-000002360000}"/>
    <cellStyle name="Comma 3 2 4 4 2 6" xfId="13782" xr:uid="{00000000-0005-0000-0000-000006360000}"/>
    <cellStyle name="Comma 3 2 4 4 2 7" xfId="13788" xr:uid="{00000000-0005-0000-0000-00000C360000}"/>
    <cellStyle name="Comma 3 2 4 4 2 8" xfId="13795" xr:uid="{00000000-0005-0000-0000-000013360000}"/>
    <cellStyle name="Comma 3 2 4 4 2 9" xfId="13800" xr:uid="{00000000-0005-0000-0000-000018360000}"/>
    <cellStyle name="Comma 3 2 4 4 3" xfId="22942" xr:uid="{00000000-0005-0000-0000-0000CE590000}"/>
    <cellStyle name="Comma 3 2 4 4 3 2" xfId="15078" xr:uid="{00000000-0005-0000-0000-0000163B0000}"/>
    <cellStyle name="Comma 3 2 4 4 3 3" xfId="3389" xr:uid="{00000000-0005-0000-0000-00006D0D0000}"/>
    <cellStyle name="Comma 3 2 4 4 3 4" xfId="15096" xr:uid="{00000000-0005-0000-0000-0000283B0000}"/>
    <cellStyle name="Comma 3 2 4 4 3 5" xfId="12004" xr:uid="{00000000-0005-0000-0000-0000142F0000}"/>
    <cellStyle name="Comma 3 2 4 4 3 6" xfId="6271" xr:uid="{00000000-0005-0000-0000-0000AF180000}"/>
    <cellStyle name="Comma 3 2 4 4 4" xfId="22945" xr:uid="{00000000-0005-0000-0000-0000D1590000}"/>
    <cellStyle name="Comma 3 2 4 4 4 2" xfId="10329" xr:uid="{00000000-0005-0000-0000-000089280000}"/>
    <cellStyle name="Comma 3 2 4 4 5" xfId="22951" xr:uid="{00000000-0005-0000-0000-0000D7590000}"/>
    <cellStyle name="Comma 3 2 4 4 6" xfId="22954" xr:uid="{00000000-0005-0000-0000-0000DA590000}"/>
    <cellStyle name="Comma 3 2 4 4 7" xfId="22957" xr:uid="{00000000-0005-0000-0000-0000DD590000}"/>
    <cellStyle name="Comma 3 2 4 4 8" xfId="22960" xr:uid="{00000000-0005-0000-0000-0000E0590000}"/>
    <cellStyle name="Comma 3 2 4 4 9" xfId="22963" xr:uid="{00000000-0005-0000-0000-0000E3590000}"/>
    <cellStyle name="Comma 3 2 4 5" xfId="8687" xr:uid="{00000000-0005-0000-0000-00001F220000}"/>
    <cellStyle name="Comma 3 2 4 5 10" xfId="22967" xr:uid="{00000000-0005-0000-0000-0000E7590000}"/>
    <cellStyle name="Comma 3 2 4 5 11" xfId="22968" xr:uid="{00000000-0005-0000-0000-0000E8590000}"/>
    <cellStyle name="Comma 3 2 4 5 12" xfId="22970" xr:uid="{00000000-0005-0000-0000-0000EA590000}"/>
    <cellStyle name="Comma 3 2 4 5 13" xfId="22972" xr:uid="{00000000-0005-0000-0000-0000EC590000}"/>
    <cellStyle name="Comma 3 2 4 5 2" xfId="22975" xr:uid="{00000000-0005-0000-0000-0000EF590000}"/>
    <cellStyle name="Comma 3 2 4 5 2 2" xfId="15335" xr:uid="{00000000-0005-0000-0000-0000173C0000}"/>
    <cellStyle name="Comma 3 2 4 5 2 2 2" xfId="15343" xr:uid="{00000000-0005-0000-0000-00001F3C0000}"/>
    <cellStyle name="Comma 3 2 4 5 2 3" xfId="3496" xr:uid="{00000000-0005-0000-0000-0000D80D0000}"/>
    <cellStyle name="Comma 3 2 4 5 2 4" xfId="15386" xr:uid="{00000000-0005-0000-0000-00004A3C0000}"/>
    <cellStyle name="Comma 3 2 4 5 2 5" xfId="15416" xr:uid="{00000000-0005-0000-0000-0000683C0000}"/>
    <cellStyle name="Comma 3 2 4 5 2 6" xfId="15424" xr:uid="{00000000-0005-0000-0000-0000703C0000}"/>
    <cellStyle name="Comma 3 2 4 5 2 7" xfId="15433" xr:uid="{00000000-0005-0000-0000-0000793C0000}"/>
    <cellStyle name="Comma 3 2 4 5 2 8" xfId="20756" xr:uid="{00000000-0005-0000-0000-000044510000}"/>
    <cellStyle name="Comma 3 2 4 5 2 9" xfId="22978" xr:uid="{00000000-0005-0000-0000-0000F2590000}"/>
    <cellStyle name="Comma 3 2 4 5 3" xfId="22981" xr:uid="{00000000-0005-0000-0000-0000F5590000}"/>
    <cellStyle name="Comma 3 2 4 5 3 2" xfId="15474" xr:uid="{00000000-0005-0000-0000-0000A23C0000}"/>
    <cellStyle name="Comma 3 2 4 5 3 3" xfId="3499" xr:uid="{00000000-0005-0000-0000-0000DB0D0000}"/>
    <cellStyle name="Comma 3 2 4 5 3 4" xfId="15486" xr:uid="{00000000-0005-0000-0000-0000AE3C0000}"/>
    <cellStyle name="Comma 3 2 4 5 3 5" xfId="10452" xr:uid="{00000000-0005-0000-0000-000004290000}"/>
    <cellStyle name="Comma 3 2 4 5 3 6" xfId="15497" xr:uid="{00000000-0005-0000-0000-0000B93C0000}"/>
    <cellStyle name="Comma 3 2 4 5 4" xfId="22984" xr:uid="{00000000-0005-0000-0000-0000F8590000}"/>
    <cellStyle name="Comma 3 2 4 5 4 2" xfId="15559" xr:uid="{00000000-0005-0000-0000-0000F73C0000}"/>
    <cellStyle name="Comma 3 2 4 5 5" xfId="22989" xr:uid="{00000000-0005-0000-0000-0000FD590000}"/>
    <cellStyle name="Comma 3 2 4 5 6" xfId="22992" xr:uid="{00000000-0005-0000-0000-0000005A0000}"/>
    <cellStyle name="Comma 3 2 4 5 7" xfId="22995" xr:uid="{00000000-0005-0000-0000-0000035A0000}"/>
    <cellStyle name="Comma 3 2 4 5 8" xfId="7097" xr:uid="{00000000-0005-0000-0000-0000E91B0000}"/>
    <cellStyle name="Comma 3 2 4 5 9" xfId="22998" xr:uid="{00000000-0005-0000-0000-0000065A0000}"/>
    <cellStyle name="Comma 3 2 4 6" xfId="8694" xr:uid="{00000000-0005-0000-0000-000026220000}"/>
    <cellStyle name="Comma 3 2 4 6 10" xfId="23002" xr:uid="{00000000-0005-0000-0000-00000A5A0000}"/>
    <cellStyle name="Comma 3 2 4 6 11" xfId="23003" xr:uid="{00000000-0005-0000-0000-00000B5A0000}"/>
    <cellStyle name="Comma 3 2 4 6 12" xfId="23005" xr:uid="{00000000-0005-0000-0000-00000D5A0000}"/>
    <cellStyle name="Comma 3 2 4 6 2" xfId="23006" xr:uid="{00000000-0005-0000-0000-00000E5A0000}"/>
    <cellStyle name="Comma 3 2 4 6 2 2" xfId="15772" xr:uid="{00000000-0005-0000-0000-0000CC3D0000}"/>
    <cellStyle name="Comma 3 2 4 6 2 2 2" xfId="15230" xr:uid="{00000000-0005-0000-0000-0000AE3B0000}"/>
    <cellStyle name="Comma 3 2 4 6 2 3" xfId="15784" xr:uid="{00000000-0005-0000-0000-0000D83D0000}"/>
    <cellStyle name="Comma 3 2 4 6 2 4" xfId="15789" xr:uid="{00000000-0005-0000-0000-0000DD3D0000}"/>
    <cellStyle name="Comma 3 2 4 6 2 5" xfId="15794" xr:uid="{00000000-0005-0000-0000-0000E23D0000}"/>
    <cellStyle name="Comma 3 2 4 6 2 6" xfId="15799" xr:uid="{00000000-0005-0000-0000-0000E73D0000}"/>
    <cellStyle name="Comma 3 2 4 6 2 7" xfId="15806" xr:uid="{00000000-0005-0000-0000-0000EE3D0000}"/>
    <cellStyle name="Comma 3 2 4 6 2 8" xfId="23008" xr:uid="{00000000-0005-0000-0000-0000105A0000}"/>
    <cellStyle name="Comma 3 2 4 6 2 9" xfId="23010" xr:uid="{00000000-0005-0000-0000-0000125A0000}"/>
    <cellStyle name="Comma 3 2 4 6 3" xfId="23011" xr:uid="{00000000-0005-0000-0000-0000135A0000}"/>
    <cellStyle name="Comma 3 2 4 6 3 2" xfId="15831" xr:uid="{00000000-0005-0000-0000-0000073E0000}"/>
    <cellStyle name="Comma 3 2 4 6 3 3" xfId="15834" xr:uid="{00000000-0005-0000-0000-00000A3E0000}"/>
    <cellStyle name="Comma 3 2 4 6 3 4" xfId="15836" xr:uid="{00000000-0005-0000-0000-00000C3E0000}"/>
    <cellStyle name="Comma 3 2 4 6 3 5" xfId="15838" xr:uid="{00000000-0005-0000-0000-00000E3E0000}"/>
    <cellStyle name="Comma 3 2 4 6 3 6" xfId="15841" xr:uid="{00000000-0005-0000-0000-0000113E0000}"/>
    <cellStyle name="Comma 3 2 4 6 4" xfId="23012" xr:uid="{00000000-0005-0000-0000-0000145A0000}"/>
    <cellStyle name="Comma 3 2 4 6 4 2" xfId="5573" xr:uid="{00000000-0005-0000-0000-0000F5150000}"/>
    <cellStyle name="Comma 3 2 4 6 5" xfId="23014" xr:uid="{00000000-0005-0000-0000-0000165A0000}"/>
    <cellStyle name="Comma 3 2 4 6 6" xfId="23016" xr:uid="{00000000-0005-0000-0000-0000185A0000}"/>
    <cellStyle name="Comma 3 2 4 6 7" xfId="23018" xr:uid="{00000000-0005-0000-0000-00001A5A0000}"/>
    <cellStyle name="Comma 3 2 4 6 8" xfId="23020" xr:uid="{00000000-0005-0000-0000-00001C5A0000}"/>
    <cellStyle name="Comma 3 2 4 6 9" xfId="23022" xr:uid="{00000000-0005-0000-0000-00001E5A0000}"/>
    <cellStyle name="Comma 3 2 4 7" xfId="8700" xr:uid="{00000000-0005-0000-0000-00002C220000}"/>
    <cellStyle name="Comma 3 2 4 7 2" xfId="23025" xr:uid="{00000000-0005-0000-0000-0000215A0000}"/>
    <cellStyle name="Comma 3 2 4 7 2 2" xfId="5721" xr:uid="{00000000-0005-0000-0000-000089160000}"/>
    <cellStyle name="Comma 3 2 4 7 3" xfId="23027" xr:uid="{00000000-0005-0000-0000-0000235A0000}"/>
    <cellStyle name="Comma 3 2 4 7 4" xfId="23030" xr:uid="{00000000-0005-0000-0000-0000265A0000}"/>
    <cellStyle name="Comma 3 2 4 7 5" xfId="23032" xr:uid="{00000000-0005-0000-0000-0000285A0000}"/>
    <cellStyle name="Comma 3 2 4 7 6" xfId="23034" xr:uid="{00000000-0005-0000-0000-00002A5A0000}"/>
    <cellStyle name="Comma 3 2 4 7 7" xfId="23036" xr:uid="{00000000-0005-0000-0000-00002C5A0000}"/>
    <cellStyle name="Comma 3 2 4 7 8" xfId="23038" xr:uid="{00000000-0005-0000-0000-00002E5A0000}"/>
    <cellStyle name="Comma 3 2 4 7 9" xfId="16882" xr:uid="{00000000-0005-0000-0000-000022420000}"/>
    <cellStyle name="Comma 3 2 4 8" xfId="11225" xr:uid="{00000000-0005-0000-0000-0000092C0000}"/>
    <cellStyle name="Comma 3 2 4 8 2" xfId="20080" xr:uid="{00000000-0005-0000-0000-0000A04E0000}"/>
    <cellStyle name="Comma 3 2 4 8 3" xfId="20085" xr:uid="{00000000-0005-0000-0000-0000A54E0000}"/>
    <cellStyle name="Comma 3 2 4 8 4" xfId="20090" xr:uid="{00000000-0005-0000-0000-0000AA4E0000}"/>
    <cellStyle name="Comma 3 2 4 8 5" xfId="20098" xr:uid="{00000000-0005-0000-0000-0000B24E0000}"/>
    <cellStyle name="Comma 3 2 4 8 6" xfId="20106" xr:uid="{00000000-0005-0000-0000-0000BA4E0000}"/>
    <cellStyle name="Comma 3 2 4 9" xfId="6582" xr:uid="{00000000-0005-0000-0000-0000E6190000}"/>
    <cellStyle name="Comma 3 2 4 9 2" xfId="20127" xr:uid="{00000000-0005-0000-0000-0000CF4E0000}"/>
    <cellStyle name="Comma 3 2 4 9 3" xfId="17011" xr:uid="{00000000-0005-0000-0000-0000A3420000}"/>
    <cellStyle name="Comma 3 2 4 9 4" xfId="17014" xr:uid="{00000000-0005-0000-0000-0000A6420000}"/>
    <cellStyle name="Comma 3 2 4 9 5" xfId="17021" xr:uid="{00000000-0005-0000-0000-0000AD420000}"/>
    <cellStyle name="Comma 3 2 4 9 6" xfId="17028" xr:uid="{00000000-0005-0000-0000-0000B4420000}"/>
    <cellStyle name="Comma 3 2 5" xfId="13505" xr:uid="{00000000-0005-0000-0000-0000F1340000}"/>
    <cellStyle name="Comma 3 2 5 10" xfId="23040" xr:uid="{00000000-0005-0000-0000-0000305A0000}"/>
    <cellStyle name="Comma 3 2 5 10 2" xfId="23042" xr:uid="{00000000-0005-0000-0000-0000325A0000}"/>
    <cellStyle name="Comma 3 2 5 10 3" xfId="23045" xr:uid="{00000000-0005-0000-0000-0000355A0000}"/>
    <cellStyle name="Comma 3 2 5 10 4" xfId="23047" xr:uid="{00000000-0005-0000-0000-0000375A0000}"/>
    <cellStyle name="Comma 3 2 5 10 5" xfId="23049" xr:uid="{00000000-0005-0000-0000-0000395A0000}"/>
    <cellStyle name="Comma 3 2 5 10 6" xfId="19826" xr:uid="{00000000-0005-0000-0000-0000A24D0000}"/>
    <cellStyle name="Comma 3 2 5 11" xfId="23052" xr:uid="{00000000-0005-0000-0000-00003C5A0000}"/>
    <cellStyle name="Comma 3 2 5 11 2" xfId="11040" xr:uid="{00000000-0005-0000-0000-0000502B0000}"/>
    <cellStyle name="Comma 3 2 5 11 3" xfId="11046" xr:uid="{00000000-0005-0000-0000-0000562B0000}"/>
    <cellStyle name="Comma 3 2 5 11 4" xfId="11052" xr:uid="{00000000-0005-0000-0000-00005C2B0000}"/>
    <cellStyle name="Comma 3 2 5 11 5" xfId="23054" xr:uid="{00000000-0005-0000-0000-00003E5A0000}"/>
    <cellStyle name="Comma 3 2 5 11 6" xfId="22801" xr:uid="{00000000-0005-0000-0000-000041590000}"/>
    <cellStyle name="Comma 3 2 5 12" xfId="23056" xr:uid="{00000000-0005-0000-0000-0000405A0000}"/>
    <cellStyle name="Comma 3 2 5 13" xfId="20616" xr:uid="{00000000-0005-0000-0000-0000B8500000}"/>
    <cellStyle name="Comma 3 2 5 14" xfId="20619" xr:uid="{00000000-0005-0000-0000-0000BB500000}"/>
    <cellStyle name="Comma 3 2 5 15" xfId="20623" xr:uid="{00000000-0005-0000-0000-0000BF500000}"/>
    <cellStyle name="Comma 3 2 5 16" xfId="18467" xr:uid="{00000000-0005-0000-0000-000053480000}"/>
    <cellStyle name="Comma 3 2 5 17" xfId="18485" xr:uid="{00000000-0005-0000-0000-000065480000}"/>
    <cellStyle name="Comma 3 2 5 18" xfId="18505" xr:uid="{00000000-0005-0000-0000-000079480000}"/>
    <cellStyle name="Comma 3 2 5 19" xfId="14476" xr:uid="{00000000-0005-0000-0000-0000BC380000}"/>
    <cellStyle name="Comma 3 2 5 2" xfId="8711" xr:uid="{00000000-0005-0000-0000-000037220000}"/>
    <cellStyle name="Comma 3 2 5 2 10" xfId="23058" xr:uid="{00000000-0005-0000-0000-0000425A0000}"/>
    <cellStyle name="Comma 3 2 5 2 11" xfId="23060" xr:uid="{00000000-0005-0000-0000-0000445A0000}"/>
    <cellStyle name="Comma 3 2 5 2 12" xfId="23062" xr:uid="{00000000-0005-0000-0000-0000465A0000}"/>
    <cellStyle name="Comma 3 2 5 2 13" xfId="23064" xr:uid="{00000000-0005-0000-0000-0000485A0000}"/>
    <cellStyle name="Comma 3 2 5 2 14" xfId="23066" xr:uid="{00000000-0005-0000-0000-00004A5A0000}"/>
    <cellStyle name="Comma 3 2 5 2 15" xfId="1960" xr:uid="{00000000-0005-0000-0000-0000D8070000}"/>
    <cellStyle name="Comma 3 2 5 2 16" xfId="23067" xr:uid="{00000000-0005-0000-0000-00004B5A0000}"/>
    <cellStyle name="Comma 3 2 5 2 17" xfId="23069" xr:uid="{00000000-0005-0000-0000-00004D5A0000}"/>
    <cellStyle name="Comma 3 2 5 2 18" xfId="23070" xr:uid="{00000000-0005-0000-0000-00004E5A0000}"/>
    <cellStyle name="Comma 3 2 5 2 2" xfId="7154" xr:uid="{00000000-0005-0000-0000-0000221C0000}"/>
    <cellStyle name="Comma 3 2 5 2 2 10" xfId="23073" xr:uid="{00000000-0005-0000-0000-0000515A0000}"/>
    <cellStyle name="Comma 3 2 5 2 2 11" xfId="4489" xr:uid="{00000000-0005-0000-0000-0000B9110000}"/>
    <cellStyle name="Comma 3 2 5 2 2 12" xfId="23074" xr:uid="{00000000-0005-0000-0000-0000525A0000}"/>
    <cellStyle name="Comma 3 2 5 2 2 2" xfId="13751" xr:uid="{00000000-0005-0000-0000-0000E7350000}"/>
    <cellStyle name="Comma 3 2 5 2 2 2 2" xfId="16132" xr:uid="{00000000-0005-0000-0000-0000343F0000}"/>
    <cellStyle name="Comma 3 2 5 2 2 2 2 2" xfId="16138" xr:uid="{00000000-0005-0000-0000-00003A3F0000}"/>
    <cellStyle name="Comma 3 2 5 2 2 2 3" xfId="16164" xr:uid="{00000000-0005-0000-0000-0000543F0000}"/>
    <cellStyle name="Comma 3 2 5 2 2 2 4" xfId="16169" xr:uid="{00000000-0005-0000-0000-0000593F0000}"/>
    <cellStyle name="Comma 3 2 5 2 2 2 5" xfId="16176" xr:uid="{00000000-0005-0000-0000-0000603F0000}"/>
    <cellStyle name="Comma 3 2 5 2 2 3" xfId="13755" xr:uid="{00000000-0005-0000-0000-0000EB350000}"/>
    <cellStyle name="Comma 3 2 5 2 2 3 2" xfId="16192" xr:uid="{00000000-0005-0000-0000-0000703F0000}"/>
    <cellStyle name="Comma 3 2 5 2 2 4" xfId="13760" xr:uid="{00000000-0005-0000-0000-0000F0350000}"/>
    <cellStyle name="Comma 3 2 5 2 2 5" xfId="16273" xr:uid="{00000000-0005-0000-0000-0000C13F0000}"/>
    <cellStyle name="Comma 3 2 5 2 2 6" xfId="16277" xr:uid="{00000000-0005-0000-0000-0000C53F0000}"/>
    <cellStyle name="Comma 3 2 5 2 2 7" xfId="16283" xr:uid="{00000000-0005-0000-0000-0000CB3F0000}"/>
    <cellStyle name="Comma 3 2 5 2 2 8" xfId="4511" xr:uid="{00000000-0005-0000-0000-0000CF110000}"/>
    <cellStyle name="Comma 3 2 5 2 2 9" xfId="23075" xr:uid="{00000000-0005-0000-0000-0000535A0000}"/>
    <cellStyle name="Comma 3 2 5 2 3" xfId="10416" xr:uid="{00000000-0005-0000-0000-0000E0280000}"/>
    <cellStyle name="Comma 3 2 5 2 3 10" xfId="9070" xr:uid="{00000000-0005-0000-0000-00009E230000}"/>
    <cellStyle name="Comma 3 2 5 2 3 11" xfId="9082" xr:uid="{00000000-0005-0000-0000-0000AA230000}"/>
    <cellStyle name="Comma 3 2 5 2 3 12" xfId="9094" xr:uid="{00000000-0005-0000-0000-0000B6230000}"/>
    <cellStyle name="Comma 3 2 5 2 3 2" xfId="13769" xr:uid="{00000000-0005-0000-0000-0000F9350000}"/>
    <cellStyle name="Comma 3 2 5 2 3 2 2" xfId="16306" xr:uid="{00000000-0005-0000-0000-0000E23F0000}"/>
    <cellStyle name="Comma 3 2 5 2 3 2 2 2" xfId="13134" xr:uid="{00000000-0005-0000-0000-00007E330000}"/>
    <cellStyle name="Comma 3 2 5 2 3 2 3" xfId="16310" xr:uid="{00000000-0005-0000-0000-0000E63F0000}"/>
    <cellStyle name="Comma 3 2 5 2 3 2 4" xfId="16314" xr:uid="{00000000-0005-0000-0000-0000EA3F0000}"/>
    <cellStyle name="Comma 3 2 5 2 3 2 5" xfId="16318" xr:uid="{00000000-0005-0000-0000-0000EE3F0000}"/>
    <cellStyle name="Comma 3 2 5 2 3 3" xfId="11779" xr:uid="{00000000-0005-0000-0000-0000332E0000}"/>
    <cellStyle name="Comma 3 2 5 2 3 3 2" xfId="16326" xr:uid="{00000000-0005-0000-0000-0000F63F0000}"/>
    <cellStyle name="Comma 3 2 5 2 3 4" xfId="11787" xr:uid="{00000000-0005-0000-0000-00003B2E0000}"/>
    <cellStyle name="Comma 3 2 5 2 3 5" xfId="11795" xr:uid="{00000000-0005-0000-0000-0000432E0000}"/>
    <cellStyle name="Comma 3 2 5 2 3 6" xfId="11805" xr:uid="{00000000-0005-0000-0000-00004D2E0000}"/>
    <cellStyle name="Comma 3 2 5 2 3 7" xfId="11812" xr:uid="{00000000-0005-0000-0000-0000542E0000}"/>
    <cellStyle name="Comma 3 2 5 2 3 8" xfId="4521" xr:uid="{00000000-0005-0000-0000-0000D9110000}"/>
    <cellStyle name="Comma 3 2 5 2 3 9" xfId="2418" xr:uid="{00000000-0005-0000-0000-0000A2090000}"/>
    <cellStyle name="Comma 3 2 5 2 4" xfId="10421" xr:uid="{00000000-0005-0000-0000-0000E5280000}"/>
    <cellStyle name="Comma 3 2 5 2 4 10" xfId="20279" xr:uid="{00000000-0005-0000-0000-0000674F0000}"/>
    <cellStyle name="Comma 3 2 5 2 4 2" xfId="16413" xr:uid="{00000000-0005-0000-0000-00004D400000}"/>
    <cellStyle name="Comma 3 2 5 2 4 2 2" xfId="16416" xr:uid="{00000000-0005-0000-0000-000050400000}"/>
    <cellStyle name="Comma 3 2 5 2 4 2 2 2" xfId="8830" xr:uid="{00000000-0005-0000-0000-0000AE220000}"/>
    <cellStyle name="Comma 3 2 5 2 4 2 3" xfId="23078" xr:uid="{00000000-0005-0000-0000-0000565A0000}"/>
    <cellStyle name="Comma 3 2 5 2 4 2 4" xfId="23081" xr:uid="{00000000-0005-0000-0000-0000595A0000}"/>
    <cellStyle name="Comma 3 2 5 2 4 2 5" xfId="23084" xr:uid="{00000000-0005-0000-0000-00005C5A0000}"/>
    <cellStyle name="Comma 3 2 5 2 4 3" xfId="16419" xr:uid="{00000000-0005-0000-0000-000053400000}"/>
    <cellStyle name="Comma 3 2 5 2 4 3 2" xfId="21353" xr:uid="{00000000-0005-0000-0000-000099530000}"/>
    <cellStyle name="Comma 3 2 5 2 4 4" xfId="16423" xr:uid="{00000000-0005-0000-0000-000057400000}"/>
    <cellStyle name="Comma 3 2 5 2 4 5" xfId="12174" xr:uid="{00000000-0005-0000-0000-0000BE2F0000}"/>
    <cellStyle name="Comma 3 2 5 2 4 6" xfId="16426" xr:uid="{00000000-0005-0000-0000-00005A400000}"/>
    <cellStyle name="Comma 3 2 5 2 4 7" xfId="16429" xr:uid="{00000000-0005-0000-0000-00005D400000}"/>
    <cellStyle name="Comma 3 2 5 2 4 8" xfId="4522" xr:uid="{00000000-0005-0000-0000-0000DA110000}"/>
    <cellStyle name="Comma 3 2 5 2 4 9" xfId="23085" xr:uid="{00000000-0005-0000-0000-00005D5A0000}"/>
    <cellStyle name="Comma 3 2 5 2 5" xfId="13484" xr:uid="{00000000-0005-0000-0000-0000DC340000}"/>
    <cellStyle name="Comma 3 2 5 2 5 10" xfId="23088" xr:uid="{00000000-0005-0000-0000-0000605A0000}"/>
    <cellStyle name="Comma 3 2 5 2 5 2" xfId="16490" xr:uid="{00000000-0005-0000-0000-00009A400000}"/>
    <cellStyle name="Comma 3 2 5 2 5 2 2" xfId="16500" xr:uid="{00000000-0005-0000-0000-0000A4400000}"/>
    <cellStyle name="Comma 3 2 5 2 5 2 2 2" xfId="9649" xr:uid="{00000000-0005-0000-0000-0000E1250000}"/>
    <cellStyle name="Comma 3 2 5 2 5 2 3" xfId="19574" xr:uid="{00000000-0005-0000-0000-0000A64C0000}"/>
    <cellStyle name="Comma 3 2 5 2 5 2 4" xfId="19580" xr:uid="{00000000-0005-0000-0000-0000AC4C0000}"/>
    <cellStyle name="Comma 3 2 5 2 5 2 5" xfId="19586" xr:uid="{00000000-0005-0000-0000-0000B24C0000}"/>
    <cellStyle name="Comma 3 2 5 2 5 3" xfId="6694" xr:uid="{00000000-0005-0000-0000-0000561A0000}"/>
    <cellStyle name="Comma 3 2 5 2 5 3 2" xfId="19607" xr:uid="{00000000-0005-0000-0000-0000C74C0000}"/>
    <cellStyle name="Comma 3 2 5 2 5 4" xfId="6704" xr:uid="{00000000-0005-0000-0000-0000601A0000}"/>
    <cellStyle name="Comma 3 2 5 2 5 5" xfId="6713" xr:uid="{00000000-0005-0000-0000-0000691A0000}"/>
    <cellStyle name="Comma 3 2 5 2 5 6" xfId="16508" xr:uid="{00000000-0005-0000-0000-0000AC400000}"/>
    <cellStyle name="Comma 3 2 5 2 5 7" xfId="16515" xr:uid="{00000000-0005-0000-0000-0000B3400000}"/>
    <cellStyle name="Comma 3 2 5 2 5 8" xfId="23090" xr:uid="{00000000-0005-0000-0000-0000625A0000}"/>
    <cellStyle name="Comma 3 2 5 2 5 9" xfId="23092" xr:uid="{00000000-0005-0000-0000-0000645A0000}"/>
    <cellStyle name="Comma 3 2 5 2 6" xfId="13487" xr:uid="{00000000-0005-0000-0000-0000DF340000}"/>
    <cellStyle name="Comma 3 2 5 2 6 2" xfId="16583" xr:uid="{00000000-0005-0000-0000-0000F7400000}"/>
    <cellStyle name="Comma 3 2 5 2 6 2 2" xfId="16589" xr:uid="{00000000-0005-0000-0000-0000FD400000}"/>
    <cellStyle name="Comma 3 2 5 2 6 3" xfId="16594" xr:uid="{00000000-0005-0000-0000-000002410000}"/>
    <cellStyle name="Comma 3 2 5 2 6 4" xfId="16603" xr:uid="{00000000-0005-0000-0000-00000B410000}"/>
    <cellStyle name="Comma 3 2 5 2 6 5" xfId="16612" xr:uid="{00000000-0005-0000-0000-000014410000}"/>
    <cellStyle name="Comma 3 2 5 2 6 6" xfId="16618" xr:uid="{00000000-0005-0000-0000-00001A410000}"/>
    <cellStyle name="Comma 3 2 5 2 6 7" xfId="16624" xr:uid="{00000000-0005-0000-0000-000020410000}"/>
    <cellStyle name="Comma 3 2 5 2 6 8" xfId="23094" xr:uid="{00000000-0005-0000-0000-0000665A0000}"/>
    <cellStyle name="Comma 3 2 5 2 6 9" xfId="23096" xr:uid="{00000000-0005-0000-0000-0000685A0000}"/>
    <cellStyle name="Comma 3 2 5 2 7" xfId="13490" xr:uid="{00000000-0005-0000-0000-0000E2340000}"/>
    <cellStyle name="Comma 3 2 5 2 7 2" xfId="16647" xr:uid="{00000000-0005-0000-0000-000037410000}"/>
    <cellStyle name="Comma 3 2 5 2 8" xfId="12127" xr:uid="{00000000-0005-0000-0000-00008F2F0000}"/>
    <cellStyle name="Comma 3 2 5 2 9" xfId="12132" xr:uid="{00000000-0005-0000-0000-0000942F0000}"/>
    <cellStyle name="Comma 3 2 5 20" xfId="20622" xr:uid="{00000000-0005-0000-0000-0000BE500000}"/>
    <cellStyle name="Comma 3 2 5 21" xfId="18466" xr:uid="{00000000-0005-0000-0000-000052480000}"/>
    <cellStyle name="Comma 3 2 5 22" xfId="18484" xr:uid="{00000000-0005-0000-0000-000064480000}"/>
    <cellStyle name="Comma 3 2 5 23" xfId="18504" xr:uid="{00000000-0005-0000-0000-000078480000}"/>
    <cellStyle name="Comma 3 2 5 3" xfId="6919" xr:uid="{00000000-0005-0000-0000-0000371B0000}"/>
    <cellStyle name="Comma 3 2 5 3 10" xfId="23097" xr:uid="{00000000-0005-0000-0000-0000695A0000}"/>
    <cellStyle name="Comma 3 2 5 3 11" xfId="12923" xr:uid="{00000000-0005-0000-0000-0000AB320000}"/>
    <cellStyle name="Comma 3 2 5 3 12" xfId="12929" xr:uid="{00000000-0005-0000-0000-0000B1320000}"/>
    <cellStyle name="Comma 3 2 5 3 13" xfId="12932" xr:uid="{00000000-0005-0000-0000-0000B4320000}"/>
    <cellStyle name="Comma 3 2 5 3 14" xfId="12936" xr:uid="{00000000-0005-0000-0000-0000B8320000}"/>
    <cellStyle name="Comma 3 2 5 3 15" xfId="2074" xr:uid="{00000000-0005-0000-0000-00004A080000}"/>
    <cellStyle name="Comma 3 2 5 3 16" xfId="12938" xr:uid="{00000000-0005-0000-0000-0000BA320000}"/>
    <cellStyle name="Comma 3 2 5 3 17" xfId="5378" xr:uid="{00000000-0005-0000-0000-000032150000}"/>
    <cellStyle name="Comma 3 2 5 3 18" xfId="1465" xr:uid="{00000000-0005-0000-0000-0000E9050000}"/>
    <cellStyle name="Comma 3 2 5 3 2" xfId="8328" xr:uid="{00000000-0005-0000-0000-0000B8200000}"/>
    <cellStyle name="Comma 3 2 5 3 2 10" xfId="23100" xr:uid="{00000000-0005-0000-0000-00006C5A0000}"/>
    <cellStyle name="Comma 3 2 5 3 2 2" xfId="14091" xr:uid="{00000000-0005-0000-0000-00003B370000}"/>
    <cellStyle name="Comma 3 2 5 3 2 2 2" xfId="14361" xr:uid="{00000000-0005-0000-0000-000049380000}"/>
    <cellStyle name="Comma 3 2 5 3 2 3" xfId="2346" xr:uid="{00000000-0005-0000-0000-00005A090000}"/>
    <cellStyle name="Comma 3 2 5 3 2 4" xfId="14095" xr:uid="{00000000-0005-0000-0000-00003F370000}"/>
    <cellStyle name="Comma 3 2 5 3 2 5" xfId="16729" xr:uid="{00000000-0005-0000-0000-000089410000}"/>
    <cellStyle name="Comma 3 2 5 3 2 6" xfId="16742" xr:uid="{00000000-0005-0000-0000-000096410000}"/>
    <cellStyle name="Comma 3 2 5 3 2 7" xfId="16747" xr:uid="{00000000-0005-0000-0000-00009B410000}"/>
    <cellStyle name="Comma 3 2 5 3 2 8" xfId="23101" xr:uid="{00000000-0005-0000-0000-00006D5A0000}"/>
    <cellStyle name="Comma 3 2 5 3 2 9" xfId="23102" xr:uid="{00000000-0005-0000-0000-00006E5A0000}"/>
    <cellStyle name="Comma 3 2 5 3 3" xfId="8336" xr:uid="{00000000-0005-0000-0000-0000C0200000}"/>
    <cellStyle name="Comma 3 2 5 3 3 2" xfId="14106" xr:uid="{00000000-0005-0000-0000-00004A370000}"/>
    <cellStyle name="Comma 3 2 5 3 3 3" xfId="14112" xr:uid="{00000000-0005-0000-0000-000050370000}"/>
    <cellStyle name="Comma 3 2 5 3 3 4" xfId="14119" xr:uid="{00000000-0005-0000-0000-000057370000}"/>
    <cellStyle name="Comma 3 2 5 3 3 5" xfId="786" xr:uid="{00000000-0005-0000-0000-000042030000}"/>
    <cellStyle name="Comma 3 2 5 3 3 6" xfId="12197" xr:uid="{00000000-0005-0000-0000-0000D52F0000}"/>
    <cellStyle name="Comma 3 2 5 3 4" xfId="8346" xr:uid="{00000000-0005-0000-0000-0000CA200000}"/>
    <cellStyle name="Comma 3 2 5 3 4 2" xfId="2769" xr:uid="{00000000-0005-0000-0000-0000010B0000}"/>
    <cellStyle name="Comma 3 2 5 3 4 3" xfId="2786" xr:uid="{00000000-0005-0000-0000-0000120B0000}"/>
    <cellStyle name="Comma 3 2 5 3 4 4" xfId="2805" xr:uid="{00000000-0005-0000-0000-0000250B0000}"/>
    <cellStyle name="Comma 3 2 5 3 4 5" xfId="1123" xr:uid="{00000000-0005-0000-0000-000093040000}"/>
    <cellStyle name="Comma 3 2 5 3 4 6" xfId="7774" xr:uid="{00000000-0005-0000-0000-00008E1E0000}"/>
    <cellStyle name="Comma 3 2 5 3 5" xfId="8353" xr:uid="{00000000-0005-0000-0000-0000D1200000}"/>
    <cellStyle name="Comma 3 2 5 3 5 2" xfId="16961" xr:uid="{00000000-0005-0000-0000-000071420000}"/>
    <cellStyle name="Comma 3 2 5 3 5 3" xfId="16974" xr:uid="{00000000-0005-0000-0000-00007E420000}"/>
    <cellStyle name="Comma 3 2 5 3 5 4" xfId="16981" xr:uid="{00000000-0005-0000-0000-000085420000}"/>
    <cellStyle name="Comma 3 2 5 3 5 5" xfId="16986" xr:uid="{00000000-0005-0000-0000-00008A420000}"/>
    <cellStyle name="Comma 3 2 5 3 5 6" xfId="16992" xr:uid="{00000000-0005-0000-0000-000090420000}"/>
    <cellStyle name="Comma 3 2 5 3 6" xfId="23103" xr:uid="{00000000-0005-0000-0000-00006F5A0000}"/>
    <cellStyle name="Comma 3 2 5 3 6 2" xfId="17069" xr:uid="{00000000-0005-0000-0000-0000DD420000}"/>
    <cellStyle name="Comma 3 2 5 3 6 3" xfId="17074" xr:uid="{00000000-0005-0000-0000-0000E2420000}"/>
    <cellStyle name="Comma 3 2 5 3 6 4" xfId="17078" xr:uid="{00000000-0005-0000-0000-0000E6420000}"/>
    <cellStyle name="Comma 3 2 5 3 6 5" xfId="17083" xr:uid="{00000000-0005-0000-0000-0000EB420000}"/>
    <cellStyle name="Comma 3 2 5 3 6 6" xfId="17085" xr:uid="{00000000-0005-0000-0000-0000ED420000}"/>
    <cellStyle name="Comma 3 2 5 3 7" xfId="23104" xr:uid="{00000000-0005-0000-0000-0000705A0000}"/>
    <cellStyle name="Comma 3 2 5 3 8" xfId="23105" xr:uid="{00000000-0005-0000-0000-0000715A0000}"/>
    <cellStyle name="Comma 3 2 5 3 9" xfId="23106" xr:uid="{00000000-0005-0000-0000-0000725A0000}"/>
    <cellStyle name="Comma 3 2 5 4" xfId="8715" xr:uid="{00000000-0005-0000-0000-00003B220000}"/>
    <cellStyle name="Comma 3 2 5 4 10" xfId="23107" xr:uid="{00000000-0005-0000-0000-0000735A0000}"/>
    <cellStyle name="Comma 3 2 5 4 11" xfId="23109" xr:uid="{00000000-0005-0000-0000-0000755A0000}"/>
    <cellStyle name="Comma 3 2 5 4 12" xfId="23110" xr:uid="{00000000-0005-0000-0000-0000765A0000}"/>
    <cellStyle name="Comma 3 2 5 4 13" xfId="23111" xr:uid="{00000000-0005-0000-0000-0000775A0000}"/>
    <cellStyle name="Comma 3 2 5 4 14" xfId="23112" xr:uid="{00000000-0005-0000-0000-0000785A0000}"/>
    <cellStyle name="Comma 3 2 5 4 15" xfId="23115" xr:uid="{00000000-0005-0000-0000-00007B5A0000}"/>
    <cellStyle name="Comma 3 2 5 4 2" xfId="23120" xr:uid="{00000000-0005-0000-0000-0000805A0000}"/>
    <cellStyle name="Comma 3 2 5 4 2 2" xfId="17184" xr:uid="{00000000-0005-0000-0000-000050430000}"/>
    <cellStyle name="Comma 3 2 5 4 2 2 2" xfId="4167" xr:uid="{00000000-0005-0000-0000-000077100000}"/>
    <cellStyle name="Comma 3 2 5 4 2 3" xfId="2938" xr:uid="{00000000-0005-0000-0000-0000AA0B0000}"/>
    <cellStyle name="Comma 3 2 5 4 2 4" xfId="17205" xr:uid="{00000000-0005-0000-0000-000065430000}"/>
    <cellStyle name="Comma 3 2 5 4 2 5" xfId="16753" xr:uid="{00000000-0005-0000-0000-0000A1410000}"/>
    <cellStyle name="Comma 3 2 5 4 2 6" xfId="16760" xr:uid="{00000000-0005-0000-0000-0000A8410000}"/>
    <cellStyle name="Comma 3 2 5 4 2 7" xfId="3206" xr:uid="{00000000-0005-0000-0000-0000B60C0000}"/>
    <cellStyle name="Comma 3 2 5 4 2 8" xfId="23121" xr:uid="{00000000-0005-0000-0000-0000815A0000}"/>
    <cellStyle name="Comma 3 2 5 4 2 9" xfId="23122" xr:uid="{00000000-0005-0000-0000-0000825A0000}"/>
    <cellStyle name="Comma 3 2 5 4 3" xfId="23123" xr:uid="{00000000-0005-0000-0000-0000835A0000}"/>
    <cellStyle name="Comma 3 2 5 4 3 2" xfId="17250" xr:uid="{00000000-0005-0000-0000-000092430000}"/>
    <cellStyle name="Comma 3 2 5 4 3 3" xfId="3046" xr:uid="{00000000-0005-0000-0000-0000160C0000}"/>
    <cellStyle name="Comma 3 2 5 4 3 4" xfId="17263" xr:uid="{00000000-0005-0000-0000-00009F430000}"/>
    <cellStyle name="Comma 3 2 5 4 3 5" xfId="12248" xr:uid="{00000000-0005-0000-0000-000008300000}"/>
    <cellStyle name="Comma 3 2 5 4 3 6" xfId="17275" xr:uid="{00000000-0005-0000-0000-0000AB430000}"/>
    <cellStyle name="Comma 3 2 5 4 4" xfId="23124" xr:uid="{00000000-0005-0000-0000-0000845A0000}"/>
    <cellStyle name="Comma 3 2 5 4 4 2" xfId="14859" xr:uid="{00000000-0005-0000-0000-00003B3A0000}"/>
    <cellStyle name="Comma 3 2 5 4 5" xfId="23127" xr:uid="{00000000-0005-0000-0000-0000875A0000}"/>
    <cellStyle name="Comma 3 2 5 4 6" xfId="23129" xr:uid="{00000000-0005-0000-0000-0000895A0000}"/>
    <cellStyle name="Comma 3 2 5 4 7" xfId="23131" xr:uid="{00000000-0005-0000-0000-00008B5A0000}"/>
    <cellStyle name="Comma 3 2 5 4 8" xfId="23133" xr:uid="{00000000-0005-0000-0000-00008D5A0000}"/>
    <cellStyle name="Comma 3 2 5 4 9" xfId="23135" xr:uid="{00000000-0005-0000-0000-00008F5A0000}"/>
    <cellStyle name="Comma 3 2 5 5" xfId="13509" xr:uid="{00000000-0005-0000-0000-0000F5340000}"/>
    <cellStyle name="Comma 3 2 5 5 10" xfId="1714" xr:uid="{00000000-0005-0000-0000-0000E2060000}"/>
    <cellStyle name="Comma 3 2 5 5 11" xfId="1747" xr:uid="{00000000-0005-0000-0000-000003070000}"/>
    <cellStyle name="Comma 3 2 5 5 12" xfId="1770" xr:uid="{00000000-0005-0000-0000-00001A070000}"/>
    <cellStyle name="Comma 3 2 5 5 13" xfId="42" xr:uid="{00000000-0005-0000-0000-00002D000000}"/>
    <cellStyle name="Comma 3 2 5 5 2" xfId="23141" xr:uid="{00000000-0005-0000-0000-0000955A0000}"/>
    <cellStyle name="Comma 3 2 5 5 2 2" xfId="17470" xr:uid="{00000000-0005-0000-0000-00006E440000}"/>
    <cellStyle name="Comma 3 2 5 5 2 2 2" xfId="16093" xr:uid="{00000000-0005-0000-0000-00000D3F0000}"/>
    <cellStyle name="Comma 3 2 5 5 2 3" xfId="3690" xr:uid="{00000000-0005-0000-0000-00009A0E0000}"/>
    <cellStyle name="Comma 3 2 5 5 2 4" xfId="17488" xr:uid="{00000000-0005-0000-0000-000080440000}"/>
    <cellStyle name="Comma 3 2 5 5 2 5" xfId="16772" xr:uid="{00000000-0005-0000-0000-0000B4410000}"/>
    <cellStyle name="Comma 3 2 5 5 2 6" xfId="16788" xr:uid="{00000000-0005-0000-0000-0000C4410000}"/>
    <cellStyle name="Comma 3 2 5 5 2 7" xfId="16799" xr:uid="{00000000-0005-0000-0000-0000CF410000}"/>
    <cellStyle name="Comma 3 2 5 5 2 8" xfId="23142" xr:uid="{00000000-0005-0000-0000-0000965A0000}"/>
    <cellStyle name="Comma 3 2 5 5 2 9" xfId="23144" xr:uid="{00000000-0005-0000-0000-0000985A0000}"/>
    <cellStyle name="Comma 3 2 5 5 3" xfId="23147" xr:uid="{00000000-0005-0000-0000-00009B5A0000}"/>
    <cellStyle name="Comma 3 2 5 5 3 2" xfId="17511" xr:uid="{00000000-0005-0000-0000-000097440000}"/>
    <cellStyle name="Comma 3 2 5 5 3 3" xfId="3697" xr:uid="{00000000-0005-0000-0000-0000A10E0000}"/>
    <cellStyle name="Comma 3 2 5 5 3 4" xfId="17515" xr:uid="{00000000-0005-0000-0000-00009B440000}"/>
    <cellStyle name="Comma 3 2 5 5 3 5" xfId="16814" xr:uid="{00000000-0005-0000-0000-0000DE410000}"/>
    <cellStyle name="Comma 3 2 5 5 3 6" xfId="17520" xr:uid="{00000000-0005-0000-0000-0000A0440000}"/>
    <cellStyle name="Comma 3 2 5 5 4" xfId="23148" xr:uid="{00000000-0005-0000-0000-00009C5A0000}"/>
    <cellStyle name="Comma 3 2 5 5 4 2" xfId="17557" xr:uid="{00000000-0005-0000-0000-0000C5440000}"/>
    <cellStyle name="Comma 3 2 5 5 5" xfId="12091" xr:uid="{00000000-0005-0000-0000-00006B2F0000}"/>
    <cellStyle name="Comma 3 2 5 5 6" xfId="18456" xr:uid="{00000000-0005-0000-0000-000048480000}"/>
    <cellStyle name="Comma 3 2 5 5 7" xfId="15820" xr:uid="{00000000-0005-0000-0000-0000FC3D0000}"/>
    <cellStyle name="Comma 3 2 5 5 8" xfId="7121" xr:uid="{00000000-0005-0000-0000-0000011C0000}"/>
    <cellStyle name="Comma 3 2 5 5 9" xfId="18459" xr:uid="{00000000-0005-0000-0000-00004B480000}"/>
    <cellStyle name="Comma 3 2 5 6" xfId="13512" xr:uid="{00000000-0005-0000-0000-0000F8340000}"/>
    <cellStyle name="Comma 3 2 5 6 10" xfId="23150" xr:uid="{00000000-0005-0000-0000-00009E5A0000}"/>
    <cellStyle name="Comma 3 2 5 6 11" xfId="17883" xr:uid="{00000000-0005-0000-0000-00000B460000}"/>
    <cellStyle name="Comma 3 2 5 6 12" xfId="133" xr:uid="{00000000-0005-0000-0000-00008F000000}"/>
    <cellStyle name="Comma 3 2 5 6 2" xfId="23152" xr:uid="{00000000-0005-0000-0000-0000A05A0000}"/>
    <cellStyle name="Comma 3 2 5 6 2 2" xfId="17638" xr:uid="{00000000-0005-0000-0000-000016450000}"/>
    <cellStyle name="Comma 3 2 5 6 2 2 2" xfId="12904" xr:uid="{00000000-0005-0000-0000-000098320000}"/>
    <cellStyle name="Comma 3 2 5 6 2 3" xfId="17641" xr:uid="{00000000-0005-0000-0000-000019450000}"/>
    <cellStyle name="Comma 3 2 5 6 2 4" xfId="17644" xr:uid="{00000000-0005-0000-0000-00001C450000}"/>
    <cellStyle name="Comma 3 2 5 6 2 5" xfId="7463" xr:uid="{00000000-0005-0000-0000-0000571D0000}"/>
    <cellStyle name="Comma 3 2 5 6 2 6" xfId="17648" xr:uid="{00000000-0005-0000-0000-000020450000}"/>
    <cellStyle name="Comma 3 2 5 6 2 7" xfId="17651" xr:uid="{00000000-0005-0000-0000-000023450000}"/>
    <cellStyle name="Comma 3 2 5 6 2 8" xfId="23153" xr:uid="{00000000-0005-0000-0000-0000A15A0000}"/>
    <cellStyle name="Comma 3 2 5 6 2 9" xfId="23154" xr:uid="{00000000-0005-0000-0000-0000A25A0000}"/>
    <cellStyle name="Comma 3 2 5 6 3" xfId="23155" xr:uid="{00000000-0005-0000-0000-0000A35A0000}"/>
    <cellStyle name="Comma 3 2 5 6 3 2" xfId="8146" xr:uid="{00000000-0005-0000-0000-000002200000}"/>
    <cellStyle name="Comma 3 2 5 6 3 3" xfId="4834" xr:uid="{00000000-0005-0000-0000-000012130000}"/>
    <cellStyle name="Comma 3 2 5 6 3 4" xfId="8149" xr:uid="{00000000-0005-0000-0000-000005200000}"/>
    <cellStyle name="Comma 3 2 5 6 3 5" xfId="7476" xr:uid="{00000000-0005-0000-0000-0000641D0000}"/>
    <cellStyle name="Comma 3 2 5 6 3 6" xfId="23157" xr:uid="{00000000-0005-0000-0000-0000A55A0000}"/>
    <cellStyle name="Comma 3 2 5 6 4" xfId="23158" xr:uid="{00000000-0005-0000-0000-0000A65A0000}"/>
    <cellStyle name="Comma 3 2 5 6 4 2" xfId="17446" xr:uid="{00000000-0005-0000-0000-000056440000}"/>
    <cellStyle name="Comma 3 2 5 6 5" xfId="23159" xr:uid="{00000000-0005-0000-0000-0000A75A0000}"/>
    <cellStyle name="Comma 3 2 5 6 6" xfId="23160" xr:uid="{00000000-0005-0000-0000-0000A85A0000}"/>
    <cellStyle name="Comma 3 2 5 6 7" xfId="23161" xr:uid="{00000000-0005-0000-0000-0000A95A0000}"/>
    <cellStyle name="Comma 3 2 5 6 8" xfId="23164" xr:uid="{00000000-0005-0000-0000-0000AC5A0000}"/>
    <cellStyle name="Comma 3 2 5 6 9" xfId="23167" xr:uid="{00000000-0005-0000-0000-0000AF5A0000}"/>
    <cellStyle name="Comma 3 2 5 7" xfId="23170" xr:uid="{00000000-0005-0000-0000-0000B25A0000}"/>
    <cellStyle name="Comma 3 2 5 7 2" xfId="13576" xr:uid="{00000000-0005-0000-0000-000038350000}"/>
    <cellStyle name="Comma 3 2 5 7 2 2" xfId="17685" xr:uid="{00000000-0005-0000-0000-000045450000}"/>
    <cellStyle name="Comma 3 2 5 7 3" xfId="13577" xr:uid="{00000000-0005-0000-0000-000039350000}"/>
    <cellStyle name="Comma 3 2 5 7 4" xfId="13582" xr:uid="{00000000-0005-0000-0000-00003E350000}"/>
    <cellStyle name="Comma 3 2 5 7 5" xfId="13585" xr:uid="{00000000-0005-0000-0000-000041350000}"/>
    <cellStyle name="Comma 3 2 5 7 6" xfId="23171" xr:uid="{00000000-0005-0000-0000-0000B35A0000}"/>
    <cellStyle name="Comma 3 2 5 7 7" xfId="23172" xr:uid="{00000000-0005-0000-0000-0000B45A0000}"/>
    <cellStyle name="Comma 3 2 5 7 8" xfId="23175" xr:uid="{00000000-0005-0000-0000-0000B75A0000}"/>
    <cellStyle name="Comma 3 2 5 7 9" xfId="23178" xr:uid="{00000000-0005-0000-0000-0000BA5A0000}"/>
    <cellStyle name="Comma 3 2 5 8" xfId="23181" xr:uid="{00000000-0005-0000-0000-0000BD5A0000}"/>
    <cellStyle name="Comma 3 2 5 8 2" xfId="20165" xr:uid="{00000000-0005-0000-0000-0000F54E0000}"/>
    <cellStyle name="Comma 3 2 5 8 3" xfId="20170" xr:uid="{00000000-0005-0000-0000-0000FA4E0000}"/>
    <cellStyle name="Comma 3 2 5 8 4" xfId="20176" xr:uid="{00000000-0005-0000-0000-0000004F0000}"/>
    <cellStyle name="Comma 3 2 5 8 5" xfId="20181" xr:uid="{00000000-0005-0000-0000-0000054F0000}"/>
    <cellStyle name="Comma 3 2 5 8 6" xfId="20185" xr:uid="{00000000-0005-0000-0000-0000094F0000}"/>
    <cellStyle name="Comma 3 2 5 9" xfId="23182" xr:uid="{00000000-0005-0000-0000-0000BE5A0000}"/>
    <cellStyle name="Comma 3 2 5 9 2" xfId="20195" xr:uid="{00000000-0005-0000-0000-0000134F0000}"/>
    <cellStyle name="Comma 3 2 5 9 3" xfId="17097" xr:uid="{00000000-0005-0000-0000-0000F9420000}"/>
    <cellStyle name="Comma 3 2 5 9 4" xfId="16064" xr:uid="{00000000-0005-0000-0000-0000F03E0000}"/>
    <cellStyle name="Comma 3 2 5 9 5" xfId="16068" xr:uid="{00000000-0005-0000-0000-0000F43E0000}"/>
    <cellStyle name="Comma 3 2 5 9 6" xfId="16073" xr:uid="{00000000-0005-0000-0000-0000F93E0000}"/>
    <cellStyle name="Comma 3 2 6" xfId="5457" xr:uid="{00000000-0005-0000-0000-000081150000}"/>
    <cellStyle name="Comma 3 2 6 10" xfId="23184" xr:uid="{00000000-0005-0000-0000-0000C05A0000}"/>
    <cellStyle name="Comma 3 2 6 11" xfId="23186" xr:uid="{00000000-0005-0000-0000-0000C25A0000}"/>
    <cellStyle name="Comma 3 2 6 12" xfId="23187" xr:uid="{00000000-0005-0000-0000-0000C35A0000}"/>
    <cellStyle name="Comma 3 2 6 13" xfId="20677" xr:uid="{00000000-0005-0000-0000-0000F5500000}"/>
    <cellStyle name="Comma 3 2 6 14" xfId="20680" xr:uid="{00000000-0005-0000-0000-0000F8500000}"/>
    <cellStyle name="Comma 3 2 6 15" xfId="20684" xr:uid="{00000000-0005-0000-0000-0000FC500000}"/>
    <cellStyle name="Comma 3 2 6 16" xfId="18727" xr:uid="{00000000-0005-0000-0000-000057490000}"/>
    <cellStyle name="Comma 3 2 6 17" xfId="18735" xr:uid="{00000000-0005-0000-0000-00005F490000}"/>
    <cellStyle name="Comma 3 2 6 18" xfId="18742" xr:uid="{00000000-0005-0000-0000-000066490000}"/>
    <cellStyle name="Comma 3 2 6 2" xfId="5409" xr:uid="{00000000-0005-0000-0000-000051150000}"/>
    <cellStyle name="Comma 3 2 6 2 10" xfId="4641" xr:uid="{00000000-0005-0000-0000-000051120000}"/>
    <cellStyle name="Comma 3 2 6 2 11" xfId="4651" xr:uid="{00000000-0005-0000-0000-00005B120000}"/>
    <cellStyle name="Comma 3 2 6 2 12" xfId="1988" xr:uid="{00000000-0005-0000-0000-0000F4070000}"/>
    <cellStyle name="Comma 3 2 6 2 13" xfId="4685" xr:uid="{00000000-0005-0000-0000-00007D120000}"/>
    <cellStyle name="Comma 3 2 6 2 14" xfId="4714" xr:uid="{00000000-0005-0000-0000-00009A120000}"/>
    <cellStyle name="Comma 3 2 6 2 2" xfId="15621" xr:uid="{00000000-0005-0000-0000-0000353D0000}"/>
    <cellStyle name="Comma 3 2 6 2 2 10" xfId="23190" xr:uid="{00000000-0005-0000-0000-0000C65A0000}"/>
    <cellStyle name="Comma 3 2 6 2 2 2" xfId="17911" xr:uid="{00000000-0005-0000-0000-000027460000}"/>
    <cellStyle name="Comma 3 2 6 2 2 2 2" xfId="17916" xr:uid="{00000000-0005-0000-0000-00002C460000}"/>
    <cellStyle name="Comma 3 2 6 2 2 3" xfId="14422" xr:uid="{00000000-0005-0000-0000-000086380000}"/>
    <cellStyle name="Comma 3 2 6 2 2 4" xfId="14425" xr:uid="{00000000-0005-0000-0000-000089380000}"/>
    <cellStyle name="Comma 3 2 6 2 2 5" xfId="14429" xr:uid="{00000000-0005-0000-0000-00008D380000}"/>
    <cellStyle name="Comma 3 2 6 2 2 6" xfId="14439" xr:uid="{00000000-0005-0000-0000-000097380000}"/>
    <cellStyle name="Comma 3 2 6 2 2 7" xfId="2798" xr:uid="{00000000-0005-0000-0000-00001E0B0000}"/>
    <cellStyle name="Comma 3 2 6 2 2 8" xfId="12580" xr:uid="{00000000-0005-0000-0000-000054310000}"/>
    <cellStyle name="Comma 3 2 6 2 2 9" xfId="13005" xr:uid="{00000000-0005-0000-0000-0000FD320000}"/>
    <cellStyle name="Comma 3 2 6 2 3" xfId="15624" xr:uid="{00000000-0005-0000-0000-0000383D0000}"/>
    <cellStyle name="Comma 3 2 6 2 3 2" xfId="17997" xr:uid="{00000000-0005-0000-0000-00007D460000}"/>
    <cellStyle name="Comma 3 2 6 2 3 3" xfId="14448" xr:uid="{00000000-0005-0000-0000-0000A0380000}"/>
    <cellStyle name="Comma 3 2 6 2 3 4" xfId="18008" xr:uid="{00000000-0005-0000-0000-000088460000}"/>
    <cellStyle name="Comma 3 2 6 2 3 5" xfId="18013" xr:uid="{00000000-0005-0000-0000-00008D460000}"/>
    <cellStyle name="Comma 3 2 6 2 3 6" xfId="13218" xr:uid="{00000000-0005-0000-0000-0000D2330000}"/>
    <cellStyle name="Comma 3 2 6 2 4" xfId="15629" xr:uid="{00000000-0005-0000-0000-00003D3D0000}"/>
    <cellStyle name="Comma 3 2 6 2 4 2" xfId="18039" xr:uid="{00000000-0005-0000-0000-0000A7460000}"/>
    <cellStyle name="Comma 3 2 6 2 4 3" xfId="18041" xr:uid="{00000000-0005-0000-0000-0000A9460000}"/>
    <cellStyle name="Comma 3 2 6 2 4 4" xfId="18045" xr:uid="{00000000-0005-0000-0000-0000AD460000}"/>
    <cellStyle name="Comma 3 2 6 2 4 5" xfId="18049" xr:uid="{00000000-0005-0000-0000-0000B1460000}"/>
    <cellStyle name="Comma 3 2 6 2 5" xfId="15632" xr:uid="{00000000-0005-0000-0000-0000403D0000}"/>
    <cellStyle name="Comma 3 2 6 2 6" xfId="15635" xr:uid="{00000000-0005-0000-0000-0000433D0000}"/>
    <cellStyle name="Comma 3 2 6 2 7" xfId="15640" xr:uid="{00000000-0005-0000-0000-0000483D0000}"/>
    <cellStyle name="Comma 3 2 6 2 8" xfId="15646" xr:uid="{00000000-0005-0000-0000-00004E3D0000}"/>
    <cellStyle name="Comma 3 2 6 2 9" xfId="23191" xr:uid="{00000000-0005-0000-0000-0000C75A0000}"/>
    <cellStyle name="Comma 3 2 6 3" xfId="973" xr:uid="{00000000-0005-0000-0000-0000FD030000}"/>
    <cellStyle name="Comma 3 2 6 3 10" xfId="4796" xr:uid="{00000000-0005-0000-0000-0000EC120000}"/>
    <cellStyle name="Comma 3 2 6 3 11" xfId="20965" xr:uid="{00000000-0005-0000-0000-000015520000}"/>
    <cellStyle name="Comma 3 2 6 3 12" xfId="21083" xr:uid="{00000000-0005-0000-0000-00008B520000}"/>
    <cellStyle name="Comma 3 2 6 3 2" xfId="10791" xr:uid="{00000000-0005-0000-0000-0000572A0000}"/>
    <cellStyle name="Comma 3 2 6 3 2 2" xfId="18370" xr:uid="{00000000-0005-0000-0000-0000F2470000}"/>
    <cellStyle name="Comma 3 2 6 3 2 2 2" xfId="18377" xr:uid="{00000000-0005-0000-0000-0000F9470000}"/>
    <cellStyle name="Comma 3 2 6 3 2 3" xfId="1495" xr:uid="{00000000-0005-0000-0000-000007060000}"/>
    <cellStyle name="Comma 3 2 6 3 2 4" xfId="14464" xr:uid="{00000000-0005-0000-0000-0000B0380000}"/>
    <cellStyle name="Comma 3 2 6 3 2 5" xfId="14469" xr:uid="{00000000-0005-0000-0000-0000B5380000}"/>
    <cellStyle name="Comma 3 2 6 3 3" xfId="10797" xr:uid="{00000000-0005-0000-0000-00005D2A0000}"/>
    <cellStyle name="Comma 3 2 6 3 3 2" xfId="18506" xr:uid="{00000000-0005-0000-0000-00007A480000}"/>
    <cellStyle name="Comma 3 2 6 3 4" xfId="5655" xr:uid="{00000000-0005-0000-0000-000047160000}"/>
    <cellStyle name="Comma 3 2 6 3 5" xfId="5666" xr:uid="{00000000-0005-0000-0000-000052160000}"/>
    <cellStyle name="Comma 3 2 6 3 6" xfId="23194" xr:uid="{00000000-0005-0000-0000-0000CA5A0000}"/>
    <cellStyle name="Comma 3 2 6 3 7" xfId="23195" xr:uid="{00000000-0005-0000-0000-0000CB5A0000}"/>
    <cellStyle name="Comma 3 2 6 3 8" xfId="23196" xr:uid="{00000000-0005-0000-0000-0000CC5A0000}"/>
    <cellStyle name="Comma 3 2 6 3 9" xfId="23197" xr:uid="{00000000-0005-0000-0000-0000CD5A0000}"/>
    <cellStyle name="Comma 3 2 6 4" xfId="8738" xr:uid="{00000000-0005-0000-0000-000052220000}"/>
    <cellStyle name="Comma 3 2 6 4 10" xfId="9260" xr:uid="{00000000-0005-0000-0000-00005C240000}"/>
    <cellStyle name="Comma 3 2 6 4 11" xfId="9270" xr:uid="{00000000-0005-0000-0000-000066240000}"/>
    <cellStyle name="Comma 3 2 6 4 2" xfId="23198" xr:uid="{00000000-0005-0000-0000-0000CE5A0000}"/>
    <cellStyle name="Comma 3 2 6 4 2 2" xfId="12664" xr:uid="{00000000-0005-0000-0000-0000A8310000}"/>
    <cellStyle name="Comma 3 2 6 4 2 2 2" xfId="18317" xr:uid="{00000000-0005-0000-0000-0000BD470000}"/>
    <cellStyle name="Comma 3 2 6 4 2 3" xfId="331" xr:uid="{00000000-0005-0000-0000-000061010000}"/>
    <cellStyle name="Comma 3 2 6 4 2 4" xfId="12673" xr:uid="{00000000-0005-0000-0000-0000B1310000}"/>
    <cellStyle name="Comma 3 2 6 4 2 5" xfId="12682" xr:uid="{00000000-0005-0000-0000-0000BA310000}"/>
    <cellStyle name="Comma 3 2 6 4 3" xfId="23199" xr:uid="{00000000-0005-0000-0000-0000CF5A0000}"/>
    <cellStyle name="Comma 3 2 6 4 3 2" xfId="12693" xr:uid="{00000000-0005-0000-0000-0000C5310000}"/>
    <cellStyle name="Comma 3 2 6 4 4" xfId="23200" xr:uid="{00000000-0005-0000-0000-0000D05A0000}"/>
    <cellStyle name="Comma 3 2 6 4 5" xfId="23201" xr:uid="{00000000-0005-0000-0000-0000D15A0000}"/>
    <cellStyle name="Comma 3 2 6 4 6" xfId="23202" xr:uid="{00000000-0005-0000-0000-0000D25A0000}"/>
    <cellStyle name="Comma 3 2 6 4 7" xfId="23203" xr:uid="{00000000-0005-0000-0000-0000D35A0000}"/>
    <cellStyle name="Comma 3 2 6 4 8" xfId="23204" xr:uid="{00000000-0005-0000-0000-0000D45A0000}"/>
    <cellStyle name="Comma 3 2 6 4 9" xfId="23205" xr:uid="{00000000-0005-0000-0000-0000D55A0000}"/>
    <cellStyle name="Comma 3 2 6 5" xfId="13519" xr:uid="{00000000-0005-0000-0000-0000FF340000}"/>
    <cellStyle name="Comma 3 2 6 5 10" xfId="20448" xr:uid="{00000000-0005-0000-0000-000010500000}"/>
    <cellStyle name="Comma 3 2 6 5 2" xfId="23206" xr:uid="{00000000-0005-0000-0000-0000D65A0000}"/>
    <cellStyle name="Comma 3 2 6 5 2 2" xfId="19154" xr:uid="{00000000-0005-0000-0000-0000024B0000}"/>
    <cellStyle name="Comma 3 2 6 5 2 2 2" xfId="4508" xr:uid="{00000000-0005-0000-0000-0000CC110000}"/>
    <cellStyle name="Comma 3 2 6 5 2 3" xfId="4100" xr:uid="{00000000-0005-0000-0000-000034100000}"/>
    <cellStyle name="Comma 3 2 6 5 2 4" xfId="19159" xr:uid="{00000000-0005-0000-0000-0000074B0000}"/>
    <cellStyle name="Comma 3 2 6 5 2 5" xfId="4531" xr:uid="{00000000-0005-0000-0000-0000E3110000}"/>
    <cellStyle name="Comma 3 2 6 5 3" xfId="23207" xr:uid="{00000000-0005-0000-0000-0000D75A0000}"/>
    <cellStyle name="Comma 3 2 6 5 3 2" xfId="19198" xr:uid="{00000000-0005-0000-0000-00002E4B0000}"/>
    <cellStyle name="Comma 3 2 6 5 4" xfId="23208" xr:uid="{00000000-0005-0000-0000-0000D85A0000}"/>
    <cellStyle name="Comma 3 2 6 5 5" xfId="23209" xr:uid="{00000000-0005-0000-0000-0000D95A0000}"/>
    <cellStyle name="Comma 3 2 6 5 6" xfId="23210" xr:uid="{00000000-0005-0000-0000-0000DA5A0000}"/>
    <cellStyle name="Comma 3 2 6 5 7" xfId="23211" xr:uid="{00000000-0005-0000-0000-0000DB5A0000}"/>
    <cellStyle name="Comma 3 2 6 5 8" xfId="23212" xr:uid="{00000000-0005-0000-0000-0000DC5A0000}"/>
    <cellStyle name="Comma 3 2 6 5 9" xfId="23213" xr:uid="{00000000-0005-0000-0000-0000DD5A0000}"/>
    <cellStyle name="Comma 3 2 6 6" xfId="13523" xr:uid="{00000000-0005-0000-0000-000003350000}"/>
    <cellStyle name="Comma 3 2 6 6 2" xfId="23214" xr:uid="{00000000-0005-0000-0000-0000DE5A0000}"/>
    <cellStyle name="Comma 3 2 6 6 2 2" xfId="19308" xr:uid="{00000000-0005-0000-0000-00009C4B0000}"/>
    <cellStyle name="Comma 3 2 6 6 3" xfId="23215" xr:uid="{00000000-0005-0000-0000-0000DF5A0000}"/>
    <cellStyle name="Comma 3 2 6 6 4" xfId="23216" xr:uid="{00000000-0005-0000-0000-0000E05A0000}"/>
    <cellStyle name="Comma 3 2 6 6 5" xfId="23217" xr:uid="{00000000-0005-0000-0000-0000E15A0000}"/>
    <cellStyle name="Comma 3 2 6 6 6" xfId="6854" xr:uid="{00000000-0005-0000-0000-0000F61A0000}"/>
    <cellStyle name="Comma 3 2 6 6 7" xfId="6861" xr:uid="{00000000-0005-0000-0000-0000FD1A0000}"/>
    <cellStyle name="Comma 3 2 6 6 8" xfId="23218" xr:uid="{00000000-0005-0000-0000-0000E25A0000}"/>
    <cellStyle name="Comma 3 2 6 6 9" xfId="23221" xr:uid="{00000000-0005-0000-0000-0000E55A0000}"/>
    <cellStyle name="Comma 3 2 6 7" xfId="23223" xr:uid="{00000000-0005-0000-0000-0000E75A0000}"/>
    <cellStyle name="Comma 3 2 6 7 2" xfId="5020" xr:uid="{00000000-0005-0000-0000-0000CC130000}"/>
    <cellStyle name="Comma 3 2 6 8" xfId="23224" xr:uid="{00000000-0005-0000-0000-0000E85A0000}"/>
    <cellStyle name="Comma 3 2 6 9" xfId="23225" xr:uid="{00000000-0005-0000-0000-0000E95A0000}"/>
    <cellStyle name="Comma 3 2 7" xfId="13526" xr:uid="{00000000-0005-0000-0000-000006350000}"/>
    <cellStyle name="Comma 3 2 7 10" xfId="23226" xr:uid="{00000000-0005-0000-0000-0000EA5A0000}"/>
    <cellStyle name="Comma 3 2 7 11" xfId="23227" xr:uid="{00000000-0005-0000-0000-0000EB5A0000}"/>
    <cellStyle name="Comma 3 2 7 12" xfId="23228" xr:uid="{00000000-0005-0000-0000-0000EC5A0000}"/>
    <cellStyle name="Comma 3 2 7 13" xfId="23229" xr:uid="{00000000-0005-0000-0000-0000ED5A0000}"/>
    <cellStyle name="Comma 3 2 7 14" xfId="23230" xr:uid="{00000000-0005-0000-0000-0000EE5A0000}"/>
    <cellStyle name="Comma 3 2 7 15" xfId="23231" xr:uid="{00000000-0005-0000-0000-0000EF5A0000}"/>
    <cellStyle name="Comma 3 2 7 16" xfId="23232" xr:uid="{00000000-0005-0000-0000-0000F05A0000}"/>
    <cellStyle name="Comma 3 2 7 17" xfId="23233" xr:uid="{00000000-0005-0000-0000-0000F15A0000}"/>
    <cellStyle name="Comma 3 2 7 18" xfId="23234" xr:uid="{00000000-0005-0000-0000-0000F25A0000}"/>
    <cellStyle name="Comma 3 2 7 2" xfId="8757" xr:uid="{00000000-0005-0000-0000-000065220000}"/>
    <cellStyle name="Comma 3 2 7 2 10" xfId="23238" xr:uid="{00000000-0005-0000-0000-0000F65A0000}"/>
    <cellStyle name="Comma 3 2 7 2 2" xfId="23244" xr:uid="{00000000-0005-0000-0000-0000FC5A0000}"/>
    <cellStyle name="Comma 3 2 7 2 2 2" xfId="19512" xr:uid="{00000000-0005-0000-0000-0000684C0000}"/>
    <cellStyle name="Comma 3 2 7 2 3" xfId="16437" xr:uid="{00000000-0005-0000-0000-000065400000}"/>
    <cellStyle name="Comma 3 2 7 2 4" xfId="16467" xr:uid="{00000000-0005-0000-0000-000083400000}"/>
    <cellStyle name="Comma 3 2 7 2 5" xfId="16489" xr:uid="{00000000-0005-0000-0000-000099400000}"/>
    <cellStyle name="Comma 3 2 7 2 6" xfId="6693" xr:uid="{00000000-0005-0000-0000-0000551A0000}"/>
    <cellStyle name="Comma 3 2 7 2 7" xfId="6703" xr:uid="{00000000-0005-0000-0000-00005F1A0000}"/>
    <cellStyle name="Comma 3 2 7 2 8" xfId="6712" xr:uid="{00000000-0005-0000-0000-0000681A0000}"/>
    <cellStyle name="Comma 3 2 7 2 9" xfId="16507" xr:uid="{00000000-0005-0000-0000-0000AB400000}"/>
    <cellStyle name="Comma 3 2 7 3" xfId="7334" xr:uid="{00000000-0005-0000-0000-0000D61C0000}"/>
    <cellStyle name="Comma 3 2 7 3 2" xfId="23251" xr:uid="{00000000-0005-0000-0000-0000035B0000}"/>
    <cellStyle name="Comma 3 2 7 3 3" xfId="16537" xr:uid="{00000000-0005-0000-0000-0000C9400000}"/>
    <cellStyle name="Comma 3 2 7 3 4" xfId="16559" xr:uid="{00000000-0005-0000-0000-0000DF400000}"/>
    <cellStyle name="Comma 3 2 7 3 5" xfId="16582" xr:uid="{00000000-0005-0000-0000-0000F6400000}"/>
    <cellStyle name="Comma 3 2 7 3 6" xfId="16593" xr:uid="{00000000-0005-0000-0000-000001410000}"/>
    <cellStyle name="Comma 3 2 7 4" xfId="8766" xr:uid="{00000000-0005-0000-0000-00006E220000}"/>
    <cellStyle name="Comma 3 2 7 4 2" xfId="23255" xr:uid="{00000000-0005-0000-0000-0000075B0000}"/>
    <cellStyle name="Comma 3 2 7 4 3" xfId="16632" xr:uid="{00000000-0005-0000-0000-000028410000}"/>
    <cellStyle name="Comma 3 2 7 4 4" xfId="16641" xr:uid="{00000000-0005-0000-0000-000031410000}"/>
    <cellStyle name="Comma 3 2 7 4 5" xfId="16646" xr:uid="{00000000-0005-0000-0000-000036410000}"/>
    <cellStyle name="Comma 3 2 7 4 6" xfId="5809" xr:uid="{00000000-0005-0000-0000-0000E1160000}"/>
    <cellStyle name="Comma 3 2 7 5" xfId="13534" xr:uid="{00000000-0005-0000-0000-00000E350000}"/>
    <cellStyle name="Comma 3 2 7 5 2" xfId="23256" xr:uid="{00000000-0005-0000-0000-0000085B0000}"/>
    <cellStyle name="Comma 3 2 7 5 3" xfId="16657" xr:uid="{00000000-0005-0000-0000-000041410000}"/>
    <cellStyle name="Comma 3 2 7 5 4" xfId="16661" xr:uid="{00000000-0005-0000-0000-000045410000}"/>
    <cellStyle name="Comma 3 2 7 5 5" xfId="16665" xr:uid="{00000000-0005-0000-0000-000049410000}"/>
    <cellStyle name="Comma 3 2 7 5 6" xfId="11893" xr:uid="{00000000-0005-0000-0000-0000A52E0000}"/>
    <cellStyle name="Comma 3 2 7 6" xfId="13539" xr:uid="{00000000-0005-0000-0000-000013350000}"/>
    <cellStyle name="Comma 3 2 7 6 2" xfId="23257" xr:uid="{00000000-0005-0000-0000-0000095B0000}"/>
    <cellStyle name="Comma 3 2 7 6 3" xfId="16675" xr:uid="{00000000-0005-0000-0000-000053410000}"/>
    <cellStyle name="Comma 3 2 7 6 4" xfId="16676" xr:uid="{00000000-0005-0000-0000-000054410000}"/>
    <cellStyle name="Comma 3 2 7 6 5" xfId="16679" xr:uid="{00000000-0005-0000-0000-000057410000}"/>
    <cellStyle name="Comma 3 2 7 6 6" xfId="16685" xr:uid="{00000000-0005-0000-0000-00005D410000}"/>
    <cellStyle name="Comma 3 2 7 7" xfId="23258" xr:uid="{00000000-0005-0000-0000-00000A5B0000}"/>
    <cellStyle name="Comma 3 2 7 8" xfId="23259" xr:uid="{00000000-0005-0000-0000-00000B5B0000}"/>
    <cellStyle name="Comma 3 2 7 9" xfId="23260" xr:uid="{00000000-0005-0000-0000-00000C5B0000}"/>
    <cellStyle name="Comma 3 2 8" xfId="13544" xr:uid="{00000000-0005-0000-0000-000018350000}"/>
    <cellStyle name="Comma 3 2 8 10" xfId="23261" xr:uid="{00000000-0005-0000-0000-00000D5B0000}"/>
    <cellStyle name="Comma 3 2 8 11" xfId="23263" xr:uid="{00000000-0005-0000-0000-00000F5B0000}"/>
    <cellStyle name="Comma 3 2 8 12" xfId="23264" xr:uid="{00000000-0005-0000-0000-0000105B0000}"/>
    <cellStyle name="Comma 3 2 8 13" xfId="23265" xr:uid="{00000000-0005-0000-0000-0000115B0000}"/>
    <cellStyle name="Comma 3 2 8 14" xfId="11922" xr:uid="{00000000-0005-0000-0000-0000C22E0000}"/>
    <cellStyle name="Comma 3 2 8 15" xfId="11928" xr:uid="{00000000-0005-0000-0000-0000C82E0000}"/>
    <cellStyle name="Comma 3 2 8 16" xfId="11934" xr:uid="{00000000-0005-0000-0000-0000CE2E0000}"/>
    <cellStyle name="Comma 3 2 8 17" xfId="4046" xr:uid="{00000000-0005-0000-0000-0000FE0F0000}"/>
    <cellStyle name="Comma 3 2 8 18" xfId="1311" xr:uid="{00000000-0005-0000-0000-00004F050000}"/>
    <cellStyle name="Comma 3 2 8 2" xfId="8781" xr:uid="{00000000-0005-0000-0000-00007D220000}"/>
    <cellStyle name="Comma 3 2 8 2 10" xfId="22337" xr:uid="{00000000-0005-0000-0000-000071570000}"/>
    <cellStyle name="Comma 3 2 8 2 2" xfId="23268" xr:uid="{00000000-0005-0000-0000-0000145B0000}"/>
    <cellStyle name="Comma 3 2 8 2 2 2" xfId="19910" xr:uid="{00000000-0005-0000-0000-0000F64D0000}"/>
    <cellStyle name="Comma 3 2 8 2 3" xfId="16930" xr:uid="{00000000-0005-0000-0000-000052420000}"/>
    <cellStyle name="Comma 3 2 8 2 4" xfId="16956" xr:uid="{00000000-0005-0000-0000-00006C420000}"/>
    <cellStyle name="Comma 3 2 8 2 5" xfId="16960" xr:uid="{00000000-0005-0000-0000-000070420000}"/>
    <cellStyle name="Comma 3 2 8 2 6" xfId="16973" xr:uid="{00000000-0005-0000-0000-00007D420000}"/>
    <cellStyle name="Comma 3 2 8 2 7" xfId="16980" xr:uid="{00000000-0005-0000-0000-000084420000}"/>
    <cellStyle name="Comma 3 2 8 2 8" xfId="16985" xr:uid="{00000000-0005-0000-0000-000089420000}"/>
    <cellStyle name="Comma 3 2 8 2 9" xfId="16991" xr:uid="{00000000-0005-0000-0000-00008F420000}"/>
    <cellStyle name="Comma 3 2 8 3" xfId="7346" xr:uid="{00000000-0005-0000-0000-0000E21C0000}"/>
    <cellStyle name="Comma 3 2 8 3 2" xfId="23270" xr:uid="{00000000-0005-0000-0000-0000165B0000}"/>
    <cellStyle name="Comma 3 2 8 3 3" xfId="17003" xr:uid="{00000000-0005-0000-0000-00009B420000}"/>
    <cellStyle name="Comma 3 2 8 3 4" xfId="17045" xr:uid="{00000000-0005-0000-0000-0000C5420000}"/>
    <cellStyle name="Comma 3 2 8 3 5" xfId="17068" xr:uid="{00000000-0005-0000-0000-0000DC420000}"/>
    <cellStyle name="Comma 3 2 8 3 6" xfId="17073" xr:uid="{00000000-0005-0000-0000-0000E1420000}"/>
    <cellStyle name="Comma 3 2 8 4" xfId="8796" xr:uid="{00000000-0005-0000-0000-00008C220000}"/>
    <cellStyle name="Comma 3 2 8 4 2" xfId="23271" xr:uid="{00000000-0005-0000-0000-0000175B0000}"/>
    <cellStyle name="Comma 3 2 8 4 3" xfId="17090" xr:uid="{00000000-0005-0000-0000-0000F2420000}"/>
    <cellStyle name="Comma 3 2 8 4 4" xfId="17098" xr:uid="{00000000-0005-0000-0000-0000FA420000}"/>
    <cellStyle name="Comma 3 2 8 4 5" xfId="17102" xr:uid="{00000000-0005-0000-0000-0000FE420000}"/>
    <cellStyle name="Comma 3 2 8 4 6" xfId="17109" xr:uid="{00000000-0005-0000-0000-000005430000}"/>
    <cellStyle name="Comma 3 2 8 5" xfId="13550" xr:uid="{00000000-0005-0000-0000-00001E350000}"/>
    <cellStyle name="Comma 3 2 8 5 2" xfId="15699" xr:uid="{00000000-0005-0000-0000-0000833D0000}"/>
    <cellStyle name="Comma 3 2 8 5 3" xfId="15704" xr:uid="{00000000-0005-0000-0000-0000883D0000}"/>
    <cellStyle name="Comma 3 2 8 5 4" xfId="15710" xr:uid="{00000000-0005-0000-0000-00008E3D0000}"/>
    <cellStyle name="Comma 3 2 8 5 5" xfId="15716" xr:uid="{00000000-0005-0000-0000-0000943D0000}"/>
    <cellStyle name="Comma 3 2 8 5 6" xfId="15725" xr:uid="{00000000-0005-0000-0000-00009D3D0000}"/>
    <cellStyle name="Comma 3 2 8 6" xfId="13561" xr:uid="{00000000-0005-0000-0000-000029350000}"/>
    <cellStyle name="Comma 3 2 8 6 2" xfId="7885" xr:uid="{00000000-0005-0000-0000-0000FD1E0000}"/>
    <cellStyle name="Comma 3 2 8 6 3" xfId="7889" xr:uid="{00000000-0005-0000-0000-0000011F0000}"/>
    <cellStyle name="Comma 3 2 8 6 4" xfId="5968" xr:uid="{00000000-0005-0000-0000-000080170000}"/>
    <cellStyle name="Comma 3 2 8 6 5" xfId="7895" xr:uid="{00000000-0005-0000-0000-0000071F0000}"/>
    <cellStyle name="Comma 3 2 8 6 6" xfId="2116" xr:uid="{00000000-0005-0000-0000-000074080000}"/>
    <cellStyle name="Comma 3 2 8 7" xfId="23276" xr:uid="{00000000-0005-0000-0000-00001C5B0000}"/>
    <cellStyle name="Comma 3 2 8 8" xfId="23281" xr:uid="{00000000-0005-0000-0000-0000215B0000}"/>
    <cellStyle name="Comma 3 2 8 9" xfId="23288" xr:uid="{00000000-0005-0000-0000-0000285B0000}"/>
    <cellStyle name="Comma 3 2 9" xfId="13566" xr:uid="{00000000-0005-0000-0000-00002E350000}"/>
    <cellStyle name="Comma 3 2 9 10" xfId="19816" xr:uid="{00000000-0005-0000-0000-0000984D0000}"/>
    <cellStyle name="Comma 3 2 9 11" xfId="19819" xr:uid="{00000000-0005-0000-0000-00009B4D0000}"/>
    <cellStyle name="Comma 3 2 9 12" xfId="23290" xr:uid="{00000000-0005-0000-0000-00002A5B0000}"/>
    <cellStyle name="Comma 3 2 9 13" xfId="23294" xr:uid="{00000000-0005-0000-0000-00002E5B0000}"/>
    <cellStyle name="Comma 3 2 9 14" xfId="23298" xr:uid="{00000000-0005-0000-0000-0000325B0000}"/>
    <cellStyle name="Comma 3 2 9 15" xfId="23301" xr:uid="{00000000-0005-0000-0000-0000355B0000}"/>
    <cellStyle name="Comma 3 2 9 2" xfId="23305" xr:uid="{00000000-0005-0000-0000-0000395B0000}"/>
    <cellStyle name="Comma 3 2 9 2 2" xfId="23306" xr:uid="{00000000-0005-0000-0000-00003A5B0000}"/>
    <cellStyle name="Comma 3 2 9 2 2 2" xfId="20372" xr:uid="{00000000-0005-0000-0000-0000C44F0000}"/>
    <cellStyle name="Comma 3 2 9 2 3" xfId="17311" xr:uid="{00000000-0005-0000-0000-0000CF430000}"/>
    <cellStyle name="Comma 3 2 9 2 4" xfId="17315" xr:uid="{00000000-0005-0000-0000-0000D3430000}"/>
    <cellStyle name="Comma 3 2 9 2 5" xfId="17325" xr:uid="{00000000-0005-0000-0000-0000DD430000}"/>
    <cellStyle name="Comma 3 2 9 2 6" xfId="3349" xr:uid="{00000000-0005-0000-0000-0000450D0000}"/>
    <cellStyle name="Comma 3 2 9 2 7" xfId="17329" xr:uid="{00000000-0005-0000-0000-0000E1430000}"/>
    <cellStyle name="Comma 3 2 9 2 8" xfId="17333" xr:uid="{00000000-0005-0000-0000-0000E5430000}"/>
    <cellStyle name="Comma 3 2 9 2 9" xfId="17337" xr:uid="{00000000-0005-0000-0000-0000E9430000}"/>
    <cellStyle name="Comma 3 2 9 3" xfId="23307" xr:uid="{00000000-0005-0000-0000-00003B5B0000}"/>
    <cellStyle name="Comma 3 2 9 3 2" xfId="23309" xr:uid="{00000000-0005-0000-0000-00003D5B0000}"/>
    <cellStyle name="Comma 3 2 9 3 3" xfId="17351" xr:uid="{00000000-0005-0000-0000-0000F7430000}"/>
    <cellStyle name="Comma 3 2 9 3 4" xfId="17362" xr:uid="{00000000-0005-0000-0000-000002440000}"/>
    <cellStyle name="Comma 3 2 9 3 5" xfId="17372" xr:uid="{00000000-0005-0000-0000-00000C440000}"/>
    <cellStyle name="Comma 3 2 9 3 6" xfId="3363" xr:uid="{00000000-0005-0000-0000-0000530D0000}"/>
    <cellStyle name="Comma 3 2 9 4" xfId="23310" xr:uid="{00000000-0005-0000-0000-00003E5B0000}"/>
    <cellStyle name="Comma 3 2 9 4 2" xfId="577" xr:uid="{00000000-0005-0000-0000-000069020000}"/>
    <cellStyle name="Comma 3 2 9 5" xfId="23311" xr:uid="{00000000-0005-0000-0000-00003F5B0000}"/>
    <cellStyle name="Comma 3 2 9 6" xfId="19780" xr:uid="{00000000-0005-0000-0000-0000744D0000}"/>
    <cellStyle name="Comma 3 2 9 7" xfId="19787" xr:uid="{00000000-0005-0000-0000-00007B4D0000}"/>
    <cellStyle name="Comma 3 2 9 8" xfId="19794" xr:uid="{00000000-0005-0000-0000-0000824D0000}"/>
    <cellStyle name="Comma 3 2 9 9" xfId="19237" xr:uid="{00000000-0005-0000-0000-0000554B0000}"/>
    <cellStyle name="Comma 3 20" xfId="21316" xr:uid="{00000000-0005-0000-0000-000074530000}"/>
    <cellStyle name="Comma 3 21" xfId="21319" xr:uid="{00000000-0005-0000-0000-000077530000}"/>
    <cellStyle name="Comma 3 22" xfId="21323" xr:uid="{00000000-0005-0000-0000-00007B530000}"/>
    <cellStyle name="Comma 3 23" xfId="21331" xr:uid="{00000000-0005-0000-0000-000083530000}"/>
    <cellStyle name="Comma 3 24" xfId="21342" xr:uid="{00000000-0005-0000-0000-00008E530000}"/>
    <cellStyle name="Comma 3 25" xfId="23314" xr:uid="{00000000-0005-0000-0000-0000425B0000}"/>
    <cellStyle name="Comma 3 26" xfId="23319" xr:uid="{00000000-0005-0000-0000-0000475B0000}"/>
    <cellStyle name="Comma 3 27" xfId="20839" xr:uid="{00000000-0005-0000-0000-000097510000}"/>
    <cellStyle name="Comma 3 28" xfId="20843" xr:uid="{00000000-0005-0000-0000-00009B510000}"/>
    <cellStyle name="Comma 3 29" xfId="20851" xr:uid="{00000000-0005-0000-0000-0000A3510000}"/>
    <cellStyle name="Comma 3 3" xfId="2881" xr:uid="{00000000-0005-0000-0000-0000710B0000}"/>
    <cellStyle name="Comma 3 3 10" xfId="23320" xr:uid="{00000000-0005-0000-0000-0000485B0000}"/>
    <cellStyle name="Comma 3 3 10 10" xfId="23324" xr:uid="{00000000-0005-0000-0000-00004C5B0000}"/>
    <cellStyle name="Comma 3 3 10 11" xfId="23329" xr:uid="{00000000-0005-0000-0000-0000515B0000}"/>
    <cellStyle name="Comma 3 3 10 12" xfId="23334" xr:uid="{00000000-0005-0000-0000-0000565B0000}"/>
    <cellStyle name="Comma 3 3 10 13" xfId="23339" xr:uid="{00000000-0005-0000-0000-00005B5B0000}"/>
    <cellStyle name="Comma 3 3 10 14" xfId="23343" xr:uid="{00000000-0005-0000-0000-00005F5B0000}"/>
    <cellStyle name="Comma 3 3 10 2" xfId="11751" xr:uid="{00000000-0005-0000-0000-0000172E0000}"/>
    <cellStyle name="Comma 3 3 10 2 2" xfId="23346" xr:uid="{00000000-0005-0000-0000-0000625B0000}"/>
    <cellStyle name="Comma 3 3 10 2 2 2" xfId="23350" xr:uid="{00000000-0005-0000-0000-0000665B0000}"/>
    <cellStyle name="Comma 3 3 10 2 3" xfId="23353" xr:uid="{00000000-0005-0000-0000-0000695B0000}"/>
    <cellStyle name="Comma 3 3 10 2 4" xfId="8747" xr:uid="{00000000-0005-0000-0000-00005B220000}"/>
    <cellStyle name="Comma 3 3 10 2 5" xfId="8754" xr:uid="{00000000-0005-0000-0000-000062220000}"/>
    <cellStyle name="Comma 3 3 10 2 6" xfId="7331" xr:uid="{00000000-0005-0000-0000-0000D31C0000}"/>
    <cellStyle name="Comma 3 3 10 2 7" xfId="8763" xr:uid="{00000000-0005-0000-0000-00006B220000}"/>
    <cellStyle name="Comma 3 3 10 2 8" xfId="13532" xr:uid="{00000000-0005-0000-0000-00000C350000}"/>
    <cellStyle name="Comma 3 3 10 2 9" xfId="23356" xr:uid="{00000000-0005-0000-0000-00006C5B0000}"/>
    <cellStyle name="Comma 3 3 10 3" xfId="23358" xr:uid="{00000000-0005-0000-0000-00006E5B0000}"/>
    <cellStyle name="Comma 3 3 10 3 2" xfId="23361" xr:uid="{00000000-0005-0000-0000-0000715B0000}"/>
    <cellStyle name="Comma 3 3 10 3 3" xfId="23364" xr:uid="{00000000-0005-0000-0000-0000745B0000}"/>
    <cellStyle name="Comma 3 3 10 3 4" xfId="8779" xr:uid="{00000000-0005-0000-0000-00007B220000}"/>
    <cellStyle name="Comma 3 3 10 3 5" xfId="8788" xr:uid="{00000000-0005-0000-0000-000084220000}"/>
    <cellStyle name="Comma 3 3 10 3 6" xfId="7354" xr:uid="{00000000-0005-0000-0000-0000EA1C0000}"/>
    <cellStyle name="Comma 3 3 10 4" xfId="23365" xr:uid="{00000000-0005-0000-0000-0000755B0000}"/>
    <cellStyle name="Comma 3 3 10 4 2" xfId="8655" xr:uid="{00000000-0005-0000-0000-0000FF210000}"/>
    <cellStyle name="Comma 3 3 10 5" xfId="22579" xr:uid="{00000000-0005-0000-0000-000063580000}"/>
    <cellStyle name="Comma 3 3 10 6" xfId="23366" xr:uid="{00000000-0005-0000-0000-0000765B0000}"/>
    <cellStyle name="Comma 3 3 10 7" xfId="23368" xr:uid="{00000000-0005-0000-0000-0000785B0000}"/>
    <cellStyle name="Comma 3 3 10 8" xfId="23371" xr:uid="{00000000-0005-0000-0000-00007B5B0000}"/>
    <cellStyle name="Comma 3 3 10 9" xfId="23372" xr:uid="{00000000-0005-0000-0000-00007C5B0000}"/>
    <cellStyle name="Comma 3 3 11" xfId="23373" xr:uid="{00000000-0005-0000-0000-00007D5B0000}"/>
    <cellStyle name="Comma 3 3 11 10" xfId="23375" xr:uid="{00000000-0005-0000-0000-00007F5B0000}"/>
    <cellStyle name="Comma 3 3 11 2" xfId="23378" xr:uid="{00000000-0005-0000-0000-0000825B0000}"/>
    <cellStyle name="Comma 3 3 11 2 2" xfId="23381" xr:uid="{00000000-0005-0000-0000-0000855B0000}"/>
    <cellStyle name="Comma 3 3 11 2 2 2" xfId="23385" xr:uid="{00000000-0005-0000-0000-0000895B0000}"/>
    <cellStyle name="Comma 3 3 11 2 3" xfId="23390" xr:uid="{00000000-0005-0000-0000-00008E5B0000}"/>
    <cellStyle name="Comma 3 3 11 2 4" xfId="14257" xr:uid="{00000000-0005-0000-0000-0000E1370000}"/>
    <cellStyle name="Comma 3 3 11 2 5" xfId="14262" xr:uid="{00000000-0005-0000-0000-0000E6370000}"/>
    <cellStyle name="Comma 3 3 11 3" xfId="23392" xr:uid="{00000000-0005-0000-0000-0000905B0000}"/>
    <cellStyle name="Comma 3 3 11 3 2" xfId="23395" xr:uid="{00000000-0005-0000-0000-0000935B0000}"/>
    <cellStyle name="Comma 3 3 11 4" xfId="23396" xr:uid="{00000000-0005-0000-0000-0000945B0000}"/>
    <cellStyle name="Comma 3 3 11 5" xfId="1707" xr:uid="{00000000-0005-0000-0000-0000DB060000}"/>
    <cellStyle name="Comma 3 3 11 6" xfId="1709" xr:uid="{00000000-0005-0000-0000-0000DD060000}"/>
    <cellStyle name="Comma 3 3 11 7" xfId="23397" xr:uid="{00000000-0005-0000-0000-0000955B0000}"/>
    <cellStyle name="Comma 3 3 11 8" xfId="23398" xr:uid="{00000000-0005-0000-0000-0000965B0000}"/>
    <cellStyle name="Comma 3 3 11 9" xfId="23399" xr:uid="{00000000-0005-0000-0000-0000975B0000}"/>
    <cellStyle name="Comma 3 3 12" xfId="23400" xr:uid="{00000000-0005-0000-0000-0000985B0000}"/>
    <cellStyle name="Comma 3 3 12 2" xfId="23401" xr:uid="{00000000-0005-0000-0000-0000995B0000}"/>
    <cellStyle name="Comma 3 3 12 2 2" xfId="23404" xr:uid="{00000000-0005-0000-0000-00009C5B0000}"/>
    <cellStyle name="Comma 3 3 12 3" xfId="23405" xr:uid="{00000000-0005-0000-0000-00009D5B0000}"/>
    <cellStyle name="Comma 3 3 12 4" xfId="15296" xr:uid="{00000000-0005-0000-0000-0000F03B0000}"/>
    <cellStyle name="Comma 3 3 12 5" xfId="1742" xr:uid="{00000000-0005-0000-0000-0000FE060000}"/>
    <cellStyle name="Comma 3 3 12 6" xfId="15298" xr:uid="{00000000-0005-0000-0000-0000F23B0000}"/>
    <cellStyle name="Comma 3 3 12 7" xfId="15299" xr:uid="{00000000-0005-0000-0000-0000F33B0000}"/>
    <cellStyle name="Comma 3 3 12 8" xfId="23406" xr:uid="{00000000-0005-0000-0000-00009E5B0000}"/>
    <cellStyle name="Comma 3 3 12 9" xfId="23408" xr:uid="{00000000-0005-0000-0000-0000A05B0000}"/>
    <cellStyle name="Comma 3 3 13" xfId="23409" xr:uid="{00000000-0005-0000-0000-0000A15B0000}"/>
    <cellStyle name="Comma 3 3 13 2" xfId="23410" xr:uid="{00000000-0005-0000-0000-0000A25B0000}"/>
    <cellStyle name="Comma 3 3 13 3" xfId="23411" xr:uid="{00000000-0005-0000-0000-0000A35B0000}"/>
    <cellStyle name="Comma 3 3 13 4" xfId="15307" xr:uid="{00000000-0005-0000-0000-0000FB3B0000}"/>
    <cellStyle name="Comma 3 3 13 5" xfId="1766" xr:uid="{00000000-0005-0000-0000-000016070000}"/>
    <cellStyle name="Comma 3 3 13 6" xfId="22007" xr:uid="{00000000-0005-0000-0000-000027560000}"/>
    <cellStyle name="Comma 3 3 14" xfId="23413" xr:uid="{00000000-0005-0000-0000-0000A55B0000}"/>
    <cellStyle name="Comma 3 3 14 2" xfId="23414" xr:uid="{00000000-0005-0000-0000-0000A65B0000}"/>
    <cellStyle name="Comma 3 3 14 3" xfId="23416" xr:uid="{00000000-0005-0000-0000-0000A85B0000}"/>
    <cellStyle name="Comma 3 3 14 4" xfId="22045" xr:uid="{00000000-0005-0000-0000-00004D560000}"/>
    <cellStyle name="Comma 3 3 14 5" xfId="22063" xr:uid="{00000000-0005-0000-0000-00005F560000}"/>
    <cellStyle name="Comma 3 3 14 6" xfId="22073" xr:uid="{00000000-0005-0000-0000-000069560000}"/>
    <cellStyle name="Comma 3 3 15" xfId="23418" xr:uid="{00000000-0005-0000-0000-0000AA5B0000}"/>
    <cellStyle name="Comma 3 3 15 2" xfId="23422" xr:uid="{00000000-0005-0000-0000-0000AE5B0000}"/>
    <cellStyle name="Comma 3 3 15 3" xfId="23425" xr:uid="{00000000-0005-0000-0000-0000B15B0000}"/>
    <cellStyle name="Comma 3 3 15 4" xfId="22090" xr:uid="{00000000-0005-0000-0000-00007A560000}"/>
    <cellStyle name="Comma 3 3 15 5" xfId="22102" xr:uid="{00000000-0005-0000-0000-000086560000}"/>
    <cellStyle name="Comma 3 3 15 6" xfId="22123" xr:uid="{00000000-0005-0000-0000-00009B560000}"/>
    <cellStyle name="Comma 3 3 16" xfId="23427" xr:uid="{00000000-0005-0000-0000-0000B35B0000}"/>
    <cellStyle name="Comma 3 3 17" xfId="23429" xr:uid="{00000000-0005-0000-0000-0000B55B0000}"/>
    <cellStyle name="Comma 3 3 18" xfId="23431" xr:uid="{00000000-0005-0000-0000-0000B75B0000}"/>
    <cellStyle name="Comma 3 3 19" xfId="23433" xr:uid="{00000000-0005-0000-0000-0000B95B0000}"/>
    <cellStyle name="Comma 3 3 2" xfId="595" xr:uid="{00000000-0005-0000-0000-00007C020000}"/>
    <cellStyle name="Comma 3 3 2 10" xfId="15284" xr:uid="{00000000-0005-0000-0000-0000E43B0000}"/>
    <cellStyle name="Comma 3 3 2 10 2" xfId="15291" xr:uid="{00000000-0005-0000-0000-0000EB3B0000}"/>
    <cellStyle name="Comma 3 3 2 10 2 2" xfId="15294" xr:uid="{00000000-0005-0000-0000-0000EE3B0000}"/>
    <cellStyle name="Comma 3 3 2 10 3" xfId="15302" xr:uid="{00000000-0005-0000-0000-0000F63B0000}"/>
    <cellStyle name="Comma 3 3 2 10 4" xfId="15308" xr:uid="{00000000-0005-0000-0000-0000FC3B0000}"/>
    <cellStyle name="Comma 3 3 2 10 5" xfId="15311" xr:uid="{00000000-0005-0000-0000-0000FF3B0000}"/>
    <cellStyle name="Comma 3 3 2 10 6" xfId="15315" xr:uid="{00000000-0005-0000-0000-0000033C0000}"/>
    <cellStyle name="Comma 3 3 2 10 7" xfId="15320" xr:uid="{00000000-0005-0000-0000-0000083C0000}"/>
    <cellStyle name="Comma 3 3 2 10 8" xfId="15324" xr:uid="{00000000-0005-0000-0000-00000C3C0000}"/>
    <cellStyle name="Comma 3 3 2 10 9" xfId="15329" xr:uid="{00000000-0005-0000-0000-0000113C0000}"/>
    <cellStyle name="Comma 3 3 2 11" xfId="15334" xr:uid="{00000000-0005-0000-0000-0000163C0000}"/>
    <cellStyle name="Comma 3 3 2 11 2" xfId="15342" xr:uid="{00000000-0005-0000-0000-00001E3C0000}"/>
    <cellStyle name="Comma 3 3 2 11 3" xfId="15346" xr:uid="{00000000-0005-0000-0000-0000223C0000}"/>
    <cellStyle name="Comma 3 3 2 11 4" xfId="4475" xr:uid="{00000000-0005-0000-0000-0000AB110000}"/>
    <cellStyle name="Comma 3 3 2 11 5" xfId="15349" xr:uid="{00000000-0005-0000-0000-0000253C0000}"/>
    <cellStyle name="Comma 3 3 2 11 6" xfId="15353" xr:uid="{00000000-0005-0000-0000-0000293C0000}"/>
    <cellStyle name="Comma 3 3 2 12" xfId="3495" xr:uid="{00000000-0005-0000-0000-0000D70D0000}"/>
    <cellStyle name="Comma 3 3 2 12 2" xfId="4104" xr:uid="{00000000-0005-0000-0000-000038100000}"/>
    <cellStyle name="Comma 3 3 2 12 3" xfId="15369" xr:uid="{00000000-0005-0000-0000-0000393C0000}"/>
    <cellStyle name="Comma 3 3 2 12 4" xfId="15375" xr:uid="{00000000-0005-0000-0000-00003F3C0000}"/>
    <cellStyle name="Comma 3 3 2 12 5" xfId="15378" xr:uid="{00000000-0005-0000-0000-0000423C0000}"/>
    <cellStyle name="Comma 3 3 2 12 6" xfId="15382" xr:uid="{00000000-0005-0000-0000-0000463C0000}"/>
    <cellStyle name="Comma 3 3 2 13" xfId="15385" xr:uid="{00000000-0005-0000-0000-0000493C0000}"/>
    <cellStyle name="Comma 3 3 2 13 2" xfId="15389" xr:uid="{00000000-0005-0000-0000-00004D3C0000}"/>
    <cellStyle name="Comma 3 3 2 13 3" xfId="15396" xr:uid="{00000000-0005-0000-0000-0000543C0000}"/>
    <cellStyle name="Comma 3 3 2 13 4" xfId="7533" xr:uid="{00000000-0005-0000-0000-00009D1D0000}"/>
    <cellStyle name="Comma 3 3 2 13 5" xfId="15401" xr:uid="{00000000-0005-0000-0000-0000593C0000}"/>
    <cellStyle name="Comma 3 3 2 13 6" xfId="15405" xr:uid="{00000000-0005-0000-0000-00005D3C0000}"/>
    <cellStyle name="Comma 3 3 2 14" xfId="15415" xr:uid="{00000000-0005-0000-0000-0000673C0000}"/>
    <cellStyle name="Comma 3 3 2 14 2" xfId="15420" xr:uid="{00000000-0005-0000-0000-00006C3C0000}"/>
    <cellStyle name="Comma 3 3 2 14 3" xfId="22651" xr:uid="{00000000-0005-0000-0000-0000AB580000}"/>
    <cellStyle name="Comma 3 3 2 14 4" xfId="22670" xr:uid="{00000000-0005-0000-0000-0000BE580000}"/>
    <cellStyle name="Comma 3 3 2 14 5" xfId="22675" xr:uid="{00000000-0005-0000-0000-0000C3580000}"/>
    <cellStyle name="Comma 3 3 2 14 6" xfId="22682" xr:uid="{00000000-0005-0000-0000-0000CA580000}"/>
    <cellStyle name="Comma 3 3 2 15" xfId="15423" xr:uid="{00000000-0005-0000-0000-00006F3C0000}"/>
    <cellStyle name="Comma 3 3 2 16" xfId="15432" xr:uid="{00000000-0005-0000-0000-0000783C0000}"/>
    <cellStyle name="Comma 3 3 2 17" xfId="20755" xr:uid="{00000000-0005-0000-0000-000043510000}"/>
    <cellStyle name="Comma 3 3 2 18" xfId="22977" xr:uid="{00000000-0005-0000-0000-0000F1590000}"/>
    <cellStyle name="Comma 3 3 2 19" xfId="23435" xr:uid="{00000000-0005-0000-0000-0000BB5B0000}"/>
    <cellStyle name="Comma 3 3 2 2" xfId="23436" xr:uid="{00000000-0005-0000-0000-0000BC5B0000}"/>
    <cellStyle name="Comma 3 3 2 2 10" xfId="23440" xr:uid="{00000000-0005-0000-0000-0000C05B0000}"/>
    <cellStyle name="Comma 3 3 2 2 10 2" xfId="23445" xr:uid="{00000000-0005-0000-0000-0000C55B0000}"/>
    <cellStyle name="Comma 3 3 2 2 10 3" xfId="20913" xr:uid="{00000000-0005-0000-0000-0000E1510000}"/>
    <cellStyle name="Comma 3 3 2 2 10 4" xfId="20920" xr:uid="{00000000-0005-0000-0000-0000E8510000}"/>
    <cellStyle name="Comma 3 3 2 2 10 5" xfId="20928" xr:uid="{00000000-0005-0000-0000-0000F0510000}"/>
    <cellStyle name="Comma 3 3 2 2 10 6" xfId="20933" xr:uid="{00000000-0005-0000-0000-0000F5510000}"/>
    <cellStyle name="Comma 3 3 2 2 11" xfId="23448" xr:uid="{00000000-0005-0000-0000-0000C85B0000}"/>
    <cellStyle name="Comma 3 3 2 2 11 2" xfId="23453" xr:uid="{00000000-0005-0000-0000-0000CD5B0000}"/>
    <cellStyle name="Comma 3 3 2 2 11 3" xfId="20944" xr:uid="{00000000-0005-0000-0000-000000520000}"/>
    <cellStyle name="Comma 3 3 2 2 11 4" xfId="23457" xr:uid="{00000000-0005-0000-0000-0000D15B0000}"/>
    <cellStyle name="Comma 3 3 2 2 11 5" xfId="23461" xr:uid="{00000000-0005-0000-0000-0000D55B0000}"/>
    <cellStyle name="Comma 3 3 2 2 11 6" xfId="23466" xr:uid="{00000000-0005-0000-0000-0000DA5B0000}"/>
    <cellStyle name="Comma 3 3 2 2 12" xfId="23468" xr:uid="{00000000-0005-0000-0000-0000DC5B0000}"/>
    <cellStyle name="Comma 3 3 2 2 13" xfId="23470" xr:uid="{00000000-0005-0000-0000-0000DE5B0000}"/>
    <cellStyle name="Comma 3 3 2 2 14" xfId="23473" xr:uid="{00000000-0005-0000-0000-0000E15B0000}"/>
    <cellStyle name="Comma 3 3 2 2 15" xfId="23477" xr:uid="{00000000-0005-0000-0000-0000E55B0000}"/>
    <cellStyle name="Comma 3 3 2 2 16" xfId="23482" xr:uid="{00000000-0005-0000-0000-0000EA5B0000}"/>
    <cellStyle name="Comma 3 3 2 2 17" xfId="23487" xr:uid="{00000000-0005-0000-0000-0000EF5B0000}"/>
    <cellStyle name="Comma 3 3 2 2 18" xfId="23492" xr:uid="{00000000-0005-0000-0000-0000F45B0000}"/>
    <cellStyle name="Comma 3 3 2 2 19" xfId="23494" xr:uid="{00000000-0005-0000-0000-0000F65B0000}"/>
    <cellStyle name="Comma 3 3 2 2 2" xfId="15745" xr:uid="{00000000-0005-0000-0000-0000B13D0000}"/>
    <cellStyle name="Comma 3 3 2 2 2 10" xfId="16390" xr:uid="{00000000-0005-0000-0000-000036400000}"/>
    <cellStyle name="Comma 3 3 2 2 2 11" xfId="943" xr:uid="{00000000-0005-0000-0000-0000DF030000}"/>
    <cellStyle name="Comma 3 3 2 2 2 12" xfId="3609" xr:uid="{00000000-0005-0000-0000-0000490E0000}"/>
    <cellStyle name="Comma 3 3 2 2 2 13" xfId="3661" xr:uid="{00000000-0005-0000-0000-00007D0E0000}"/>
    <cellStyle name="Comma 3 3 2 2 2 14" xfId="3322" xr:uid="{00000000-0005-0000-0000-00002A0D0000}"/>
    <cellStyle name="Comma 3 3 2 2 2 15" xfId="23495" xr:uid="{00000000-0005-0000-0000-0000F75B0000}"/>
    <cellStyle name="Comma 3 3 2 2 2 16" xfId="23496" xr:uid="{00000000-0005-0000-0000-0000F85B0000}"/>
    <cellStyle name="Comma 3 3 2 2 2 17" xfId="23498" xr:uid="{00000000-0005-0000-0000-0000FA5B0000}"/>
    <cellStyle name="Comma 3 3 2 2 2 18" xfId="23500" xr:uid="{00000000-0005-0000-0000-0000FC5B0000}"/>
    <cellStyle name="Comma 3 3 2 2 2 2" xfId="23502" xr:uid="{00000000-0005-0000-0000-0000FE5B0000}"/>
    <cellStyle name="Comma 3 3 2 2 2 2 10" xfId="23510" xr:uid="{00000000-0005-0000-0000-0000065C0000}"/>
    <cellStyle name="Comma 3 3 2 2 2 2 11" xfId="23516" xr:uid="{00000000-0005-0000-0000-00000C5C0000}"/>
    <cellStyle name="Comma 3 3 2 2 2 2 12" xfId="23519" xr:uid="{00000000-0005-0000-0000-00000F5C0000}"/>
    <cellStyle name="Comma 3 3 2 2 2 2 2" xfId="23521" xr:uid="{00000000-0005-0000-0000-0000115C0000}"/>
    <cellStyle name="Comma 3 3 2 2 2 2 2 2" xfId="4237" xr:uid="{00000000-0005-0000-0000-0000BD100000}"/>
    <cellStyle name="Comma 3 3 2 2 2 2 2 2 2" xfId="4250" xr:uid="{00000000-0005-0000-0000-0000CA100000}"/>
    <cellStyle name="Comma 3 3 2 2 2 2 2 3" xfId="2459" xr:uid="{00000000-0005-0000-0000-0000CB090000}"/>
    <cellStyle name="Comma 3 3 2 2 2 2 2 4" xfId="354" xr:uid="{00000000-0005-0000-0000-00007A010000}"/>
    <cellStyle name="Comma 3 3 2 2 2 2 2 5" xfId="2085" xr:uid="{00000000-0005-0000-0000-000055080000}"/>
    <cellStyle name="Comma 3 3 2 2 2 2 3" xfId="23524" xr:uid="{00000000-0005-0000-0000-0000145C0000}"/>
    <cellStyle name="Comma 3 3 2 2 2 2 3 2" xfId="4593" xr:uid="{00000000-0005-0000-0000-000021120000}"/>
    <cellStyle name="Comma 3 3 2 2 2 2 4" xfId="23528" xr:uid="{00000000-0005-0000-0000-0000185C0000}"/>
    <cellStyle name="Comma 3 3 2 2 2 2 5" xfId="23530" xr:uid="{00000000-0005-0000-0000-00001A5C0000}"/>
    <cellStyle name="Comma 3 3 2 2 2 2 6" xfId="23531" xr:uid="{00000000-0005-0000-0000-00001B5C0000}"/>
    <cellStyle name="Comma 3 3 2 2 2 2 7" xfId="7250" xr:uid="{00000000-0005-0000-0000-0000821C0000}"/>
    <cellStyle name="Comma 3 3 2 2 2 2 8" xfId="23534" xr:uid="{00000000-0005-0000-0000-00001E5C0000}"/>
    <cellStyle name="Comma 3 3 2 2 2 2 9" xfId="23537" xr:uid="{00000000-0005-0000-0000-0000215C0000}"/>
    <cellStyle name="Comma 3 3 2 2 2 3" xfId="23541" xr:uid="{00000000-0005-0000-0000-0000255C0000}"/>
    <cellStyle name="Comma 3 3 2 2 2 3 10" xfId="23546" xr:uid="{00000000-0005-0000-0000-00002A5C0000}"/>
    <cellStyle name="Comma 3 3 2 2 2 3 11" xfId="23549" xr:uid="{00000000-0005-0000-0000-00002D5C0000}"/>
    <cellStyle name="Comma 3 3 2 2 2 3 12" xfId="23552" xr:uid="{00000000-0005-0000-0000-0000305C0000}"/>
    <cellStyle name="Comma 3 3 2 2 2 3 2" xfId="23553" xr:uid="{00000000-0005-0000-0000-0000315C0000}"/>
    <cellStyle name="Comma 3 3 2 2 2 3 2 2" xfId="13410" xr:uid="{00000000-0005-0000-0000-000092340000}"/>
    <cellStyle name="Comma 3 3 2 2 2 3 2 2 2" xfId="23554" xr:uid="{00000000-0005-0000-0000-0000325C0000}"/>
    <cellStyle name="Comma 3 3 2 2 2 3 2 3" xfId="5318" xr:uid="{00000000-0005-0000-0000-0000F6140000}"/>
    <cellStyle name="Comma 3 3 2 2 2 3 2 4" xfId="2698" xr:uid="{00000000-0005-0000-0000-0000BA0A0000}"/>
    <cellStyle name="Comma 3 3 2 2 2 3 2 5" xfId="2834" xr:uid="{00000000-0005-0000-0000-0000420B0000}"/>
    <cellStyle name="Comma 3 3 2 2 2 3 3" xfId="23555" xr:uid="{00000000-0005-0000-0000-0000335C0000}"/>
    <cellStyle name="Comma 3 3 2 2 2 3 3 2" xfId="16125" xr:uid="{00000000-0005-0000-0000-00002D3F0000}"/>
    <cellStyle name="Comma 3 3 2 2 2 3 4" xfId="19895" xr:uid="{00000000-0005-0000-0000-0000E74D0000}"/>
    <cellStyle name="Comma 3 3 2 2 2 3 5" xfId="19898" xr:uid="{00000000-0005-0000-0000-0000EA4D0000}"/>
    <cellStyle name="Comma 3 3 2 2 2 3 6" xfId="19899" xr:uid="{00000000-0005-0000-0000-0000EB4D0000}"/>
    <cellStyle name="Comma 3 3 2 2 2 3 7" xfId="7277" xr:uid="{00000000-0005-0000-0000-00009D1C0000}"/>
    <cellStyle name="Comma 3 3 2 2 2 3 8" xfId="23557" xr:uid="{00000000-0005-0000-0000-0000355C0000}"/>
    <cellStyle name="Comma 3 3 2 2 2 3 9" xfId="23558" xr:uid="{00000000-0005-0000-0000-0000365C0000}"/>
    <cellStyle name="Comma 3 3 2 2 2 4" xfId="12393" xr:uid="{00000000-0005-0000-0000-000099300000}"/>
    <cellStyle name="Comma 3 3 2 2 2 4 10" xfId="5330" xr:uid="{00000000-0005-0000-0000-000002150000}"/>
    <cellStyle name="Comma 3 3 2 2 2 4 2" xfId="12398" xr:uid="{00000000-0005-0000-0000-00009E300000}"/>
    <cellStyle name="Comma 3 3 2 2 2 4 2 2" xfId="12402" xr:uid="{00000000-0005-0000-0000-0000A2300000}"/>
    <cellStyle name="Comma 3 3 2 2 2 4 2 2 2" xfId="12957" xr:uid="{00000000-0005-0000-0000-0000CD320000}"/>
    <cellStyle name="Comma 3 3 2 2 2 4 2 3" xfId="5623" xr:uid="{00000000-0005-0000-0000-000027160000}"/>
    <cellStyle name="Comma 3 3 2 2 2 4 2 4" xfId="229" xr:uid="{00000000-0005-0000-0000-0000F6000000}"/>
    <cellStyle name="Comma 3 3 2 2 2 4 2 5" xfId="3312" xr:uid="{00000000-0005-0000-0000-0000200D0000}"/>
    <cellStyle name="Comma 3 3 2 2 2 4 3" xfId="12408" xr:uid="{00000000-0005-0000-0000-0000A8300000}"/>
    <cellStyle name="Comma 3 3 2 2 2 4 3 2" xfId="16302" xr:uid="{00000000-0005-0000-0000-0000DE3F0000}"/>
    <cellStyle name="Comma 3 3 2 2 2 4 4" xfId="8593" xr:uid="{00000000-0005-0000-0000-0000C1210000}"/>
    <cellStyle name="Comma 3 3 2 2 2 4 5" xfId="8598" xr:uid="{00000000-0005-0000-0000-0000C6210000}"/>
    <cellStyle name="Comma 3 3 2 2 2 4 6" xfId="8606" xr:uid="{00000000-0005-0000-0000-0000CE210000}"/>
    <cellStyle name="Comma 3 3 2 2 2 4 7" xfId="2724" xr:uid="{00000000-0005-0000-0000-0000D40A0000}"/>
    <cellStyle name="Comma 3 3 2 2 2 4 8" xfId="8613" xr:uid="{00000000-0005-0000-0000-0000D5210000}"/>
    <cellStyle name="Comma 3 3 2 2 2 4 9" xfId="8624" xr:uid="{00000000-0005-0000-0000-0000E0210000}"/>
    <cellStyle name="Comma 3 3 2 2 2 5" xfId="12413" xr:uid="{00000000-0005-0000-0000-0000AD300000}"/>
    <cellStyle name="Comma 3 3 2 2 2 5 10" xfId="23559" xr:uid="{00000000-0005-0000-0000-0000375C0000}"/>
    <cellStyle name="Comma 3 3 2 2 2 5 2" xfId="12417" xr:uid="{00000000-0005-0000-0000-0000B1300000}"/>
    <cellStyle name="Comma 3 3 2 2 2 5 2 2" xfId="16392" xr:uid="{00000000-0005-0000-0000-000038400000}"/>
    <cellStyle name="Comma 3 3 2 2 2 5 2 2 2" xfId="8560" xr:uid="{00000000-0005-0000-0000-0000A0210000}"/>
    <cellStyle name="Comma 3 3 2 2 2 5 2 3" xfId="945" xr:uid="{00000000-0005-0000-0000-0000E1030000}"/>
    <cellStyle name="Comma 3 3 2 2 2 5 2 4" xfId="3611" xr:uid="{00000000-0005-0000-0000-00004B0E0000}"/>
    <cellStyle name="Comma 3 3 2 2 2 5 2 5" xfId="3663" xr:uid="{00000000-0005-0000-0000-00007F0E0000}"/>
    <cellStyle name="Comma 3 3 2 2 2 5 3" xfId="12419" xr:uid="{00000000-0005-0000-0000-0000B3300000}"/>
    <cellStyle name="Comma 3 3 2 2 2 5 3 2" xfId="16405" xr:uid="{00000000-0005-0000-0000-000045400000}"/>
    <cellStyle name="Comma 3 3 2 2 2 5 4" xfId="8638" xr:uid="{00000000-0005-0000-0000-0000EE210000}"/>
    <cellStyle name="Comma 3 3 2 2 2 5 5" xfId="12421" xr:uid="{00000000-0005-0000-0000-0000B5300000}"/>
    <cellStyle name="Comma 3 3 2 2 2 5 6" xfId="12423" xr:uid="{00000000-0005-0000-0000-0000B7300000}"/>
    <cellStyle name="Comma 3 3 2 2 2 5 7" xfId="7281" xr:uid="{00000000-0005-0000-0000-0000A11C0000}"/>
    <cellStyle name="Comma 3 3 2 2 2 5 8" xfId="23560" xr:uid="{00000000-0005-0000-0000-0000385C0000}"/>
    <cellStyle name="Comma 3 3 2 2 2 5 9" xfId="23561" xr:uid="{00000000-0005-0000-0000-0000395C0000}"/>
    <cellStyle name="Comma 3 3 2 2 2 6" xfId="483" xr:uid="{00000000-0005-0000-0000-000002020000}"/>
    <cellStyle name="Comma 3 3 2 2 2 6 2" xfId="12429" xr:uid="{00000000-0005-0000-0000-0000BD300000}"/>
    <cellStyle name="Comma 3 3 2 2 2 6 2 2" xfId="16461" xr:uid="{00000000-0005-0000-0000-00007D400000}"/>
    <cellStyle name="Comma 3 3 2 2 2 6 3" xfId="12436" xr:uid="{00000000-0005-0000-0000-0000C4300000}"/>
    <cellStyle name="Comma 3 3 2 2 2 6 4" xfId="12444" xr:uid="{00000000-0005-0000-0000-0000CC300000}"/>
    <cellStyle name="Comma 3 3 2 2 2 6 5" xfId="12451" xr:uid="{00000000-0005-0000-0000-0000D3300000}"/>
    <cellStyle name="Comma 3 3 2 2 2 6 6" xfId="12456" xr:uid="{00000000-0005-0000-0000-0000D8300000}"/>
    <cellStyle name="Comma 3 3 2 2 2 6 7" xfId="23562" xr:uid="{00000000-0005-0000-0000-00003A5C0000}"/>
    <cellStyle name="Comma 3 3 2 2 2 6 8" xfId="23563" xr:uid="{00000000-0005-0000-0000-00003B5C0000}"/>
    <cellStyle name="Comma 3 3 2 2 2 6 9" xfId="23564" xr:uid="{00000000-0005-0000-0000-00003C5C0000}"/>
    <cellStyle name="Comma 3 3 2 2 2 7" xfId="12460" xr:uid="{00000000-0005-0000-0000-0000DC300000}"/>
    <cellStyle name="Comma 3 3 2 2 2 7 2" xfId="8261" xr:uid="{00000000-0005-0000-0000-000075200000}"/>
    <cellStyle name="Comma 3 3 2 2 2 8" xfId="12466" xr:uid="{00000000-0005-0000-0000-0000E2300000}"/>
    <cellStyle name="Comma 3 3 2 2 2 9" xfId="10614" xr:uid="{00000000-0005-0000-0000-0000A6290000}"/>
    <cellStyle name="Comma 3 3 2 2 20" xfId="23476" xr:uid="{00000000-0005-0000-0000-0000E45B0000}"/>
    <cellStyle name="Comma 3 3 2 2 21" xfId="23481" xr:uid="{00000000-0005-0000-0000-0000E95B0000}"/>
    <cellStyle name="Comma 3 3 2 2 22" xfId="23486" xr:uid="{00000000-0005-0000-0000-0000EE5B0000}"/>
    <cellStyle name="Comma 3 3 2 2 23" xfId="23491" xr:uid="{00000000-0005-0000-0000-0000F35B0000}"/>
    <cellStyle name="Comma 3 3 2 2 3" xfId="15747" xr:uid="{00000000-0005-0000-0000-0000B33D0000}"/>
    <cellStyle name="Comma 3 3 2 2 3 10" xfId="23565" xr:uid="{00000000-0005-0000-0000-00003D5C0000}"/>
    <cellStyle name="Comma 3 3 2 2 3 11" xfId="23566" xr:uid="{00000000-0005-0000-0000-00003E5C0000}"/>
    <cellStyle name="Comma 3 3 2 2 3 12" xfId="23567" xr:uid="{00000000-0005-0000-0000-00003F5C0000}"/>
    <cellStyle name="Comma 3 3 2 2 3 13" xfId="23568" xr:uid="{00000000-0005-0000-0000-0000405C0000}"/>
    <cellStyle name="Comma 3 3 2 2 3 14" xfId="23569" xr:uid="{00000000-0005-0000-0000-0000415C0000}"/>
    <cellStyle name="Comma 3 3 2 2 3 15" xfId="23570" xr:uid="{00000000-0005-0000-0000-0000425C0000}"/>
    <cellStyle name="Comma 3 3 2 2 3 16" xfId="23571" xr:uid="{00000000-0005-0000-0000-0000435C0000}"/>
    <cellStyle name="Comma 3 3 2 2 3 17" xfId="23572" xr:uid="{00000000-0005-0000-0000-0000445C0000}"/>
    <cellStyle name="Comma 3 3 2 2 3 18" xfId="23574" xr:uid="{00000000-0005-0000-0000-0000465C0000}"/>
    <cellStyle name="Comma 3 3 2 2 3 2" xfId="23577" xr:uid="{00000000-0005-0000-0000-0000495C0000}"/>
    <cellStyle name="Comma 3 3 2 2 3 2 10" xfId="4832" xr:uid="{00000000-0005-0000-0000-000010130000}"/>
    <cellStyle name="Comma 3 3 2 2 3 2 2" xfId="23578" xr:uid="{00000000-0005-0000-0000-00004A5C0000}"/>
    <cellStyle name="Comma 3 3 2 2 3 2 2 2" xfId="23580" xr:uid="{00000000-0005-0000-0000-00004C5C0000}"/>
    <cellStyle name="Comma 3 3 2 2 3 2 3" xfId="23581" xr:uid="{00000000-0005-0000-0000-00004D5C0000}"/>
    <cellStyle name="Comma 3 3 2 2 3 2 4" xfId="23582" xr:uid="{00000000-0005-0000-0000-00004E5C0000}"/>
    <cellStyle name="Comma 3 3 2 2 3 2 5" xfId="23584" xr:uid="{00000000-0005-0000-0000-0000505C0000}"/>
    <cellStyle name="Comma 3 3 2 2 3 2 6" xfId="23585" xr:uid="{00000000-0005-0000-0000-0000515C0000}"/>
    <cellStyle name="Comma 3 3 2 2 3 2 7" xfId="976" xr:uid="{00000000-0005-0000-0000-000000040000}"/>
    <cellStyle name="Comma 3 3 2 2 3 2 8" xfId="23587" xr:uid="{00000000-0005-0000-0000-0000535C0000}"/>
    <cellStyle name="Comma 3 3 2 2 3 2 9" xfId="23589" xr:uid="{00000000-0005-0000-0000-0000555C0000}"/>
    <cellStyle name="Comma 3 3 2 2 3 3" xfId="23592" xr:uid="{00000000-0005-0000-0000-0000585C0000}"/>
    <cellStyle name="Comma 3 3 2 2 3 3 2" xfId="23593" xr:uid="{00000000-0005-0000-0000-0000595C0000}"/>
    <cellStyle name="Comma 3 3 2 2 3 3 3" xfId="23594" xr:uid="{00000000-0005-0000-0000-00005A5C0000}"/>
    <cellStyle name="Comma 3 3 2 2 3 3 4" xfId="19957" xr:uid="{00000000-0005-0000-0000-0000254E0000}"/>
    <cellStyle name="Comma 3 3 2 2 3 3 5" xfId="19959" xr:uid="{00000000-0005-0000-0000-0000274E0000}"/>
    <cellStyle name="Comma 3 3 2 2 3 3 6" xfId="19961" xr:uid="{00000000-0005-0000-0000-0000294E0000}"/>
    <cellStyle name="Comma 3 3 2 2 3 4" xfId="12484" xr:uid="{00000000-0005-0000-0000-0000F4300000}"/>
    <cellStyle name="Comma 3 3 2 2 3 4 2" xfId="12492" xr:uid="{00000000-0005-0000-0000-0000FC300000}"/>
    <cellStyle name="Comma 3 3 2 2 3 4 3" xfId="12495" xr:uid="{00000000-0005-0000-0000-0000FF300000}"/>
    <cellStyle name="Comma 3 3 2 2 3 4 4" xfId="12497" xr:uid="{00000000-0005-0000-0000-000001310000}"/>
    <cellStyle name="Comma 3 3 2 2 3 4 5" xfId="12499" xr:uid="{00000000-0005-0000-0000-000003310000}"/>
    <cellStyle name="Comma 3 3 2 2 3 4 6" xfId="12501" xr:uid="{00000000-0005-0000-0000-000005310000}"/>
    <cellStyle name="Comma 3 3 2 2 3 5" xfId="12515" xr:uid="{00000000-0005-0000-0000-000013310000}"/>
    <cellStyle name="Comma 3 3 2 2 3 5 2" xfId="12521" xr:uid="{00000000-0005-0000-0000-000019310000}"/>
    <cellStyle name="Comma 3 3 2 2 3 5 3" xfId="12525" xr:uid="{00000000-0005-0000-0000-00001D310000}"/>
    <cellStyle name="Comma 3 3 2 2 3 5 4" xfId="12529" xr:uid="{00000000-0005-0000-0000-000021310000}"/>
    <cellStyle name="Comma 3 3 2 2 3 5 5" xfId="12532" xr:uid="{00000000-0005-0000-0000-000024310000}"/>
    <cellStyle name="Comma 3 3 2 2 3 5 6" xfId="12535" xr:uid="{00000000-0005-0000-0000-000027310000}"/>
    <cellStyle name="Comma 3 3 2 2 3 6" xfId="2945" xr:uid="{00000000-0005-0000-0000-0000B10B0000}"/>
    <cellStyle name="Comma 3 3 2 2 3 6 2" xfId="12544" xr:uid="{00000000-0005-0000-0000-000030310000}"/>
    <cellStyle name="Comma 3 3 2 2 3 6 3" xfId="23595" xr:uid="{00000000-0005-0000-0000-00005B5C0000}"/>
    <cellStyle name="Comma 3 3 2 2 3 6 4" xfId="23596" xr:uid="{00000000-0005-0000-0000-00005C5C0000}"/>
    <cellStyle name="Comma 3 3 2 2 3 6 5" xfId="23597" xr:uid="{00000000-0005-0000-0000-00005D5C0000}"/>
    <cellStyle name="Comma 3 3 2 2 3 6 6" xfId="16950" xr:uid="{00000000-0005-0000-0000-000066420000}"/>
    <cellStyle name="Comma 3 3 2 2 3 7" xfId="12547" xr:uid="{00000000-0005-0000-0000-000033310000}"/>
    <cellStyle name="Comma 3 3 2 2 3 8" xfId="12551" xr:uid="{00000000-0005-0000-0000-000037310000}"/>
    <cellStyle name="Comma 3 3 2 2 3 9" xfId="10627" xr:uid="{00000000-0005-0000-0000-0000B3290000}"/>
    <cellStyle name="Comma 3 3 2 2 4" xfId="15749" xr:uid="{00000000-0005-0000-0000-0000B53D0000}"/>
    <cellStyle name="Comma 3 3 2 2 4 10" xfId="1912" xr:uid="{00000000-0005-0000-0000-0000A8070000}"/>
    <cellStyle name="Comma 3 3 2 2 4 11" xfId="23599" xr:uid="{00000000-0005-0000-0000-00005F5C0000}"/>
    <cellStyle name="Comma 3 3 2 2 4 12" xfId="23602" xr:uid="{00000000-0005-0000-0000-0000625C0000}"/>
    <cellStyle name="Comma 3 3 2 2 4 13" xfId="23608" xr:uid="{00000000-0005-0000-0000-0000685C0000}"/>
    <cellStyle name="Comma 3 3 2 2 4 14" xfId="23612" xr:uid="{00000000-0005-0000-0000-00006C5C0000}"/>
    <cellStyle name="Comma 3 3 2 2 4 15" xfId="23615" xr:uid="{00000000-0005-0000-0000-00006F5C0000}"/>
    <cellStyle name="Comma 3 3 2 2 4 2" xfId="19757" xr:uid="{00000000-0005-0000-0000-00005D4D0000}"/>
    <cellStyle name="Comma 3 3 2 2 4 2 2" xfId="23617" xr:uid="{00000000-0005-0000-0000-0000715C0000}"/>
    <cellStyle name="Comma 3 3 2 2 4 2 2 2" xfId="23619" xr:uid="{00000000-0005-0000-0000-0000735C0000}"/>
    <cellStyle name="Comma 3 3 2 2 4 2 3" xfId="23620" xr:uid="{00000000-0005-0000-0000-0000745C0000}"/>
    <cellStyle name="Comma 3 3 2 2 4 2 4" xfId="23621" xr:uid="{00000000-0005-0000-0000-0000755C0000}"/>
    <cellStyle name="Comma 3 3 2 2 4 2 5" xfId="23622" xr:uid="{00000000-0005-0000-0000-0000765C0000}"/>
    <cellStyle name="Comma 3 3 2 2 4 2 6" xfId="23623" xr:uid="{00000000-0005-0000-0000-0000775C0000}"/>
    <cellStyle name="Comma 3 3 2 2 4 2 7" xfId="22378" xr:uid="{00000000-0005-0000-0000-00009A570000}"/>
    <cellStyle name="Comma 3 3 2 2 4 2 8" xfId="23626" xr:uid="{00000000-0005-0000-0000-00007A5C0000}"/>
    <cellStyle name="Comma 3 3 2 2 4 2 9" xfId="23629" xr:uid="{00000000-0005-0000-0000-00007D5C0000}"/>
    <cellStyle name="Comma 3 3 2 2 4 3" xfId="19760" xr:uid="{00000000-0005-0000-0000-0000604D0000}"/>
    <cellStyle name="Comma 3 3 2 2 4 3 2" xfId="14551" xr:uid="{00000000-0005-0000-0000-000007390000}"/>
    <cellStyle name="Comma 3 3 2 2 4 3 3" xfId="14553" xr:uid="{00000000-0005-0000-0000-000009390000}"/>
    <cellStyle name="Comma 3 3 2 2 4 3 4" xfId="14557" xr:uid="{00000000-0005-0000-0000-00000D390000}"/>
    <cellStyle name="Comma 3 3 2 2 4 3 5" xfId="14560" xr:uid="{00000000-0005-0000-0000-000010390000}"/>
    <cellStyle name="Comma 3 3 2 2 4 3 6" xfId="14563" xr:uid="{00000000-0005-0000-0000-000013390000}"/>
    <cellStyle name="Comma 3 3 2 2 4 4" xfId="23630" xr:uid="{00000000-0005-0000-0000-00007E5C0000}"/>
    <cellStyle name="Comma 3 3 2 2 4 4 2" xfId="23632" xr:uid="{00000000-0005-0000-0000-0000805C0000}"/>
    <cellStyle name="Comma 3 3 2 2 4 5" xfId="14648" xr:uid="{00000000-0005-0000-0000-000068390000}"/>
    <cellStyle name="Comma 3 3 2 2 4 6" xfId="14650" xr:uid="{00000000-0005-0000-0000-00006A390000}"/>
    <cellStyle name="Comma 3 3 2 2 4 7" xfId="14652" xr:uid="{00000000-0005-0000-0000-00006C390000}"/>
    <cellStyle name="Comma 3 3 2 2 4 8" xfId="14656" xr:uid="{00000000-0005-0000-0000-000070390000}"/>
    <cellStyle name="Comma 3 3 2 2 4 9" xfId="14661" xr:uid="{00000000-0005-0000-0000-000075390000}"/>
    <cellStyle name="Comma 3 3 2 2 5" xfId="13288" xr:uid="{00000000-0005-0000-0000-000018340000}"/>
    <cellStyle name="Comma 3 3 2 2 5 10" xfId="5761" xr:uid="{00000000-0005-0000-0000-0000B1160000}"/>
    <cellStyle name="Comma 3 3 2 2 5 11" xfId="23634" xr:uid="{00000000-0005-0000-0000-0000825C0000}"/>
    <cellStyle name="Comma 3 3 2 2 5 12" xfId="20608" xr:uid="{00000000-0005-0000-0000-0000B0500000}"/>
    <cellStyle name="Comma 3 3 2 2 5 13" xfId="23636" xr:uid="{00000000-0005-0000-0000-0000845C0000}"/>
    <cellStyle name="Comma 3 3 2 2 5 2" xfId="20542" xr:uid="{00000000-0005-0000-0000-00006E500000}"/>
    <cellStyle name="Comma 3 3 2 2 5 2 2" xfId="23639" xr:uid="{00000000-0005-0000-0000-0000875C0000}"/>
    <cellStyle name="Comma 3 3 2 2 5 2 2 2" xfId="23647" xr:uid="{00000000-0005-0000-0000-00008F5C0000}"/>
    <cellStyle name="Comma 3 3 2 2 5 2 3" xfId="23649" xr:uid="{00000000-0005-0000-0000-0000915C0000}"/>
    <cellStyle name="Comma 3 3 2 2 5 2 4" xfId="23655" xr:uid="{00000000-0005-0000-0000-0000975C0000}"/>
    <cellStyle name="Comma 3 3 2 2 5 2 5" xfId="23661" xr:uid="{00000000-0005-0000-0000-00009D5C0000}"/>
    <cellStyle name="Comma 3 3 2 2 5 2 6" xfId="23662" xr:uid="{00000000-0005-0000-0000-00009E5C0000}"/>
    <cellStyle name="Comma 3 3 2 2 5 2 7" xfId="23663" xr:uid="{00000000-0005-0000-0000-00009F5C0000}"/>
    <cellStyle name="Comma 3 3 2 2 5 2 8" xfId="23664" xr:uid="{00000000-0005-0000-0000-0000A05C0000}"/>
    <cellStyle name="Comma 3 3 2 2 5 2 9" xfId="23665" xr:uid="{00000000-0005-0000-0000-0000A15C0000}"/>
    <cellStyle name="Comma 3 3 2 2 5 3" xfId="20546" xr:uid="{00000000-0005-0000-0000-000072500000}"/>
    <cellStyle name="Comma 3 3 2 2 5 3 2" xfId="23667" xr:uid="{00000000-0005-0000-0000-0000A35C0000}"/>
    <cellStyle name="Comma 3 3 2 2 5 3 3" xfId="23670" xr:uid="{00000000-0005-0000-0000-0000A65C0000}"/>
    <cellStyle name="Comma 3 3 2 2 5 3 4" xfId="19980" xr:uid="{00000000-0005-0000-0000-00003C4E0000}"/>
    <cellStyle name="Comma 3 3 2 2 5 3 5" xfId="19988" xr:uid="{00000000-0005-0000-0000-0000444E0000}"/>
    <cellStyle name="Comma 3 3 2 2 5 3 6" xfId="19991" xr:uid="{00000000-0005-0000-0000-0000474E0000}"/>
    <cellStyle name="Comma 3 3 2 2 5 4" xfId="20555" xr:uid="{00000000-0005-0000-0000-00007B500000}"/>
    <cellStyle name="Comma 3 3 2 2 5 4 2" xfId="23672" xr:uid="{00000000-0005-0000-0000-0000A85C0000}"/>
    <cellStyle name="Comma 3 3 2 2 5 5" xfId="14671" xr:uid="{00000000-0005-0000-0000-00007F390000}"/>
    <cellStyle name="Comma 3 3 2 2 5 6" xfId="20563" xr:uid="{00000000-0005-0000-0000-000083500000}"/>
    <cellStyle name="Comma 3 3 2 2 5 7" xfId="20572" xr:uid="{00000000-0005-0000-0000-00008C500000}"/>
    <cellStyle name="Comma 3 3 2 2 5 8" xfId="22877" xr:uid="{00000000-0005-0000-0000-00008D590000}"/>
    <cellStyle name="Comma 3 3 2 2 5 9" xfId="23675" xr:uid="{00000000-0005-0000-0000-0000AB5C0000}"/>
    <cellStyle name="Comma 3 3 2 2 6" xfId="15751" xr:uid="{00000000-0005-0000-0000-0000B73D0000}"/>
    <cellStyle name="Comma 3 3 2 2 6 10" xfId="23676" xr:uid="{00000000-0005-0000-0000-0000AC5C0000}"/>
    <cellStyle name="Comma 3 3 2 2 6 11" xfId="6049" xr:uid="{00000000-0005-0000-0000-0000D1170000}"/>
    <cellStyle name="Comma 3 3 2 2 6 12" xfId="6199" xr:uid="{00000000-0005-0000-0000-000067180000}"/>
    <cellStyle name="Comma 3 3 2 2 6 2" xfId="23680" xr:uid="{00000000-0005-0000-0000-0000B05C0000}"/>
    <cellStyle name="Comma 3 3 2 2 6 2 2" xfId="23682" xr:uid="{00000000-0005-0000-0000-0000B25C0000}"/>
    <cellStyle name="Comma 3 3 2 2 6 2 2 2" xfId="23684" xr:uid="{00000000-0005-0000-0000-0000B45C0000}"/>
    <cellStyle name="Comma 3 3 2 2 6 2 3" xfId="23685" xr:uid="{00000000-0005-0000-0000-0000B55C0000}"/>
    <cellStyle name="Comma 3 3 2 2 6 2 4" xfId="23688" xr:uid="{00000000-0005-0000-0000-0000B85C0000}"/>
    <cellStyle name="Comma 3 3 2 2 6 2 5" xfId="23690" xr:uid="{00000000-0005-0000-0000-0000BA5C0000}"/>
    <cellStyle name="Comma 3 3 2 2 6 2 6" xfId="23691" xr:uid="{00000000-0005-0000-0000-0000BB5C0000}"/>
    <cellStyle name="Comma 3 3 2 2 6 2 7" xfId="23692" xr:uid="{00000000-0005-0000-0000-0000BC5C0000}"/>
    <cellStyle name="Comma 3 3 2 2 6 2 8" xfId="23695" xr:uid="{00000000-0005-0000-0000-0000BF5C0000}"/>
    <cellStyle name="Comma 3 3 2 2 6 2 9" xfId="23696" xr:uid="{00000000-0005-0000-0000-0000C05C0000}"/>
    <cellStyle name="Comma 3 3 2 2 6 3" xfId="23701" xr:uid="{00000000-0005-0000-0000-0000C55C0000}"/>
    <cellStyle name="Comma 3 3 2 2 6 3 2" xfId="23702" xr:uid="{00000000-0005-0000-0000-0000C65C0000}"/>
    <cellStyle name="Comma 3 3 2 2 6 3 3" xfId="23703" xr:uid="{00000000-0005-0000-0000-0000C75C0000}"/>
    <cellStyle name="Comma 3 3 2 2 6 3 4" xfId="20037" xr:uid="{00000000-0005-0000-0000-0000754E0000}"/>
    <cellStyle name="Comma 3 3 2 2 6 3 5" xfId="23704" xr:uid="{00000000-0005-0000-0000-0000C85C0000}"/>
    <cellStyle name="Comma 3 3 2 2 6 3 6" xfId="23705" xr:uid="{00000000-0005-0000-0000-0000C95C0000}"/>
    <cellStyle name="Comma 3 3 2 2 6 4" xfId="23706" xr:uid="{00000000-0005-0000-0000-0000CA5C0000}"/>
    <cellStyle name="Comma 3 3 2 2 6 4 2" xfId="5045" xr:uid="{00000000-0005-0000-0000-0000E5130000}"/>
    <cellStyle name="Comma 3 3 2 2 6 5" xfId="23710" xr:uid="{00000000-0005-0000-0000-0000CE5C0000}"/>
    <cellStyle name="Comma 3 3 2 2 6 6" xfId="23713" xr:uid="{00000000-0005-0000-0000-0000D15C0000}"/>
    <cellStyle name="Comma 3 3 2 2 6 7" xfId="23716" xr:uid="{00000000-0005-0000-0000-0000D45C0000}"/>
    <cellStyle name="Comma 3 3 2 2 6 8" xfId="23718" xr:uid="{00000000-0005-0000-0000-0000D65C0000}"/>
    <cellStyle name="Comma 3 3 2 2 6 9" xfId="23720" xr:uid="{00000000-0005-0000-0000-0000D85C0000}"/>
    <cellStyle name="Comma 3 3 2 2 7" xfId="15753" xr:uid="{00000000-0005-0000-0000-0000B93D0000}"/>
    <cellStyle name="Comma 3 3 2 2 7 2" xfId="23724" xr:uid="{00000000-0005-0000-0000-0000DC5C0000}"/>
    <cellStyle name="Comma 3 3 2 2 7 2 2" xfId="23728" xr:uid="{00000000-0005-0000-0000-0000E05C0000}"/>
    <cellStyle name="Comma 3 3 2 2 7 3" xfId="23730" xr:uid="{00000000-0005-0000-0000-0000E25C0000}"/>
    <cellStyle name="Comma 3 3 2 2 7 4" xfId="23731" xr:uid="{00000000-0005-0000-0000-0000E35C0000}"/>
    <cellStyle name="Comma 3 3 2 2 7 5" xfId="23734" xr:uid="{00000000-0005-0000-0000-0000E65C0000}"/>
    <cellStyle name="Comma 3 3 2 2 7 6" xfId="23237" xr:uid="{00000000-0005-0000-0000-0000F55A0000}"/>
    <cellStyle name="Comma 3 3 2 2 7 7" xfId="23737" xr:uid="{00000000-0005-0000-0000-0000E95C0000}"/>
    <cellStyle name="Comma 3 3 2 2 7 8" xfId="1442" xr:uid="{00000000-0005-0000-0000-0000D2050000}"/>
    <cellStyle name="Comma 3 3 2 2 7 9" xfId="3580" xr:uid="{00000000-0005-0000-0000-00002C0E0000}"/>
    <cellStyle name="Comma 3 3 2 2 8" xfId="15755" xr:uid="{00000000-0005-0000-0000-0000BB3D0000}"/>
    <cellStyle name="Comma 3 3 2 2 8 2" xfId="23739" xr:uid="{00000000-0005-0000-0000-0000EB5C0000}"/>
    <cellStyle name="Comma 3 3 2 2 8 3" xfId="23741" xr:uid="{00000000-0005-0000-0000-0000ED5C0000}"/>
    <cellStyle name="Comma 3 3 2 2 8 4" xfId="23743" xr:uid="{00000000-0005-0000-0000-0000EF5C0000}"/>
    <cellStyle name="Comma 3 3 2 2 8 5" xfId="23746" xr:uid="{00000000-0005-0000-0000-0000F25C0000}"/>
    <cellStyle name="Comma 3 3 2 2 8 6" xfId="23749" xr:uid="{00000000-0005-0000-0000-0000F55C0000}"/>
    <cellStyle name="Comma 3 3 2 2 9" xfId="23750" xr:uid="{00000000-0005-0000-0000-0000F65C0000}"/>
    <cellStyle name="Comma 3 3 2 2 9 2" xfId="23751" xr:uid="{00000000-0005-0000-0000-0000F75C0000}"/>
    <cellStyle name="Comma 3 3 2 2 9 3" xfId="23752" xr:uid="{00000000-0005-0000-0000-0000F85C0000}"/>
    <cellStyle name="Comma 3 3 2 2 9 4" xfId="23753" xr:uid="{00000000-0005-0000-0000-0000F95C0000}"/>
    <cellStyle name="Comma 3 3 2 2 9 5" xfId="18300" xr:uid="{00000000-0005-0000-0000-0000AC470000}"/>
    <cellStyle name="Comma 3 3 2 2 9 6" xfId="18335" xr:uid="{00000000-0005-0000-0000-0000CF470000}"/>
    <cellStyle name="Comma 3 3 2 20" xfId="15422" xr:uid="{00000000-0005-0000-0000-00006E3C0000}"/>
    <cellStyle name="Comma 3 3 2 21" xfId="15431" xr:uid="{00000000-0005-0000-0000-0000773C0000}"/>
    <cellStyle name="Comma 3 3 2 22" xfId="20754" xr:uid="{00000000-0005-0000-0000-000042510000}"/>
    <cellStyle name="Comma 3 3 2 23" xfId="22976" xr:uid="{00000000-0005-0000-0000-0000F0590000}"/>
    <cellStyle name="Comma 3 3 2 24" xfId="23434" xr:uid="{00000000-0005-0000-0000-0000BA5B0000}"/>
    <cellStyle name="Comma 3 3 2 25" xfId="23754" xr:uid="{00000000-0005-0000-0000-0000FA5C0000}"/>
    <cellStyle name="Comma 3 3 2 26" xfId="23755" xr:uid="{00000000-0005-0000-0000-0000FB5C0000}"/>
    <cellStyle name="Comma 3 3 2 3" xfId="23756" xr:uid="{00000000-0005-0000-0000-0000FC5C0000}"/>
    <cellStyle name="Comma 3 3 2 3 10" xfId="6395" xr:uid="{00000000-0005-0000-0000-00002B190000}"/>
    <cellStyle name="Comma 3 3 2 3 10 2" xfId="1788" xr:uid="{00000000-0005-0000-0000-00002C070000}"/>
    <cellStyle name="Comma 3 3 2 3 10 3" xfId="1820" xr:uid="{00000000-0005-0000-0000-00004C070000}"/>
    <cellStyle name="Comma 3 3 2 3 10 4" xfId="1842" xr:uid="{00000000-0005-0000-0000-000062070000}"/>
    <cellStyle name="Comma 3 3 2 3 10 5" xfId="1868" xr:uid="{00000000-0005-0000-0000-00007C070000}"/>
    <cellStyle name="Comma 3 3 2 3 10 6" xfId="1942" xr:uid="{00000000-0005-0000-0000-0000C6070000}"/>
    <cellStyle name="Comma 3 3 2 3 11" xfId="11522" xr:uid="{00000000-0005-0000-0000-0000322D0000}"/>
    <cellStyle name="Comma 3 3 2 3 11 2" xfId="2659" xr:uid="{00000000-0005-0000-0000-0000930A0000}"/>
    <cellStyle name="Comma 3 3 2 3 11 3" xfId="2982" xr:uid="{00000000-0005-0000-0000-0000D60B0000}"/>
    <cellStyle name="Comma 3 3 2 3 11 4" xfId="3085" xr:uid="{00000000-0005-0000-0000-00003D0C0000}"/>
    <cellStyle name="Comma 3 3 2 3 11 5" xfId="3110" xr:uid="{00000000-0005-0000-0000-0000560C0000}"/>
    <cellStyle name="Comma 3 3 2 3 11 6" xfId="821" xr:uid="{00000000-0005-0000-0000-000065030000}"/>
    <cellStyle name="Comma 3 3 2 3 12" xfId="11524" xr:uid="{00000000-0005-0000-0000-0000342D0000}"/>
    <cellStyle name="Comma 3 3 2 3 13" xfId="4854" xr:uid="{00000000-0005-0000-0000-000026130000}"/>
    <cellStyle name="Comma 3 3 2 3 14" xfId="11526" xr:uid="{00000000-0005-0000-0000-0000362D0000}"/>
    <cellStyle name="Comma 3 3 2 3 15" xfId="11530" xr:uid="{00000000-0005-0000-0000-00003A2D0000}"/>
    <cellStyle name="Comma 3 3 2 3 16" xfId="23760" xr:uid="{00000000-0005-0000-0000-0000005D0000}"/>
    <cellStyle name="Comma 3 3 2 3 17" xfId="23762" xr:uid="{00000000-0005-0000-0000-0000025D0000}"/>
    <cellStyle name="Comma 3 3 2 3 18" xfId="23764" xr:uid="{00000000-0005-0000-0000-0000045D0000}"/>
    <cellStyle name="Comma 3 3 2 3 19" xfId="23766" xr:uid="{00000000-0005-0000-0000-0000065D0000}"/>
    <cellStyle name="Comma 3 3 2 3 2" xfId="15762" xr:uid="{00000000-0005-0000-0000-0000C23D0000}"/>
    <cellStyle name="Comma 3 3 2 3 2 10" xfId="23768" xr:uid="{00000000-0005-0000-0000-0000085D0000}"/>
    <cellStyle name="Comma 3 3 2 3 2 11" xfId="23774" xr:uid="{00000000-0005-0000-0000-00000E5D0000}"/>
    <cellStyle name="Comma 3 3 2 3 2 12" xfId="23781" xr:uid="{00000000-0005-0000-0000-0000155D0000}"/>
    <cellStyle name="Comma 3 3 2 3 2 13" xfId="23787" xr:uid="{00000000-0005-0000-0000-00001B5D0000}"/>
    <cellStyle name="Comma 3 3 2 3 2 14" xfId="9544" xr:uid="{00000000-0005-0000-0000-000078250000}"/>
    <cellStyle name="Comma 3 3 2 3 2 15" xfId="23793" xr:uid="{00000000-0005-0000-0000-0000215D0000}"/>
    <cellStyle name="Comma 3 3 2 3 2 16" xfId="23797" xr:uid="{00000000-0005-0000-0000-0000255D0000}"/>
    <cellStyle name="Comma 3 3 2 3 2 17" xfId="23803" xr:uid="{00000000-0005-0000-0000-00002B5D0000}"/>
    <cellStyle name="Comma 3 3 2 3 2 18" xfId="23809" xr:uid="{00000000-0005-0000-0000-0000315D0000}"/>
    <cellStyle name="Comma 3 3 2 3 2 2" xfId="23811" xr:uid="{00000000-0005-0000-0000-0000335D0000}"/>
    <cellStyle name="Comma 3 3 2 3 2 2 10" xfId="23812" xr:uid="{00000000-0005-0000-0000-0000345D0000}"/>
    <cellStyle name="Comma 3 3 2 3 2 2 11" xfId="5582" xr:uid="{00000000-0005-0000-0000-0000FE150000}"/>
    <cellStyle name="Comma 3 3 2 3 2 2 12" xfId="23814" xr:uid="{00000000-0005-0000-0000-0000365D0000}"/>
    <cellStyle name="Comma 3 3 2 3 2 2 2" xfId="21519" xr:uid="{00000000-0005-0000-0000-00003F540000}"/>
    <cellStyle name="Comma 3 3 2 3 2 2 2 2" xfId="23816" xr:uid="{00000000-0005-0000-0000-0000385D0000}"/>
    <cellStyle name="Comma 3 3 2 3 2 2 2 2 2" xfId="23821" xr:uid="{00000000-0005-0000-0000-00003D5D0000}"/>
    <cellStyle name="Comma 3 3 2 3 2 2 2 3" xfId="23824" xr:uid="{00000000-0005-0000-0000-0000405D0000}"/>
    <cellStyle name="Comma 3 3 2 3 2 2 2 4" xfId="9683" xr:uid="{00000000-0005-0000-0000-000003260000}"/>
    <cellStyle name="Comma 3 3 2 3 2 2 2 5" xfId="23826" xr:uid="{00000000-0005-0000-0000-0000425D0000}"/>
    <cellStyle name="Comma 3 3 2 3 2 2 3" xfId="21521" xr:uid="{00000000-0005-0000-0000-000041540000}"/>
    <cellStyle name="Comma 3 3 2 3 2 2 3 2" xfId="23828" xr:uid="{00000000-0005-0000-0000-0000445D0000}"/>
    <cellStyle name="Comma 3 3 2 3 2 2 4" xfId="21525" xr:uid="{00000000-0005-0000-0000-000045540000}"/>
    <cellStyle name="Comma 3 3 2 3 2 2 5" xfId="21526" xr:uid="{00000000-0005-0000-0000-000046540000}"/>
    <cellStyle name="Comma 3 3 2 3 2 2 6" xfId="21528" xr:uid="{00000000-0005-0000-0000-000048540000}"/>
    <cellStyle name="Comma 3 3 2 3 2 2 7" xfId="21532" xr:uid="{00000000-0005-0000-0000-00004C540000}"/>
    <cellStyle name="Comma 3 3 2 3 2 2 8" xfId="62" xr:uid="{00000000-0005-0000-0000-000042000000}"/>
    <cellStyle name="Comma 3 3 2 3 2 2 9" xfId="5060" xr:uid="{00000000-0005-0000-0000-0000F4130000}"/>
    <cellStyle name="Comma 3 3 2 3 2 3" xfId="12949" xr:uid="{00000000-0005-0000-0000-0000C5320000}"/>
    <cellStyle name="Comma 3 3 2 3 2 3 10" xfId="3141" xr:uid="{00000000-0005-0000-0000-0000750C0000}"/>
    <cellStyle name="Comma 3 3 2 3 2 3 11" xfId="199" xr:uid="{00000000-0005-0000-0000-0000D6000000}"/>
    <cellStyle name="Comma 3 3 2 3 2 3 12" xfId="3516" xr:uid="{00000000-0005-0000-0000-0000EC0D0000}"/>
    <cellStyle name="Comma 3 3 2 3 2 3 2" xfId="21549" xr:uid="{00000000-0005-0000-0000-00005D540000}"/>
    <cellStyle name="Comma 3 3 2 3 2 3 2 2" xfId="17871" xr:uid="{00000000-0005-0000-0000-0000FF450000}"/>
    <cellStyle name="Comma 3 3 2 3 2 3 2 2 2" xfId="4346" xr:uid="{00000000-0005-0000-0000-00002A110000}"/>
    <cellStyle name="Comma 3 3 2 3 2 3 2 3" xfId="7743" xr:uid="{00000000-0005-0000-0000-00006F1E0000}"/>
    <cellStyle name="Comma 3 3 2 3 2 3 2 4" xfId="4003" xr:uid="{00000000-0005-0000-0000-0000D30F0000}"/>
    <cellStyle name="Comma 3 3 2 3 2 3 2 5" xfId="527" xr:uid="{00000000-0005-0000-0000-000033020000}"/>
    <cellStyle name="Comma 3 3 2 3 2 3 3" xfId="21551" xr:uid="{00000000-0005-0000-0000-00005F540000}"/>
    <cellStyle name="Comma 3 3 2 3 2 3 3 2" xfId="17892" xr:uid="{00000000-0005-0000-0000-000014460000}"/>
    <cellStyle name="Comma 3 3 2 3 2 3 4" xfId="20069" xr:uid="{00000000-0005-0000-0000-0000954E0000}"/>
    <cellStyle name="Comma 3 3 2 3 2 3 5" xfId="21555" xr:uid="{00000000-0005-0000-0000-000063540000}"/>
    <cellStyle name="Comma 3 3 2 3 2 3 6" xfId="21559" xr:uid="{00000000-0005-0000-0000-000067540000}"/>
    <cellStyle name="Comma 3 3 2 3 2 3 7" xfId="21564" xr:uid="{00000000-0005-0000-0000-00006C540000}"/>
    <cellStyle name="Comma 3 3 2 3 2 3 8" xfId="23829" xr:uid="{00000000-0005-0000-0000-0000455D0000}"/>
    <cellStyle name="Comma 3 3 2 3 2 3 9" xfId="5077" xr:uid="{00000000-0005-0000-0000-000005140000}"/>
    <cellStyle name="Comma 3 3 2 3 2 4" xfId="9188" xr:uid="{00000000-0005-0000-0000-000014240000}"/>
    <cellStyle name="Comma 3 3 2 3 2 4 10" xfId="697" xr:uid="{00000000-0005-0000-0000-0000E9020000}"/>
    <cellStyle name="Comma 3 3 2 3 2 4 2" xfId="9193" xr:uid="{00000000-0005-0000-0000-000019240000}"/>
    <cellStyle name="Comma 3 3 2 3 2 4 2 2" xfId="9200" xr:uid="{00000000-0005-0000-0000-000020240000}"/>
    <cellStyle name="Comma 3 3 2 3 2 4 2 2 2" xfId="23832" xr:uid="{00000000-0005-0000-0000-0000485D0000}"/>
    <cellStyle name="Comma 3 3 2 3 2 4 2 3" xfId="7854" xr:uid="{00000000-0005-0000-0000-0000DE1E0000}"/>
    <cellStyle name="Comma 3 3 2 3 2 4 2 4" xfId="7631" xr:uid="{00000000-0005-0000-0000-0000FF1D0000}"/>
    <cellStyle name="Comma 3 3 2 3 2 4 2 5" xfId="1417" xr:uid="{00000000-0005-0000-0000-0000B9050000}"/>
    <cellStyle name="Comma 3 3 2 3 2 4 3" xfId="6014" xr:uid="{00000000-0005-0000-0000-0000AE170000}"/>
    <cellStyle name="Comma 3 3 2 3 2 4 3 2" xfId="6844" xr:uid="{00000000-0005-0000-0000-0000EC1A0000}"/>
    <cellStyle name="Comma 3 3 2 3 2 4 4" xfId="6025" xr:uid="{00000000-0005-0000-0000-0000B9170000}"/>
    <cellStyle name="Comma 3 3 2 3 2 4 5" xfId="2218" xr:uid="{00000000-0005-0000-0000-0000DA080000}"/>
    <cellStyle name="Comma 3 3 2 3 2 4 6" xfId="7164" xr:uid="{00000000-0005-0000-0000-00002C1C0000}"/>
    <cellStyle name="Comma 3 3 2 3 2 4 7" xfId="7290" xr:uid="{00000000-0005-0000-0000-0000AA1C0000}"/>
    <cellStyle name="Comma 3 3 2 3 2 4 8" xfId="7374" xr:uid="{00000000-0005-0000-0000-0000FE1C0000}"/>
    <cellStyle name="Comma 3 3 2 3 2 4 9" xfId="5096" xr:uid="{00000000-0005-0000-0000-000018140000}"/>
    <cellStyle name="Comma 3 3 2 3 2 5" xfId="9207" xr:uid="{00000000-0005-0000-0000-000027240000}"/>
    <cellStyle name="Comma 3 3 2 3 2 5 10" xfId="21706" xr:uid="{00000000-0005-0000-0000-0000FA540000}"/>
    <cellStyle name="Comma 3 3 2 3 2 5 2" xfId="9210" xr:uid="{00000000-0005-0000-0000-00002A240000}"/>
    <cellStyle name="Comma 3 3 2 3 2 5 2 2" xfId="12790" xr:uid="{00000000-0005-0000-0000-000026320000}"/>
    <cellStyle name="Comma 3 3 2 3 2 5 2 2 2" xfId="12964" xr:uid="{00000000-0005-0000-0000-0000D4320000}"/>
    <cellStyle name="Comma 3 3 2 3 2 5 2 3" xfId="18022" xr:uid="{00000000-0005-0000-0000-000096460000}"/>
    <cellStyle name="Comma 3 3 2 3 2 5 2 4" xfId="18028" xr:uid="{00000000-0005-0000-0000-00009C460000}"/>
    <cellStyle name="Comma 3 3 2 3 2 5 2 5" xfId="18033" xr:uid="{00000000-0005-0000-0000-0000A1460000}"/>
    <cellStyle name="Comma 3 3 2 3 2 5 3" xfId="15981" xr:uid="{00000000-0005-0000-0000-00009D3E0000}"/>
    <cellStyle name="Comma 3 3 2 3 2 5 3 2" xfId="12797" xr:uid="{00000000-0005-0000-0000-00002D320000}"/>
    <cellStyle name="Comma 3 3 2 3 2 5 4" xfId="15984" xr:uid="{00000000-0005-0000-0000-0000A03E0000}"/>
    <cellStyle name="Comma 3 3 2 3 2 5 5" xfId="15987" xr:uid="{00000000-0005-0000-0000-0000A33E0000}"/>
    <cellStyle name="Comma 3 3 2 3 2 5 6" xfId="15990" xr:uid="{00000000-0005-0000-0000-0000A63E0000}"/>
    <cellStyle name="Comma 3 3 2 3 2 5 7" xfId="21593" xr:uid="{00000000-0005-0000-0000-000089540000}"/>
    <cellStyle name="Comma 3 3 2 3 2 5 8" xfId="147" xr:uid="{00000000-0005-0000-0000-00009F000000}"/>
    <cellStyle name="Comma 3 3 2 3 2 5 9" xfId="3904" xr:uid="{00000000-0005-0000-0000-0000700F0000}"/>
    <cellStyle name="Comma 3 3 2 3 2 6" xfId="4059" xr:uid="{00000000-0005-0000-0000-00000B100000}"/>
    <cellStyle name="Comma 3 3 2 3 2 6 2" xfId="13829" xr:uid="{00000000-0005-0000-0000-000035360000}"/>
    <cellStyle name="Comma 3 3 2 3 2 6 2 2" xfId="13832" xr:uid="{00000000-0005-0000-0000-000038360000}"/>
    <cellStyle name="Comma 3 3 2 3 2 6 3" xfId="4279" xr:uid="{00000000-0005-0000-0000-0000E7100000}"/>
    <cellStyle name="Comma 3 3 2 3 2 6 4" xfId="4306" xr:uid="{00000000-0005-0000-0000-000002110000}"/>
    <cellStyle name="Comma 3 3 2 3 2 6 5" xfId="6299" xr:uid="{00000000-0005-0000-0000-0000CB180000}"/>
    <cellStyle name="Comma 3 3 2 3 2 6 6" xfId="6317" xr:uid="{00000000-0005-0000-0000-0000DD180000}"/>
    <cellStyle name="Comma 3 3 2 3 2 6 7" xfId="21597" xr:uid="{00000000-0005-0000-0000-00008D540000}"/>
    <cellStyle name="Comma 3 3 2 3 2 6 8" xfId="23834" xr:uid="{00000000-0005-0000-0000-00004A5D0000}"/>
    <cellStyle name="Comma 3 3 2 3 2 6 9" xfId="4000" xr:uid="{00000000-0005-0000-0000-0000D00F0000}"/>
    <cellStyle name="Comma 3 3 2 3 2 7" xfId="1333" xr:uid="{00000000-0005-0000-0000-000065050000}"/>
    <cellStyle name="Comma 3 3 2 3 2 7 2" xfId="13843" xr:uid="{00000000-0005-0000-0000-000043360000}"/>
    <cellStyle name="Comma 3 3 2 3 2 8" xfId="9222" xr:uid="{00000000-0005-0000-0000-000036240000}"/>
    <cellStyle name="Comma 3 3 2 3 2 9" xfId="9226" xr:uid="{00000000-0005-0000-0000-00003A240000}"/>
    <cellStyle name="Comma 3 3 2 3 20" xfId="11529" xr:uid="{00000000-0005-0000-0000-0000392D0000}"/>
    <cellStyle name="Comma 3 3 2 3 21" xfId="23759" xr:uid="{00000000-0005-0000-0000-0000FF5C0000}"/>
    <cellStyle name="Comma 3 3 2 3 22" xfId="23761" xr:uid="{00000000-0005-0000-0000-0000015D0000}"/>
    <cellStyle name="Comma 3 3 2 3 23" xfId="23763" xr:uid="{00000000-0005-0000-0000-0000035D0000}"/>
    <cellStyle name="Comma 3 3 2 3 3" xfId="15764" xr:uid="{00000000-0005-0000-0000-0000C43D0000}"/>
    <cellStyle name="Comma 3 3 2 3 3 10" xfId="6520" xr:uid="{00000000-0005-0000-0000-0000A8190000}"/>
    <cellStyle name="Comma 3 3 2 3 3 11" xfId="11166" xr:uid="{00000000-0005-0000-0000-0000CE2B0000}"/>
    <cellStyle name="Comma 3 3 2 3 3 12" xfId="2336" xr:uid="{00000000-0005-0000-0000-000050090000}"/>
    <cellStyle name="Comma 3 3 2 3 3 13" xfId="23836" xr:uid="{00000000-0005-0000-0000-00004C5D0000}"/>
    <cellStyle name="Comma 3 3 2 3 3 14" xfId="19183" xr:uid="{00000000-0005-0000-0000-00001F4B0000}"/>
    <cellStyle name="Comma 3 3 2 3 3 15" xfId="19193" xr:uid="{00000000-0005-0000-0000-0000294B0000}"/>
    <cellStyle name="Comma 3 3 2 3 3 16" xfId="19197" xr:uid="{00000000-0005-0000-0000-00002D4B0000}"/>
    <cellStyle name="Comma 3 3 2 3 3 17" xfId="4115" xr:uid="{00000000-0005-0000-0000-000043100000}"/>
    <cellStyle name="Comma 3 3 2 3 3 18" xfId="19202" xr:uid="{00000000-0005-0000-0000-0000324B0000}"/>
    <cellStyle name="Comma 3 3 2 3 3 2" xfId="23838" xr:uid="{00000000-0005-0000-0000-00004E5D0000}"/>
    <cellStyle name="Comma 3 3 2 3 3 2 10" xfId="23839" xr:uid="{00000000-0005-0000-0000-00004F5D0000}"/>
    <cellStyle name="Comma 3 3 2 3 3 2 2" xfId="21623" xr:uid="{00000000-0005-0000-0000-0000A7540000}"/>
    <cellStyle name="Comma 3 3 2 3 3 2 2 2" xfId="23841" xr:uid="{00000000-0005-0000-0000-0000515D0000}"/>
    <cellStyle name="Comma 3 3 2 3 3 2 3" xfId="21625" xr:uid="{00000000-0005-0000-0000-0000A9540000}"/>
    <cellStyle name="Comma 3 3 2 3 3 2 4" xfId="21627" xr:uid="{00000000-0005-0000-0000-0000AB540000}"/>
    <cellStyle name="Comma 3 3 2 3 3 2 5" xfId="21629" xr:uid="{00000000-0005-0000-0000-0000AD540000}"/>
    <cellStyle name="Comma 3 3 2 3 3 2 6" xfId="21632" xr:uid="{00000000-0005-0000-0000-0000B0540000}"/>
    <cellStyle name="Comma 3 3 2 3 3 2 7" xfId="21635" xr:uid="{00000000-0005-0000-0000-0000B3540000}"/>
    <cellStyle name="Comma 3 3 2 3 3 2 8" xfId="23846" xr:uid="{00000000-0005-0000-0000-0000565D0000}"/>
    <cellStyle name="Comma 3 3 2 3 3 2 9" xfId="23847" xr:uid="{00000000-0005-0000-0000-0000575D0000}"/>
    <cellStyle name="Comma 3 3 2 3 3 3" xfId="23849" xr:uid="{00000000-0005-0000-0000-0000595D0000}"/>
    <cellStyle name="Comma 3 3 2 3 3 3 2" xfId="21640" xr:uid="{00000000-0005-0000-0000-0000B8540000}"/>
    <cellStyle name="Comma 3 3 2 3 3 3 3" xfId="21642" xr:uid="{00000000-0005-0000-0000-0000BA540000}"/>
    <cellStyle name="Comma 3 3 2 3 3 3 4" xfId="21644" xr:uid="{00000000-0005-0000-0000-0000BC540000}"/>
    <cellStyle name="Comma 3 3 2 3 3 3 5" xfId="23850" xr:uid="{00000000-0005-0000-0000-00005A5D0000}"/>
    <cellStyle name="Comma 3 3 2 3 3 3 6" xfId="23851" xr:uid="{00000000-0005-0000-0000-00005B5D0000}"/>
    <cellStyle name="Comma 3 3 2 3 3 4" xfId="8372" xr:uid="{00000000-0005-0000-0000-0000E4200000}"/>
    <cellStyle name="Comma 3 3 2 3 3 4 2" xfId="9254" xr:uid="{00000000-0005-0000-0000-000056240000}"/>
    <cellStyle name="Comma 3 3 2 3 3 4 3" xfId="9265" xr:uid="{00000000-0005-0000-0000-000061240000}"/>
    <cellStyle name="Comma 3 3 2 3 3 4 4" xfId="9275" xr:uid="{00000000-0005-0000-0000-00006B240000}"/>
    <cellStyle name="Comma 3 3 2 3 3 4 5" xfId="9286" xr:uid="{00000000-0005-0000-0000-000076240000}"/>
    <cellStyle name="Comma 3 3 2 3 3 4 6" xfId="16004" xr:uid="{00000000-0005-0000-0000-0000B43E0000}"/>
    <cellStyle name="Comma 3 3 2 3 3 5" xfId="2135" xr:uid="{00000000-0005-0000-0000-000087080000}"/>
    <cellStyle name="Comma 3 3 2 3 3 5 2" xfId="9297" xr:uid="{00000000-0005-0000-0000-000081240000}"/>
    <cellStyle name="Comma 3 3 2 3 3 5 3" xfId="16007" xr:uid="{00000000-0005-0000-0000-0000B73E0000}"/>
    <cellStyle name="Comma 3 3 2 3 3 5 4" xfId="16011" xr:uid="{00000000-0005-0000-0000-0000BB3E0000}"/>
    <cellStyle name="Comma 3 3 2 3 3 5 5" xfId="16014" xr:uid="{00000000-0005-0000-0000-0000BE3E0000}"/>
    <cellStyle name="Comma 3 3 2 3 3 5 6" xfId="16016" xr:uid="{00000000-0005-0000-0000-0000C03E0000}"/>
    <cellStyle name="Comma 3 3 2 3 3 6" xfId="8378" xr:uid="{00000000-0005-0000-0000-0000EA200000}"/>
    <cellStyle name="Comma 3 3 2 3 3 6 2" xfId="13852" xr:uid="{00000000-0005-0000-0000-00004C360000}"/>
    <cellStyle name="Comma 3 3 2 3 3 6 3" xfId="21652" xr:uid="{00000000-0005-0000-0000-0000C4540000}"/>
    <cellStyle name="Comma 3 3 2 3 3 6 4" xfId="21654" xr:uid="{00000000-0005-0000-0000-0000C6540000}"/>
    <cellStyle name="Comma 3 3 2 3 3 6 5" xfId="23852" xr:uid="{00000000-0005-0000-0000-00005C5D0000}"/>
    <cellStyle name="Comma 3 3 2 3 3 6 6" xfId="23854" xr:uid="{00000000-0005-0000-0000-00005E5D0000}"/>
    <cellStyle name="Comma 3 3 2 3 3 7" xfId="8385" xr:uid="{00000000-0005-0000-0000-0000F1200000}"/>
    <cellStyle name="Comma 3 3 2 3 3 8" xfId="9307" xr:uid="{00000000-0005-0000-0000-00008B240000}"/>
    <cellStyle name="Comma 3 3 2 3 3 9" xfId="9313" xr:uid="{00000000-0005-0000-0000-000091240000}"/>
    <cellStyle name="Comma 3 3 2 3 4" xfId="15766" xr:uid="{00000000-0005-0000-0000-0000C63D0000}"/>
    <cellStyle name="Comma 3 3 2 3 4 10" xfId="23856" xr:uid="{00000000-0005-0000-0000-0000605D0000}"/>
    <cellStyle name="Comma 3 3 2 3 4 11" xfId="23859" xr:uid="{00000000-0005-0000-0000-0000635D0000}"/>
    <cellStyle name="Comma 3 3 2 3 4 12" xfId="23862" xr:uid="{00000000-0005-0000-0000-0000665D0000}"/>
    <cellStyle name="Comma 3 3 2 3 4 13" xfId="23864" xr:uid="{00000000-0005-0000-0000-0000685D0000}"/>
    <cellStyle name="Comma 3 3 2 3 4 14" xfId="23866" xr:uid="{00000000-0005-0000-0000-00006A5D0000}"/>
    <cellStyle name="Comma 3 3 2 3 4 15" xfId="23867" xr:uid="{00000000-0005-0000-0000-00006B5D0000}"/>
    <cellStyle name="Comma 3 3 2 3 4 2" xfId="19808" xr:uid="{00000000-0005-0000-0000-0000904D0000}"/>
    <cellStyle name="Comma 3 3 2 3 4 2 2" xfId="21690" xr:uid="{00000000-0005-0000-0000-0000EA540000}"/>
    <cellStyle name="Comma 3 3 2 3 4 2 2 2" xfId="14461" xr:uid="{00000000-0005-0000-0000-0000AD380000}"/>
    <cellStyle name="Comma 3 3 2 3 4 2 3" xfId="21693" xr:uid="{00000000-0005-0000-0000-0000ED540000}"/>
    <cellStyle name="Comma 3 3 2 3 4 2 4" xfId="21696" xr:uid="{00000000-0005-0000-0000-0000F0540000}"/>
    <cellStyle name="Comma 3 3 2 3 4 2 5" xfId="17173" xr:uid="{00000000-0005-0000-0000-000045430000}"/>
    <cellStyle name="Comma 3 3 2 3 4 2 6" xfId="21700" xr:uid="{00000000-0005-0000-0000-0000F4540000}"/>
    <cellStyle name="Comma 3 3 2 3 4 2 7" xfId="21702" xr:uid="{00000000-0005-0000-0000-0000F6540000}"/>
    <cellStyle name="Comma 3 3 2 3 4 2 8" xfId="23868" xr:uid="{00000000-0005-0000-0000-00006C5D0000}"/>
    <cellStyle name="Comma 3 3 2 3 4 2 9" xfId="23869" xr:uid="{00000000-0005-0000-0000-00006D5D0000}"/>
    <cellStyle name="Comma 3 3 2 3 4 3" xfId="19810" xr:uid="{00000000-0005-0000-0000-0000924D0000}"/>
    <cellStyle name="Comma 3 3 2 3 4 3 2" xfId="21709" xr:uid="{00000000-0005-0000-0000-0000FD540000}"/>
    <cellStyle name="Comma 3 3 2 3 4 3 3" xfId="21712" xr:uid="{00000000-0005-0000-0000-000000550000}"/>
    <cellStyle name="Comma 3 3 2 3 4 3 4" xfId="21715" xr:uid="{00000000-0005-0000-0000-000003550000}"/>
    <cellStyle name="Comma 3 3 2 3 4 3 5" xfId="23870" xr:uid="{00000000-0005-0000-0000-00006E5D0000}"/>
    <cellStyle name="Comma 3 3 2 3 4 3 6" xfId="23871" xr:uid="{00000000-0005-0000-0000-00006F5D0000}"/>
    <cellStyle name="Comma 3 3 2 3 4 4" xfId="23872" xr:uid="{00000000-0005-0000-0000-0000705D0000}"/>
    <cellStyle name="Comma 3 3 2 3 4 4 2" xfId="21218" xr:uid="{00000000-0005-0000-0000-000012530000}"/>
    <cellStyle name="Comma 3 3 2 3 4 5" xfId="2154" xr:uid="{00000000-0005-0000-0000-00009A080000}"/>
    <cellStyle name="Comma 3 3 2 3 4 6" xfId="8210" xr:uid="{00000000-0005-0000-0000-000042200000}"/>
    <cellStyle name="Comma 3 3 2 3 4 7" xfId="8219" xr:uid="{00000000-0005-0000-0000-00004B200000}"/>
    <cellStyle name="Comma 3 3 2 3 4 8" xfId="52" xr:uid="{00000000-0005-0000-0000-000038000000}"/>
    <cellStyle name="Comma 3 3 2 3 4 9" xfId="5055" xr:uid="{00000000-0005-0000-0000-0000EF130000}"/>
    <cellStyle name="Comma 3 3 2 3 5" xfId="15768" xr:uid="{00000000-0005-0000-0000-0000C83D0000}"/>
    <cellStyle name="Comma 3 3 2 3 5 10" xfId="3146" xr:uid="{00000000-0005-0000-0000-00007A0C0000}"/>
    <cellStyle name="Comma 3 3 2 3 5 11" xfId="14508" xr:uid="{00000000-0005-0000-0000-0000DC380000}"/>
    <cellStyle name="Comma 3 3 2 3 5 12" xfId="14537" xr:uid="{00000000-0005-0000-0000-0000F9380000}"/>
    <cellStyle name="Comma 3 3 2 3 5 13" xfId="14542" xr:uid="{00000000-0005-0000-0000-0000FE380000}"/>
    <cellStyle name="Comma 3 3 2 3 5 2" xfId="23296" xr:uid="{00000000-0005-0000-0000-0000305B0000}"/>
    <cellStyle name="Comma 3 3 2 3 5 2 2" xfId="21738" xr:uid="{00000000-0005-0000-0000-00001A550000}"/>
    <cellStyle name="Comma 3 3 2 3 5 2 2 2" xfId="23873" xr:uid="{00000000-0005-0000-0000-0000715D0000}"/>
    <cellStyle name="Comma 3 3 2 3 5 2 3" xfId="21745" xr:uid="{00000000-0005-0000-0000-000021550000}"/>
    <cellStyle name="Comma 3 3 2 3 5 2 4" xfId="21752" xr:uid="{00000000-0005-0000-0000-000028550000}"/>
    <cellStyle name="Comma 3 3 2 3 5 2 5" xfId="21760" xr:uid="{00000000-0005-0000-0000-000030550000}"/>
    <cellStyle name="Comma 3 3 2 3 5 2 6" xfId="21763" xr:uid="{00000000-0005-0000-0000-000033550000}"/>
    <cellStyle name="Comma 3 3 2 3 5 2 7" xfId="21765" xr:uid="{00000000-0005-0000-0000-000035550000}"/>
    <cellStyle name="Comma 3 3 2 3 5 2 8" xfId="23874" xr:uid="{00000000-0005-0000-0000-0000725D0000}"/>
    <cellStyle name="Comma 3 3 2 3 5 2 9" xfId="23875" xr:uid="{00000000-0005-0000-0000-0000735D0000}"/>
    <cellStyle name="Comma 3 3 2 3 5 3" xfId="23299" xr:uid="{00000000-0005-0000-0000-0000335B0000}"/>
    <cellStyle name="Comma 3 3 2 3 5 3 2" xfId="21773" xr:uid="{00000000-0005-0000-0000-00003D550000}"/>
    <cellStyle name="Comma 3 3 2 3 5 3 3" xfId="21777" xr:uid="{00000000-0005-0000-0000-000041550000}"/>
    <cellStyle name="Comma 3 3 2 3 5 3 4" xfId="21781" xr:uid="{00000000-0005-0000-0000-000045550000}"/>
    <cellStyle name="Comma 3 3 2 3 5 3 5" xfId="23876" xr:uid="{00000000-0005-0000-0000-0000745D0000}"/>
    <cellStyle name="Comma 3 3 2 3 5 3 6" xfId="23877" xr:uid="{00000000-0005-0000-0000-0000755D0000}"/>
    <cellStyle name="Comma 3 3 2 3 5 4" xfId="23303" xr:uid="{00000000-0005-0000-0000-0000375B0000}"/>
    <cellStyle name="Comma 3 3 2 3 5 4 2" xfId="21280" xr:uid="{00000000-0005-0000-0000-000050530000}"/>
    <cellStyle name="Comma 3 3 2 3 5 5" xfId="2194" xr:uid="{00000000-0005-0000-0000-0000C2080000}"/>
    <cellStyle name="Comma 3 3 2 3 5 6" xfId="23881" xr:uid="{00000000-0005-0000-0000-0000795D0000}"/>
    <cellStyle name="Comma 3 3 2 3 5 7" xfId="23885" xr:uid="{00000000-0005-0000-0000-00007D5D0000}"/>
    <cellStyle name="Comma 3 3 2 3 5 8" xfId="23889" xr:uid="{00000000-0005-0000-0000-0000815D0000}"/>
    <cellStyle name="Comma 3 3 2 3 5 9" xfId="23892" xr:uid="{00000000-0005-0000-0000-0000845D0000}"/>
    <cellStyle name="Comma 3 3 2 3 6" xfId="23893" xr:uid="{00000000-0005-0000-0000-0000855D0000}"/>
    <cellStyle name="Comma 3 3 2 3 6 10" xfId="14779" xr:uid="{00000000-0005-0000-0000-0000EB390000}"/>
    <cellStyle name="Comma 3 3 2 3 6 11" xfId="14786" xr:uid="{00000000-0005-0000-0000-0000F2390000}"/>
    <cellStyle name="Comma 3 3 2 3 6 12" xfId="14791" xr:uid="{00000000-0005-0000-0000-0000F7390000}"/>
    <cellStyle name="Comma 3 3 2 3 6 2" xfId="23898" xr:uid="{00000000-0005-0000-0000-00008A5D0000}"/>
    <cellStyle name="Comma 3 3 2 3 6 2 2" xfId="21817" xr:uid="{00000000-0005-0000-0000-000069550000}"/>
    <cellStyle name="Comma 3 3 2 3 6 2 2 2" xfId="23902" xr:uid="{00000000-0005-0000-0000-00008E5D0000}"/>
    <cellStyle name="Comma 3 3 2 3 6 2 3" xfId="21826" xr:uid="{00000000-0005-0000-0000-000072550000}"/>
    <cellStyle name="Comma 3 3 2 3 6 2 4" xfId="21834" xr:uid="{00000000-0005-0000-0000-00007A550000}"/>
    <cellStyle name="Comma 3 3 2 3 6 2 5" xfId="21846" xr:uid="{00000000-0005-0000-0000-000086550000}"/>
    <cellStyle name="Comma 3 3 2 3 6 2 6" xfId="21853" xr:uid="{00000000-0005-0000-0000-00008D550000}"/>
    <cellStyle name="Comma 3 3 2 3 6 2 7" xfId="21860" xr:uid="{00000000-0005-0000-0000-000094550000}"/>
    <cellStyle name="Comma 3 3 2 3 6 2 8" xfId="23904" xr:uid="{00000000-0005-0000-0000-0000905D0000}"/>
    <cellStyle name="Comma 3 3 2 3 6 2 9" xfId="23905" xr:uid="{00000000-0005-0000-0000-0000915D0000}"/>
    <cellStyle name="Comma 3 3 2 3 6 3" xfId="23912" xr:uid="{00000000-0005-0000-0000-0000985D0000}"/>
    <cellStyle name="Comma 3 3 2 3 6 3 2" xfId="21879" xr:uid="{00000000-0005-0000-0000-0000A7550000}"/>
    <cellStyle name="Comma 3 3 2 3 6 3 3" xfId="21884" xr:uid="{00000000-0005-0000-0000-0000AC550000}"/>
    <cellStyle name="Comma 3 3 2 3 6 3 4" xfId="21889" xr:uid="{00000000-0005-0000-0000-0000B1550000}"/>
    <cellStyle name="Comma 3 3 2 3 6 3 5" xfId="23914" xr:uid="{00000000-0005-0000-0000-00009A5D0000}"/>
    <cellStyle name="Comma 3 3 2 3 6 3 6" xfId="23916" xr:uid="{00000000-0005-0000-0000-00009C5D0000}"/>
    <cellStyle name="Comma 3 3 2 3 6 4" xfId="23921" xr:uid="{00000000-0005-0000-0000-0000A15D0000}"/>
    <cellStyle name="Comma 3 3 2 3 6 4 2" xfId="2060" xr:uid="{00000000-0005-0000-0000-00003C080000}"/>
    <cellStyle name="Comma 3 3 2 3 6 5" xfId="23929" xr:uid="{00000000-0005-0000-0000-0000A95D0000}"/>
    <cellStyle name="Comma 3 3 2 3 6 6" xfId="23935" xr:uid="{00000000-0005-0000-0000-0000AF5D0000}"/>
    <cellStyle name="Comma 3 3 2 3 6 7" xfId="23939" xr:uid="{00000000-0005-0000-0000-0000B35D0000}"/>
    <cellStyle name="Comma 3 3 2 3 6 8" xfId="23943" xr:uid="{00000000-0005-0000-0000-0000B75D0000}"/>
    <cellStyle name="Comma 3 3 2 3 6 9" xfId="23946" xr:uid="{00000000-0005-0000-0000-0000BA5D0000}"/>
    <cellStyle name="Comma 3 3 2 3 7" xfId="23947" xr:uid="{00000000-0005-0000-0000-0000BB5D0000}"/>
    <cellStyle name="Comma 3 3 2 3 7 2" xfId="23950" xr:uid="{00000000-0005-0000-0000-0000BE5D0000}"/>
    <cellStyle name="Comma 3 3 2 3 7 2 2" xfId="23951" xr:uid="{00000000-0005-0000-0000-0000BF5D0000}"/>
    <cellStyle name="Comma 3 3 2 3 7 3" xfId="23953" xr:uid="{00000000-0005-0000-0000-0000C15D0000}"/>
    <cellStyle name="Comma 3 3 2 3 7 4" xfId="23954" xr:uid="{00000000-0005-0000-0000-0000C25D0000}"/>
    <cellStyle name="Comma 3 3 2 3 7 5" xfId="23957" xr:uid="{00000000-0005-0000-0000-0000C55D0000}"/>
    <cellStyle name="Comma 3 3 2 3 7 6" xfId="23960" xr:uid="{00000000-0005-0000-0000-0000C85D0000}"/>
    <cellStyle name="Comma 3 3 2 3 7 7" xfId="23964" xr:uid="{00000000-0005-0000-0000-0000CC5D0000}"/>
    <cellStyle name="Comma 3 3 2 3 7 8" xfId="144" xr:uid="{00000000-0005-0000-0000-00009B000000}"/>
    <cellStyle name="Comma 3 3 2 3 7 9" xfId="3901" xr:uid="{00000000-0005-0000-0000-00006D0F0000}"/>
    <cellStyle name="Comma 3 3 2 3 8" xfId="23965" xr:uid="{00000000-0005-0000-0000-0000CD5D0000}"/>
    <cellStyle name="Comma 3 3 2 3 8 2" xfId="1802" xr:uid="{00000000-0005-0000-0000-00003A070000}"/>
    <cellStyle name="Comma 3 3 2 3 8 3" xfId="4266" xr:uid="{00000000-0005-0000-0000-0000DA100000}"/>
    <cellStyle name="Comma 3 3 2 3 8 4" xfId="4293" xr:uid="{00000000-0005-0000-0000-0000F5100000}"/>
    <cellStyle name="Comma 3 3 2 3 8 5" xfId="6290" xr:uid="{00000000-0005-0000-0000-0000C2180000}"/>
    <cellStyle name="Comma 3 3 2 3 8 6" xfId="6308" xr:uid="{00000000-0005-0000-0000-0000D4180000}"/>
    <cellStyle name="Comma 3 3 2 3 9" xfId="23966" xr:uid="{00000000-0005-0000-0000-0000CE5D0000}"/>
    <cellStyle name="Comma 3 3 2 3 9 2" xfId="23969" xr:uid="{00000000-0005-0000-0000-0000D15D0000}"/>
    <cellStyle name="Comma 3 3 2 3 9 3" xfId="4321" xr:uid="{00000000-0005-0000-0000-000011110000}"/>
    <cellStyle name="Comma 3 3 2 3 9 4" xfId="12646" xr:uid="{00000000-0005-0000-0000-000096310000}"/>
    <cellStyle name="Comma 3 3 2 3 9 5" xfId="12653" xr:uid="{00000000-0005-0000-0000-00009D310000}"/>
    <cellStyle name="Comma 3 3 2 3 9 6" xfId="12659" xr:uid="{00000000-0005-0000-0000-0000A3310000}"/>
    <cellStyle name="Comma 3 3 2 4" xfId="23970" xr:uid="{00000000-0005-0000-0000-0000D25D0000}"/>
    <cellStyle name="Comma 3 3 2 4 10" xfId="7257" xr:uid="{00000000-0005-0000-0000-0000891C0000}"/>
    <cellStyle name="Comma 3 3 2 4 10 2" xfId="22059" xr:uid="{00000000-0005-0000-0000-00005B560000}"/>
    <cellStyle name="Comma 3 3 2 4 10 3" xfId="1011" xr:uid="{00000000-0005-0000-0000-000023040000}"/>
    <cellStyle name="Comma 3 3 2 4 10 4" xfId="2504" xr:uid="{00000000-0005-0000-0000-0000F8090000}"/>
    <cellStyle name="Comma 3 3 2 4 10 5" xfId="23973" xr:uid="{00000000-0005-0000-0000-0000D55D0000}"/>
    <cellStyle name="Comma 3 3 2 4 10 6" xfId="23975" xr:uid="{00000000-0005-0000-0000-0000D75D0000}"/>
    <cellStyle name="Comma 3 3 2 4 11" xfId="8477" xr:uid="{00000000-0005-0000-0000-00004D210000}"/>
    <cellStyle name="Comma 3 3 2 4 11 2" xfId="23976" xr:uid="{00000000-0005-0000-0000-0000D85D0000}"/>
    <cellStyle name="Comma 3 3 2 4 11 3" xfId="1036" xr:uid="{00000000-0005-0000-0000-00003C040000}"/>
    <cellStyle name="Comma 3 3 2 4 11 4" xfId="2559" xr:uid="{00000000-0005-0000-0000-00002F0A0000}"/>
    <cellStyle name="Comma 3 3 2 4 11 5" xfId="23978" xr:uid="{00000000-0005-0000-0000-0000DA5D0000}"/>
    <cellStyle name="Comma 3 3 2 4 11 6" xfId="23979" xr:uid="{00000000-0005-0000-0000-0000DB5D0000}"/>
    <cellStyle name="Comma 3 3 2 4 12" xfId="8487" xr:uid="{00000000-0005-0000-0000-000057210000}"/>
    <cellStyle name="Comma 3 3 2 4 13" xfId="8497" xr:uid="{00000000-0005-0000-0000-000061210000}"/>
    <cellStyle name="Comma 3 3 2 4 14" xfId="8506" xr:uid="{00000000-0005-0000-0000-00006A210000}"/>
    <cellStyle name="Comma 3 3 2 4 15" xfId="11153" xr:uid="{00000000-0005-0000-0000-0000C12B0000}"/>
    <cellStyle name="Comma 3 3 2 4 16" xfId="23983" xr:uid="{00000000-0005-0000-0000-0000DF5D0000}"/>
    <cellStyle name="Comma 3 3 2 4 17" xfId="23988" xr:uid="{00000000-0005-0000-0000-0000E45D0000}"/>
    <cellStyle name="Comma 3 3 2 4 18" xfId="20418" xr:uid="{00000000-0005-0000-0000-0000F24F0000}"/>
    <cellStyle name="Comma 3 3 2 4 19" xfId="6494" xr:uid="{00000000-0005-0000-0000-00008E190000}"/>
    <cellStyle name="Comma 3 3 2 4 2" xfId="224" xr:uid="{00000000-0005-0000-0000-0000F0000000}"/>
    <cellStyle name="Comma 3 3 2 4 2 10" xfId="23992" xr:uid="{00000000-0005-0000-0000-0000E85D0000}"/>
    <cellStyle name="Comma 3 3 2 4 2 11" xfId="23993" xr:uid="{00000000-0005-0000-0000-0000E95D0000}"/>
    <cellStyle name="Comma 3 3 2 4 2 12" xfId="23994" xr:uid="{00000000-0005-0000-0000-0000EA5D0000}"/>
    <cellStyle name="Comma 3 3 2 4 2 13" xfId="23995" xr:uid="{00000000-0005-0000-0000-0000EB5D0000}"/>
    <cellStyle name="Comma 3 3 2 4 2 14" xfId="23996" xr:uid="{00000000-0005-0000-0000-0000EC5D0000}"/>
    <cellStyle name="Comma 3 3 2 4 2 15" xfId="23997" xr:uid="{00000000-0005-0000-0000-0000ED5D0000}"/>
    <cellStyle name="Comma 3 3 2 4 2 16" xfId="10518" xr:uid="{00000000-0005-0000-0000-000046290000}"/>
    <cellStyle name="Comma 3 3 2 4 2 17" xfId="23998" xr:uid="{00000000-0005-0000-0000-0000EE5D0000}"/>
    <cellStyle name="Comma 3 3 2 4 2 18" xfId="24000" xr:uid="{00000000-0005-0000-0000-0000F05D0000}"/>
    <cellStyle name="Comma 3 3 2 4 2 2" xfId="289" xr:uid="{00000000-0005-0000-0000-000034010000}"/>
    <cellStyle name="Comma 3 3 2 4 2 2 10" xfId="14832" xr:uid="{00000000-0005-0000-0000-0000203A0000}"/>
    <cellStyle name="Comma 3 3 2 4 2 2 11" xfId="24005" xr:uid="{00000000-0005-0000-0000-0000F55D0000}"/>
    <cellStyle name="Comma 3 3 2 4 2 2 12" xfId="19393" xr:uid="{00000000-0005-0000-0000-0000F14B0000}"/>
    <cellStyle name="Comma 3 3 2 4 2 2 2" xfId="8131" xr:uid="{00000000-0005-0000-0000-0000F31F0000}"/>
    <cellStyle name="Comma 3 3 2 4 2 2 2 2" xfId="24007" xr:uid="{00000000-0005-0000-0000-0000F75D0000}"/>
    <cellStyle name="Comma 3 3 2 4 2 2 2 2 2" xfId="13441" xr:uid="{00000000-0005-0000-0000-0000B1340000}"/>
    <cellStyle name="Comma 3 3 2 4 2 2 2 3" xfId="24009" xr:uid="{00000000-0005-0000-0000-0000F95D0000}"/>
    <cellStyle name="Comma 3 3 2 4 2 2 2 4" xfId="24010" xr:uid="{00000000-0005-0000-0000-0000FA5D0000}"/>
    <cellStyle name="Comma 3 3 2 4 2 2 2 5" xfId="24012" xr:uid="{00000000-0005-0000-0000-0000FC5D0000}"/>
    <cellStyle name="Comma 3 3 2 4 2 2 3" xfId="8134" xr:uid="{00000000-0005-0000-0000-0000F61F0000}"/>
    <cellStyle name="Comma 3 3 2 4 2 2 3 2" xfId="24014" xr:uid="{00000000-0005-0000-0000-0000FE5D0000}"/>
    <cellStyle name="Comma 3 3 2 4 2 2 4" xfId="21960" xr:uid="{00000000-0005-0000-0000-0000F8550000}"/>
    <cellStyle name="Comma 3 3 2 4 2 2 5" xfId="21962" xr:uid="{00000000-0005-0000-0000-0000FA550000}"/>
    <cellStyle name="Comma 3 3 2 4 2 2 6" xfId="21965" xr:uid="{00000000-0005-0000-0000-0000FD550000}"/>
    <cellStyle name="Comma 3 3 2 4 2 2 7" xfId="21971" xr:uid="{00000000-0005-0000-0000-000003560000}"/>
    <cellStyle name="Comma 3 3 2 4 2 2 8" xfId="1634" xr:uid="{00000000-0005-0000-0000-000092060000}"/>
    <cellStyle name="Comma 3 3 2 4 2 2 9" xfId="22517" xr:uid="{00000000-0005-0000-0000-000025580000}"/>
    <cellStyle name="Comma 3 3 2 4 2 3" xfId="318" xr:uid="{00000000-0005-0000-0000-000053010000}"/>
    <cellStyle name="Comma 3 3 2 4 2 3 10" xfId="8200" xr:uid="{00000000-0005-0000-0000-000038200000}"/>
    <cellStyle name="Comma 3 3 2 4 2 3 11" xfId="11219" xr:uid="{00000000-0005-0000-0000-0000032C0000}"/>
    <cellStyle name="Comma 3 3 2 4 2 3 12" xfId="24015" xr:uid="{00000000-0005-0000-0000-0000FF5D0000}"/>
    <cellStyle name="Comma 3 3 2 4 2 3 2" xfId="21985" xr:uid="{00000000-0005-0000-0000-000011560000}"/>
    <cellStyle name="Comma 3 3 2 4 2 3 2 2" xfId="19506" xr:uid="{00000000-0005-0000-0000-0000624C0000}"/>
    <cellStyle name="Comma 3 3 2 4 2 3 2 2 2" xfId="24016" xr:uid="{00000000-0005-0000-0000-0000005E0000}"/>
    <cellStyle name="Comma 3 3 2 4 2 3 2 3" xfId="24019" xr:uid="{00000000-0005-0000-0000-0000035E0000}"/>
    <cellStyle name="Comma 3 3 2 4 2 3 2 4" xfId="24020" xr:uid="{00000000-0005-0000-0000-0000045E0000}"/>
    <cellStyle name="Comma 3 3 2 4 2 3 2 5" xfId="24021" xr:uid="{00000000-0005-0000-0000-0000055E0000}"/>
    <cellStyle name="Comma 3 3 2 4 2 3 3" xfId="21989" xr:uid="{00000000-0005-0000-0000-000015560000}"/>
    <cellStyle name="Comma 3 3 2 4 2 3 3 2" xfId="24022" xr:uid="{00000000-0005-0000-0000-0000065E0000}"/>
    <cellStyle name="Comma 3 3 2 4 2 3 4" xfId="20156" xr:uid="{00000000-0005-0000-0000-0000EC4E0000}"/>
    <cellStyle name="Comma 3 3 2 4 2 3 5" xfId="21993" xr:uid="{00000000-0005-0000-0000-000019560000}"/>
    <cellStyle name="Comma 3 3 2 4 2 3 6" xfId="21997" xr:uid="{00000000-0005-0000-0000-00001D560000}"/>
    <cellStyle name="Comma 3 3 2 4 2 3 7" xfId="22002" xr:uid="{00000000-0005-0000-0000-000022560000}"/>
    <cellStyle name="Comma 3 3 2 4 2 3 8" xfId="1059" xr:uid="{00000000-0005-0000-0000-000053040000}"/>
    <cellStyle name="Comma 3 3 2 4 2 3 9" xfId="24023" xr:uid="{00000000-0005-0000-0000-0000075E0000}"/>
    <cellStyle name="Comma 3 3 2 4 2 4" xfId="185" xr:uid="{00000000-0005-0000-0000-0000C7000000}"/>
    <cellStyle name="Comma 3 3 2 4 2 4 10" xfId="24024" xr:uid="{00000000-0005-0000-0000-0000085E0000}"/>
    <cellStyle name="Comma 3 3 2 4 2 4 2" xfId="9436" xr:uid="{00000000-0005-0000-0000-00000C250000}"/>
    <cellStyle name="Comma 3 3 2 4 2 4 2 2" xfId="12775" xr:uid="{00000000-0005-0000-0000-000017320000}"/>
    <cellStyle name="Comma 3 3 2 4 2 4 2 2 2" xfId="3479" xr:uid="{00000000-0005-0000-0000-0000C70D0000}"/>
    <cellStyle name="Comma 3 3 2 4 2 4 2 3" xfId="24025" xr:uid="{00000000-0005-0000-0000-0000095E0000}"/>
    <cellStyle name="Comma 3 3 2 4 2 4 2 4" xfId="24026" xr:uid="{00000000-0005-0000-0000-00000A5E0000}"/>
    <cellStyle name="Comma 3 3 2 4 2 4 2 5" xfId="24027" xr:uid="{00000000-0005-0000-0000-00000B5E0000}"/>
    <cellStyle name="Comma 3 3 2 4 2 4 3" xfId="17731" xr:uid="{00000000-0005-0000-0000-000073450000}"/>
    <cellStyle name="Comma 3 3 2 4 2 4 3 2" xfId="24028" xr:uid="{00000000-0005-0000-0000-00000C5E0000}"/>
    <cellStyle name="Comma 3 3 2 4 2 4 4" xfId="17734" xr:uid="{00000000-0005-0000-0000-000076450000}"/>
    <cellStyle name="Comma 3 3 2 4 2 4 5" xfId="17737" xr:uid="{00000000-0005-0000-0000-000079450000}"/>
    <cellStyle name="Comma 3 3 2 4 2 4 6" xfId="17740" xr:uid="{00000000-0005-0000-0000-00007C450000}"/>
    <cellStyle name="Comma 3 3 2 4 2 4 7" xfId="17626" xr:uid="{00000000-0005-0000-0000-00000A450000}"/>
    <cellStyle name="Comma 3 3 2 4 2 4 8" xfId="17743" xr:uid="{00000000-0005-0000-0000-00007F450000}"/>
    <cellStyle name="Comma 3 3 2 4 2 4 9" xfId="17747" xr:uid="{00000000-0005-0000-0000-000083450000}"/>
    <cellStyle name="Comma 3 3 2 4 2 5" xfId="9446" xr:uid="{00000000-0005-0000-0000-000016250000}"/>
    <cellStyle name="Comma 3 3 2 4 2 5 10" xfId="24029" xr:uid="{00000000-0005-0000-0000-00000D5E0000}"/>
    <cellStyle name="Comma 3 3 2 4 2 5 2" xfId="17405" xr:uid="{00000000-0005-0000-0000-00002D440000}"/>
    <cellStyle name="Comma 3 3 2 4 2 5 2 2" xfId="19555" xr:uid="{00000000-0005-0000-0000-0000934C0000}"/>
    <cellStyle name="Comma 3 3 2 4 2 5 2 2 2" xfId="24032" xr:uid="{00000000-0005-0000-0000-0000105E0000}"/>
    <cellStyle name="Comma 3 3 2 4 2 5 2 3" xfId="24033" xr:uid="{00000000-0005-0000-0000-0000115E0000}"/>
    <cellStyle name="Comma 3 3 2 4 2 5 2 4" xfId="24034" xr:uid="{00000000-0005-0000-0000-0000125E0000}"/>
    <cellStyle name="Comma 3 3 2 4 2 5 2 5" xfId="24035" xr:uid="{00000000-0005-0000-0000-0000135E0000}"/>
    <cellStyle name="Comma 3 3 2 4 2 5 3" xfId="17409" xr:uid="{00000000-0005-0000-0000-000031440000}"/>
    <cellStyle name="Comma 3 3 2 4 2 5 3 2" xfId="591" xr:uid="{00000000-0005-0000-0000-000078020000}"/>
    <cellStyle name="Comma 3 3 2 4 2 5 4" xfId="17415" xr:uid="{00000000-0005-0000-0000-000037440000}"/>
    <cellStyle name="Comma 3 3 2 4 2 5 5" xfId="17419" xr:uid="{00000000-0005-0000-0000-00003B440000}"/>
    <cellStyle name="Comma 3 3 2 4 2 5 6" xfId="17423" xr:uid="{00000000-0005-0000-0000-00003F440000}"/>
    <cellStyle name="Comma 3 3 2 4 2 5 7" xfId="17428" xr:uid="{00000000-0005-0000-0000-000044440000}"/>
    <cellStyle name="Comma 3 3 2 4 2 5 8" xfId="24037" xr:uid="{00000000-0005-0000-0000-0000155E0000}"/>
    <cellStyle name="Comma 3 3 2 4 2 5 9" xfId="24039" xr:uid="{00000000-0005-0000-0000-0000175E0000}"/>
    <cellStyle name="Comma 3 3 2 4 2 6" xfId="9453" xr:uid="{00000000-0005-0000-0000-00001D250000}"/>
    <cellStyle name="Comma 3 3 2 4 2 6 2" xfId="13967" xr:uid="{00000000-0005-0000-0000-0000BF360000}"/>
    <cellStyle name="Comma 3 3 2 4 2 6 2 2" xfId="19565" xr:uid="{00000000-0005-0000-0000-00009D4C0000}"/>
    <cellStyle name="Comma 3 3 2 4 2 6 3" xfId="22027" xr:uid="{00000000-0005-0000-0000-00003B560000}"/>
    <cellStyle name="Comma 3 3 2 4 2 6 4" xfId="22029" xr:uid="{00000000-0005-0000-0000-00003D560000}"/>
    <cellStyle name="Comma 3 3 2 4 2 6 5" xfId="22031" xr:uid="{00000000-0005-0000-0000-00003F560000}"/>
    <cellStyle name="Comma 3 3 2 4 2 6 6" xfId="22033" xr:uid="{00000000-0005-0000-0000-000041560000}"/>
    <cellStyle name="Comma 3 3 2 4 2 6 7" xfId="19447" xr:uid="{00000000-0005-0000-0000-0000274C0000}"/>
    <cellStyle name="Comma 3 3 2 4 2 6 8" xfId="19461" xr:uid="{00000000-0005-0000-0000-0000354C0000}"/>
    <cellStyle name="Comma 3 3 2 4 2 6 9" xfId="19475" xr:uid="{00000000-0005-0000-0000-0000434C0000}"/>
    <cellStyle name="Comma 3 3 2 4 2 7" xfId="9457" xr:uid="{00000000-0005-0000-0000-000021250000}"/>
    <cellStyle name="Comma 3 3 2 4 2 7 2" xfId="24040" xr:uid="{00000000-0005-0000-0000-0000185E0000}"/>
    <cellStyle name="Comma 3 3 2 4 2 8" xfId="9462" xr:uid="{00000000-0005-0000-0000-000026250000}"/>
    <cellStyle name="Comma 3 3 2 4 2 9" xfId="9472" xr:uid="{00000000-0005-0000-0000-000030250000}"/>
    <cellStyle name="Comma 3 3 2 4 20" xfId="11152" xr:uid="{00000000-0005-0000-0000-0000C02B0000}"/>
    <cellStyle name="Comma 3 3 2 4 21" xfId="23982" xr:uid="{00000000-0005-0000-0000-0000DE5D0000}"/>
    <cellStyle name="Comma 3 3 2 4 22" xfId="23987" xr:uid="{00000000-0005-0000-0000-0000E35D0000}"/>
    <cellStyle name="Comma 3 3 2 4 23" xfId="20417" xr:uid="{00000000-0005-0000-0000-0000F14F0000}"/>
    <cellStyle name="Comma 3 3 2 4 3" xfId="15236" xr:uid="{00000000-0005-0000-0000-0000B43B0000}"/>
    <cellStyle name="Comma 3 3 2 4 3 10" xfId="24042" xr:uid="{00000000-0005-0000-0000-00001A5E0000}"/>
    <cellStyle name="Comma 3 3 2 4 3 11" xfId="3993" xr:uid="{00000000-0005-0000-0000-0000C90F0000}"/>
    <cellStyle name="Comma 3 3 2 4 3 12" xfId="1154" xr:uid="{00000000-0005-0000-0000-0000B2040000}"/>
    <cellStyle name="Comma 3 3 2 4 3 13" xfId="1194" xr:uid="{00000000-0005-0000-0000-0000DA040000}"/>
    <cellStyle name="Comma 3 3 2 4 3 14" xfId="1216" xr:uid="{00000000-0005-0000-0000-0000F0040000}"/>
    <cellStyle name="Comma 3 3 2 4 3 15" xfId="1225" xr:uid="{00000000-0005-0000-0000-0000F9040000}"/>
    <cellStyle name="Comma 3 3 2 4 3 16" xfId="1230" xr:uid="{00000000-0005-0000-0000-0000FE040000}"/>
    <cellStyle name="Comma 3 3 2 4 3 17" xfId="1239" xr:uid="{00000000-0005-0000-0000-000007050000}"/>
    <cellStyle name="Comma 3 3 2 4 3 18" xfId="1246" xr:uid="{00000000-0005-0000-0000-00000E050000}"/>
    <cellStyle name="Comma 3 3 2 4 3 2" xfId="22406" xr:uid="{00000000-0005-0000-0000-0000B6570000}"/>
    <cellStyle name="Comma 3 3 2 4 3 2 10" xfId="24043" xr:uid="{00000000-0005-0000-0000-00001B5E0000}"/>
    <cellStyle name="Comma 3 3 2 4 3 2 2" xfId="22051" xr:uid="{00000000-0005-0000-0000-000053560000}"/>
    <cellStyle name="Comma 3 3 2 4 3 2 2 2" xfId="24045" xr:uid="{00000000-0005-0000-0000-00001D5E0000}"/>
    <cellStyle name="Comma 3 3 2 4 3 2 3" xfId="22053" xr:uid="{00000000-0005-0000-0000-000055560000}"/>
    <cellStyle name="Comma 3 3 2 4 3 2 4" xfId="22055" xr:uid="{00000000-0005-0000-0000-000057560000}"/>
    <cellStyle name="Comma 3 3 2 4 3 2 5" xfId="22057" xr:uid="{00000000-0005-0000-0000-000059560000}"/>
    <cellStyle name="Comma 3 3 2 4 3 2 6" xfId="22060" xr:uid="{00000000-0005-0000-0000-00005C560000}"/>
    <cellStyle name="Comma 3 3 2 4 3 2 7" xfId="1009" xr:uid="{00000000-0005-0000-0000-000021040000}"/>
    <cellStyle name="Comma 3 3 2 4 3 2 8" xfId="2505" xr:uid="{00000000-0005-0000-0000-0000F9090000}"/>
    <cellStyle name="Comma 3 3 2 4 3 2 9" xfId="23974" xr:uid="{00000000-0005-0000-0000-0000D65D0000}"/>
    <cellStyle name="Comma 3 3 2 4 3 3" xfId="24048" xr:uid="{00000000-0005-0000-0000-0000205E0000}"/>
    <cellStyle name="Comma 3 3 2 4 3 3 2" xfId="22066" xr:uid="{00000000-0005-0000-0000-000062560000}"/>
    <cellStyle name="Comma 3 3 2 4 3 3 3" xfId="22068" xr:uid="{00000000-0005-0000-0000-000064560000}"/>
    <cellStyle name="Comma 3 3 2 4 3 3 4" xfId="22070" xr:uid="{00000000-0005-0000-0000-000066560000}"/>
    <cellStyle name="Comma 3 3 2 4 3 3 5" xfId="24049" xr:uid="{00000000-0005-0000-0000-0000215E0000}"/>
    <cellStyle name="Comma 3 3 2 4 3 3 6" xfId="23977" xr:uid="{00000000-0005-0000-0000-0000D95D0000}"/>
    <cellStyle name="Comma 3 3 2 4 3 4" xfId="9500" xr:uid="{00000000-0005-0000-0000-00004C250000}"/>
    <cellStyle name="Comma 3 3 2 4 3 4 2" xfId="17757" xr:uid="{00000000-0005-0000-0000-00008D450000}"/>
    <cellStyle name="Comma 3 3 2 4 3 4 3" xfId="17761" xr:uid="{00000000-0005-0000-0000-000091450000}"/>
    <cellStyle name="Comma 3 3 2 4 3 4 4" xfId="17764" xr:uid="{00000000-0005-0000-0000-000094450000}"/>
    <cellStyle name="Comma 3 3 2 4 3 4 5" xfId="17767" xr:uid="{00000000-0005-0000-0000-000097450000}"/>
    <cellStyle name="Comma 3 3 2 4 3 4 6" xfId="17769" xr:uid="{00000000-0005-0000-0000-000099450000}"/>
    <cellStyle name="Comma 3 3 2 4 3 5" xfId="9504" xr:uid="{00000000-0005-0000-0000-000050250000}"/>
    <cellStyle name="Comma 3 3 2 4 3 5 2" xfId="14728" xr:uid="{00000000-0005-0000-0000-0000B8390000}"/>
    <cellStyle name="Comma 3 3 2 4 3 5 3" xfId="17772" xr:uid="{00000000-0005-0000-0000-00009C450000}"/>
    <cellStyle name="Comma 3 3 2 4 3 5 4" xfId="17775" xr:uid="{00000000-0005-0000-0000-00009F450000}"/>
    <cellStyle name="Comma 3 3 2 4 3 5 5" xfId="17778" xr:uid="{00000000-0005-0000-0000-0000A2450000}"/>
    <cellStyle name="Comma 3 3 2 4 3 5 6" xfId="17780" xr:uid="{00000000-0005-0000-0000-0000A4450000}"/>
    <cellStyle name="Comma 3 3 2 4 3 6" xfId="9510" xr:uid="{00000000-0005-0000-0000-000056250000}"/>
    <cellStyle name="Comma 3 3 2 4 3 6 2" xfId="15205" xr:uid="{00000000-0005-0000-0000-0000953B0000}"/>
    <cellStyle name="Comma 3 3 2 4 3 6 3" xfId="22079" xr:uid="{00000000-0005-0000-0000-00006F560000}"/>
    <cellStyle name="Comma 3 3 2 4 3 6 4" xfId="22081" xr:uid="{00000000-0005-0000-0000-000071560000}"/>
    <cellStyle name="Comma 3 3 2 4 3 6 5" xfId="24050" xr:uid="{00000000-0005-0000-0000-0000225E0000}"/>
    <cellStyle name="Comma 3 3 2 4 3 6 6" xfId="24051" xr:uid="{00000000-0005-0000-0000-0000235E0000}"/>
    <cellStyle name="Comma 3 3 2 4 3 7" xfId="260" xr:uid="{00000000-0005-0000-0000-000015010000}"/>
    <cellStyle name="Comma 3 3 2 4 3 8" xfId="743" xr:uid="{00000000-0005-0000-0000-000017030000}"/>
    <cellStyle name="Comma 3 3 2 4 3 9" xfId="13977" xr:uid="{00000000-0005-0000-0000-0000C9360000}"/>
    <cellStyle name="Comma 3 3 2 4 4" xfId="15780" xr:uid="{00000000-0005-0000-0000-0000D43D0000}"/>
    <cellStyle name="Comma 3 3 2 4 4 10" xfId="24053" xr:uid="{00000000-0005-0000-0000-0000255E0000}"/>
    <cellStyle name="Comma 3 3 2 4 4 11" xfId="24055" xr:uid="{00000000-0005-0000-0000-0000275E0000}"/>
    <cellStyle name="Comma 3 3 2 4 4 12" xfId="1328" xr:uid="{00000000-0005-0000-0000-000060050000}"/>
    <cellStyle name="Comma 3 3 2 4 4 13" xfId="24057" xr:uid="{00000000-0005-0000-0000-0000295E0000}"/>
    <cellStyle name="Comma 3 3 2 4 4 14" xfId="10741" xr:uid="{00000000-0005-0000-0000-0000252A0000}"/>
    <cellStyle name="Comma 3 3 2 4 4 15" xfId="5282" xr:uid="{00000000-0005-0000-0000-0000D2140000}"/>
    <cellStyle name="Comma 3 3 2 4 4 2" xfId="19847" xr:uid="{00000000-0005-0000-0000-0000B74D0000}"/>
    <cellStyle name="Comma 3 3 2 4 4 2 2" xfId="14144" xr:uid="{00000000-0005-0000-0000-000070370000}"/>
    <cellStyle name="Comma 3 3 2 4 4 2 2 2" xfId="24058" xr:uid="{00000000-0005-0000-0000-00002A5E0000}"/>
    <cellStyle name="Comma 3 3 2 4 4 2 3" xfId="14149" xr:uid="{00000000-0005-0000-0000-000075370000}"/>
    <cellStyle name="Comma 3 3 2 4 4 2 4" xfId="22095" xr:uid="{00000000-0005-0000-0000-00007F560000}"/>
    <cellStyle name="Comma 3 3 2 4 4 2 5" xfId="13443" xr:uid="{00000000-0005-0000-0000-0000B3340000}"/>
    <cellStyle name="Comma 3 3 2 4 4 2 6" xfId="22098" xr:uid="{00000000-0005-0000-0000-000082560000}"/>
    <cellStyle name="Comma 3 3 2 4 4 2 7" xfId="510" xr:uid="{00000000-0005-0000-0000-00001F020000}"/>
    <cellStyle name="Comma 3 3 2 4 4 2 8" xfId="410" xr:uid="{00000000-0005-0000-0000-0000B5010000}"/>
    <cellStyle name="Comma 3 3 2 4 4 2 9" xfId="24059" xr:uid="{00000000-0005-0000-0000-00002B5E0000}"/>
    <cellStyle name="Comma 3 3 2 4 4 3" xfId="19849" xr:uid="{00000000-0005-0000-0000-0000B94D0000}"/>
    <cellStyle name="Comma 3 3 2 4 4 3 2" xfId="22109" xr:uid="{00000000-0005-0000-0000-00008D560000}"/>
    <cellStyle name="Comma 3 3 2 4 4 3 3" xfId="22114" xr:uid="{00000000-0005-0000-0000-000092560000}"/>
    <cellStyle name="Comma 3 3 2 4 4 3 4" xfId="22119" xr:uid="{00000000-0005-0000-0000-000097560000}"/>
    <cellStyle name="Comma 3 3 2 4 4 3 5" xfId="24061" xr:uid="{00000000-0005-0000-0000-00002D5E0000}"/>
    <cellStyle name="Comma 3 3 2 4 4 3 6" xfId="24063" xr:uid="{00000000-0005-0000-0000-00002F5E0000}"/>
    <cellStyle name="Comma 3 3 2 4 4 4" xfId="24064" xr:uid="{00000000-0005-0000-0000-0000305E0000}"/>
    <cellStyle name="Comma 3 3 2 4 4 4 2" xfId="24065" xr:uid="{00000000-0005-0000-0000-0000315E0000}"/>
    <cellStyle name="Comma 3 3 2 4 4 5" xfId="7411" xr:uid="{00000000-0005-0000-0000-0000231D0000}"/>
    <cellStyle name="Comma 3 3 2 4 4 6" xfId="9516" xr:uid="{00000000-0005-0000-0000-00005C250000}"/>
    <cellStyle name="Comma 3 3 2 4 4 7" xfId="9522" xr:uid="{00000000-0005-0000-0000-000062250000}"/>
    <cellStyle name="Comma 3 3 2 4 4 8" xfId="9527" xr:uid="{00000000-0005-0000-0000-000067250000}"/>
    <cellStyle name="Comma 3 3 2 4 4 9" xfId="13991" xr:uid="{00000000-0005-0000-0000-0000D7360000}"/>
    <cellStyle name="Comma 3 3 2 4 5" xfId="24070" xr:uid="{00000000-0005-0000-0000-0000365E0000}"/>
    <cellStyle name="Comma 3 3 2 4 5 10" xfId="2214" xr:uid="{00000000-0005-0000-0000-0000D6080000}"/>
    <cellStyle name="Comma 3 3 2 4 5 11" xfId="7160" xr:uid="{00000000-0005-0000-0000-0000281C0000}"/>
    <cellStyle name="Comma 3 3 2 4 5 12" xfId="7286" xr:uid="{00000000-0005-0000-0000-0000A61C0000}"/>
    <cellStyle name="Comma 3 3 2 4 5 13" xfId="7370" xr:uid="{00000000-0005-0000-0000-0000FA1C0000}"/>
    <cellStyle name="Comma 3 3 2 4 5 2" xfId="23771" xr:uid="{00000000-0005-0000-0000-00000B5D0000}"/>
    <cellStyle name="Comma 3 3 2 4 5 2 2" xfId="21382" xr:uid="{00000000-0005-0000-0000-0000B6530000}"/>
    <cellStyle name="Comma 3 3 2 4 5 2 2 2" xfId="24071" xr:uid="{00000000-0005-0000-0000-0000375E0000}"/>
    <cellStyle name="Comma 3 3 2 4 5 2 3" xfId="22130" xr:uid="{00000000-0005-0000-0000-0000A2560000}"/>
    <cellStyle name="Comma 3 3 2 4 5 2 4" xfId="22135" xr:uid="{00000000-0005-0000-0000-0000A7560000}"/>
    <cellStyle name="Comma 3 3 2 4 5 2 5" xfId="22142" xr:uid="{00000000-0005-0000-0000-0000AE560000}"/>
    <cellStyle name="Comma 3 3 2 4 5 2 6" xfId="22145" xr:uid="{00000000-0005-0000-0000-0000B1560000}"/>
    <cellStyle name="Comma 3 3 2 4 5 2 7" xfId="22148" xr:uid="{00000000-0005-0000-0000-0000B4560000}"/>
    <cellStyle name="Comma 3 3 2 4 5 2 8" xfId="3564" xr:uid="{00000000-0005-0000-0000-00001C0E0000}"/>
    <cellStyle name="Comma 3 3 2 4 5 2 9" xfId="24072" xr:uid="{00000000-0005-0000-0000-0000385E0000}"/>
    <cellStyle name="Comma 3 3 2 4 5 3" xfId="23777" xr:uid="{00000000-0005-0000-0000-0000115D0000}"/>
    <cellStyle name="Comma 3 3 2 4 5 3 2" xfId="22153" xr:uid="{00000000-0005-0000-0000-0000B9560000}"/>
    <cellStyle name="Comma 3 3 2 4 5 3 3" xfId="22159" xr:uid="{00000000-0005-0000-0000-0000BF560000}"/>
    <cellStyle name="Comma 3 3 2 4 5 3 4" xfId="22163" xr:uid="{00000000-0005-0000-0000-0000C3560000}"/>
    <cellStyle name="Comma 3 3 2 4 5 3 5" xfId="24074" xr:uid="{00000000-0005-0000-0000-00003A5E0000}"/>
    <cellStyle name="Comma 3 3 2 4 5 3 6" xfId="24075" xr:uid="{00000000-0005-0000-0000-00003B5E0000}"/>
    <cellStyle name="Comma 3 3 2 4 5 4" xfId="23784" xr:uid="{00000000-0005-0000-0000-0000185D0000}"/>
    <cellStyle name="Comma 3 3 2 4 5 4 2" xfId="24076" xr:uid="{00000000-0005-0000-0000-00003C5E0000}"/>
    <cellStyle name="Comma 3 3 2 4 5 5" xfId="9542" xr:uid="{00000000-0005-0000-0000-000076250000}"/>
    <cellStyle name="Comma 3 3 2 4 5 6" xfId="23792" xr:uid="{00000000-0005-0000-0000-0000205D0000}"/>
    <cellStyle name="Comma 3 3 2 4 5 7" xfId="23796" xr:uid="{00000000-0005-0000-0000-0000245D0000}"/>
    <cellStyle name="Comma 3 3 2 4 5 8" xfId="23800" xr:uid="{00000000-0005-0000-0000-0000285D0000}"/>
    <cellStyle name="Comma 3 3 2 4 5 9" xfId="23805" xr:uid="{00000000-0005-0000-0000-00002D5D0000}"/>
    <cellStyle name="Comma 3 3 2 4 6" xfId="24082" xr:uid="{00000000-0005-0000-0000-0000425E0000}"/>
    <cellStyle name="Comma 3 3 2 4 6 10" xfId="24083" xr:uid="{00000000-0005-0000-0000-0000435E0000}"/>
    <cellStyle name="Comma 3 3 2 4 6 11" xfId="24086" xr:uid="{00000000-0005-0000-0000-0000465E0000}"/>
    <cellStyle name="Comma 3 3 2 4 6 12" xfId="8030" xr:uid="{00000000-0005-0000-0000-00008E1F0000}"/>
    <cellStyle name="Comma 3 3 2 4 6 2" xfId="24092" xr:uid="{00000000-0005-0000-0000-00004C5E0000}"/>
    <cellStyle name="Comma 3 3 2 4 6 2 2" xfId="22190" xr:uid="{00000000-0005-0000-0000-0000DE560000}"/>
    <cellStyle name="Comma 3 3 2 4 6 2 2 2" xfId="24093" xr:uid="{00000000-0005-0000-0000-00004D5E0000}"/>
    <cellStyle name="Comma 3 3 2 4 6 2 3" xfId="22196" xr:uid="{00000000-0005-0000-0000-0000E4560000}"/>
    <cellStyle name="Comma 3 3 2 4 6 2 4" xfId="22201" xr:uid="{00000000-0005-0000-0000-0000E9560000}"/>
    <cellStyle name="Comma 3 3 2 4 6 2 5" xfId="22206" xr:uid="{00000000-0005-0000-0000-0000EE560000}"/>
    <cellStyle name="Comma 3 3 2 4 6 2 6" xfId="22209" xr:uid="{00000000-0005-0000-0000-0000F1560000}"/>
    <cellStyle name="Comma 3 3 2 4 6 2 7" xfId="22211" xr:uid="{00000000-0005-0000-0000-0000F3560000}"/>
    <cellStyle name="Comma 3 3 2 4 6 2 8" xfId="3750" xr:uid="{00000000-0005-0000-0000-0000D60E0000}"/>
    <cellStyle name="Comma 3 3 2 4 6 2 9" xfId="24095" xr:uid="{00000000-0005-0000-0000-00004F5E0000}"/>
    <cellStyle name="Comma 3 3 2 4 6 3" xfId="24099" xr:uid="{00000000-0005-0000-0000-0000535E0000}"/>
    <cellStyle name="Comma 3 3 2 4 6 3 2" xfId="22222" xr:uid="{00000000-0005-0000-0000-0000FE560000}"/>
    <cellStyle name="Comma 3 3 2 4 6 3 3" xfId="22226" xr:uid="{00000000-0005-0000-0000-000002570000}"/>
    <cellStyle name="Comma 3 3 2 4 6 3 4" xfId="22231" xr:uid="{00000000-0005-0000-0000-000007570000}"/>
    <cellStyle name="Comma 3 3 2 4 6 3 5" xfId="24100" xr:uid="{00000000-0005-0000-0000-0000545E0000}"/>
    <cellStyle name="Comma 3 3 2 4 6 3 6" xfId="24101" xr:uid="{00000000-0005-0000-0000-0000555E0000}"/>
    <cellStyle name="Comma 3 3 2 4 6 4" xfId="24104" xr:uid="{00000000-0005-0000-0000-0000585E0000}"/>
    <cellStyle name="Comma 3 3 2 4 6 4 2" xfId="5772" xr:uid="{00000000-0005-0000-0000-0000BC160000}"/>
    <cellStyle name="Comma 3 3 2 4 6 5" xfId="24108" xr:uid="{00000000-0005-0000-0000-00005C5E0000}"/>
    <cellStyle name="Comma 3 3 2 4 6 6" xfId="24111" xr:uid="{00000000-0005-0000-0000-00005F5E0000}"/>
    <cellStyle name="Comma 3 3 2 4 6 7" xfId="24113" xr:uid="{00000000-0005-0000-0000-0000615E0000}"/>
    <cellStyle name="Comma 3 3 2 4 6 8" xfId="24115" xr:uid="{00000000-0005-0000-0000-0000635E0000}"/>
    <cellStyle name="Comma 3 3 2 4 6 9" xfId="24117" xr:uid="{00000000-0005-0000-0000-0000655E0000}"/>
    <cellStyle name="Comma 3 3 2 4 7" xfId="24120" xr:uid="{00000000-0005-0000-0000-0000685E0000}"/>
    <cellStyle name="Comma 3 3 2 4 7 2" xfId="9294" xr:uid="{00000000-0005-0000-0000-00007E240000}"/>
    <cellStyle name="Comma 3 3 2 4 7 2 2" xfId="24122" xr:uid="{00000000-0005-0000-0000-00006A5E0000}"/>
    <cellStyle name="Comma 3 3 2 4 7 3" xfId="11088" xr:uid="{00000000-0005-0000-0000-0000802B0000}"/>
    <cellStyle name="Comma 3 3 2 4 7 4" xfId="24124" xr:uid="{00000000-0005-0000-0000-00006C5E0000}"/>
    <cellStyle name="Comma 3 3 2 4 7 5" xfId="24127" xr:uid="{00000000-0005-0000-0000-00006F5E0000}"/>
    <cellStyle name="Comma 3 3 2 4 7 6" xfId="24128" xr:uid="{00000000-0005-0000-0000-0000705E0000}"/>
    <cellStyle name="Comma 3 3 2 4 7 7" xfId="24129" xr:uid="{00000000-0005-0000-0000-0000715E0000}"/>
    <cellStyle name="Comma 3 3 2 4 7 8" xfId="4084" xr:uid="{00000000-0005-0000-0000-000024100000}"/>
    <cellStyle name="Comma 3 3 2 4 7 9" xfId="24131" xr:uid="{00000000-0005-0000-0000-0000735E0000}"/>
    <cellStyle name="Comma 3 3 2 4 8" xfId="24134" xr:uid="{00000000-0005-0000-0000-0000765E0000}"/>
    <cellStyle name="Comma 3 3 2 4 8 2" xfId="11102" xr:uid="{00000000-0005-0000-0000-00008E2B0000}"/>
    <cellStyle name="Comma 3 3 2 4 8 3" xfId="4373" xr:uid="{00000000-0005-0000-0000-000045110000}"/>
    <cellStyle name="Comma 3 3 2 4 8 4" xfId="24135" xr:uid="{00000000-0005-0000-0000-0000775E0000}"/>
    <cellStyle name="Comma 3 3 2 4 8 5" xfId="24138" xr:uid="{00000000-0005-0000-0000-00007A5E0000}"/>
    <cellStyle name="Comma 3 3 2 4 8 6" xfId="24141" xr:uid="{00000000-0005-0000-0000-00007D5E0000}"/>
    <cellStyle name="Comma 3 3 2 4 9" xfId="24148" xr:uid="{00000000-0005-0000-0000-0000845E0000}"/>
    <cellStyle name="Comma 3 3 2 4 9 2" xfId="11146" xr:uid="{00000000-0005-0000-0000-0000BA2B0000}"/>
    <cellStyle name="Comma 3 3 2 4 9 3" xfId="3624" xr:uid="{00000000-0005-0000-0000-0000580E0000}"/>
    <cellStyle name="Comma 3 3 2 4 9 4" xfId="24149" xr:uid="{00000000-0005-0000-0000-0000855E0000}"/>
    <cellStyle name="Comma 3 3 2 4 9 5" xfId="19135" xr:uid="{00000000-0005-0000-0000-0000EF4A0000}"/>
    <cellStyle name="Comma 3 3 2 4 9 6" xfId="19147" xr:uid="{00000000-0005-0000-0000-0000FB4A0000}"/>
    <cellStyle name="Comma 3 3 2 5" xfId="24150" xr:uid="{00000000-0005-0000-0000-0000865E0000}"/>
    <cellStyle name="Comma 3 3 2 5 10" xfId="6901" xr:uid="{00000000-0005-0000-0000-0000251B0000}"/>
    <cellStyle name="Comma 3 3 2 5 11" xfId="2936" xr:uid="{00000000-0005-0000-0000-0000A80B0000}"/>
    <cellStyle name="Comma 3 3 2 5 12" xfId="9029" xr:uid="{00000000-0005-0000-0000-000075230000}"/>
    <cellStyle name="Comma 3 3 2 5 13" xfId="24154" xr:uid="{00000000-0005-0000-0000-00008A5E0000}"/>
    <cellStyle name="Comma 3 3 2 5 14" xfId="24157" xr:uid="{00000000-0005-0000-0000-00008D5E0000}"/>
    <cellStyle name="Comma 3 3 2 5 15" xfId="24159" xr:uid="{00000000-0005-0000-0000-00008F5E0000}"/>
    <cellStyle name="Comma 3 3 2 5 16" xfId="24161" xr:uid="{00000000-0005-0000-0000-0000915E0000}"/>
    <cellStyle name="Comma 3 3 2 5 17" xfId="2526" xr:uid="{00000000-0005-0000-0000-00000E0A0000}"/>
    <cellStyle name="Comma 3 3 2 5 18" xfId="2902" xr:uid="{00000000-0005-0000-0000-0000860B0000}"/>
    <cellStyle name="Comma 3 3 2 5 2" xfId="24162" xr:uid="{00000000-0005-0000-0000-0000925E0000}"/>
    <cellStyle name="Comma 3 3 2 5 2 10" xfId="24163" xr:uid="{00000000-0005-0000-0000-0000935E0000}"/>
    <cellStyle name="Comma 3 3 2 5 2 11" xfId="24164" xr:uid="{00000000-0005-0000-0000-0000945E0000}"/>
    <cellStyle name="Comma 3 3 2 5 2 12" xfId="24165" xr:uid="{00000000-0005-0000-0000-0000955E0000}"/>
    <cellStyle name="Comma 3 3 2 5 2 13" xfId="24166" xr:uid="{00000000-0005-0000-0000-0000965E0000}"/>
    <cellStyle name="Comma 3 3 2 5 2 14" xfId="24167" xr:uid="{00000000-0005-0000-0000-0000975E0000}"/>
    <cellStyle name="Comma 3 3 2 5 2 2" xfId="14831" xr:uid="{00000000-0005-0000-0000-00001F3A0000}"/>
    <cellStyle name="Comma 3 3 2 5 2 2 10" xfId="2038" xr:uid="{00000000-0005-0000-0000-000026080000}"/>
    <cellStyle name="Comma 3 3 2 5 2 2 2" xfId="22334" xr:uid="{00000000-0005-0000-0000-00006E570000}"/>
    <cellStyle name="Comma 3 3 2 5 2 2 2 2" xfId="24168" xr:uid="{00000000-0005-0000-0000-0000985E0000}"/>
    <cellStyle name="Comma 3 3 2 5 2 2 3" xfId="22336" xr:uid="{00000000-0005-0000-0000-000070570000}"/>
    <cellStyle name="Comma 3 3 2 5 2 2 4" xfId="5132" xr:uid="{00000000-0005-0000-0000-00003C140000}"/>
    <cellStyle name="Comma 3 3 2 5 2 2 5" xfId="8312" xr:uid="{00000000-0005-0000-0000-0000A8200000}"/>
    <cellStyle name="Comma 3 3 2 5 2 2 6" xfId="8322" xr:uid="{00000000-0005-0000-0000-0000B2200000}"/>
    <cellStyle name="Comma 3 3 2 5 2 2 7" xfId="8332" xr:uid="{00000000-0005-0000-0000-0000BC200000}"/>
    <cellStyle name="Comma 3 3 2 5 2 2 8" xfId="8341" xr:uid="{00000000-0005-0000-0000-0000C5200000}"/>
    <cellStyle name="Comma 3 3 2 5 2 2 9" xfId="16926" xr:uid="{00000000-0005-0000-0000-00004E420000}"/>
    <cellStyle name="Comma 3 3 2 5 2 3" xfId="24004" xr:uid="{00000000-0005-0000-0000-0000F45D0000}"/>
    <cellStyle name="Comma 3 3 2 5 2 3 2" xfId="7264" xr:uid="{00000000-0005-0000-0000-0000901C0000}"/>
    <cellStyle name="Comma 3 3 2 5 2 3 3" xfId="515" xr:uid="{00000000-0005-0000-0000-000025020000}"/>
    <cellStyle name="Comma 3 3 2 5 2 3 4" xfId="546" xr:uid="{00000000-0005-0000-0000-000046020000}"/>
    <cellStyle name="Comma 3 3 2 5 2 3 5" xfId="16" xr:uid="{00000000-0005-0000-0000-000011000000}"/>
    <cellStyle name="Comma 3 3 2 5 2 3 6" xfId="586" xr:uid="{00000000-0005-0000-0000-000072020000}"/>
    <cellStyle name="Comma 3 3 2 5 2 4" xfId="19392" xr:uid="{00000000-0005-0000-0000-0000F04B0000}"/>
    <cellStyle name="Comma 3 3 2 5 2 4 2" xfId="7322" xr:uid="{00000000-0005-0000-0000-0000CA1C0000}"/>
    <cellStyle name="Comma 3 3 2 5 2 4 3" xfId="7342" xr:uid="{00000000-0005-0000-0000-0000DE1C0000}"/>
    <cellStyle name="Comma 3 3 2 5 2 4 4" xfId="2088" xr:uid="{00000000-0005-0000-0000-000058080000}"/>
    <cellStyle name="Comma 3 3 2 5 2 4 5" xfId="6067" xr:uid="{00000000-0005-0000-0000-0000E3170000}"/>
    <cellStyle name="Comma 3 3 2 5 2 5" xfId="19404" xr:uid="{00000000-0005-0000-0000-0000FC4B0000}"/>
    <cellStyle name="Comma 3 3 2 5 2 6" xfId="19424" xr:uid="{00000000-0005-0000-0000-0000104C0000}"/>
    <cellStyle name="Comma 3 3 2 5 2 7" xfId="3805" xr:uid="{00000000-0005-0000-0000-00000D0F0000}"/>
    <cellStyle name="Comma 3 3 2 5 2 8" xfId="9652" xr:uid="{00000000-0005-0000-0000-0000E4250000}"/>
    <cellStyle name="Comma 3 3 2 5 2 9" xfId="9659" xr:uid="{00000000-0005-0000-0000-0000EB250000}"/>
    <cellStyle name="Comma 3 3 2 5 3" xfId="24169" xr:uid="{00000000-0005-0000-0000-0000995E0000}"/>
    <cellStyle name="Comma 3 3 2 5 3 10" xfId="24170" xr:uid="{00000000-0005-0000-0000-00009A5E0000}"/>
    <cellStyle name="Comma 3 3 2 5 3 11" xfId="24172" xr:uid="{00000000-0005-0000-0000-00009C5E0000}"/>
    <cellStyle name="Comma 3 3 2 5 3 12" xfId="24174" xr:uid="{00000000-0005-0000-0000-00009E5E0000}"/>
    <cellStyle name="Comma 3 3 2 5 3 2" xfId="24178" xr:uid="{00000000-0005-0000-0000-0000A25E0000}"/>
    <cellStyle name="Comma 3 3 2 5 3 2 2" xfId="16695" xr:uid="{00000000-0005-0000-0000-000067410000}"/>
    <cellStyle name="Comma 3 3 2 5 3 2 2 2" xfId="24179" xr:uid="{00000000-0005-0000-0000-0000A35E0000}"/>
    <cellStyle name="Comma 3 3 2 5 3 2 3" xfId="22393" xr:uid="{00000000-0005-0000-0000-0000A9570000}"/>
    <cellStyle name="Comma 3 3 2 5 3 2 4" xfId="10775" xr:uid="{00000000-0005-0000-0000-0000472A0000}"/>
    <cellStyle name="Comma 3 3 2 5 3 2 5" xfId="10781" xr:uid="{00000000-0005-0000-0000-00004D2A0000}"/>
    <cellStyle name="Comma 3 3 2 5 3 3" xfId="24184" xr:uid="{00000000-0005-0000-0000-0000A85E0000}"/>
    <cellStyle name="Comma 3 3 2 5 3 3 2" xfId="9409" xr:uid="{00000000-0005-0000-0000-0000F1240000}"/>
    <cellStyle name="Comma 3 3 2 5 3 4" xfId="19439" xr:uid="{00000000-0005-0000-0000-00001F4C0000}"/>
    <cellStyle name="Comma 3 3 2 5 3 5" xfId="9671" xr:uid="{00000000-0005-0000-0000-0000F7250000}"/>
    <cellStyle name="Comma 3 3 2 5 3 6" xfId="19444" xr:uid="{00000000-0005-0000-0000-0000244C0000}"/>
    <cellStyle name="Comma 3 3 2 5 3 7" xfId="3824" xr:uid="{00000000-0005-0000-0000-0000200F0000}"/>
    <cellStyle name="Comma 3 3 2 5 3 8" xfId="9679" xr:uid="{00000000-0005-0000-0000-0000FF250000}"/>
    <cellStyle name="Comma 3 3 2 5 3 9" xfId="10503" xr:uid="{00000000-0005-0000-0000-000037290000}"/>
    <cellStyle name="Comma 3 3 2 5 4" xfId="24185" xr:uid="{00000000-0005-0000-0000-0000A95E0000}"/>
    <cellStyle name="Comma 3 3 2 5 4 10" xfId="24187" xr:uid="{00000000-0005-0000-0000-0000AB5E0000}"/>
    <cellStyle name="Comma 3 3 2 5 4 11" xfId="24189" xr:uid="{00000000-0005-0000-0000-0000AD5E0000}"/>
    <cellStyle name="Comma 3 3 2 5 4 2" xfId="24192" xr:uid="{00000000-0005-0000-0000-0000B05E0000}"/>
    <cellStyle name="Comma 3 3 2 5 4 2 2" xfId="22407" xr:uid="{00000000-0005-0000-0000-0000B7570000}"/>
    <cellStyle name="Comma 3 3 2 5 4 2 2 2" xfId="24193" xr:uid="{00000000-0005-0000-0000-0000B15E0000}"/>
    <cellStyle name="Comma 3 3 2 5 4 2 3" xfId="16737" xr:uid="{00000000-0005-0000-0000-000091410000}"/>
    <cellStyle name="Comma 3 3 2 5 4 2 4" xfId="22409" xr:uid="{00000000-0005-0000-0000-0000B9570000}"/>
    <cellStyle name="Comma 3 3 2 5 4 2 5" xfId="17187" xr:uid="{00000000-0005-0000-0000-000053430000}"/>
    <cellStyle name="Comma 3 3 2 5 4 3" xfId="24196" xr:uid="{00000000-0005-0000-0000-0000B45E0000}"/>
    <cellStyle name="Comma 3 3 2 5 4 3 2" xfId="22417" xr:uid="{00000000-0005-0000-0000-0000C1570000}"/>
    <cellStyle name="Comma 3 3 2 5 4 4" xfId="24199" xr:uid="{00000000-0005-0000-0000-0000B75E0000}"/>
    <cellStyle name="Comma 3 3 2 5 4 5" xfId="24200" xr:uid="{00000000-0005-0000-0000-0000B85E0000}"/>
    <cellStyle name="Comma 3 3 2 5 4 6" xfId="24202" xr:uid="{00000000-0005-0000-0000-0000BA5E0000}"/>
    <cellStyle name="Comma 3 3 2 5 4 7" xfId="3859" xr:uid="{00000000-0005-0000-0000-0000430F0000}"/>
    <cellStyle name="Comma 3 3 2 5 4 8" xfId="10692" xr:uid="{00000000-0005-0000-0000-0000F4290000}"/>
    <cellStyle name="Comma 3 3 2 5 4 9" xfId="10715" xr:uid="{00000000-0005-0000-0000-00000B2A0000}"/>
    <cellStyle name="Comma 3 3 2 5 5" xfId="24204" xr:uid="{00000000-0005-0000-0000-0000BC5E0000}"/>
    <cellStyle name="Comma 3 3 2 5 5 10" xfId="24205" xr:uid="{00000000-0005-0000-0000-0000BD5E0000}"/>
    <cellStyle name="Comma 3 3 2 5 5 2" xfId="24210" xr:uid="{00000000-0005-0000-0000-0000C25E0000}"/>
    <cellStyle name="Comma 3 3 2 5 5 2 2" xfId="22423" xr:uid="{00000000-0005-0000-0000-0000C7570000}"/>
    <cellStyle name="Comma 3 3 2 5 5 2 2 2" xfId="24211" xr:uid="{00000000-0005-0000-0000-0000C35E0000}"/>
    <cellStyle name="Comma 3 3 2 5 5 2 3" xfId="22433" xr:uid="{00000000-0005-0000-0000-0000D1570000}"/>
    <cellStyle name="Comma 3 3 2 5 5 2 4" xfId="22439" xr:uid="{00000000-0005-0000-0000-0000D7570000}"/>
    <cellStyle name="Comma 3 3 2 5 5 2 5" xfId="22445" xr:uid="{00000000-0005-0000-0000-0000DD570000}"/>
    <cellStyle name="Comma 3 3 2 5 5 3" xfId="24214" xr:uid="{00000000-0005-0000-0000-0000C65E0000}"/>
    <cellStyle name="Comma 3 3 2 5 5 3 2" xfId="22448" xr:uid="{00000000-0005-0000-0000-0000E0570000}"/>
    <cellStyle name="Comma 3 3 2 5 5 4" xfId="24217" xr:uid="{00000000-0005-0000-0000-0000C95E0000}"/>
    <cellStyle name="Comma 3 3 2 5 5 5" xfId="24221" xr:uid="{00000000-0005-0000-0000-0000CD5E0000}"/>
    <cellStyle name="Comma 3 3 2 5 5 6" xfId="24225" xr:uid="{00000000-0005-0000-0000-0000D15E0000}"/>
    <cellStyle name="Comma 3 3 2 5 5 7" xfId="3869" xr:uid="{00000000-0005-0000-0000-00004D0F0000}"/>
    <cellStyle name="Comma 3 3 2 5 5 8" xfId="10429" xr:uid="{00000000-0005-0000-0000-0000ED280000}"/>
    <cellStyle name="Comma 3 3 2 5 5 9" xfId="10433" xr:uid="{00000000-0005-0000-0000-0000F1280000}"/>
    <cellStyle name="Comma 3 3 2 5 6" xfId="24226" xr:uid="{00000000-0005-0000-0000-0000D25E0000}"/>
    <cellStyle name="Comma 3 3 2 5 6 2" xfId="24227" xr:uid="{00000000-0005-0000-0000-0000D35E0000}"/>
    <cellStyle name="Comma 3 3 2 5 6 2 2" xfId="22465" xr:uid="{00000000-0005-0000-0000-0000F1570000}"/>
    <cellStyle name="Comma 3 3 2 5 6 3" xfId="24228" xr:uid="{00000000-0005-0000-0000-0000D45E0000}"/>
    <cellStyle name="Comma 3 3 2 5 6 4" xfId="24229" xr:uid="{00000000-0005-0000-0000-0000D55E0000}"/>
    <cellStyle name="Comma 3 3 2 5 6 5" xfId="24232" xr:uid="{00000000-0005-0000-0000-0000D85E0000}"/>
    <cellStyle name="Comma 3 3 2 5 6 6" xfId="95" xr:uid="{00000000-0005-0000-0000-000066000000}"/>
    <cellStyle name="Comma 3 3 2 5 6 7" xfId="3879" xr:uid="{00000000-0005-0000-0000-0000570F0000}"/>
    <cellStyle name="Comma 3 3 2 5 6 8" xfId="10893" xr:uid="{00000000-0005-0000-0000-0000BD2A0000}"/>
    <cellStyle name="Comma 3 3 2 5 6 9" xfId="10926" xr:uid="{00000000-0005-0000-0000-0000DE2A0000}"/>
    <cellStyle name="Comma 3 3 2 5 7" xfId="2159" xr:uid="{00000000-0005-0000-0000-00009F080000}"/>
    <cellStyle name="Comma 3 3 2 5 7 2" xfId="8199" xr:uid="{00000000-0005-0000-0000-000037200000}"/>
    <cellStyle name="Comma 3 3 2 5 8" xfId="8218" xr:uid="{00000000-0005-0000-0000-00004A200000}"/>
    <cellStyle name="Comma 3 3 2 5 9" xfId="8232" xr:uid="{00000000-0005-0000-0000-000058200000}"/>
    <cellStyle name="Comma 3 3 2 6" xfId="24234" xr:uid="{00000000-0005-0000-0000-0000DA5E0000}"/>
    <cellStyle name="Comma 3 3 2 6 10" xfId="11020" xr:uid="{00000000-0005-0000-0000-00003C2B0000}"/>
    <cellStyle name="Comma 3 3 2 6 11" xfId="737" xr:uid="{00000000-0005-0000-0000-000011030000}"/>
    <cellStyle name="Comma 3 3 2 6 12" xfId="24238" xr:uid="{00000000-0005-0000-0000-0000DE5E0000}"/>
    <cellStyle name="Comma 3 3 2 6 13" xfId="16293" xr:uid="{00000000-0005-0000-0000-0000D53F0000}"/>
    <cellStyle name="Comma 3 3 2 6 14" xfId="16296" xr:uid="{00000000-0005-0000-0000-0000D83F0000}"/>
    <cellStyle name="Comma 3 3 2 6 15" xfId="4256" xr:uid="{00000000-0005-0000-0000-0000D0100000}"/>
    <cellStyle name="Comma 3 3 2 6 16" xfId="16299" xr:uid="{00000000-0005-0000-0000-0000DB3F0000}"/>
    <cellStyle name="Comma 3 3 2 6 17" xfId="4354" xr:uid="{00000000-0005-0000-0000-000032110000}"/>
    <cellStyle name="Comma 3 3 2 6 18" xfId="3452" xr:uid="{00000000-0005-0000-0000-0000AC0D0000}"/>
    <cellStyle name="Comma 3 3 2 6 2" xfId="24239" xr:uid="{00000000-0005-0000-0000-0000DF5E0000}"/>
    <cellStyle name="Comma 3 3 2 6 2 10" xfId="9738" xr:uid="{00000000-0005-0000-0000-00003A260000}"/>
    <cellStyle name="Comma 3 3 2 6 2 2" xfId="11006" xr:uid="{00000000-0005-0000-0000-00002E2B0000}"/>
    <cellStyle name="Comma 3 3 2 6 2 2 2" xfId="22546" xr:uid="{00000000-0005-0000-0000-000042580000}"/>
    <cellStyle name="Comma 3 3 2 6 2 3" xfId="2480" xr:uid="{00000000-0005-0000-0000-0000E0090000}"/>
    <cellStyle name="Comma 3 3 2 6 2 4" xfId="2490" xr:uid="{00000000-0005-0000-0000-0000EA090000}"/>
    <cellStyle name="Comma 3 3 2 6 2 5" xfId="798" xr:uid="{00000000-0005-0000-0000-00004E030000}"/>
    <cellStyle name="Comma 3 3 2 6 2 6" xfId="994" xr:uid="{00000000-0005-0000-0000-000012040000}"/>
    <cellStyle name="Comma 3 3 2 6 2 7" xfId="1027" xr:uid="{00000000-0005-0000-0000-000033040000}"/>
    <cellStyle name="Comma 3 3 2 6 2 8" xfId="9734" xr:uid="{00000000-0005-0000-0000-000036260000}"/>
    <cellStyle name="Comma 3 3 2 6 2 9" xfId="9742" xr:uid="{00000000-0005-0000-0000-00003E260000}"/>
    <cellStyle name="Comma 3 3 2 6 3" xfId="24242" xr:uid="{00000000-0005-0000-0000-0000E25E0000}"/>
    <cellStyle name="Comma 3 3 2 6 3 2" xfId="24246" xr:uid="{00000000-0005-0000-0000-0000E65E0000}"/>
    <cellStyle name="Comma 3 3 2 6 3 3" xfId="7733" xr:uid="{00000000-0005-0000-0000-0000651E0000}"/>
    <cellStyle name="Comma 3 3 2 6 3 4" xfId="3983" xr:uid="{00000000-0005-0000-0000-0000BF0F0000}"/>
    <cellStyle name="Comma 3 3 2 6 3 5" xfId="1138" xr:uid="{00000000-0005-0000-0000-0000A2040000}"/>
    <cellStyle name="Comma 3 3 2 6 3 6" xfId="1181" xr:uid="{00000000-0005-0000-0000-0000CD040000}"/>
    <cellStyle name="Comma 3 3 2 6 4" xfId="24250" xr:uid="{00000000-0005-0000-0000-0000EA5E0000}"/>
    <cellStyle name="Comma 3 3 2 6 4 2" xfId="24255" xr:uid="{00000000-0005-0000-0000-0000EF5E0000}"/>
    <cellStyle name="Comma 3 3 2 6 4 3" xfId="7751" xr:uid="{00000000-0005-0000-0000-0000771E0000}"/>
    <cellStyle name="Comma 3 3 2 6 4 4" xfId="4012" xr:uid="{00000000-0005-0000-0000-0000DC0F0000}"/>
    <cellStyle name="Comma 3 3 2 6 4 5" xfId="535" xr:uid="{00000000-0005-0000-0000-00003B020000}"/>
    <cellStyle name="Comma 3 3 2 6 4 6" xfId="7759" xr:uid="{00000000-0005-0000-0000-00007F1E0000}"/>
    <cellStyle name="Comma 3 3 2 6 5" xfId="24258" xr:uid="{00000000-0005-0000-0000-0000F25E0000}"/>
    <cellStyle name="Comma 3 3 2 6 5 2" xfId="24261" xr:uid="{00000000-0005-0000-0000-0000F55E0000}"/>
    <cellStyle name="Comma 3 3 2 6 5 3" xfId="24262" xr:uid="{00000000-0005-0000-0000-0000F65E0000}"/>
    <cellStyle name="Comma 3 3 2 6 5 4" xfId="24263" xr:uid="{00000000-0005-0000-0000-0000F75E0000}"/>
    <cellStyle name="Comma 3 3 2 6 5 5" xfId="24267" xr:uid="{00000000-0005-0000-0000-0000FB5E0000}"/>
    <cellStyle name="Comma 3 3 2 6 5 6" xfId="24270" xr:uid="{00000000-0005-0000-0000-0000FE5E0000}"/>
    <cellStyle name="Comma 3 3 2 6 6" xfId="24273" xr:uid="{00000000-0005-0000-0000-0000015F0000}"/>
    <cellStyle name="Comma 3 3 2 6 6 2" xfId="24276" xr:uid="{00000000-0005-0000-0000-0000045F0000}"/>
    <cellStyle name="Comma 3 3 2 6 6 3" xfId="24277" xr:uid="{00000000-0005-0000-0000-0000055F0000}"/>
    <cellStyle name="Comma 3 3 2 6 6 4" xfId="24278" xr:uid="{00000000-0005-0000-0000-0000065F0000}"/>
    <cellStyle name="Comma 3 3 2 6 6 5" xfId="24280" xr:uid="{00000000-0005-0000-0000-0000085F0000}"/>
    <cellStyle name="Comma 3 3 2 6 6 6" xfId="24282" xr:uid="{00000000-0005-0000-0000-00000A5F0000}"/>
    <cellStyle name="Comma 3 3 2 6 7" xfId="2204" xr:uid="{00000000-0005-0000-0000-0000CC080000}"/>
    <cellStyle name="Comma 3 3 2 6 8" xfId="24285" xr:uid="{00000000-0005-0000-0000-00000D5F0000}"/>
    <cellStyle name="Comma 3 3 2 6 9" xfId="24290" xr:uid="{00000000-0005-0000-0000-0000125F0000}"/>
    <cellStyle name="Comma 3 3 2 7" xfId="24293" xr:uid="{00000000-0005-0000-0000-0000155F0000}"/>
    <cellStyle name="Comma 3 3 2 7 10" xfId="11505" xr:uid="{00000000-0005-0000-0000-0000212D0000}"/>
    <cellStyle name="Comma 3 3 2 7 11" xfId="24298" xr:uid="{00000000-0005-0000-0000-00001A5F0000}"/>
    <cellStyle name="Comma 3 3 2 7 12" xfId="24300" xr:uid="{00000000-0005-0000-0000-00001C5F0000}"/>
    <cellStyle name="Comma 3 3 2 7 13" xfId="24302" xr:uid="{00000000-0005-0000-0000-00001E5F0000}"/>
    <cellStyle name="Comma 3 3 2 7 14" xfId="24304" xr:uid="{00000000-0005-0000-0000-0000205F0000}"/>
    <cellStyle name="Comma 3 3 2 7 15" xfId="24308" xr:uid="{00000000-0005-0000-0000-0000245F0000}"/>
    <cellStyle name="Comma 3 3 2 7 16" xfId="24312" xr:uid="{00000000-0005-0000-0000-0000285F0000}"/>
    <cellStyle name="Comma 3 3 2 7 17" xfId="24315" xr:uid="{00000000-0005-0000-0000-00002B5F0000}"/>
    <cellStyle name="Comma 3 3 2 7 18" xfId="688" xr:uid="{00000000-0005-0000-0000-0000E0020000}"/>
    <cellStyle name="Comma 3 3 2 7 2" xfId="24316" xr:uid="{00000000-0005-0000-0000-00002C5F0000}"/>
    <cellStyle name="Comma 3 3 2 7 2 10" xfId="12438" xr:uid="{00000000-0005-0000-0000-0000C6300000}"/>
    <cellStyle name="Comma 3 3 2 7 2 2" xfId="15691" xr:uid="{00000000-0005-0000-0000-00007B3D0000}"/>
    <cellStyle name="Comma 3 3 2 7 2 2 2" xfId="24319" xr:uid="{00000000-0005-0000-0000-00002F5F0000}"/>
    <cellStyle name="Comma 3 3 2 7 2 3" xfId="3054" xr:uid="{00000000-0005-0000-0000-00001E0C0000}"/>
    <cellStyle name="Comma 3 3 2 7 2 4" xfId="3072" xr:uid="{00000000-0005-0000-0000-0000300C0000}"/>
    <cellStyle name="Comma 3 3 2 7 2 5" xfId="1361" xr:uid="{00000000-0005-0000-0000-000081050000}"/>
    <cellStyle name="Comma 3 3 2 7 2 6" xfId="7621" xr:uid="{00000000-0005-0000-0000-0000F51D0000}"/>
    <cellStyle name="Comma 3 3 2 7 2 7" xfId="7834" xr:uid="{00000000-0005-0000-0000-0000CA1E0000}"/>
    <cellStyle name="Comma 3 3 2 7 2 8" xfId="9805" xr:uid="{00000000-0005-0000-0000-00007D260000}"/>
    <cellStyle name="Comma 3 3 2 7 2 9" xfId="9813" xr:uid="{00000000-0005-0000-0000-000085260000}"/>
    <cellStyle name="Comma 3 3 2 7 3" xfId="24322" xr:uid="{00000000-0005-0000-0000-0000325F0000}"/>
    <cellStyle name="Comma 3 3 2 7 3 2" xfId="24325" xr:uid="{00000000-0005-0000-0000-0000355F0000}"/>
    <cellStyle name="Comma 3 3 2 7 3 3" xfId="4674" xr:uid="{00000000-0005-0000-0000-000072120000}"/>
    <cellStyle name="Comma 3 3 2 7 3 4" xfId="4697" xr:uid="{00000000-0005-0000-0000-000089120000}"/>
    <cellStyle name="Comma 3 3 2 7 3 5" xfId="1382" xr:uid="{00000000-0005-0000-0000-000096050000}"/>
    <cellStyle name="Comma 3 3 2 7 3 6" xfId="4727" xr:uid="{00000000-0005-0000-0000-0000A7120000}"/>
    <cellStyle name="Comma 3 3 2 7 4" xfId="9197" xr:uid="{00000000-0005-0000-0000-00001D240000}"/>
    <cellStyle name="Comma 3 3 2 7 4 2" xfId="9205" xr:uid="{00000000-0005-0000-0000-000025240000}"/>
    <cellStyle name="Comma 3 3 2 7 4 3" xfId="7858" xr:uid="{00000000-0005-0000-0000-0000E21E0000}"/>
    <cellStyle name="Comma 3 3 2 7 4 4" xfId="7635" xr:uid="{00000000-0005-0000-0000-0000031E0000}"/>
    <cellStyle name="Comma 3 3 2 7 4 5" xfId="1419" xr:uid="{00000000-0005-0000-0000-0000BB050000}"/>
    <cellStyle name="Comma 3 3 2 7 4 6" xfId="7867" xr:uid="{00000000-0005-0000-0000-0000EB1E0000}"/>
    <cellStyle name="Comma 3 3 2 7 5" xfId="6017" xr:uid="{00000000-0005-0000-0000-0000B1170000}"/>
    <cellStyle name="Comma 3 3 2 7 5 2" xfId="6850" xr:uid="{00000000-0005-0000-0000-0000F21A0000}"/>
    <cellStyle name="Comma 3 3 2 7 5 3" xfId="6909" xr:uid="{00000000-0005-0000-0000-00002D1B0000}"/>
    <cellStyle name="Comma 3 3 2 7 5 4" xfId="6938" xr:uid="{00000000-0005-0000-0000-00004A1B0000}"/>
    <cellStyle name="Comma 3 3 2 7 5 5" xfId="1449" xr:uid="{00000000-0005-0000-0000-0000D9050000}"/>
    <cellStyle name="Comma 3 3 2 7 5 6" xfId="3582" xr:uid="{00000000-0005-0000-0000-00002E0E0000}"/>
    <cellStyle name="Comma 3 3 2 7 6" xfId="6029" xr:uid="{00000000-0005-0000-0000-0000BD170000}"/>
    <cellStyle name="Comma 3 3 2 7 6 2" xfId="2072" xr:uid="{00000000-0005-0000-0000-000048080000}"/>
    <cellStyle name="Comma 3 3 2 7 6 3" xfId="5455" xr:uid="{00000000-0005-0000-0000-00007F150000}"/>
    <cellStyle name="Comma 3 3 2 7 6 4" xfId="5376" xr:uid="{00000000-0005-0000-0000-000030150000}"/>
    <cellStyle name="Comma 3 3 2 7 6 5" xfId="1474" xr:uid="{00000000-0005-0000-0000-0000F2050000}"/>
    <cellStyle name="Comma 3 3 2 7 6 6" xfId="7105" xr:uid="{00000000-0005-0000-0000-0000F11B0000}"/>
    <cellStyle name="Comma 3 3 2 7 7" xfId="2219" xr:uid="{00000000-0005-0000-0000-0000DB080000}"/>
    <cellStyle name="Comma 3 3 2 7 8" xfId="7165" xr:uid="{00000000-0005-0000-0000-00002D1C0000}"/>
    <cellStyle name="Comma 3 3 2 7 9" xfId="7291" xr:uid="{00000000-0005-0000-0000-0000AB1C0000}"/>
    <cellStyle name="Comma 3 3 2 8" xfId="14043" xr:uid="{00000000-0005-0000-0000-00000B370000}"/>
    <cellStyle name="Comma 3 3 2 8 10" xfId="11770" xr:uid="{00000000-0005-0000-0000-00002A2E0000}"/>
    <cellStyle name="Comma 3 3 2 8 11" xfId="24327" xr:uid="{00000000-0005-0000-0000-0000375F0000}"/>
    <cellStyle name="Comma 3 3 2 8 12" xfId="24328" xr:uid="{00000000-0005-0000-0000-0000385F0000}"/>
    <cellStyle name="Comma 3 3 2 8 13" xfId="24330" xr:uid="{00000000-0005-0000-0000-00003A5F0000}"/>
    <cellStyle name="Comma 3 3 2 8 14" xfId="24331" xr:uid="{00000000-0005-0000-0000-00003B5F0000}"/>
    <cellStyle name="Comma 3 3 2 8 15" xfId="24334" xr:uid="{00000000-0005-0000-0000-00003E5F0000}"/>
    <cellStyle name="Comma 3 3 2 8 2" xfId="24337" xr:uid="{00000000-0005-0000-0000-0000415F0000}"/>
    <cellStyle name="Comma 3 3 2 8 2 2" xfId="12768" xr:uid="{00000000-0005-0000-0000-000010320000}"/>
    <cellStyle name="Comma 3 3 2 8 2 2 2" xfId="24342" xr:uid="{00000000-0005-0000-0000-0000465F0000}"/>
    <cellStyle name="Comma 3 3 2 8 2 3" xfId="3521" xr:uid="{00000000-0005-0000-0000-0000F10D0000}"/>
    <cellStyle name="Comma 3 3 2 8 2 4" xfId="9855" xr:uid="{00000000-0005-0000-0000-0000AF260000}"/>
    <cellStyle name="Comma 3 3 2 8 2 5" xfId="12783" xr:uid="{00000000-0005-0000-0000-00001F320000}"/>
    <cellStyle name="Comma 3 3 2 8 2 6" xfId="14071" xr:uid="{00000000-0005-0000-0000-000027370000}"/>
    <cellStyle name="Comma 3 3 2 8 2 7" xfId="10644" xr:uid="{00000000-0005-0000-0000-0000C4290000}"/>
    <cellStyle name="Comma 3 3 2 8 2 8" xfId="10651" xr:uid="{00000000-0005-0000-0000-0000CB290000}"/>
    <cellStyle name="Comma 3 3 2 8 2 9" xfId="10657" xr:uid="{00000000-0005-0000-0000-0000D1290000}"/>
    <cellStyle name="Comma 3 3 2 8 3" xfId="24347" xr:uid="{00000000-0005-0000-0000-00004B5F0000}"/>
    <cellStyle name="Comma 3 3 2 8 3 2" xfId="2184" xr:uid="{00000000-0005-0000-0000-0000B8080000}"/>
    <cellStyle name="Comma 3 3 2 8 3 3" xfId="24351" xr:uid="{00000000-0005-0000-0000-00004F5F0000}"/>
    <cellStyle name="Comma 3 3 2 8 3 4" xfId="20742" xr:uid="{00000000-0005-0000-0000-000036510000}"/>
    <cellStyle name="Comma 3 3 2 8 3 5" xfId="20744" xr:uid="{00000000-0005-0000-0000-000038510000}"/>
    <cellStyle name="Comma 3 3 2 8 3 6" xfId="20746" xr:uid="{00000000-0005-0000-0000-00003A510000}"/>
    <cellStyle name="Comma 3 3 2 8 4" xfId="9215" xr:uid="{00000000-0005-0000-0000-00002F240000}"/>
    <cellStyle name="Comma 3 3 2 8 4 2" xfId="12795" xr:uid="{00000000-0005-0000-0000-00002B320000}"/>
    <cellStyle name="Comma 3 3 2 8 5" xfId="24356" xr:uid="{00000000-0005-0000-0000-0000545F0000}"/>
    <cellStyle name="Comma 3 3 2 8 6" xfId="24360" xr:uid="{00000000-0005-0000-0000-0000585F0000}"/>
    <cellStyle name="Comma 3 3 2 8 7" xfId="24364" xr:uid="{00000000-0005-0000-0000-00005C5F0000}"/>
    <cellStyle name="Comma 3 3 2 8 8" xfId="24365" xr:uid="{00000000-0005-0000-0000-00005D5F0000}"/>
    <cellStyle name="Comma 3 3 2 8 9" xfId="24366" xr:uid="{00000000-0005-0000-0000-00005E5F0000}"/>
    <cellStyle name="Comma 3 3 2 9" xfId="2518" xr:uid="{00000000-0005-0000-0000-0000060A0000}"/>
    <cellStyle name="Comma 3 3 2 9 10" xfId="22838" xr:uid="{00000000-0005-0000-0000-000066590000}"/>
    <cellStyle name="Comma 3 3 2 9 11" xfId="24368" xr:uid="{00000000-0005-0000-0000-0000605F0000}"/>
    <cellStyle name="Comma 3 3 2 9 12" xfId="24370" xr:uid="{00000000-0005-0000-0000-0000625F0000}"/>
    <cellStyle name="Comma 3 3 2 9 13" xfId="24372" xr:uid="{00000000-0005-0000-0000-0000645F0000}"/>
    <cellStyle name="Comma 3 3 2 9 14" xfId="24373" xr:uid="{00000000-0005-0000-0000-0000655F0000}"/>
    <cellStyle name="Comma 3 3 2 9 2" xfId="3558" xr:uid="{00000000-0005-0000-0000-0000160E0000}"/>
    <cellStyle name="Comma 3 3 2 9 2 2" xfId="20322" xr:uid="{00000000-0005-0000-0000-0000924F0000}"/>
    <cellStyle name="Comma 3 3 2 9 2 2 2" xfId="13621" xr:uid="{00000000-0005-0000-0000-000065350000}"/>
    <cellStyle name="Comma 3 3 2 9 2 3" xfId="3718" xr:uid="{00000000-0005-0000-0000-0000B60E0000}"/>
    <cellStyle name="Comma 3 3 2 9 2 4" xfId="24374" xr:uid="{00000000-0005-0000-0000-0000665F0000}"/>
    <cellStyle name="Comma 3 3 2 9 2 5" xfId="24375" xr:uid="{00000000-0005-0000-0000-0000675F0000}"/>
    <cellStyle name="Comma 3 3 2 9 2 6" xfId="24376" xr:uid="{00000000-0005-0000-0000-0000685F0000}"/>
    <cellStyle name="Comma 3 3 2 9 2 7" xfId="12159" xr:uid="{00000000-0005-0000-0000-0000AF2F0000}"/>
    <cellStyle name="Comma 3 3 2 9 2 8" xfId="12171" xr:uid="{00000000-0005-0000-0000-0000BB2F0000}"/>
    <cellStyle name="Comma 3 3 2 9 2 9" xfId="12183" xr:uid="{00000000-0005-0000-0000-0000C72F0000}"/>
    <cellStyle name="Comma 3 3 2 9 3" xfId="15447" xr:uid="{00000000-0005-0000-0000-0000873C0000}"/>
    <cellStyle name="Comma 3 3 2 9 3 2" xfId="17283" xr:uid="{00000000-0005-0000-0000-0000B3430000}"/>
    <cellStyle name="Comma 3 3 2 9 3 3" xfId="24377" xr:uid="{00000000-0005-0000-0000-0000695F0000}"/>
    <cellStyle name="Comma 3 3 2 9 3 4" xfId="19040" xr:uid="{00000000-0005-0000-0000-0000904A0000}"/>
    <cellStyle name="Comma 3 3 2 9 3 5" xfId="24379" xr:uid="{00000000-0005-0000-0000-00006B5F0000}"/>
    <cellStyle name="Comma 3 3 2 9 3 6" xfId="24381" xr:uid="{00000000-0005-0000-0000-00006D5F0000}"/>
    <cellStyle name="Comma 3 3 2 9 4" xfId="13828" xr:uid="{00000000-0005-0000-0000-000034360000}"/>
    <cellStyle name="Comma 3 3 2 9 4 2" xfId="13835" xr:uid="{00000000-0005-0000-0000-00003B360000}"/>
    <cellStyle name="Comma 3 3 2 9 5" xfId="4278" xr:uid="{00000000-0005-0000-0000-0000E6100000}"/>
    <cellStyle name="Comma 3 3 2 9 6" xfId="4304" xr:uid="{00000000-0005-0000-0000-000000110000}"/>
    <cellStyle name="Comma 3 3 2 9 7" xfId="6298" xr:uid="{00000000-0005-0000-0000-0000CA180000}"/>
    <cellStyle name="Comma 3 3 2 9 8" xfId="6311" xr:uid="{00000000-0005-0000-0000-0000D7180000}"/>
    <cellStyle name="Comma 3 3 2 9 9" xfId="6329" xr:uid="{00000000-0005-0000-0000-0000E9180000}"/>
    <cellStyle name="Comma 3 3 20" xfId="23417" xr:uid="{00000000-0005-0000-0000-0000A95B0000}"/>
    <cellStyle name="Comma 3 3 21" xfId="23426" xr:uid="{00000000-0005-0000-0000-0000B25B0000}"/>
    <cellStyle name="Comma 3 3 22" xfId="23428" xr:uid="{00000000-0005-0000-0000-0000B45B0000}"/>
    <cellStyle name="Comma 3 3 23" xfId="23430" xr:uid="{00000000-0005-0000-0000-0000B65B0000}"/>
    <cellStyle name="Comma 3 3 24" xfId="23432" xr:uid="{00000000-0005-0000-0000-0000B85B0000}"/>
    <cellStyle name="Comma 3 3 25" xfId="4895" xr:uid="{00000000-0005-0000-0000-00004F130000}"/>
    <cellStyle name="Comma 3 3 26" xfId="6086" xr:uid="{00000000-0005-0000-0000-0000F6170000}"/>
    <cellStyle name="Comma 3 3 27" xfId="13573" xr:uid="{00000000-0005-0000-0000-000035350000}"/>
    <cellStyle name="Comma 3 3 3" xfId="24383" xr:uid="{00000000-0005-0000-0000-00006F5F0000}"/>
    <cellStyle name="Comma 3 3 3 10" xfId="15667" xr:uid="{00000000-0005-0000-0000-0000633D0000}"/>
    <cellStyle name="Comma 3 3 3 10 2" xfId="24387" xr:uid="{00000000-0005-0000-0000-0000735F0000}"/>
    <cellStyle name="Comma 3 3 3 10 3" xfId="23246" xr:uid="{00000000-0005-0000-0000-0000FE5A0000}"/>
    <cellStyle name="Comma 3 3 3 10 4" xfId="16532" xr:uid="{00000000-0005-0000-0000-0000C4400000}"/>
    <cellStyle name="Comma 3 3 3 10 5" xfId="16554" xr:uid="{00000000-0005-0000-0000-0000DA400000}"/>
    <cellStyle name="Comma 3 3 3 10 6" xfId="16577" xr:uid="{00000000-0005-0000-0000-0000F1400000}"/>
    <cellStyle name="Comma 3 3 3 11" xfId="15669" xr:uid="{00000000-0005-0000-0000-0000653D0000}"/>
    <cellStyle name="Comma 3 3 3 11 2" xfId="24389" xr:uid="{00000000-0005-0000-0000-0000755F0000}"/>
    <cellStyle name="Comma 3 3 3 11 3" xfId="23252" xr:uid="{00000000-0005-0000-0000-0000045B0000}"/>
    <cellStyle name="Comma 3 3 3 11 4" xfId="16628" xr:uid="{00000000-0005-0000-0000-000024410000}"/>
    <cellStyle name="Comma 3 3 3 11 5" xfId="16637" xr:uid="{00000000-0005-0000-0000-00002D410000}"/>
    <cellStyle name="Comma 3 3 3 11 6" xfId="16642" xr:uid="{00000000-0005-0000-0000-000032410000}"/>
    <cellStyle name="Comma 3 3 3 12" xfId="2635" xr:uid="{00000000-0005-0000-0000-00007B0A0000}"/>
    <cellStyle name="Comma 3 3 3 13" xfId="15672" xr:uid="{00000000-0005-0000-0000-0000683D0000}"/>
    <cellStyle name="Comma 3 3 3 14" xfId="7782" xr:uid="{00000000-0005-0000-0000-0000961E0000}"/>
    <cellStyle name="Comma 3 3 3 15" xfId="7558" xr:uid="{00000000-0005-0000-0000-0000B61D0000}"/>
    <cellStyle name="Comma 3 3 3 16" xfId="7576" xr:uid="{00000000-0005-0000-0000-0000C81D0000}"/>
    <cellStyle name="Comma 3 3 3 17" xfId="7590" xr:uid="{00000000-0005-0000-0000-0000D61D0000}"/>
    <cellStyle name="Comma 3 3 3 18" xfId="7795" xr:uid="{00000000-0005-0000-0000-0000A31E0000}"/>
    <cellStyle name="Comma 3 3 3 19" xfId="7808" xr:uid="{00000000-0005-0000-0000-0000B01E0000}"/>
    <cellStyle name="Comma 3 3 3 2" xfId="6058" xr:uid="{00000000-0005-0000-0000-0000DA170000}"/>
    <cellStyle name="Comma 3 3 3 2 10" xfId="13624" xr:uid="{00000000-0005-0000-0000-000068350000}"/>
    <cellStyle name="Comma 3 3 3 2 11" xfId="13627" xr:uid="{00000000-0005-0000-0000-00006B350000}"/>
    <cellStyle name="Comma 3 3 3 2 12" xfId="3633" xr:uid="{00000000-0005-0000-0000-0000610E0000}"/>
    <cellStyle name="Comma 3 3 3 2 13" xfId="24392" xr:uid="{00000000-0005-0000-0000-0000785F0000}"/>
    <cellStyle name="Comma 3 3 3 2 14" xfId="24394" xr:uid="{00000000-0005-0000-0000-00007A5F0000}"/>
    <cellStyle name="Comma 3 3 3 2 15" xfId="24396" xr:uid="{00000000-0005-0000-0000-00007C5F0000}"/>
    <cellStyle name="Comma 3 3 3 2 16" xfId="24399" xr:uid="{00000000-0005-0000-0000-00007F5F0000}"/>
    <cellStyle name="Comma 3 3 3 2 17" xfId="24401" xr:uid="{00000000-0005-0000-0000-0000815F0000}"/>
    <cellStyle name="Comma 3 3 3 2 18" xfId="24404" xr:uid="{00000000-0005-0000-0000-0000845F0000}"/>
    <cellStyle name="Comma 3 3 3 2 2" xfId="15824" xr:uid="{00000000-0005-0000-0000-0000003E0000}"/>
    <cellStyle name="Comma 3 3 3 2 2 10" xfId="24405" xr:uid="{00000000-0005-0000-0000-0000855F0000}"/>
    <cellStyle name="Comma 3 3 3 2 2 11" xfId="17914" xr:uid="{00000000-0005-0000-0000-00002A460000}"/>
    <cellStyle name="Comma 3 3 3 2 2 12" xfId="17922" xr:uid="{00000000-0005-0000-0000-000032460000}"/>
    <cellStyle name="Comma 3 3 3 2 2 2" xfId="23163" xr:uid="{00000000-0005-0000-0000-0000AB5A0000}"/>
    <cellStyle name="Comma 3 3 3 2 2 2 2" xfId="24408" xr:uid="{00000000-0005-0000-0000-0000885F0000}"/>
    <cellStyle name="Comma 3 3 3 2 2 2 2 2" xfId="24410" xr:uid="{00000000-0005-0000-0000-00008A5F0000}"/>
    <cellStyle name="Comma 3 3 3 2 2 2 3" xfId="24411" xr:uid="{00000000-0005-0000-0000-00008B5F0000}"/>
    <cellStyle name="Comma 3 3 3 2 2 2 4" xfId="24415" xr:uid="{00000000-0005-0000-0000-00008F5F0000}"/>
    <cellStyle name="Comma 3 3 3 2 2 2 5" xfId="24416" xr:uid="{00000000-0005-0000-0000-0000905F0000}"/>
    <cellStyle name="Comma 3 3 3 2 2 3" xfId="23166" xr:uid="{00000000-0005-0000-0000-0000AE5A0000}"/>
    <cellStyle name="Comma 3 3 3 2 2 3 2" xfId="24417" xr:uid="{00000000-0005-0000-0000-0000915F0000}"/>
    <cellStyle name="Comma 3 3 3 2 2 4" xfId="23169" xr:uid="{00000000-0005-0000-0000-0000B15A0000}"/>
    <cellStyle name="Comma 3 3 3 2 2 5" xfId="24419" xr:uid="{00000000-0005-0000-0000-0000935F0000}"/>
    <cellStyle name="Comma 3 3 3 2 2 6" xfId="8409" xr:uid="{00000000-0005-0000-0000-000009210000}"/>
    <cellStyle name="Comma 3 3 3 2 2 7" xfId="24421" xr:uid="{00000000-0005-0000-0000-0000955F0000}"/>
    <cellStyle name="Comma 3 3 3 2 2 8" xfId="24422" xr:uid="{00000000-0005-0000-0000-0000965F0000}"/>
    <cellStyle name="Comma 3 3 3 2 2 9" xfId="24423" xr:uid="{00000000-0005-0000-0000-0000975F0000}"/>
    <cellStyle name="Comma 3 3 3 2 3" xfId="15827" xr:uid="{00000000-0005-0000-0000-0000033E0000}"/>
    <cellStyle name="Comma 3 3 3 2 3 10" xfId="24424" xr:uid="{00000000-0005-0000-0000-0000985F0000}"/>
    <cellStyle name="Comma 3 3 3 2 3 11" xfId="3467" xr:uid="{00000000-0005-0000-0000-0000BB0D0000}"/>
    <cellStyle name="Comma 3 3 3 2 3 12" xfId="10986" xr:uid="{00000000-0005-0000-0000-00001A2B0000}"/>
    <cellStyle name="Comma 3 3 3 2 3 2" xfId="23174" xr:uid="{00000000-0005-0000-0000-0000B65A0000}"/>
    <cellStyle name="Comma 3 3 3 2 3 2 2" xfId="22894" xr:uid="{00000000-0005-0000-0000-00009E590000}"/>
    <cellStyle name="Comma 3 3 3 2 3 2 2 2" xfId="350" xr:uid="{00000000-0005-0000-0000-000076010000}"/>
    <cellStyle name="Comma 3 3 3 2 3 2 3" xfId="22896" xr:uid="{00000000-0005-0000-0000-0000A0590000}"/>
    <cellStyle name="Comma 3 3 3 2 3 2 4" xfId="22900" xr:uid="{00000000-0005-0000-0000-0000A4590000}"/>
    <cellStyle name="Comma 3 3 3 2 3 2 5" xfId="24427" xr:uid="{00000000-0005-0000-0000-00009B5F0000}"/>
    <cellStyle name="Comma 3 3 3 2 3 3" xfId="23177" xr:uid="{00000000-0005-0000-0000-0000B95A0000}"/>
    <cellStyle name="Comma 3 3 3 2 3 3 2" xfId="24428" xr:uid="{00000000-0005-0000-0000-00009C5F0000}"/>
    <cellStyle name="Comma 3 3 3 2 3 4" xfId="23180" xr:uid="{00000000-0005-0000-0000-0000BC5A0000}"/>
    <cellStyle name="Comma 3 3 3 2 3 5" xfId="15105" xr:uid="{00000000-0005-0000-0000-0000313B0000}"/>
    <cellStyle name="Comma 3 3 3 2 3 6" xfId="13416" xr:uid="{00000000-0005-0000-0000-000098340000}"/>
    <cellStyle name="Comma 3 3 3 2 3 7" xfId="13420" xr:uid="{00000000-0005-0000-0000-00009C340000}"/>
    <cellStyle name="Comma 3 3 3 2 3 8" xfId="13427" xr:uid="{00000000-0005-0000-0000-0000A3340000}"/>
    <cellStyle name="Comma 3 3 3 2 3 9" xfId="13430" xr:uid="{00000000-0005-0000-0000-0000A6340000}"/>
    <cellStyle name="Comma 3 3 3 2 4" xfId="4795" xr:uid="{00000000-0005-0000-0000-0000EB120000}"/>
    <cellStyle name="Comma 3 3 3 2 4 10" xfId="24429" xr:uid="{00000000-0005-0000-0000-00009D5F0000}"/>
    <cellStyle name="Comma 3 3 3 2 4 2" xfId="20188" xr:uid="{00000000-0005-0000-0000-00000C4F0000}"/>
    <cellStyle name="Comma 3 3 3 2 4 2 2" xfId="24430" xr:uid="{00000000-0005-0000-0000-00009E5F0000}"/>
    <cellStyle name="Comma 3 3 3 2 4 2 2 2" xfId="24431" xr:uid="{00000000-0005-0000-0000-00009F5F0000}"/>
    <cellStyle name="Comma 3 3 3 2 4 2 3" xfId="7446" xr:uid="{00000000-0005-0000-0000-0000461D0000}"/>
    <cellStyle name="Comma 3 3 3 2 4 2 4" xfId="7451" xr:uid="{00000000-0005-0000-0000-00004B1D0000}"/>
    <cellStyle name="Comma 3 3 3 2 4 2 5" xfId="5791" xr:uid="{00000000-0005-0000-0000-0000CF160000}"/>
    <cellStyle name="Comma 3 3 3 2 4 3" xfId="20191" xr:uid="{00000000-0005-0000-0000-00000F4F0000}"/>
    <cellStyle name="Comma 3 3 3 2 4 3 2" xfId="17616" xr:uid="{00000000-0005-0000-0000-000000450000}"/>
    <cellStyle name="Comma 3 3 3 2 4 4" xfId="24432" xr:uid="{00000000-0005-0000-0000-0000A05F0000}"/>
    <cellStyle name="Comma 3 3 3 2 4 5" xfId="15109" xr:uid="{00000000-0005-0000-0000-0000353B0000}"/>
    <cellStyle name="Comma 3 3 3 2 4 6" xfId="13433" xr:uid="{00000000-0005-0000-0000-0000A9340000}"/>
    <cellStyle name="Comma 3 3 3 2 4 7" xfId="15111" xr:uid="{00000000-0005-0000-0000-0000373B0000}"/>
    <cellStyle name="Comma 3 3 3 2 4 8" xfId="15116" xr:uid="{00000000-0005-0000-0000-00003C3B0000}"/>
    <cellStyle name="Comma 3 3 3 2 4 9" xfId="15118" xr:uid="{00000000-0005-0000-0000-00003E3B0000}"/>
    <cellStyle name="Comma 3 3 3 2 5" xfId="20964" xr:uid="{00000000-0005-0000-0000-000014520000}"/>
    <cellStyle name="Comma 3 3 3 2 5 10" xfId="20968" xr:uid="{00000000-0005-0000-0000-000018520000}"/>
    <cellStyle name="Comma 3 3 3 2 5 2" xfId="20994" xr:uid="{00000000-0005-0000-0000-000032520000}"/>
    <cellStyle name="Comma 3 3 3 2 5 2 2" xfId="20996" xr:uid="{00000000-0005-0000-0000-000034520000}"/>
    <cellStyle name="Comma 3 3 3 2 5 2 2 2" xfId="21003" xr:uid="{00000000-0005-0000-0000-00003B520000}"/>
    <cellStyle name="Comma 3 3 3 2 5 2 3" xfId="21006" xr:uid="{00000000-0005-0000-0000-00003E520000}"/>
    <cellStyle name="Comma 3 3 3 2 5 2 4" xfId="21011" xr:uid="{00000000-0005-0000-0000-000043520000}"/>
    <cellStyle name="Comma 3 3 3 2 5 2 5" xfId="21019" xr:uid="{00000000-0005-0000-0000-00004B520000}"/>
    <cellStyle name="Comma 3 3 3 2 5 3" xfId="21030" xr:uid="{00000000-0005-0000-0000-000056520000}"/>
    <cellStyle name="Comma 3 3 3 2 5 3 2" xfId="21032" xr:uid="{00000000-0005-0000-0000-000058520000}"/>
    <cellStyle name="Comma 3 3 3 2 5 4" xfId="21040" xr:uid="{00000000-0005-0000-0000-000060520000}"/>
    <cellStyle name="Comma 3 3 3 2 5 5" xfId="15123" xr:uid="{00000000-0005-0000-0000-0000433B0000}"/>
    <cellStyle name="Comma 3 3 3 2 5 6" xfId="21058" xr:uid="{00000000-0005-0000-0000-000072520000}"/>
    <cellStyle name="Comma 3 3 3 2 5 7" xfId="21072" xr:uid="{00000000-0005-0000-0000-000080520000}"/>
    <cellStyle name="Comma 3 3 3 2 5 8" xfId="18411" xr:uid="{00000000-0005-0000-0000-00001B480000}"/>
    <cellStyle name="Comma 3 3 3 2 5 9" xfId="21076" xr:uid="{00000000-0005-0000-0000-000084520000}"/>
    <cellStyle name="Comma 3 3 3 2 6" xfId="21082" xr:uid="{00000000-0005-0000-0000-00008A520000}"/>
    <cellStyle name="Comma 3 3 3 2 6 2" xfId="18548" xr:uid="{00000000-0005-0000-0000-0000A4480000}"/>
    <cellStyle name="Comma 3 3 3 2 6 2 2" xfId="21121" xr:uid="{00000000-0005-0000-0000-0000B1520000}"/>
    <cellStyle name="Comma 3 3 3 2 6 3" xfId="18554" xr:uid="{00000000-0005-0000-0000-0000AA480000}"/>
    <cellStyle name="Comma 3 3 3 2 6 4" xfId="18561" xr:uid="{00000000-0005-0000-0000-0000B1480000}"/>
    <cellStyle name="Comma 3 3 3 2 6 5" xfId="18567" xr:uid="{00000000-0005-0000-0000-0000B7480000}"/>
    <cellStyle name="Comma 3 3 3 2 6 6" xfId="21165" xr:uid="{00000000-0005-0000-0000-0000DD520000}"/>
    <cellStyle name="Comma 3 3 3 2 6 7" xfId="21177" xr:uid="{00000000-0005-0000-0000-0000E9520000}"/>
    <cellStyle name="Comma 3 3 3 2 6 8" xfId="21182" xr:uid="{00000000-0005-0000-0000-0000EE520000}"/>
    <cellStyle name="Comma 3 3 3 2 6 9" xfId="21188" xr:uid="{00000000-0005-0000-0000-0000F4520000}"/>
    <cellStyle name="Comma 3 3 3 2 7" xfId="21194" xr:uid="{00000000-0005-0000-0000-0000FA520000}"/>
    <cellStyle name="Comma 3 3 3 2 7 2" xfId="21198" xr:uid="{00000000-0005-0000-0000-0000FE520000}"/>
    <cellStyle name="Comma 3 3 3 2 8" xfId="21240" xr:uid="{00000000-0005-0000-0000-000028530000}"/>
    <cellStyle name="Comma 3 3 3 2 9" xfId="21302" xr:uid="{00000000-0005-0000-0000-000066530000}"/>
    <cellStyle name="Comma 3 3 3 20" xfId="7557" xr:uid="{00000000-0005-0000-0000-0000B51D0000}"/>
    <cellStyle name="Comma 3 3 3 21" xfId="7575" xr:uid="{00000000-0005-0000-0000-0000C71D0000}"/>
    <cellStyle name="Comma 3 3 3 22" xfId="7589" xr:uid="{00000000-0005-0000-0000-0000D51D0000}"/>
    <cellStyle name="Comma 3 3 3 23" xfId="7794" xr:uid="{00000000-0005-0000-0000-0000A21E0000}"/>
    <cellStyle name="Comma 3 3 3 3" xfId="24434" xr:uid="{00000000-0005-0000-0000-0000A25F0000}"/>
    <cellStyle name="Comma 3 3 3 3 10" xfId="11803" xr:uid="{00000000-0005-0000-0000-00004B2E0000}"/>
    <cellStyle name="Comma 3 3 3 3 11" xfId="11810" xr:uid="{00000000-0005-0000-0000-0000522E0000}"/>
    <cellStyle name="Comma 3 3 3 3 12" xfId="4518" xr:uid="{00000000-0005-0000-0000-0000D6110000}"/>
    <cellStyle name="Comma 3 3 3 3 13" xfId="2417" xr:uid="{00000000-0005-0000-0000-0000A1090000}"/>
    <cellStyle name="Comma 3 3 3 3 14" xfId="11815" xr:uid="{00000000-0005-0000-0000-0000572E0000}"/>
    <cellStyle name="Comma 3 3 3 3 15" xfId="11818" xr:uid="{00000000-0005-0000-0000-00005A2E0000}"/>
    <cellStyle name="Comma 3 3 3 3 16" xfId="24436" xr:uid="{00000000-0005-0000-0000-0000A45F0000}"/>
    <cellStyle name="Comma 3 3 3 3 17" xfId="24437" xr:uid="{00000000-0005-0000-0000-0000A55F0000}"/>
    <cellStyle name="Comma 3 3 3 3 18" xfId="24442" xr:uid="{00000000-0005-0000-0000-0000AA5F0000}"/>
    <cellStyle name="Comma 3 3 3 3 2" xfId="24444" xr:uid="{00000000-0005-0000-0000-0000AC5F0000}"/>
    <cellStyle name="Comma 3 3 3 3 2 10" xfId="24445" xr:uid="{00000000-0005-0000-0000-0000AD5F0000}"/>
    <cellStyle name="Comma 3 3 3 3 2 2" xfId="6864" xr:uid="{00000000-0005-0000-0000-0000001B0000}"/>
    <cellStyle name="Comma 3 3 3 3 2 2 2" xfId="8867" xr:uid="{00000000-0005-0000-0000-0000D3220000}"/>
    <cellStyle name="Comma 3 3 3 3 2 3" xfId="23220" xr:uid="{00000000-0005-0000-0000-0000E45A0000}"/>
    <cellStyle name="Comma 3 3 3 3 2 4" xfId="23222" xr:uid="{00000000-0005-0000-0000-0000E65A0000}"/>
    <cellStyle name="Comma 3 3 3 3 2 5" xfId="24446" xr:uid="{00000000-0005-0000-0000-0000AE5F0000}"/>
    <cellStyle name="Comma 3 3 3 3 2 6" xfId="8425" xr:uid="{00000000-0005-0000-0000-000019210000}"/>
    <cellStyle name="Comma 3 3 3 3 2 7" xfId="24447" xr:uid="{00000000-0005-0000-0000-0000AF5F0000}"/>
    <cellStyle name="Comma 3 3 3 3 2 8" xfId="24448" xr:uid="{00000000-0005-0000-0000-0000B05F0000}"/>
    <cellStyle name="Comma 3 3 3 3 2 9" xfId="24449" xr:uid="{00000000-0005-0000-0000-0000B15F0000}"/>
    <cellStyle name="Comma 3 3 3 3 3" xfId="24451" xr:uid="{00000000-0005-0000-0000-0000B35F0000}"/>
    <cellStyle name="Comma 3 3 3 3 3 2" xfId="6039" xr:uid="{00000000-0005-0000-0000-0000C7170000}"/>
    <cellStyle name="Comma 3 3 3 3 3 3" xfId="6045" xr:uid="{00000000-0005-0000-0000-0000CD170000}"/>
    <cellStyle name="Comma 3 3 3 3 3 4" xfId="24452" xr:uid="{00000000-0005-0000-0000-0000B45F0000}"/>
    <cellStyle name="Comma 3 3 3 3 3 5" xfId="9067" xr:uid="{00000000-0005-0000-0000-00009B230000}"/>
    <cellStyle name="Comma 3 3 3 3 3 6" xfId="9079" xr:uid="{00000000-0005-0000-0000-0000A7230000}"/>
    <cellStyle name="Comma 3 3 3 3 4" xfId="298" xr:uid="{00000000-0005-0000-0000-00003E010000}"/>
    <cellStyle name="Comma 3 3 3 3 4 2" xfId="20220" xr:uid="{00000000-0005-0000-0000-00002C4F0000}"/>
    <cellStyle name="Comma 3 3 3 3 4 3" xfId="20222" xr:uid="{00000000-0005-0000-0000-00002E4F0000}"/>
    <cellStyle name="Comma 3 3 3 3 4 4" xfId="24453" xr:uid="{00000000-0005-0000-0000-0000B55F0000}"/>
    <cellStyle name="Comma 3 3 3 3 4 5" xfId="10021" xr:uid="{00000000-0005-0000-0000-000055270000}"/>
    <cellStyle name="Comma 3 3 3 3 4 6" xfId="10027" xr:uid="{00000000-0005-0000-0000-00005B270000}"/>
    <cellStyle name="Comma 3 3 3 3 5" xfId="24456" xr:uid="{00000000-0005-0000-0000-0000B85F0000}"/>
    <cellStyle name="Comma 3 3 3 3 5 2" xfId="24457" xr:uid="{00000000-0005-0000-0000-0000B95F0000}"/>
    <cellStyle name="Comma 3 3 3 3 5 3" xfId="24458" xr:uid="{00000000-0005-0000-0000-0000BA5F0000}"/>
    <cellStyle name="Comma 3 3 3 3 5 4" xfId="24461" xr:uid="{00000000-0005-0000-0000-0000BD5F0000}"/>
    <cellStyle name="Comma 3 3 3 3 5 5" xfId="10076" xr:uid="{00000000-0005-0000-0000-00008C270000}"/>
    <cellStyle name="Comma 3 3 3 3 5 6" xfId="24465" xr:uid="{00000000-0005-0000-0000-0000C15F0000}"/>
    <cellStyle name="Comma 3 3 3 3 6" xfId="24466" xr:uid="{00000000-0005-0000-0000-0000C25F0000}"/>
    <cellStyle name="Comma 3 3 3 3 6 2" xfId="24467" xr:uid="{00000000-0005-0000-0000-0000C35F0000}"/>
    <cellStyle name="Comma 3 3 3 3 6 3" xfId="24468" xr:uid="{00000000-0005-0000-0000-0000C45F0000}"/>
    <cellStyle name="Comma 3 3 3 3 6 4" xfId="24469" xr:uid="{00000000-0005-0000-0000-0000C55F0000}"/>
    <cellStyle name="Comma 3 3 3 3 6 5" xfId="24473" xr:uid="{00000000-0005-0000-0000-0000C95F0000}"/>
    <cellStyle name="Comma 3 3 3 3 6 6" xfId="24477" xr:uid="{00000000-0005-0000-0000-0000CD5F0000}"/>
    <cellStyle name="Comma 3 3 3 3 7" xfId="24478" xr:uid="{00000000-0005-0000-0000-0000CE5F0000}"/>
    <cellStyle name="Comma 3 3 3 3 8" xfId="24479" xr:uid="{00000000-0005-0000-0000-0000CF5F0000}"/>
    <cellStyle name="Comma 3 3 3 3 9" xfId="24480" xr:uid="{00000000-0005-0000-0000-0000D05F0000}"/>
    <cellStyle name="Comma 3 3 3 4" xfId="24481" xr:uid="{00000000-0005-0000-0000-0000D15F0000}"/>
    <cellStyle name="Comma 3 3 3 4 10" xfId="11902" xr:uid="{00000000-0005-0000-0000-0000AE2E0000}"/>
    <cellStyle name="Comma 3 3 3 4 11" xfId="11906" xr:uid="{00000000-0005-0000-0000-0000B22E0000}"/>
    <cellStyle name="Comma 3 3 3 4 12" xfId="1544" xr:uid="{00000000-0005-0000-0000-000038060000}"/>
    <cellStyle name="Comma 3 3 3 4 13" xfId="1571" xr:uid="{00000000-0005-0000-0000-000053060000}"/>
    <cellStyle name="Comma 3 3 3 4 14" xfId="1605" xr:uid="{00000000-0005-0000-0000-000075060000}"/>
    <cellStyle name="Comma 3 3 3 4 15" xfId="1658" xr:uid="{00000000-0005-0000-0000-0000AA060000}"/>
    <cellStyle name="Comma 3 3 3 4 2" xfId="24483" xr:uid="{00000000-0005-0000-0000-0000D35F0000}"/>
    <cellStyle name="Comma 3 3 3 4 2 2" xfId="16690" xr:uid="{00000000-0005-0000-0000-000062410000}"/>
    <cellStyle name="Comma 3 3 3 4 2 2 2" xfId="11141" xr:uid="{00000000-0005-0000-0000-0000B52B0000}"/>
    <cellStyle name="Comma 3 3 3 4 2 3" xfId="24486" xr:uid="{00000000-0005-0000-0000-0000D65F0000}"/>
    <cellStyle name="Comma 3 3 3 4 2 4" xfId="24488" xr:uid="{00000000-0005-0000-0000-0000D85F0000}"/>
    <cellStyle name="Comma 3 3 3 4 2 5" xfId="24491" xr:uid="{00000000-0005-0000-0000-0000DB5F0000}"/>
    <cellStyle name="Comma 3 3 3 4 2 6" xfId="1857" xr:uid="{00000000-0005-0000-0000-000071070000}"/>
    <cellStyle name="Comma 3 3 3 4 2 7" xfId="24492" xr:uid="{00000000-0005-0000-0000-0000DC5F0000}"/>
    <cellStyle name="Comma 3 3 3 4 2 8" xfId="24493" xr:uid="{00000000-0005-0000-0000-0000DD5F0000}"/>
    <cellStyle name="Comma 3 3 3 4 2 9" xfId="24494" xr:uid="{00000000-0005-0000-0000-0000DE5F0000}"/>
    <cellStyle name="Comma 3 3 3 4 3" xfId="24495" xr:uid="{00000000-0005-0000-0000-0000DF5F0000}"/>
    <cellStyle name="Comma 3 3 3 4 3 2" xfId="24497" xr:uid="{00000000-0005-0000-0000-0000E15F0000}"/>
    <cellStyle name="Comma 3 3 3 4 3 3" xfId="24499" xr:uid="{00000000-0005-0000-0000-0000E35F0000}"/>
    <cellStyle name="Comma 3 3 3 4 3 4" xfId="24500" xr:uid="{00000000-0005-0000-0000-0000E45F0000}"/>
    <cellStyle name="Comma 3 3 3 4 3 5" xfId="10168" xr:uid="{00000000-0005-0000-0000-0000E8270000}"/>
    <cellStyle name="Comma 3 3 3 4 3 6" xfId="5633" xr:uid="{00000000-0005-0000-0000-000031160000}"/>
    <cellStyle name="Comma 3 3 3 4 4" xfId="3320" xr:uid="{00000000-0005-0000-0000-0000280D0000}"/>
    <cellStyle name="Comma 3 3 3 4 4 2" xfId="20251" xr:uid="{00000000-0005-0000-0000-00004B4F0000}"/>
    <cellStyle name="Comma 3 3 3 4 5" xfId="24501" xr:uid="{00000000-0005-0000-0000-0000E55F0000}"/>
    <cellStyle name="Comma 3 3 3 4 6" xfId="24503" xr:uid="{00000000-0005-0000-0000-0000E75F0000}"/>
    <cellStyle name="Comma 3 3 3 4 7" xfId="24505" xr:uid="{00000000-0005-0000-0000-0000E95F0000}"/>
    <cellStyle name="Comma 3 3 3 4 8" xfId="24509" xr:uid="{00000000-0005-0000-0000-0000ED5F0000}"/>
    <cellStyle name="Comma 3 3 3 4 9" xfId="24514" xr:uid="{00000000-0005-0000-0000-0000F25F0000}"/>
    <cellStyle name="Comma 3 3 3 5" xfId="24515" xr:uid="{00000000-0005-0000-0000-0000F35F0000}"/>
    <cellStyle name="Comma 3 3 3 5 10" xfId="10185" xr:uid="{00000000-0005-0000-0000-0000F9270000}"/>
    <cellStyle name="Comma 3 3 3 5 11" xfId="10193" xr:uid="{00000000-0005-0000-0000-000001280000}"/>
    <cellStyle name="Comma 3 3 3 5 12" xfId="10199" xr:uid="{00000000-0005-0000-0000-000007280000}"/>
    <cellStyle name="Comma 3 3 3 5 13" xfId="24517" xr:uid="{00000000-0005-0000-0000-0000F55F0000}"/>
    <cellStyle name="Comma 3 3 3 5 2" xfId="20243" xr:uid="{00000000-0005-0000-0000-0000434F0000}"/>
    <cellStyle name="Comma 3 3 3 5 2 2" xfId="17132" xr:uid="{00000000-0005-0000-0000-00001C430000}"/>
    <cellStyle name="Comma 3 3 3 5 2 2 2" xfId="11553" xr:uid="{00000000-0005-0000-0000-0000512D0000}"/>
    <cellStyle name="Comma 3 3 3 5 2 3" xfId="12941" xr:uid="{00000000-0005-0000-0000-0000BD320000}"/>
    <cellStyle name="Comma 3 3 3 5 2 4" xfId="24518" xr:uid="{00000000-0005-0000-0000-0000F65F0000}"/>
    <cellStyle name="Comma 3 3 3 5 2 5" xfId="24519" xr:uid="{00000000-0005-0000-0000-0000F75F0000}"/>
    <cellStyle name="Comma 3 3 3 5 2 6" xfId="8541" xr:uid="{00000000-0005-0000-0000-00008D210000}"/>
    <cellStyle name="Comma 3 3 3 5 2 7" xfId="7515" xr:uid="{00000000-0005-0000-0000-00008B1D0000}"/>
    <cellStyle name="Comma 3 3 3 5 2 8" xfId="3122" xr:uid="{00000000-0005-0000-0000-0000620C0000}"/>
    <cellStyle name="Comma 3 3 3 5 2 9" xfId="4975" xr:uid="{00000000-0005-0000-0000-00009F130000}"/>
    <cellStyle name="Comma 3 3 3 5 3" xfId="24520" xr:uid="{00000000-0005-0000-0000-0000F85F0000}"/>
    <cellStyle name="Comma 3 3 3 5 3 2" xfId="22308" xr:uid="{00000000-0005-0000-0000-000054570000}"/>
    <cellStyle name="Comma 3 3 3 5 3 3" xfId="22310" xr:uid="{00000000-0005-0000-0000-000056570000}"/>
    <cellStyle name="Comma 3 3 3 5 3 4" xfId="22313" xr:uid="{00000000-0005-0000-0000-000059570000}"/>
    <cellStyle name="Comma 3 3 3 5 3 5" xfId="1727" xr:uid="{00000000-0005-0000-0000-0000EF060000}"/>
    <cellStyle name="Comma 3 3 3 5 3 6" xfId="10250" xr:uid="{00000000-0005-0000-0000-00003A280000}"/>
    <cellStyle name="Comma 3 3 3 5 4" xfId="3373" xr:uid="{00000000-0005-0000-0000-00005D0D0000}"/>
    <cellStyle name="Comma 3 3 3 5 4 2" xfId="24521" xr:uid="{00000000-0005-0000-0000-0000F95F0000}"/>
    <cellStyle name="Comma 3 3 3 5 5" xfId="24522" xr:uid="{00000000-0005-0000-0000-0000FA5F0000}"/>
    <cellStyle name="Comma 3 3 3 5 6" xfId="24523" xr:uid="{00000000-0005-0000-0000-0000FB5F0000}"/>
    <cellStyle name="Comma 3 3 3 5 7" xfId="7416" xr:uid="{00000000-0005-0000-0000-0000281D0000}"/>
    <cellStyle name="Comma 3 3 3 5 8" xfId="24524" xr:uid="{00000000-0005-0000-0000-0000FC5F0000}"/>
    <cellStyle name="Comma 3 3 3 5 9" xfId="24525" xr:uid="{00000000-0005-0000-0000-0000FD5F0000}"/>
    <cellStyle name="Comma 3 3 3 6" xfId="24526" xr:uid="{00000000-0005-0000-0000-0000FE5F0000}"/>
    <cellStyle name="Comma 3 3 3 6 10" xfId="11976" xr:uid="{00000000-0005-0000-0000-0000F82E0000}"/>
    <cellStyle name="Comma 3 3 3 6 11" xfId="19824" xr:uid="{00000000-0005-0000-0000-0000A04D0000}"/>
    <cellStyle name="Comma 3 3 3 6 12" xfId="24528" xr:uid="{00000000-0005-0000-0000-000000600000}"/>
    <cellStyle name="Comma 3 3 3 6 2" xfId="23765" xr:uid="{00000000-0005-0000-0000-0000055D0000}"/>
    <cellStyle name="Comma 3 3 3 6 2 2" xfId="15024" xr:uid="{00000000-0005-0000-0000-0000E03A0000}"/>
    <cellStyle name="Comma 3 3 3 6 2 2 2" xfId="11606" xr:uid="{00000000-0005-0000-0000-0000862D0000}"/>
    <cellStyle name="Comma 3 3 3 6 2 3" xfId="24530" xr:uid="{00000000-0005-0000-0000-000002600000}"/>
    <cellStyle name="Comma 3 3 3 6 2 4" xfId="24531" xr:uid="{00000000-0005-0000-0000-000003600000}"/>
    <cellStyle name="Comma 3 3 3 6 2 5" xfId="24532" xr:uid="{00000000-0005-0000-0000-000004600000}"/>
    <cellStyle name="Comma 3 3 3 6 2 6" xfId="24533" xr:uid="{00000000-0005-0000-0000-000005600000}"/>
    <cellStyle name="Comma 3 3 3 6 2 7" xfId="10289" xr:uid="{00000000-0005-0000-0000-000061280000}"/>
    <cellStyle name="Comma 3 3 3 6 2 8" xfId="493" xr:uid="{00000000-0005-0000-0000-00000D020000}"/>
    <cellStyle name="Comma 3 3 3 6 2 9" xfId="393" xr:uid="{00000000-0005-0000-0000-0000A3010000}"/>
    <cellStyle name="Comma 3 3 3 6 3" xfId="24534" xr:uid="{00000000-0005-0000-0000-000006600000}"/>
    <cellStyle name="Comma 3 3 3 6 3 2" xfId="22742" xr:uid="{00000000-0005-0000-0000-000006590000}"/>
    <cellStyle name="Comma 3 3 3 6 3 3" xfId="22744" xr:uid="{00000000-0005-0000-0000-000008590000}"/>
    <cellStyle name="Comma 3 3 3 6 3 4" xfId="24535" xr:uid="{00000000-0005-0000-0000-000007600000}"/>
    <cellStyle name="Comma 3 3 3 6 3 5" xfId="24536" xr:uid="{00000000-0005-0000-0000-000008600000}"/>
    <cellStyle name="Comma 3 3 3 6 3 6" xfId="10306" xr:uid="{00000000-0005-0000-0000-000072280000}"/>
    <cellStyle name="Comma 3 3 3 6 4" xfId="24537" xr:uid="{00000000-0005-0000-0000-000009600000}"/>
    <cellStyle name="Comma 3 3 3 6 4 2" xfId="24538" xr:uid="{00000000-0005-0000-0000-00000A600000}"/>
    <cellStyle name="Comma 3 3 3 6 5" xfId="24539" xr:uid="{00000000-0005-0000-0000-00000B600000}"/>
    <cellStyle name="Comma 3 3 3 6 6" xfId="24540" xr:uid="{00000000-0005-0000-0000-00000C600000}"/>
    <cellStyle name="Comma 3 3 3 6 7" xfId="24541" xr:uid="{00000000-0005-0000-0000-00000D600000}"/>
    <cellStyle name="Comma 3 3 3 6 8" xfId="24542" xr:uid="{00000000-0005-0000-0000-00000E600000}"/>
    <cellStyle name="Comma 3 3 3 6 9" xfId="24544" xr:uid="{00000000-0005-0000-0000-000010600000}"/>
    <cellStyle name="Comma 3 3 3 7" xfId="24546" xr:uid="{00000000-0005-0000-0000-000012600000}"/>
    <cellStyle name="Comma 3 3 3 7 2" xfId="24547" xr:uid="{00000000-0005-0000-0000-000013600000}"/>
    <cellStyle name="Comma 3 3 3 7 2 2" xfId="24548" xr:uid="{00000000-0005-0000-0000-000014600000}"/>
    <cellStyle name="Comma 3 3 3 7 3" xfId="24549" xr:uid="{00000000-0005-0000-0000-000015600000}"/>
    <cellStyle name="Comma 3 3 3 7 4" xfId="9259" xr:uid="{00000000-0005-0000-0000-00005B240000}"/>
    <cellStyle name="Comma 3 3 3 7 5" xfId="9269" xr:uid="{00000000-0005-0000-0000-000065240000}"/>
    <cellStyle name="Comma 3 3 3 7 6" xfId="9281" xr:uid="{00000000-0005-0000-0000-000071240000}"/>
    <cellStyle name="Comma 3 3 3 7 7" xfId="9290" xr:uid="{00000000-0005-0000-0000-00007A240000}"/>
    <cellStyle name="Comma 3 3 3 7 8" xfId="24552" xr:uid="{00000000-0005-0000-0000-000018600000}"/>
    <cellStyle name="Comma 3 3 3 7 9" xfId="24556" xr:uid="{00000000-0005-0000-0000-00001C600000}"/>
    <cellStyle name="Comma 3 3 3 8" xfId="24557" xr:uid="{00000000-0005-0000-0000-00001D600000}"/>
    <cellStyle name="Comma 3 3 3 8 2" xfId="20371" xr:uid="{00000000-0005-0000-0000-0000C34F0000}"/>
    <cellStyle name="Comma 3 3 3 8 3" xfId="20374" xr:uid="{00000000-0005-0000-0000-0000C64F0000}"/>
    <cellStyle name="Comma 3 3 3 8 4" xfId="9305" xr:uid="{00000000-0005-0000-0000-000089240000}"/>
    <cellStyle name="Comma 3 3 3 8 5" xfId="20383" xr:uid="{00000000-0005-0000-0000-0000CF4F0000}"/>
    <cellStyle name="Comma 3 3 3 8 6" xfId="20388" xr:uid="{00000000-0005-0000-0000-0000D44F0000}"/>
    <cellStyle name="Comma 3 3 3 9" xfId="2548" xr:uid="{00000000-0005-0000-0000-0000240A0000}"/>
    <cellStyle name="Comma 3 3 3 9 2" xfId="6448" xr:uid="{00000000-0005-0000-0000-000060190000}"/>
    <cellStyle name="Comma 3 3 3 9 3" xfId="6460" xr:uid="{00000000-0005-0000-0000-00006C190000}"/>
    <cellStyle name="Comma 3 3 3 9 4" xfId="13850" xr:uid="{00000000-0005-0000-0000-00004A360000}"/>
    <cellStyle name="Comma 3 3 3 9 5" xfId="13861" xr:uid="{00000000-0005-0000-0000-000055360000}"/>
    <cellStyle name="Comma 3 3 3 9 6" xfId="13867" xr:uid="{00000000-0005-0000-0000-00005B360000}"/>
    <cellStyle name="Comma 3 3 4" xfId="13586" xr:uid="{00000000-0005-0000-0000-000042350000}"/>
    <cellStyle name="Comma 3 3 4 10" xfId="24558" xr:uid="{00000000-0005-0000-0000-00001E600000}"/>
    <cellStyle name="Comma 3 3 4 10 2" xfId="24559" xr:uid="{00000000-0005-0000-0000-00001F600000}"/>
    <cellStyle name="Comma 3 3 4 10 3" xfId="24560" xr:uid="{00000000-0005-0000-0000-000020600000}"/>
    <cellStyle name="Comma 3 3 4 10 4" xfId="17715" xr:uid="{00000000-0005-0000-0000-000063450000}"/>
    <cellStyle name="Comma 3 3 4 10 5" xfId="579" xr:uid="{00000000-0005-0000-0000-00006B020000}"/>
    <cellStyle name="Comma 3 3 4 10 6" xfId="490" xr:uid="{00000000-0005-0000-0000-00000A020000}"/>
    <cellStyle name="Comma 3 3 4 11" xfId="24563" xr:uid="{00000000-0005-0000-0000-000023600000}"/>
    <cellStyle name="Comma 3 3 4 11 2" xfId="12870" xr:uid="{00000000-0005-0000-0000-000076320000}"/>
    <cellStyle name="Comma 3 3 4 11 3" xfId="12874" xr:uid="{00000000-0005-0000-0000-00007A320000}"/>
    <cellStyle name="Comma 3 3 4 11 4" xfId="12878" xr:uid="{00000000-0005-0000-0000-00007E320000}"/>
    <cellStyle name="Comma 3 3 4 11 5" xfId="1679" xr:uid="{00000000-0005-0000-0000-0000BF060000}"/>
    <cellStyle name="Comma 3 3 4 11 6" xfId="22892" xr:uid="{00000000-0005-0000-0000-00009C590000}"/>
    <cellStyle name="Comma 3 3 4 12" xfId="6198" xr:uid="{00000000-0005-0000-0000-000066180000}"/>
    <cellStyle name="Comma 3 3 4 13" xfId="6853" xr:uid="{00000000-0005-0000-0000-0000F51A0000}"/>
    <cellStyle name="Comma 3 3 4 14" xfId="6912" xr:uid="{00000000-0005-0000-0000-0000301B0000}"/>
    <cellStyle name="Comma 3 3 4 15" xfId="6942" xr:uid="{00000000-0005-0000-0000-00004E1B0000}"/>
    <cellStyle name="Comma 3 3 4 16" xfId="1447" xr:uid="{00000000-0005-0000-0000-0000D7050000}"/>
    <cellStyle name="Comma 3 3 4 17" xfId="3587" xr:uid="{00000000-0005-0000-0000-0000330E0000}"/>
    <cellStyle name="Comma 3 3 4 18" xfId="6998" xr:uid="{00000000-0005-0000-0000-0000861B0000}"/>
    <cellStyle name="Comma 3 3 4 19" xfId="7006" xr:uid="{00000000-0005-0000-0000-00008E1B0000}"/>
    <cellStyle name="Comma 3 3 4 2" xfId="8821" xr:uid="{00000000-0005-0000-0000-0000A5220000}"/>
    <cellStyle name="Comma 3 3 4 2 10" xfId="22264" xr:uid="{00000000-0005-0000-0000-000028570000}"/>
    <cellStyle name="Comma 3 3 4 2 11" xfId="22267" xr:uid="{00000000-0005-0000-0000-00002B570000}"/>
    <cellStyle name="Comma 3 3 4 2 12" xfId="22270" xr:uid="{00000000-0005-0000-0000-00002E570000}"/>
    <cellStyle name="Comma 3 3 4 2 13" xfId="22273" xr:uid="{00000000-0005-0000-0000-000031570000}"/>
    <cellStyle name="Comma 3 3 4 2 14" xfId="22276" xr:uid="{00000000-0005-0000-0000-000034570000}"/>
    <cellStyle name="Comma 3 3 4 2 15" xfId="22279" xr:uid="{00000000-0005-0000-0000-000037570000}"/>
    <cellStyle name="Comma 3 3 4 2 16" xfId="24565" xr:uid="{00000000-0005-0000-0000-000025600000}"/>
    <cellStyle name="Comma 3 3 4 2 17" xfId="7402" xr:uid="{00000000-0005-0000-0000-00001A1D0000}"/>
    <cellStyle name="Comma 3 3 4 2 18" xfId="7417" xr:uid="{00000000-0005-0000-0000-0000291D0000}"/>
    <cellStyle name="Comma 3 3 4 2 2" xfId="1269" xr:uid="{00000000-0005-0000-0000-000025050000}"/>
    <cellStyle name="Comma 3 3 4 2 2 10" xfId="1429" xr:uid="{00000000-0005-0000-0000-0000C5050000}"/>
    <cellStyle name="Comma 3 3 4 2 2 11" xfId="1456" xr:uid="{00000000-0005-0000-0000-0000E0050000}"/>
    <cellStyle name="Comma 3 3 4 2 2 12" xfId="1491" xr:uid="{00000000-0005-0000-0000-000003060000}"/>
    <cellStyle name="Comma 3 3 4 2 2 2" xfId="24567" xr:uid="{00000000-0005-0000-0000-000027600000}"/>
    <cellStyle name="Comma 3 3 4 2 2 2 2" xfId="11816" xr:uid="{00000000-0005-0000-0000-0000582E0000}"/>
    <cellStyle name="Comma 3 3 4 2 2 2 2 2" xfId="24329" xr:uid="{00000000-0005-0000-0000-0000395F0000}"/>
    <cellStyle name="Comma 3 3 4 2 2 2 3" xfId="24435" xr:uid="{00000000-0005-0000-0000-0000A35F0000}"/>
    <cellStyle name="Comma 3 3 4 2 2 2 4" xfId="24440" xr:uid="{00000000-0005-0000-0000-0000A85F0000}"/>
    <cellStyle name="Comma 3 3 4 2 2 2 5" xfId="24441" xr:uid="{00000000-0005-0000-0000-0000A95F0000}"/>
    <cellStyle name="Comma 3 3 4 2 2 3" xfId="24571" xr:uid="{00000000-0005-0000-0000-00002B600000}"/>
    <cellStyle name="Comma 3 3 4 2 2 3 2" xfId="24574" xr:uid="{00000000-0005-0000-0000-00002E600000}"/>
    <cellStyle name="Comma 3 3 4 2 2 4" xfId="24575" xr:uid="{00000000-0005-0000-0000-00002F600000}"/>
    <cellStyle name="Comma 3 3 4 2 2 5" xfId="24580" xr:uid="{00000000-0005-0000-0000-000034600000}"/>
    <cellStyle name="Comma 3 3 4 2 2 6" xfId="24583" xr:uid="{00000000-0005-0000-0000-000037600000}"/>
    <cellStyle name="Comma 3 3 4 2 2 7" xfId="24587" xr:uid="{00000000-0005-0000-0000-00003B600000}"/>
    <cellStyle name="Comma 3 3 4 2 2 8" xfId="24590" xr:uid="{00000000-0005-0000-0000-00003E600000}"/>
    <cellStyle name="Comma 3 3 4 2 2 9" xfId="24593" xr:uid="{00000000-0005-0000-0000-000041600000}"/>
    <cellStyle name="Comma 3 3 4 2 3" xfId="1280" xr:uid="{00000000-0005-0000-0000-000030050000}"/>
    <cellStyle name="Comma 3 3 4 2 3 10" xfId="4141" xr:uid="{00000000-0005-0000-0000-00005D100000}"/>
    <cellStyle name="Comma 3 3 4 2 3 11" xfId="24594" xr:uid="{00000000-0005-0000-0000-000042600000}"/>
    <cellStyle name="Comma 3 3 4 2 3 12" xfId="24595" xr:uid="{00000000-0005-0000-0000-000043600000}"/>
    <cellStyle name="Comma 3 3 4 2 3 2" xfId="9361" xr:uid="{00000000-0005-0000-0000-0000C1240000}"/>
    <cellStyle name="Comma 3 3 4 2 3 2 2" xfId="24596" xr:uid="{00000000-0005-0000-0000-000044600000}"/>
    <cellStyle name="Comma 3 3 4 2 3 2 2 2" xfId="24597" xr:uid="{00000000-0005-0000-0000-000045600000}"/>
    <cellStyle name="Comma 3 3 4 2 3 2 3" xfId="22654" xr:uid="{00000000-0005-0000-0000-0000AE580000}"/>
    <cellStyle name="Comma 3 3 4 2 3 2 4" xfId="24599" xr:uid="{00000000-0005-0000-0000-000047600000}"/>
    <cellStyle name="Comma 3 3 4 2 3 2 5" xfId="24344" xr:uid="{00000000-0005-0000-0000-0000485F0000}"/>
    <cellStyle name="Comma 3 3 4 2 3 3" xfId="24601" xr:uid="{00000000-0005-0000-0000-000049600000}"/>
    <cellStyle name="Comma 3 3 4 2 3 3 2" xfId="24603" xr:uid="{00000000-0005-0000-0000-00004B600000}"/>
    <cellStyle name="Comma 3 3 4 2 3 4" xfId="24604" xr:uid="{00000000-0005-0000-0000-00004C600000}"/>
    <cellStyle name="Comma 3 3 4 2 3 5" xfId="15517" xr:uid="{00000000-0005-0000-0000-0000CD3C0000}"/>
    <cellStyle name="Comma 3 3 4 2 3 6" xfId="13501" xr:uid="{00000000-0005-0000-0000-0000ED340000}"/>
    <cellStyle name="Comma 3 3 4 2 3 7" xfId="15521" xr:uid="{00000000-0005-0000-0000-0000D13C0000}"/>
    <cellStyle name="Comma 3 3 4 2 3 8" xfId="15528" xr:uid="{00000000-0005-0000-0000-0000D83C0000}"/>
    <cellStyle name="Comma 3 3 4 2 3 9" xfId="15531" xr:uid="{00000000-0005-0000-0000-0000DB3C0000}"/>
    <cellStyle name="Comma 3 3 4 2 4" xfId="1297" xr:uid="{00000000-0005-0000-0000-000041050000}"/>
    <cellStyle name="Comma 3 3 4 2 4 10" xfId="24606" xr:uid="{00000000-0005-0000-0000-00004E600000}"/>
    <cellStyle name="Comma 3 3 4 2 4 2" xfId="20596" xr:uid="{00000000-0005-0000-0000-0000A4500000}"/>
    <cellStyle name="Comma 3 3 4 2 4 2 2" xfId="24607" xr:uid="{00000000-0005-0000-0000-00004F600000}"/>
    <cellStyle name="Comma 3 3 4 2 4 2 2 2" xfId="2263" xr:uid="{00000000-0005-0000-0000-000007090000}"/>
    <cellStyle name="Comma 3 3 4 2 4 2 3" xfId="24608" xr:uid="{00000000-0005-0000-0000-000050600000}"/>
    <cellStyle name="Comma 3 3 4 2 4 2 4" xfId="24610" xr:uid="{00000000-0005-0000-0000-000052600000}"/>
    <cellStyle name="Comma 3 3 4 2 4 2 5" xfId="24611" xr:uid="{00000000-0005-0000-0000-000053600000}"/>
    <cellStyle name="Comma 3 3 4 2 4 3" xfId="20598" xr:uid="{00000000-0005-0000-0000-0000A6500000}"/>
    <cellStyle name="Comma 3 3 4 2 4 3 2" xfId="24612" xr:uid="{00000000-0005-0000-0000-000054600000}"/>
    <cellStyle name="Comma 3 3 4 2 4 4" xfId="24613" xr:uid="{00000000-0005-0000-0000-000055600000}"/>
    <cellStyle name="Comma 3 3 4 2 4 5" xfId="15541" xr:uid="{00000000-0005-0000-0000-0000E53C0000}"/>
    <cellStyle name="Comma 3 3 4 2 4 6" xfId="15543" xr:uid="{00000000-0005-0000-0000-0000E73C0000}"/>
    <cellStyle name="Comma 3 3 4 2 4 7" xfId="15546" xr:uid="{00000000-0005-0000-0000-0000EA3C0000}"/>
    <cellStyle name="Comma 3 3 4 2 4 8" xfId="15550" xr:uid="{00000000-0005-0000-0000-0000EE3C0000}"/>
    <cellStyle name="Comma 3 3 4 2 4 9" xfId="15554" xr:uid="{00000000-0005-0000-0000-0000F23C0000}"/>
    <cellStyle name="Comma 3 3 4 2 5" xfId="1321" xr:uid="{00000000-0005-0000-0000-000059050000}"/>
    <cellStyle name="Comma 3 3 4 2 5 10" xfId="24614" xr:uid="{00000000-0005-0000-0000-000056600000}"/>
    <cellStyle name="Comma 3 3 4 2 5 2" xfId="13926" xr:uid="{00000000-0005-0000-0000-000096360000}"/>
    <cellStyle name="Comma 3 3 4 2 5 2 2" xfId="24617" xr:uid="{00000000-0005-0000-0000-000059600000}"/>
    <cellStyle name="Comma 3 3 4 2 5 2 2 2" xfId="24619" xr:uid="{00000000-0005-0000-0000-00005B600000}"/>
    <cellStyle name="Comma 3 3 4 2 5 2 3" xfId="24621" xr:uid="{00000000-0005-0000-0000-00005D600000}"/>
    <cellStyle name="Comma 3 3 4 2 5 2 4" xfId="12959" xr:uid="{00000000-0005-0000-0000-0000CF320000}"/>
    <cellStyle name="Comma 3 3 4 2 5 2 5" xfId="24623" xr:uid="{00000000-0005-0000-0000-00005F600000}"/>
    <cellStyle name="Comma 3 3 4 2 5 3" xfId="24624" xr:uid="{00000000-0005-0000-0000-000060600000}"/>
    <cellStyle name="Comma 3 3 4 2 5 3 2" xfId="24625" xr:uid="{00000000-0005-0000-0000-000061600000}"/>
    <cellStyle name="Comma 3 3 4 2 5 4" xfId="24627" xr:uid="{00000000-0005-0000-0000-000063600000}"/>
    <cellStyle name="Comma 3 3 4 2 5 5" xfId="15564" xr:uid="{00000000-0005-0000-0000-0000FC3C0000}"/>
    <cellStyle name="Comma 3 3 4 2 5 6" xfId="22937" xr:uid="{00000000-0005-0000-0000-0000C9590000}"/>
    <cellStyle name="Comma 3 3 4 2 5 7" xfId="22941" xr:uid="{00000000-0005-0000-0000-0000CD590000}"/>
    <cellStyle name="Comma 3 3 4 2 5 8" xfId="22944" xr:uid="{00000000-0005-0000-0000-0000D0590000}"/>
    <cellStyle name="Comma 3 3 4 2 5 9" xfId="22947" xr:uid="{00000000-0005-0000-0000-0000D3590000}"/>
    <cellStyle name="Comma 3 3 4 2 6" xfId="24628" xr:uid="{00000000-0005-0000-0000-000064600000}"/>
    <cellStyle name="Comma 3 3 4 2 6 2" xfId="24629" xr:uid="{00000000-0005-0000-0000-000065600000}"/>
    <cellStyle name="Comma 3 3 4 2 6 2 2" xfId="24630" xr:uid="{00000000-0005-0000-0000-000066600000}"/>
    <cellStyle name="Comma 3 3 4 2 6 3" xfId="24632" xr:uid="{00000000-0005-0000-0000-000068600000}"/>
    <cellStyle name="Comma 3 3 4 2 6 4" xfId="24633" xr:uid="{00000000-0005-0000-0000-000069600000}"/>
    <cellStyle name="Comma 3 3 4 2 6 5" xfId="24635" xr:uid="{00000000-0005-0000-0000-00006B600000}"/>
    <cellStyle name="Comma 3 3 4 2 6 6" xfId="22974" xr:uid="{00000000-0005-0000-0000-0000EE590000}"/>
    <cellStyle name="Comma 3 3 4 2 6 7" xfId="22980" xr:uid="{00000000-0005-0000-0000-0000F4590000}"/>
    <cellStyle name="Comma 3 3 4 2 6 8" xfId="22983" xr:uid="{00000000-0005-0000-0000-0000F7590000}"/>
    <cellStyle name="Comma 3 3 4 2 6 9" xfId="22986" xr:uid="{00000000-0005-0000-0000-0000FA590000}"/>
    <cellStyle name="Comma 3 3 4 2 7" xfId="24637" xr:uid="{00000000-0005-0000-0000-00006D600000}"/>
    <cellStyle name="Comma 3 3 4 2 7 2" xfId="24640" xr:uid="{00000000-0005-0000-0000-000070600000}"/>
    <cellStyle name="Comma 3 3 4 2 8" xfId="24642" xr:uid="{00000000-0005-0000-0000-000072600000}"/>
    <cellStyle name="Comma 3 3 4 2 9" xfId="24643" xr:uid="{00000000-0005-0000-0000-000073600000}"/>
    <cellStyle name="Comma 3 3 4 20" xfId="6941" xr:uid="{00000000-0005-0000-0000-00004D1B0000}"/>
    <cellStyle name="Comma 3 3 4 21" xfId="1446" xr:uid="{00000000-0005-0000-0000-0000D6050000}"/>
    <cellStyle name="Comma 3 3 4 22" xfId="3586" xr:uid="{00000000-0005-0000-0000-0000320E0000}"/>
    <cellStyle name="Comma 3 3 4 23" xfId="6997" xr:uid="{00000000-0005-0000-0000-0000851B0000}"/>
    <cellStyle name="Comma 3 3 4 3" xfId="7384" xr:uid="{00000000-0005-0000-0000-0000081D0000}"/>
    <cellStyle name="Comma 3 3 4 3 10" xfId="12081" xr:uid="{00000000-0005-0000-0000-0000612F0000}"/>
    <cellStyle name="Comma 3 3 4 3 11" xfId="12087" xr:uid="{00000000-0005-0000-0000-0000672F0000}"/>
    <cellStyle name="Comma 3 3 4 3 12" xfId="24648" xr:uid="{00000000-0005-0000-0000-000078600000}"/>
    <cellStyle name="Comma 3 3 4 3 13" xfId="24650" xr:uid="{00000000-0005-0000-0000-00007A600000}"/>
    <cellStyle name="Comma 3 3 4 3 14" xfId="24652" xr:uid="{00000000-0005-0000-0000-00007C600000}"/>
    <cellStyle name="Comma 3 3 4 3 15" xfId="24653" xr:uid="{00000000-0005-0000-0000-00007D600000}"/>
    <cellStyle name="Comma 3 3 4 3 16" xfId="24654" xr:uid="{00000000-0005-0000-0000-00007E600000}"/>
    <cellStyle name="Comma 3 3 4 3 17" xfId="24655" xr:uid="{00000000-0005-0000-0000-00007F600000}"/>
    <cellStyle name="Comma 3 3 4 3 18" xfId="24656" xr:uid="{00000000-0005-0000-0000-000080600000}"/>
    <cellStyle name="Comma 3 3 4 3 2" xfId="1434" xr:uid="{00000000-0005-0000-0000-0000CA050000}"/>
    <cellStyle name="Comma 3 3 4 3 2 10" xfId="23823" xr:uid="{00000000-0005-0000-0000-00003F5D0000}"/>
    <cellStyle name="Comma 3 3 4 3 2 2" xfId="24657" xr:uid="{00000000-0005-0000-0000-000081600000}"/>
    <cellStyle name="Comma 3 3 4 3 2 2 2" xfId="13160" xr:uid="{00000000-0005-0000-0000-000098330000}"/>
    <cellStyle name="Comma 3 3 4 3 2 3" xfId="24659" xr:uid="{00000000-0005-0000-0000-000083600000}"/>
    <cellStyle name="Comma 3 3 4 3 2 4" xfId="24661" xr:uid="{00000000-0005-0000-0000-000085600000}"/>
    <cellStyle name="Comma 3 3 4 3 2 5" xfId="24663" xr:uid="{00000000-0005-0000-0000-000087600000}"/>
    <cellStyle name="Comma 3 3 4 3 2 6" xfId="24664" xr:uid="{00000000-0005-0000-0000-000088600000}"/>
    <cellStyle name="Comma 3 3 4 3 2 7" xfId="24665" xr:uid="{00000000-0005-0000-0000-000089600000}"/>
    <cellStyle name="Comma 3 3 4 3 2 8" xfId="24666" xr:uid="{00000000-0005-0000-0000-00008A600000}"/>
    <cellStyle name="Comma 3 3 4 3 2 9" xfId="24667" xr:uid="{00000000-0005-0000-0000-00008B600000}"/>
    <cellStyle name="Comma 3 3 4 3 3" xfId="1459" xr:uid="{00000000-0005-0000-0000-0000E3050000}"/>
    <cellStyle name="Comma 3 3 4 3 3 2" xfId="21458" xr:uid="{00000000-0005-0000-0000-000002540000}"/>
    <cellStyle name="Comma 3 3 4 3 3 3" xfId="21461" xr:uid="{00000000-0005-0000-0000-000005540000}"/>
    <cellStyle name="Comma 3 3 4 3 3 4" xfId="5110" xr:uid="{00000000-0005-0000-0000-000026140000}"/>
    <cellStyle name="Comma 3 3 4 3 3 5" xfId="7137" xr:uid="{00000000-0005-0000-0000-0000111C0000}"/>
    <cellStyle name="Comma 3 3 4 3 3 6" xfId="7152" xr:uid="{00000000-0005-0000-0000-0000201C0000}"/>
    <cellStyle name="Comma 3 3 4 3 4" xfId="1479" xr:uid="{00000000-0005-0000-0000-0000F7050000}"/>
    <cellStyle name="Comma 3 3 4 3 4 2" xfId="20660" xr:uid="{00000000-0005-0000-0000-0000E4500000}"/>
    <cellStyle name="Comma 3 3 4 3 4 3" xfId="20662" xr:uid="{00000000-0005-0000-0000-0000E6500000}"/>
    <cellStyle name="Comma 3 3 4 3 4 4" xfId="24668" xr:uid="{00000000-0005-0000-0000-00008C600000}"/>
    <cellStyle name="Comma 3 3 4 3 4 5" xfId="8317" xr:uid="{00000000-0005-0000-0000-0000AD200000}"/>
    <cellStyle name="Comma 3 3 4 3 4 6" xfId="8326" xr:uid="{00000000-0005-0000-0000-0000B6200000}"/>
    <cellStyle name="Comma 3 3 4 3 5" xfId="441" xr:uid="{00000000-0005-0000-0000-0000D6010000}"/>
    <cellStyle name="Comma 3 3 4 3 5 2" xfId="24669" xr:uid="{00000000-0005-0000-0000-00008D600000}"/>
    <cellStyle name="Comma 3 3 4 3 5 3" xfId="24670" xr:uid="{00000000-0005-0000-0000-00008E600000}"/>
    <cellStyle name="Comma 3 3 4 3 5 4" xfId="24673" xr:uid="{00000000-0005-0000-0000-000091600000}"/>
    <cellStyle name="Comma 3 3 4 3 5 5" xfId="15590" xr:uid="{00000000-0005-0000-0000-0000163D0000}"/>
    <cellStyle name="Comma 3 3 4 3 5 6" xfId="23118" xr:uid="{00000000-0005-0000-0000-00007E5A0000}"/>
    <cellStyle name="Comma 3 3 4 3 6" xfId="24674" xr:uid="{00000000-0005-0000-0000-000092600000}"/>
    <cellStyle name="Comma 3 3 4 3 6 2" xfId="7320" xr:uid="{00000000-0005-0000-0000-0000C81C0000}"/>
    <cellStyle name="Comma 3 3 4 3 6 3" xfId="24675" xr:uid="{00000000-0005-0000-0000-000093600000}"/>
    <cellStyle name="Comma 3 3 4 3 6 4" xfId="24676" xr:uid="{00000000-0005-0000-0000-000094600000}"/>
    <cellStyle name="Comma 3 3 4 3 6 5" xfId="6064" xr:uid="{00000000-0005-0000-0000-0000E0170000}"/>
    <cellStyle name="Comma 3 3 4 3 6 6" xfId="23139" xr:uid="{00000000-0005-0000-0000-0000935A0000}"/>
    <cellStyle name="Comma 3 3 4 3 7" xfId="24679" xr:uid="{00000000-0005-0000-0000-000097600000}"/>
    <cellStyle name="Comma 3 3 4 3 8" xfId="24680" xr:uid="{00000000-0005-0000-0000-000098600000}"/>
    <cellStyle name="Comma 3 3 4 3 9" xfId="24681" xr:uid="{00000000-0005-0000-0000-000099600000}"/>
    <cellStyle name="Comma 3 3 4 4" xfId="8826" xr:uid="{00000000-0005-0000-0000-0000AA220000}"/>
    <cellStyle name="Comma 3 3 4 4 10" xfId="20399" xr:uid="{00000000-0005-0000-0000-0000DF4F0000}"/>
    <cellStyle name="Comma 3 3 4 4 11" xfId="20402" xr:uid="{00000000-0005-0000-0000-0000E24F0000}"/>
    <cellStyle name="Comma 3 3 4 4 12" xfId="24682" xr:uid="{00000000-0005-0000-0000-00009A600000}"/>
    <cellStyle name="Comma 3 3 4 4 13" xfId="15814" xr:uid="{00000000-0005-0000-0000-0000F63D0000}"/>
    <cellStyle name="Comma 3 3 4 4 14" xfId="122" xr:uid="{00000000-0005-0000-0000-000084000000}"/>
    <cellStyle name="Comma 3 3 4 4 15" xfId="15832" xr:uid="{00000000-0005-0000-0000-0000083E0000}"/>
    <cellStyle name="Comma 3 3 4 4 2" xfId="24685" xr:uid="{00000000-0005-0000-0000-00009D600000}"/>
    <cellStyle name="Comma 3 3 4 4 2 2" xfId="18258" xr:uid="{00000000-0005-0000-0000-000082470000}"/>
    <cellStyle name="Comma 3 3 4 4 2 2 2" xfId="3781" xr:uid="{00000000-0005-0000-0000-0000F50E0000}"/>
    <cellStyle name="Comma 3 3 4 4 2 3" xfId="24687" xr:uid="{00000000-0005-0000-0000-00009F600000}"/>
    <cellStyle name="Comma 3 3 4 4 2 4" xfId="24689" xr:uid="{00000000-0005-0000-0000-0000A1600000}"/>
    <cellStyle name="Comma 3 3 4 4 2 5" xfId="24693" xr:uid="{00000000-0005-0000-0000-0000A5600000}"/>
    <cellStyle name="Comma 3 3 4 4 2 6" xfId="24696" xr:uid="{00000000-0005-0000-0000-0000A8600000}"/>
    <cellStyle name="Comma 3 3 4 4 2 7" xfId="24698" xr:uid="{00000000-0005-0000-0000-0000AA600000}"/>
    <cellStyle name="Comma 3 3 4 4 2 8" xfId="24700" xr:uid="{00000000-0005-0000-0000-0000AC600000}"/>
    <cellStyle name="Comma 3 3 4 4 2 9" xfId="24702" xr:uid="{00000000-0005-0000-0000-0000AE600000}"/>
    <cellStyle name="Comma 3 3 4 4 3" xfId="24706" xr:uid="{00000000-0005-0000-0000-0000B2600000}"/>
    <cellStyle name="Comma 3 3 4 4 3 2" xfId="24707" xr:uid="{00000000-0005-0000-0000-0000B3600000}"/>
    <cellStyle name="Comma 3 3 4 4 3 3" xfId="24710" xr:uid="{00000000-0005-0000-0000-0000B6600000}"/>
    <cellStyle name="Comma 3 3 4 4 3 4" xfId="10470" xr:uid="{00000000-0005-0000-0000-000016290000}"/>
    <cellStyle name="Comma 3 3 4 4 3 5" xfId="15613" xr:uid="{00000000-0005-0000-0000-00002D3D0000}"/>
    <cellStyle name="Comma 3 3 4 4 3 6" xfId="15619" xr:uid="{00000000-0005-0000-0000-0000333D0000}"/>
    <cellStyle name="Comma 3 3 4 4 4" xfId="24714" xr:uid="{00000000-0005-0000-0000-0000BA600000}"/>
    <cellStyle name="Comma 3 3 4 4 4 2" xfId="20705" xr:uid="{00000000-0005-0000-0000-000011510000}"/>
    <cellStyle name="Comma 3 3 4 4 5" xfId="24719" xr:uid="{00000000-0005-0000-0000-0000BF600000}"/>
    <cellStyle name="Comma 3 3 4 4 6" xfId="24721" xr:uid="{00000000-0005-0000-0000-0000C1600000}"/>
    <cellStyle name="Comma 3 3 4 4 7" xfId="24723" xr:uid="{00000000-0005-0000-0000-0000C3600000}"/>
    <cellStyle name="Comma 3 3 4 4 8" xfId="24725" xr:uid="{00000000-0005-0000-0000-0000C5600000}"/>
    <cellStyle name="Comma 3 3 4 4 9" xfId="24727" xr:uid="{00000000-0005-0000-0000-0000C7600000}"/>
    <cellStyle name="Comma 3 3 4 5" xfId="8833" xr:uid="{00000000-0005-0000-0000-0000B1220000}"/>
    <cellStyle name="Comma 3 3 4 5 10" xfId="16060" xr:uid="{00000000-0005-0000-0000-0000EC3E0000}"/>
    <cellStyle name="Comma 3 3 4 5 11" xfId="24729" xr:uid="{00000000-0005-0000-0000-0000C9600000}"/>
    <cellStyle name="Comma 3 3 4 5 12" xfId="24730" xr:uid="{00000000-0005-0000-0000-0000CA600000}"/>
    <cellStyle name="Comma 3 3 4 5 13" xfId="24731" xr:uid="{00000000-0005-0000-0000-0000CB600000}"/>
    <cellStyle name="Comma 3 3 4 5 2" xfId="24735" xr:uid="{00000000-0005-0000-0000-0000CF600000}"/>
    <cellStyle name="Comma 3 3 4 5 2 2" xfId="12608" xr:uid="{00000000-0005-0000-0000-000070310000}"/>
    <cellStyle name="Comma 3 3 4 5 2 2 2" xfId="14948" xr:uid="{00000000-0005-0000-0000-0000943A0000}"/>
    <cellStyle name="Comma 3 3 4 5 2 3" xfId="24738" xr:uid="{00000000-0005-0000-0000-0000D2600000}"/>
    <cellStyle name="Comma 3 3 4 5 2 4" xfId="24740" xr:uid="{00000000-0005-0000-0000-0000D4600000}"/>
    <cellStyle name="Comma 3 3 4 5 2 5" xfId="24742" xr:uid="{00000000-0005-0000-0000-0000D6600000}"/>
    <cellStyle name="Comma 3 3 4 5 2 6" xfId="24744" xr:uid="{00000000-0005-0000-0000-0000D8600000}"/>
    <cellStyle name="Comma 3 3 4 5 2 7" xfId="2662" xr:uid="{00000000-0005-0000-0000-0000960A0000}"/>
    <cellStyle name="Comma 3 3 4 5 2 8" xfId="16396" xr:uid="{00000000-0005-0000-0000-00003C400000}"/>
    <cellStyle name="Comma 3 3 4 5 2 9" xfId="16410" xr:uid="{00000000-0005-0000-0000-00004A400000}"/>
    <cellStyle name="Comma 3 3 4 5 3" xfId="24747" xr:uid="{00000000-0005-0000-0000-0000DB600000}"/>
    <cellStyle name="Comma 3 3 4 5 3 2" xfId="24749" xr:uid="{00000000-0005-0000-0000-0000DD600000}"/>
    <cellStyle name="Comma 3 3 4 5 3 3" xfId="24752" xr:uid="{00000000-0005-0000-0000-0000E0600000}"/>
    <cellStyle name="Comma 3 3 4 5 3 4" xfId="24755" xr:uid="{00000000-0005-0000-0000-0000E3600000}"/>
    <cellStyle name="Comma 3 3 4 5 3 5" xfId="15664" xr:uid="{00000000-0005-0000-0000-0000603D0000}"/>
    <cellStyle name="Comma 3 3 4 5 3 6" xfId="23242" xr:uid="{00000000-0005-0000-0000-0000FA5A0000}"/>
    <cellStyle name="Comma 3 3 4 5 4" xfId="11842" xr:uid="{00000000-0005-0000-0000-0000722E0000}"/>
    <cellStyle name="Comma 3 3 4 5 4 2" xfId="24757" xr:uid="{00000000-0005-0000-0000-0000E5600000}"/>
    <cellStyle name="Comma 3 3 4 5 5" xfId="24763" xr:uid="{00000000-0005-0000-0000-0000EB600000}"/>
    <cellStyle name="Comma 3 3 4 5 6" xfId="24764" xr:uid="{00000000-0005-0000-0000-0000EC600000}"/>
    <cellStyle name="Comma 3 3 4 5 7" xfId="24765" xr:uid="{00000000-0005-0000-0000-0000ED600000}"/>
    <cellStyle name="Comma 3 3 4 5 8" xfId="24768" xr:uid="{00000000-0005-0000-0000-0000F0600000}"/>
    <cellStyle name="Comma 3 3 4 5 9" xfId="3854" xr:uid="{00000000-0005-0000-0000-00003E0F0000}"/>
    <cellStyle name="Comma 3 3 4 6" xfId="8836" xr:uid="{00000000-0005-0000-0000-0000B4220000}"/>
    <cellStyle name="Comma 3 3 4 6 10" xfId="16699" xr:uid="{00000000-0005-0000-0000-00006B410000}"/>
    <cellStyle name="Comma 3 3 4 6 11" xfId="22360" xr:uid="{00000000-0005-0000-0000-000088570000}"/>
    <cellStyle name="Comma 3 3 4 6 12" xfId="22383" xr:uid="{00000000-0005-0000-0000-00009F570000}"/>
    <cellStyle name="Comma 3 3 4 6 2" xfId="24769" xr:uid="{00000000-0005-0000-0000-0000F1600000}"/>
    <cellStyle name="Comma 3 3 4 6 2 2" xfId="19119" xr:uid="{00000000-0005-0000-0000-0000DF4A0000}"/>
    <cellStyle name="Comma 3 3 4 6 2 2 2" xfId="4474" xr:uid="{00000000-0005-0000-0000-0000AA110000}"/>
    <cellStyle name="Comma 3 3 4 6 2 3" xfId="24772" xr:uid="{00000000-0005-0000-0000-0000F4600000}"/>
    <cellStyle name="Comma 3 3 4 6 2 4" xfId="24773" xr:uid="{00000000-0005-0000-0000-0000F5600000}"/>
    <cellStyle name="Comma 3 3 4 6 2 5" xfId="1643" xr:uid="{00000000-0005-0000-0000-00009B060000}"/>
    <cellStyle name="Comma 3 3 4 6 2 6" xfId="768" xr:uid="{00000000-0005-0000-0000-000030030000}"/>
    <cellStyle name="Comma 3 3 4 6 2 7" xfId="2743" xr:uid="{00000000-0005-0000-0000-0000E70A0000}"/>
    <cellStyle name="Comma 3 3 4 6 2 8" xfId="2750" xr:uid="{00000000-0005-0000-0000-0000EE0A0000}"/>
    <cellStyle name="Comma 3 3 4 6 2 9" xfId="2767" xr:uid="{00000000-0005-0000-0000-0000FF0A0000}"/>
    <cellStyle name="Comma 3 3 4 6 3" xfId="24774" xr:uid="{00000000-0005-0000-0000-0000F6600000}"/>
    <cellStyle name="Comma 3 3 4 6 3 2" xfId="24775" xr:uid="{00000000-0005-0000-0000-0000F7600000}"/>
    <cellStyle name="Comma 3 3 4 6 3 3" xfId="15287" xr:uid="{00000000-0005-0000-0000-0000E73B0000}"/>
    <cellStyle name="Comma 3 3 4 6 3 4" xfId="10581" xr:uid="{00000000-0005-0000-0000-000085290000}"/>
    <cellStyle name="Comma 3 3 4 6 3 5" xfId="15289" xr:uid="{00000000-0005-0000-0000-0000E93B0000}"/>
    <cellStyle name="Comma 3 3 4 6 3 6" xfId="23267" xr:uid="{00000000-0005-0000-0000-0000135B0000}"/>
    <cellStyle name="Comma 3 3 4 6 4" xfId="24776" xr:uid="{00000000-0005-0000-0000-0000F8600000}"/>
    <cellStyle name="Comma 3 3 4 6 4 2" xfId="24777" xr:uid="{00000000-0005-0000-0000-0000F9600000}"/>
    <cellStyle name="Comma 3 3 4 6 5" xfId="24779" xr:uid="{00000000-0005-0000-0000-0000FB600000}"/>
    <cellStyle name="Comma 3 3 4 6 6" xfId="24780" xr:uid="{00000000-0005-0000-0000-0000FC600000}"/>
    <cellStyle name="Comma 3 3 4 6 7" xfId="24781" xr:uid="{00000000-0005-0000-0000-0000FD600000}"/>
    <cellStyle name="Comma 3 3 4 6 8" xfId="24782" xr:uid="{00000000-0005-0000-0000-0000FE600000}"/>
    <cellStyle name="Comma 3 3 4 6 9" xfId="24783" xr:uid="{00000000-0005-0000-0000-0000FF600000}"/>
    <cellStyle name="Comma 3 3 4 7" xfId="8841" xr:uid="{00000000-0005-0000-0000-0000B9220000}"/>
    <cellStyle name="Comma 3 3 4 7 2" xfId="24784" xr:uid="{00000000-0005-0000-0000-000000610000}"/>
    <cellStyle name="Comma 3 3 4 7 2 2" xfId="24785" xr:uid="{00000000-0005-0000-0000-000001610000}"/>
    <cellStyle name="Comma 3 3 4 7 3" xfId="24786" xr:uid="{00000000-0005-0000-0000-000002610000}"/>
    <cellStyle name="Comma 3 3 4 7 4" xfId="9335" xr:uid="{00000000-0005-0000-0000-0000A7240000}"/>
    <cellStyle name="Comma 3 3 4 7 5" xfId="9338" xr:uid="{00000000-0005-0000-0000-0000AA240000}"/>
    <cellStyle name="Comma 3 3 4 7 6" xfId="9340" xr:uid="{00000000-0005-0000-0000-0000AC240000}"/>
    <cellStyle name="Comma 3 3 4 7 7" xfId="9342" xr:uid="{00000000-0005-0000-0000-0000AE240000}"/>
    <cellStyle name="Comma 3 3 4 7 8" xfId="24787" xr:uid="{00000000-0005-0000-0000-000003610000}"/>
    <cellStyle name="Comma 3 3 4 7 9" xfId="24788" xr:uid="{00000000-0005-0000-0000-000004610000}"/>
    <cellStyle name="Comma 3 3 4 8" xfId="11320" xr:uid="{00000000-0005-0000-0000-0000682C0000}"/>
    <cellStyle name="Comma 3 3 4 8 2" xfId="20484" xr:uid="{00000000-0005-0000-0000-000034500000}"/>
    <cellStyle name="Comma 3 3 4 8 3" xfId="20492" xr:uid="{00000000-0005-0000-0000-00003C500000}"/>
    <cellStyle name="Comma 3 3 4 8 4" xfId="8208" xr:uid="{00000000-0005-0000-0000-000040200000}"/>
    <cellStyle name="Comma 3 3 4 8 5" xfId="20499" xr:uid="{00000000-0005-0000-0000-000043500000}"/>
    <cellStyle name="Comma 3 3 4 8 6" xfId="20505" xr:uid="{00000000-0005-0000-0000-000049500000}"/>
    <cellStyle name="Comma 3 3 4 9" xfId="4143" xr:uid="{00000000-0005-0000-0000-00005F100000}"/>
    <cellStyle name="Comma 3 3 4 9 2" xfId="20517" xr:uid="{00000000-0005-0000-0000-000055500000}"/>
    <cellStyle name="Comma 3 3 4 9 3" xfId="17359" xr:uid="{00000000-0005-0000-0000-0000FF430000}"/>
    <cellStyle name="Comma 3 3 4 9 4" xfId="13892" xr:uid="{00000000-0005-0000-0000-000074360000}"/>
    <cellStyle name="Comma 3 3 4 9 5" xfId="13896" xr:uid="{00000000-0005-0000-0000-000078360000}"/>
    <cellStyle name="Comma 3 3 4 9 6" xfId="13900" xr:uid="{00000000-0005-0000-0000-00007C360000}"/>
    <cellStyle name="Comma 3 3 5" xfId="13590" xr:uid="{00000000-0005-0000-0000-000046350000}"/>
    <cellStyle name="Comma 3 3 5 10" xfId="22249" xr:uid="{00000000-0005-0000-0000-000019570000}"/>
    <cellStyle name="Comma 3 3 5 10 2" xfId="24792" xr:uid="{00000000-0005-0000-0000-000008610000}"/>
    <cellStyle name="Comma 3 3 5 10 3" xfId="24796" xr:uid="{00000000-0005-0000-0000-00000C610000}"/>
    <cellStyle name="Comma 3 3 5 10 4" xfId="24802" xr:uid="{00000000-0005-0000-0000-000012610000}"/>
    <cellStyle name="Comma 3 3 5 10 5" xfId="24808" xr:uid="{00000000-0005-0000-0000-000018610000}"/>
    <cellStyle name="Comma 3 3 5 10 6" xfId="24814" xr:uid="{00000000-0005-0000-0000-00001E610000}"/>
    <cellStyle name="Comma 3 3 5 11" xfId="22256" xr:uid="{00000000-0005-0000-0000-000020570000}"/>
    <cellStyle name="Comma 3 3 5 11 2" xfId="14391" xr:uid="{00000000-0005-0000-0000-000067380000}"/>
    <cellStyle name="Comma 3 3 5 11 3" xfId="14396" xr:uid="{00000000-0005-0000-0000-00006C380000}"/>
    <cellStyle name="Comma 3 3 5 11 4" xfId="14402" xr:uid="{00000000-0005-0000-0000-000072380000}"/>
    <cellStyle name="Comma 3 3 5 11 5" xfId="24817" xr:uid="{00000000-0005-0000-0000-000021610000}"/>
    <cellStyle name="Comma 3 3 5 11 6" xfId="21258" xr:uid="{00000000-0005-0000-0000-00003A530000}"/>
    <cellStyle name="Comma 3 3 5 12" xfId="24820" xr:uid="{00000000-0005-0000-0000-000024610000}"/>
    <cellStyle name="Comma 3 3 5 13" xfId="7382" xr:uid="{00000000-0005-0000-0000-0000061D0000}"/>
    <cellStyle name="Comma 3 3 5 14" xfId="7389" xr:uid="{00000000-0005-0000-0000-00000D1D0000}"/>
    <cellStyle name="Comma 3 3 5 15" xfId="7397" xr:uid="{00000000-0005-0000-0000-0000151D0000}"/>
    <cellStyle name="Comma 3 3 5 16" xfId="19407" xr:uid="{00000000-0005-0000-0000-0000FF4B0000}"/>
    <cellStyle name="Comma 3 3 5 17" xfId="19186" xr:uid="{00000000-0005-0000-0000-0000224B0000}"/>
    <cellStyle name="Comma 3 3 5 18" xfId="19412" xr:uid="{00000000-0005-0000-0000-0000044C0000}"/>
    <cellStyle name="Comma 3 3 5 19" xfId="19416" xr:uid="{00000000-0005-0000-0000-0000084C0000}"/>
    <cellStyle name="Comma 3 3 5 2" xfId="8854" xr:uid="{00000000-0005-0000-0000-0000C6220000}"/>
    <cellStyle name="Comma 3 3 5 2 10" xfId="3743" xr:uid="{00000000-0005-0000-0000-0000CF0E0000}"/>
    <cellStyle name="Comma 3 3 5 2 11" xfId="24821" xr:uid="{00000000-0005-0000-0000-000025610000}"/>
    <cellStyle name="Comma 3 3 5 2 12" xfId="24822" xr:uid="{00000000-0005-0000-0000-000026610000}"/>
    <cellStyle name="Comma 3 3 5 2 13" xfId="24823" xr:uid="{00000000-0005-0000-0000-000027610000}"/>
    <cellStyle name="Comma 3 3 5 2 14" xfId="24824" xr:uid="{00000000-0005-0000-0000-000028610000}"/>
    <cellStyle name="Comma 3 3 5 2 15" xfId="6283" xr:uid="{00000000-0005-0000-0000-0000BB180000}"/>
    <cellStyle name="Comma 3 3 5 2 16" xfId="24825" xr:uid="{00000000-0005-0000-0000-000029610000}"/>
    <cellStyle name="Comma 3 3 5 2 17" xfId="24828" xr:uid="{00000000-0005-0000-0000-00002C610000}"/>
    <cellStyle name="Comma 3 3 5 2 18" xfId="24831" xr:uid="{00000000-0005-0000-0000-00002F610000}"/>
    <cellStyle name="Comma 3 3 5 2 2" xfId="15861" xr:uid="{00000000-0005-0000-0000-0000253E0000}"/>
    <cellStyle name="Comma 3 3 5 2 2 10" xfId="24561" xr:uid="{00000000-0005-0000-0000-000021600000}"/>
    <cellStyle name="Comma 3 3 5 2 2 11" xfId="6196" xr:uid="{00000000-0005-0000-0000-000064180000}"/>
    <cellStyle name="Comma 3 3 5 2 2 12" xfId="6846" xr:uid="{00000000-0005-0000-0000-0000EE1A0000}"/>
    <cellStyle name="Comma 3 3 5 2 2 2" xfId="24306" xr:uid="{00000000-0005-0000-0000-0000225F0000}"/>
    <cellStyle name="Comma 3 3 5 2 2 2 2" xfId="24636" xr:uid="{00000000-0005-0000-0000-00006C600000}"/>
    <cellStyle name="Comma 3 3 5 2 2 2 2 2" xfId="24639" xr:uid="{00000000-0005-0000-0000-00006F600000}"/>
    <cellStyle name="Comma 3 3 5 2 2 2 3" xfId="24641" xr:uid="{00000000-0005-0000-0000-000071600000}"/>
    <cellStyle name="Comma 3 3 5 2 2 2 4" xfId="24646" xr:uid="{00000000-0005-0000-0000-000076600000}"/>
    <cellStyle name="Comma 3 3 5 2 2 2 5" xfId="20361" xr:uid="{00000000-0005-0000-0000-0000B94F0000}"/>
    <cellStyle name="Comma 3 3 5 2 2 3" xfId="24310" xr:uid="{00000000-0005-0000-0000-0000265F0000}"/>
    <cellStyle name="Comma 3 3 5 2 2 3 2" xfId="24678" xr:uid="{00000000-0005-0000-0000-000096600000}"/>
    <cellStyle name="Comma 3 3 5 2 2 4" xfId="24313" xr:uid="{00000000-0005-0000-0000-0000295F0000}"/>
    <cellStyle name="Comma 3 3 5 2 2 5" xfId="687" xr:uid="{00000000-0005-0000-0000-0000DF020000}"/>
    <cellStyle name="Comma 3 3 5 2 2 6" xfId="155" xr:uid="{00000000-0005-0000-0000-0000A7000000}"/>
    <cellStyle name="Comma 3 3 5 2 2 7" xfId="702" xr:uid="{00000000-0005-0000-0000-0000EE020000}"/>
    <cellStyle name="Comma 3 3 5 2 2 8" xfId="4315" xr:uid="{00000000-0005-0000-0000-00000B110000}"/>
    <cellStyle name="Comma 3 3 5 2 2 9" xfId="8239" xr:uid="{00000000-0005-0000-0000-00005F200000}"/>
    <cellStyle name="Comma 3 3 5 2 3" xfId="15863" xr:uid="{00000000-0005-0000-0000-0000273E0000}"/>
    <cellStyle name="Comma 3 3 5 2 3 10" xfId="22250" xr:uid="{00000000-0005-0000-0000-00001A570000}"/>
    <cellStyle name="Comma 3 3 5 2 3 11" xfId="24818" xr:uid="{00000000-0005-0000-0000-000022610000}"/>
    <cellStyle name="Comma 3 3 5 2 3 12" xfId="7377" xr:uid="{00000000-0005-0000-0000-0000011D0000}"/>
    <cellStyle name="Comma 3 3 5 2 3 2" xfId="24833" xr:uid="{00000000-0005-0000-0000-000031610000}"/>
    <cellStyle name="Comma 3 3 5 2 3 2 2" xfId="24835" xr:uid="{00000000-0005-0000-0000-000033610000}"/>
    <cellStyle name="Comma 3 3 5 2 3 2 2 2" xfId="24333" xr:uid="{00000000-0005-0000-0000-00003D5F0000}"/>
    <cellStyle name="Comma 3 3 5 2 3 2 3" xfId="24837" xr:uid="{00000000-0005-0000-0000-000035610000}"/>
    <cellStyle name="Comma 3 3 5 2 3 2 4" xfId="24840" xr:uid="{00000000-0005-0000-0000-000038610000}"/>
    <cellStyle name="Comma 3 3 5 2 3 2 5" xfId="24841" xr:uid="{00000000-0005-0000-0000-000039610000}"/>
    <cellStyle name="Comma 3 3 5 2 3 3" xfId="24844" xr:uid="{00000000-0005-0000-0000-00003C610000}"/>
    <cellStyle name="Comma 3 3 5 2 3 3 2" xfId="24847" xr:uid="{00000000-0005-0000-0000-00003F610000}"/>
    <cellStyle name="Comma 3 3 5 2 3 4" xfId="24848" xr:uid="{00000000-0005-0000-0000-000040610000}"/>
    <cellStyle name="Comma 3 3 5 2 3 5" xfId="1253" xr:uid="{00000000-0005-0000-0000-000015050000}"/>
    <cellStyle name="Comma 3 3 5 2 3 6" xfId="1267" xr:uid="{00000000-0005-0000-0000-000023050000}"/>
    <cellStyle name="Comma 3 3 5 2 3 7" xfId="1279" xr:uid="{00000000-0005-0000-0000-00002F050000}"/>
    <cellStyle name="Comma 3 3 5 2 3 8" xfId="1296" xr:uid="{00000000-0005-0000-0000-000040050000}"/>
    <cellStyle name="Comma 3 3 5 2 3 9" xfId="1320" xr:uid="{00000000-0005-0000-0000-000058050000}"/>
    <cellStyle name="Comma 3 3 5 2 4" xfId="15865" xr:uid="{00000000-0005-0000-0000-0000293E0000}"/>
    <cellStyle name="Comma 3 3 5 2 4 10" xfId="24850" xr:uid="{00000000-0005-0000-0000-000042610000}"/>
    <cellStyle name="Comma 3 3 5 2 4 2" xfId="24854" xr:uid="{00000000-0005-0000-0000-000046610000}"/>
    <cellStyle name="Comma 3 3 5 2 4 2 2" xfId="24858" xr:uid="{00000000-0005-0000-0000-00004A610000}"/>
    <cellStyle name="Comma 3 3 5 2 4 2 2 2" xfId="24859" xr:uid="{00000000-0005-0000-0000-00004B610000}"/>
    <cellStyle name="Comma 3 3 5 2 4 2 3" xfId="24863" xr:uid="{00000000-0005-0000-0000-00004F610000}"/>
    <cellStyle name="Comma 3 3 5 2 4 2 4" xfId="13379" xr:uid="{00000000-0005-0000-0000-000073340000}"/>
    <cellStyle name="Comma 3 3 5 2 4 2 5" xfId="13381" xr:uid="{00000000-0005-0000-0000-000075340000}"/>
    <cellStyle name="Comma 3 3 5 2 4 3" xfId="24864" xr:uid="{00000000-0005-0000-0000-000050610000}"/>
    <cellStyle name="Comma 3 3 5 2 4 3 2" xfId="24867" xr:uid="{00000000-0005-0000-0000-000053610000}"/>
    <cellStyle name="Comma 3 3 5 2 4 4" xfId="24868" xr:uid="{00000000-0005-0000-0000-000054610000}"/>
    <cellStyle name="Comma 3 3 5 2 4 5" xfId="1402" xr:uid="{00000000-0005-0000-0000-0000AA050000}"/>
    <cellStyle name="Comma 3 3 5 2 4 6" xfId="1433" xr:uid="{00000000-0005-0000-0000-0000C9050000}"/>
    <cellStyle name="Comma 3 3 5 2 4 7" xfId="1457" xr:uid="{00000000-0005-0000-0000-0000E1050000}"/>
    <cellStyle name="Comma 3 3 5 2 4 8" xfId="1477" xr:uid="{00000000-0005-0000-0000-0000F5050000}"/>
    <cellStyle name="Comma 3 3 5 2 4 9" xfId="439" xr:uid="{00000000-0005-0000-0000-0000D4010000}"/>
    <cellStyle name="Comma 3 3 5 2 5" xfId="24869" xr:uid="{00000000-0005-0000-0000-000055610000}"/>
    <cellStyle name="Comma 3 3 5 2 5 10" xfId="15773" xr:uid="{00000000-0005-0000-0000-0000CD3D0000}"/>
    <cellStyle name="Comma 3 3 5 2 5 2" xfId="24870" xr:uid="{00000000-0005-0000-0000-000056610000}"/>
    <cellStyle name="Comma 3 3 5 2 5 2 2" xfId="18124" xr:uid="{00000000-0005-0000-0000-0000FC460000}"/>
    <cellStyle name="Comma 3 3 5 2 5 2 2 2" xfId="2312" xr:uid="{00000000-0005-0000-0000-000038090000}"/>
    <cellStyle name="Comma 3 3 5 2 5 2 3" xfId="18134" xr:uid="{00000000-0005-0000-0000-000006470000}"/>
    <cellStyle name="Comma 3 3 5 2 5 2 4" xfId="18142" xr:uid="{00000000-0005-0000-0000-00000E470000}"/>
    <cellStyle name="Comma 3 3 5 2 5 2 5" xfId="18147" xr:uid="{00000000-0005-0000-0000-000013470000}"/>
    <cellStyle name="Comma 3 3 5 2 5 3" xfId="24871" xr:uid="{00000000-0005-0000-0000-000057610000}"/>
    <cellStyle name="Comma 3 3 5 2 5 3 2" xfId="10636" xr:uid="{00000000-0005-0000-0000-0000BC290000}"/>
    <cellStyle name="Comma 3 3 5 2 5 4" xfId="24872" xr:uid="{00000000-0005-0000-0000-000058610000}"/>
    <cellStyle name="Comma 3 3 5 2 5 5" xfId="24875" xr:uid="{00000000-0005-0000-0000-00005B610000}"/>
    <cellStyle name="Comma 3 3 5 2 5 6" xfId="24684" xr:uid="{00000000-0005-0000-0000-00009C600000}"/>
    <cellStyle name="Comma 3 3 5 2 5 7" xfId="24705" xr:uid="{00000000-0005-0000-0000-0000B1600000}"/>
    <cellStyle name="Comma 3 3 5 2 5 8" xfId="24713" xr:uid="{00000000-0005-0000-0000-0000B9600000}"/>
    <cellStyle name="Comma 3 3 5 2 5 9" xfId="24715" xr:uid="{00000000-0005-0000-0000-0000BB600000}"/>
    <cellStyle name="Comma 3 3 5 2 6" xfId="24876" xr:uid="{00000000-0005-0000-0000-00005C610000}"/>
    <cellStyle name="Comma 3 3 5 2 6 2" xfId="24877" xr:uid="{00000000-0005-0000-0000-00005D610000}"/>
    <cellStyle name="Comma 3 3 5 2 6 2 2" xfId="18649" xr:uid="{00000000-0005-0000-0000-000009490000}"/>
    <cellStyle name="Comma 3 3 5 2 6 3" xfId="24878" xr:uid="{00000000-0005-0000-0000-00005E610000}"/>
    <cellStyle name="Comma 3 3 5 2 6 4" xfId="24879" xr:uid="{00000000-0005-0000-0000-00005F610000}"/>
    <cellStyle name="Comma 3 3 5 2 6 5" xfId="24881" xr:uid="{00000000-0005-0000-0000-000061610000}"/>
    <cellStyle name="Comma 3 3 5 2 6 6" xfId="24733" xr:uid="{00000000-0005-0000-0000-0000CD600000}"/>
    <cellStyle name="Comma 3 3 5 2 6 7" xfId="24746" xr:uid="{00000000-0005-0000-0000-0000DA600000}"/>
    <cellStyle name="Comma 3 3 5 2 6 8" xfId="11841" xr:uid="{00000000-0005-0000-0000-0000712E0000}"/>
    <cellStyle name="Comma 3 3 5 2 6 9" xfId="24760" xr:uid="{00000000-0005-0000-0000-0000E8600000}"/>
    <cellStyle name="Comma 3 3 5 2 7" xfId="24834" xr:uid="{00000000-0005-0000-0000-000032610000}"/>
    <cellStyle name="Comma 3 3 5 2 7 2" xfId="24332" xr:uid="{00000000-0005-0000-0000-00003C5F0000}"/>
    <cellStyle name="Comma 3 3 5 2 8" xfId="24836" xr:uid="{00000000-0005-0000-0000-000034610000}"/>
    <cellStyle name="Comma 3 3 5 2 9" xfId="24838" xr:uid="{00000000-0005-0000-0000-000036610000}"/>
    <cellStyle name="Comma 3 3 5 20" xfId="7396" xr:uid="{00000000-0005-0000-0000-0000141D0000}"/>
    <cellStyle name="Comma 3 3 5 21" xfId="19406" xr:uid="{00000000-0005-0000-0000-0000FE4B0000}"/>
    <cellStyle name="Comma 3 3 5 22" xfId="19185" xr:uid="{00000000-0005-0000-0000-0000214B0000}"/>
    <cellStyle name="Comma 3 3 5 23" xfId="19411" xr:uid="{00000000-0005-0000-0000-0000034C0000}"/>
    <cellStyle name="Comma 3 3 5 3" xfId="8858" xr:uid="{00000000-0005-0000-0000-0000CA220000}"/>
    <cellStyle name="Comma 3 3 5 3 10" xfId="24882" xr:uid="{00000000-0005-0000-0000-000062610000}"/>
    <cellStyle name="Comma 3 3 5 3 11" xfId="24883" xr:uid="{00000000-0005-0000-0000-000063610000}"/>
    <cellStyle name="Comma 3 3 5 3 12" xfId="24884" xr:uid="{00000000-0005-0000-0000-000064610000}"/>
    <cellStyle name="Comma 3 3 5 3 13" xfId="24885" xr:uid="{00000000-0005-0000-0000-000065610000}"/>
    <cellStyle name="Comma 3 3 5 3 14" xfId="24886" xr:uid="{00000000-0005-0000-0000-000066610000}"/>
    <cellStyle name="Comma 3 3 5 3 15" xfId="24887" xr:uid="{00000000-0005-0000-0000-000067610000}"/>
    <cellStyle name="Comma 3 3 5 3 16" xfId="24888" xr:uid="{00000000-0005-0000-0000-000068610000}"/>
    <cellStyle name="Comma 3 3 5 3 17" xfId="24890" xr:uid="{00000000-0005-0000-0000-00006A610000}"/>
    <cellStyle name="Comma 3 3 5 3 18" xfId="24891" xr:uid="{00000000-0005-0000-0000-00006B610000}"/>
    <cellStyle name="Comma 3 3 5 3 2" xfId="24894" xr:uid="{00000000-0005-0000-0000-00006E610000}"/>
    <cellStyle name="Comma 3 3 5 3 2 10" xfId="24898" xr:uid="{00000000-0005-0000-0000-000072610000}"/>
    <cellStyle name="Comma 3 3 5 3 2 2" xfId="24899" xr:uid="{00000000-0005-0000-0000-000073610000}"/>
    <cellStyle name="Comma 3 3 5 3 2 2 2" xfId="16170" xr:uid="{00000000-0005-0000-0000-00005A3F0000}"/>
    <cellStyle name="Comma 3 3 5 3 2 3" xfId="24901" xr:uid="{00000000-0005-0000-0000-000075610000}"/>
    <cellStyle name="Comma 3 3 5 3 2 4" xfId="24903" xr:uid="{00000000-0005-0000-0000-000077610000}"/>
    <cellStyle name="Comma 3 3 5 3 2 5" xfId="24905" xr:uid="{00000000-0005-0000-0000-000079610000}"/>
    <cellStyle name="Comma 3 3 5 3 2 6" xfId="24908" xr:uid="{00000000-0005-0000-0000-00007C610000}"/>
    <cellStyle name="Comma 3 3 5 3 2 7" xfId="24912" xr:uid="{00000000-0005-0000-0000-000080610000}"/>
    <cellStyle name="Comma 3 3 5 3 2 8" xfId="24915" xr:uid="{00000000-0005-0000-0000-000083610000}"/>
    <cellStyle name="Comma 3 3 5 3 2 9" xfId="24918" xr:uid="{00000000-0005-0000-0000-000086610000}"/>
    <cellStyle name="Comma 3 3 5 3 3" xfId="24923" xr:uid="{00000000-0005-0000-0000-00008B610000}"/>
    <cellStyle name="Comma 3 3 5 3 3 2" xfId="24924" xr:uid="{00000000-0005-0000-0000-00008C610000}"/>
    <cellStyle name="Comma 3 3 5 3 3 3" xfId="24925" xr:uid="{00000000-0005-0000-0000-00008D610000}"/>
    <cellStyle name="Comma 3 3 5 3 3 4" xfId="24926" xr:uid="{00000000-0005-0000-0000-00008E610000}"/>
    <cellStyle name="Comma 3 3 5 3 3 5" xfId="15854" xr:uid="{00000000-0005-0000-0000-00001E3E0000}"/>
    <cellStyle name="Comma 3 3 5 3 3 6" xfId="15860" xr:uid="{00000000-0005-0000-0000-0000243E0000}"/>
    <cellStyle name="Comma 3 3 5 3 4" xfId="24929" xr:uid="{00000000-0005-0000-0000-000091610000}"/>
    <cellStyle name="Comma 3 3 5 3 4 2" xfId="24931" xr:uid="{00000000-0005-0000-0000-000093610000}"/>
    <cellStyle name="Comma 3 3 5 3 4 3" xfId="24932" xr:uid="{00000000-0005-0000-0000-000094610000}"/>
    <cellStyle name="Comma 3 3 5 3 4 4" xfId="24933" xr:uid="{00000000-0005-0000-0000-000095610000}"/>
    <cellStyle name="Comma 3 3 5 3 4 5" xfId="15868" xr:uid="{00000000-0005-0000-0000-00002C3E0000}"/>
    <cellStyle name="Comma 3 3 5 3 4 6" xfId="24892" xr:uid="{00000000-0005-0000-0000-00006C610000}"/>
    <cellStyle name="Comma 3 3 5 3 5" xfId="24937" xr:uid="{00000000-0005-0000-0000-000099610000}"/>
    <cellStyle name="Comma 3 3 5 3 5 2" xfId="24938" xr:uid="{00000000-0005-0000-0000-00009A610000}"/>
    <cellStyle name="Comma 3 3 5 3 5 3" xfId="24940" xr:uid="{00000000-0005-0000-0000-00009C610000}"/>
    <cellStyle name="Comma 3 3 5 3 5 4" xfId="24944" xr:uid="{00000000-0005-0000-0000-0000A0610000}"/>
    <cellStyle name="Comma 3 3 5 3 5 5" xfId="24948" xr:uid="{00000000-0005-0000-0000-0000A4610000}"/>
    <cellStyle name="Comma 3 3 5 3 5 6" xfId="24954" xr:uid="{00000000-0005-0000-0000-0000AA610000}"/>
    <cellStyle name="Comma 3 3 5 3 6" xfId="24955" xr:uid="{00000000-0005-0000-0000-0000AB610000}"/>
    <cellStyle name="Comma 3 3 5 3 6 2" xfId="24956" xr:uid="{00000000-0005-0000-0000-0000AC610000}"/>
    <cellStyle name="Comma 3 3 5 3 6 3" xfId="1909" xr:uid="{00000000-0005-0000-0000-0000A5070000}"/>
    <cellStyle name="Comma 3 3 5 3 6 4" xfId="23600" xr:uid="{00000000-0005-0000-0000-0000605C0000}"/>
    <cellStyle name="Comma 3 3 5 3 6 5" xfId="23604" xr:uid="{00000000-0005-0000-0000-0000645C0000}"/>
    <cellStyle name="Comma 3 3 5 3 6 6" xfId="23609" xr:uid="{00000000-0005-0000-0000-0000695C0000}"/>
    <cellStyle name="Comma 3 3 5 3 7" xfId="24845" xr:uid="{00000000-0005-0000-0000-00003D610000}"/>
    <cellStyle name="Comma 3 3 5 3 8" xfId="997" xr:uid="{00000000-0005-0000-0000-000015040000}"/>
    <cellStyle name="Comma 3 3 5 3 9" xfId="24957" xr:uid="{00000000-0005-0000-0000-0000AD610000}"/>
    <cellStyle name="Comma 3 3 5 4" xfId="8862" xr:uid="{00000000-0005-0000-0000-0000CE220000}"/>
    <cellStyle name="Comma 3 3 5 4 10" xfId="21293" xr:uid="{00000000-0005-0000-0000-00005D530000}"/>
    <cellStyle name="Comma 3 3 5 4 11" xfId="24959" xr:uid="{00000000-0005-0000-0000-0000AF610000}"/>
    <cellStyle name="Comma 3 3 5 4 12" xfId="24962" xr:uid="{00000000-0005-0000-0000-0000B2610000}"/>
    <cellStyle name="Comma 3 3 5 4 13" xfId="24965" xr:uid="{00000000-0005-0000-0000-0000B5610000}"/>
    <cellStyle name="Comma 3 3 5 4 14" xfId="24968" xr:uid="{00000000-0005-0000-0000-0000B8610000}"/>
    <cellStyle name="Comma 3 3 5 4 15" xfId="24970" xr:uid="{00000000-0005-0000-0000-0000BA610000}"/>
    <cellStyle name="Comma 3 3 5 4 2" xfId="24950" xr:uid="{00000000-0005-0000-0000-0000A6610000}"/>
    <cellStyle name="Comma 3 3 5 4 2 2" xfId="24972" xr:uid="{00000000-0005-0000-0000-0000BC610000}"/>
    <cellStyle name="Comma 3 3 5 4 2 2 2" xfId="12262" xr:uid="{00000000-0005-0000-0000-000016300000}"/>
    <cellStyle name="Comma 3 3 5 4 2 3" xfId="24974" xr:uid="{00000000-0005-0000-0000-0000BE610000}"/>
    <cellStyle name="Comma 3 3 5 4 2 4" xfId="24976" xr:uid="{00000000-0005-0000-0000-0000C0610000}"/>
    <cellStyle name="Comma 3 3 5 4 2 5" xfId="24981" xr:uid="{00000000-0005-0000-0000-0000C5610000}"/>
    <cellStyle name="Comma 3 3 5 4 2 6" xfId="24985" xr:uid="{00000000-0005-0000-0000-0000C9610000}"/>
    <cellStyle name="Comma 3 3 5 4 2 7" xfId="24988" xr:uid="{00000000-0005-0000-0000-0000CC610000}"/>
    <cellStyle name="Comma 3 3 5 4 2 8" xfId="24991" xr:uid="{00000000-0005-0000-0000-0000CF610000}"/>
    <cellStyle name="Comma 3 3 5 4 2 9" xfId="24994" xr:uid="{00000000-0005-0000-0000-0000D2610000}"/>
    <cellStyle name="Comma 3 3 5 4 3" xfId="24995" xr:uid="{00000000-0005-0000-0000-0000D3610000}"/>
    <cellStyle name="Comma 3 3 5 4 3 2" xfId="24996" xr:uid="{00000000-0005-0000-0000-0000D4610000}"/>
    <cellStyle name="Comma 3 3 5 4 3 3" xfId="24997" xr:uid="{00000000-0005-0000-0000-0000D5610000}"/>
    <cellStyle name="Comma 3 3 5 4 3 4" xfId="2827" xr:uid="{00000000-0005-0000-0000-00003B0B0000}"/>
    <cellStyle name="Comma 3 3 5 4 3 5" xfId="15884" xr:uid="{00000000-0005-0000-0000-00003C3E0000}"/>
    <cellStyle name="Comma 3 3 5 4 3 6" xfId="25000" xr:uid="{00000000-0005-0000-0000-0000D8610000}"/>
    <cellStyle name="Comma 3 3 5 4 4" xfId="25001" xr:uid="{00000000-0005-0000-0000-0000D9610000}"/>
    <cellStyle name="Comma 3 3 5 4 4 2" xfId="25002" xr:uid="{00000000-0005-0000-0000-0000DA610000}"/>
    <cellStyle name="Comma 3 3 5 4 5" xfId="25003" xr:uid="{00000000-0005-0000-0000-0000DB610000}"/>
    <cellStyle name="Comma 3 3 5 4 6" xfId="25004" xr:uid="{00000000-0005-0000-0000-0000DC610000}"/>
    <cellStyle name="Comma 3 3 5 4 7" xfId="25005" xr:uid="{00000000-0005-0000-0000-0000DD610000}"/>
    <cellStyle name="Comma 3 3 5 4 8" xfId="25006" xr:uid="{00000000-0005-0000-0000-0000DE610000}"/>
    <cellStyle name="Comma 3 3 5 4 9" xfId="25007" xr:uid="{00000000-0005-0000-0000-0000DF610000}"/>
    <cellStyle name="Comma 3 3 5 5" xfId="13595" xr:uid="{00000000-0005-0000-0000-00004B350000}"/>
    <cellStyle name="Comma 3 3 5 5 10" xfId="15065" xr:uid="{00000000-0005-0000-0000-0000093B0000}"/>
    <cellStyle name="Comma 3 3 5 5 11" xfId="25009" xr:uid="{00000000-0005-0000-0000-0000E1610000}"/>
    <cellStyle name="Comma 3 3 5 5 12" xfId="25012" xr:uid="{00000000-0005-0000-0000-0000E4610000}"/>
    <cellStyle name="Comma 3 3 5 5 13" xfId="25015" xr:uid="{00000000-0005-0000-0000-0000E7610000}"/>
    <cellStyle name="Comma 3 3 5 5 2" xfId="23606" xr:uid="{00000000-0005-0000-0000-0000665C0000}"/>
    <cellStyle name="Comma 3 3 5 5 2 2" xfId="4406" xr:uid="{00000000-0005-0000-0000-000066110000}"/>
    <cellStyle name="Comma 3 3 5 5 2 2 2" xfId="4410" xr:uid="{00000000-0005-0000-0000-00006A110000}"/>
    <cellStyle name="Comma 3 3 5 5 2 3" xfId="2962" xr:uid="{00000000-0005-0000-0000-0000C20B0000}"/>
    <cellStyle name="Comma 3 3 5 5 2 4" xfId="3169" xr:uid="{00000000-0005-0000-0000-0000910C0000}"/>
    <cellStyle name="Comma 3 3 5 5 2 5" xfId="3136" xr:uid="{00000000-0005-0000-0000-0000700C0000}"/>
    <cellStyle name="Comma 3 3 5 5 2 6" xfId="3163" xr:uid="{00000000-0005-0000-0000-00008B0C0000}"/>
    <cellStyle name="Comma 3 3 5 5 2 7" xfId="17196" xr:uid="{00000000-0005-0000-0000-00005C430000}"/>
    <cellStyle name="Comma 3 3 5 5 2 8" xfId="17199" xr:uid="{00000000-0005-0000-0000-00005F430000}"/>
    <cellStyle name="Comma 3 3 5 5 2 9" xfId="18036" xr:uid="{00000000-0005-0000-0000-0000A4460000}"/>
    <cellStyle name="Comma 3 3 5 5 3" xfId="23610" xr:uid="{00000000-0005-0000-0000-00006A5C0000}"/>
    <cellStyle name="Comma 3 3 5 5 3 2" xfId="25018" xr:uid="{00000000-0005-0000-0000-0000EA610000}"/>
    <cellStyle name="Comma 3 3 5 5 3 3" xfId="25021" xr:uid="{00000000-0005-0000-0000-0000ED610000}"/>
    <cellStyle name="Comma 3 3 5 5 3 4" xfId="25024" xr:uid="{00000000-0005-0000-0000-0000F0610000}"/>
    <cellStyle name="Comma 3 3 5 5 3 5" xfId="25027" xr:uid="{00000000-0005-0000-0000-0000F3610000}"/>
    <cellStyle name="Comma 3 3 5 5 3 6" xfId="25035" xr:uid="{00000000-0005-0000-0000-0000FB610000}"/>
    <cellStyle name="Comma 3 3 5 5 4" xfId="23613" xr:uid="{00000000-0005-0000-0000-00006D5C0000}"/>
    <cellStyle name="Comma 3 3 5 5 4 2" xfId="4349" xr:uid="{00000000-0005-0000-0000-00002D110000}"/>
    <cellStyle name="Comma 3 3 5 5 5" xfId="7740" xr:uid="{00000000-0005-0000-0000-00006C1E0000}"/>
    <cellStyle name="Comma 3 3 5 5 6" xfId="25038" xr:uid="{00000000-0005-0000-0000-0000FE610000}"/>
    <cellStyle name="Comma 3 3 5 5 7" xfId="15848" xr:uid="{00000000-0005-0000-0000-0000183E0000}"/>
    <cellStyle name="Comma 3 3 5 5 8" xfId="25039" xr:uid="{00000000-0005-0000-0000-0000FF610000}"/>
    <cellStyle name="Comma 3 3 5 5 9" xfId="25040" xr:uid="{00000000-0005-0000-0000-000000620000}"/>
    <cellStyle name="Comma 3 3 5 6" xfId="13599" xr:uid="{00000000-0005-0000-0000-00004F350000}"/>
    <cellStyle name="Comma 3 3 5 6 10" xfId="18291" xr:uid="{00000000-0005-0000-0000-0000A3470000}"/>
    <cellStyle name="Comma 3 3 5 6 11" xfId="22745" xr:uid="{00000000-0005-0000-0000-000009590000}"/>
    <cellStyle name="Comma 3 3 5 6 12" xfId="22748" xr:uid="{00000000-0005-0000-0000-00000C590000}"/>
    <cellStyle name="Comma 3 3 5 6 2" xfId="25042" xr:uid="{00000000-0005-0000-0000-000002620000}"/>
    <cellStyle name="Comma 3 3 5 6 2 2" xfId="24395" xr:uid="{00000000-0005-0000-0000-00007B5F0000}"/>
    <cellStyle name="Comma 3 3 5 6 2 2 2" xfId="17481" xr:uid="{00000000-0005-0000-0000-000079440000}"/>
    <cellStyle name="Comma 3 3 5 6 2 3" xfId="24398" xr:uid="{00000000-0005-0000-0000-00007E5F0000}"/>
    <cellStyle name="Comma 3 3 5 6 2 4" xfId="24400" xr:uid="{00000000-0005-0000-0000-0000805F0000}"/>
    <cellStyle name="Comma 3 3 5 6 2 5" xfId="24402" xr:uid="{00000000-0005-0000-0000-0000825F0000}"/>
    <cellStyle name="Comma 3 3 5 6 2 6" xfId="25043" xr:uid="{00000000-0005-0000-0000-000003620000}"/>
    <cellStyle name="Comma 3 3 5 6 2 7" xfId="190" xr:uid="{00000000-0005-0000-0000-0000CD000000}"/>
    <cellStyle name="Comma 3 3 5 6 2 8" xfId="18588" xr:uid="{00000000-0005-0000-0000-0000CC480000}"/>
    <cellStyle name="Comma 3 3 5 6 2 9" xfId="18590" xr:uid="{00000000-0005-0000-0000-0000CE480000}"/>
    <cellStyle name="Comma 3 3 5 6 3" xfId="25044" xr:uid="{00000000-0005-0000-0000-000004620000}"/>
    <cellStyle name="Comma 3 3 5 6 3 2" xfId="25045" xr:uid="{00000000-0005-0000-0000-000005620000}"/>
    <cellStyle name="Comma 3 3 5 6 3 3" xfId="25046" xr:uid="{00000000-0005-0000-0000-000006620000}"/>
    <cellStyle name="Comma 3 3 5 6 3 4" xfId="25047" xr:uid="{00000000-0005-0000-0000-000007620000}"/>
    <cellStyle name="Comma 3 3 5 6 3 5" xfId="25048" xr:uid="{00000000-0005-0000-0000-000008620000}"/>
    <cellStyle name="Comma 3 3 5 6 3 6" xfId="25052" xr:uid="{00000000-0005-0000-0000-00000C620000}"/>
    <cellStyle name="Comma 3 3 5 6 4" xfId="25054" xr:uid="{00000000-0005-0000-0000-00000E620000}"/>
    <cellStyle name="Comma 3 3 5 6 4 2" xfId="25056" xr:uid="{00000000-0005-0000-0000-000010620000}"/>
    <cellStyle name="Comma 3 3 5 6 5" xfId="25058" xr:uid="{00000000-0005-0000-0000-000012620000}"/>
    <cellStyle name="Comma 3 3 5 6 6" xfId="25061" xr:uid="{00000000-0005-0000-0000-000015620000}"/>
    <cellStyle name="Comma 3 3 5 6 7" xfId="24569" xr:uid="{00000000-0005-0000-0000-000029600000}"/>
    <cellStyle name="Comma 3 3 5 6 8" xfId="24573" xr:uid="{00000000-0005-0000-0000-00002D600000}"/>
    <cellStyle name="Comma 3 3 5 6 9" xfId="24577" xr:uid="{00000000-0005-0000-0000-000031600000}"/>
    <cellStyle name="Comma 3 3 5 7" xfId="25063" xr:uid="{00000000-0005-0000-0000-000017620000}"/>
    <cellStyle name="Comma 3 3 5 7 2" xfId="25065" xr:uid="{00000000-0005-0000-0000-000019620000}"/>
    <cellStyle name="Comma 3 3 5 7 2 2" xfId="25066" xr:uid="{00000000-0005-0000-0000-00001A620000}"/>
    <cellStyle name="Comma 3 3 5 7 3" xfId="25067" xr:uid="{00000000-0005-0000-0000-00001B620000}"/>
    <cellStyle name="Comma 3 3 5 7 4" xfId="9352" xr:uid="{00000000-0005-0000-0000-0000B8240000}"/>
    <cellStyle name="Comma 3 3 5 7 5" xfId="9354" xr:uid="{00000000-0005-0000-0000-0000BA240000}"/>
    <cellStyle name="Comma 3 3 5 7 6" xfId="9356" xr:uid="{00000000-0005-0000-0000-0000BC240000}"/>
    <cellStyle name="Comma 3 3 5 7 7" xfId="9358" xr:uid="{00000000-0005-0000-0000-0000BE240000}"/>
    <cellStyle name="Comma 3 3 5 7 8" xfId="24602" xr:uid="{00000000-0005-0000-0000-00004A600000}"/>
    <cellStyle name="Comma 3 3 5 7 9" xfId="24605" xr:uid="{00000000-0005-0000-0000-00004D600000}"/>
    <cellStyle name="Comma 3 3 5 8" xfId="25068" xr:uid="{00000000-0005-0000-0000-00001C620000}"/>
    <cellStyle name="Comma 3 3 5 8 2" xfId="20581" xr:uid="{00000000-0005-0000-0000-000095500000}"/>
    <cellStyle name="Comma 3 3 5 8 3" xfId="20585" xr:uid="{00000000-0005-0000-0000-000099500000}"/>
    <cellStyle name="Comma 3 3 5 8 4" xfId="9369" xr:uid="{00000000-0005-0000-0000-0000C9240000}"/>
    <cellStyle name="Comma 3 3 5 8 5" xfId="20590" xr:uid="{00000000-0005-0000-0000-00009E500000}"/>
    <cellStyle name="Comma 3 3 5 8 6" xfId="20594" xr:uid="{00000000-0005-0000-0000-0000A2500000}"/>
    <cellStyle name="Comma 3 3 5 9" xfId="25069" xr:uid="{00000000-0005-0000-0000-00001D620000}"/>
    <cellStyle name="Comma 3 3 5 9 2" xfId="20606" xr:uid="{00000000-0005-0000-0000-0000AE500000}"/>
    <cellStyle name="Comma 3 3 5 9 3" xfId="17388" xr:uid="{00000000-0005-0000-0000-00001C440000}"/>
    <cellStyle name="Comma 3 3 5 9 4" xfId="13916" xr:uid="{00000000-0005-0000-0000-00008C360000}"/>
    <cellStyle name="Comma 3 3 5 9 5" xfId="13918" xr:uid="{00000000-0005-0000-0000-00008E360000}"/>
    <cellStyle name="Comma 3 3 5 9 6" xfId="13921" xr:uid="{00000000-0005-0000-0000-000091360000}"/>
    <cellStyle name="Comma 3 3 6" xfId="13603" xr:uid="{00000000-0005-0000-0000-000053350000}"/>
    <cellStyle name="Comma 3 3 6 10" xfId="25070" xr:uid="{00000000-0005-0000-0000-00001E620000}"/>
    <cellStyle name="Comma 3 3 6 11" xfId="24849" xr:uid="{00000000-0005-0000-0000-000041610000}"/>
    <cellStyle name="Comma 3 3 6 12" xfId="25071" xr:uid="{00000000-0005-0000-0000-00001F620000}"/>
    <cellStyle name="Comma 3 3 6 13" xfId="25072" xr:uid="{00000000-0005-0000-0000-000020620000}"/>
    <cellStyle name="Comma 3 3 6 14" xfId="25073" xr:uid="{00000000-0005-0000-0000-000021620000}"/>
    <cellStyle name="Comma 3 3 6 15" xfId="25074" xr:uid="{00000000-0005-0000-0000-000022620000}"/>
    <cellStyle name="Comma 3 3 6 16" xfId="10265" xr:uid="{00000000-0005-0000-0000-000049280000}"/>
    <cellStyle name="Comma 3 3 6 17" xfId="10296" xr:uid="{00000000-0005-0000-0000-000068280000}"/>
    <cellStyle name="Comma 3 3 6 18" xfId="10312" xr:uid="{00000000-0005-0000-0000-000078280000}"/>
    <cellStyle name="Comma 3 3 6 2" xfId="13607" xr:uid="{00000000-0005-0000-0000-000057350000}"/>
    <cellStyle name="Comma 3 3 6 2 10" xfId="4372" xr:uid="{00000000-0005-0000-0000-000044110000}"/>
    <cellStyle name="Comma 3 3 6 2 11" xfId="4420" xr:uid="{00000000-0005-0000-0000-000074110000}"/>
    <cellStyle name="Comma 3 3 6 2 12" xfId="4431" xr:uid="{00000000-0005-0000-0000-00007F110000}"/>
    <cellStyle name="Comma 3 3 6 2 13" xfId="4442" xr:uid="{00000000-0005-0000-0000-00008A110000}"/>
    <cellStyle name="Comma 3 3 6 2 14" xfId="4451" xr:uid="{00000000-0005-0000-0000-000093110000}"/>
    <cellStyle name="Comma 3 3 6 2 2" xfId="24999" xr:uid="{00000000-0005-0000-0000-0000D7610000}"/>
    <cellStyle name="Comma 3 3 6 2 2 10" xfId="2329" xr:uid="{00000000-0005-0000-0000-000049090000}"/>
    <cellStyle name="Comma 3 3 6 2 2 2" xfId="25077" xr:uid="{00000000-0005-0000-0000-000025620000}"/>
    <cellStyle name="Comma 3 3 6 2 2 2 2" xfId="25078" xr:uid="{00000000-0005-0000-0000-000026620000}"/>
    <cellStyle name="Comma 3 3 6 2 2 3" xfId="25082" xr:uid="{00000000-0005-0000-0000-00002A620000}"/>
    <cellStyle name="Comma 3 3 6 2 2 4" xfId="25086" xr:uid="{00000000-0005-0000-0000-00002E620000}"/>
    <cellStyle name="Comma 3 3 6 2 2 5" xfId="25088" xr:uid="{00000000-0005-0000-0000-000030620000}"/>
    <cellStyle name="Comma 3 3 6 2 2 6" xfId="25091" xr:uid="{00000000-0005-0000-0000-000033620000}"/>
    <cellStyle name="Comma 3 3 6 2 2 7" xfId="3287" xr:uid="{00000000-0005-0000-0000-0000070D0000}"/>
    <cellStyle name="Comma 3 3 6 2 2 8" xfId="25093" xr:uid="{00000000-0005-0000-0000-000035620000}"/>
    <cellStyle name="Comma 3 3 6 2 2 9" xfId="16104" xr:uid="{00000000-0005-0000-0000-0000183F0000}"/>
    <cellStyle name="Comma 3 3 6 2 3" xfId="25095" xr:uid="{00000000-0005-0000-0000-000037620000}"/>
    <cellStyle name="Comma 3 3 6 2 3 2" xfId="25098" xr:uid="{00000000-0005-0000-0000-00003A620000}"/>
    <cellStyle name="Comma 3 3 6 2 3 3" xfId="25101" xr:uid="{00000000-0005-0000-0000-00003D620000}"/>
    <cellStyle name="Comma 3 3 6 2 3 4" xfId="25103" xr:uid="{00000000-0005-0000-0000-00003F620000}"/>
    <cellStyle name="Comma 3 3 6 2 3 5" xfId="25105" xr:uid="{00000000-0005-0000-0000-000041620000}"/>
    <cellStyle name="Comma 3 3 6 2 3 6" xfId="13648" xr:uid="{00000000-0005-0000-0000-000080350000}"/>
    <cellStyle name="Comma 3 3 6 2 4" xfId="25107" xr:uid="{00000000-0005-0000-0000-000043620000}"/>
    <cellStyle name="Comma 3 3 6 2 4 2" xfId="25112" xr:uid="{00000000-0005-0000-0000-000048620000}"/>
    <cellStyle name="Comma 3 3 6 2 4 3" xfId="25115" xr:uid="{00000000-0005-0000-0000-00004B620000}"/>
    <cellStyle name="Comma 3 3 6 2 4 4" xfId="25117" xr:uid="{00000000-0005-0000-0000-00004D620000}"/>
    <cellStyle name="Comma 3 3 6 2 4 5" xfId="25119" xr:uid="{00000000-0005-0000-0000-00004F620000}"/>
    <cellStyle name="Comma 3 3 6 2 5" xfId="25121" xr:uid="{00000000-0005-0000-0000-000051620000}"/>
    <cellStyle name="Comma 3 3 6 2 6" xfId="25124" xr:uid="{00000000-0005-0000-0000-000054620000}"/>
    <cellStyle name="Comma 3 3 6 2 7" xfId="24857" xr:uid="{00000000-0005-0000-0000-000049610000}"/>
    <cellStyle name="Comma 3 3 6 2 8" xfId="24862" xr:uid="{00000000-0005-0000-0000-00004E610000}"/>
    <cellStyle name="Comma 3 3 6 2 9" xfId="13377" xr:uid="{00000000-0005-0000-0000-000071340000}"/>
    <cellStyle name="Comma 3 3 6 3" xfId="25125" xr:uid="{00000000-0005-0000-0000-000055620000}"/>
    <cellStyle name="Comma 3 3 6 3 10" xfId="4558" xr:uid="{00000000-0005-0000-0000-0000FE110000}"/>
    <cellStyle name="Comma 3 3 6 3 11" xfId="25128" xr:uid="{00000000-0005-0000-0000-000058620000}"/>
    <cellStyle name="Comma 3 3 6 3 12" xfId="25132" xr:uid="{00000000-0005-0000-0000-00005C620000}"/>
    <cellStyle name="Comma 3 3 6 3 2" xfId="25135" xr:uid="{00000000-0005-0000-0000-00005F620000}"/>
    <cellStyle name="Comma 3 3 6 3 2 2" xfId="563" xr:uid="{00000000-0005-0000-0000-000059020000}"/>
    <cellStyle name="Comma 3 3 6 3 2 2 2" xfId="17929" xr:uid="{00000000-0005-0000-0000-000039460000}"/>
    <cellStyle name="Comma 3 3 6 3 2 3" xfId="574" xr:uid="{00000000-0005-0000-0000-000065020000}"/>
    <cellStyle name="Comma 3 3 6 3 2 4" xfId="622" xr:uid="{00000000-0005-0000-0000-000098020000}"/>
    <cellStyle name="Comma 3 3 6 3 2 5" xfId="647" xr:uid="{00000000-0005-0000-0000-0000B4020000}"/>
    <cellStyle name="Comma 3 3 6 3 3" xfId="25136" xr:uid="{00000000-0005-0000-0000-000060620000}"/>
    <cellStyle name="Comma 3 3 6 3 3 2" xfId="25137" xr:uid="{00000000-0005-0000-0000-000061620000}"/>
    <cellStyle name="Comma 3 3 6 3 4" xfId="25138" xr:uid="{00000000-0005-0000-0000-000062620000}"/>
    <cellStyle name="Comma 3 3 6 3 5" xfId="25139" xr:uid="{00000000-0005-0000-0000-000063620000}"/>
    <cellStyle name="Comma 3 3 6 3 6" xfId="25140" xr:uid="{00000000-0005-0000-0000-000064620000}"/>
    <cellStyle name="Comma 3 3 6 3 7" xfId="24865" xr:uid="{00000000-0005-0000-0000-000051610000}"/>
    <cellStyle name="Comma 3 3 6 3 8" xfId="25141" xr:uid="{00000000-0005-0000-0000-000065620000}"/>
    <cellStyle name="Comma 3 3 6 3 9" xfId="25142" xr:uid="{00000000-0005-0000-0000-000066620000}"/>
    <cellStyle name="Comma 3 3 6 4" xfId="25143" xr:uid="{00000000-0005-0000-0000-000067620000}"/>
    <cellStyle name="Comma 3 3 6 4 10" xfId="25146" xr:uid="{00000000-0005-0000-0000-00006A620000}"/>
    <cellStyle name="Comma 3 3 6 4 11" xfId="25147" xr:uid="{00000000-0005-0000-0000-00006B620000}"/>
    <cellStyle name="Comma 3 3 6 4 2" xfId="25148" xr:uid="{00000000-0005-0000-0000-00006C620000}"/>
    <cellStyle name="Comma 3 3 6 4 2 2" xfId="12379" xr:uid="{00000000-0005-0000-0000-00008B300000}"/>
    <cellStyle name="Comma 3 3 6 4 2 2 2" xfId="18386" xr:uid="{00000000-0005-0000-0000-000002480000}"/>
    <cellStyle name="Comma 3 3 6 4 2 3" xfId="12385" xr:uid="{00000000-0005-0000-0000-000091300000}"/>
    <cellStyle name="Comma 3 3 6 4 2 4" xfId="5753" xr:uid="{00000000-0005-0000-0000-0000A9160000}"/>
    <cellStyle name="Comma 3 3 6 4 2 5" xfId="12390" xr:uid="{00000000-0005-0000-0000-000096300000}"/>
    <cellStyle name="Comma 3 3 6 4 3" xfId="25149" xr:uid="{00000000-0005-0000-0000-00006D620000}"/>
    <cellStyle name="Comma 3 3 6 4 3 2" xfId="25150" xr:uid="{00000000-0005-0000-0000-00006E620000}"/>
    <cellStyle name="Comma 3 3 6 4 4" xfId="25151" xr:uid="{00000000-0005-0000-0000-00006F620000}"/>
    <cellStyle name="Comma 3 3 6 4 5" xfId="25152" xr:uid="{00000000-0005-0000-0000-000070620000}"/>
    <cellStyle name="Comma 3 3 6 4 6" xfId="25153" xr:uid="{00000000-0005-0000-0000-000071620000}"/>
    <cellStyle name="Comma 3 3 6 4 7" xfId="25154" xr:uid="{00000000-0005-0000-0000-000072620000}"/>
    <cellStyle name="Comma 3 3 6 4 8" xfId="25155" xr:uid="{00000000-0005-0000-0000-000073620000}"/>
    <cellStyle name="Comma 3 3 6 4 9" xfId="25156" xr:uid="{00000000-0005-0000-0000-000074620000}"/>
    <cellStyle name="Comma 3 3 6 5" xfId="25157" xr:uid="{00000000-0005-0000-0000-000075620000}"/>
    <cellStyle name="Comma 3 3 6 5 10" xfId="25161" xr:uid="{00000000-0005-0000-0000-000079620000}"/>
    <cellStyle name="Comma 3 3 6 5 2" xfId="25163" xr:uid="{00000000-0005-0000-0000-00007B620000}"/>
    <cellStyle name="Comma 3 3 6 5 2 2" xfId="25166" xr:uid="{00000000-0005-0000-0000-00007E620000}"/>
    <cellStyle name="Comma 3 3 6 5 2 2 2" xfId="18324" xr:uid="{00000000-0005-0000-0000-0000C4470000}"/>
    <cellStyle name="Comma 3 3 6 5 2 3" xfId="25170" xr:uid="{00000000-0005-0000-0000-000082620000}"/>
    <cellStyle name="Comma 3 3 6 5 2 4" xfId="25172" xr:uid="{00000000-0005-0000-0000-000084620000}"/>
    <cellStyle name="Comma 3 3 6 5 2 5" xfId="25173" xr:uid="{00000000-0005-0000-0000-000085620000}"/>
    <cellStyle name="Comma 3 3 6 5 3" xfId="25174" xr:uid="{00000000-0005-0000-0000-000086620000}"/>
    <cellStyle name="Comma 3 3 6 5 3 2" xfId="25177" xr:uid="{00000000-0005-0000-0000-000089620000}"/>
    <cellStyle name="Comma 3 3 6 5 4" xfId="25178" xr:uid="{00000000-0005-0000-0000-00008A620000}"/>
    <cellStyle name="Comma 3 3 6 5 5" xfId="7851" xr:uid="{00000000-0005-0000-0000-0000DB1E0000}"/>
    <cellStyle name="Comma 3 3 6 5 6" xfId="7627" xr:uid="{00000000-0005-0000-0000-0000FB1D0000}"/>
    <cellStyle name="Comma 3 3 6 5 7" xfId="1414" xr:uid="{00000000-0005-0000-0000-0000B6050000}"/>
    <cellStyle name="Comma 3 3 6 5 8" xfId="7861" xr:uid="{00000000-0005-0000-0000-0000E51E0000}"/>
    <cellStyle name="Comma 3 3 6 5 9" xfId="25179" xr:uid="{00000000-0005-0000-0000-00008B620000}"/>
    <cellStyle name="Comma 3 3 6 6" xfId="25180" xr:uid="{00000000-0005-0000-0000-00008C620000}"/>
    <cellStyle name="Comma 3 3 6 6 2" xfId="25185" xr:uid="{00000000-0005-0000-0000-000091620000}"/>
    <cellStyle name="Comma 3 3 6 6 2 2" xfId="18608" xr:uid="{00000000-0005-0000-0000-0000E0480000}"/>
    <cellStyle name="Comma 3 3 6 6 3" xfId="25186" xr:uid="{00000000-0005-0000-0000-000092620000}"/>
    <cellStyle name="Comma 3 3 6 6 4" xfId="25187" xr:uid="{00000000-0005-0000-0000-000093620000}"/>
    <cellStyle name="Comma 3 3 6 6 5" xfId="25188" xr:uid="{00000000-0005-0000-0000-000094620000}"/>
    <cellStyle name="Comma 3 3 6 6 6" xfId="25189" xr:uid="{00000000-0005-0000-0000-000095620000}"/>
    <cellStyle name="Comma 3 3 6 6 7" xfId="24658" xr:uid="{00000000-0005-0000-0000-000082600000}"/>
    <cellStyle name="Comma 3 3 6 6 8" xfId="24660" xr:uid="{00000000-0005-0000-0000-000084600000}"/>
    <cellStyle name="Comma 3 3 6 6 9" xfId="24662" xr:uid="{00000000-0005-0000-0000-000086600000}"/>
    <cellStyle name="Comma 3 3 6 7" xfId="25190" xr:uid="{00000000-0005-0000-0000-000096620000}"/>
    <cellStyle name="Comma 3 3 6 7 2" xfId="21417" xr:uid="{00000000-0005-0000-0000-0000D9530000}"/>
    <cellStyle name="Comma 3 3 6 8" xfId="25194" xr:uid="{00000000-0005-0000-0000-00009A620000}"/>
    <cellStyle name="Comma 3 3 6 9" xfId="25198" xr:uid="{00000000-0005-0000-0000-00009E620000}"/>
    <cellStyle name="Comma 3 3 7" xfId="13612" xr:uid="{00000000-0005-0000-0000-00005C350000}"/>
    <cellStyle name="Comma 3 3 7 10" xfId="15758" xr:uid="{00000000-0005-0000-0000-0000BE3D0000}"/>
    <cellStyle name="Comma 3 3 7 11" xfId="15771" xr:uid="{00000000-0005-0000-0000-0000CB3D0000}"/>
    <cellStyle name="Comma 3 3 7 12" xfId="15783" xr:uid="{00000000-0005-0000-0000-0000D73D0000}"/>
    <cellStyle name="Comma 3 3 7 13" xfId="15788" xr:uid="{00000000-0005-0000-0000-0000DC3D0000}"/>
    <cellStyle name="Comma 3 3 7 14" xfId="15793" xr:uid="{00000000-0005-0000-0000-0000E13D0000}"/>
    <cellStyle name="Comma 3 3 7 15" xfId="15798" xr:uid="{00000000-0005-0000-0000-0000E63D0000}"/>
    <cellStyle name="Comma 3 3 7 16" xfId="15805" xr:uid="{00000000-0005-0000-0000-0000ED3D0000}"/>
    <cellStyle name="Comma 3 3 7 17" xfId="23007" xr:uid="{00000000-0005-0000-0000-00000F5A0000}"/>
    <cellStyle name="Comma 3 3 7 18" xfId="23009" xr:uid="{00000000-0005-0000-0000-0000115A0000}"/>
    <cellStyle name="Comma 3 3 7 2" xfId="25203" xr:uid="{00000000-0005-0000-0000-0000A3620000}"/>
    <cellStyle name="Comma 3 3 7 2 10" xfId="25209" xr:uid="{00000000-0005-0000-0000-0000A9620000}"/>
    <cellStyle name="Comma 3 3 7 2 2" xfId="25033" xr:uid="{00000000-0005-0000-0000-0000F9610000}"/>
    <cellStyle name="Comma 3 3 7 2 2 2" xfId="3393" xr:uid="{00000000-0005-0000-0000-0000710D0000}"/>
    <cellStyle name="Comma 3 3 7 2 3" xfId="18069" xr:uid="{00000000-0005-0000-0000-0000C5460000}"/>
    <cellStyle name="Comma 3 3 7 2 4" xfId="18083" xr:uid="{00000000-0005-0000-0000-0000D3460000}"/>
    <cellStyle name="Comma 3 3 7 2 5" xfId="18100" xr:uid="{00000000-0005-0000-0000-0000E4460000}"/>
    <cellStyle name="Comma 3 3 7 2 6" xfId="18112" xr:uid="{00000000-0005-0000-0000-0000F0460000}"/>
    <cellStyle name="Comma 3 3 7 2 7" xfId="18123" xr:uid="{00000000-0005-0000-0000-0000FB460000}"/>
    <cellStyle name="Comma 3 3 7 2 8" xfId="18130" xr:uid="{00000000-0005-0000-0000-000002470000}"/>
    <cellStyle name="Comma 3 3 7 2 9" xfId="18141" xr:uid="{00000000-0005-0000-0000-00000D470000}"/>
    <cellStyle name="Comma 3 3 7 3" xfId="25211" xr:uid="{00000000-0005-0000-0000-0000AB620000}"/>
    <cellStyle name="Comma 3 3 7 3 2" xfId="25216" xr:uid="{00000000-0005-0000-0000-0000B0620000}"/>
    <cellStyle name="Comma 3 3 7 3 3" xfId="18150" xr:uid="{00000000-0005-0000-0000-000016470000}"/>
    <cellStyle name="Comma 3 3 7 3 4" xfId="18162" xr:uid="{00000000-0005-0000-0000-000022470000}"/>
    <cellStyle name="Comma 3 3 7 3 5" xfId="18176" xr:uid="{00000000-0005-0000-0000-000030470000}"/>
    <cellStyle name="Comma 3 3 7 3 6" xfId="18183" xr:uid="{00000000-0005-0000-0000-000037470000}"/>
    <cellStyle name="Comma 3 3 7 4" xfId="25218" xr:uid="{00000000-0005-0000-0000-0000B2620000}"/>
    <cellStyle name="Comma 3 3 7 4 2" xfId="25225" xr:uid="{00000000-0005-0000-0000-0000B9620000}"/>
    <cellStyle name="Comma 3 3 7 4 3" xfId="18192" xr:uid="{00000000-0005-0000-0000-000040470000}"/>
    <cellStyle name="Comma 3 3 7 4 4" xfId="18198" xr:uid="{00000000-0005-0000-0000-000046470000}"/>
    <cellStyle name="Comma 3 3 7 4 5" xfId="18203" xr:uid="{00000000-0005-0000-0000-00004B470000}"/>
    <cellStyle name="Comma 3 3 7 4 6" xfId="18208" xr:uid="{00000000-0005-0000-0000-000050470000}"/>
    <cellStyle name="Comma 3 3 7 5" xfId="25227" xr:uid="{00000000-0005-0000-0000-0000BB620000}"/>
    <cellStyle name="Comma 3 3 7 5 2" xfId="25232" xr:uid="{00000000-0005-0000-0000-0000C0620000}"/>
    <cellStyle name="Comma 3 3 7 5 3" xfId="18217" xr:uid="{00000000-0005-0000-0000-000059470000}"/>
    <cellStyle name="Comma 3 3 7 5 4" xfId="18224" xr:uid="{00000000-0005-0000-0000-000060470000}"/>
    <cellStyle name="Comma 3 3 7 5 5" xfId="18230" xr:uid="{00000000-0005-0000-0000-000066470000}"/>
    <cellStyle name="Comma 3 3 7 5 6" xfId="18236" xr:uid="{00000000-0005-0000-0000-00006C470000}"/>
    <cellStyle name="Comma 3 3 7 6" xfId="25234" xr:uid="{00000000-0005-0000-0000-0000C2620000}"/>
    <cellStyle name="Comma 3 3 7 6 2" xfId="25238" xr:uid="{00000000-0005-0000-0000-0000C6620000}"/>
    <cellStyle name="Comma 3 3 7 6 3" xfId="18247" xr:uid="{00000000-0005-0000-0000-000077470000}"/>
    <cellStyle name="Comma 3 3 7 6 4" xfId="18248" xr:uid="{00000000-0005-0000-0000-000078470000}"/>
    <cellStyle name="Comma 3 3 7 6 5" xfId="18251" xr:uid="{00000000-0005-0000-0000-00007B470000}"/>
    <cellStyle name="Comma 3 3 7 6 6" xfId="18254" xr:uid="{00000000-0005-0000-0000-00007E470000}"/>
    <cellStyle name="Comma 3 3 7 7" xfId="25240" xr:uid="{00000000-0005-0000-0000-0000C8620000}"/>
    <cellStyle name="Comma 3 3 7 8" xfId="25244" xr:uid="{00000000-0005-0000-0000-0000CC620000}"/>
    <cellStyle name="Comma 3 3 7 9" xfId="25247" xr:uid="{00000000-0005-0000-0000-0000CF620000}"/>
    <cellStyle name="Comma 3 3 8" xfId="13616" xr:uid="{00000000-0005-0000-0000-000060350000}"/>
    <cellStyle name="Comma 3 3 8 10" xfId="25250" xr:uid="{00000000-0005-0000-0000-0000D2620000}"/>
    <cellStyle name="Comma 3 3 8 11" xfId="25252" xr:uid="{00000000-0005-0000-0000-0000D4620000}"/>
    <cellStyle name="Comma 3 3 8 12" xfId="3173" xr:uid="{00000000-0005-0000-0000-0000950C0000}"/>
    <cellStyle name="Comma 3 3 8 13" xfId="25257" xr:uid="{00000000-0005-0000-0000-0000D9620000}"/>
    <cellStyle name="Comma 3 3 8 14" xfId="7906" xr:uid="{00000000-0005-0000-0000-0000121F0000}"/>
    <cellStyle name="Comma 3 3 8 15" xfId="7915" xr:uid="{00000000-0005-0000-0000-00001B1F0000}"/>
    <cellStyle name="Comma 3 3 8 16" xfId="7928" xr:uid="{00000000-0005-0000-0000-0000281F0000}"/>
    <cellStyle name="Comma 3 3 8 17" xfId="7932" xr:uid="{00000000-0005-0000-0000-00002C1F0000}"/>
    <cellStyle name="Comma 3 3 8 18" xfId="7941" xr:uid="{00000000-0005-0000-0000-0000351F0000}"/>
    <cellStyle name="Comma 3 3 8 2" xfId="25260" xr:uid="{00000000-0005-0000-0000-0000DC620000}"/>
    <cellStyle name="Comma 3 3 8 2 10" xfId="25261" xr:uid="{00000000-0005-0000-0000-0000DD620000}"/>
    <cellStyle name="Comma 3 3 8 2 2" xfId="25050" xr:uid="{00000000-0005-0000-0000-00000A620000}"/>
    <cellStyle name="Comma 3 3 8 2 2 2" xfId="3041" xr:uid="{00000000-0005-0000-0000-0000110C0000}"/>
    <cellStyle name="Comma 3 3 8 2 3" xfId="18616" xr:uid="{00000000-0005-0000-0000-0000E8480000}"/>
    <cellStyle name="Comma 3 3 8 2 4" xfId="18620" xr:uid="{00000000-0005-0000-0000-0000EC480000}"/>
    <cellStyle name="Comma 3 3 8 2 5" xfId="18634" xr:uid="{00000000-0005-0000-0000-0000FA480000}"/>
    <cellStyle name="Comma 3 3 8 2 6" xfId="18640" xr:uid="{00000000-0005-0000-0000-000000490000}"/>
    <cellStyle name="Comma 3 3 8 2 7" xfId="18648" xr:uid="{00000000-0005-0000-0000-000008490000}"/>
    <cellStyle name="Comma 3 3 8 2 8" xfId="18652" xr:uid="{00000000-0005-0000-0000-00000C490000}"/>
    <cellStyle name="Comma 3 3 8 2 9" xfId="16522" xr:uid="{00000000-0005-0000-0000-0000BA400000}"/>
    <cellStyle name="Comma 3 3 8 3" xfId="25263" xr:uid="{00000000-0005-0000-0000-0000DF620000}"/>
    <cellStyle name="Comma 3 3 8 3 2" xfId="25269" xr:uid="{00000000-0005-0000-0000-0000E5620000}"/>
    <cellStyle name="Comma 3 3 8 3 3" xfId="18659" xr:uid="{00000000-0005-0000-0000-000013490000}"/>
    <cellStyle name="Comma 3 3 8 3 4" xfId="18668" xr:uid="{00000000-0005-0000-0000-00001C490000}"/>
    <cellStyle name="Comma 3 3 8 3 5" xfId="18692" xr:uid="{00000000-0005-0000-0000-000034490000}"/>
    <cellStyle name="Comma 3 3 8 3 6" xfId="14407" xr:uid="{00000000-0005-0000-0000-000077380000}"/>
    <cellStyle name="Comma 3 3 8 4" xfId="25271" xr:uid="{00000000-0005-0000-0000-0000E7620000}"/>
    <cellStyle name="Comma 3 3 8 4 2" xfId="25273" xr:uid="{00000000-0005-0000-0000-0000E9620000}"/>
    <cellStyle name="Comma 3 3 8 4 3" xfId="18700" xr:uid="{00000000-0005-0000-0000-00003C490000}"/>
    <cellStyle name="Comma 3 3 8 4 4" xfId="18707" xr:uid="{00000000-0005-0000-0000-000043490000}"/>
    <cellStyle name="Comma 3 3 8 4 5" xfId="18711" xr:uid="{00000000-0005-0000-0000-000047490000}"/>
    <cellStyle name="Comma 3 3 8 4 6" xfId="18718" xr:uid="{00000000-0005-0000-0000-00004E490000}"/>
    <cellStyle name="Comma 3 3 8 5" xfId="25275" xr:uid="{00000000-0005-0000-0000-0000EB620000}"/>
    <cellStyle name="Comma 3 3 8 5 2" xfId="20686" xr:uid="{00000000-0005-0000-0000-0000FE500000}"/>
    <cellStyle name="Comma 3 3 8 5 3" xfId="18729" xr:uid="{00000000-0005-0000-0000-000059490000}"/>
    <cellStyle name="Comma 3 3 8 5 4" xfId="18737" xr:uid="{00000000-0005-0000-0000-000061490000}"/>
    <cellStyle name="Comma 3 3 8 5 5" xfId="18744" xr:uid="{00000000-0005-0000-0000-000068490000}"/>
    <cellStyle name="Comma 3 3 8 5 6" xfId="18751" xr:uid="{00000000-0005-0000-0000-00006F490000}"/>
    <cellStyle name="Comma 3 3 8 6" xfId="25281" xr:uid="{00000000-0005-0000-0000-0000F1620000}"/>
    <cellStyle name="Comma 3 3 8 6 2" xfId="25284" xr:uid="{00000000-0005-0000-0000-0000F4620000}"/>
    <cellStyle name="Comma 3 3 8 6 3" xfId="18760" xr:uid="{00000000-0005-0000-0000-000078490000}"/>
    <cellStyle name="Comma 3 3 8 6 4" xfId="4285" xr:uid="{00000000-0005-0000-0000-0000ED100000}"/>
    <cellStyle name="Comma 3 3 8 6 5" xfId="12594" xr:uid="{00000000-0005-0000-0000-000062310000}"/>
    <cellStyle name="Comma 3 3 8 6 6" xfId="12599" xr:uid="{00000000-0005-0000-0000-000067310000}"/>
    <cellStyle name="Comma 3 3 8 7" xfId="25290" xr:uid="{00000000-0005-0000-0000-0000FA620000}"/>
    <cellStyle name="Comma 3 3 8 8" xfId="25295" xr:uid="{00000000-0005-0000-0000-0000FF620000}"/>
    <cellStyle name="Comma 3 3 8 9" xfId="25299" xr:uid="{00000000-0005-0000-0000-000003630000}"/>
    <cellStyle name="Comma 3 3 9" xfId="13619" xr:uid="{00000000-0005-0000-0000-000063350000}"/>
    <cellStyle name="Comma 3 3 9 10" xfId="2210" xr:uid="{00000000-0005-0000-0000-0000D2080000}"/>
    <cellStyle name="Comma 3 3 9 11" xfId="2231" xr:uid="{00000000-0005-0000-0000-0000E7080000}"/>
    <cellStyle name="Comma 3 3 9 12" xfId="2255" xr:uid="{00000000-0005-0000-0000-0000FF080000}"/>
    <cellStyle name="Comma 3 3 9 13" xfId="12799" xr:uid="{00000000-0005-0000-0000-00002F320000}"/>
    <cellStyle name="Comma 3 3 9 14" xfId="25300" xr:uid="{00000000-0005-0000-0000-000004630000}"/>
    <cellStyle name="Comma 3 3 9 15" xfId="25301" xr:uid="{00000000-0005-0000-0000-000005630000}"/>
    <cellStyle name="Comma 3 3 9 2" xfId="25304" xr:uid="{00000000-0005-0000-0000-000008630000}"/>
    <cellStyle name="Comma 3 3 9 2 2" xfId="12728" xr:uid="{00000000-0005-0000-0000-0000E8310000}"/>
    <cellStyle name="Comma 3 3 9 2 2 2" xfId="20735" xr:uid="{00000000-0005-0000-0000-00002F510000}"/>
    <cellStyle name="Comma 3 3 9 2 3" xfId="12731" xr:uid="{00000000-0005-0000-0000-0000EB310000}"/>
    <cellStyle name="Comma 3 3 9 2 4" xfId="12736" xr:uid="{00000000-0005-0000-0000-0000F0310000}"/>
    <cellStyle name="Comma 3 3 9 2 5" xfId="12741" xr:uid="{00000000-0005-0000-0000-0000F5310000}"/>
    <cellStyle name="Comma 3 3 9 2 6" xfId="3809" xr:uid="{00000000-0005-0000-0000-0000110F0000}"/>
    <cellStyle name="Comma 3 3 9 2 7" xfId="19066" xr:uid="{00000000-0005-0000-0000-0000AA4A0000}"/>
    <cellStyle name="Comma 3 3 9 2 8" xfId="15240" xr:uid="{00000000-0005-0000-0000-0000B83B0000}"/>
    <cellStyle name="Comma 3 3 9 2 9" xfId="15246" xr:uid="{00000000-0005-0000-0000-0000BE3B0000}"/>
    <cellStyle name="Comma 3 3 9 3" xfId="25306" xr:uid="{00000000-0005-0000-0000-00000A630000}"/>
    <cellStyle name="Comma 3 3 9 3 2" xfId="8815" xr:uid="{00000000-0005-0000-0000-00009F220000}"/>
    <cellStyle name="Comma 3 3 9 3 3" xfId="12746" xr:uid="{00000000-0005-0000-0000-0000FA310000}"/>
    <cellStyle name="Comma 3 3 9 3 4" xfId="12751" xr:uid="{00000000-0005-0000-0000-0000FF310000}"/>
    <cellStyle name="Comma 3 3 9 3 5" xfId="12756" xr:uid="{00000000-0005-0000-0000-000004320000}"/>
    <cellStyle name="Comma 3 3 9 3 6" xfId="3846" xr:uid="{00000000-0005-0000-0000-0000360F0000}"/>
    <cellStyle name="Comma 3 3 9 4" xfId="25308" xr:uid="{00000000-0005-0000-0000-00000C630000}"/>
    <cellStyle name="Comma 3 3 9 4 2" xfId="25309" xr:uid="{00000000-0005-0000-0000-00000D630000}"/>
    <cellStyle name="Comma 3 3 9 5" xfId="25311" xr:uid="{00000000-0005-0000-0000-00000F630000}"/>
    <cellStyle name="Comma 3 3 9 6" xfId="25316" xr:uid="{00000000-0005-0000-0000-000014630000}"/>
    <cellStyle name="Comma 3 3 9 7" xfId="25322" xr:uid="{00000000-0005-0000-0000-00001A630000}"/>
    <cellStyle name="Comma 3 3 9 8" xfId="25327" xr:uid="{00000000-0005-0000-0000-00001F630000}"/>
    <cellStyle name="Comma 3 3 9 9" xfId="19271" xr:uid="{00000000-0005-0000-0000-0000774B0000}"/>
    <cellStyle name="Comma 3 30" xfId="23313" xr:uid="{00000000-0005-0000-0000-0000415B0000}"/>
    <cellStyle name="Comma 3 4" xfId="526" xr:uid="{00000000-0005-0000-0000-000031020000}"/>
    <cellStyle name="Comma 3 4 10" xfId="25328" xr:uid="{00000000-0005-0000-0000-000020630000}"/>
    <cellStyle name="Comma 3 4 10 2" xfId="14955" xr:uid="{00000000-0005-0000-0000-00009B3A0000}"/>
    <cellStyle name="Comma 3 4 10 2 2" xfId="25330" xr:uid="{00000000-0005-0000-0000-000022630000}"/>
    <cellStyle name="Comma 3 4 10 3" xfId="5804" xr:uid="{00000000-0005-0000-0000-0000DC160000}"/>
    <cellStyle name="Comma 3 4 10 4" xfId="25331" xr:uid="{00000000-0005-0000-0000-000023630000}"/>
    <cellStyle name="Comma 3 4 10 5" xfId="828" xr:uid="{00000000-0005-0000-0000-00006C030000}"/>
    <cellStyle name="Comma 3 4 10 6" xfId="25333" xr:uid="{00000000-0005-0000-0000-000025630000}"/>
    <cellStyle name="Comma 3 4 10 7" xfId="25335" xr:uid="{00000000-0005-0000-0000-000027630000}"/>
    <cellStyle name="Comma 3 4 10 8" xfId="25337" xr:uid="{00000000-0005-0000-0000-000029630000}"/>
    <cellStyle name="Comma 3 4 10 9" xfId="5906" xr:uid="{00000000-0005-0000-0000-000042170000}"/>
    <cellStyle name="Comma 3 4 11" xfId="25338" xr:uid="{00000000-0005-0000-0000-00002A630000}"/>
    <cellStyle name="Comma 3 4 11 2" xfId="25339" xr:uid="{00000000-0005-0000-0000-00002B630000}"/>
    <cellStyle name="Comma 3 4 11 3" xfId="5828" xr:uid="{00000000-0005-0000-0000-0000F4160000}"/>
    <cellStyle name="Comma 3 4 11 4" xfId="25344" xr:uid="{00000000-0005-0000-0000-000030630000}"/>
    <cellStyle name="Comma 3 4 11 5" xfId="431" xr:uid="{00000000-0005-0000-0000-0000CA010000}"/>
    <cellStyle name="Comma 3 4 11 6" xfId="25349" xr:uid="{00000000-0005-0000-0000-000035630000}"/>
    <cellStyle name="Comma 3 4 12" xfId="25352" xr:uid="{00000000-0005-0000-0000-000038630000}"/>
    <cellStyle name="Comma 3 4 12 2" xfId="25353" xr:uid="{00000000-0005-0000-0000-000039630000}"/>
    <cellStyle name="Comma 3 4 12 3" xfId="5843" xr:uid="{00000000-0005-0000-0000-000003170000}"/>
    <cellStyle name="Comma 3 4 12 4" xfId="25356" xr:uid="{00000000-0005-0000-0000-00003C630000}"/>
    <cellStyle name="Comma 3 4 12 5" xfId="913" xr:uid="{00000000-0005-0000-0000-0000C1030000}"/>
    <cellStyle name="Comma 3 4 12 6" xfId="25359" xr:uid="{00000000-0005-0000-0000-00003F630000}"/>
    <cellStyle name="Comma 3 4 13" xfId="25361" xr:uid="{00000000-0005-0000-0000-000041630000}"/>
    <cellStyle name="Comma 3 4 13 2" xfId="25363" xr:uid="{00000000-0005-0000-0000-000043630000}"/>
    <cellStyle name="Comma 3 4 13 3" xfId="5852" xr:uid="{00000000-0005-0000-0000-00000C170000}"/>
    <cellStyle name="Comma 3 4 13 4" xfId="22700" xr:uid="{00000000-0005-0000-0000-0000DC580000}"/>
    <cellStyle name="Comma 3 4 13 5" xfId="925" xr:uid="{00000000-0005-0000-0000-0000CD030000}"/>
    <cellStyle name="Comma 3 4 13 6" xfId="22705" xr:uid="{00000000-0005-0000-0000-0000E1580000}"/>
    <cellStyle name="Comma 3 4 14" xfId="25365" xr:uid="{00000000-0005-0000-0000-000045630000}"/>
    <cellStyle name="Comma 3 4 14 2" xfId="25367" xr:uid="{00000000-0005-0000-0000-000047630000}"/>
    <cellStyle name="Comma 3 4 14 3" xfId="5861" xr:uid="{00000000-0005-0000-0000-000015170000}"/>
    <cellStyle name="Comma 3 4 14 4" xfId="22718" xr:uid="{00000000-0005-0000-0000-0000EE580000}"/>
    <cellStyle name="Comma 3 4 14 5" xfId="931" xr:uid="{00000000-0005-0000-0000-0000D3030000}"/>
    <cellStyle name="Comma 3 4 14 6" xfId="3573" xr:uid="{00000000-0005-0000-0000-0000250E0000}"/>
    <cellStyle name="Comma 3 4 15" xfId="25370" xr:uid="{00000000-0005-0000-0000-00004A630000}"/>
    <cellStyle name="Comma 3 4 16" xfId="25373" xr:uid="{00000000-0005-0000-0000-00004D630000}"/>
    <cellStyle name="Comma 3 4 17" xfId="25376" xr:uid="{00000000-0005-0000-0000-000050630000}"/>
    <cellStyle name="Comma 3 4 18" xfId="25378" xr:uid="{00000000-0005-0000-0000-000052630000}"/>
    <cellStyle name="Comma 3 4 19" xfId="25380" xr:uid="{00000000-0005-0000-0000-000054630000}"/>
    <cellStyle name="Comma 3 4 2" xfId="18607" xr:uid="{00000000-0005-0000-0000-0000DF480000}"/>
    <cellStyle name="Comma 3 4 2 10" xfId="25381" xr:uid="{00000000-0005-0000-0000-000055630000}"/>
    <cellStyle name="Comma 3 4 2 10 2" xfId="18941" xr:uid="{00000000-0005-0000-0000-00002D4A0000}"/>
    <cellStyle name="Comma 3 4 2 10 3" xfId="18947" xr:uid="{00000000-0005-0000-0000-0000334A0000}"/>
    <cellStyle name="Comma 3 4 2 10 4" xfId="25385" xr:uid="{00000000-0005-0000-0000-000059630000}"/>
    <cellStyle name="Comma 3 4 2 10 5" xfId="25387" xr:uid="{00000000-0005-0000-0000-00005B630000}"/>
    <cellStyle name="Comma 3 4 2 10 6" xfId="25390" xr:uid="{00000000-0005-0000-0000-00005E630000}"/>
    <cellStyle name="Comma 3 4 2 11" xfId="25391" xr:uid="{00000000-0005-0000-0000-00005F630000}"/>
    <cellStyle name="Comma 3 4 2 11 2" xfId="18950" xr:uid="{00000000-0005-0000-0000-0000364A0000}"/>
    <cellStyle name="Comma 3 4 2 11 3" xfId="18953" xr:uid="{00000000-0005-0000-0000-0000394A0000}"/>
    <cellStyle name="Comma 3 4 2 11 4" xfId="6190" xr:uid="{00000000-0005-0000-0000-00005E180000}"/>
    <cellStyle name="Comma 3 4 2 11 5" xfId="25393" xr:uid="{00000000-0005-0000-0000-000061630000}"/>
    <cellStyle name="Comma 3 4 2 11 6" xfId="25397" xr:uid="{00000000-0005-0000-0000-000065630000}"/>
    <cellStyle name="Comma 3 4 2 12" xfId="25398" xr:uid="{00000000-0005-0000-0000-000066630000}"/>
    <cellStyle name="Comma 3 4 2 13" xfId="25399" xr:uid="{00000000-0005-0000-0000-000067630000}"/>
    <cellStyle name="Comma 3 4 2 14" xfId="25400" xr:uid="{00000000-0005-0000-0000-000068630000}"/>
    <cellStyle name="Comma 3 4 2 15" xfId="25402" xr:uid="{00000000-0005-0000-0000-00006A630000}"/>
    <cellStyle name="Comma 3 4 2 16" xfId="25404" xr:uid="{00000000-0005-0000-0000-00006C630000}"/>
    <cellStyle name="Comma 3 4 2 17" xfId="25409" xr:uid="{00000000-0005-0000-0000-000071630000}"/>
    <cellStyle name="Comma 3 4 2 18" xfId="25413" xr:uid="{00000000-0005-0000-0000-000075630000}"/>
    <cellStyle name="Comma 3 4 2 19" xfId="25415" xr:uid="{00000000-0005-0000-0000-000077630000}"/>
    <cellStyle name="Comma 3 4 2 2" xfId="21659" xr:uid="{00000000-0005-0000-0000-0000CB540000}"/>
    <cellStyle name="Comma 3 4 2 2 10" xfId="8621" xr:uid="{00000000-0005-0000-0000-0000DD210000}"/>
    <cellStyle name="Comma 3 4 2 2 11" xfId="8632" xr:uid="{00000000-0005-0000-0000-0000E8210000}"/>
    <cellStyle name="Comma 3 4 2 2 12" xfId="1344" xr:uid="{00000000-0005-0000-0000-000070050000}"/>
    <cellStyle name="Comma 3 4 2 2 13" xfId="1532" xr:uid="{00000000-0005-0000-0000-00002C060000}"/>
    <cellStyle name="Comma 3 4 2 2 14" xfId="11197" xr:uid="{00000000-0005-0000-0000-0000ED2B0000}"/>
    <cellStyle name="Comma 3 4 2 2 15" xfId="13473" xr:uid="{00000000-0005-0000-0000-0000D1340000}"/>
    <cellStyle name="Comma 3 4 2 2 16" xfId="25419" xr:uid="{00000000-0005-0000-0000-00007B630000}"/>
    <cellStyle name="Comma 3 4 2 2 17" xfId="25423" xr:uid="{00000000-0005-0000-0000-00007F630000}"/>
    <cellStyle name="Comma 3 4 2 2 18" xfId="25426" xr:uid="{00000000-0005-0000-0000-000082630000}"/>
    <cellStyle name="Comma 3 4 2 2 2" xfId="25427" xr:uid="{00000000-0005-0000-0000-000083630000}"/>
    <cellStyle name="Comma 3 4 2 2 2 10" xfId="25429" xr:uid="{00000000-0005-0000-0000-000085630000}"/>
    <cellStyle name="Comma 3 4 2 2 2 11" xfId="25430" xr:uid="{00000000-0005-0000-0000-000086630000}"/>
    <cellStyle name="Comma 3 4 2 2 2 12" xfId="25431" xr:uid="{00000000-0005-0000-0000-000087630000}"/>
    <cellStyle name="Comma 3 4 2 2 2 2" xfId="11469" xr:uid="{00000000-0005-0000-0000-0000FD2C0000}"/>
    <cellStyle name="Comma 3 4 2 2 2 2 2" xfId="25343" xr:uid="{00000000-0005-0000-0000-00002F630000}"/>
    <cellStyle name="Comma 3 4 2 2 2 2 2 2" xfId="25433" xr:uid="{00000000-0005-0000-0000-000089630000}"/>
    <cellStyle name="Comma 3 4 2 2 2 2 3" xfId="430" xr:uid="{00000000-0005-0000-0000-0000C9010000}"/>
    <cellStyle name="Comma 3 4 2 2 2 2 4" xfId="25351" xr:uid="{00000000-0005-0000-0000-000037630000}"/>
    <cellStyle name="Comma 3 4 2 2 2 2 5" xfId="25435" xr:uid="{00000000-0005-0000-0000-00008B630000}"/>
    <cellStyle name="Comma 3 4 2 2 2 3" xfId="1196" xr:uid="{00000000-0005-0000-0000-0000DC040000}"/>
    <cellStyle name="Comma 3 4 2 2 2 3 2" xfId="25355" xr:uid="{00000000-0005-0000-0000-00003B630000}"/>
    <cellStyle name="Comma 3 4 2 2 2 4" xfId="11471" xr:uid="{00000000-0005-0000-0000-0000FF2C0000}"/>
    <cellStyle name="Comma 3 4 2 2 2 5" xfId="22715" xr:uid="{00000000-0005-0000-0000-0000EB580000}"/>
    <cellStyle name="Comma 3 4 2 2 2 6" xfId="22719" xr:uid="{00000000-0005-0000-0000-0000EF580000}"/>
    <cellStyle name="Comma 3 4 2 2 2 7" xfId="22724" xr:uid="{00000000-0005-0000-0000-0000F4580000}"/>
    <cellStyle name="Comma 3 4 2 2 2 8" xfId="22727" xr:uid="{00000000-0005-0000-0000-0000F7580000}"/>
    <cellStyle name="Comma 3 4 2 2 2 9" xfId="22730" xr:uid="{00000000-0005-0000-0000-0000FA580000}"/>
    <cellStyle name="Comma 3 4 2 2 3" xfId="8097" xr:uid="{00000000-0005-0000-0000-0000D11F0000}"/>
    <cellStyle name="Comma 3 4 2 2 3 10" xfId="6668" xr:uid="{00000000-0005-0000-0000-00003C1A0000}"/>
    <cellStyle name="Comma 3 4 2 2 3 11" xfId="8193" xr:uid="{00000000-0005-0000-0000-000031200000}"/>
    <cellStyle name="Comma 3 4 2 2 3 12" xfId="11986" xr:uid="{00000000-0005-0000-0000-0000022F0000}"/>
    <cellStyle name="Comma 3 4 2 2 3 2" xfId="11487" xr:uid="{00000000-0005-0000-0000-00000F2D0000}"/>
    <cellStyle name="Comma 3 4 2 2 3 2 2" xfId="25438" xr:uid="{00000000-0005-0000-0000-00008E630000}"/>
    <cellStyle name="Comma 3 4 2 2 3 2 2 2" xfId="23497" xr:uid="{00000000-0005-0000-0000-0000F95B0000}"/>
    <cellStyle name="Comma 3 4 2 2 3 2 3" xfId="25441" xr:uid="{00000000-0005-0000-0000-000091630000}"/>
    <cellStyle name="Comma 3 4 2 2 3 2 4" xfId="25444" xr:uid="{00000000-0005-0000-0000-000094630000}"/>
    <cellStyle name="Comma 3 4 2 2 3 2 5" xfId="25445" xr:uid="{00000000-0005-0000-0000-000095630000}"/>
    <cellStyle name="Comma 3 4 2 2 3 3" xfId="11490" xr:uid="{00000000-0005-0000-0000-0000122D0000}"/>
    <cellStyle name="Comma 3 4 2 2 3 3 2" xfId="25449" xr:uid="{00000000-0005-0000-0000-000099630000}"/>
    <cellStyle name="Comma 3 4 2 2 3 4" xfId="11492" xr:uid="{00000000-0005-0000-0000-0000142D0000}"/>
    <cellStyle name="Comma 3 4 2 2 3 5" xfId="16912" xr:uid="{00000000-0005-0000-0000-000040420000}"/>
    <cellStyle name="Comma 3 4 2 2 3 6" xfId="12425" xr:uid="{00000000-0005-0000-0000-0000B9300000}"/>
    <cellStyle name="Comma 3 4 2 2 3 7" xfId="12432" xr:uid="{00000000-0005-0000-0000-0000C0300000}"/>
    <cellStyle name="Comma 3 4 2 2 3 8" xfId="12440" xr:uid="{00000000-0005-0000-0000-0000C8300000}"/>
    <cellStyle name="Comma 3 4 2 2 3 9" xfId="12447" xr:uid="{00000000-0005-0000-0000-0000CF300000}"/>
    <cellStyle name="Comma 3 4 2 2 4" xfId="25450" xr:uid="{00000000-0005-0000-0000-00009A630000}"/>
    <cellStyle name="Comma 3 4 2 2 4 10" xfId="19403" xr:uid="{00000000-0005-0000-0000-0000FB4B0000}"/>
    <cellStyle name="Comma 3 4 2 2 4 2" xfId="8242" xr:uid="{00000000-0005-0000-0000-000062200000}"/>
    <cellStyle name="Comma 3 4 2 2 4 2 2" xfId="6558" xr:uid="{00000000-0005-0000-0000-0000CE190000}"/>
    <cellStyle name="Comma 3 4 2 2 4 2 2 2" xfId="3087" xr:uid="{00000000-0005-0000-0000-00003F0C0000}"/>
    <cellStyle name="Comma 3 4 2 2 4 2 3" xfId="6431" xr:uid="{00000000-0005-0000-0000-00004F190000}"/>
    <cellStyle name="Comma 3 4 2 2 4 2 4" xfId="6449" xr:uid="{00000000-0005-0000-0000-000061190000}"/>
    <cellStyle name="Comma 3 4 2 2 4 2 5" xfId="8244" xr:uid="{00000000-0005-0000-0000-000064200000}"/>
    <cellStyle name="Comma 3 4 2 2 4 3" xfId="8246" xr:uid="{00000000-0005-0000-0000-000066200000}"/>
    <cellStyle name="Comma 3 4 2 2 4 3 2" xfId="8248" xr:uid="{00000000-0005-0000-0000-000068200000}"/>
    <cellStyle name="Comma 3 4 2 2 4 4" xfId="4232" xr:uid="{00000000-0005-0000-0000-0000B8100000}"/>
    <cellStyle name="Comma 3 4 2 2 4 5" xfId="2756" xr:uid="{00000000-0005-0000-0000-0000F40A0000}"/>
    <cellStyle name="Comma 3 4 2 2 4 6" xfId="8256" xr:uid="{00000000-0005-0000-0000-000070200000}"/>
    <cellStyle name="Comma 3 4 2 2 4 7" xfId="8267" xr:uid="{00000000-0005-0000-0000-00007B200000}"/>
    <cellStyle name="Comma 3 4 2 2 4 8" xfId="8277" xr:uid="{00000000-0005-0000-0000-000085200000}"/>
    <cellStyle name="Comma 3 4 2 2 4 9" xfId="6874" xr:uid="{00000000-0005-0000-0000-00000A1B0000}"/>
    <cellStyle name="Comma 3 4 2 2 5" xfId="8108" xr:uid="{00000000-0005-0000-0000-0000DC1F0000}"/>
    <cellStyle name="Comma 3 4 2 2 5 10" xfId="25454" xr:uid="{00000000-0005-0000-0000-00009E630000}"/>
    <cellStyle name="Comma 3 4 2 2 5 2" xfId="25456" xr:uid="{00000000-0005-0000-0000-0000A0630000}"/>
    <cellStyle name="Comma 3 4 2 2 5 2 2" xfId="10113" xr:uid="{00000000-0005-0000-0000-0000B1270000}"/>
    <cellStyle name="Comma 3 4 2 2 5 2 2 2" xfId="25457" xr:uid="{00000000-0005-0000-0000-0000A1630000}"/>
    <cellStyle name="Comma 3 4 2 2 5 2 3" xfId="10125" xr:uid="{00000000-0005-0000-0000-0000BD270000}"/>
    <cellStyle name="Comma 3 4 2 2 5 2 4" xfId="25459" xr:uid="{00000000-0005-0000-0000-0000A3630000}"/>
    <cellStyle name="Comma 3 4 2 2 5 2 5" xfId="11206" xr:uid="{00000000-0005-0000-0000-0000F62B0000}"/>
    <cellStyle name="Comma 3 4 2 2 5 3" xfId="25464" xr:uid="{00000000-0005-0000-0000-0000A8630000}"/>
    <cellStyle name="Comma 3 4 2 2 5 3 2" xfId="25466" xr:uid="{00000000-0005-0000-0000-0000AA630000}"/>
    <cellStyle name="Comma 3 4 2 2 5 4" xfId="25468" xr:uid="{00000000-0005-0000-0000-0000AC630000}"/>
    <cellStyle name="Comma 3 4 2 2 5 5" xfId="16922" xr:uid="{00000000-0005-0000-0000-00004A420000}"/>
    <cellStyle name="Comma 3 4 2 2 5 6" xfId="25470" xr:uid="{00000000-0005-0000-0000-0000AE630000}"/>
    <cellStyle name="Comma 3 4 2 2 5 7" xfId="25472" xr:uid="{00000000-0005-0000-0000-0000B0630000}"/>
    <cellStyle name="Comma 3 4 2 2 5 8" xfId="25474" xr:uid="{00000000-0005-0000-0000-0000B2630000}"/>
    <cellStyle name="Comma 3 4 2 2 5 9" xfId="25476" xr:uid="{00000000-0005-0000-0000-0000B4630000}"/>
    <cellStyle name="Comma 3 4 2 2 6" xfId="25478" xr:uid="{00000000-0005-0000-0000-0000B6630000}"/>
    <cellStyle name="Comma 3 4 2 2 6 2" xfId="25481" xr:uid="{00000000-0005-0000-0000-0000B9630000}"/>
    <cellStyle name="Comma 3 4 2 2 6 2 2" xfId="25483" xr:uid="{00000000-0005-0000-0000-0000BB630000}"/>
    <cellStyle name="Comma 3 4 2 2 6 3" xfId="23323" xr:uid="{00000000-0005-0000-0000-00004B5B0000}"/>
    <cellStyle name="Comma 3 4 2 2 6 4" xfId="23328" xr:uid="{00000000-0005-0000-0000-0000505B0000}"/>
    <cellStyle name="Comma 3 4 2 2 6 5" xfId="23333" xr:uid="{00000000-0005-0000-0000-0000555B0000}"/>
    <cellStyle name="Comma 3 4 2 2 6 6" xfId="23338" xr:uid="{00000000-0005-0000-0000-00005A5B0000}"/>
    <cellStyle name="Comma 3 4 2 2 6 7" xfId="23342" xr:uid="{00000000-0005-0000-0000-00005E5B0000}"/>
    <cellStyle name="Comma 3 4 2 2 6 8" xfId="25487" xr:uid="{00000000-0005-0000-0000-0000BF630000}"/>
    <cellStyle name="Comma 3 4 2 2 6 9" xfId="25488" xr:uid="{00000000-0005-0000-0000-0000C0630000}"/>
    <cellStyle name="Comma 3 4 2 2 7" xfId="25490" xr:uid="{00000000-0005-0000-0000-0000C2630000}"/>
    <cellStyle name="Comma 3 4 2 2 7 2" xfId="25492" xr:uid="{00000000-0005-0000-0000-0000C4630000}"/>
    <cellStyle name="Comma 3 4 2 2 8" xfId="25494" xr:uid="{00000000-0005-0000-0000-0000C6630000}"/>
    <cellStyle name="Comma 3 4 2 2 9" xfId="25496" xr:uid="{00000000-0005-0000-0000-0000C8630000}"/>
    <cellStyle name="Comma 3 4 2 20" xfId="25401" xr:uid="{00000000-0005-0000-0000-000069630000}"/>
    <cellStyle name="Comma 3 4 2 21" xfId="25403" xr:uid="{00000000-0005-0000-0000-00006B630000}"/>
    <cellStyle name="Comma 3 4 2 22" xfId="25408" xr:uid="{00000000-0005-0000-0000-000070630000}"/>
    <cellStyle name="Comma 3 4 2 23" xfId="25412" xr:uid="{00000000-0005-0000-0000-000074630000}"/>
    <cellStyle name="Comma 3 4 2 3" xfId="21664" xr:uid="{00000000-0005-0000-0000-0000D0540000}"/>
    <cellStyle name="Comma 3 4 2 3 10" xfId="3338" xr:uid="{00000000-0005-0000-0000-00003A0D0000}"/>
    <cellStyle name="Comma 3 4 2 3 11" xfId="14866" xr:uid="{00000000-0005-0000-0000-0000423A0000}"/>
    <cellStyle name="Comma 3 4 2 3 12" xfId="14871" xr:uid="{00000000-0005-0000-0000-0000473A0000}"/>
    <cellStyle name="Comma 3 4 2 3 13" xfId="14875" xr:uid="{00000000-0005-0000-0000-00004B3A0000}"/>
    <cellStyle name="Comma 3 4 2 3 14" xfId="14879" xr:uid="{00000000-0005-0000-0000-00004F3A0000}"/>
    <cellStyle name="Comma 3 4 2 3 15" xfId="14881" xr:uid="{00000000-0005-0000-0000-0000513A0000}"/>
    <cellStyle name="Comma 3 4 2 3 16" xfId="25497" xr:uid="{00000000-0005-0000-0000-0000C9630000}"/>
    <cellStyle name="Comma 3 4 2 3 17" xfId="25498" xr:uid="{00000000-0005-0000-0000-0000CA630000}"/>
    <cellStyle name="Comma 3 4 2 3 18" xfId="25499" xr:uid="{00000000-0005-0000-0000-0000CB630000}"/>
    <cellStyle name="Comma 3 4 2 3 2" xfId="6833" xr:uid="{00000000-0005-0000-0000-0000E11A0000}"/>
    <cellStyle name="Comma 3 4 2 3 2 10" xfId="25501" xr:uid="{00000000-0005-0000-0000-0000CD630000}"/>
    <cellStyle name="Comma 3 4 2 3 2 2" xfId="25503" xr:uid="{00000000-0005-0000-0000-0000CF630000}"/>
    <cellStyle name="Comma 3 4 2 3 2 2 2" xfId="23526" xr:uid="{00000000-0005-0000-0000-0000165C0000}"/>
    <cellStyle name="Comma 3 4 2 3 2 3" xfId="19890" xr:uid="{00000000-0005-0000-0000-0000E24D0000}"/>
    <cellStyle name="Comma 3 4 2 3 2 4" xfId="19905" xr:uid="{00000000-0005-0000-0000-0000F14D0000}"/>
    <cellStyle name="Comma 3 4 2 3 2 5" xfId="19912" xr:uid="{00000000-0005-0000-0000-0000F84D0000}"/>
    <cellStyle name="Comma 3 4 2 3 2 6" xfId="19918" xr:uid="{00000000-0005-0000-0000-0000FE4D0000}"/>
    <cellStyle name="Comma 3 4 2 3 2 7" xfId="19922" xr:uid="{00000000-0005-0000-0000-0000024E0000}"/>
    <cellStyle name="Comma 3 4 2 3 2 8" xfId="19932" xr:uid="{00000000-0005-0000-0000-00000C4E0000}"/>
    <cellStyle name="Comma 3 4 2 3 2 9" xfId="19938" xr:uid="{00000000-0005-0000-0000-0000124E0000}"/>
    <cellStyle name="Comma 3 4 2 3 3" xfId="25504" xr:uid="{00000000-0005-0000-0000-0000D0630000}"/>
    <cellStyle name="Comma 3 4 2 3 3 2" xfId="25507" xr:uid="{00000000-0005-0000-0000-0000D3630000}"/>
    <cellStyle name="Comma 3 4 2 3 3 3" xfId="19952" xr:uid="{00000000-0005-0000-0000-0000204E0000}"/>
    <cellStyle name="Comma 3 4 2 3 3 4" xfId="19963" xr:uid="{00000000-0005-0000-0000-00002B4E0000}"/>
    <cellStyle name="Comma 3 4 2 3 3 5" xfId="16934" xr:uid="{00000000-0005-0000-0000-000056420000}"/>
    <cellStyle name="Comma 3 4 2 3 3 6" xfId="12539" xr:uid="{00000000-0005-0000-0000-00002B310000}"/>
    <cellStyle name="Comma 3 4 2 3 4" xfId="25508" xr:uid="{00000000-0005-0000-0000-0000D4630000}"/>
    <cellStyle name="Comma 3 4 2 3 4 2" xfId="8864" xr:uid="{00000000-0005-0000-0000-0000D0220000}"/>
    <cellStyle name="Comma 3 4 2 3 4 3" xfId="8874" xr:uid="{00000000-0005-0000-0000-0000DA220000}"/>
    <cellStyle name="Comma 3 4 2 3 4 4" xfId="8879" xr:uid="{00000000-0005-0000-0000-0000DF220000}"/>
    <cellStyle name="Comma 3 4 2 3 4 5" xfId="8886" xr:uid="{00000000-0005-0000-0000-0000E6220000}"/>
    <cellStyle name="Comma 3 4 2 3 4 6" xfId="8894" xr:uid="{00000000-0005-0000-0000-0000EE220000}"/>
    <cellStyle name="Comma 3 4 2 3 5" xfId="25511" xr:uid="{00000000-0005-0000-0000-0000D7630000}"/>
    <cellStyle name="Comma 3 4 2 3 5 2" xfId="7530" xr:uid="{00000000-0005-0000-0000-00009A1D0000}"/>
    <cellStyle name="Comma 3 4 2 3 5 3" xfId="19975" xr:uid="{00000000-0005-0000-0000-0000374E0000}"/>
    <cellStyle name="Comma 3 4 2 3 5 4" xfId="19997" xr:uid="{00000000-0005-0000-0000-00004D4E0000}"/>
    <cellStyle name="Comma 3 4 2 3 5 5" xfId="16969" xr:uid="{00000000-0005-0000-0000-000079420000}"/>
    <cellStyle name="Comma 3 4 2 3 5 6" xfId="20007" xr:uid="{00000000-0005-0000-0000-0000574E0000}"/>
    <cellStyle name="Comma 3 4 2 3 6" xfId="9045" xr:uid="{00000000-0005-0000-0000-000085230000}"/>
    <cellStyle name="Comma 3 4 2 3 6 2" xfId="25514" xr:uid="{00000000-0005-0000-0000-0000DA630000}"/>
    <cellStyle name="Comma 3 4 2 3 6 3" xfId="20032" xr:uid="{00000000-0005-0000-0000-0000704E0000}"/>
    <cellStyle name="Comma 3 4 2 3 6 4" xfId="20040" xr:uid="{00000000-0005-0000-0000-0000784E0000}"/>
    <cellStyle name="Comma 3 4 2 3 6 5" xfId="20046" xr:uid="{00000000-0005-0000-0000-00007E4E0000}"/>
    <cellStyle name="Comma 3 4 2 3 6 6" xfId="20051" xr:uid="{00000000-0005-0000-0000-0000834E0000}"/>
    <cellStyle name="Comma 3 4 2 3 7" xfId="9054" xr:uid="{00000000-0005-0000-0000-00008E230000}"/>
    <cellStyle name="Comma 3 4 2 3 8" xfId="8434" xr:uid="{00000000-0005-0000-0000-000022210000}"/>
    <cellStyle name="Comma 3 4 2 3 9" xfId="2399" xr:uid="{00000000-0005-0000-0000-00008F090000}"/>
    <cellStyle name="Comma 3 4 2 4" xfId="21669" xr:uid="{00000000-0005-0000-0000-0000D5540000}"/>
    <cellStyle name="Comma 3 4 2 4 10" xfId="15023" xr:uid="{00000000-0005-0000-0000-0000DF3A0000}"/>
    <cellStyle name="Comma 3 4 2 4 11" xfId="15027" xr:uid="{00000000-0005-0000-0000-0000E33A0000}"/>
    <cellStyle name="Comma 3 4 2 4 12" xfId="15029" xr:uid="{00000000-0005-0000-0000-0000E53A0000}"/>
    <cellStyle name="Comma 3 4 2 4 13" xfId="10271" xr:uid="{00000000-0005-0000-0000-00004F280000}"/>
    <cellStyle name="Comma 3 4 2 4 14" xfId="10282" xr:uid="{00000000-0005-0000-0000-00005A280000}"/>
    <cellStyle name="Comma 3 4 2 4 15" xfId="10285" xr:uid="{00000000-0005-0000-0000-00005D280000}"/>
    <cellStyle name="Comma 3 4 2 4 2" xfId="25515" xr:uid="{00000000-0005-0000-0000-0000DB630000}"/>
    <cellStyle name="Comma 3 4 2 4 2 2" xfId="25516" xr:uid="{00000000-0005-0000-0000-0000DC630000}"/>
    <cellStyle name="Comma 3 4 2 4 2 2 2" xfId="21524" xr:uid="{00000000-0005-0000-0000-000044540000}"/>
    <cellStyle name="Comma 3 4 2 4 2 3" xfId="20066" xr:uid="{00000000-0005-0000-0000-0000924E0000}"/>
    <cellStyle name="Comma 3 4 2 4 2 4" xfId="20077" xr:uid="{00000000-0005-0000-0000-00009D4E0000}"/>
    <cellStyle name="Comma 3 4 2 4 2 5" xfId="20082" xr:uid="{00000000-0005-0000-0000-0000A24E0000}"/>
    <cellStyle name="Comma 3 4 2 4 2 6" xfId="20087" xr:uid="{00000000-0005-0000-0000-0000A74E0000}"/>
    <cellStyle name="Comma 3 4 2 4 2 7" xfId="20095" xr:uid="{00000000-0005-0000-0000-0000AF4E0000}"/>
    <cellStyle name="Comma 3 4 2 4 2 8" xfId="20103" xr:uid="{00000000-0005-0000-0000-0000B74E0000}"/>
    <cellStyle name="Comma 3 4 2 4 2 9" xfId="20111" xr:uid="{00000000-0005-0000-0000-0000BF4E0000}"/>
    <cellStyle name="Comma 3 4 2 4 3" xfId="25517" xr:uid="{00000000-0005-0000-0000-0000DD630000}"/>
    <cellStyle name="Comma 3 4 2 4 3 2" xfId="25518" xr:uid="{00000000-0005-0000-0000-0000DE630000}"/>
    <cellStyle name="Comma 3 4 2 4 3 3" xfId="20122" xr:uid="{00000000-0005-0000-0000-0000CA4E0000}"/>
    <cellStyle name="Comma 3 4 2 4 3 4" xfId="20125" xr:uid="{00000000-0005-0000-0000-0000CD4E0000}"/>
    <cellStyle name="Comma 3 4 2 4 3 5" xfId="17008" xr:uid="{00000000-0005-0000-0000-0000A0420000}"/>
    <cellStyle name="Comma 3 4 2 4 3 6" xfId="17012" xr:uid="{00000000-0005-0000-0000-0000A4420000}"/>
    <cellStyle name="Comma 3 4 2 4 4" xfId="25522" xr:uid="{00000000-0005-0000-0000-0000E2630000}"/>
    <cellStyle name="Comma 3 4 2 4 4 2" xfId="3906" xr:uid="{00000000-0005-0000-0000-0000720F0000}"/>
    <cellStyle name="Comma 3 4 2 4 5" xfId="25526" xr:uid="{00000000-0005-0000-0000-0000E6630000}"/>
    <cellStyle name="Comma 3 4 2 4 6" xfId="9063" xr:uid="{00000000-0005-0000-0000-000097230000}"/>
    <cellStyle name="Comma 3 4 2 4 7" xfId="9075" xr:uid="{00000000-0005-0000-0000-0000A3230000}"/>
    <cellStyle name="Comma 3 4 2 4 8" xfId="9088" xr:uid="{00000000-0005-0000-0000-0000B0230000}"/>
    <cellStyle name="Comma 3 4 2 4 9" xfId="9111" xr:uid="{00000000-0005-0000-0000-0000C7230000}"/>
    <cellStyle name="Comma 3 4 2 5" xfId="21674" xr:uid="{00000000-0005-0000-0000-0000DA540000}"/>
    <cellStyle name="Comma 3 4 2 5 10" xfId="11662" xr:uid="{00000000-0005-0000-0000-0000BE2D0000}"/>
    <cellStyle name="Comma 3 4 2 5 11" xfId="11670" xr:uid="{00000000-0005-0000-0000-0000C62D0000}"/>
    <cellStyle name="Comma 3 4 2 5 12" xfId="11675" xr:uid="{00000000-0005-0000-0000-0000CB2D0000}"/>
    <cellStyle name="Comma 3 4 2 5 13" xfId="18424" xr:uid="{00000000-0005-0000-0000-000028480000}"/>
    <cellStyle name="Comma 3 4 2 5 2" xfId="25527" xr:uid="{00000000-0005-0000-0000-0000E7630000}"/>
    <cellStyle name="Comma 3 4 2 5 2 2" xfId="5177" xr:uid="{00000000-0005-0000-0000-000069140000}"/>
    <cellStyle name="Comma 3 4 2 5 2 2 2" xfId="21959" xr:uid="{00000000-0005-0000-0000-0000F7550000}"/>
    <cellStyle name="Comma 3 4 2 5 2 3" xfId="6111" xr:uid="{00000000-0005-0000-0000-00000F180000}"/>
    <cellStyle name="Comma 3 4 2 5 2 4" xfId="20162" xr:uid="{00000000-0005-0000-0000-0000F24E0000}"/>
    <cellStyle name="Comma 3 4 2 5 2 5" xfId="20167" xr:uid="{00000000-0005-0000-0000-0000F74E0000}"/>
    <cellStyle name="Comma 3 4 2 5 2 6" xfId="20172" xr:uid="{00000000-0005-0000-0000-0000FC4E0000}"/>
    <cellStyle name="Comma 3 4 2 5 2 7" xfId="20177" xr:uid="{00000000-0005-0000-0000-0000014F0000}"/>
    <cellStyle name="Comma 3 4 2 5 2 8" xfId="20182" xr:uid="{00000000-0005-0000-0000-0000064F0000}"/>
    <cellStyle name="Comma 3 4 2 5 2 9" xfId="20186" xr:uid="{00000000-0005-0000-0000-00000A4F0000}"/>
    <cellStyle name="Comma 3 4 2 5 3" xfId="25528" xr:uid="{00000000-0005-0000-0000-0000E8630000}"/>
    <cellStyle name="Comma 3 4 2 5 3 2" xfId="18275" xr:uid="{00000000-0005-0000-0000-000093470000}"/>
    <cellStyle name="Comma 3 4 2 5 3 3" xfId="6142" xr:uid="{00000000-0005-0000-0000-00002E180000}"/>
    <cellStyle name="Comma 3 4 2 5 3 4" xfId="20193" xr:uid="{00000000-0005-0000-0000-0000114F0000}"/>
    <cellStyle name="Comma 3 4 2 5 3 5" xfId="17094" xr:uid="{00000000-0005-0000-0000-0000F6420000}"/>
    <cellStyle name="Comma 3 4 2 5 3 6" xfId="16062" xr:uid="{00000000-0005-0000-0000-0000EE3E0000}"/>
    <cellStyle name="Comma 3 4 2 5 4" xfId="25533" xr:uid="{00000000-0005-0000-0000-0000ED630000}"/>
    <cellStyle name="Comma 3 4 2 5 4 2" xfId="25534" xr:uid="{00000000-0005-0000-0000-0000EE630000}"/>
    <cellStyle name="Comma 3 4 2 5 5" xfId="25539" xr:uid="{00000000-0005-0000-0000-0000F3630000}"/>
    <cellStyle name="Comma 3 4 2 5 6" xfId="21952" xr:uid="{00000000-0005-0000-0000-0000F0550000}"/>
    <cellStyle name="Comma 3 4 2 5 7" xfId="25541" xr:uid="{00000000-0005-0000-0000-0000F5630000}"/>
    <cellStyle name="Comma 3 4 2 5 8" xfId="22342" xr:uid="{00000000-0005-0000-0000-000076570000}"/>
    <cellStyle name="Comma 3 4 2 5 9" xfId="25549" xr:uid="{00000000-0005-0000-0000-0000FD630000}"/>
    <cellStyle name="Comma 3 4 2 6" xfId="21679" xr:uid="{00000000-0005-0000-0000-0000DF540000}"/>
    <cellStyle name="Comma 3 4 2 6 10" xfId="15135" xr:uid="{00000000-0005-0000-0000-00004F3B0000}"/>
    <cellStyle name="Comma 3 4 2 6 11" xfId="22825" xr:uid="{00000000-0005-0000-0000-000059590000}"/>
    <cellStyle name="Comma 3 4 2 6 12" xfId="22840" xr:uid="{00000000-0005-0000-0000-000068590000}"/>
    <cellStyle name="Comma 3 4 2 6 2" xfId="25553" xr:uid="{00000000-0005-0000-0000-000001640000}"/>
    <cellStyle name="Comma 3 4 2 6 2 2" xfId="5122" xr:uid="{00000000-0005-0000-0000-000032140000}"/>
    <cellStyle name="Comma 3 4 2 6 2 2 2" xfId="5131" xr:uid="{00000000-0005-0000-0000-00003B140000}"/>
    <cellStyle name="Comma 3 4 2 6 2 3" xfId="20204" xr:uid="{00000000-0005-0000-0000-00001C4F0000}"/>
    <cellStyle name="Comma 3 4 2 6 2 4" xfId="20207" xr:uid="{00000000-0005-0000-0000-00001F4F0000}"/>
    <cellStyle name="Comma 3 4 2 6 2 5" xfId="20210" xr:uid="{00000000-0005-0000-0000-0000224F0000}"/>
    <cellStyle name="Comma 3 4 2 6 2 6" xfId="20213" xr:uid="{00000000-0005-0000-0000-0000254F0000}"/>
    <cellStyle name="Comma 3 4 2 6 2 7" xfId="20215" xr:uid="{00000000-0005-0000-0000-0000274F0000}"/>
    <cellStyle name="Comma 3 4 2 6 2 8" xfId="20217" xr:uid="{00000000-0005-0000-0000-0000294F0000}"/>
    <cellStyle name="Comma 3 4 2 6 2 9" xfId="20219" xr:uid="{00000000-0005-0000-0000-00002B4F0000}"/>
    <cellStyle name="Comma 3 4 2 6 3" xfId="25554" xr:uid="{00000000-0005-0000-0000-000002640000}"/>
    <cellStyle name="Comma 3 4 2 6 3 2" xfId="10477" xr:uid="{00000000-0005-0000-0000-00001D290000}"/>
    <cellStyle name="Comma 3 4 2 6 3 3" xfId="20225" xr:uid="{00000000-0005-0000-0000-0000314F0000}"/>
    <cellStyle name="Comma 3 4 2 6 3 4" xfId="20228" xr:uid="{00000000-0005-0000-0000-0000344F0000}"/>
    <cellStyle name="Comma 3 4 2 6 3 5" xfId="20231" xr:uid="{00000000-0005-0000-0000-0000374F0000}"/>
    <cellStyle name="Comma 3 4 2 6 3 6" xfId="20234" xr:uid="{00000000-0005-0000-0000-00003A4F0000}"/>
    <cellStyle name="Comma 3 4 2 6 4" xfId="25557" xr:uid="{00000000-0005-0000-0000-000005640000}"/>
    <cellStyle name="Comma 3 4 2 6 4 2" xfId="10538" xr:uid="{00000000-0005-0000-0000-00005A290000}"/>
    <cellStyle name="Comma 3 4 2 6 5" xfId="25558" xr:uid="{00000000-0005-0000-0000-000006640000}"/>
    <cellStyle name="Comma 3 4 2 6 6" xfId="25560" xr:uid="{00000000-0005-0000-0000-000008640000}"/>
    <cellStyle name="Comma 3 4 2 6 7" xfId="25561" xr:uid="{00000000-0005-0000-0000-000009640000}"/>
    <cellStyle name="Comma 3 4 2 6 8" xfId="25562" xr:uid="{00000000-0005-0000-0000-00000A640000}"/>
    <cellStyle name="Comma 3 4 2 6 9" xfId="25566" xr:uid="{00000000-0005-0000-0000-00000E640000}"/>
    <cellStyle name="Comma 3 4 2 7" xfId="25570" xr:uid="{00000000-0005-0000-0000-000012640000}"/>
    <cellStyle name="Comma 3 4 2 7 2" xfId="25571" xr:uid="{00000000-0005-0000-0000-000013640000}"/>
    <cellStyle name="Comma 3 4 2 7 2 2" xfId="10676" xr:uid="{00000000-0005-0000-0000-0000E4290000}"/>
    <cellStyle name="Comma 3 4 2 7 3" xfId="25572" xr:uid="{00000000-0005-0000-0000-000014640000}"/>
    <cellStyle name="Comma 3 4 2 7 4" xfId="9442" xr:uid="{00000000-0005-0000-0000-000012250000}"/>
    <cellStyle name="Comma 3 4 2 7 5" xfId="25573" xr:uid="{00000000-0005-0000-0000-000015640000}"/>
    <cellStyle name="Comma 3 4 2 7 6" xfId="25574" xr:uid="{00000000-0005-0000-0000-000016640000}"/>
    <cellStyle name="Comma 3 4 2 7 7" xfId="25575" xr:uid="{00000000-0005-0000-0000-000017640000}"/>
    <cellStyle name="Comma 3 4 2 7 8" xfId="25576" xr:uid="{00000000-0005-0000-0000-000018640000}"/>
    <cellStyle name="Comma 3 4 2 7 9" xfId="17630" xr:uid="{00000000-0005-0000-0000-00000E450000}"/>
    <cellStyle name="Comma 3 4 2 8" xfId="25578" xr:uid="{00000000-0005-0000-0000-00001A640000}"/>
    <cellStyle name="Comma 3 4 2 8 2" xfId="10610" xr:uid="{00000000-0005-0000-0000-0000A2290000}"/>
    <cellStyle name="Comma 3 4 2 8 3" xfId="25580" xr:uid="{00000000-0005-0000-0000-00001C640000}"/>
    <cellStyle name="Comma 3 4 2 8 4" xfId="25582" xr:uid="{00000000-0005-0000-0000-00001E640000}"/>
    <cellStyle name="Comma 3 4 2 8 5" xfId="25586" xr:uid="{00000000-0005-0000-0000-000022640000}"/>
    <cellStyle name="Comma 3 4 2 8 6" xfId="25589" xr:uid="{00000000-0005-0000-0000-000025640000}"/>
    <cellStyle name="Comma 3 4 2 9" xfId="421" xr:uid="{00000000-0005-0000-0000-0000C0010000}"/>
    <cellStyle name="Comma 3 4 2 9 2" xfId="25591" xr:uid="{00000000-0005-0000-0000-000027640000}"/>
    <cellStyle name="Comma 3 4 2 9 3" xfId="17540" xr:uid="{00000000-0005-0000-0000-0000B4440000}"/>
    <cellStyle name="Comma 3 4 2 9 4" xfId="13974" xr:uid="{00000000-0005-0000-0000-0000C6360000}"/>
    <cellStyle name="Comma 3 4 2 9 5" xfId="17547" xr:uid="{00000000-0005-0000-0000-0000BB440000}"/>
    <cellStyle name="Comma 3 4 2 9 6" xfId="17552" xr:uid="{00000000-0005-0000-0000-0000C0440000}"/>
    <cellStyle name="Comma 3 4 20" xfId="25369" xr:uid="{00000000-0005-0000-0000-000049630000}"/>
    <cellStyle name="Comma 3 4 21" xfId="25372" xr:uid="{00000000-0005-0000-0000-00004C630000}"/>
    <cellStyle name="Comma 3 4 22" xfId="25375" xr:uid="{00000000-0005-0000-0000-00004F630000}"/>
    <cellStyle name="Comma 3 4 23" xfId="25377" xr:uid="{00000000-0005-0000-0000-000051630000}"/>
    <cellStyle name="Comma 3 4 24" xfId="25379" xr:uid="{00000000-0005-0000-0000-000053630000}"/>
    <cellStyle name="Comma 3 4 25" xfId="13632" xr:uid="{00000000-0005-0000-0000-000070350000}"/>
    <cellStyle name="Comma 3 4 26" xfId="13636" xr:uid="{00000000-0005-0000-0000-000074350000}"/>
    <cellStyle name="Comma 3 4 3" xfId="25593" xr:uid="{00000000-0005-0000-0000-000029640000}"/>
    <cellStyle name="Comma 3 4 3 10" xfId="25595" xr:uid="{00000000-0005-0000-0000-00002B640000}"/>
    <cellStyle name="Comma 3 4 3 10 2" xfId="25598" xr:uid="{00000000-0005-0000-0000-00002E640000}"/>
    <cellStyle name="Comma 3 4 3 10 3" xfId="16234" xr:uid="{00000000-0005-0000-0000-00009A3F0000}"/>
    <cellStyle name="Comma 3 4 3 10 4" xfId="25603" xr:uid="{00000000-0005-0000-0000-000033640000}"/>
    <cellStyle name="Comma 3 4 3 10 5" xfId="25607" xr:uid="{00000000-0005-0000-0000-000037640000}"/>
    <cellStyle name="Comma 3 4 3 10 6" xfId="25611" xr:uid="{00000000-0005-0000-0000-00003B640000}"/>
    <cellStyle name="Comma 3 4 3 11" xfId="25613" xr:uid="{00000000-0005-0000-0000-00003D640000}"/>
    <cellStyle name="Comma 3 4 3 11 2" xfId="25616" xr:uid="{00000000-0005-0000-0000-000040640000}"/>
    <cellStyle name="Comma 3 4 3 11 3" xfId="25619" xr:uid="{00000000-0005-0000-0000-000043640000}"/>
    <cellStyle name="Comma 3 4 3 11 4" xfId="25622" xr:uid="{00000000-0005-0000-0000-000046640000}"/>
    <cellStyle name="Comma 3 4 3 11 5" xfId="25626" xr:uid="{00000000-0005-0000-0000-00004A640000}"/>
    <cellStyle name="Comma 3 4 3 11 6" xfId="25629" xr:uid="{00000000-0005-0000-0000-00004D640000}"/>
    <cellStyle name="Comma 3 4 3 12" xfId="25632" xr:uid="{00000000-0005-0000-0000-000050640000}"/>
    <cellStyle name="Comma 3 4 3 13" xfId="25637" xr:uid="{00000000-0005-0000-0000-000055640000}"/>
    <cellStyle name="Comma 3 4 3 14" xfId="17134" xr:uid="{00000000-0005-0000-0000-00001E430000}"/>
    <cellStyle name="Comma 3 4 3 15" xfId="17140" xr:uid="{00000000-0005-0000-0000-000024430000}"/>
    <cellStyle name="Comma 3 4 3 16" xfId="17143" xr:uid="{00000000-0005-0000-0000-000027430000}"/>
    <cellStyle name="Comma 3 4 3 17" xfId="17146" xr:uid="{00000000-0005-0000-0000-00002A430000}"/>
    <cellStyle name="Comma 3 4 3 18" xfId="12490" xr:uid="{00000000-0005-0000-0000-0000FA300000}"/>
    <cellStyle name="Comma 3 4 3 19" xfId="12494" xr:uid="{00000000-0005-0000-0000-0000FE300000}"/>
    <cellStyle name="Comma 3 4 3 2" xfId="25639" xr:uid="{00000000-0005-0000-0000-000057640000}"/>
    <cellStyle name="Comma 3 4 3 2 10" xfId="25643" xr:uid="{00000000-0005-0000-0000-00005B640000}"/>
    <cellStyle name="Comma 3 4 3 2 11" xfId="5641" xr:uid="{00000000-0005-0000-0000-000039160000}"/>
    <cellStyle name="Comma 3 4 3 2 12" xfId="818" xr:uid="{00000000-0005-0000-0000-000062030000}"/>
    <cellStyle name="Comma 3 4 3 2 13" xfId="858" xr:uid="{00000000-0005-0000-0000-00008A030000}"/>
    <cellStyle name="Comma 3 4 3 2 14" xfId="889" xr:uid="{00000000-0005-0000-0000-0000A9030000}"/>
    <cellStyle name="Comma 3 4 3 2 15" xfId="918" xr:uid="{00000000-0005-0000-0000-0000C6030000}"/>
    <cellStyle name="Comma 3 4 3 2 16" xfId="128" xr:uid="{00000000-0005-0000-0000-00008A000000}"/>
    <cellStyle name="Comma 3 4 3 2 17" xfId="939" xr:uid="{00000000-0005-0000-0000-0000DB030000}"/>
    <cellStyle name="Comma 3 4 3 2 18" xfId="964" xr:uid="{00000000-0005-0000-0000-0000F4030000}"/>
    <cellStyle name="Comma 3 4 3 2 2" xfId="25644" xr:uid="{00000000-0005-0000-0000-00005C640000}"/>
    <cellStyle name="Comma 3 4 3 2 2 10" xfId="24767" xr:uid="{00000000-0005-0000-0000-0000EF600000}"/>
    <cellStyle name="Comma 3 4 3 2 2 11" xfId="3853" xr:uid="{00000000-0005-0000-0000-00003D0F0000}"/>
    <cellStyle name="Comma 3 4 3 2 2 12" xfId="10690" xr:uid="{00000000-0005-0000-0000-0000F2290000}"/>
    <cellStyle name="Comma 3 4 3 2 2 2" xfId="25647" xr:uid="{00000000-0005-0000-0000-00005F640000}"/>
    <cellStyle name="Comma 3 4 3 2 2 2 2" xfId="25255" xr:uid="{00000000-0005-0000-0000-0000D7620000}"/>
    <cellStyle name="Comma 3 4 3 2 2 2 2 2" xfId="25648" xr:uid="{00000000-0005-0000-0000-000060640000}"/>
    <cellStyle name="Comma 3 4 3 2 2 2 3" xfId="7905" xr:uid="{00000000-0005-0000-0000-0000111F0000}"/>
    <cellStyle name="Comma 3 4 3 2 2 2 4" xfId="7920" xr:uid="{00000000-0005-0000-0000-0000201F0000}"/>
    <cellStyle name="Comma 3 4 3 2 2 2 5" xfId="7925" xr:uid="{00000000-0005-0000-0000-0000251F0000}"/>
    <cellStyle name="Comma 3 4 3 2 2 3" xfId="25651" xr:uid="{00000000-0005-0000-0000-000063640000}"/>
    <cellStyle name="Comma 3 4 3 2 2 3 2" xfId="25652" xr:uid="{00000000-0005-0000-0000-000064640000}"/>
    <cellStyle name="Comma 3 4 3 2 2 4" xfId="24336" xr:uid="{00000000-0005-0000-0000-0000405F0000}"/>
    <cellStyle name="Comma 3 4 3 2 2 5" xfId="24346" xr:uid="{00000000-0005-0000-0000-00004A5F0000}"/>
    <cellStyle name="Comma 3 4 3 2 2 6" xfId="9214" xr:uid="{00000000-0005-0000-0000-00002E240000}"/>
    <cellStyle name="Comma 3 4 3 2 2 7" xfId="24355" xr:uid="{00000000-0005-0000-0000-0000535F0000}"/>
    <cellStyle name="Comma 3 4 3 2 2 8" xfId="24359" xr:uid="{00000000-0005-0000-0000-0000575F0000}"/>
    <cellStyle name="Comma 3 4 3 2 2 9" xfId="24363" xr:uid="{00000000-0005-0000-0000-00005B5F0000}"/>
    <cellStyle name="Comma 3 4 3 2 3" xfId="25653" xr:uid="{00000000-0005-0000-0000-000065640000}"/>
    <cellStyle name="Comma 3 4 3 2 3 10" xfId="25655" xr:uid="{00000000-0005-0000-0000-000067640000}"/>
    <cellStyle name="Comma 3 4 3 2 3 11" xfId="6689" xr:uid="{00000000-0005-0000-0000-0000511A0000}"/>
    <cellStyle name="Comma 3 4 3 2 3 12" xfId="5227" xr:uid="{00000000-0005-0000-0000-00009B140000}"/>
    <cellStyle name="Comma 3 4 3 2 3 2" xfId="6514" xr:uid="{00000000-0005-0000-0000-0000A2190000}"/>
    <cellStyle name="Comma 3 4 3 2 3 2 2" xfId="25656" xr:uid="{00000000-0005-0000-0000-000068640000}"/>
    <cellStyle name="Comma 3 4 3 2 3 2 2 2" xfId="25657" xr:uid="{00000000-0005-0000-0000-000069640000}"/>
    <cellStyle name="Comma 3 4 3 2 3 2 3" xfId="3268" xr:uid="{00000000-0005-0000-0000-0000F40C0000}"/>
    <cellStyle name="Comma 3 4 3 2 3 2 4" xfId="3279" xr:uid="{00000000-0005-0000-0000-0000FF0C0000}"/>
    <cellStyle name="Comma 3 4 3 2 3 2 5" xfId="3292" xr:uid="{00000000-0005-0000-0000-00000C0D0000}"/>
    <cellStyle name="Comma 3 4 3 2 3 3" xfId="4928" xr:uid="{00000000-0005-0000-0000-000070130000}"/>
    <cellStyle name="Comma 3 4 3 2 3 3 2" xfId="25658" xr:uid="{00000000-0005-0000-0000-00006A640000}"/>
    <cellStyle name="Comma 3 4 3 2 3 4" xfId="3557" xr:uid="{00000000-0005-0000-0000-0000150E0000}"/>
    <cellStyle name="Comma 3 4 3 2 3 5" xfId="15444" xr:uid="{00000000-0005-0000-0000-0000843C0000}"/>
    <cellStyle name="Comma 3 4 3 2 3 6" xfId="13824" xr:uid="{00000000-0005-0000-0000-000030360000}"/>
    <cellStyle name="Comma 3 4 3 2 3 7" xfId="4273" xr:uid="{00000000-0005-0000-0000-0000E1100000}"/>
    <cellStyle name="Comma 3 4 3 2 3 8" xfId="4299" xr:uid="{00000000-0005-0000-0000-0000FB100000}"/>
    <cellStyle name="Comma 3 4 3 2 3 9" xfId="6293" xr:uid="{00000000-0005-0000-0000-0000C5180000}"/>
    <cellStyle name="Comma 3 4 3 2 4" xfId="25659" xr:uid="{00000000-0005-0000-0000-00006B640000}"/>
    <cellStyle name="Comma 3 4 3 2 4 10" xfId="25660" xr:uid="{00000000-0005-0000-0000-00006C640000}"/>
    <cellStyle name="Comma 3 4 3 2 4 2" xfId="19878" xr:uid="{00000000-0005-0000-0000-0000D64D0000}"/>
    <cellStyle name="Comma 3 4 3 2 4 2 2" xfId="24085" xr:uid="{00000000-0005-0000-0000-0000455E0000}"/>
    <cellStyle name="Comma 3 4 3 2 4 2 2 2" xfId="25663" xr:uid="{00000000-0005-0000-0000-00006F640000}"/>
    <cellStyle name="Comma 3 4 3 2 4 2 3" xfId="8029" xr:uid="{00000000-0005-0000-0000-00008D1F0000}"/>
    <cellStyle name="Comma 3 4 3 2 4 2 4" xfId="3790" xr:uid="{00000000-0005-0000-0000-0000FE0E0000}"/>
    <cellStyle name="Comma 3 4 3 2 4 2 5" xfId="8035" xr:uid="{00000000-0005-0000-0000-0000931F0000}"/>
    <cellStyle name="Comma 3 4 3 2 4 3" xfId="19880" xr:uid="{00000000-0005-0000-0000-0000D84D0000}"/>
    <cellStyle name="Comma 3 4 3 2 4 3 2" xfId="25664" xr:uid="{00000000-0005-0000-0000-000070640000}"/>
    <cellStyle name="Comma 3 4 3 2 4 4" xfId="19882" xr:uid="{00000000-0005-0000-0000-0000DA4D0000}"/>
    <cellStyle name="Comma 3 4 3 2 4 5" xfId="17284" xr:uid="{00000000-0005-0000-0000-0000B4430000}"/>
    <cellStyle name="Comma 3 4 3 2 4 6" xfId="13837" xr:uid="{00000000-0005-0000-0000-00003D360000}"/>
    <cellStyle name="Comma 3 4 3 2 4 7" xfId="4326" xr:uid="{00000000-0005-0000-0000-000016110000}"/>
    <cellStyle name="Comma 3 4 3 2 4 8" xfId="7542" xr:uid="{00000000-0005-0000-0000-0000A61D0000}"/>
    <cellStyle name="Comma 3 4 3 2 4 9" xfId="308" xr:uid="{00000000-0005-0000-0000-000048010000}"/>
    <cellStyle name="Comma 3 4 3 2 5" xfId="25667" xr:uid="{00000000-0005-0000-0000-000073640000}"/>
    <cellStyle name="Comma 3 4 3 2 5 10" xfId="25662" xr:uid="{00000000-0005-0000-0000-00006E640000}"/>
    <cellStyle name="Comma 3 4 3 2 5 2" xfId="25669" xr:uid="{00000000-0005-0000-0000-000075640000}"/>
    <cellStyle name="Comma 3 4 3 2 5 2 2" xfId="25672" xr:uid="{00000000-0005-0000-0000-000078640000}"/>
    <cellStyle name="Comma 3 4 3 2 5 2 2 2" xfId="25674" xr:uid="{00000000-0005-0000-0000-00007A640000}"/>
    <cellStyle name="Comma 3 4 3 2 5 2 3" xfId="8084" xr:uid="{00000000-0005-0000-0000-0000C41F0000}"/>
    <cellStyle name="Comma 3 4 3 2 5 2 4" xfId="25676" xr:uid="{00000000-0005-0000-0000-00007C640000}"/>
    <cellStyle name="Comma 3 4 3 2 5 2 5" xfId="25677" xr:uid="{00000000-0005-0000-0000-00007D640000}"/>
    <cellStyle name="Comma 3 4 3 2 5 3" xfId="25679" xr:uid="{00000000-0005-0000-0000-00007F640000}"/>
    <cellStyle name="Comma 3 4 3 2 5 3 2" xfId="25681" xr:uid="{00000000-0005-0000-0000-000081640000}"/>
    <cellStyle name="Comma 3 4 3 2 5 4" xfId="17918" xr:uid="{00000000-0005-0000-0000-00002E460000}"/>
    <cellStyle name="Comma 3 4 3 2 5 5" xfId="17291" xr:uid="{00000000-0005-0000-0000-0000BB430000}"/>
    <cellStyle name="Comma 3 4 3 2 5 6" xfId="15994" xr:uid="{00000000-0005-0000-0000-0000AA3E0000}"/>
    <cellStyle name="Comma 3 4 3 2 5 7" xfId="15998" xr:uid="{00000000-0005-0000-0000-0000AE3E0000}"/>
    <cellStyle name="Comma 3 4 3 2 5 8" xfId="25683" xr:uid="{00000000-0005-0000-0000-000083640000}"/>
    <cellStyle name="Comma 3 4 3 2 5 9" xfId="25686" xr:uid="{00000000-0005-0000-0000-000086640000}"/>
    <cellStyle name="Comma 3 4 3 2 6" xfId="25689" xr:uid="{00000000-0005-0000-0000-000089640000}"/>
    <cellStyle name="Comma 3 4 3 2 6 2" xfId="25692" xr:uid="{00000000-0005-0000-0000-00008C640000}"/>
    <cellStyle name="Comma 3 4 3 2 6 2 2" xfId="25635" xr:uid="{00000000-0005-0000-0000-000053640000}"/>
    <cellStyle name="Comma 3 4 3 2 6 3" xfId="25695" xr:uid="{00000000-0005-0000-0000-00008F640000}"/>
    <cellStyle name="Comma 3 4 3 2 6 4" xfId="17925" xr:uid="{00000000-0005-0000-0000-000035460000}"/>
    <cellStyle name="Comma 3 4 3 2 6 5" xfId="25697" xr:uid="{00000000-0005-0000-0000-000091640000}"/>
    <cellStyle name="Comma 3 4 3 2 6 6" xfId="25699" xr:uid="{00000000-0005-0000-0000-000093640000}"/>
    <cellStyle name="Comma 3 4 3 2 6 7" xfId="25700" xr:uid="{00000000-0005-0000-0000-000094640000}"/>
    <cellStyle name="Comma 3 4 3 2 6 8" xfId="25701" xr:uid="{00000000-0005-0000-0000-000095640000}"/>
    <cellStyle name="Comma 3 4 3 2 6 9" xfId="25703" xr:uid="{00000000-0005-0000-0000-000097640000}"/>
    <cellStyle name="Comma 3 4 3 2 7" xfId="25706" xr:uid="{00000000-0005-0000-0000-00009A640000}"/>
    <cellStyle name="Comma 3 4 3 2 7 2" xfId="25709" xr:uid="{00000000-0005-0000-0000-00009D640000}"/>
    <cellStyle name="Comma 3 4 3 2 8" xfId="1549" xr:uid="{00000000-0005-0000-0000-00003D060000}"/>
    <cellStyle name="Comma 3 4 3 2 9" xfId="1576" xr:uid="{00000000-0005-0000-0000-000058060000}"/>
    <cellStyle name="Comma 3 4 3 20" xfId="17139" xr:uid="{00000000-0005-0000-0000-000023430000}"/>
    <cellStyle name="Comma 3 4 3 21" xfId="17142" xr:uid="{00000000-0005-0000-0000-000026430000}"/>
    <cellStyle name="Comma 3 4 3 22" xfId="17145" xr:uid="{00000000-0005-0000-0000-000029430000}"/>
    <cellStyle name="Comma 3 4 3 23" xfId="12489" xr:uid="{00000000-0005-0000-0000-0000F9300000}"/>
    <cellStyle name="Comma 3 4 3 3" xfId="25712" xr:uid="{00000000-0005-0000-0000-0000A0640000}"/>
    <cellStyle name="Comma 3 4 3 3 10" xfId="15225" xr:uid="{00000000-0005-0000-0000-0000A93B0000}"/>
    <cellStyle name="Comma 3 4 3 3 11" xfId="15227" xr:uid="{00000000-0005-0000-0000-0000AB3B0000}"/>
    <cellStyle name="Comma 3 4 3 3 12" xfId="1081" xr:uid="{00000000-0005-0000-0000-000069040000}"/>
    <cellStyle name="Comma 3 4 3 3 13" xfId="15229" xr:uid="{00000000-0005-0000-0000-0000AD3B0000}"/>
    <cellStyle name="Comma 3 4 3 3 14" xfId="222" xr:uid="{00000000-0005-0000-0000-0000EE000000}"/>
    <cellStyle name="Comma 3 4 3 3 15" xfId="15234" xr:uid="{00000000-0005-0000-0000-0000B23B0000}"/>
    <cellStyle name="Comma 3 4 3 3 16" xfId="15777" xr:uid="{00000000-0005-0000-0000-0000D13D0000}"/>
    <cellStyle name="Comma 3 4 3 3 17" xfId="24067" xr:uid="{00000000-0005-0000-0000-0000335E0000}"/>
    <cellStyle name="Comma 3 4 3 3 18" xfId="24079" xr:uid="{00000000-0005-0000-0000-00003F5E0000}"/>
    <cellStyle name="Comma 3 4 3 3 2" xfId="25713" xr:uid="{00000000-0005-0000-0000-0000A1640000}"/>
    <cellStyle name="Comma 3 4 3 3 2 10" xfId="25714" xr:uid="{00000000-0005-0000-0000-0000A2640000}"/>
    <cellStyle name="Comma 3 4 3 3 2 2" xfId="25715" xr:uid="{00000000-0005-0000-0000-0000A3640000}"/>
    <cellStyle name="Comma 3 4 3 3 2 2 2" xfId="24413" xr:uid="{00000000-0005-0000-0000-00008D5F0000}"/>
    <cellStyle name="Comma 3 4 3 3 2 3" xfId="20355" xr:uid="{00000000-0005-0000-0000-0000B34F0000}"/>
    <cellStyle name="Comma 3 4 3 3 2 4" xfId="20366" xr:uid="{00000000-0005-0000-0000-0000BE4F0000}"/>
    <cellStyle name="Comma 3 4 3 3 2 5" xfId="20373" xr:uid="{00000000-0005-0000-0000-0000C54F0000}"/>
    <cellStyle name="Comma 3 4 3 3 2 6" xfId="9301" xr:uid="{00000000-0005-0000-0000-000085240000}"/>
    <cellStyle name="Comma 3 4 3 3 2 7" xfId="20378" xr:uid="{00000000-0005-0000-0000-0000CA4F0000}"/>
    <cellStyle name="Comma 3 4 3 3 2 8" xfId="20384" xr:uid="{00000000-0005-0000-0000-0000D04F0000}"/>
    <cellStyle name="Comma 3 4 3 3 2 9" xfId="20389" xr:uid="{00000000-0005-0000-0000-0000D54F0000}"/>
    <cellStyle name="Comma 3 4 3 3 3" xfId="25716" xr:uid="{00000000-0005-0000-0000-0000A4640000}"/>
    <cellStyle name="Comma 3 4 3 3 3 2" xfId="25717" xr:uid="{00000000-0005-0000-0000-0000A5640000}"/>
    <cellStyle name="Comma 3 4 3 3 3 3" xfId="20394" xr:uid="{00000000-0005-0000-0000-0000DA4F0000}"/>
    <cellStyle name="Comma 3 4 3 3 3 4" xfId="6442" xr:uid="{00000000-0005-0000-0000-00005A190000}"/>
    <cellStyle name="Comma 3 4 3 3 3 5" xfId="6455" xr:uid="{00000000-0005-0000-0000-000067190000}"/>
    <cellStyle name="Comma 3 4 3 3 3 6" xfId="13845" xr:uid="{00000000-0005-0000-0000-000045360000}"/>
    <cellStyle name="Comma 3 4 3 3 4" xfId="25718" xr:uid="{00000000-0005-0000-0000-0000A6640000}"/>
    <cellStyle name="Comma 3 4 3 3 4 2" xfId="25721" xr:uid="{00000000-0005-0000-0000-0000A9640000}"/>
    <cellStyle name="Comma 3 4 3 3 4 3" xfId="20405" xr:uid="{00000000-0005-0000-0000-0000E54F0000}"/>
    <cellStyle name="Comma 3 4 3 3 4 4" xfId="6464" xr:uid="{00000000-0005-0000-0000-000070190000}"/>
    <cellStyle name="Comma 3 4 3 3 4 5" xfId="6478" xr:uid="{00000000-0005-0000-0000-00007E190000}"/>
    <cellStyle name="Comma 3 4 3 3 4 6" xfId="13876" xr:uid="{00000000-0005-0000-0000-000064360000}"/>
    <cellStyle name="Comma 3 4 3 3 5" xfId="25725" xr:uid="{00000000-0005-0000-0000-0000AD640000}"/>
    <cellStyle name="Comma 3 4 3 3 5 2" xfId="23986" xr:uid="{00000000-0005-0000-0000-0000E25D0000}"/>
    <cellStyle name="Comma 3 4 3 3 5 3" xfId="20413" xr:uid="{00000000-0005-0000-0000-0000ED4F0000}"/>
    <cellStyle name="Comma 3 4 3 3 5 4" xfId="6488" xr:uid="{00000000-0005-0000-0000-000088190000}"/>
    <cellStyle name="Comma 3 4 3 3 5 5" xfId="6522" xr:uid="{00000000-0005-0000-0000-0000AA190000}"/>
    <cellStyle name="Comma 3 4 3 3 5 6" xfId="17940" xr:uid="{00000000-0005-0000-0000-000044460000}"/>
    <cellStyle name="Comma 3 4 3 3 6" xfId="25729" xr:uid="{00000000-0005-0000-0000-0000B1640000}"/>
    <cellStyle name="Comma 3 4 3 3 6 2" xfId="25730" xr:uid="{00000000-0005-0000-0000-0000B2640000}"/>
    <cellStyle name="Comma 3 4 3 3 6 3" xfId="20441" xr:uid="{00000000-0005-0000-0000-000009500000}"/>
    <cellStyle name="Comma 3 4 3 3 6 4" xfId="6532" xr:uid="{00000000-0005-0000-0000-0000B4190000}"/>
    <cellStyle name="Comma 3 4 3 3 6 5" xfId="6570" xr:uid="{00000000-0005-0000-0000-0000DA190000}"/>
    <cellStyle name="Comma 3 4 3 3 6 6" xfId="20445" xr:uid="{00000000-0005-0000-0000-00000D500000}"/>
    <cellStyle name="Comma 3 4 3 3 7" xfId="25734" xr:uid="{00000000-0005-0000-0000-0000B6640000}"/>
    <cellStyle name="Comma 3 4 3 3 8" xfId="1863" xr:uid="{00000000-0005-0000-0000-000077070000}"/>
    <cellStyle name="Comma 3 4 3 3 9" xfId="1937" xr:uid="{00000000-0005-0000-0000-0000C1070000}"/>
    <cellStyle name="Comma 3 4 3 4" xfId="25736" xr:uid="{00000000-0005-0000-0000-0000B8640000}"/>
    <cellStyle name="Comma 3 4 3 4 10" xfId="15441" xr:uid="{00000000-0005-0000-0000-0000813C0000}"/>
    <cellStyle name="Comma 3 4 3 4 11" xfId="6507" xr:uid="{00000000-0005-0000-0000-00009B190000}"/>
    <cellStyle name="Comma 3 4 3 4 12" xfId="6513" xr:uid="{00000000-0005-0000-0000-0000A1190000}"/>
    <cellStyle name="Comma 3 4 3 4 13" xfId="4927" xr:uid="{00000000-0005-0000-0000-00006F130000}"/>
    <cellStyle name="Comma 3 4 3 4 14" xfId="3556" xr:uid="{00000000-0005-0000-0000-0000140E0000}"/>
    <cellStyle name="Comma 3 4 3 4 15" xfId="15443" xr:uid="{00000000-0005-0000-0000-0000833C0000}"/>
    <cellStyle name="Comma 3 4 3 4 2" xfId="25738" xr:uid="{00000000-0005-0000-0000-0000BA640000}"/>
    <cellStyle name="Comma 3 4 3 4 2 2" xfId="21945" xr:uid="{00000000-0005-0000-0000-0000E9550000}"/>
    <cellStyle name="Comma 3 4 3 4 2 2 2" xfId="8883" xr:uid="{00000000-0005-0000-0000-0000E3220000}"/>
    <cellStyle name="Comma 3 4 3 4 2 3" xfId="20473" xr:uid="{00000000-0005-0000-0000-000029500000}"/>
    <cellStyle name="Comma 3 4 3 4 2 4" xfId="20479" xr:uid="{00000000-0005-0000-0000-00002F500000}"/>
    <cellStyle name="Comma 3 4 3 4 2 5" xfId="20486" xr:uid="{00000000-0005-0000-0000-000036500000}"/>
    <cellStyle name="Comma 3 4 3 4 2 6" xfId="8203" xr:uid="{00000000-0005-0000-0000-00003B200000}"/>
    <cellStyle name="Comma 3 4 3 4 2 7" xfId="20494" xr:uid="{00000000-0005-0000-0000-00003E500000}"/>
    <cellStyle name="Comma 3 4 3 4 2 8" xfId="20501" xr:uid="{00000000-0005-0000-0000-000045500000}"/>
    <cellStyle name="Comma 3 4 3 4 2 9" xfId="20506" xr:uid="{00000000-0005-0000-0000-00004A500000}"/>
    <cellStyle name="Comma 3 4 3 4 3" xfId="25739" xr:uid="{00000000-0005-0000-0000-0000BB640000}"/>
    <cellStyle name="Comma 3 4 3 4 3 2" xfId="25740" xr:uid="{00000000-0005-0000-0000-0000BC640000}"/>
    <cellStyle name="Comma 3 4 3 4 3 3" xfId="20511" xr:uid="{00000000-0005-0000-0000-00004F500000}"/>
    <cellStyle name="Comma 3 4 3 4 3 4" xfId="20514" xr:uid="{00000000-0005-0000-0000-000052500000}"/>
    <cellStyle name="Comma 3 4 3 4 3 5" xfId="17355" xr:uid="{00000000-0005-0000-0000-0000FB430000}"/>
    <cellStyle name="Comma 3 4 3 4 3 6" xfId="13888" xr:uid="{00000000-0005-0000-0000-000070360000}"/>
    <cellStyle name="Comma 3 4 3 4 4" xfId="25741" xr:uid="{00000000-0005-0000-0000-0000BD640000}"/>
    <cellStyle name="Comma 3 4 3 4 4 2" xfId="25742" xr:uid="{00000000-0005-0000-0000-0000BE640000}"/>
    <cellStyle name="Comma 3 4 3 4 5" xfId="25745" xr:uid="{00000000-0005-0000-0000-0000C1640000}"/>
    <cellStyle name="Comma 3 4 3 4 6" xfId="25749" xr:uid="{00000000-0005-0000-0000-0000C5640000}"/>
    <cellStyle name="Comma 3 4 3 4 7" xfId="25642" xr:uid="{00000000-0005-0000-0000-00005A640000}"/>
    <cellStyle name="Comma 3 4 3 4 8" xfId="5640" xr:uid="{00000000-0005-0000-0000-000038160000}"/>
    <cellStyle name="Comma 3 4 3 4 9" xfId="817" xr:uid="{00000000-0005-0000-0000-000061030000}"/>
    <cellStyle name="Comma 3 4 3 5" xfId="25752" xr:uid="{00000000-0005-0000-0000-0000C8640000}"/>
    <cellStyle name="Comma 3 4 3 5 10" xfId="15510" xr:uid="{00000000-0005-0000-0000-0000C63C0000}"/>
    <cellStyle name="Comma 3 4 3 5 11" xfId="15513" xr:uid="{00000000-0005-0000-0000-0000C93C0000}"/>
    <cellStyle name="Comma 3 4 3 5 12" xfId="1557" xr:uid="{00000000-0005-0000-0000-000045060000}"/>
    <cellStyle name="Comma 3 4 3 5 13" xfId="4186" xr:uid="{00000000-0005-0000-0000-00008A100000}"/>
    <cellStyle name="Comma 3 4 3 5 2" xfId="25753" xr:uid="{00000000-0005-0000-0000-0000C9640000}"/>
    <cellStyle name="Comma 3 4 3 5 2 2" xfId="25754" xr:uid="{00000000-0005-0000-0000-0000CA640000}"/>
    <cellStyle name="Comma 3 4 3 5 2 2 2" xfId="6462" xr:uid="{00000000-0005-0000-0000-00006E190000}"/>
    <cellStyle name="Comma 3 4 3 5 2 3" xfId="20575" xr:uid="{00000000-0005-0000-0000-00008F500000}"/>
    <cellStyle name="Comma 3 4 3 5 2 4" xfId="20578" xr:uid="{00000000-0005-0000-0000-000092500000}"/>
    <cellStyle name="Comma 3 4 3 5 2 5" xfId="20582" xr:uid="{00000000-0005-0000-0000-000096500000}"/>
    <cellStyle name="Comma 3 4 3 5 2 6" xfId="9366" xr:uid="{00000000-0005-0000-0000-0000C6240000}"/>
    <cellStyle name="Comma 3 4 3 5 2 7" xfId="20586" xr:uid="{00000000-0005-0000-0000-00009A500000}"/>
    <cellStyle name="Comma 3 4 3 5 2 8" xfId="20591" xr:uid="{00000000-0005-0000-0000-00009F500000}"/>
    <cellStyle name="Comma 3 4 3 5 2 9" xfId="20595" xr:uid="{00000000-0005-0000-0000-0000A3500000}"/>
    <cellStyle name="Comma 3 4 3 5 3" xfId="25755" xr:uid="{00000000-0005-0000-0000-0000CB640000}"/>
    <cellStyle name="Comma 3 4 3 5 3 2" xfId="25756" xr:uid="{00000000-0005-0000-0000-0000CC640000}"/>
    <cellStyle name="Comma 3 4 3 5 3 3" xfId="20600" xr:uid="{00000000-0005-0000-0000-0000A8500000}"/>
    <cellStyle name="Comma 3 4 3 5 3 4" xfId="20603" xr:uid="{00000000-0005-0000-0000-0000AB500000}"/>
    <cellStyle name="Comma 3 4 3 5 3 5" xfId="17384" xr:uid="{00000000-0005-0000-0000-000018440000}"/>
    <cellStyle name="Comma 3 4 3 5 3 6" xfId="13913" xr:uid="{00000000-0005-0000-0000-000089360000}"/>
    <cellStyle name="Comma 3 4 3 5 4" xfId="25757" xr:uid="{00000000-0005-0000-0000-0000CD640000}"/>
    <cellStyle name="Comma 3 4 3 5 4 2" xfId="23633" xr:uid="{00000000-0005-0000-0000-0000815C0000}"/>
    <cellStyle name="Comma 3 4 3 5 5" xfId="25761" xr:uid="{00000000-0005-0000-0000-0000D1640000}"/>
    <cellStyle name="Comma 3 4 3 5 6" xfId="25764" xr:uid="{00000000-0005-0000-0000-0000D4640000}"/>
    <cellStyle name="Comma 3 4 3 5 7" xfId="25767" xr:uid="{00000000-0005-0000-0000-0000D7640000}"/>
    <cellStyle name="Comma 3 4 3 5 8" xfId="5998" xr:uid="{00000000-0005-0000-0000-00009E170000}"/>
    <cellStyle name="Comma 3 4 3 5 9" xfId="1006" xr:uid="{00000000-0005-0000-0000-00001E040000}"/>
    <cellStyle name="Comma 3 4 3 6" xfId="25769" xr:uid="{00000000-0005-0000-0000-0000D9640000}"/>
    <cellStyle name="Comma 3 4 3 6 10" xfId="15579" xr:uid="{00000000-0005-0000-0000-00000B3D0000}"/>
    <cellStyle name="Comma 3 4 3 6 11" xfId="25770" xr:uid="{00000000-0005-0000-0000-0000DA640000}"/>
    <cellStyle name="Comma 3 4 3 6 12" xfId="628" xr:uid="{00000000-0005-0000-0000-0000A0020000}"/>
    <cellStyle name="Comma 3 4 3 6 2" xfId="25773" xr:uid="{00000000-0005-0000-0000-0000DD640000}"/>
    <cellStyle name="Comma 3 4 3 6 2 2" xfId="25775" xr:uid="{00000000-0005-0000-0000-0000DF640000}"/>
    <cellStyle name="Comma 3 4 3 6 2 2 2" xfId="641" xr:uid="{00000000-0005-0000-0000-0000AE020000}"/>
    <cellStyle name="Comma 3 4 3 6 2 3" xfId="20626" xr:uid="{00000000-0005-0000-0000-0000C2500000}"/>
    <cellStyle name="Comma 3 4 3 6 2 4" xfId="20631" xr:uid="{00000000-0005-0000-0000-0000C7500000}"/>
    <cellStyle name="Comma 3 4 3 6 2 5" xfId="20635" xr:uid="{00000000-0005-0000-0000-0000CB500000}"/>
    <cellStyle name="Comma 3 4 3 6 2 6" xfId="20641" xr:uid="{00000000-0005-0000-0000-0000D1500000}"/>
    <cellStyle name="Comma 3 4 3 6 2 7" xfId="20647" xr:uid="{00000000-0005-0000-0000-0000D7500000}"/>
    <cellStyle name="Comma 3 4 3 6 2 8" xfId="20653" xr:uid="{00000000-0005-0000-0000-0000DD500000}"/>
    <cellStyle name="Comma 3 4 3 6 2 9" xfId="20659" xr:uid="{00000000-0005-0000-0000-0000E3500000}"/>
    <cellStyle name="Comma 3 4 3 6 3" xfId="25776" xr:uid="{00000000-0005-0000-0000-0000E0640000}"/>
    <cellStyle name="Comma 3 4 3 6 3 2" xfId="25777" xr:uid="{00000000-0005-0000-0000-0000E1640000}"/>
    <cellStyle name="Comma 3 4 3 6 3 3" xfId="20664" xr:uid="{00000000-0005-0000-0000-0000E8500000}"/>
    <cellStyle name="Comma 3 4 3 6 3 4" xfId="20668" xr:uid="{00000000-0005-0000-0000-0000EC500000}"/>
    <cellStyle name="Comma 3 4 3 6 3 5" xfId="20672" xr:uid="{00000000-0005-0000-0000-0000F0500000}"/>
    <cellStyle name="Comma 3 4 3 6 3 6" xfId="13931" xr:uid="{00000000-0005-0000-0000-00009B360000}"/>
    <cellStyle name="Comma 3 4 3 6 4" xfId="25778" xr:uid="{00000000-0005-0000-0000-0000E2640000}"/>
    <cellStyle name="Comma 3 4 3 6 4 2" xfId="25779" xr:uid="{00000000-0005-0000-0000-0000E3640000}"/>
    <cellStyle name="Comma 3 4 3 6 5" xfId="25780" xr:uid="{00000000-0005-0000-0000-0000E4640000}"/>
    <cellStyle name="Comma 3 4 3 6 6" xfId="25781" xr:uid="{00000000-0005-0000-0000-0000E5640000}"/>
    <cellStyle name="Comma 3 4 3 6 7" xfId="25782" xr:uid="{00000000-0005-0000-0000-0000E6640000}"/>
    <cellStyle name="Comma 3 4 3 6 8" xfId="25783" xr:uid="{00000000-0005-0000-0000-0000E7640000}"/>
    <cellStyle name="Comma 3 4 3 6 9" xfId="25785" xr:uid="{00000000-0005-0000-0000-0000E9640000}"/>
    <cellStyle name="Comma 3 4 3 7" xfId="25788" xr:uid="{00000000-0005-0000-0000-0000EC640000}"/>
    <cellStyle name="Comma 3 4 3 7 2" xfId="25789" xr:uid="{00000000-0005-0000-0000-0000ED640000}"/>
    <cellStyle name="Comma 3 4 3 7 2 2" xfId="25792" xr:uid="{00000000-0005-0000-0000-0000F0640000}"/>
    <cellStyle name="Comma 3 4 3 7 3" xfId="25793" xr:uid="{00000000-0005-0000-0000-0000F1640000}"/>
    <cellStyle name="Comma 3 4 3 7 4" xfId="25794" xr:uid="{00000000-0005-0000-0000-0000F2640000}"/>
    <cellStyle name="Comma 3 4 3 7 5" xfId="25795" xr:uid="{00000000-0005-0000-0000-0000F3640000}"/>
    <cellStyle name="Comma 3 4 3 7 6" xfId="25796" xr:uid="{00000000-0005-0000-0000-0000F4640000}"/>
    <cellStyle name="Comma 3 4 3 7 7" xfId="25797" xr:uid="{00000000-0005-0000-0000-0000F5640000}"/>
    <cellStyle name="Comma 3 4 3 7 8" xfId="25798" xr:uid="{00000000-0005-0000-0000-0000F6640000}"/>
    <cellStyle name="Comma 3 4 3 7 9" xfId="25800" xr:uid="{00000000-0005-0000-0000-0000F8640000}"/>
    <cellStyle name="Comma 3 4 3 8" xfId="25801" xr:uid="{00000000-0005-0000-0000-0000F9640000}"/>
    <cellStyle name="Comma 3 4 3 8 2" xfId="20770" xr:uid="{00000000-0005-0000-0000-000052510000}"/>
    <cellStyle name="Comma 3 4 3 8 3" xfId="20773" xr:uid="{00000000-0005-0000-0000-000055510000}"/>
    <cellStyle name="Comma 3 4 3 8 4" xfId="20782" xr:uid="{00000000-0005-0000-0000-00005E510000}"/>
    <cellStyle name="Comma 3 4 3 8 5" xfId="20787" xr:uid="{00000000-0005-0000-0000-000063510000}"/>
    <cellStyle name="Comma 3 4 3 8 6" xfId="20792" xr:uid="{00000000-0005-0000-0000-000068510000}"/>
    <cellStyle name="Comma 3 4 3 9" xfId="25802" xr:uid="{00000000-0005-0000-0000-0000FA640000}"/>
    <cellStyle name="Comma 3 4 3 9 2" xfId="20808" xr:uid="{00000000-0005-0000-0000-000078510000}"/>
    <cellStyle name="Comma 3 4 3 9 3" xfId="17575" xr:uid="{00000000-0005-0000-0000-0000D7440000}"/>
    <cellStyle name="Comma 3 4 3 9 4" xfId="15214" xr:uid="{00000000-0005-0000-0000-00009E3B0000}"/>
    <cellStyle name="Comma 3 4 3 9 5" xfId="15219" xr:uid="{00000000-0005-0000-0000-0000A33B0000}"/>
    <cellStyle name="Comma 3 4 3 9 6" xfId="15223" xr:uid="{00000000-0005-0000-0000-0000A73B0000}"/>
    <cellStyle name="Comma 3 4 4" xfId="13641" xr:uid="{00000000-0005-0000-0000-000079350000}"/>
    <cellStyle name="Comma 3 4 4 10" xfId="25804" xr:uid="{00000000-0005-0000-0000-0000FC640000}"/>
    <cellStyle name="Comma 3 4 4 10 2" xfId="25806" xr:uid="{00000000-0005-0000-0000-0000FE640000}"/>
    <cellStyle name="Comma 3 4 4 10 3" xfId="25808" xr:uid="{00000000-0005-0000-0000-000000650000}"/>
    <cellStyle name="Comma 3 4 4 10 4" xfId="7844" xr:uid="{00000000-0005-0000-0000-0000D41E0000}"/>
    <cellStyle name="Comma 3 4 4 10 5" xfId="25809" xr:uid="{00000000-0005-0000-0000-000001650000}"/>
    <cellStyle name="Comma 3 4 4 10 6" xfId="25810" xr:uid="{00000000-0005-0000-0000-000002650000}"/>
    <cellStyle name="Comma 3 4 4 11" xfId="24897" xr:uid="{00000000-0005-0000-0000-000071610000}"/>
    <cellStyle name="Comma 3 4 4 11 2" xfId="15639" xr:uid="{00000000-0005-0000-0000-0000473D0000}"/>
    <cellStyle name="Comma 3 4 4 11 3" xfId="15645" xr:uid="{00000000-0005-0000-0000-00004D3D0000}"/>
    <cellStyle name="Comma 3 4 4 11 4" xfId="15650" xr:uid="{00000000-0005-0000-0000-0000523D0000}"/>
    <cellStyle name="Comma 3 4 4 11 5" xfId="23193" xr:uid="{00000000-0005-0000-0000-0000C95A0000}"/>
    <cellStyle name="Comma 3 4 4 11 6" xfId="23072" xr:uid="{00000000-0005-0000-0000-0000505A0000}"/>
    <cellStyle name="Comma 3 4 4 12" xfId="25813" xr:uid="{00000000-0005-0000-0000-000005650000}"/>
    <cellStyle name="Comma 3 4 4 13" xfId="25816" xr:uid="{00000000-0005-0000-0000-000008650000}"/>
    <cellStyle name="Comma 3 4 4 14" xfId="25818" xr:uid="{00000000-0005-0000-0000-00000A650000}"/>
    <cellStyle name="Comma 3 4 4 15" xfId="25821" xr:uid="{00000000-0005-0000-0000-00000D650000}"/>
    <cellStyle name="Comma 3 4 4 16" xfId="25824" xr:uid="{00000000-0005-0000-0000-000010650000}"/>
    <cellStyle name="Comma 3 4 4 17" xfId="25827" xr:uid="{00000000-0005-0000-0000-000013650000}"/>
    <cellStyle name="Comma 3 4 4 18" xfId="25830" xr:uid="{00000000-0005-0000-0000-000016650000}"/>
    <cellStyle name="Comma 3 4 4 19" xfId="25831" xr:uid="{00000000-0005-0000-0000-000017650000}"/>
    <cellStyle name="Comma 3 4 4 2" xfId="8919" xr:uid="{00000000-0005-0000-0000-000007230000}"/>
    <cellStyle name="Comma 3 4 4 2 10" xfId="25832" xr:uid="{00000000-0005-0000-0000-000018650000}"/>
    <cellStyle name="Comma 3 4 4 2 11" xfId="25833" xr:uid="{00000000-0005-0000-0000-000019650000}"/>
    <cellStyle name="Comma 3 4 4 2 12" xfId="25834" xr:uid="{00000000-0005-0000-0000-00001A650000}"/>
    <cellStyle name="Comma 3 4 4 2 13" xfId="25835" xr:uid="{00000000-0005-0000-0000-00001B650000}"/>
    <cellStyle name="Comma 3 4 4 2 14" xfId="25836" xr:uid="{00000000-0005-0000-0000-00001C650000}"/>
    <cellStyle name="Comma 3 4 4 2 15" xfId="17853" xr:uid="{00000000-0005-0000-0000-0000ED450000}"/>
    <cellStyle name="Comma 3 4 4 2 16" xfId="17877" xr:uid="{00000000-0005-0000-0000-000005460000}"/>
    <cellStyle name="Comma 3 4 4 2 17" xfId="17910" xr:uid="{00000000-0005-0000-0000-000026460000}"/>
    <cellStyle name="Comma 3 4 4 2 18" xfId="14421" xr:uid="{00000000-0005-0000-0000-000085380000}"/>
    <cellStyle name="Comma 3 4 4 2 2" xfId="13645" xr:uid="{00000000-0005-0000-0000-00007D350000}"/>
    <cellStyle name="Comma 3 4 4 2 2 10" xfId="8993" xr:uid="{00000000-0005-0000-0000-000051230000}"/>
    <cellStyle name="Comma 3 4 4 2 2 11" xfId="8995" xr:uid="{00000000-0005-0000-0000-000053230000}"/>
    <cellStyle name="Comma 3 4 4 2 2 12" xfId="9000" xr:uid="{00000000-0005-0000-0000-000058230000}"/>
    <cellStyle name="Comma 3 4 4 2 2 2" xfId="10599" xr:uid="{00000000-0005-0000-0000-000097290000}"/>
    <cellStyle name="Comma 3 4 4 2 2 2 2" xfId="16671" xr:uid="{00000000-0005-0000-0000-00004F410000}"/>
    <cellStyle name="Comma 3 4 4 2 2 2 2 2" xfId="16672" xr:uid="{00000000-0005-0000-0000-000050410000}"/>
    <cellStyle name="Comma 3 4 4 2 2 2 3" xfId="2919" xr:uid="{00000000-0005-0000-0000-0000970B0000}"/>
    <cellStyle name="Comma 3 4 4 2 2 2 4" xfId="7888" xr:uid="{00000000-0005-0000-0000-0000001F0000}"/>
    <cellStyle name="Comma 3 4 4 2 2 2 5" xfId="7892" xr:uid="{00000000-0005-0000-0000-0000041F0000}"/>
    <cellStyle name="Comma 3 4 4 2 2 3" xfId="10604" xr:uid="{00000000-0005-0000-0000-00009C290000}"/>
    <cellStyle name="Comma 3 4 4 2 2 3 2" xfId="17130" xr:uid="{00000000-0005-0000-0000-00001A430000}"/>
    <cellStyle name="Comma 3 4 4 2 2 4" xfId="10609" xr:uid="{00000000-0005-0000-0000-0000A1290000}"/>
    <cellStyle name="Comma 3 4 4 2 2 5" xfId="25579" xr:uid="{00000000-0005-0000-0000-00001B640000}"/>
    <cellStyle name="Comma 3 4 4 2 2 6" xfId="25581" xr:uid="{00000000-0005-0000-0000-00001D640000}"/>
    <cellStyle name="Comma 3 4 4 2 2 7" xfId="25585" xr:uid="{00000000-0005-0000-0000-000021640000}"/>
    <cellStyle name="Comma 3 4 4 2 2 8" xfId="25588" xr:uid="{00000000-0005-0000-0000-000024640000}"/>
    <cellStyle name="Comma 3 4 4 2 2 9" xfId="25838" xr:uid="{00000000-0005-0000-0000-00001E650000}"/>
    <cellStyle name="Comma 3 4 4 2 3" xfId="3304" xr:uid="{00000000-0005-0000-0000-0000180D0000}"/>
    <cellStyle name="Comma 3 4 4 2 3 10" xfId="25841" xr:uid="{00000000-0005-0000-0000-000021650000}"/>
    <cellStyle name="Comma 3 4 4 2 3 11" xfId="25844" xr:uid="{00000000-0005-0000-0000-000024650000}"/>
    <cellStyle name="Comma 3 4 4 2 3 12" xfId="25847" xr:uid="{00000000-0005-0000-0000-000027650000}"/>
    <cellStyle name="Comma 3 4 4 2 3 2" xfId="10071" xr:uid="{00000000-0005-0000-0000-000087270000}"/>
    <cellStyle name="Comma 3 4 4 2 3 2 2" xfId="18243" xr:uid="{00000000-0005-0000-0000-000073470000}"/>
    <cellStyle name="Comma 3 4 4 2 3 2 2 2" xfId="18244" xr:uid="{00000000-0005-0000-0000-000074470000}"/>
    <cellStyle name="Comma 3 4 4 2 3 2 3" xfId="24318" xr:uid="{00000000-0005-0000-0000-00002E5F0000}"/>
    <cellStyle name="Comma 3 4 4 2 3 2 4" xfId="25849" xr:uid="{00000000-0005-0000-0000-000029650000}"/>
    <cellStyle name="Comma 3 4 4 2 3 2 5" xfId="15009" xr:uid="{00000000-0005-0000-0000-0000D13A0000}"/>
    <cellStyle name="Comma 3 4 4 2 3 3" xfId="25850" xr:uid="{00000000-0005-0000-0000-00002A650000}"/>
    <cellStyle name="Comma 3 4 4 2 3 3 2" xfId="18759" xr:uid="{00000000-0005-0000-0000-000077490000}"/>
    <cellStyle name="Comma 3 4 4 2 3 4" xfId="25590" xr:uid="{00000000-0005-0000-0000-000026640000}"/>
    <cellStyle name="Comma 3 4 4 2 3 5" xfId="17538" xr:uid="{00000000-0005-0000-0000-0000B2440000}"/>
    <cellStyle name="Comma 3 4 4 2 3 6" xfId="13970" xr:uid="{00000000-0005-0000-0000-0000C2360000}"/>
    <cellStyle name="Comma 3 4 4 2 3 7" xfId="17544" xr:uid="{00000000-0005-0000-0000-0000B8440000}"/>
    <cellStyle name="Comma 3 4 4 2 3 8" xfId="17549" xr:uid="{00000000-0005-0000-0000-0000BD440000}"/>
    <cellStyle name="Comma 3 4 4 2 3 9" xfId="25851" xr:uid="{00000000-0005-0000-0000-00002B650000}"/>
    <cellStyle name="Comma 3 4 4 2 4" xfId="25852" xr:uid="{00000000-0005-0000-0000-00002C650000}"/>
    <cellStyle name="Comma 3 4 4 2 4 10" xfId="25853" xr:uid="{00000000-0005-0000-0000-00002D650000}"/>
    <cellStyle name="Comma 3 4 4 2 4 2" xfId="25856" xr:uid="{00000000-0005-0000-0000-000030650000}"/>
    <cellStyle name="Comma 3 4 4 2 4 2 2" xfId="19618" xr:uid="{00000000-0005-0000-0000-0000D24C0000}"/>
    <cellStyle name="Comma 3 4 4 2 4 2 2 2" xfId="25858" xr:uid="{00000000-0005-0000-0000-000032650000}"/>
    <cellStyle name="Comma 3 4 4 2 4 2 3" xfId="25861" xr:uid="{00000000-0005-0000-0000-000035650000}"/>
    <cellStyle name="Comma 3 4 4 2 4 2 4" xfId="25863" xr:uid="{00000000-0005-0000-0000-000037650000}"/>
    <cellStyle name="Comma 3 4 4 2 4 2 5" xfId="25865" xr:uid="{00000000-0005-0000-0000-000039650000}"/>
    <cellStyle name="Comma 3 4 4 2 4 3" xfId="25866" xr:uid="{00000000-0005-0000-0000-00003A650000}"/>
    <cellStyle name="Comma 3 4 4 2 4 3 2" xfId="14020" xr:uid="{00000000-0005-0000-0000-0000F4360000}"/>
    <cellStyle name="Comma 3 4 4 2 4 4" xfId="25867" xr:uid="{00000000-0005-0000-0000-00003B650000}"/>
    <cellStyle name="Comma 3 4 4 2 4 5" xfId="17554" xr:uid="{00000000-0005-0000-0000-0000C2440000}"/>
    <cellStyle name="Comma 3 4 4 2 4 6" xfId="25869" xr:uid="{00000000-0005-0000-0000-00003D650000}"/>
    <cellStyle name="Comma 3 4 4 2 4 7" xfId="25871" xr:uid="{00000000-0005-0000-0000-00003F650000}"/>
    <cellStyle name="Comma 3 4 4 2 4 8" xfId="25873" xr:uid="{00000000-0005-0000-0000-000041650000}"/>
    <cellStyle name="Comma 3 4 4 2 4 9" xfId="25876" xr:uid="{00000000-0005-0000-0000-000044650000}"/>
    <cellStyle name="Comma 3 4 4 2 5" xfId="16131" xr:uid="{00000000-0005-0000-0000-0000333F0000}"/>
    <cellStyle name="Comma 3 4 4 2 5 10" xfId="4943" xr:uid="{00000000-0005-0000-0000-00007F130000}"/>
    <cellStyle name="Comma 3 4 4 2 5 2" xfId="16137" xr:uid="{00000000-0005-0000-0000-0000393F0000}"/>
    <cellStyle name="Comma 3 4 4 2 5 2 2" xfId="16143" xr:uid="{00000000-0005-0000-0000-00003F3F0000}"/>
    <cellStyle name="Comma 3 4 4 2 5 2 2 2" xfId="2276" xr:uid="{00000000-0005-0000-0000-000014090000}"/>
    <cellStyle name="Comma 3 4 4 2 5 2 3" xfId="25878" xr:uid="{00000000-0005-0000-0000-000046650000}"/>
    <cellStyle name="Comma 3 4 4 2 5 2 4" xfId="16786" xr:uid="{00000000-0005-0000-0000-0000C2410000}"/>
    <cellStyle name="Comma 3 4 4 2 5 2 5" xfId="25880" xr:uid="{00000000-0005-0000-0000-000048650000}"/>
    <cellStyle name="Comma 3 4 4 2 5 3" xfId="16149" xr:uid="{00000000-0005-0000-0000-0000453F0000}"/>
    <cellStyle name="Comma 3 4 4 2 5 3 2" xfId="16865" xr:uid="{00000000-0005-0000-0000-000011420000}"/>
    <cellStyle name="Comma 3 4 4 2 5 4" xfId="16155" xr:uid="{00000000-0005-0000-0000-00004B3F0000}"/>
    <cellStyle name="Comma 3 4 4 2 5 5" xfId="16160" xr:uid="{00000000-0005-0000-0000-0000503F0000}"/>
    <cellStyle name="Comma 3 4 4 2 5 6" xfId="17843" xr:uid="{00000000-0005-0000-0000-0000E3450000}"/>
    <cellStyle name="Comma 3 4 4 2 5 7" xfId="17847" xr:uid="{00000000-0005-0000-0000-0000E7450000}"/>
    <cellStyle name="Comma 3 4 4 2 5 8" xfId="17851" xr:uid="{00000000-0005-0000-0000-0000EB450000}"/>
    <cellStyle name="Comma 3 4 4 2 5 9" xfId="25884" xr:uid="{00000000-0005-0000-0000-00004C650000}"/>
    <cellStyle name="Comma 3 4 4 2 6" xfId="16163" xr:uid="{00000000-0005-0000-0000-0000533F0000}"/>
    <cellStyle name="Comma 3 4 4 2 6 2" xfId="14222" xr:uid="{00000000-0005-0000-0000-0000BE370000}"/>
    <cellStyle name="Comma 3 4 4 2 6 2 2" xfId="20466" xr:uid="{00000000-0005-0000-0000-000022500000}"/>
    <cellStyle name="Comma 3 4 4 2 6 3" xfId="25886" xr:uid="{00000000-0005-0000-0000-00004E650000}"/>
    <cellStyle name="Comma 3 4 4 2 6 4" xfId="25888" xr:uid="{00000000-0005-0000-0000-000050650000}"/>
    <cellStyle name="Comma 3 4 4 2 6 5" xfId="25890" xr:uid="{00000000-0005-0000-0000-000052650000}"/>
    <cellStyle name="Comma 3 4 4 2 6 6" xfId="25892" xr:uid="{00000000-0005-0000-0000-000054650000}"/>
    <cellStyle name="Comma 3 4 4 2 6 7" xfId="25893" xr:uid="{00000000-0005-0000-0000-000055650000}"/>
    <cellStyle name="Comma 3 4 4 2 6 8" xfId="25894" xr:uid="{00000000-0005-0000-0000-000056650000}"/>
    <cellStyle name="Comma 3 4 4 2 6 9" xfId="25896" xr:uid="{00000000-0005-0000-0000-000058650000}"/>
    <cellStyle name="Comma 3 4 4 2 7" xfId="16168" xr:uid="{00000000-0005-0000-0000-0000583F0000}"/>
    <cellStyle name="Comma 3 4 4 2 7 2" xfId="12997" xr:uid="{00000000-0005-0000-0000-0000F5320000}"/>
    <cellStyle name="Comma 3 4 4 2 8" xfId="16175" xr:uid="{00000000-0005-0000-0000-00005F3F0000}"/>
    <cellStyle name="Comma 3 4 4 2 9" xfId="16183" xr:uid="{00000000-0005-0000-0000-0000673F0000}"/>
    <cellStyle name="Comma 3 4 4 20" xfId="25820" xr:uid="{00000000-0005-0000-0000-00000C650000}"/>
    <cellStyle name="Comma 3 4 4 21" xfId="25823" xr:uid="{00000000-0005-0000-0000-00000F650000}"/>
    <cellStyle name="Comma 3 4 4 22" xfId="25826" xr:uid="{00000000-0005-0000-0000-000012650000}"/>
    <cellStyle name="Comma 3 4 4 23" xfId="25829" xr:uid="{00000000-0005-0000-0000-000015650000}"/>
    <cellStyle name="Comma 3 4 4 3" xfId="7406" xr:uid="{00000000-0005-0000-0000-00001E1D0000}"/>
    <cellStyle name="Comma 3 4 4 3 10" xfId="15737" xr:uid="{00000000-0005-0000-0000-0000A93D0000}"/>
    <cellStyle name="Comma 3 4 4 3 11" xfId="15740" xr:uid="{00000000-0005-0000-0000-0000AC3D0000}"/>
    <cellStyle name="Comma 3 4 4 3 12" xfId="25898" xr:uid="{00000000-0005-0000-0000-00005A650000}"/>
    <cellStyle name="Comma 3 4 4 3 13" xfId="25900" xr:uid="{00000000-0005-0000-0000-00005C650000}"/>
    <cellStyle name="Comma 3 4 4 3 14" xfId="25221" xr:uid="{00000000-0005-0000-0000-0000B5620000}"/>
    <cellStyle name="Comma 3 4 4 3 15" xfId="18187" xr:uid="{00000000-0005-0000-0000-00003B470000}"/>
    <cellStyle name="Comma 3 4 4 3 16" xfId="18193" xr:uid="{00000000-0005-0000-0000-000041470000}"/>
    <cellStyle name="Comma 3 4 4 3 17" xfId="18199" xr:uid="{00000000-0005-0000-0000-000047470000}"/>
    <cellStyle name="Comma 3 4 4 3 18" xfId="18204" xr:uid="{00000000-0005-0000-0000-00004C470000}"/>
    <cellStyle name="Comma 3 4 4 3 2" xfId="25902" xr:uid="{00000000-0005-0000-0000-00005E650000}"/>
    <cellStyle name="Comma 3 4 4 3 2 10" xfId="25903" xr:uid="{00000000-0005-0000-0000-00005F650000}"/>
    <cellStyle name="Comma 3 4 4 3 2 2" xfId="25905" xr:uid="{00000000-0005-0000-0000-000061650000}"/>
    <cellStyle name="Comma 3 4 4 3 2 2 2" xfId="24438" xr:uid="{00000000-0005-0000-0000-0000A65F0000}"/>
    <cellStyle name="Comma 3 4 4 3 2 3" xfId="20761" xr:uid="{00000000-0005-0000-0000-000049510000}"/>
    <cellStyle name="Comma 3 4 4 3 2 4" xfId="20766" xr:uid="{00000000-0005-0000-0000-00004E510000}"/>
    <cellStyle name="Comma 3 4 4 3 2 5" xfId="20771" xr:uid="{00000000-0005-0000-0000-000053510000}"/>
    <cellStyle name="Comma 3 4 4 3 2 6" xfId="20777" xr:uid="{00000000-0005-0000-0000-000059510000}"/>
    <cellStyle name="Comma 3 4 4 3 2 7" xfId="20783" xr:uid="{00000000-0005-0000-0000-00005F510000}"/>
    <cellStyle name="Comma 3 4 4 3 2 8" xfId="20788" xr:uid="{00000000-0005-0000-0000-000064510000}"/>
    <cellStyle name="Comma 3 4 4 3 2 9" xfId="20793" xr:uid="{00000000-0005-0000-0000-000069510000}"/>
    <cellStyle name="Comma 3 4 4 3 3" xfId="2113" xr:uid="{00000000-0005-0000-0000-000071080000}"/>
    <cellStyle name="Comma 3 4 4 3 3 2" xfId="25907" xr:uid="{00000000-0005-0000-0000-000063650000}"/>
    <cellStyle name="Comma 3 4 4 3 3 3" xfId="20800" xr:uid="{00000000-0005-0000-0000-000070510000}"/>
    <cellStyle name="Comma 3 4 4 3 3 4" xfId="20804" xr:uid="{00000000-0005-0000-0000-000074510000}"/>
    <cellStyle name="Comma 3 4 4 3 3 5" xfId="17570" xr:uid="{00000000-0005-0000-0000-0000D2440000}"/>
    <cellStyle name="Comma 3 4 4 3 3 6" xfId="15208" xr:uid="{00000000-0005-0000-0000-0000983B0000}"/>
    <cellStyle name="Comma 3 4 4 3 4" xfId="25909" xr:uid="{00000000-0005-0000-0000-000065650000}"/>
    <cellStyle name="Comma 3 4 4 3 4 2" xfId="25913" xr:uid="{00000000-0005-0000-0000-000069650000}"/>
    <cellStyle name="Comma 3 4 4 3 4 3" xfId="20810" xr:uid="{00000000-0005-0000-0000-00007A510000}"/>
    <cellStyle name="Comma 3 4 4 3 4 4" xfId="20814" xr:uid="{00000000-0005-0000-0000-00007E510000}"/>
    <cellStyle name="Comma 3 4 4 3 4 5" xfId="17578" xr:uid="{00000000-0005-0000-0000-0000DA440000}"/>
    <cellStyle name="Comma 3 4 4 3 4 6" xfId="20818" xr:uid="{00000000-0005-0000-0000-000082510000}"/>
    <cellStyle name="Comma 3 4 4 3 5" xfId="16191" xr:uid="{00000000-0005-0000-0000-00006F3F0000}"/>
    <cellStyle name="Comma 3 4 4 3 5 2" xfId="16195" xr:uid="{00000000-0005-0000-0000-0000733F0000}"/>
    <cellStyle name="Comma 3 4 4 3 5 3" xfId="16205" xr:uid="{00000000-0005-0000-0000-00007D3F0000}"/>
    <cellStyle name="Comma 3 4 4 3 5 4" xfId="16213" xr:uid="{00000000-0005-0000-0000-0000853F0000}"/>
    <cellStyle name="Comma 3 4 4 3 5 5" xfId="16218" xr:uid="{00000000-0005-0000-0000-00008A3F0000}"/>
    <cellStyle name="Comma 3 4 4 3 5 6" xfId="25916" xr:uid="{00000000-0005-0000-0000-00006C650000}"/>
    <cellStyle name="Comma 3 4 4 3 6" xfId="16225" xr:uid="{00000000-0005-0000-0000-0000913F0000}"/>
    <cellStyle name="Comma 3 4 4 3 6 2" xfId="16230" xr:uid="{00000000-0005-0000-0000-0000963F0000}"/>
    <cellStyle name="Comma 3 4 4 3 6 3" xfId="25599" xr:uid="{00000000-0005-0000-0000-00002F640000}"/>
    <cellStyle name="Comma 3 4 4 3 6 4" xfId="25604" xr:uid="{00000000-0005-0000-0000-000034640000}"/>
    <cellStyle name="Comma 3 4 4 3 6 5" xfId="25608" xr:uid="{00000000-0005-0000-0000-000038640000}"/>
    <cellStyle name="Comma 3 4 4 3 6 6" xfId="25918" xr:uid="{00000000-0005-0000-0000-00006E650000}"/>
    <cellStyle name="Comma 3 4 4 3 7" xfId="16238" xr:uid="{00000000-0005-0000-0000-00009E3F0000}"/>
    <cellStyle name="Comma 3 4 4 3 8" xfId="16246" xr:uid="{00000000-0005-0000-0000-0000A63F0000}"/>
    <cellStyle name="Comma 3 4 4 3 9" xfId="7519" xr:uid="{00000000-0005-0000-0000-00008F1D0000}"/>
    <cellStyle name="Comma 3 4 4 4" xfId="8922" xr:uid="{00000000-0005-0000-0000-00000A230000}"/>
    <cellStyle name="Comma 3 4 4 4 10" xfId="25920" xr:uid="{00000000-0005-0000-0000-000070650000}"/>
    <cellStyle name="Comma 3 4 4 4 11" xfId="25921" xr:uid="{00000000-0005-0000-0000-000071650000}"/>
    <cellStyle name="Comma 3 4 4 4 12" xfId="25922" xr:uid="{00000000-0005-0000-0000-000072650000}"/>
    <cellStyle name="Comma 3 4 4 4 13" xfId="20708" xr:uid="{00000000-0005-0000-0000-000014510000}"/>
    <cellStyle name="Comma 3 4 4 4 14" xfId="20711" xr:uid="{00000000-0005-0000-0000-000017510000}"/>
    <cellStyle name="Comma 3 4 4 4 15" xfId="20714" xr:uid="{00000000-0005-0000-0000-00001A510000}"/>
    <cellStyle name="Comma 3 4 4 4 2" xfId="25923" xr:uid="{00000000-0005-0000-0000-000073650000}"/>
    <cellStyle name="Comma 3 4 4 4 2 2" xfId="23315" xr:uid="{00000000-0005-0000-0000-0000435B0000}"/>
    <cellStyle name="Comma 3 4 4 4 2 2 2" xfId="13172" xr:uid="{00000000-0005-0000-0000-0000A4330000}"/>
    <cellStyle name="Comma 3 4 4 4 2 3" xfId="20834" xr:uid="{00000000-0005-0000-0000-000092510000}"/>
    <cellStyle name="Comma 3 4 4 4 2 4" xfId="20845" xr:uid="{00000000-0005-0000-0000-00009D510000}"/>
    <cellStyle name="Comma 3 4 4 4 2 5" xfId="20852" xr:uid="{00000000-0005-0000-0000-0000A4510000}"/>
    <cellStyle name="Comma 3 4 4 4 2 6" xfId="20857" xr:uid="{00000000-0005-0000-0000-0000A9510000}"/>
    <cellStyle name="Comma 3 4 4 4 2 7" xfId="25926" xr:uid="{00000000-0005-0000-0000-000076650000}"/>
    <cellStyle name="Comma 3 4 4 4 2 8" xfId="25929" xr:uid="{00000000-0005-0000-0000-000079650000}"/>
    <cellStyle name="Comma 3 4 4 4 2 9" xfId="25930" xr:uid="{00000000-0005-0000-0000-00007A650000}"/>
    <cellStyle name="Comma 3 4 4 4 3" xfId="25933" xr:uid="{00000000-0005-0000-0000-00007D650000}"/>
    <cellStyle name="Comma 3 4 4 4 3 2" xfId="25934" xr:uid="{00000000-0005-0000-0000-00007E650000}"/>
    <cellStyle name="Comma 3 4 4 4 3 3" xfId="20860" xr:uid="{00000000-0005-0000-0000-0000AC510000}"/>
    <cellStyle name="Comma 3 4 4 4 3 4" xfId="6380" xr:uid="{00000000-0005-0000-0000-00001C190000}"/>
    <cellStyle name="Comma 3 4 4 4 3 5" xfId="17592" xr:uid="{00000000-0005-0000-0000-0000E8440000}"/>
    <cellStyle name="Comma 3 4 4 4 3 6" xfId="25937" xr:uid="{00000000-0005-0000-0000-000081650000}"/>
    <cellStyle name="Comma 3 4 4 4 4" xfId="15597" xr:uid="{00000000-0005-0000-0000-00001D3D0000}"/>
    <cellStyle name="Comma 3 4 4 4 4 2" xfId="25938" xr:uid="{00000000-0005-0000-0000-000082650000}"/>
    <cellStyle name="Comma 3 4 4 4 5" xfId="15602" xr:uid="{00000000-0005-0000-0000-0000223D0000}"/>
    <cellStyle name="Comma 3 4 4 4 6" xfId="15609" xr:uid="{00000000-0005-0000-0000-0000293D0000}"/>
    <cellStyle name="Comma 3 4 4 4 7" xfId="16258" xr:uid="{00000000-0005-0000-0000-0000B23F0000}"/>
    <cellStyle name="Comma 3 4 4 4 8" xfId="16265" xr:uid="{00000000-0005-0000-0000-0000B93F0000}"/>
    <cellStyle name="Comma 3 4 4 4 9" xfId="1172" xr:uid="{00000000-0005-0000-0000-0000C4040000}"/>
    <cellStyle name="Comma 3 4 4 5" xfId="8930" xr:uid="{00000000-0005-0000-0000-000012230000}"/>
    <cellStyle name="Comma 3 4 4 5 10" xfId="10040" xr:uid="{00000000-0005-0000-0000-000068270000}"/>
    <cellStyle name="Comma 3 4 4 5 11" xfId="25940" xr:uid="{00000000-0005-0000-0000-000084650000}"/>
    <cellStyle name="Comma 3 4 4 5 12" xfId="25943" xr:uid="{00000000-0005-0000-0000-000087650000}"/>
    <cellStyle name="Comma 3 4 4 5 13" xfId="9590" xr:uid="{00000000-0005-0000-0000-0000A6250000}"/>
    <cellStyle name="Comma 3 4 4 5 2" xfId="25946" xr:uid="{00000000-0005-0000-0000-00008A650000}"/>
    <cellStyle name="Comma 3 4 4 5 2 2" xfId="25948" xr:uid="{00000000-0005-0000-0000-00008C650000}"/>
    <cellStyle name="Comma 3 4 4 5 2 2 2" xfId="3834" xr:uid="{00000000-0005-0000-0000-00002A0F0000}"/>
    <cellStyle name="Comma 3 4 4 5 2 3" xfId="20871" xr:uid="{00000000-0005-0000-0000-0000B7510000}"/>
    <cellStyle name="Comma 3 4 4 5 2 4" xfId="20876" xr:uid="{00000000-0005-0000-0000-0000BC510000}"/>
    <cellStyle name="Comma 3 4 4 5 2 5" xfId="20881" xr:uid="{00000000-0005-0000-0000-0000C1510000}"/>
    <cellStyle name="Comma 3 4 4 5 2 6" xfId="20886" xr:uid="{00000000-0005-0000-0000-0000C6510000}"/>
    <cellStyle name="Comma 3 4 4 5 2 7" xfId="25951" xr:uid="{00000000-0005-0000-0000-00008F650000}"/>
    <cellStyle name="Comma 3 4 4 5 2 8" xfId="25953" xr:uid="{00000000-0005-0000-0000-000091650000}"/>
    <cellStyle name="Comma 3 4 4 5 2 9" xfId="24852" xr:uid="{00000000-0005-0000-0000-000044610000}"/>
    <cellStyle name="Comma 3 4 4 5 3" xfId="25955" xr:uid="{00000000-0005-0000-0000-000093650000}"/>
    <cellStyle name="Comma 3 4 4 5 3 2" xfId="25958" xr:uid="{00000000-0005-0000-0000-000096650000}"/>
    <cellStyle name="Comma 3 4 4 5 3 3" xfId="20893" xr:uid="{00000000-0005-0000-0000-0000CD510000}"/>
    <cellStyle name="Comma 3 4 4 5 3 4" xfId="25961" xr:uid="{00000000-0005-0000-0000-000099650000}"/>
    <cellStyle name="Comma 3 4 4 5 3 5" xfId="25962" xr:uid="{00000000-0005-0000-0000-00009A650000}"/>
    <cellStyle name="Comma 3 4 4 5 3 6" xfId="25964" xr:uid="{00000000-0005-0000-0000-00009C650000}"/>
    <cellStyle name="Comma 3 4 4 5 4" xfId="25965" xr:uid="{00000000-0005-0000-0000-00009D650000}"/>
    <cellStyle name="Comma 3 4 4 5 4 2" xfId="6841" xr:uid="{00000000-0005-0000-0000-0000E91A0000}"/>
    <cellStyle name="Comma 3 4 4 5 5" xfId="14154" xr:uid="{00000000-0005-0000-0000-00007A370000}"/>
    <cellStyle name="Comma 3 4 4 5 6" xfId="13437" xr:uid="{00000000-0005-0000-0000-0000AD340000}"/>
    <cellStyle name="Comma 3 4 4 5 7" xfId="13446" xr:uid="{00000000-0005-0000-0000-0000B6340000}"/>
    <cellStyle name="Comma 3 4 4 5 8" xfId="13451" xr:uid="{00000000-0005-0000-0000-0000BB340000}"/>
    <cellStyle name="Comma 3 4 4 5 9" xfId="20197" xr:uid="{00000000-0005-0000-0000-0000154F0000}"/>
    <cellStyle name="Comma 3 4 4 6" xfId="8936" xr:uid="{00000000-0005-0000-0000-000018230000}"/>
    <cellStyle name="Comma 3 4 4 6 10" xfId="19745" xr:uid="{00000000-0005-0000-0000-0000514D0000}"/>
    <cellStyle name="Comma 3 4 4 6 11" xfId="19750" xr:uid="{00000000-0005-0000-0000-0000564D0000}"/>
    <cellStyle name="Comma 3 4 4 6 12" xfId="19755" xr:uid="{00000000-0005-0000-0000-00005B4D0000}"/>
    <cellStyle name="Comma 3 4 4 6 2" xfId="23439" xr:uid="{00000000-0005-0000-0000-0000BF5B0000}"/>
    <cellStyle name="Comma 3 4 4 6 2 2" xfId="23441" xr:uid="{00000000-0005-0000-0000-0000C15B0000}"/>
    <cellStyle name="Comma 3 4 4 6 2 2 2" xfId="5797" xr:uid="{00000000-0005-0000-0000-0000D5160000}"/>
    <cellStyle name="Comma 3 4 4 6 2 3" xfId="20908" xr:uid="{00000000-0005-0000-0000-0000DC510000}"/>
    <cellStyle name="Comma 3 4 4 6 2 4" xfId="20915" xr:uid="{00000000-0005-0000-0000-0000E3510000}"/>
    <cellStyle name="Comma 3 4 4 6 2 5" xfId="20922" xr:uid="{00000000-0005-0000-0000-0000EA510000}"/>
    <cellStyle name="Comma 3 4 4 6 2 6" xfId="20929" xr:uid="{00000000-0005-0000-0000-0000F1510000}"/>
    <cellStyle name="Comma 3 4 4 6 2 7" xfId="22181" xr:uid="{00000000-0005-0000-0000-0000D5560000}"/>
    <cellStyle name="Comma 3 4 4 6 2 8" xfId="22184" xr:uid="{00000000-0005-0000-0000-0000D8560000}"/>
    <cellStyle name="Comma 3 4 4 6 2 9" xfId="24930" xr:uid="{00000000-0005-0000-0000-000092610000}"/>
    <cellStyle name="Comma 3 4 4 6 3" xfId="23446" xr:uid="{00000000-0005-0000-0000-0000C65B0000}"/>
    <cellStyle name="Comma 3 4 4 6 3 2" xfId="23449" xr:uid="{00000000-0005-0000-0000-0000C95B0000}"/>
    <cellStyle name="Comma 3 4 4 6 3 3" xfId="20939" xr:uid="{00000000-0005-0000-0000-0000FB510000}"/>
    <cellStyle name="Comma 3 4 4 6 3 4" xfId="23454" xr:uid="{00000000-0005-0000-0000-0000CE5B0000}"/>
    <cellStyle name="Comma 3 4 4 6 3 5" xfId="23458" xr:uid="{00000000-0005-0000-0000-0000D25B0000}"/>
    <cellStyle name="Comma 3 4 4 6 3 6" xfId="23464" xr:uid="{00000000-0005-0000-0000-0000D85B0000}"/>
    <cellStyle name="Comma 3 4 4 6 4" xfId="23467" xr:uid="{00000000-0005-0000-0000-0000DB5B0000}"/>
    <cellStyle name="Comma 3 4 4 6 4 2" xfId="25967" xr:uid="{00000000-0005-0000-0000-00009F650000}"/>
    <cellStyle name="Comma 3 4 4 6 5" xfId="23469" xr:uid="{00000000-0005-0000-0000-0000DD5B0000}"/>
    <cellStyle name="Comma 3 4 4 6 6" xfId="23472" xr:uid="{00000000-0005-0000-0000-0000E05B0000}"/>
    <cellStyle name="Comma 3 4 4 6 7" xfId="23475" xr:uid="{00000000-0005-0000-0000-0000E35B0000}"/>
    <cellStyle name="Comma 3 4 4 6 8" xfId="23480" xr:uid="{00000000-0005-0000-0000-0000E85B0000}"/>
    <cellStyle name="Comma 3 4 4 6 9" xfId="23485" xr:uid="{00000000-0005-0000-0000-0000ED5B0000}"/>
    <cellStyle name="Comma 3 4 4 7" xfId="8942" xr:uid="{00000000-0005-0000-0000-00001E230000}"/>
    <cellStyle name="Comma 3 4 4 7 2" xfId="25969" xr:uid="{00000000-0005-0000-0000-0000A1650000}"/>
    <cellStyle name="Comma 3 4 4 7 2 2" xfId="13389" xr:uid="{00000000-0005-0000-0000-00007D340000}"/>
    <cellStyle name="Comma 3 4 4 7 3" xfId="25970" xr:uid="{00000000-0005-0000-0000-0000A2650000}"/>
    <cellStyle name="Comma 3 4 4 7 4" xfId="25971" xr:uid="{00000000-0005-0000-0000-0000A3650000}"/>
    <cellStyle name="Comma 3 4 4 7 5" xfId="25972" xr:uid="{00000000-0005-0000-0000-0000A4650000}"/>
    <cellStyle name="Comma 3 4 4 7 6" xfId="25973" xr:uid="{00000000-0005-0000-0000-0000A5650000}"/>
    <cellStyle name="Comma 3 4 4 7 7" xfId="25974" xr:uid="{00000000-0005-0000-0000-0000A6650000}"/>
    <cellStyle name="Comma 3 4 4 7 8" xfId="25975" xr:uid="{00000000-0005-0000-0000-0000A7650000}"/>
    <cellStyle name="Comma 3 4 4 7 9" xfId="25976" xr:uid="{00000000-0005-0000-0000-0000A8650000}"/>
    <cellStyle name="Comma 3 4 4 8" xfId="11358" xr:uid="{00000000-0005-0000-0000-00008E2C0000}"/>
    <cellStyle name="Comma 3 4 4 8 2" xfId="20842" xr:uid="{00000000-0005-0000-0000-00009A510000}"/>
    <cellStyle name="Comma 3 4 4 8 3" xfId="20850" xr:uid="{00000000-0005-0000-0000-0000A2510000}"/>
    <cellStyle name="Comma 3 4 4 8 4" xfId="20856" xr:uid="{00000000-0005-0000-0000-0000A8510000}"/>
    <cellStyle name="Comma 3 4 4 8 5" xfId="25925" xr:uid="{00000000-0005-0000-0000-000075650000}"/>
    <cellStyle name="Comma 3 4 4 8 6" xfId="25928" xr:uid="{00000000-0005-0000-0000-000078650000}"/>
    <cellStyle name="Comma 3 4 4 9" xfId="5525" xr:uid="{00000000-0005-0000-0000-0000C5150000}"/>
    <cellStyle name="Comma 3 4 4 9 2" xfId="6379" xr:uid="{00000000-0005-0000-0000-00001B190000}"/>
    <cellStyle name="Comma 3 4 4 9 3" xfId="17591" xr:uid="{00000000-0005-0000-0000-0000E7440000}"/>
    <cellStyle name="Comma 3 4 4 9 4" xfId="25936" xr:uid="{00000000-0005-0000-0000-000080650000}"/>
    <cellStyle name="Comma 3 4 4 9 5" xfId="25978" xr:uid="{00000000-0005-0000-0000-0000AA650000}"/>
    <cellStyle name="Comma 3 4 4 9 6" xfId="140" xr:uid="{00000000-0005-0000-0000-000097000000}"/>
    <cellStyle name="Comma 3 4 5" xfId="13650" xr:uid="{00000000-0005-0000-0000-000082350000}"/>
    <cellStyle name="Comma 3 4 5 10" xfId="25979" xr:uid="{00000000-0005-0000-0000-0000AB650000}"/>
    <cellStyle name="Comma 3 4 5 11" xfId="6277" xr:uid="{00000000-0005-0000-0000-0000B5180000}"/>
    <cellStyle name="Comma 3 4 5 12" xfId="25982" xr:uid="{00000000-0005-0000-0000-0000AE650000}"/>
    <cellStyle name="Comma 3 4 5 13" xfId="25984" xr:uid="{00000000-0005-0000-0000-0000B0650000}"/>
    <cellStyle name="Comma 3 4 5 14" xfId="25987" xr:uid="{00000000-0005-0000-0000-0000B3650000}"/>
    <cellStyle name="Comma 3 4 5 15" xfId="25990" xr:uid="{00000000-0005-0000-0000-0000B6650000}"/>
    <cellStyle name="Comma 3 4 5 16" xfId="25993" xr:uid="{00000000-0005-0000-0000-0000B9650000}"/>
    <cellStyle name="Comma 3 4 5 17" xfId="25996" xr:uid="{00000000-0005-0000-0000-0000BC650000}"/>
    <cellStyle name="Comma 3 4 5 18" xfId="26000" xr:uid="{00000000-0005-0000-0000-0000C0650000}"/>
    <cellStyle name="Comma 3 4 5 2" xfId="8951" xr:uid="{00000000-0005-0000-0000-000027230000}"/>
    <cellStyle name="Comma 3 4 5 2 10" xfId="21793" xr:uid="{00000000-0005-0000-0000-000051550000}"/>
    <cellStyle name="Comma 3 4 5 2 11" xfId="26004" xr:uid="{00000000-0005-0000-0000-0000C4650000}"/>
    <cellStyle name="Comma 3 4 5 2 12" xfId="26005" xr:uid="{00000000-0005-0000-0000-0000C5650000}"/>
    <cellStyle name="Comma 3 4 5 2 13" xfId="2131" xr:uid="{00000000-0005-0000-0000-000083080000}"/>
    <cellStyle name="Comma 3 4 5 2 14" xfId="26006" xr:uid="{00000000-0005-0000-0000-0000C6650000}"/>
    <cellStyle name="Comma 3 4 5 2 2" xfId="26007" xr:uid="{00000000-0005-0000-0000-0000C7650000}"/>
    <cellStyle name="Comma 3 4 5 2 2 10" xfId="26008" xr:uid="{00000000-0005-0000-0000-0000C8650000}"/>
    <cellStyle name="Comma 3 4 5 2 2 2" xfId="26009" xr:uid="{00000000-0005-0000-0000-0000C9650000}"/>
    <cellStyle name="Comma 3 4 5 2 2 2 2" xfId="22909" xr:uid="{00000000-0005-0000-0000-0000AD590000}"/>
    <cellStyle name="Comma 3 4 5 2 2 3" xfId="26011" xr:uid="{00000000-0005-0000-0000-0000CB650000}"/>
    <cellStyle name="Comma 3 4 5 2 2 4" xfId="26014" xr:uid="{00000000-0005-0000-0000-0000CE650000}"/>
    <cellStyle name="Comma 3 4 5 2 2 5" xfId="26017" xr:uid="{00000000-0005-0000-0000-0000D1650000}"/>
    <cellStyle name="Comma 3 4 5 2 2 6" xfId="26021" xr:uid="{00000000-0005-0000-0000-0000D5650000}"/>
    <cellStyle name="Comma 3 4 5 2 2 7" xfId="26025" xr:uid="{00000000-0005-0000-0000-0000D9650000}"/>
    <cellStyle name="Comma 3 4 5 2 2 8" xfId="2272" xr:uid="{00000000-0005-0000-0000-000010090000}"/>
    <cellStyle name="Comma 3 4 5 2 2 9" xfId="26027" xr:uid="{00000000-0005-0000-0000-0000DB650000}"/>
    <cellStyle name="Comma 3 4 5 2 3" xfId="3369" xr:uid="{00000000-0005-0000-0000-0000590D0000}"/>
    <cellStyle name="Comma 3 4 5 2 3 2" xfId="21246" xr:uid="{00000000-0005-0000-0000-00002E530000}"/>
    <cellStyle name="Comma 3 4 5 2 3 3" xfId="21249" xr:uid="{00000000-0005-0000-0000-000031530000}"/>
    <cellStyle name="Comma 3 4 5 2 3 4" xfId="26029" xr:uid="{00000000-0005-0000-0000-0000DD650000}"/>
    <cellStyle name="Comma 3 4 5 2 3 5" xfId="26031" xr:uid="{00000000-0005-0000-0000-0000DF650000}"/>
    <cellStyle name="Comma 3 4 5 2 3 6" xfId="14032" xr:uid="{00000000-0005-0000-0000-000000370000}"/>
    <cellStyle name="Comma 3 4 5 2 4" xfId="26032" xr:uid="{00000000-0005-0000-0000-0000E0650000}"/>
    <cellStyle name="Comma 3 4 5 2 4 2" xfId="26034" xr:uid="{00000000-0005-0000-0000-0000E2650000}"/>
    <cellStyle name="Comma 3 4 5 2 4 3" xfId="26035" xr:uid="{00000000-0005-0000-0000-0000E3650000}"/>
    <cellStyle name="Comma 3 4 5 2 4 4" xfId="26036" xr:uid="{00000000-0005-0000-0000-0000E4650000}"/>
    <cellStyle name="Comma 3 4 5 2 4 5" xfId="26037" xr:uid="{00000000-0005-0000-0000-0000E5650000}"/>
    <cellStyle name="Comma 3 4 5 2 5" xfId="16305" xr:uid="{00000000-0005-0000-0000-0000E13F0000}"/>
    <cellStyle name="Comma 3 4 5 2 6" xfId="16309" xr:uid="{00000000-0005-0000-0000-0000E53F0000}"/>
    <cellStyle name="Comma 3 4 5 2 7" xfId="16313" xr:uid="{00000000-0005-0000-0000-0000E93F0000}"/>
    <cellStyle name="Comma 3 4 5 2 8" xfId="16317" xr:uid="{00000000-0005-0000-0000-0000ED3F0000}"/>
    <cellStyle name="Comma 3 4 5 2 9" xfId="16321" xr:uid="{00000000-0005-0000-0000-0000F13F0000}"/>
    <cellStyle name="Comma 3 4 5 3" xfId="8958" xr:uid="{00000000-0005-0000-0000-00002E230000}"/>
    <cellStyle name="Comma 3 4 5 3 10" xfId="26038" xr:uid="{00000000-0005-0000-0000-0000E6650000}"/>
    <cellStyle name="Comma 3 4 5 3 11" xfId="26039" xr:uid="{00000000-0005-0000-0000-0000E7650000}"/>
    <cellStyle name="Comma 3 4 5 3 12" xfId="26040" xr:uid="{00000000-0005-0000-0000-0000E8650000}"/>
    <cellStyle name="Comma 3 4 5 3 2" xfId="26042" xr:uid="{00000000-0005-0000-0000-0000EA650000}"/>
    <cellStyle name="Comma 3 4 5 3 2 2" xfId="26045" xr:uid="{00000000-0005-0000-0000-0000ED650000}"/>
    <cellStyle name="Comma 3 4 5 3 2 2 2" xfId="24644" xr:uid="{00000000-0005-0000-0000-000074600000}"/>
    <cellStyle name="Comma 3 4 5 3 2 3" xfId="26051" xr:uid="{00000000-0005-0000-0000-0000F3650000}"/>
    <cellStyle name="Comma 3 4 5 3 2 4" xfId="26057" xr:uid="{00000000-0005-0000-0000-0000F9650000}"/>
    <cellStyle name="Comma 3 4 5 3 2 5" xfId="26064" xr:uid="{00000000-0005-0000-0000-000000660000}"/>
    <cellStyle name="Comma 3 4 5 3 3" xfId="26067" xr:uid="{00000000-0005-0000-0000-000003660000}"/>
    <cellStyle name="Comma 3 4 5 3 3 2" xfId="26068" xr:uid="{00000000-0005-0000-0000-000004660000}"/>
    <cellStyle name="Comma 3 4 5 3 4" xfId="26071" xr:uid="{00000000-0005-0000-0000-000007660000}"/>
    <cellStyle name="Comma 3 4 5 3 5" xfId="16325" xr:uid="{00000000-0005-0000-0000-0000F53F0000}"/>
    <cellStyle name="Comma 3 4 5 3 6" xfId="16331" xr:uid="{00000000-0005-0000-0000-0000FB3F0000}"/>
    <cellStyle name="Comma 3 4 5 3 7" xfId="16336" xr:uid="{00000000-0005-0000-0000-000000400000}"/>
    <cellStyle name="Comma 3 4 5 3 8" xfId="16341" xr:uid="{00000000-0005-0000-0000-000005400000}"/>
    <cellStyle name="Comma 3 4 5 3 9" xfId="16346" xr:uid="{00000000-0005-0000-0000-00000A400000}"/>
    <cellStyle name="Comma 3 4 5 4" xfId="8966" xr:uid="{00000000-0005-0000-0000-000036230000}"/>
    <cellStyle name="Comma 3 4 5 4 10" xfId="26073" xr:uid="{00000000-0005-0000-0000-000009660000}"/>
    <cellStyle name="Comma 3 4 5 4 11" xfId="3489" xr:uid="{00000000-0005-0000-0000-0000D10D0000}"/>
    <cellStyle name="Comma 3 4 5 4 2" xfId="26075" xr:uid="{00000000-0005-0000-0000-00000B660000}"/>
    <cellStyle name="Comma 3 4 5 4 2 2" xfId="26076" xr:uid="{00000000-0005-0000-0000-00000C660000}"/>
    <cellStyle name="Comma 3 4 5 4 2 2 2" xfId="16181" xr:uid="{00000000-0005-0000-0000-0000653F0000}"/>
    <cellStyle name="Comma 3 4 5 4 2 3" xfId="26078" xr:uid="{00000000-0005-0000-0000-00000E660000}"/>
    <cellStyle name="Comma 3 4 5 4 2 4" xfId="1149" xr:uid="{00000000-0005-0000-0000-0000AD040000}"/>
    <cellStyle name="Comma 3 4 5 4 2 5" xfId="1189" xr:uid="{00000000-0005-0000-0000-0000D5040000}"/>
    <cellStyle name="Comma 3 4 5 4 3" xfId="26080" xr:uid="{00000000-0005-0000-0000-000010660000}"/>
    <cellStyle name="Comma 3 4 5 4 3 2" xfId="26081" xr:uid="{00000000-0005-0000-0000-000011660000}"/>
    <cellStyle name="Comma 3 4 5 4 4" xfId="26084" xr:uid="{00000000-0005-0000-0000-000014660000}"/>
    <cellStyle name="Comma 3 4 5 4 5" xfId="16351" xr:uid="{00000000-0005-0000-0000-00000F400000}"/>
    <cellStyle name="Comma 3 4 5 4 6" xfId="16356" xr:uid="{00000000-0005-0000-0000-000014400000}"/>
    <cellStyle name="Comma 3 4 5 4 7" xfId="16361" xr:uid="{00000000-0005-0000-0000-000019400000}"/>
    <cellStyle name="Comma 3 4 5 4 8" xfId="16366" xr:uid="{00000000-0005-0000-0000-00001E400000}"/>
    <cellStyle name="Comma 3 4 5 4 9" xfId="16372" xr:uid="{00000000-0005-0000-0000-000024400000}"/>
    <cellStyle name="Comma 3 4 5 5" xfId="13655" xr:uid="{00000000-0005-0000-0000-000087350000}"/>
    <cellStyle name="Comma 3 4 5 5 10" xfId="15652" xr:uid="{00000000-0005-0000-0000-0000543D0000}"/>
    <cellStyle name="Comma 3 4 5 5 2" xfId="26086" xr:uid="{00000000-0005-0000-0000-000016660000}"/>
    <cellStyle name="Comma 3 4 5 5 2 2" xfId="4681" xr:uid="{00000000-0005-0000-0000-000079120000}"/>
    <cellStyle name="Comma 3 4 5 5 2 2 2" xfId="4687" xr:uid="{00000000-0005-0000-0000-00007F120000}"/>
    <cellStyle name="Comma 3 4 5 5 2 3" xfId="4710" xr:uid="{00000000-0005-0000-0000-000096120000}"/>
    <cellStyle name="Comma 3 4 5 5 2 4" xfId="1397" xr:uid="{00000000-0005-0000-0000-0000A5050000}"/>
    <cellStyle name="Comma 3 4 5 5 2 5" xfId="4734" xr:uid="{00000000-0005-0000-0000-0000AE120000}"/>
    <cellStyle name="Comma 3 4 5 5 3" xfId="26087" xr:uid="{00000000-0005-0000-0000-000017660000}"/>
    <cellStyle name="Comma 3 4 5 5 3 2" xfId="26088" xr:uid="{00000000-0005-0000-0000-000018660000}"/>
    <cellStyle name="Comma 3 4 5 5 4" xfId="26090" xr:uid="{00000000-0005-0000-0000-00001A660000}"/>
    <cellStyle name="Comma 3 4 5 5 5" xfId="12163" xr:uid="{00000000-0005-0000-0000-0000B32F0000}"/>
    <cellStyle name="Comma 3 4 5 5 6" xfId="26093" xr:uid="{00000000-0005-0000-0000-00001D660000}"/>
    <cellStyle name="Comma 3 4 5 5 7" xfId="15859" xr:uid="{00000000-0005-0000-0000-0000233E0000}"/>
    <cellStyle name="Comma 3 4 5 5 8" xfId="26096" xr:uid="{00000000-0005-0000-0000-000020660000}"/>
    <cellStyle name="Comma 3 4 5 5 9" xfId="26098" xr:uid="{00000000-0005-0000-0000-000022660000}"/>
    <cellStyle name="Comma 3 4 5 6" xfId="13662" xr:uid="{00000000-0005-0000-0000-00008E350000}"/>
    <cellStyle name="Comma 3 4 5 6 2" xfId="11504" xr:uid="{00000000-0005-0000-0000-0000202D0000}"/>
    <cellStyle name="Comma 3 4 5 6 2 2" xfId="26100" xr:uid="{00000000-0005-0000-0000-000024660000}"/>
    <cellStyle name="Comma 3 4 5 6 3" xfId="24297" xr:uid="{00000000-0005-0000-0000-0000195F0000}"/>
    <cellStyle name="Comma 3 4 5 6 4" xfId="24299" xr:uid="{00000000-0005-0000-0000-00001B5F0000}"/>
    <cellStyle name="Comma 3 4 5 6 5" xfId="24301" xr:uid="{00000000-0005-0000-0000-00001D5F0000}"/>
    <cellStyle name="Comma 3 4 5 6 6" xfId="24303" xr:uid="{00000000-0005-0000-0000-00001F5F0000}"/>
    <cellStyle name="Comma 3 4 5 6 7" xfId="24307" xr:uid="{00000000-0005-0000-0000-0000235F0000}"/>
    <cellStyle name="Comma 3 4 5 6 8" xfId="24311" xr:uid="{00000000-0005-0000-0000-0000275F0000}"/>
    <cellStyle name="Comma 3 4 5 6 9" xfId="24314" xr:uid="{00000000-0005-0000-0000-00002A5F0000}"/>
    <cellStyle name="Comma 3 4 5 7" xfId="26105" xr:uid="{00000000-0005-0000-0000-000029660000}"/>
    <cellStyle name="Comma 3 4 5 7 2" xfId="26107" xr:uid="{00000000-0005-0000-0000-00002B660000}"/>
    <cellStyle name="Comma 3 4 5 8" xfId="26108" xr:uid="{00000000-0005-0000-0000-00002C660000}"/>
    <cellStyle name="Comma 3 4 5 9" xfId="26109" xr:uid="{00000000-0005-0000-0000-00002D660000}"/>
    <cellStyle name="Comma 3 4 6" xfId="13666" xr:uid="{00000000-0005-0000-0000-000092350000}"/>
    <cellStyle name="Comma 3 4 6 10" xfId="26110" xr:uid="{00000000-0005-0000-0000-00002E660000}"/>
    <cellStyle name="Comma 3 4 6 11" xfId="26111" xr:uid="{00000000-0005-0000-0000-00002F660000}"/>
    <cellStyle name="Comma 3 4 6 12" xfId="26112" xr:uid="{00000000-0005-0000-0000-000030660000}"/>
    <cellStyle name="Comma 3 4 6 13" xfId="26113" xr:uid="{00000000-0005-0000-0000-000031660000}"/>
    <cellStyle name="Comma 3 4 6 14" xfId="26115" xr:uid="{00000000-0005-0000-0000-000033660000}"/>
    <cellStyle name="Comma 3 4 6 15" xfId="26117" xr:uid="{00000000-0005-0000-0000-000035660000}"/>
    <cellStyle name="Comma 3 4 6 16" xfId="26119" xr:uid="{00000000-0005-0000-0000-000037660000}"/>
    <cellStyle name="Comma 3 4 6 17" xfId="26121" xr:uid="{00000000-0005-0000-0000-000039660000}"/>
    <cellStyle name="Comma 3 4 6 18" xfId="26123" xr:uid="{00000000-0005-0000-0000-00003B660000}"/>
    <cellStyle name="Comma 3 4 6 2" xfId="13669" xr:uid="{00000000-0005-0000-0000-000095350000}"/>
    <cellStyle name="Comma 3 4 6 2 10" xfId="2165" xr:uid="{00000000-0005-0000-0000-0000A5080000}"/>
    <cellStyle name="Comma 3 4 6 2 2" xfId="26125" xr:uid="{00000000-0005-0000-0000-00003D660000}"/>
    <cellStyle name="Comma 3 4 6 2 2 2" xfId="26126" xr:uid="{00000000-0005-0000-0000-00003E660000}"/>
    <cellStyle name="Comma 3 4 6 2 3" xfId="26129" xr:uid="{00000000-0005-0000-0000-000041660000}"/>
    <cellStyle name="Comma 3 4 6 2 4" xfId="26131" xr:uid="{00000000-0005-0000-0000-000043660000}"/>
    <cellStyle name="Comma 3 4 6 2 5" xfId="16415" xr:uid="{00000000-0005-0000-0000-00004F400000}"/>
    <cellStyle name="Comma 3 4 6 2 6" xfId="23077" xr:uid="{00000000-0005-0000-0000-0000555A0000}"/>
    <cellStyle name="Comma 3 4 6 2 7" xfId="23080" xr:uid="{00000000-0005-0000-0000-0000585A0000}"/>
    <cellStyle name="Comma 3 4 6 2 8" xfId="23083" xr:uid="{00000000-0005-0000-0000-00005B5A0000}"/>
    <cellStyle name="Comma 3 4 6 2 9" xfId="26133" xr:uid="{00000000-0005-0000-0000-000045660000}"/>
    <cellStyle name="Comma 3 4 6 3" xfId="26134" xr:uid="{00000000-0005-0000-0000-000046660000}"/>
    <cellStyle name="Comma 3 4 6 3 2" xfId="26136" xr:uid="{00000000-0005-0000-0000-000048660000}"/>
    <cellStyle name="Comma 3 4 6 3 3" xfId="21346" xr:uid="{00000000-0005-0000-0000-000092530000}"/>
    <cellStyle name="Comma 3 4 6 3 4" xfId="21347" xr:uid="{00000000-0005-0000-0000-000093530000}"/>
    <cellStyle name="Comma 3 4 6 3 5" xfId="21352" xr:uid="{00000000-0005-0000-0000-000098530000}"/>
    <cellStyle name="Comma 3 4 6 3 6" xfId="21361" xr:uid="{00000000-0005-0000-0000-0000A1530000}"/>
    <cellStyle name="Comma 3 4 6 4" xfId="26137" xr:uid="{00000000-0005-0000-0000-000049660000}"/>
    <cellStyle name="Comma 3 4 6 4 2" xfId="26138" xr:uid="{00000000-0005-0000-0000-00004A660000}"/>
    <cellStyle name="Comma 3 4 6 4 3" xfId="26139" xr:uid="{00000000-0005-0000-0000-00004B660000}"/>
    <cellStyle name="Comma 3 4 6 4 4" xfId="26140" xr:uid="{00000000-0005-0000-0000-00004C660000}"/>
    <cellStyle name="Comma 3 4 6 4 5" xfId="26141" xr:uid="{00000000-0005-0000-0000-00004D660000}"/>
    <cellStyle name="Comma 3 4 6 4 6" xfId="26144" xr:uid="{00000000-0005-0000-0000-000050660000}"/>
    <cellStyle name="Comma 3 4 6 5" xfId="26145" xr:uid="{00000000-0005-0000-0000-000051660000}"/>
    <cellStyle name="Comma 3 4 6 5 2" xfId="26146" xr:uid="{00000000-0005-0000-0000-000052660000}"/>
    <cellStyle name="Comma 3 4 6 5 3" xfId="26147" xr:uid="{00000000-0005-0000-0000-000053660000}"/>
    <cellStyle name="Comma 3 4 6 5 4" xfId="22354" xr:uid="{00000000-0005-0000-0000-000082570000}"/>
    <cellStyle name="Comma 3 4 6 5 5" xfId="26148" xr:uid="{00000000-0005-0000-0000-000054660000}"/>
    <cellStyle name="Comma 3 4 6 5 6" xfId="26149" xr:uid="{00000000-0005-0000-0000-000055660000}"/>
    <cellStyle name="Comma 3 4 6 6" xfId="14232" xr:uid="{00000000-0005-0000-0000-0000C8370000}"/>
    <cellStyle name="Comma 3 4 6 6 2" xfId="26150" xr:uid="{00000000-0005-0000-0000-000056660000}"/>
    <cellStyle name="Comma 3 4 6 6 3" xfId="26151" xr:uid="{00000000-0005-0000-0000-000057660000}"/>
    <cellStyle name="Comma 3 4 6 6 4" xfId="26152" xr:uid="{00000000-0005-0000-0000-000058660000}"/>
    <cellStyle name="Comma 3 4 6 6 5" xfId="26154" xr:uid="{00000000-0005-0000-0000-00005A660000}"/>
    <cellStyle name="Comma 3 4 6 6 6" xfId="26156" xr:uid="{00000000-0005-0000-0000-00005C660000}"/>
    <cellStyle name="Comma 3 4 6 7" xfId="26157" xr:uid="{00000000-0005-0000-0000-00005D660000}"/>
    <cellStyle name="Comma 3 4 6 8" xfId="26158" xr:uid="{00000000-0005-0000-0000-00005E660000}"/>
    <cellStyle name="Comma 3 4 6 9" xfId="26159" xr:uid="{00000000-0005-0000-0000-00005F660000}"/>
    <cellStyle name="Comma 3 4 7" xfId="13671" xr:uid="{00000000-0005-0000-0000-000097350000}"/>
    <cellStyle name="Comma 3 4 7 10" xfId="26161" xr:uid="{00000000-0005-0000-0000-000061660000}"/>
    <cellStyle name="Comma 3 4 7 11" xfId="26164" xr:uid="{00000000-0005-0000-0000-000064660000}"/>
    <cellStyle name="Comma 3 4 7 12" xfId="26167" xr:uid="{00000000-0005-0000-0000-000067660000}"/>
    <cellStyle name="Comma 3 4 7 13" xfId="26169" xr:uid="{00000000-0005-0000-0000-000069660000}"/>
    <cellStyle name="Comma 3 4 7 14" xfId="26170" xr:uid="{00000000-0005-0000-0000-00006A660000}"/>
    <cellStyle name="Comma 3 4 7 15" xfId="26171" xr:uid="{00000000-0005-0000-0000-00006B660000}"/>
    <cellStyle name="Comma 3 4 7 16" xfId="26172" xr:uid="{00000000-0005-0000-0000-00006C660000}"/>
    <cellStyle name="Comma 3 4 7 17" xfId="15520" xr:uid="{00000000-0005-0000-0000-0000D03C0000}"/>
    <cellStyle name="Comma 3 4 7 18" xfId="26173" xr:uid="{00000000-0005-0000-0000-00006D660000}"/>
    <cellStyle name="Comma 3 4 7 2" xfId="21720" xr:uid="{00000000-0005-0000-0000-000008550000}"/>
    <cellStyle name="Comma 3 4 7 2 10" xfId="7366" xr:uid="{00000000-0005-0000-0000-0000F61C0000}"/>
    <cellStyle name="Comma 3 4 7 2 2" xfId="26175" xr:uid="{00000000-0005-0000-0000-00006F660000}"/>
    <cellStyle name="Comma 3 4 7 2 2 2" xfId="11475" xr:uid="{00000000-0005-0000-0000-0000032D0000}"/>
    <cellStyle name="Comma 3 4 7 2 3" xfId="19562" xr:uid="{00000000-0005-0000-0000-00009A4C0000}"/>
    <cellStyle name="Comma 3 4 7 2 4" xfId="19568" xr:uid="{00000000-0005-0000-0000-0000A04C0000}"/>
    <cellStyle name="Comma 3 4 7 2 5" xfId="16499" xr:uid="{00000000-0005-0000-0000-0000A3400000}"/>
    <cellStyle name="Comma 3 4 7 2 6" xfId="19573" xr:uid="{00000000-0005-0000-0000-0000A54C0000}"/>
    <cellStyle name="Comma 3 4 7 2 7" xfId="19579" xr:uid="{00000000-0005-0000-0000-0000AB4C0000}"/>
    <cellStyle name="Comma 3 4 7 2 8" xfId="19585" xr:uid="{00000000-0005-0000-0000-0000B14C0000}"/>
    <cellStyle name="Comma 3 4 7 2 9" xfId="19590" xr:uid="{00000000-0005-0000-0000-0000B64C0000}"/>
    <cellStyle name="Comma 3 4 7 3" xfId="21724" xr:uid="{00000000-0005-0000-0000-00000C550000}"/>
    <cellStyle name="Comma 3 4 7 3 2" xfId="26178" xr:uid="{00000000-0005-0000-0000-000072660000}"/>
    <cellStyle name="Comma 3 4 7 3 3" xfId="19595" xr:uid="{00000000-0005-0000-0000-0000BB4C0000}"/>
    <cellStyle name="Comma 3 4 7 3 4" xfId="19602" xr:uid="{00000000-0005-0000-0000-0000C24C0000}"/>
    <cellStyle name="Comma 3 4 7 3 5" xfId="19606" xr:uid="{00000000-0005-0000-0000-0000C64C0000}"/>
    <cellStyle name="Comma 3 4 7 3 6" xfId="9910" xr:uid="{00000000-0005-0000-0000-0000E6260000}"/>
    <cellStyle name="Comma 3 4 7 4" xfId="21728" xr:uid="{00000000-0005-0000-0000-000010550000}"/>
    <cellStyle name="Comma 3 4 7 4 2" xfId="26180" xr:uid="{00000000-0005-0000-0000-000074660000}"/>
    <cellStyle name="Comma 3 4 7 4 3" xfId="19614" xr:uid="{00000000-0005-0000-0000-0000CE4C0000}"/>
    <cellStyle name="Comma 3 4 7 4 4" xfId="26182" xr:uid="{00000000-0005-0000-0000-000076660000}"/>
    <cellStyle name="Comma 3 4 7 4 5" xfId="26184" xr:uid="{00000000-0005-0000-0000-000078660000}"/>
    <cellStyle name="Comma 3 4 7 4 6" xfId="9938" xr:uid="{00000000-0005-0000-0000-000002270000}"/>
    <cellStyle name="Comma 3 4 7 5" xfId="26186" xr:uid="{00000000-0005-0000-0000-00007A660000}"/>
    <cellStyle name="Comma 3 4 7 5 2" xfId="26189" xr:uid="{00000000-0005-0000-0000-00007D660000}"/>
    <cellStyle name="Comma 3 4 7 5 3" xfId="26192" xr:uid="{00000000-0005-0000-0000-000080660000}"/>
    <cellStyle name="Comma 3 4 7 5 4" xfId="26194" xr:uid="{00000000-0005-0000-0000-000082660000}"/>
    <cellStyle name="Comma 3 4 7 5 5" xfId="26196" xr:uid="{00000000-0005-0000-0000-000084660000}"/>
    <cellStyle name="Comma 3 4 7 5 6" xfId="18303" xr:uid="{00000000-0005-0000-0000-0000AF470000}"/>
    <cellStyle name="Comma 3 4 7 6" xfId="26198" xr:uid="{00000000-0005-0000-0000-000086660000}"/>
    <cellStyle name="Comma 3 4 7 6 2" xfId="26200" xr:uid="{00000000-0005-0000-0000-000088660000}"/>
    <cellStyle name="Comma 3 4 7 6 3" xfId="25857" xr:uid="{00000000-0005-0000-0000-000031650000}"/>
    <cellStyle name="Comma 3 4 7 6 4" xfId="26201" xr:uid="{00000000-0005-0000-0000-000089660000}"/>
    <cellStyle name="Comma 3 4 7 6 5" xfId="26202" xr:uid="{00000000-0005-0000-0000-00008A660000}"/>
    <cellStyle name="Comma 3 4 7 6 6" xfId="26203" xr:uid="{00000000-0005-0000-0000-00008B660000}"/>
    <cellStyle name="Comma 3 4 7 7" xfId="26205" xr:uid="{00000000-0005-0000-0000-00008D660000}"/>
    <cellStyle name="Comma 3 4 7 8" xfId="18797" xr:uid="{00000000-0005-0000-0000-00009D490000}"/>
    <cellStyle name="Comma 3 4 7 9" xfId="18800" xr:uid="{00000000-0005-0000-0000-0000A0490000}"/>
    <cellStyle name="Comma 3 4 8" xfId="13674" xr:uid="{00000000-0005-0000-0000-00009A350000}"/>
    <cellStyle name="Comma 3 4 8 10" xfId="26208" xr:uid="{00000000-0005-0000-0000-000090660000}"/>
    <cellStyle name="Comma 3 4 8 11" xfId="26211" xr:uid="{00000000-0005-0000-0000-000093660000}"/>
    <cellStyle name="Comma 3 4 8 12" xfId="26214" xr:uid="{00000000-0005-0000-0000-000096660000}"/>
    <cellStyle name="Comma 3 4 8 13" xfId="26217" xr:uid="{00000000-0005-0000-0000-000099660000}"/>
    <cellStyle name="Comma 3 4 8 14" xfId="26218" xr:uid="{00000000-0005-0000-0000-00009A660000}"/>
    <cellStyle name="Comma 3 4 8 15" xfId="26219" xr:uid="{00000000-0005-0000-0000-00009B660000}"/>
    <cellStyle name="Comma 3 4 8 2" xfId="26221" xr:uid="{00000000-0005-0000-0000-00009D660000}"/>
    <cellStyle name="Comma 3 4 8 2 2" xfId="21328" xr:uid="{00000000-0005-0000-0000-000080530000}"/>
    <cellStyle name="Comma 3 4 8 2 2 2" xfId="26223" xr:uid="{00000000-0005-0000-0000-00009F660000}"/>
    <cellStyle name="Comma 3 4 8 2 3" xfId="19677" xr:uid="{00000000-0005-0000-0000-00000D4D0000}"/>
    <cellStyle name="Comma 3 4 8 2 4" xfId="19684" xr:uid="{00000000-0005-0000-0000-0000144D0000}"/>
    <cellStyle name="Comma 3 4 8 2 5" xfId="16588" xr:uid="{00000000-0005-0000-0000-0000FC400000}"/>
    <cellStyle name="Comma 3 4 8 2 6" xfId="19689" xr:uid="{00000000-0005-0000-0000-0000194D0000}"/>
    <cellStyle name="Comma 3 4 8 2 7" xfId="19693" xr:uid="{00000000-0005-0000-0000-00001D4D0000}"/>
    <cellStyle name="Comma 3 4 8 2 8" xfId="26230" xr:uid="{00000000-0005-0000-0000-0000A6660000}"/>
    <cellStyle name="Comma 3 4 8 2 9" xfId="26233" xr:uid="{00000000-0005-0000-0000-0000A9660000}"/>
    <cellStyle name="Comma 3 4 8 3" xfId="4892" xr:uid="{00000000-0005-0000-0000-00004C130000}"/>
    <cellStyle name="Comma 3 4 8 3 2" xfId="21338" xr:uid="{00000000-0005-0000-0000-00008A530000}"/>
    <cellStyle name="Comma 3 4 8 3 3" xfId="19700" xr:uid="{00000000-0005-0000-0000-0000244D0000}"/>
    <cellStyle name="Comma 3 4 8 3 4" xfId="19705" xr:uid="{00000000-0005-0000-0000-0000294D0000}"/>
    <cellStyle name="Comma 3 4 8 3 5" xfId="19712" xr:uid="{00000000-0005-0000-0000-0000304D0000}"/>
    <cellStyle name="Comma 3 4 8 3 6" xfId="19717" xr:uid="{00000000-0005-0000-0000-0000354D0000}"/>
    <cellStyle name="Comma 3 4 8 4" xfId="26235" xr:uid="{00000000-0005-0000-0000-0000AB660000}"/>
    <cellStyle name="Comma 3 4 8 4 2" xfId="12987" xr:uid="{00000000-0005-0000-0000-0000EB320000}"/>
    <cellStyle name="Comma 3 4 8 5" xfId="26237" xr:uid="{00000000-0005-0000-0000-0000AD660000}"/>
    <cellStyle name="Comma 3 4 8 6" xfId="26243" xr:uid="{00000000-0005-0000-0000-0000B3660000}"/>
    <cellStyle name="Comma 3 4 8 7" xfId="26249" xr:uid="{00000000-0005-0000-0000-0000B9660000}"/>
    <cellStyle name="Comma 3 4 8 8" xfId="26254" xr:uid="{00000000-0005-0000-0000-0000BE660000}"/>
    <cellStyle name="Comma 3 4 8 9" xfId="26258" xr:uid="{00000000-0005-0000-0000-0000C2660000}"/>
    <cellStyle name="Comma 3 4 9" xfId="13677" xr:uid="{00000000-0005-0000-0000-00009D350000}"/>
    <cellStyle name="Comma 3 4 9 10" xfId="26261" xr:uid="{00000000-0005-0000-0000-0000C5660000}"/>
    <cellStyle name="Comma 3 4 9 11" xfId="26263" xr:uid="{00000000-0005-0000-0000-0000C7660000}"/>
    <cellStyle name="Comma 3 4 9 12" xfId="26265" xr:uid="{00000000-0005-0000-0000-0000C9660000}"/>
    <cellStyle name="Comma 3 4 9 13" xfId="26267" xr:uid="{00000000-0005-0000-0000-0000CB660000}"/>
    <cellStyle name="Comma 3 4 9 14" xfId="26268" xr:uid="{00000000-0005-0000-0000-0000CC660000}"/>
    <cellStyle name="Comma 3 4 9 2" xfId="26271" xr:uid="{00000000-0005-0000-0000-0000CF660000}"/>
    <cellStyle name="Comma 3 4 9 2 2" xfId="21433" xr:uid="{00000000-0005-0000-0000-0000E9530000}"/>
    <cellStyle name="Comma 3 4 9 2 2 2" xfId="26273" xr:uid="{00000000-0005-0000-0000-0000D1660000}"/>
    <cellStyle name="Comma 3 4 9 2 3" xfId="26277" xr:uid="{00000000-0005-0000-0000-0000D5660000}"/>
    <cellStyle name="Comma 3 4 9 2 4" xfId="26281" xr:uid="{00000000-0005-0000-0000-0000D9660000}"/>
    <cellStyle name="Comma 3 4 9 2 5" xfId="26286" xr:uid="{00000000-0005-0000-0000-0000DE660000}"/>
    <cellStyle name="Comma 3 4 9 2 6" xfId="26290" xr:uid="{00000000-0005-0000-0000-0000E2660000}"/>
    <cellStyle name="Comma 3 4 9 2 7" xfId="26293" xr:uid="{00000000-0005-0000-0000-0000E5660000}"/>
    <cellStyle name="Comma 3 4 9 2 8" xfId="26295" xr:uid="{00000000-0005-0000-0000-0000E7660000}"/>
    <cellStyle name="Comma 3 4 9 2 9" xfId="23721" xr:uid="{00000000-0005-0000-0000-0000D95C0000}"/>
    <cellStyle name="Comma 3 4 9 3" xfId="26297" xr:uid="{00000000-0005-0000-0000-0000E9660000}"/>
    <cellStyle name="Comma 3 4 9 3 2" xfId="21451" xr:uid="{00000000-0005-0000-0000-0000FB530000}"/>
    <cellStyle name="Comma 3 4 9 3 3" xfId="23086" xr:uid="{00000000-0005-0000-0000-00005E5A0000}"/>
    <cellStyle name="Comma 3 4 9 3 4" xfId="26298" xr:uid="{00000000-0005-0000-0000-0000EA660000}"/>
    <cellStyle name="Comma 3 4 9 3 5" xfId="26300" xr:uid="{00000000-0005-0000-0000-0000EC660000}"/>
    <cellStyle name="Comma 3 4 9 3 6" xfId="26301" xr:uid="{00000000-0005-0000-0000-0000ED660000}"/>
    <cellStyle name="Comma 3 4 9 4" xfId="26303" xr:uid="{00000000-0005-0000-0000-0000EF660000}"/>
    <cellStyle name="Comma 3 4 9 4 2" xfId="13480" xr:uid="{00000000-0005-0000-0000-0000D8340000}"/>
    <cellStyle name="Comma 3 4 9 5" xfId="6427" xr:uid="{00000000-0005-0000-0000-00004B190000}"/>
    <cellStyle name="Comma 3 4 9 6" xfId="26308" xr:uid="{00000000-0005-0000-0000-0000F4660000}"/>
    <cellStyle name="Comma 3 4 9 7" xfId="26314" xr:uid="{00000000-0005-0000-0000-0000FA660000}"/>
    <cellStyle name="Comma 3 4 9 8" xfId="26319" xr:uid="{00000000-0005-0000-0000-0000FF660000}"/>
    <cellStyle name="Comma 3 4 9 9" xfId="26323" xr:uid="{00000000-0005-0000-0000-000003670000}"/>
    <cellStyle name="Comma 3 5" xfId="558" xr:uid="{00000000-0005-0000-0000-000053020000}"/>
    <cellStyle name="Comma 3 5 10" xfId="26228" xr:uid="{00000000-0005-0000-0000-0000A4660000}"/>
    <cellStyle name="Comma 3 5 10 2" xfId="26329" xr:uid="{00000000-0005-0000-0000-000009670000}"/>
    <cellStyle name="Comma 3 5 10 2 2" xfId="26330" xr:uid="{00000000-0005-0000-0000-00000A670000}"/>
    <cellStyle name="Comma 3 5 10 3" xfId="26334" xr:uid="{00000000-0005-0000-0000-00000E670000}"/>
    <cellStyle name="Comma 3 5 10 4" xfId="26335" xr:uid="{00000000-0005-0000-0000-00000F670000}"/>
    <cellStyle name="Comma 3 5 10 5" xfId="26336" xr:uid="{00000000-0005-0000-0000-000010670000}"/>
    <cellStyle name="Comma 3 5 10 6" xfId="26337" xr:uid="{00000000-0005-0000-0000-000011670000}"/>
    <cellStyle name="Comma 3 5 10 7" xfId="26338" xr:uid="{00000000-0005-0000-0000-000012670000}"/>
    <cellStyle name="Comma 3 5 10 8" xfId="26339" xr:uid="{00000000-0005-0000-0000-000013670000}"/>
    <cellStyle name="Comma 3 5 10 9" xfId="26340" xr:uid="{00000000-0005-0000-0000-000014670000}"/>
    <cellStyle name="Comma 3 5 11" xfId="26231" xr:uid="{00000000-0005-0000-0000-0000A7660000}"/>
    <cellStyle name="Comma 3 5 11 2" xfId="26342" xr:uid="{00000000-0005-0000-0000-000016670000}"/>
    <cellStyle name="Comma 3 5 11 3" xfId="26349" xr:uid="{00000000-0005-0000-0000-00001D670000}"/>
    <cellStyle name="Comma 3 5 11 4" xfId="26356" xr:uid="{00000000-0005-0000-0000-000024670000}"/>
    <cellStyle name="Comma 3 5 11 5" xfId="26363" xr:uid="{00000000-0005-0000-0000-00002B670000}"/>
    <cellStyle name="Comma 3 5 11 6" xfId="26366" xr:uid="{00000000-0005-0000-0000-00002E670000}"/>
    <cellStyle name="Comma 3 5 12" xfId="26367" xr:uid="{00000000-0005-0000-0000-00002F670000}"/>
    <cellStyle name="Comma 3 5 12 2" xfId="26371" xr:uid="{00000000-0005-0000-0000-000033670000}"/>
    <cellStyle name="Comma 3 5 12 3" xfId="26375" xr:uid="{00000000-0005-0000-0000-000037670000}"/>
    <cellStyle name="Comma 3 5 12 4" xfId="277" xr:uid="{00000000-0005-0000-0000-000027010000}"/>
    <cellStyle name="Comma 3 5 12 5" xfId="293" xr:uid="{00000000-0005-0000-0000-000038010000}"/>
    <cellStyle name="Comma 3 5 12 6" xfId="321" xr:uid="{00000000-0005-0000-0000-000056010000}"/>
    <cellStyle name="Comma 3 5 13" xfId="26376" xr:uid="{00000000-0005-0000-0000-000038670000}"/>
    <cellStyle name="Comma 3 5 13 2" xfId="26379" xr:uid="{00000000-0005-0000-0000-00003B670000}"/>
    <cellStyle name="Comma 3 5 13 3" xfId="23507" xr:uid="{00000000-0005-0000-0000-0000035C0000}"/>
    <cellStyle name="Comma 3 5 13 4" xfId="23513" xr:uid="{00000000-0005-0000-0000-0000095C0000}"/>
    <cellStyle name="Comma 3 5 13 5" xfId="23517" xr:uid="{00000000-0005-0000-0000-00000D5C0000}"/>
    <cellStyle name="Comma 3 5 13 6" xfId="26380" xr:uid="{00000000-0005-0000-0000-00003C670000}"/>
    <cellStyle name="Comma 3 5 14" xfId="14610" xr:uid="{00000000-0005-0000-0000-000042390000}"/>
    <cellStyle name="Comma 3 5 14 2" xfId="26383" xr:uid="{00000000-0005-0000-0000-00003F670000}"/>
    <cellStyle name="Comma 3 5 14 3" xfId="26388" xr:uid="{00000000-0005-0000-0000-000044670000}"/>
    <cellStyle name="Comma 3 5 14 4" xfId="26394" xr:uid="{00000000-0005-0000-0000-00004A670000}"/>
    <cellStyle name="Comma 3 5 14 5" xfId="26397" xr:uid="{00000000-0005-0000-0000-00004D670000}"/>
    <cellStyle name="Comma 3 5 14 6" xfId="26400" xr:uid="{00000000-0005-0000-0000-000050670000}"/>
    <cellStyle name="Comma 3 5 15" xfId="14614" xr:uid="{00000000-0005-0000-0000-000046390000}"/>
    <cellStyle name="Comma 3 5 16" xfId="14618" xr:uid="{00000000-0005-0000-0000-00004A390000}"/>
    <cellStyle name="Comma 3 5 17" xfId="14623" xr:uid="{00000000-0005-0000-0000-00004F390000}"/>
    <cellStyle name="Comma 3 5 18" xfId="14626" xr:uid="{00000000-0005-0000-0000-000052390000}"/>
    <cellStyle name="Comma 3 5 19" xfId="26406" xr:uid="{00000000-0005-0000-0000-000056670000}"/>
    <cellStyle name="Comma 3 5 2" xfId="16528" xr:uid="{00000000-0005-0000-0000-0000C0400000}"/>
    <cellStyle name="Comma 3 5 2 10" xfId="26410" xr:uid="{00000000-0005-0000-0000-00005A670000}"/>
    <cellStyle name="Comma 3 5 2 10 2" xfId="25407" xr:uid="{00000000-0005-0000-0000-00006F630000}"/>
    <cellStyle name="Comma 3 5 2 10 3" xfId="25411" xr:uid="{00000000-0005-0000-0000-000073630000}"/>
    <cellStyle name="Comma 3 5 2 10 4" xfId="25414" xr:uid="{00000000-0005-0000-0000-000076630000}"/>
    <cellStyle name="Comma 3 5 2 10 5" xfId="26411" xr:uid="{00000000-0005-0000-0000-00005B670000}"/>
    <cellStyle name="Comma 3 5 2 10 6" xfId="26412" xr:uid="{00000000-0005-0000-0000-00005C670000}"/>
    <cellStyle name="Comma 3 5 2 11" xfId="26417" xr:uid="{00000000-0005-0000-0000-000061670000}"/>
    <cellStyle name="Comma 3 5 2 11 2" xfId="26419" xr:uid="{00000000-0005-0000-0000-000063670000}"/>
    <cellStyle name="Comma 3 5 2 11 3" xfId="26420" xr:uid="{00000000-0005-0000-0000-000064670000}"/>
    <cellStyle name="Comma 3 5 2 11 4" xfId="10052" xr:uid="{00000000-0005-0000-0000-000074270000}"/>
    <cellStyle name="Comma 3 5 2 11 5" xfId="26421" xr:uid="{00000000-0005-0000-0000-000065670000}"/>
    <cellStyle name="Comma 3 5 2 11 6" xfId="26422" xr:uid="{00000000-0005-0000-0000-000066670000}"/>
    <cellStyle name="Comma 3 5 2 12" xfId="26424" xr:uid="{00000000-0005-0000-0000-000068670000}"/>
    <cellStyle name="Comma 3 5 2 13" xfId="26427" xr:uid="{00000000-0005-0000-0000-00006B670000}"/>
    <cellStyle name="Comma 3 5 2 14" xfId="10584" xr:uid="{00000000-0005-0000-0000-000088290000}"/>
    <cellStyle name="Comma 3 5 2 15" xfId="26430" xr:uid="{00000000-0005-0000-0000-00006E670000}"/>
    <cellStyle name="Comma 3 5 2 16" xfId="26433" xr:uid="{00000000-0005-0000-0000-000071670000}"/>
    <cellStyle name="Comma 3 5 2 17" xfId="26438" xr:uid="{00000000-0005-0000-0000-000076670000}"/>
    <cellStyle name="Comma 3 5 2 18" xfId="26442" xr:uid="{00000000-0005-0000-0000-00007A670000}"/>
    <cellStyle name="Comma 3 5 2 19" xfId="26444" xr:uid="{00000000-0005-0000-0000-00007C670000}"/>
    <cellStyle name="Comma 3 5 2 2" xfId="26446" xr:uid="{00000000-0005-0000-0000-00007E670000}"/>
    <cellStyle name="Comma 3 5 2 2 10" xfId="21380" xr:uid="{00000000-0005-0000-0000-0000B4530000}"/>
    <cellStyle name="Comma 3 5 2 2 11" xfId="22128" xr:uid="{00000000-0005-0000-0000-0000A0560000}"/>
    <cellStyle name="Comma 3 5 2 2 12" xfId="22138" xr:uid="{00000000-0005-0000-0000-0000AA560000}"/>
    <cellStyle name="Comma 3 5 2 2 13" xfId="22143" xr:uid="{00000000-0005-0000-0000-0000AF560000}"/>
    <cellStyle name="Comma 3 5 2 2 14" xfId="22146" xr:uid="{00000000-0005-0000-0000-0000B2560000}"/>
    <cellStyle name="Comma 3 5 2 2 15" xfId="22149" xr:uid="{00000000-0005-0000-0000-0000B5560000}"/>
    <cellStyle name="Comma 3 5 2 2 16" xfId="3565" xr:uid="{00000000-0005-0000-0000-00001D0E0000}"/>
    <cellStyle name="Comma 3 5 2 2 17" xfId="24073" xr:uid="{00000000-0005-0000-0000-0000395E0000}"/>
    <cellStyle name="Comma 3 5 2 2 18" xfId="26447" xr:uid="{00000000-0005-0000-0000-00007F670000}"/>
    <cellStyle name="Comma 3 5 2 2 2" xfId="7853" xr:uid="{00000000-0005-0000-0000-0000DD1E0000}"/>
    <cellStyle name="Comma 3 5 2 2 2 10" xfId="12363" xr:uid="{00000000-0005-0000-0000-00007B300000}"/>
    <cellStyle name="Comma 3 5 2 2 2 11" xfId="12369" xr:uid="{00000000-0005-0000-0000-000081300000}"/>
    <cellStyle name="Comma 3 5 2 2 2 12" xfId="12373" xr:uid="{00000000-0005-0000-0000-000085300000}"/>
    <cellStyle name="Comma 3 5 2 2 2 2" xfId="26448" xr:uid="{00000000-0005-0000-0000-000080670000}"/>
    <cellStyle name="Comma 3 5 2 2 2 2 2" xfId="14504" xr:uid="{00000000-0005-0000-0000-0000D8380000}"/>
    <cellStyle name="Comma 3 5 2 2 2 2 2 2" xfId="26450" xr:uid="{00000000-0005-0000-0000-000082670000}"/>
    <cellStyle name="Comma 3 5 2 2 2 2 3" xfId="1701" xr:uid="{00000000-0005-0000-0000-0000D5060000}"/>
    <cellStyle name="Comma 3 5 2 2 2 2 4" xfId="14675" xr:uid="{00000000-0005-0000-0000-000083390000}"/>
    <cellStyle name="Comma 3 5 2 2 2 2 5" xfId="14681" xr:uid="{00000000-0005-0000-0000-000089390000}"/>
    <cellStyle name="Comma 3 5 2 2 2 3" xfId="26451" xr:uid="{00000000-0005-0000-0000-000083670000}"/>
    <cellStyle name="Comma 3 5 2 2 2 3 2" xfId="14533" xr:uid="{00000000-0005-0000-0000-0000F5380000}"/>
    <cellStyle name="Comma 3 5 2 2 2 4" xfId="26452" xr:uid="{00000000-0005-0000-0000-000084670000}"/>
    <cellStyle name="Comma 3 5 2 2 2 5" xfId="26453" xr:uid="{00000000-0005-0000-0000-000085670000}"/>
    <cellStyle name="Comma 3 5 2 2 2 6" xfId="26454" xr:uid="{00000000-0005-0000-0000-000086670000}"/>
    <cellStyle name="Comma 3 5 2 2 2 7" xfId="26456" xr:uid="{00000000-0005-0000-0000-000088670000}"/>
    <cellStyle name="Comma 3 5 2 2 2 8" xfId="26458" xr:uid="{00000000-0005-0000-0000-00008A670000}"/>
    <cellStyle name="Comma 3 5 2 2 2 9" xfId="26460" xr:uid="{00000000-0005-0000-0000-00008C670000}"/>
    <cellStyle name="Comma 3 5 2 2 3" xfId="7629" xr:uid="{00000000-0005-0000-0000-0000FD1D0000}"/>
    <cellStyle name="Comma 3 5 2 2 3 10" xfId="14890" xr:uid="{00000000-0005-0000-0000-00005A3A0000}"/>
    <cellStyle name="Comma 3 5 2 2 3 11" xfId="26461" xr:uid="{00000000-0005-0000-0000-00008D670000}"/>
    <cellStyle name="Comma 3 5 2 2 3 12" xfId="26462" xr:uid="{00000000-0005-0000-0000-00008E670000}"/>
    <cellStyle name="Comma 3 5 2 2 3 2" xfId="26464" xr:uid="{00000000-0005-0000-0000-000090670000}"/>
    <cellStyle name="Comma 3 5 2 2 3 2 2" xfId="26466" xr:uid="{00000000-0005-0000-0000-000092670000}"/>
    <cellStyle name="Comma 3 5 2 2 3 2 2 2" xfId="26468" xr:uid="{00000000-0005-0000-0000-000094670000}"/>
    <cellStyle name="Comma 3 5 2 2 3 2 3" xfId="26473" xr:uid="{00000000-0005-0000-0000-000099670000}"/>
    <cellStyle name="Comma 3 5 2 2 3 2 4" xfId="26475" xr:uid="{00000000-0005-0000-0000-00009B670000}"/>
    <cellStyle name="Comma 3 5 2 2 3 2 5" xfId="26477" xr:uid="{00000000-0005-0000-0000-00009D670000}"/>
    <cellStyle name="Comma 3 5 2 2 3 3" xfId="26478" xr:uid="{00000000-0005-0000-0000-00009E670000}"/>
    <cellStyle name="Comma 3 5 2 2 3 3 2" xfId="26479" xr:uid="{00000000-0005-0000-0000-00009F670000}"/>
    <cellStyle name="Comma 3 5 2 2 3 4" xfId="26481" xr:uid="{00000000-0005-0000-0000-0000A1670000}"/>
    <cellStyle name="Comma 3 5 2 2 3 5" xfId="2790" xr:uid="{00000000-0005-0000-0000-0000160B0000}"/>
    <cellStyle name="Comma 3 5 2 2 3 6" xfId="2809" xr:uid="{00000000-0005-0000-0000-0000290B0000}"/>
    <cellStyle name="Comma 3 5 2 2 3 7" xfId="1129" xr:uid="{00000000-0005-0000-0000-000099040000}"/>
    <cellStyle name="Comma 3 5 2 2 3 8" xfId="18571" xr:uid="{00000000-0005-0000-0000-0000BB480000}"/>
    <cellStyle name="Comma 3 5 2 2 3 9" xfId="18575" xr:uid="{00000000-0005-0000-0000-0000BF480000}"/>
    <cellStyle name="Comma 3 5 2 2 4" xfId="1416" xr:uid="{00000000-0005-0000-0000-0000B8050000}"/>
    <cellStyle name="Comma 3 5 2 2 4 10" xfId="10841" xr:uid="{00000000-0005-0000-0000-0000892A0000}"/>
    <cellStyle name="Comma 3 5 2 2 4 2" xfId="26482" xr:uid="{00000000-0005-0000-0000-0000A2670000}"/>
    <cellStyle name="Comma 3 5 2 2 4 2 2" xfId="26483" xr:uid="{00000000-0005-0000-0000-0000A3670000}"/>
    <cellStyle name="Comma 3 5 2 2 4 2 2 2" xfId="26485" xr:uid="{00000000-0005-0000-0000-0000A5670000}"/>
    <cellStyle name="Comma 3 5 2 2 4 2 3" xfId="26488" xr:uid="{00000000-0005-0000-0000-0000A8670000}"/>
    <cellStyle name="Comma 3 5 2 2 4 2 4" xfId="26489" xr:uid="{00000000-0005-0000-0000-0000A9670000}"/>
    <cellStyle name="Comma 3 5 2 2 4 2 5" xfId="26491" xr:uid="{00000000-0005-0000-0000-0000AB670000}"/>
    <cellStyle name="Comma 3 5 2 2 4 3" xfId="26493" xr:uid="{00000000-0005-0000-0000-0000AD670000}"/>
    <cellStyle name="Comma 3 5 2 2 4 3 2" xfId="26494" xr:uid="{00000000-0005-0000-0000-0000AE670000}"/>
    <cellStyle name="Comma 3 5 2 2 4 4" xfId="26495" xr:uid="{00000000-0005-0000-0000-0000AF670000}"/>
    <cellStyle name="Comma 3 5 2 2 4 5" xfId="2868" xr:uid="{00000000-0005-0000-0000-0000640B0000}"/>
    <cellStyle name="Comma 3 5 2 2 4 6" xfId="2877" xr:uid="{00000000-0005-0000-0000-00006D0B0000}"/>
    <cellStyle name="Comma 3 5 2 2 4 7" xfId="520" xr:uid="{00000000-0005-0000-0000-00002B020000}"/>
    <cellStyle name="Comma 3 5 2 2 4 8" xfId="556" xr:uid="{00000000-0005-0000-0000-000051020000}"/>
    <cellStyle name="Comma 3 5 2 2 4 9" xfId="80" xr:uid="{00000000-0005-0000-0000-000055000000}"/>
    <cellStyle name="Comma 3 5 2 2 5" xfId="7863" xr:uid="{00000000-0005-0000-0000-0000E71E0000}"/>
    <cellStyle name="Comma 3 5 2 2 5 10" xfId="26497" xr:uid="{00000000-0005-0000-0000-0000B1670000}"/>
    <cellStyle name="Comma 3 5 2 2 5 2" xfId="26499" xr:uid="{00000000-0005-0000-0000-0000B3670000}"/>
    <cellStyle name="Comma 3 5 2 2 5 2 2" xfId="11598" xr:uid="{00000000-0005-0000-0000-00007E2D0000}"/>
    <cellStyle name="Comma 3 5 2 2 5 2 2 2" xfId="26504" xr:uid="{00000000-0005-0000-0000-0000B8670000}"/>
    <cellStyle name="Comma 3 5 2 2 5 2 3" xfId="13941" xr:uid="{00000000-0005-0000-0000-0000A5360000}"/>
    <cellStyle name="Comma 3 5 2 2 5 2 4" xfId="26508" xr:uid="{00000000-0005-0000-0000-0000BC670000}"/>
    <cellStyle name="Comma 3 5 2 2 5 2 5" xfId="26514" xr:uid="{00000000-0005-0000-0000-0000C2670000}"/>
    <cellStyle name="Comma 3 5 2 2 5 3" xfId="26515" xr:uid="{00000000-0005-0000-0000-0000C3670000}"/>
    <cellStyle name="Comma 3 5 2 2 5 3 2" xfId="26519" xr:uid="{00000000-0005-0000-0000-0000C7670000}"/>
    <cellStyle name="Comma 3 5 2 2 5 4" xfId="21605" xr:uid="{00000000-0005-0000-0000-000095540000}"/>
    <cellStyle name="Comma 3 5 2 2 5 5" xfId="18593" xr:uid="{00000000-0005-0000-0000-0000D1480000}"/>
    <cellStyle name="Comma 3 5 2 2 5 6" xfId="21607" xr:uid="{00000000-0005-0000-0000-000097540000}"/>
    <cellStyle name="Comma 3 5 2 2 5 7" xfId="21608" xr:uid="{00000000-0005-0000-0000-000098540000}"/>
    <cellStyle name="Comma 3 5 2 2 5 8" xfId="21612" xr:uid="{00000000-0005-0000-0000-00009C540000}"/>
    <cellStyle name="Comma 3 5 2 2 5 9" xfId="21614" xr:uid="{00000000-0005-0000-0000-00009E540000}"/>
    <cellStyle name="Comma 3 5 2 2 6" xfId="21477" xr:uid="{00000000-0005-0000-0000-000015540000}"/>
    <cellStyle name="Comma 3 5 2 2 6 2" xfId="26520" xr:uid="{00000000-0005-0000-0000-0000C8670000}"/>
    <cellStyle name="Comma 3 5 2 2 6 2 2" xfId="26528" xr:uid="{00000000-0005-0000-0000-0000D0670000}"/>
    <cellStyle name="Comma 3 5 2 2 6 3" xfId="26529" xr:uid="{00000000-0005-0000-0000-0000D1670000}"/>
    <cellStyle name="Comma 3 5 2 2 6 4" xfId="26531" xr:uid="{00000000-0005-0000-0000-0000D3670000}"/>
    <cellStyle name="Comma 3 5 2 2 6 5" xfId="26533" xr:uid="{00000000-0005-0000-0000-0000D5670000}"/>
    <cellStyle name="Comma 3 5 2 2 6 6" xfId="26535" xr:uid="{00000000-0005-0000-0000-0000D7670000}"/>
    <cellStyle name="Comma 3 5 2 2 6 7" xfId="26536" xr:uid="{00000000-0005-0000-0000-0000D8670000}"/>
    <cellStyle name="Comma 3 5 2 2 6 8" xfId="26537" xr:uid="{00000000-0005-0000-0000-0000D9670000}"/>
    <cellStyle name="Comma 3 5 2 2 6 9" xfId="26538" xr:uid="{00000000-0005-0000-0000-0000DA670000}"/>
    <cellStyle name="Comma 3 5 2 2 7" xfId="21479" xr:uid="{00000000-0005-0000-0000-000017540000}"/>
    <cellStyle name="Comma 3 5 2 2 7 2" xfId="11696" xr:uid="{00000000-0005-0000-0000-0000E02D0000}"/>
    <cellStyle name="Comma 3 5 2 2 8" xfId="21481" xr:uid="{00000000-0005-0000-0000-000019540000}"/>
    <cellStyle name="Comma 3 5 2 2 9" xfId="21483" xr:uid="{00000000-0005-0000-0000-00001B540000}"/>
    <cellStyle name="Comma 3 5 2 20" xfId="26429" xr:uid="{00000000-0005-0000-0000-00006D670000}"/>
    <cellStyle name="Comma 3 5 2 21" xfId="26432" xr:uid="{00000000-0005-0000-0000-000070670000}"/>
    <cellStyle name="Comma 3 5 2 22" xfId="26437" xr:uid="{00000000-0005-0000-0000-000075670000}"/>
    <cellStyle name="Comma 3 5 2 23" xfId="26441" xr:uid="{00000000-0005-0000-0000-000079670000}"/>
    <cellStyle name="Comma 3 5 2 3" xfId="26541" xr:uid="{00000000-0005-0000-0000-0000DD670000}"/>
    <cellStyle name="Comma 3 5 2 3 10" xfId="17158" xr:uid="{00000000-0005-0000-0000-000036430000}"/>
    <cellStyle name="Comma 3 5 2 3 11" xfId="17160" xr:uid="{00000000-0005-0000-0000-000038430000}"/>
    <cellStyle name="Comma 3 5 2 3 12" xfId="17162" xr:uid="{00000000-0005-0000-0000-00003A430000}"/>
    <cellStyle name="Comma 3 5 2 3 13" xfId="17164" xr:uid="{00000000-0005-0000-0000-00003C430000}"/>
    <cellStyle name="Comma 3 5 2 3 14" xfId="17167" xr:uid="{00000000-0005-0000-0000-00003F430000}"/>
    <cellStyle name="Comma 3 5 2 3 15" xfId="4191" xr:uid="{00000000-0005-0000-0000-00008F100000}"/>
    <cellStyle name="Comma 3 5 2 3 16" xfId="26543" xr:uid="{00000000-0005-0000-0000-0000DF670000}"/>
    <cellStyle name="Comma 3 5 2 3 17" xfId="21685" xr:uid="{00000000-0005-0000-0000-0000E5540000}"/>
    <cellStyle name="Comma 3 5 2 3 18" xfId="21688" xr:uid="{00000000-0005-0000-0000-0000E8540000}"/>
    <cellStyle name="Comma 3 5 2 3 2" xfId="6908" xr:uid="{00000000-0005-0000-0000-00002C1B0000}"/>
    <cellStyle name="Comma 3 5 2 3 2 10" xfId="26544" xr:uid="{00000000-0005-0000-0000-0000E0670000}"/>
    <cellStyle name="Comma 3 5 2 3 2 2" xfId="79" xr:uid="{00000000-0005-0000-0000-000053000000}"/>
    <cellStyle name="Comma 3 5 2 3 2 2 2" xfId="25348" xr:uid="{00000000-0005-0000-0000-000034630000}"/>
    <cellStyle name="Comma 3 5 2 3 2 3" xfId="26547" xr:uid="{00000000-0005-0000-0000-0000E3670000}"/>
    <cellStyle name="Comma 3 5 2 3 2 4" xfId="26550" xr:uid="{00000000-0005-0000-0000-0000E6670000}"/>
    <cellStyle name="Comma 3 5 2 3 2 5" xfId="3045" xr:uid="{00000000-0005-0000-0000-0000150C0000}"/>
    <cellStyle name="Comma 3 5 2 3 2 6" xfId="3069" xr:uid="{00000000-0005-0000-0000-00002D0C0000}"/>
    <cellStyle name="Comma 3 5 2 3 2 7" xfId="3670" xr:uid="{00000000-0005-0000-0000-0000860E0000}"/>
    <cellStyle name="Comma 3 5 2 3 2 8" xfId="3731" xr:uid="{00000000-0005-0000-0000-0000C30E0000}"/>
    <cellStyle name="Comma 3 5 2 3 2 9" xfId="3738" xr:uid="{00000000-0005-0000-0000-0000CA0E0000}"/>
    <cellStyle name="Comma 3 5 2 3 3" xfId="26551" xr:uid="{00000000-0005-0000-0000-0000E7670000}"/>
    <cellStyle name="Comma 3 5 2 3 3 2" xfId="26553" xr:uid="{00000000-0005-0000-0000-0000E9670000}"/>
    <cellStyle name="Comma 3 5 2 3 3 3" xfId="26556" xr:uid="{00000000-0005-0000-0000-0000EC670000}"/>
    <cellStyle name="Comma 3 5 2 3 3 4" xfId="26558" xr:uid="{00000000-0005-0000-0000-0000EE670000}"/>
    <cellStyle name="Comma 3 5 2 3 3 5" xfId="3342" xr:uid="{00000000-0005-0000-0000-00003E0D0000}"/>
    <cellStyle name="Comma 3 5 2 3 3 6" xfId="3764" xr:uid="{00000000-0005-0000-0000-0000E40E0000}"/>
    <cellStyle name="Comma 3 5 2 3 4" xfId="26559" xr:uid="{00000000-0005-0000-0000-0000EF670000}"/>
    <cellStyle name="Comma 3 5 2 3 4 2" xfId="26562" xr:uid="{00000000-0005-0000-0000-0000F2670000}"/>
    <cellStyle name="Comma 3 5 2 3 4 3" xfId="26564" xr:uid="{00000000-0005-0000-0000-0000F4670000}"/>
    <cellStyle name="Comma 3 5 2 3 4 4" xfId="26566" xr:uid="{00000000-0005-0000-0000-0000F6670000}"/>
    <cellStyle name="Comma 3 5 2 3 4 5" xfId="13370" xr:uid="{00000000-0005-0000-0000-00006A340000}"/>
    <cellStyle name="Comma 3 5 2 3 4 6" xfId="18624" xr:uid="{00000000-0005-0000-0000-0000F0480000}"/>
    <cellStyle name="Comma 3 5 2 3 5" xfId="3589" xr:uid="{00000000-0005-0000-0000-0000350E0000}"/>
    <cellStyle name="Comma 3 5 2 3 5 2" xfId="6961" xr:uid="{00000000-0005-0000-0000-0000611B0000}"/>
    <cellStyle name="Comma 3 5 2 3 5 3" xfId="6976" xr:uid="{00000000-0005-0000-0000-0000701B0000}"/>
    <cellStyle name="Comma 3 5 2 3 5 4" xfId="6988" xr:uid="{00000000-0005-0000-0000-00007C1B0000}"/>
    <cellStyle name="Comma 3 5 2 3 5 5" xfId="16051" xr:uid="{00000000-0005-0000-0000-0000E33E0000}"/>
    <cellStyle name="Comma 3 5 2 3 5 6" xfId="26567" xr:uid="{00000000-0005-0000-0000-0000F7670000}"/>
    <cellStyle name="Comma 3 5 2 3 6" xfId="26568" xr:uid="{00000000-0005-0000-0000-0000F8670000}"/>
    <cellStyle name="Comma 3 5 2 3 6 2" xfId="26570" xr:uid="{00000000-0005-0000-0000-0000FA670000}"/>
    <cellStyle name="Comma 3 5 2 3 6 3" xfId="26572" xr:uid="{00000000-0005-0000-0000-0000FC670000}"/>
    <cellStyle name="Comma 3 5 2 3 6 4" xfId="26574" xr:uid="{00000000-0005-0000-0000-0000FE670000}"/>
    <cellStyle name="Comma 3 5 2 3 6 5" xfId="26577" xr:uid="{00000000-0005-0000-0000-000001680000}"/>
    <cellStyle name="Comma 3 5 2 3 6 6" xfId="26580" xr:uid="{00000000-0005-0000-0000-000004680000}"/>
    <cellStyle name="Comma 3 5 2 3 7" xfId="26581" xr:uid="{00000000-0005-0000-0000-000005680000}"/>
    <cellStyle name="Comma 3 5 2 3 8" xfId="26582" xr:uid="{00000000-0005-0000-0000-000006680000}"/>
    <cellStyle name="Comma 3 5 2 3 9" xfId="26583" xr:uid="{00000000-0005-0000-0000-000007680000}"/>
    <cellStyle name="Comma 3 5 2 4" xfId="26584" xr:uid="{00000000-0005-0000-0000-000008680000}"/>
    <cellStyle name="Comma 3 5 2 4 10" xfId="17220" xr:uid="{00000000-0005-0000-0000-000074430000}"/>
    <cellStyle name="Comma 3 5 2 4 11" xfId="17224" xr:uid="{00000000-0005-0000-0000-000078430000}"/>
    <cellStyle name="Comma 3 5 2 4 12" xfId="17228" xr:uid="{00000000-0005-0000-0000-00007C430000}"/>
    <cellStyle name="Comma 3 5 2 4 13" xfId="17231" xr:uid="{00000000-0005-0000-0000-00007F430000}"/>
    <cellStyle name="Comma 3 5 2 4 14" xfId="17234" xr:uid="{00000000-0005-0000-0000-000082430000}"/>
    <cellStyle name="Comma 3 5 2 4 15" xfId="17237" xr:uid="{00000000-0005-0000-0000-000085430000}"/>
    <cellStyle name="Comma 3 5 2 4 2" xfId="5452" xr:uid="{00000000-0005-0000-0000-00007C150000}"/>
    <cellStyle name="Comma 3 5 2 4 2 2" xfId="26586" xr:uid="{00000000-0005-0000-0000-00000A680000}"/>
    <cellStyle name="Comma 3 5 2 4 2 2 2" xfId="23533" xr:uid="{00000000-0005-0000-0000-00001D5C0000}"/>
    <cellStyle name="Comma 3 5 2 4 2 3" xfId="26589" xr:uid="{00000000-0005-0000-0000-00000D680000}"/>
    <cellStyle name="Comma 3 5 2 4 2 4" xfId="26592" xr:uid="{00000000-0005-0000-0000-000010680000}"/>
    <cellStyle name="Comma 3 5 2 4 2 5" xfId="26595" xr:uid="{00000000-0005-0000-0000-000013680000}"/>
    <cellStyle name="Comma 3 5 2 4 2 6" xfId="26597" xr:uid="{00000000-0005-0000-0000-000015680000}"/>
    <cellStyle name="Comma 3 5 2 4 2 7" xfId="26598" xr:uid="{00000000-0005-0000-0000-000016680000}"/>
    <cellStyle name="Comma 3 5 2 4 2 8" xfId="26599" xr:uid="{00000000-0005-0000-0000-000017680000}"/>
    <cellStyle name="Comma 3 5 2 4 2 9" xfId="26600" xr:uid="{00000000-0005-0000-0000-000018680000}"/>
    <cellStyle name="Comma 3 5 2 4 3" xfId="26601" xr:uid="{00000000-0005-0000-0000-000019680000}"/>
    <cellStyle name="Comma 3 5 2 4 3 2" xfId="5461" xr:uid="{00000000-0005-0000-0000-000085150000}"/>
    <cellStyle name="Comma 3 5 2 4 3 3" xfId="7080" xr:uid="{00000000-0005-0000-0000-0000D81B0000}"/>
    <cellStyle name="Comma 3 5 2 4 3 4" xfId="7087" xr:uid="{00000000-0005-0000-0000-0000DF1B0000}"/>
    <cellStyle name="Comma 3 5 2 4 3 5" xfId="17982" xr:uid="{00000000-0005-0000-0000-00006E460000}"/>
    <cellStyle name="Comma 3 5 2 4 3 6" xfId="17986" xr:uid="{00000000-0005-0000-0000-000072460000}"/>
    <cellStyle name="Comma 3 5 2 4 4" xfId="26602" xr:uid="{00000000-0005-0000-0000-00001A680000}"/>
    <cellStyle name="Comma 3 5 2 4 4 2" xfId="26604" xr:uid="{00000000-0005-0000-0000-00001C680000}"/>
    <cellStyle name="Comma 3 5 2 4 5" xfId="26605" xr:uid="{00000000-0005-0000-0000-00001D680000}"/>
    <cellStyle name="Comma 3 5 2 4 6" xfId="5108" xr:uid="{00000000-0005-0000-0000-000024140000}"/>
    <cellStyle name="Comma 3 5 2 4 7" xfId="26607" xr:uid="{00000000-0005-0000-0000-00001F680000}"/>
    <cellStyle name="Comma 3 5 2 4 8" xfId="26609" xr:uid="{00000000-0005-0000-0000-000021680000}"/>
    <cellStyle name="Comma 3 5 2 4 9" xfId="26611" xr:uid="{00000000-0005-0000-0000-000023680000}"/>
    <cellStyle name="Comma 3 5 2 5" xfId="26612" xr:uid="{00000000-0005-0000-0000-000024680000}"/>
    <cellStyle name="Comma 3 5 2 5 10" xfId="14938" xr:uid="{00000000-0005-0000-0000-00008A3A0000}"/>
    <cellStyle name="Comma 3 5 2 5 11" xfId="14946" xr:uid="{00000000-0005-0000-0000-0000923A0000}"/>
    <cellStyle name="Comma 3 5 2 5 12" xfId="14950" xr:uid="{00000000-0005-0000-0000-0000963A0000}"/>
    <cellStyle name="Comma 3 5 2 5 13" xfId="5801" xr:uid="{00000000-0005-0000-0000-0000D9160000}"/>
    <cellStyle name="Comma 3 5 2 5 2" xfId="5510" xr:uid="{00000000-0005-0000-0000-0000B6150000}"/>
    <cellStyle name="Comma 3 5 2 5 2 2" xfId="26614" xr:uid="{00000000-0005-0000-0000-000026680000}"/>
    <cellStyle name="Comma 3 5 2 5 2 2 2" xfId="21530" xr:uid="{00000000-0005-0000-0000-00004A540000}"/>
    <cellStyle name="Comma 3 5 2 5 2 3" xfId="26617" xr:uid="{00000000-0005-0000-0000-000029680000}"/>
    <cellStyle name="Comma 3 5 2 5 2 4" xfId="26621" xr:uid="{00000000-0005-0000-0000-00002D680000}"/>
    <cellStyle name="Comma 3 5 2 5 2 5" xfId="26624" xr:uid="{00000000-0005-0000-0000-000030680000}"/>
    <cellStyle name="Comma 3 5 2 5 2 6" xfId="26626" xr:uid="{00000000-0005-0000-0000-000032680000}"/>
    <cellStyle name="Comma 3 5 2 5 2 7" xfId="26627" xr:uid="{00000000-0005-0000-0000-000033680000}"/>
    <cellStyle name="Comma 3 5 2 5 2 8" xfId="26628" xr:uid="{00000000-0005-0000-0000-000034680000}"/>
    <cellStyle name="Comma 3 5 2 5 2 9" xfId="19877" xr:uid="{00000000-0005-0000-0000-0000D54D0000}"/>
    <cellStyle name="Comma 3 5 2 5 3" xfId="26629" xr:uid="{00000000-0005-0000-0000-000035680000}"/>
    <cellStyle name="Comma 3 5 2 5 3 2" xfId="26631" xr:uid="{00000000-0005-0000-0000-000037680000}"/>
    <cellStyle name="Comma 3 5 2 5 3 3" xfId="26634" xr:uid="{00000000-0005-0000-0000-00003A680000}"/>
    <cellStyle name="Comma 3 5 2 5 3 4" xfId="26636" xr:uid="{00000000-0005-0000-0000-00003C680000}"/>
    <cellStyle name="Comma 3 5 2 5 3 5" xfId="18704" xr:uid="{00000000-0005-0000-0000-000040490000}"/>
    <cellStyle name="Comma 3 5 2 5 3 6" xfId="26637" xr:uid="{00000000-0005-0000-0000-00003D680000}"/>
    <cellStyle name="Comma 3 5 2 5 4" xfId="21513" xr:uid="{00000000-0005-0000-0000-000039540000}"/>
    <cellStyle name="Comma 3 5 2 5 4 2" xfId="26639" xr:uid="{00000000-0005-0000-0000-00003F680000}"/>
    <cellStyle name="Comma 3 5 2 5 5" xfId="26640" xr:uid="{00000000-0005-0000-0000-000040680000}"/>
    <cellStyle name="Comma 3 5 2 5 6" xfId="5127" xr:uid="{00000000-0005-0000-0000-000037140000}"/>
    <cellStyle name="Comma 3 5 2 5 7" xfId="26642" xr:uid="{00000000-0005-0000-0000-000042680000}"/>
    <cellStyle name="Comma 3 5 2 5 8" xfId="22358" xr:uid="{00000000-0005-0000-0000-000086570000}"/>
    <cellStyle name="Comma 3 5 2 5 9" xfId="26645" xr:uid="{00000000-0005-0000-0000-000045680000}"/>
    <cellStyle name="Comma 3 5 2 6" xfId="2287" xr:uid="{00000000-0005-0000-0000-00001F090000}"/>
    <cellStyle name="Comma 3 5 2 6 10" xfId="17307" xr:uid="{00000000-0005-0000-0000-0000CB430000}"/>
    <cellStyle name="Comma 3 5 2 6 11" xfId="18852" xr:uid="{00000000-0005-0000-0000-0000D4490000}"/>
    <cellStyle name="Comma 3 5 2 6 12" xfId="26646" xr:uid="{00000000-0005-0000-0000-000046680000}"/>
    <cellStyle name="Comma 3 5 2 6 2" xfId="7229" xr:uid="{00000000-0005-0000-0000-00006D1C0000}"/>
    <cellStyle name="Comma 3 5 2 6 2 2" xfId="22515" xr:uid="{00000000-0005-0000-0000-000023580000}"/>
    <cellStyle name="Comma 3 5 2 6 2 2 2" xfId="21968" xr:uid="{00000000-0005-0000-0000-000000560000}"/>
    <cellStyle name="Comma 3 5 2 6 2 3" xfId="26649" xr:uid="{00000000-0005-0000-0000-000049680000}"/>
    <cellStyle name="Comma 3 5 2 6 2 4" xfId="26653" xr:uid="{00000000-0005-0000-0000-00004D680000}"/>
    <cellStyle name="Comma 3 5 2 6 2 5" xfId="26656" xr:uid="{00000000-0005-0000-0000-000050680000}"/>
    <cellStyle name="Comma 3 5 2 6 2 6" xfId="13464" xr:uid="{00000000-0005-0000-0000-0000C8340000}"/>
    <cellStyle name="Comma 3 5 2 6 2 7" xfId="26657" xr:uid="{00000000-0005-0000-0000-000051680000}"/>
    <cellStyle name="Comma 3 5 2 6 2 8" xfId="26659" xr:uid="{00000000-0005-0000-0000-000053680000}"/>
    <cellStyle name="Comma 3 5 2 6 2 9" xfId="25720" xr:uid="{00000000-0005-0000-0000-0000A8640000}"/>
    <cellStyle name="Comma 3 5 2 6 3" xfId="26660" xr:uid="{00000000-0005-0000-0000-000054680000}"/>
    <cellStyle name="Comma 3 5 2 6 3 2" xfId="7256" xr:uid="{00000000-0005-0000-0000-0000881C0000}"/>
    <cellStyle name="Comma 3 5 2 6 3 3" xfId="8476" xr:uid="{00000000-0005-0000-0000-00004C210000}"/>
    <cellStyle name="Comma 3 5 2 6 3 4" xfId="8486" xr:uid="{00000000-0005-0000-0000-000056210000}"/>
    <cellStyle name="Comma 3 5 2 6 3 5" xfId="8496" xr:uid="{00000000-0005-0000-0000-000060210000}"/>
    <cellStyle name="Comma 3 5 2 6 3 6" xfId="8505" xr:uid="{00000000-0005-0000-0000-000069210000}"/>
    <cellStyle name="Comma 3 5 2 6 4" xfId="26661" xr:uid="{00000000-0005-0000-0000-000055680000}"/>
    <cellStyle name="Comma 3 5 2 6 4 2" xfId="22643" xr:uid="{00000000-0005-0000-0000-0000A3580000}"/>
    <cellStyle name="Comma 3 5 2 6 5" xfId="26662" xr:uid="{00000000-0005-0000-0000-000056680000}"/>
    <cellStyle name="Comma 3 5 2 6 6" xfId="551" xr:uid="{00000000-0005-0000-0000-00004B020000}"/>
    <cellStyle name="Comma 3 5 2 6 7" xfId="26663" xr:uid="{00000000-0005-0000-0000-000057680000}"/>
    <cellStyle name="Comma 3 5 2 6 8" xfId="26664" xr:uid="{00000000-0005-0000-0000-000058680000}"/>
    <cellStyle name="Comma 3 5 2 6 9" xfId="26666" xr:uid="{00000000-0005-0000-0000-00005A680000}"/>
    <cellStyle name="Comma 3 5 2 7" xfId="26669" xr:uid="{00000000-0005-0000-0000-00005D680000}"/>
    <cellStyle name="Comma 3 5 2 7 2" xfId="26670" xr:uid="{00000000-0005-0000-0000-00005E680000}"/>
    <cellStyle name="Comma 3 5 2 7 2 2" xfId="22823" xr:uid="{00000000-0005-0000-0000-000057590000}"/>
    <cellStyle name="Comma 3 5 2 7 3" xfId="26671" xr:uid="{00000000-0005-0000-0000-00005F680000}"/>
    <cellStyle name="Comma 3 5 2 7 4" xfId="7326" xr:uid="{00000000-0005-0000-0000-0000CE1C0000}"/>
    <cellStyle name="Comma 3 5 2 7 5" xfId="26672" xr:uid="{00000000-0005-0000-0000-000060680000}"/>
    <cellStyle name="Comma 3 5 2 7 6" xfId="2093" xr:uid="{00000000-0005-0000-0000-00005D080000}"/>
    <cellStyle name="Comma 3 5 2 7 7" xfId="26673" xr:uid="{00000000-0005-0000-0000-000061680000}"/>
    <cellStyle name="Comma 3 5 2 7 8" xfId="26674" xr:uid="{00000000-0005-0000-0000-000062680000}"/>
    <cellStyle name="Comma 3 5 2 7 9" xfId="26676" xr:uid="{00000000-0005-0000-0000-000064680000}"/>
    <cellStyle name="Comma 3 5 2 8" xfId="26677" xr:uid="{00000000-0005-0000-0000-000065680000}"/>
    <cellStyle name="Comma 3 5 2 8 2" xfId="26013" xr:uid="{00000000-0005-0000-0000-0000CD650000}"/>
    <cellStyle name="Comma 3 5 2 8 3" xfId="26016" xr:uid="{00000000-0005-0000-0000-0000D0650000}"/>
    <cellStyle name="Comma 3 5 2 8 4" xfId="26019" xr:uid="{00000000-0005-0000-0000-0000D3650000}"/>
    <cellStyle name="Comma 3 5 2 8 5" xfId="26023" xr:uid="{00000000-0005-0000-0000-0000D7650000}"/>
    <cellStyle name="Comma 3 5 2 8 6" xfId="2270" xr:uid="{00000000-0005-0000-0000-00000E090000}"/>
    <cellStyle name="Comma 3 5 2 9" xfId="26678" xr:uid="{00000000-0005-0000-0000-000066680000}"/>
    <cellStyle name="Comma 3 5 2 9 2" xfId="26028" xr:uid="{00000000-0005-0000-0000-0000DC650000}"/>
    <cellStyle name="Comma 3 5 2 9 3" xfId="26030" xr:uid="{00000000-0005-0000-0000-0000DE650000}"/>
    <cellStyle name="Comma 3 5 2 9 4" xfId="14031" xr:uid="{00000000-0005-0000-0000-0000FF360000}"/>
    <cellStyle name="Comma 3 5 2 9 5" xfId="26679" xr:uid="{00000000-0005-0000-0000-000067680000}"/>
    <cellStyle name="Comma 3 5 2 9 6" xfId="4893" xr:uid="{00000000-0005-0000-0000-00004D130000}"/>
    <cellStyle name="Comma 3 5 20" xfId="14613" xr:uid="{00000000-0005-0000-0000-000045390000}"/>
    <cellStyle name="Comma 3 5 21" xfId="14617" xr:uid="{00000000-0005-0000-0000-000049390000}"/>
    <cellStyle name="Comma 3 5 22" xfId="14622" xr:uid="{00000000-0005-0000-0000-00004E390000}"/>
    <cellStyle name="Comma 3 5 23" xfId="14625" xr:uid="{00000000-0005-0000-0000-000051390000}"/>
    <cellStyle name="Comma 3 5 24" xfId="26405" xr:uid="{00000000-0005-0000-0000-000055670000}"/>
    <cellStyle name="Comma 3 5 25" xfId="13688" xr:uid="{00000000-0005-0000-0000-0000A8350000}"/>
    <cellStyle name="Comma 3 5 26" xfId="2762" xr:uid="{00000000-0005-0000-0000-0000FA0A0000}"/>
    <cellStyle name="Comma 3 5 3" xfId="16530" xr:uid="{00000000-0005-0000-0000-0000C2400000}"/>
    <cellStyle name="Comma 3 5 3 10" xfId="18875" xr:uid="{00000000-0005-0000-0000-0000EB490000}"/>
    <cellStyle name="Comma 3 5 3 10 2" xfId="26435" xr:uid="{00000000-0005-0000-0000-000073670000}"/>
    <cellStyle name="Comma 3 5 3 10 3" xfId="26439" xr:uid="{00000000-0005-0000-0000-000077670000}"/>
    <cellStyle name="Comma 3 5 3 10 4" xfId="26443" xr:uid="{00000000-0005-0000-0000-00007B670000}"/>
    <cellStyle name="Comma 3 5 3 10 5" xfId="26681" xr:uid="{00000000-0005-0000-0000-000069680000}"/>
    <cellStyle name="Comma 3 5 3 10 6" xfId="26683" xr:uid="{00000000-0005-0000-0000-00006B680000}"/>
    <cellStyle name="Comma 3 5 3 11" xfId="18878" xr:uid="{00000000-0005-0000-0000-0000EE490000}"/>
    <cellStyle name="Comma 3 5 3 11 2" xfId="26684" xr:uid="{00000000-0005-0000-0000-00006C680000}"/>
    <cellStyle name="Comma 3 5 3 11 3" xfId="26685" xr:uid="{00000000-0005-0000-0000-00006D680000}"/>
    <cellStyle name="Comma 3 5 3 11 4" xfId="26686" xr:uid="{00000000-0005-0000-0000-00006E680000}"/>
    <cellStyle name="Comma 3 5 3 11 5" xfId="26688" xr:uid="{00000000-0005-0000-0000-000070680000}"/>
    <cellStyle name="Comma 3 5 3 11 6" xfId="26690" xr:uid="{00000000-0005-0000-0000-000072680000}"/>
    <cellStyle name="Comma 3 5 3 12" xfId="18881" xr:uid="{00000000-0005-0000-0000-0000F1490000}"/>
    <cellStyle name="Comma 3 5 3 13" xfId="18885" xr:uid="{00000000-0005-0000-0000-0000F5490000}"/>
    <cellStyle name="Comma 3 5 3 14" xfId="18888" xr:uid="{00000000-0005-0000-0000-0000F8490000}"/>
    <cellStyle name="Comma 3 5 3 15" xfId="18892" xr:uid="{00000000-0005-0000-0000-0000FC490000}"/>
    <cellStyle name="Comma 3 5 3 16" xfId="18895" xr:uid="{00000000-0005-0000-0000-0000FF490000}"/>
    <cellStyle name="Comma 3 5 3 17" xfId="26692" xr:uid="{00000000-0005-0000-0000-000074680000}"/>
    <cellStyle name="Comma 3 5 3 18" xfId="26694" xr:uid="{00000000-0005-0000-0000-000076680000}"/>
    <cellStyle name="Comma 3 5 3 19" xfId="26695" xr:uid="{00000000-0005-0000-0000-000077680000}"/>
    <cellStyle name="Comma 3 5 3 2" xfId="26697" xr:uid="{00000000-0005-0000-0000-000079680000}"/>
    <cellStyle name="Comma 3 5 3 2 10" xfId="26698" xr:uid="{00000000-0005-0000-0000-00007A680000}"/>
    <cellStyle name="Comma 3 5 3 2 11" xfId="26699" xr:uid="{00000000-0005-0000-0000-00007B680000}"/>
    <cellStyle name="Comma 3 5 3 2 12" xfId="26700" xr:uid="{00000000-0005-0000-0000-00007C680000}"/>
    <cellStyle name="Comma 3 5 3 2 13" xfId="26701" xr:uid="{00000000-0005-0000-0000-00007D680000}"/>
    <cellStyle name="Comma 3 5 3 2 14" xfId="26702" xr:uid="{00000000-0005-0000-0000-00007E680000}"/>
    <cellStyle name="Comma 3 5 3 2 15" xfId="26703" xr:uid="{00000000-0005-0000-0000-00007F680000}"/>
    <cellStyle name="Comma 3 5 3 2 16" xfId="1308" xr:uid="{00000000-0005-0000-0000-00004C050000}"/>
    <cellStyle name="Comma 3 5 3 2 17" xfId="26704" xr:uid="{00000000-0005-0000-0000-000080680000}"/>
    <cellStyle name="Comma 3 5 3 2 18" xfId="26705" xr:uid="{00000000-0005-0000-0000-000081680000}"/>
    <cellStyle name="Comma 3 5 3 2 2" xfId="18020" xr:uid="{00000000-0005-0000-0000-000094460000}"/>
    <cellStyle name="Comma 3 5 3 2 2 10" xfId="11620" xr:uid="{00000000-0005-0000-0000-0000942D0000}"/>
    <cellStyle name="Comma 3 5 3 2 2 11" xfId="11622" xr:uid="{00000000-0005-0000-0000-0000962D0000}"/>
    <cellStyle name="Comma 3 5 3 2 2 12" xfId="6374" xr:uid="{00000000-0005-0000-0000-000016190000}"/>
    <cellStyle name="Comma 3 5 3 2 2 2" xfId="12977" xr:uid="{00000000-0005-0000-0000-0000E1320000}"/>
    <cellStyle name="Comma 3 5 3 2 2 2 2" xfId="16845" xr:uid="{00000000-0005-0000-0000-0000FD410000}"/>
    <cellStyle name="Comma 3 5 3 2 2 2 2 2" xfId="26706" xr:uid="{00000000-0005-0000-0000-000082680000}"/>
    <cellStyle name="Comma 3 5 3 2 2 2 3" xfId="17717" xr:uid="{00000000-0005-0000-0000-000065450000}"/>
    <cellStyle name="Comma 3 5 3 2 2 2 4" xfId="17721" xr:uid="{00000000-0005-0000-0000-000069450000}"/>
    <cellStyle name="Comma 3 5 3 2 2 2 5" xfId="17726" xr:uid="{00000000-0005-0000-0000-00006E450000}"/>
    <cellStyle name="Comma 3 5 3 2 2 3" xfId="12980" xr:uid="{00000000-0005-0000-0000-0000E4320000}"/>
    <cellStyle name="Comma 3 5 3 2 2 3 2" xfId="26707" xr:uid="{00000000-0005-0000-0000-000083680000}"/>
    <cellStyle name="Comma 3 5 3 2 2 4" xfId="6721" xr:uid="{00000000-0005-0000-0000-0000711A0000}"/>
    <cellStyle name="Comma 3 5 3 2 2 5" xfId="6727" xr:uid="{00000000-0005-0000-0000-0000771A0000}"/>
    <cellStyle name="Comma 3 5 3 2 2 6" xfId="6735" xr:uid="{00000000-0005-0000-0000-00007F1A0000}"/>
    <cellStyle name="Comma 3 5 3 2 2 7" xfId="26710" xr:uid="{00000000-0005-0000-0000-000086680000}"/>
    <cellStyle name="Comma 3 5 3 2 2 8" xfId="26713" xr:uid="{00000000-0005-0000-0000-000089680000}"/>
    <cellStyle name="Comma 3 5 3 2 2 9" xfId="26714" xr:uid="{00000000-0005-0000-0000-00008A680000}"/>
    <cellStyle name="Comma 3 5 3 2 3" xfId="18027" xr:uid="{00000000-0005-0000-0000-00009B460000}"/>
    <cellStyle name="Comma 3 5 3 2 3 10" xfId="446" xr:uid="{00000000-0005-0000-0000-0000DB010000}"/>
    <cellStyle name="Comma 3 5 3 2 3 11" xfId="22606" xr:uid="{00000000-0005-0000-0000-00007E580000}"/>
    <cellStyle name="Comma 3 5 3 2 3 12" xfId="22609" xr:uid="{00000000-0005-0000-0000-000081580000}"/>
    <cellStyle name="Comma 3 5 3 2 3 2" xfId="26716" xr:uid="{00000000-0005-0000-0000-00008C680000}"/>
    <cellStyle name="Comma 3 5 3 2 3 2 2" xfId="26718" xr:uid="{00000000-0005-0000-0000-00008E680000}"/>
    <cellStyle name="Comma 3 5 3 2 3 2 2 2" xfId="26719" xr:uid="{00000000-0005-0000-0000-00008F680000}"/>
    <cellStyle name="Comma 3 5 3 2 3 2 3" xfId="26720" xr:uid="{00000000-0005-0000-0000-000090680000}"/>
    <cellStyle name="Comma 3 5 3 2 3 2 4" xfId="26721" xr:uid="{00000000-0005-0000-0000-000091680000}"/>
    <cellStyle name="Comma 3 5 3 2 3 2 5" xfId="26722" xr:uid="{00000000-0005-0000-0000-000092680000}"/>
    <cellStyle name="Comma 3 5 3 2 3 3" xfId="26724" xr:uid="{00000000-0005-0000-0000-000094680000}"/>
    <cellStyle name="Comma 3 5 3 2 3 3 2" xfId="26725" xr:uid="{00000000-0005-0000-0000-000095680000}"/>
    <cellStyle name="Comma 3 5 3 2 3 4" xfId="26727" xr:uid="{00000000-0005-0000-0000-000097680000}"/>
    <cellStyle name="Comma 3 5 3 2 3 5" xfId="18988" xr:uid="{00000000-0005-0000-0000-00005C4A0000}"/>
    <cellStyle name="Comma 3 5 3 2 3 6" xfId="3297" xr:uid="{00000000-0005-0000-0000-0000110D0000}"/>
    <cellStyle name="Comma 3 5 3 2 3 7" xfId="18992" xr:uid="{00000000-0005-0000-0000-0000604A0000}"/>
    <cellStyle name="Comma 3 5 3 2 3 8" xfId="9021" xr:uid="{00000000-0005-0000-0000-00006D230000}"/>
    <cellStyle name="Comma 3 5 3 2 3 9" xfId="11025" xr:uid="{00000000-0005-0000-0000-0000412B0000}"/>
    <cellStyle name="Comma 3 5 3 2 4" xfId="18032" xr:uid="{00000000-0005-0000-0000-0000A0460000}"/>
    <cellStyle name="Comma 3 5 3 2 4 10" xfId="14175" xr:uid="{00000000-0005-0000-0000-00008F370000}"/>
    <cellStyle name="Comma 3 5 3 2 4 2" xfId="26731" xr:uid="{00000000-0005-0000-0000-00009B680000}"/>
    <cellStyle name="Comma 3 5 3 2 4 2 2" xfId="26735" xr:uid="{00000000-0005-0000-0000-00009F680000}"/>
    <cellStyle name="Comma 3 5 3 2 4 2 2 2" xfId="26736" xr:uid="{00000000-0005-0000-0000-0000A0680000}"/>
    <cellStyle name="Comma 3 5 3 2 4 2 3" xfId="26737" xr:uid="{00000000-0005-0000-0000-0000A1680000}"/>
    <cellStyle name="Comma 3 5 3 2 4 2 4" xfId="26738" xr:uid="{00000000-0005-0000-0000-0000A2680000}"/>
    <cellStyle name="Comma 3 5 3 2 4 2 5" xfId="19232" xr:uid="{00000000-0005-0000-0000-0000504B0000}"/>
    <cellStyle name="Comma 3 5 3 2 4 3" xfId="26741" xr:uid="{00000000-0005-0000-0000-0000A5680000}"/>
    <cellStyle name="Comma 3 5 3 2 4 3 2" xfId="26742" xr:uid="{00000000-0005-0000-0000-0000A6680000}"/>
    <cellStyle name="Comma 3 5 3 2 4 4" xfId="26745" xr:uid="{00000000-0005-0000-0000-0000A9680000}"/>
    <cellStyle name="Comma 3 5 3 2 4 5" xfId="18998" xr:uid="{00000000-0005-0000-0000-0000664A0000}"/>
    <cellStyle name="Comma 3 5 3 2 4 6" xfId="19002" xr:uid="{00000000-0005-0000-0000-00006A4A0000}"/>
    <cellStyle name="Comma 3 5 3 2 4 7" xfId="19006" xr:uid="{00000000-0005-0000-0000-00006E4A0000}"/>
    <cellStyle name="Comma 3 5 3 2 4 8" xfId="19013" xr:uid="{00000000-0005-0000-0000-0000754A0000}"/>
    <cellStyle name="Comma 3 5 3 2 4 9" xfId="19017" xr:uid="{00000000-0005-0000-0000-0000794A0000}"/>
    <cellStyle name="Comma 3 5 3 2 5" xfId="13775" xr:uid="{00000000-0005-0000-0000-0000FF350000}"/>
    <cellStyle name="Comma 3 5 3 2 5 10" xfId="17308" xr:uid="{00000000-0005-0000-0000-0000CC430000}"/>
    <cellStyle name="Comma 3 5 3 2 5 2" xfId="23114" xr:uid="{00000000-0005-0000-0000-00007A5A0000}"/>
    <cellStyle name="Comma 3 5 3 2 5 2 2" xfId="26747" xr:uid="{00000000-0005-0000-0000-0000AB680000}"/>
    <cellStyle name="Comma 3 5 3 2 5 2 2 2" xfId="21421" xr:uid="{00000000-0005-0000-0000-0000DD530000}"/>
    <cellStyle name="Comma 3 5 3 2 5 2 3" xfId="26748" xr:uid="{00000000-0005-0000-0000-0000AC680000}"/>
    <cellStyle name="Comma 3 5 3 2 5 2 4" xfId="26749" xr:uid="{00000000-0005-0000-0000-0000AD680000}"/>
    <cellStyle name="Comma 3 5 3 2 5 2 5" xfId="25362" xr:uid="{00000000-0005-0000-0000-000042630000}"/>
    <cellStyle name="Comma 3 5 3 2 5 3" xfId="26751" xr:uid="{00000000-0005-0000-0000-0000AF680000}"/>
    <cellStyle name="Comma 3 5 3 2 5 3 2" xfId="26752" xr:uid="{00000000-0005-0000-0000-0000B0680000}"/>
    <cellStyle name="Comma 3 5 3 2 5 4" xfId="13786" xr:uid="{00000000-0005-0000-0000-00000A360000}"/>
    <cellStyle name="Comma 3 5 3 2 5 5" xfId="13792" xr:uid="{00000000-0005-0000-0000-000010360000}"/>
    <cellStyle name="Comma 3 5 3 2 5 6" xfId="13798" xr:uid="{00000000-0005-0000-0000-000016360000}"/>
    <cellStyle name="Comma 3 5 3 2 5 7" xfId="18381" xr:uid="{00000000-0005-0000-0000-0000FD470000}"/>
    <cellStyle name="Comma 3 5 3 2 5 8" xfId="26754" xr:uid="{00000000-0005-0000-0000-0000B2680000}"/>
    <cellStyle name="Comma 3 5 3 2 5 9" xfId="26756" xr:uid="{00000000-0005-0000-0000-0000B4680000}"/>
    <cellStyle name="Comma 3 5 3 2 6" xfId="26757" xr:uid="{00000000-0005-0000-0000-0000B5680000}"/>
    <cellStyle name="Comma 3 5 3 2 6 2" xfId="26759" xr:uid="{00000000-0005-0000-0000-0000B7680000}"/>
    <cellStyle name="Comma 3 5 3 2 6 2 2" xfId="12008" xr:uid="{00000000-0005-0000-0000-0000182F0000}"/>
    <cellStyle name="Comma 3 5 3 2 6 3" xfId="26761" xr:uid="{00000000-0005-0000-0000-0000B9680000}"/>
    <cellStyle name="Comma 3 5 3 2 6 4" xfId="12015" xr:uid="{00000000-0005-0000-0000-00001F2F0000}"/>
    <cellStyle name="Comma 3 5 3 2 6 5" xfId="26763" xr:uid="{00000000-0005-0000-0000-0000BB680000}"/>
    <cellStyle name="Comma 3 5 3 2 6 6" xfId="25840" xr:uid="{00000000-0005-0000-0000-000020650000}"/>
    <cellStyle name="Comma 3 5 3 2 6 7" xfId="25843" xr:uid="{00000000-0005-0000-0000-000023650000}"/>
    <cellStyle name="Comma 3 5 3 2 6 8" xfId="25846" xr:uid="{00000000-0005-0000-0000-000026650000}"/>
    <cellStyle name="Comma 3 5 3 2 6 9" xfId="26765" xr:uid="{00000000-0005-0000-0000-0000BD680000}"/>
    <cellStyle name="Comma 3 5 3 2 7" xfId="26767" xr:uid="{00000000-0005-0000-0000-0000BF680000}"/>
    <cellStyle name="Comma 3 5 3 2 7 2" xfId="26768" xr:uid="{00000000-0005-0000-0000-0000C0680000}"/>
    <cellStyle name="Comma 3 5 3 2 8" xfId="26769" xr:uid="{00000000-0005-0000-0000-0000C1680000}"/>
    <cellStyle name="Comma 3 5 3 2 9" xfId="26770" xr:uid="{00000000-0005-0000-0000-0000C2680000}"/>
    <cellStyle name="Comma 3 5 3 20" xfId="18891" xr:uid="{00000000-0005-0000-0000-0000FB490000}"/>
    <cellStyle name="Comma 3 5 3 21" xfId="18894" xr:uid="{00000000-0005-0000-0000-0000FE490000}"/>
    <cellStyle name="Comma 3 5 3 22" xfId="26691" xr:uid="{00000000-0005-0000-0000-000073680000}"/>
    <cellStyle name="Comma 3 5 3 23" xfId="26693" xr:uid="{00000000-0005-0000-0000-000075680000}"/>
    <cellStyle name="Comma 3 5 3 3" xfId="26772" xr:uid="{00000000-0005-0000-0000-0000C4680000}"/>
    <cellStyle name="Comma 3 5 3 3 10" xfId="16751" xr:uid="{00000000-0005-0000-0000-00009F410000}"/>
    <cellStyle name="Comma 3 5 3 3 11" xfId="17433" xr:uid="{00000000-0005-0000-0000-000049440000}"/>
    <cellStyle name="Comma 3 5 3 3 12" xfId="26773" xr:uid="{00000000-0005-0000-0000-0000C5680000}"/>
    <cellStyle name="Comma 3 5 3 3 13" xfId="26774" xr:uid="{00000000-0005-0000-0000-0000C6680000}"/>
    <cellStyle name="Comma 3 5 3 3 14" xfId="26776" xr:uid="{00000000-0005-0000-0000-0000C8680000}"/>
    <cellStyle name="Comma 3 5 3 3 15" xfId="26778" xr:uid="{00000000-0005-0000-0000-0000CA680000}"/>
    <cellStyle name="Comma 3 5 3 3 16" xfId="26780" xr:uid="{00000000-0005-0000-0000-0000CC680000}"/>
    <cellStyle name="Comma 3 5 3 3 17" xfId="26782" xr:uid="{00000000-0005-0000-0000-0000CE680000}"/>
    <cellStyle name="Comma 3 5 3 3 18" xfId="26784" xr:uid="{00000000-0005-0000-0000-0000D0680000}"/>
    <cellStyle name="Comma 3 5 3 3 2" xfId="18035" xr:uid="{00000000-0005-0000-0000-0000A3460000}"/>
    <cellStyle name="Comma 3 5 3 3 2 10" xfId="12194" xr:uid="{00000000-0005-0000-0000-0000D22F0000}"/>
    <cellStyle name="Comma 3 5 3 3 2 2" xfId="13104" xr:uid="{00000000-0005-0000-0000-000060330000}"/>
    <cellStyle name="Comma 3 5 3 3 2 2 2" xfId="7914" xr:uid="{00000000-0005-0000-0000-00001A1F0000}"/>
    <cellStyle name="Comma 3 5 3 3 2 3" xfId="20723" xr:uid="{00000000-0005-0000-0000-000023510000}"/>
    <cellStyle name="Comma 3 5 3 3 2 4" xfId="20732" xr:uid="{00000000-0005-0000-0000-00002C510000}"/>
    <cellStyle name="Comma 3 5 3 3 2 5" xfId="20739" xr:uid="{00000000-0005-0000-0000-000033510000}"/>
    <cellStyle name="Comma 3 5 3 3 2 6" xfId="270" xr:uid="{00000000-0005-0000-0000-000020010000}"/>
    <cellStyle name="Comma 3 5 3 3 2 7" xfId="26787" xr:uid="{00000000-0005-0000-0000-0000D3680000}"/>
    <cellStyle name="Comma 3 5 3 3 2 8" xfId="26790" xr:uid="{00000000-0005-0000-0000-0000D6680000}"/>
    <cellStyle name="Comma 3 5 3 3 2 9" xfId="26792" xr:uid="{00000000-0005-0000-0000-0000D8680000}"/>
    <cellStyle name="Comma 3 5 3 3 3" xfId="26793" xr:uid="{00000000-0005-0000-0000-0000D9680000}"/>
    <cellStyle name="Comma 3 5 3 3 3 2" xfId="20948" xr:uid="{00000000-0005-0000-0000-000004520000}"/>
    <cellStyle name="Comma 3 5 3 3 3 3" xfId="20953" xr:uid="{00000000-0005-0000-0000-000009520000}"/>
    <cellStyle name="Comma 3 5 3 3 3 4" xfId="20958" xr:uid="{00000000-0005-0000-0000-00000E520000}"/>
    <cellStyle name="Comma 3 5 3 3 3 5" xfId="19036" xr:uid="{00000000-0005-0000-0000-00008C4A0000}"/>
    <cellStyle name="Comma 3 5 3 3 3 6" xfId="19044" xr:uid="{00000000-0005-0000-0000-0000944A0000}"/>
    <cellStyle name="Comma 3 5 3 3 4" xfId="26794" xr:uid="{00000000-0005-0000-0000-0000DA680000}"/>
    <cellStyle name="Comma 3 5 3 3 4 2" xfId="26799" xr:uid="{00000000-0005-0000-0000-0000DF680000}"/>
    <cellStyle name="Comma 3 5 3 3 4 3" xfId="26803" xr:uid="{00000000-0005-0000-0000-0000E3680000}"/>
    <cellStyle name="Comma 3 5 3 3 4 4" xfId="26807" xr:uid="{00000000-0005-0000-0000-0000E7680000}"/>
    <cellStyle name="Comma 3 5 3 3 4 5" xfId="19055" xr:uid="{00000000-0005-0000-0000-00009F4A0000}"/>
    <cellStyle name="Comma 3 5 3 3 4 6" xfId="19058" xr:uid="{00000000-0005-0000-0000-0000A24A0000}"/>
    <cellStyle name="Comma 3 5 3 3 5" xfId="26808" xr:uid="{00000000-0005-0000-0000-0000E8680000}"/>
    <cellStyle name="Comma 3 5 3 3 5 2" xfId="26811" xr:uid="{00000000-0005-0000-0000-0000EB680000}"/>
    <cellStyle name="Comma 3 5 3 3 5 3" xfId="26814" xr:uid="{00000000-0005-0000-0000-0000EE680000}"/>
    <cellStyle name="Comma 3 5 3 3 5 4" xfId="15429" xr:uid="{00000000-0005-0000-0000-0000753C0000}"/>
    <cellStyle name="Comma 3 5 3 3 5 5" xfId="18418" xr:uid="{00000000-0005-0000-0000-000022480000}"/>
    <cellStyle name="Comma 3 5 3 3 5 6" xfId="18421" xr:uid="{00000000-0005-0000-0000-000025480000}"/>
    <cellStyle name="Comma 3 5 3 3 6" xfId="26815" xr:uid="{00000000-0005-0000-0000-0000EF680000}"/>
    <cellStyle name="Comma 3 5 3 3 6 2" xfId="20983" xr:uid="{00000000-0005-0000-0000-000027520000}"/>
    <cellStyle name="Comma 3 5 3 3 6 3" xfId="20987" xr:uid="{00000000-0005-0000-0000-00002B520000}"/>
    <cellStyle name="Comma 3 5 3 3 6 4" xfId="15503" xr:uid="{00000000-0005-0000-0000-0000BF3C0000}"/>
    <cellStyle name="Comma 3 5 3 3 6 5" xfId="20991" xr:uid="{00000000-0005-0000-0000-00002F520000}"/>
    <cellStyle name="Comma 3 5 3 3 6 6" xfId="26817" xr:uid="{00000000-0005-0000-0000-0000F1680000}"/>
    <cellStyle name="Comma 3 5 3 3 7" xfId="26818" xr:uid="{00000000-0005-0000-0000-0000F2680000}"/>
    <cellStyle name="Comma 3 5 3 3 8" xfId="26819" xr:uid="{00000000-0005-0000-0000-0000F3680000}"/>
    <cellStyle name="Comma 3 5 3 3 9" xfId="26820" xr:uid="{00000000-0005-0000-0000-0000F4680000}"/>
    <cellStyle name="Comma 3 5 3 4" xfId="26821" xr:uid="{00000000-0005-0000-0000-0000F5680000}"/>
    <cellStyle name="Comma 3 5 3 4 10" xfId="26823" xr:uid="{00000000-0005-0000-0000-0000F7680000}"/>
    <cellStyle name="Comma 3 5 3 4 11" xfId="26829" xr:uid="{00000000-0005-0000-0000-0000FD680000}"/>
    <cellStyle name="Comma 3 5 3 4 12" xfId="26832" xr:uid="{00000000-0005-0000-0000-000000690000}"/>
    <cellStyle name="Comma 3 5 3 4 13" xfId="26833" xr:uid="{00000000-0005-0000-0000-000001690000}"/>
    <cellStyle name="Comma 3 5 3 4 14" xfId="26834" xr:uid="{00000000-0005-0000-0000-000002690000}"/>
    <cellStyle name="Comma 3 5 3 4 15" xfId="26835" xr:uid="{00000000-0005-0000-0000-000003690000}"/>
    <cellStyle name="Comma 3 5 3 4 2" xfId="26836" xr:uid="{00000000-0005-0000-0000-000004690000}"/>
    <cellStyle name="Comma 3 5 3 4 2 2" xfId="26839" xr:uid="{00000000-0005-0000-0000-000007690000}"/>
    <cellStyle name="Comma 3 5 3 4 2 2 2" xfId="26841" xr:uid="{00000000-0005-0000-0000-000009690000}"/>
    <cellStyle name="Comma 3 5 3 4 2 3" xfId="26844" xr:uid="{00000000-0005-0000-0000-00000C690000}"/>
    <cellStyle name="Comma 3 5 3 4 2 4" xfId="26847" xr:uid="{00000000-0005-0000-0000-00000F690000}"/>
    <cellStyle name="Comma 3 5 3 4 2 5" xfId="26850" xr:uid="{00000000-0005-0000-0000-000012690000}"/>
    <cellStyle name="Comma 3 5 3 4 2 6" xfId="9948" xr:uid="{00000000-0005-0000-0000-00000C270000}"/>
    <cellStyle name="Comma 3 5 3 4 2 7" xfId="26852" xr:uid="{00000000-0005-0000-0000-000014690000}"/>
    <cellStyle name="Comma 3 5 3 4 2 8" xfId="26854" xr:uid="{00000000-0005-0000-0000-000016690000}"/>
    <cellStyle name="Comma 3 5 3 4 2 9" xfId="26855" xr:uid="{00000000-0005-0000-0000-000017690000}"/>
    <cellStyle name="Comma 3 5 3 4 3" xfId="26856" xr:uid="{00000000-0005-0000-0000-000018690000}"/>
    <cellStyle name="Comma 3 5 3 4 3 2" xfId="26860" xr:uid="{00000000-0005-0000-0000-00001C690000}"/>
    <cellStyle name="Comma 3 5 3 4 3 3" xfId="26864" xr:uid="{00000000-0005-0000-0000-000020690000}"/>
    <cellStyle name="Comma 3 5 3 4 3 4" xfId="26868" xr:uid="{00000000-0005-0000-0000-000024690000}"/>
    <cellStyle name="Comma 3 5 3 4 3 5" xfId="19074" xr:uid="{00000000-0005-0000-0000-0000B24A0000}"/>
    <cellStyle name="Comma 3 5 3 4 3 6" xfId="19079" xr:uid="{00000000-0005-0000-0000-0000B74A0000}"/>
    <cellStyle name="Comma 3 5 3 4 4" xfId="26869" xr:uid="{00000000-0005-0000-0000-000025690000}"/>
    <cellStyle name="Comma 3 5 3 4 4 2" xfId="26872" xr:uid="{00000000-0005-0000-0000-000028690000}"/>
    <cellStyle name="Comma 3 5 3 4 5" xfId="26873" xr:uid="{00000000-0005-0000-0000-000029690000}"/>
    <cellStyle name="Comma 3 5 3 4 6" xfId="26875" xr:uid="{00000000-0005-0000-0000-00002B690000}"/>
    <cellStyle name="Comma 3 5 3 4 7" xfId="26876" xr:uid="{00000000-0005-0000-0000-00002C690000}"/>
    <cellStyle name="Comma 3 5 3 4 8" xfId="26877" xr:uid="{00000000-0005-0000-0000-00002D690000}"/>
    <cellStyle name="Comma 3 5 3 4 9" xfId="26878" xr:uid="{00000000-0005-0000-0000-00002E690000}"/>
    <cellStyle name="Comma 3 5 3 5" xfId="26879" xr:uid="{00000000-0005-0000-0000-00002F690000}"/>
    <cellStyle name="Comma 3 5 3 5 10" xfId="26881" xr:uid="{00000000-0005-0000-0000-000031690000}"/>
    <cellStyle name="Comma 3 5 3 5 11" xfId="26884" xr:uid="{00000000-0005-0000-0000-000034690000}"/>
    <cellStyle name="Comma 3 5 3 5 12" xfId="26325" xr:uid="{00000000-0005-0000-0000-000005670000}"/>
    <cellStyle name="Comma 3 5 3 5 13" xfId="26331" xr:uid="{00000000-0005-0000-0000-00000B670000}"/>
    <cellStyle name="Comma 3 5 3 5 2" xfId="26886" xr:uid="{00000000-0005-0000-0000-000036690000}"/>
    <cellStyle name="Comma 3 5 3 5 2 2" xfId="26890" xr:uid="{00000000-0005-0000-0000-00003A690000}"/>
    <cellStyle name="Comma 3 5 3 5 2 2 2" xfId="8904" xr:uid="{00000000-0005-0000-0000-0000F8220000}"/>
    <cellStyle name="Comma 3 5 3 5 2 3" xfId="26894" xr:uid="{00000000-0005-0000-0000-00003E690000}"/>
    <cellStyle name="Comma 3 5 3 5 2 4" xfId="26898" xr:uid="{00000000-0005-0000-0000-000042690000}"/>
    <cellStyle name="Comma 3 5 3 5 2 5" xfId="26902" xr:uid="{00000000-0005-0000-0000-000046690000}"/>
    <cellStyle name="Comma 3 5 3 5 2 6" xfId="10085" xr:uid="{00000000-0005-0000-0000-000095270000}"/>
    <cellStyle name="Comma 3 5 3 5 2 7" xfId="26905" xr:uid="{00000000-0005-0000-0000-000049690000}"/>
    <cellStyle name="Comma 3 5 3 5 2 8" xfId="26908" xr:uid="{00000000-0005-0000-0000-00004C690000}"/>
    <cellStyle name="Comma 3 5 3 5 2 9" xfId="25855" xr:uid="{00000000-0005-0000-0000-00002F650000}"/>
    <cellStyle name="Comma 3 5 3 5 3" xfId="26909" xr:uid="{00000000-0005-0000-0000-00004D690000}"/>
    <cellStyle name="Comma 3 5 3 5 3 2" xfId="6755" xr:uid="{00000000-0005-0000-0000-0000931A0000}"/>
    <cellStyle name="Comma 3 5 3 5 3 3" xfId="8165" xr:uid="{00000000-0005-0000-0000-000015200000}"/>
    <cellStyle name="Comma 3 5 3 5 3 4" xfId="8172" xr:uid="{00000000-0005-0000-0000-00001C200000}"/>
    <cellStyle name="Comma 3 5 3 5 3 5" xfId="5258" xr:uid="{00000000-0005-0000-0000-0000BA140000}"/>
    <cellStyle name="Comma 3 5 3 5 3 6" xfId="8175" xr:uid="{00000000-0005-0000-0000-00001F200000}"/>
    <cellStyle name="Comma 3 5 3 5 4" xfId="26910" xr:uid="{00000000-0005-0000-0000-00004E690000}"/>
    <cellStyle name="Comma 3 5 3 5 4 2" xfId="6782" xr:uid="{00000000-0005-0000-0000-0000AE1A0000}"/>
    <cellStyle name="Comma 3 5 3 5 5" xfId="26911" xr:uid="{00000000-0005-0000-0000-00004F690000}"/>
    <cellStyle name="Comma 3 5 3 5 6" xfId="26912" xr:uid="{00000000-0005-0000-0000-000050690000}"/>
    <cellStyle name="Comma 3 5 3 5 7" xfId="26913" xr:uid="{00000000-0005-0000-0000-000051690000}"/>
    <cellStyle name="Comma 3 5 3 5 8" xfId="26914" xr:uid="{00000000-0005-0000-0000-000052690000}"/>
    <cellStyle name="Comma 3 5 3 5 9" xfId="26915" xr:uid="{00000000-0005-0000-0000-000053690000}"/>
    <cellStyle name="Comma 3 5 3 6" xfId="2303" xr:uid="{00000000-0005-0000-0000-00002F090000}"/>
    <cellStyle name="Comma 3 5 3 6 10" xfId="26916" xr:uid="{00000000-0005-0000-0000-000054690000}"/>
    <cellStyle name="Comma 3 5 3 6 11" xfId="26918" xr:uid="{00000000-0005-0000-0000-000056690000}"/>
    <cellStyle name="Comma 3 5 3 6 12" xfId="26920" xr:uid="{00000000-0005-0000-0000-000058690000}"/>
    <cellStyle name="Comma 3 5 3 6 2" xfId="9403" xr:uid="{00000000-0005-0000-0000-0000EB240000}"/>
    <cellStyle name="Comma 3 5 3 6 2 2" xfId="24145" xr:uid="{00000000-0005-0000-0000-0000815E0000}"/>
    <cellStyle name="Comma 3 5 3 6 2 2 2" xfId="11144" xr:uid="{00000000-0005-0000-0000-0000B82B0000}"/>
    <cellStyle name="Comma 3 5 3 6 2 3" xfId="26925" xr:uid="{00000000-0005-0000-0000-00005D690000}"/>
    <cellStyle name="Comma 3 5 3 6 2 4" xfId="26929" xr:uid="{00000000-0005-0000-0000-000061690000}"/>
    <cellStyle name="Comma 3 5 3 6 2 5" xfId="26933" xr:uid="{00000000-0005-0000-0000-000065690000}"/>
    <cellStyle name="Comma 3 5 3 6 2 6" xfId="26935" xr:uid="{00000000-0005-0000-0000-000067690000}"/>
    <cellStyle name="Comma 3 5 3 6 2 7" xfId="26937" xr:uid="{00000000-0005-0000-0000-000069690000}"/>
    <cellStyle name="Comma 3 5 3 6 2 8" xfId="26941" xr:uid="{00000000-0005-0000-0000-00006D690000}"/>
    <cellStyle name="Comma 3 5 3 6 2 9" xfId="25912" xr:uid="{00000000-0005-0000-0000-000068650000}"/>
    <cellStyle name="Comma 3 5 3 6 3" xfId="9407" xr:uid="{00000000-0005-0000-0000-0000EF240000}"/>
    <cellStyle name="Comma 3 5 3 6 3 2" xfId="8228" xr:uid="{00000000-0005-0000-0000-000054200000}"/>
    <cellStyle name="Comma 3 5 3 6 3 3" xfId="59" xr:uid="{00000000-0005-0000-0000-00003F000000}"/>
    <cellStyle name="Comma 3 5 3 6 3 4" xfId="26944" xr:uid="{00000000-0005-0000-0000-000070690000}"/>
    <cellStyle name="Comma 3 5 3 6 3 5" xfId="26947" xr:uid="{00000000-0005-0000-0000-000073690000}"/>
    <cellStyle name="Comma 3 5 3 6 3 6" xfId="26950" xr:uid="{00000000-0005-0000-0000-000076690000}"/>
    <cellStyle name="Comma 3 5 3 6 4" xfId="9412" xr:uid="{00000000-0005-0000-0000-0000F4240000}"/>
    <cellStyle name="Comma 3 5 3 6 4 2" xfId="24289" xr:uid="{00000000-0005-0000-0000-0000115F0000}"/>
    <cellStyle name="Comma 3 5 3 6 5" xfId="9416" xr:uid="{00000000-0005-0000-0000-0000F8240000}"/>
    <cellStyle name="Comma 3 5 3 6 6" xfId="9420" xr:uid="{00000000-0005-0000-0000-0000FC240000}"/>
    <cellStyle name="Comma 3 5 3 6 7" xfId="26951" xr:uid="{00000000-0005-0000-0000-000077690000}"/>
    <cellStyle name="Comma 3 5 3 6 8" xfId="26952" xr:uid="{00000000-0005-0000-0000-000078690000}"/>
    <cellStyle name="Comma 3 5 3 6 9" xfId="26954" xr:uid="{00000000-0005-0000-0000-00007A690000}"/>
    <cellStyle name="Comma 3 5 3 7" xfId="26956" xr:uid="{00000000-0005-0000-0000-00007C690000}"/>
    <cellStyle name="Comma 3 5 3 7 2" xfId="26957" xr:uid="{00000000-0005-0000-0000-00007D690000}"/>
    <cellStyle name="Comma 3 5 3 7 2 2" xfId="24512" xr:uid="{00000000-0005-0000-0000-0000F05F0000}"/>
    <cellStyle name="Comma 3 5 3 7 3" xfId="26958" xr:uid="{00000000-0005-0000-0000-00007E690000}"/>
    <cellStyle name="Comma 3 5 3 7 4" xfId="26959" xr:uid="{00000000-0005-0000-0000-00007F690000}"/>
    <cellStyle name="Comma 3 5 3 7 5" xfId="26960" xr:uid="{00000000-0005-0000-0000-000080690000}"/>
    <cellStyle name="Comma 3 5 3 7 6" xfId="26961" xr:uid="{00000000-0005-0000-0000-000081690000}"/>
    <cellStyle name="Comma 3 5 3 7 7" xfId="26962" xr:uid="{00000000-0005-0000-0000-000082690000}"/>
    <cellStyle name="Comma 3 5 3 7 8" xfId="26963" xr:uid="{00000000-0005-0000-0000-000083690000}"/>
    <cellStyle name="Comma 3 5 3 7 9" xfId="1782" xr:uid="{00000000-0005-0000-0000-000026070000}"/>
    <cellStyle name="Comma 3 5 3 8" xfId="26965" xr:uid="{00000000-0005-0000-0000-000085690000}"/>
    <cellStyle name="Comma 3 5 3 8 2" xfId="26056" xr:uid="{00000000-0005-0000-0000-0000F8650000}"/>
    <cellStyle name="Comma 3 5 3 8 3" xfId="26061" xr:uid="{00000000-0005-0000-0000-0000FD650000}"/>
    <cellStyle name="Comma 3 5 3 8 4" xfId="26968" xr:uid="{00000000-0005-0000-0000-000088690000}"/>
    <cellStyle name="Comma 3 5 3 8 5" xfId="26970" xr:uid="{00000000-0005-0000-0000-00008A690000}"/>
    <cellStyle name="Comma 3 5 3 8 6" xfId="26972" xr:uid="{00000000-0005-0000-0000-00008C690000}"/>
    <cellStyle name="Comma 3 5 3 9" xfId="26973" xr:uid="{00000000-0005-0000-0000-00008D690000}"/>
    <cellStyle name="Comma 3 5 3 9 2" xfId="26975" xr:uid="{00000000-0005-0000-0000-00008F690000}"/>
    <cellStyle name="Comma 3 5 3 9 3" xfId="26977" xr:uid="{00000000-0005-0000-0000-000091690000}"/>
    <cellStyle name="Comma 3 5 3 9 4" xfId="26979" xr:uid="{00000000-0005-0000-0000-000093690000}"/>
    <cellStyle name="Comma 3 5 3 9 5" xfId="26981" xr:uid="{00000000-0005-0000-0000-000095690000}"/>
    <cellStyle name="Comma 3 5 3 9 6" xfId="26983" xr:uid="{00000000-0005-0000-0000-000097690000}"/>
    <cellStyle name="Comma 3 5 4" xfId="13692" xr:uid="{00000000-0005-0000-0000-0000AC350000}"/>
    <cellStyle name="Comma 3 5 4 10" xfId="9459" xr:uid="{00000000-0005-0000-0000-000023250000}"/>
    <cellStyle name="Comma 3 5 4 10 2" xfId="25868" xr:uid="{00000000-0005-0000-0000-00003C650000}"/>
    <cellStyle name="Comma 3 5 4 10 3" xfId="25870" xr:uid="{00000000-0005-0000-0000-00003E650000}"/>
    <cellStyle name="Comma 3 5 4 10 4" xfId="25872" xr:uid="{00000000-0005-0000-0000-000040650000}"/>
    <cellStyle name="Comma 3 5 4 10 5" xfId="25875" xr:uid="{00000000-0005-0000-0000-000043650000}"/>
    <cellStyle name="Comma 3 5 4 10 6" xfId="26985" xr:uid="{00000000-0005-0000-0000-000099690000}"/>
    <cellStyle name="Comma 3 5 4 11" xfId="9467" xr:uid="{00000000-0005-0000-0000-00002B250000}"/>
    <cellStyle name="Comma 3 5 4 11 2" xfId="17842" xr:uid="{00000000-0005-0000-0000-0000E2450000}"/>
    <cellStyle name="Comma 3 5 4 11 3" xfId="17846" xr:uid="{00000000-0005-0000-0000-0000E6450000}"/>
    <cellStyle name="Comma 3 5 4 11 4" xfId="17850" xr:uid="{00000000-0005-0000-0000-0000EA450000}"/>
    <cellStyle name="Comma 3 5 4 11 5" xfId="25883" xr:uid="{00000000-0005-0000-0000-00004B650000}"/>
    <cellStyle name="Comma 3 5 4 11 6" xfId="23189" xr:uid="{00000000-0005-0000-0000-0000C55A0000}"/>
    <cellStyle name="Comma 3 5 4 12" xfId="9476" xr:uid="{00000000-0005-0000-0000-000034250000}"/>
    <cellStyle name="Comma 3 5 4 13" xfId="9484" xr:uid="{00000000-0005-0000-0000-00003C250000}"/>
    <cellStyle name="Comma 3 5 4 14" xfId="9491" xr:uid="{00000000-0005-0000-0000-000043250000}"/>
    <cellStyle name="Comma 3 5 4 15" xfId="10850" xr:uid="{00000000-0005-0000-0000-0000922A0000}"/>
    <cellStyle name="Comma 3 5 4 16" xfId="10857" xr:uid="{00000000-0005-0000-0000-0000992A0000}"/>
    <cellStyle name="Comma 3 5 4 17" xfId="26988" xr:uid="{00000000-0005-0000-0000-00009C690000}"/>
    <cellStyle name="Comma 3 5 4 18" xfId="26991" xr:uid="{00000000-0005-0000-0000-00009F690000}"/>
    <cellStyle name="Comma 3 5 4 19" xfId="26992" xr:uid="{00000000-0005-0000-0000-0000A0690000}"/>
    <cellStyle name="Comma 3 5 4 2" xfId="8008" xr:uid="{00000000-0005-0000-0000-0000781F0000}"/>
    <cellStyle name="Comma 3 5 4 2 10" xfId="26993" xr:uid="{00000000-0005-0000-0000-0000A1690000}"/>
    <cellStyle name="Comma 3 5 4 2 11" xfId="26994" xr:uid="{00000000-0005-0000-0000-0000A2690000}"/>
    <cellStyle name="Comma 3 5 4 2 12" xfId="462" xr:uid="{00000000-0005-0000-0000-0000EB010000}"/>
    <cellStyle name="Comma 3 5 4 2 13" xfId="26996" xr:uid="{00000000-0005-0000-0000-0000A4690000}"/>
    <cellStyle name="Comma 3 5 4 2 14" xfId="26044" xr:uid="{00000000-0005-0000-0000-0000EC650000}"/>
    <cellStyle name="Comma 3 5 4 2 15" xfId="26049" xr:uid="{00000000-0005-0000-0000-0000F1650000}"/>
    <cellStyle name="Comma 3 5 4 2 16" xfId="26055" xr:uid="{00000000-0005-0000-0000-0000F7650000}"/>
    <cellStyle name="Comma 3 5 4 2 17" xfId="26060" xr:uid="{00000000-0005-0000-0000-0000FC650000}"/>
    <cellStyle name="Comma 3 5 4 2 18" xfId="26967" xr:uid="{00000000-0005-0000-0000-000087690000}"/>
    <cellStyle name="Comma 3 5 4 2 2" xfId="13698" xr:uid="{00000000-0005-0000-0000-0000B2350000}"/>
    <cellStyle name="Comma 3 5 4 2 2 10" xfId="6884" xr:uid="{00000000-0005-0000-0000-0000141B0000}"/>
    <cellStyle name="Comma 3 5 4 2 2 11" xfId="6897" xr:uid="{00000000-0005-0000-0000-0000211B0000}"/>
    <cellStyle name="Comma 3 5 4 2 2 12" xfId="2933" xr:uid="{00000000-0005-0000-0000-0000A50B0000}"/>
    <cellStyle name="Comma 3 5 4 2 2 2" xfId="1341" xr:uid="{00000000-0005-0000-0000-00006D050000}"/>
    <cellStyle name="Comma 3 5 4 2 2 2 2" xfId="26998" xr:uid="{00000000-0005-0000-0000-0000A6690000}"/>
    <cellStyle name="Comma 3 5 4 2 2 2 2 2" xfId="1359" xr:uid="{00000000-0005-0000-0000-00007F050000}"/>
    <cellStyle name="Comma 3 5 4 2 2 2 3" xfId="14819" xr:uid="{00000000-0005-0000-0000-0000133A0000}"/>
    <cellStyle name="Comma 3 5 4 2 2 2 4" xfId="14821" xr:uid="{00000000-0005-0000-0000-0000153A0000}"/>
    <cellStyle name="Comma 3 5 4 2 2 2 5" xfId="14823" xr:uid="{00000000-0005-0000-0000-0000173A0000}"/>
    <cellStyle name="Comma 3 5 4 2 2 3" xfId="1528" xr:uid="{00000000-0005-0000-0000-000028060000}"/>
    <cellStyle name="Comma 3 5 4 2 2 3 2" xfId="26999" xr:uid="{00000000-0005-0000-0000-0000A7690000}"/>
    <cellStyle name="Comma 3 5 4 2 2 4" xfId="11193" xr:uid="{00000000-0005-0000-0000-0000E92B0000}"/>
    <cellStyle name="Comma 3 5 4 2 2 5" xfId="13469" xr:uid="{00000000-0005-0000-0000-0000CD340000}"/>
    <cellStyle name="Comma 3 5 4 2 2 6" xfId="25417" xr:uid="{00000000-0005-0000-0000-000079630000}"/>
    <cellStyle name="Comma 3 5 4 2 2 7" xfId="25422" xr:uid="{00000000-0005-0000-0000-00007E630000}"/>
    <cellStyle name="Comma 3 5 4 2 2 8" xfId="25425" xr:uid="{00000000-0005-0000-0000-000081630000}"/>
    <cellStyle name="Comma 3 5 4 2 2 9" xfId="27001" xr:uid="{00000000-0005-0000-0000-0000A9690000}"/>
    <cellStyle name="Comma 3 5 4 2 3" xfId="18075" xr:uid="{00000000-0005-0000-0000-0000CB460000}"/>
    <cellStyle name="Comma 3 5 4 2 3 10" xfId="646" xr:uid="{00000000-0005-0000-0000-0000B3020000}"/>
    <cellStyle name="Comma 3 5 4 2 3 11" xfId="11017" xr:uid="{00000000-0005-0000-0000-0000392B0000}"/>
    <cellStyle name="Comma 3 5 4 2 3 12" xfId="736" xr:uid="{00000000-0005-0000-0000-000010030000}"/>
    <cellStyle name="Comma 3 5 4 2 3 2" xfId="27003" xr:uid="{00000000-0005-0000-0000-0000AB690000}"/>
    <cellStyle name="Comma 3 5 4 2 3 2 2" xfId="22553" xr:uid="{00000000-0005-0000-0000-000049580000}"/>
    <cellStyle name="Comma 3 5 4 2 3 2 2 2" xfId="27004" xr:uid="{00000000-0005-0000-0000-0000AC690000}"/>
    <cellStyle name="Comma 3 5 4 2 3 2 3" xfId="15168" xr:uid="{00000000-0005-0000-0000-0000703B0000}"/>
    <cellStyle name="Comma 3 5 4 2 3 2 4" xfId="15171" xr:uid="{00000000-0005-0000-0000-0000733B0000}"/>
    <cellStyle name="Comma 3 5 4 2 3 2 5" xfId="15174" xr:uid="{00000000-0005-0000-0000-0000763B0000}"/>
    <cellStyle name="Comma 3 5 4 2 3 3" xfId="27006" xr:uid="{00000000-0005-0000-0000-0000AE690000}"/>
    <cellStyle name="Comma 3 5 4 2 3 3 2" xfId="22558" xr:uid="{00000000-0005-0000-0000-00004E580000}"/>
    <cellStyle name="Comma 3 5 4 2 3 4" xfId="27009" xr:uid="{00000000-0005-0000-0000-0000B1690000}"/>
    <cellStyle name="Comma 3 5 4 2 3 5" xfId="19210" xr:uid="{00000000-0005-0000-0000-00003A4B0000}"/>
    <cellStyle name="Comma 3 5 4 2 3 6" xfId="1894" xr:uid="{00000000-0005-0000-0000-000096070000}"/>
    <cellStyle name="Comma 3 5 4 2 3 7" xfId="19215" xr:uid="{00000000-0005-0000-0000-00003F4B0000}"/>
    <cellStyle name="Comma 3 5 4 2 3 8" xfId="5332" xr:uid="{00000000-0005-0000-0000-000004150000}"/>
    <cellStyle name="Comma 3 5 4 2 3 9" xfId="27011" xr:uid="{00000000-0005-0000-0000-0000B3690000}"/>
    <cellStyle name="Comma 3 5 4 2 4" xfId="18077" xr:uid="{00000000-0005-0000-0000-0000CD460000}"/>
    <cellStyle name="Comma 3 5 4 2 4 10" xfId="11499" xr:uid="{00000000-0005-0000-0000-00001B2D0000}"/>
    <cellStyle name="Comma 3 5 4 2 4 2" xfId="27013" xr:uid="{00000000-0005-0000-0000-0000B5690000}"/>
    <cellStyle name="Comma 3 5 4 2 4 2 2" xfId="22576" xr:uid="{00000000-0005-0000-0000-000060580000}"/>
    <cellStyle name="Comma 3 5 4 2 4 2 2 2" xfId="27014" xr:uid="{00000000-0005-0000-0000-0000B6690000}"/>
    <cellStyle name="Comma 3 5 4 2 4 2 3" xfId="15683" xr:uid="{00000000-0005-0000-0000-0000733D0000}"/>
    <cellStyle name="Comma 3 5 4 2 4 2 4" xfId="15685" xr:uid="{00000000-0005-0000-0000-0000753D0000}"/>
    <cellStyle name="Comma 3 5 4 2 4 2 5" xfId="15687" xr:uid="{00000000-0005-0000-0000-0000773D0000}"/>
    <cellStyle name="Comma 3 5 4 2 4 3" xfId="27016" xr:uid="{00000000-0005-0000-0000-0000B8690000}"/>
    <cellStyle name="Comma 3 5 4 2 4 3 2" xfId="23369" xr:uid="{00000000-0005-0000-0000-0000795B0000}"/>
    <cellStyle name="Comma 3 5 4 2 4 4" xfId="27019" xr:uid="{00000000-0005-0000-0000-0000BB690000}"/>
    <cellStyle name="Comma 3 5 4 2 4 5" xfId="19219" xr:uid="{00000000-0005-0000-0000-0000434B0000}"/>
    <cellStyle name="Comma 3 5 4 2 4 6" xfId="27022" xr:uid="{00000000-0005-0000-0000-0000BE690000}"/>
    <cellStyle name="Comma 3 5 4 2 4 7" xfId="27024" xr:uid="{00000000-0005-0000-0000-0000C0690000}"/>
    <cellStyle name="Comma 3 5 4 2 4 8" xfId="27026" xr:uid="{00000000-0005-0000-0000-0000C2690000}"/>
    <cellStyle name="Comma 3 5 4 2 4 9" xfId="27028" xr:uid="{00000000-0005-0000-0000-0000C4690000}"/>
    <cellStyle name="Comma 3 5 4 2 5" xfId="14360" xr:uid="{00000000-0005-0000-0000-000048380000}"/>
    <cellStyle name="Comma 3 5 4 2 5 10" xfId="11765" xr:uid="{00000000-0005-0000-0000-0000252E0000}"/>
    <cellStyle name="Comma 3 5 4 2 5 2" xfId="16757" xr:uid="{00000000-0005-0000-0000-0000A5410000}"/>
    <cellStyle name="Comma 3 5 4 2 5 2 2" xfId="3462" xr:uid="{00000000-0005-0000-0000-0000B60D0000}"/>
    <cellStyle name="Comma 3 5 4 2 5 2 2 2" xfId="12705" xr:uid="{00000000-0005-0000-0000-0000D1310000}"/>
    <cellStyle name="Comma 3 5 4 2 5 2 3" xfId="3476" xr:uid="{00000000-0005-0000-0000-0000C40D0000}"/>
    <cellStyle name="Comma 3 5 4 2 5 2 4" xfId="3153" xr:uid="{00000000-0005-0000-0000-0000810C0000}"/>
    <cellStyle name="Comma 3 5 4 2 5 2 5" xfId="12760" xr:uid="{00000000-0005-0000-0000-000008320000}"/>
    <cellStyle name="Comma 3 5 4 2 5 3" xfId="16764" xr:uid="{00000000-0005-0000-0000-0000AC410000}"/>
    <cellStyle name="Comma 3 5 4 2 5 3 2" xfId="27029" xr:uid="{00000000-0005-0000-0000-0000C5690000}"/>
    <cellStyle name="Comma 3 5 4 2 5 4" xfId="3212" xr:uid="{00000000-0005-0000-0000-0000BC0C0000}"/>
    <cellStyle name="Comma 3 5 4 2 5 5" xfId="16769" xr:uid="{00000000-0005-0000-0000-0000B1410000}"/>
    <cellStyle name="Comma 3 5 4 2 5 6" xfId="27031" xr:uid="{00000000-0005-0000-0000-0000C7690000}"/>
    <cellStyle name="Comma 3 5 4 2 5 7" xfId="27033" xr:uid="{00000000-0005-0000-0000-0000C9690000}"/>
    <cellStyle name="Comma 3 5 4 2 5 8" xfId="27035" xr:uid="{00000000-0005-0000-0000-0000CB690000}"/>
    <cellStyle name="Comma 3 5 4 2 5 9" xfId="27036" xr:uid="{00000000-0005-0000-0000-0000CC690000}"/>
    <cellStyle name="Comma 3 5 4 2 6" xfId="12243" xr:uid="{00000000-0005-0000-0000-000003300000}"/>
    <cellStyle name="Comma 3 5 4 2 6 2" xfId="12254" xr:uid="{00000000-0005-0000-0000-00000E300000}"/>
    <cellStyle name="Comma 3 5 4 2 6 2 2" xfId="20307" xr:uid="{00000000-0005-0000-0000-0000834F0000}"/>
    <cellStyle name="Comma 3 5 4 2 6 3" xfId="27038" xr:uid="{00000000-0005-0000-0000-0000CE690000}"/>
    <cellStyle name="Comma 3 5 4 2 6 4" xfId="13886" xr:uid="{00000000-0005-0000-0000-00006E360000}"/>
    <cellStyle name="Comma 3 5 4 2 6 5" xfId="27041" xr:uid="{00000000-0005-0000-0000-0000D1690000}"/>
    <cellStyle name="Comma 3 5 4 2 6 6" xfId="27043" xr:uid="{00000000-0005-0000-0000-0000D3690000}"/>
    <cellStyle name="Comma 3 5 4 2 6 7" xfId="27045" xr:uid="{00000000-0005-0000-0000-0000D5690000}"/>
    <cellStyle name="Comma 3 5 4 2 6 8" xfId="27047" xr:uid="{00000000-0005-0000-0000-0000D7690000}"/>
    <cellStyle name="Comma 3 5 4 2 6 9" xfId="27048" xr:uid="{00000000-0005-0000-0000-0000D8690000}"/>
    <cellStyle name="Comma 3 5 4 2 7" xfId="12259" xr:uid="{00000000-0005-0000-0000-000013300000}"/>
    <cellStyle name="Comma 3 5 4 2 7 2" xfId="14869" xr:uid="{00000000-0005-0000-0000-0000453A0000}"/>
    <cellStyle name="Comma 3 5 4 2 8" xfId="12265" xr:uid="{00000000-0005-0000-0000-000019300000}"/>
    <cellStyle name="Comma 3 5 4 2 9" xfId="4688" xr:uid="{00000000-0005-0000-0000-000080120000}"/>
    <cellStyle name="Comma 3 5 4 20" xfId="10849" xr:uid="{00000000-0005-0000-0000-0000912A0000}"/>
    <cellStyle name="Comma 3 5 4 21" xfId="10856" xr:uid="{00000000-0005-0000-0000-0000982A0000}"/>
    <cellStyle name="Comma 3 5 4 22" xfId="26987" xr:uid="{00000000-0005-0000-0000-00009B690000}"/>
    <cellStyle name="Comma 3 5 4 23" xfId="26990" xr:uid="{00000000-0005-0000-0000-00009E690000}"/>
    <cellStyle name="Comma 3 5 4 3" xfId="7433" xr:uid="{00000000-0005-0000-0000-0000391D0000}"/>
    <cellStyle name="Comma 3 5 4 3 10" xfId="27050" xr:uid="{00000000-0005-0000-0000-0000DA690000}"/>
    <cellStyle name="Comma 3 5 4 3 11" xfId="27051" xr:uid="{00000000-0005-0000-0000-0000DB690000}"/>
    <cellStyle name="Comma 3 5 4 3 12" xfId="13246" xr:uid="{00000000-0005-0000-0000-0000EE330000}"/>
    <cellStyle name="Comma 3 5 4 3 13" xfId="27053" xr:uid="{00000000-0005-0000-0000-0000DD690000}"/>
    <cellStyle name="Comma 3 5 4 3 14" xfId="27054" xr:uid="{00000000-0005-0000-0000-0000DE690000}"/>
    <cellStyle name="Comma 3 5 4 3 15" xfId="27055" xr:uid="{00000000-0005-0000-0000-0000DF690000}"/>
    <cellStyle name="Comma 3 5 4 3 16" xfId="12881" xr:uid="{00000000-0005-0000-0000-000081320000}"/>
    <cellStyle name="Comma 3 5 4 3 17" xfId="12884" xr:uid="{00000000-0005-0000-0000-000084320000}"/>
    <cellStyle name="Comma 3 5 4 3 18" xfId="10572" xr:uid="{00000000-0005-0000-0000-00007C290000}"/>
    <cellStyle name="Comma 3 5 4 3 2" xfId="13193" xr:uid="{00000000-0005-0000-0000-0000B9330000}"/>
    <cellStyle name="Comma 3 5 4 3 2 10" xfId="11953" xr:uid="{00000000-0005-0000-0000-0000E12E0000}"/>
    <cellStyle name="Comma 3 5 4 3 2 2" xfId="13558" xr:uid="{00000000-0005-0000-0000-000026350000}"/>
    <cellStyle name="Comma 3 5 4 3 2 2 2" xfId="7884" xr:uid="{00000000-0005-0000-0000-0000FC1E0000}"/>
    <cellStyle name="Comma 3 5 4 3 2 3" xfId="23275" xr:uid="{00000000-0005-0000-0000-00001B5B0000}"/>
    <cellStyle name="Comma 3 5 4 3 2 4" xfId="23280" xr:uid="{00000000-0005-0000-0000-0000205B0000}"/>
    <cellStyle name="Comma 3 5 4 3 2 5" xfId="23285" xr:uid="{00000000-0005-0000-0000-0000255B0000}"/>
    <cellStyle name="Comma 3 5 4 3 2 6" xfId="27057" xr:uid="{00000000-0005-0000-0000-0000E1690000}"/>
    <cellStyle name="Comma 3 5 4 3 2 7" xfId="27060" xr:uid="{00000000-0005-0000-0000-0000E4690000}"/>
    <cellStyle name="Comma 3 5 4 3 2 8" xfId="27063" xr:uid="{00000000-0005-0000-0000-0000E7690000}"/>
    <cellStyle name="Comma 3 5 4 3 2 9" xfId="27065" xr:uid="{00000000-0005-0000-0000-0000E9690000}"/>
    <cellStyle name="Comma 3 5 4 3 3" xfId="13197" xr:uid="{00000000-0005-0000-0000-0000BD330000}"/>
    <cellStyle name="Comma 3 5 4 3 3 2" xfId="19779" xr:uid="{00000000-0005-0000-0000-0000734D0000}"/>
    <cellStyle name="Comma 3 5 4 3 3 3" xfId="19786" xr:uid="{00000000-0005-0000-0000-00007A4D0000}"/>
    <cellStyle name="Comma 3 5 4 3 3 4" xfId="19793" xr:uid="{00000000-0005-0000-0000-0000814D0000}"/>
    <cellStyle name="Comma 3 5 4 3 3 5" xfId="19236" xr:uid="{00000000-0005-0000-0000-0000544B0000}"/>
    <cellStyle name="Comma 3 5 4 3 3 6" xfId="19243" xr:uid="{00000000-0005-0000-0000-00005B4B0000}"/>
    <cellStyle name="Comma 3 5 4 3 4" xfId="13201" xr:uid="{00000000-0005-0000-0000-0000C1330000}"/>
    <cellStyle name="Comma 3 5 4 3 4 2" xfId="27069" xr:uid="{00000000-0005-0000-0000-0000ED690000}"/>
    <cellStyle name="Comma 3 5 4 3 4 3" xfId="27072" xr:uid="{00000000-0005-0000-0000-0000F0690000}"/>
    <cellStyle name="Comma 3 5 4 3 4 4" xfId="27075" xr:uid="{00000000-0005-0000-0000-0000F3690000}"/>
    <cellStyle name="Comma 3 5 4 3 4 5" xfId="19252" xr:uid="{00000000-0005-0000-0000-0000644B0000}"/>
    <cellStyle name="Comma 3 5 4 3 4 6" xfId="27076" xr:uid="{00000000-0005-0000-0000-0000F4690000}"/>
    <cellStyle name="Comma 3 5 4 3 5" xfId="13205" xr:uid="{00000000-0005-0000-0000-0000C5330000}"/>
    <cellStyle name="Comma 3 5 4 3 5 2" xfId="16780" xr:uid="{00000000-0005-0000-0000-0000BC410000}"/>
    <cellStyle name="Comma 3 5 4 3 5 3" xfId="16795" xr:uid="{00000000-0005-0000-0000-0000CB410000}"/>
    <cellStyle name="Comma 3 5 4 3 5 4" xfId="16806" xr:uid="{00000000-0005-0000-0000-0000D6410000}"/>
    <cellStyle name="Comma 3 5 4 3 5 5" xfId="16811" xr:uid="{00000000-0005-0000-0000-0000DB410000}"/>
    <cellStyle name="Comma 3 5 4 3 5 6" xfId="23098" xr:uid="{00000000-0005-0000-0000-00006A5A0000}"/>
    <cellStyle name="Comma 3 5 4 3 6" xfId="10515" xr:uid="{00000000-0005-0000-0000-000043290000}"/>
    <cellStyle name="Comma 3 5 4 3 6 2" xfId="16822" xr:uid="{00000000-0005-0000-0000-0000E6410000}"/>
    <cellStyle name="Comma 3 5 4 3 6 3" xfId="27079" xr:uid="{00000000-0005-0000-0000-0000F7690000}"/>
    <cellStyle name="Comma 3 5 4 3 6 4" xfId="27082" xr:uid="{00000000-0005-0000-0000-0000FA690000}"/>
    <cellStyle name="Comma 3 5 4 3 6 5" xfId="27085" xr:uid="{00000000-0005-0000-0000-0000FD690000}"/>
    <cellStyle name="Comma 3 5 4 3 6 6" xfId="27086" xr:uid="{00000000-0005-0000-0000-0000FE690000}"/>
    <cellStyle name="Comma 3 5 4 3 7" xfId="16826" xr:uid="{00000000-0005-0000-0000-0000EA410000}"/>
    <cellStyle name="Comma 3 5 4 3 8" xfId="16831" xr:uid="{00000000-0005-0000-0000-0000EF410000}"/>
    <cellStyle name="Comma 3 5 4 3 9" xfId="2667" xr:uid="{00000000-0005-0000-0000-00009B0A0000}"/>
    <cellStyle name="Comma 3 5 4 4" xfId="8015" xr:uid="{00000000-0005-0000-0000-00007F1F0000}"/>
    <cellStyle name="Comma 3 5 4 4 10" xfId="5678" xr:uid="{00000000-0005-0000-0000-00005E160000}"/>
    <cellStyle name="Comma 3 5 4 4 11" xfId="5697" xr:uid="{00000000-0005-0000-0000-000071160000}"/>
    <cellStyle name="Comma 3 5 4 4 12" xfId="113" xr:uid="{00000000-0005-0000-0000-00007B000000}"/>
    <cellStyle name="Comma 3 5 4 4 13" xfId="5725" xr:uid="{00000000-0005-0000-0000-00008D160000}"/>
    <cellStyle name="Comma 3 5 4 4 14" xfId="2012" xr:uid="{00000000-0005-0000-0000-00000C080000}"/>
    <cellStyle name="Comma 3 5 4 4 15" xfId="8139" xr:uid="{00000000-0005-0000-0000-0000FB1F0000}"/>
    <cellStyle name="Comma 3 5 4 4 2" xfId="27088" xr:uid="{00000000-0005-0000-0000-0000006A0000}"/>
    <cellStyle name="Comma 3 5 4 4 2 2" xfId="25278" xr:uid="{00000000-0005-0000-0000-0000EE620000}"/>
    <cellStyle name="Comma 3 5 4 4 2 2 2" xfId="25283" xr:uid="{00000000-0005-0000-0000-0000F3620000}"/>
    <cellStyle name="Comma 3 5 4 4 2 3" xfId="25287" xr:uid="{00000000-0005-0000-0000-0000F7620000}"/>
    <cellStyle name="Comma 3 5 4 4 2 4" xfId="25293" xr:uid="{00000000-0005-0000-0000-0000FD620000}"/>
    <cellStyle name="Comma 3 5 4 4 2 5" xfId="25298" xr:uid="{00000000-0005-0000-0000-000002630000}"/>
    <cellStyle name="Comma 3 5 4 4 2 6" xfId="27090" xr:uid="{00000000-0005-0000-0000-0000026A0000}"/>
    <cellStyle name="Comma 3 5 4 4 2 7" xfId="12773" xr:uid="{00000000-0005-0000-0000-000015320000}"/>
    <cellStyle name="Comma 3 5 4 4 2 8" xfId="14369" xr:uid="{00000000-0005-0000-0000-000051380000}"/>
    <cellStyle name="Comma 3 5 4 4 2 9" xfId="14835" xr:uid="{00000000-0005-0000-0000-0000233A0000}"/>
    <cellStyle name="Comma 3 5 4 4 3" xfId="27092" xr:uid="{00000000-0005-0000-0000-0000046A0000}"/>
    <cellStyle name="Comma 3 5 4 4 3 2" xfId="25314" xr:uid="{00000000-0005-0000-0000-000012630000}"/>
    <cellStyle name="Comma 3 5 4 4 3 3" xfId="25319" xr:uid="{00000000-0005-0000-0000-000017630000}"/>
    <cellStyle name="Comma 3 5 4 4 3 4" xfId="25325" xr:uid="{00000000-0005-0000-0000-00001D630000}"/>
    <cellStyle name="Comma 3 5 4 4 3 5" xfId="19270" xr:uid="{00000000-0005-0000-0000-0000764B0000}"/>
    <cellStyle name="Comma 3 5 4 4 3 6" xfId="27093" xr:uid="{00000000-0005-0000-0000-0000056A0000}"/>
    <cellStyle name="Comma 3 5 4 4 4" xfId="27097" xr:uid="{00000000-0005-0000-0000-0000096A0000}"/>
    <cellStyle name="Comma 3 5 4 4 4 2" xfId="27099" xr:uid="{00000000-0005-0000-0000-00000B6A0000}"/>
    <cellStyle name="Comma 3 5 4 4 5" xfId="2384" xr:uid="{00000000-0005-0000-0000-000080090000}"/>
    <cellStyle name="Comma 3 5 4 4 6" xfId="7472" xr:uid="{00000000-0005-0000-0000-0000601D0000}"/>
    <cellStyle name="Comma 3 5 4 4 7" xfId="2605" xr:uid="{00000000-0005-0000-0000-00005D0A0000}"/>
    <cellStyle name="Comma 3 5 4 4 8" xfId="7479" xr:uid="{00000000-0005-0000-0000-0000671D0000}"/>
    <cellStyle name="Comma 3 5 4 4 9" xfId="4716" xr:uid="{00000000-0005-0000-0000-00009C120000}"/>
    <cellStyle name="Comma 3 5 4 5" xfId="8021" xr:uid="{00000000-0005-0000-0000-0000851F0000}"/>
    <cellStyle name="Comma 3 5 4 5 10" xfId="17253" xr:uid="{00000000-0005-0000-0000-000095430000}"/>
    <cellStyle name="Comma 3 5 4 5 11" xfId="17256" xr:uid="{00000000-0005-0000-0000-000098430000}"/>
    <cellStyle name="Comma 3 5 4 5 12" xfId="17258" xr:uid="{00000000-0005-0000-0000-00009A430000}"/>
    <cellStyle name="Comma 3 5 4 5 13" xfId="17260" xr:uid="{00000000-0005-0000-0000-00009C430000}"/>
    <cellStyle name="Comma 3 5 4 5 2" xfId="27103" xr:uid="{00000000-0005-0000-0000-00000F6A0000}"/>
    <cellStyle name="Comma 3 5 4 5 2 2" xfId="26240" xr:uid="{00000000-0005-0000-0000-0000B0660000}"/>
    <cellStyle name="Comma 3 5 4 5 2 2 2" xfId="13182" xr:uid="{00000000-0005-0000-0000-0000AE330000}"/>
    <cellStyle name="Comma 3 5 4 5 2 3" xfId="26246" xr:uid="{00000000-0005-0000-0000-0000B6660000}"/>
    <cellStyle name="Comma 3 5 4 5 2 4" xfId="26252" xr:uid="{00000000-0005-0000-0000-0000BC660000}"/>
    <cellStyle name="Comma 3 5 4 5 2 5" xfId="26257" xr:uid="{00000000-0005-0000-0000-0000C1660000}"/>
    <cellStyle name="Comma 3 5 4 5 2 6" xfId="27105" xr:uid="{00000000-0005-0000-0000-0000116A0000}"/>
    <cellStyle name="Comma 3 5 4 5 2 7" xfId="27107" xr:uid="{00000000-0005-0000-0000-0000136A0000}"/>
    <cellStyle name="Comma 3 5 4 5 2 8" xfId="27109" xr:uid="{00000000-0005-0000-0000-0000156A0000}"/>
    <cellStyle name="Comma 3 5 4 5 2 9" xfId="26033" xr:uid="{00000000-0005-0000-0000-0000E1650000}"/>
    <cellStyle name="Comma 3 5 4 5 3" xfId="27111" xr:uid="{00000000-0005-0000-0000-0000176A0000}"/>
    <cellStyle name="Comma 3 5 4 5 3 2" xfId="26306" xr:uid="{00000000-0005-0000-0000-0000F2660000}"/>
    <cellStyle name="Comma 3 5 4 5 3 3" xfId="26311" xr:uid="{00000000-0005-0000-0000-0000F7660000}"/>
    <cellStyle name="Comma 3 5 4 5 3 4" xfId="26317" xr:uid="{00000000-0005-0000-0000-0000FD660000}"/>
    <cellStyle name="Comma 3 5 4 5 3 5" xfId="26322" xr:uid="{00000000-0005-0000-0000-000002670000}"/>
    <cellStyle name="Comma 3 5 4 5 3 6" xfId="27113" xr:uid="{00000000-0005-0000-0000-0000196A0000}"/>
    <cellStyle name="Comma 3 5 4 5 4" xfId="23820" xr:uid="{00000000-0005-0000-0000-00003C5D0000}"/>
    <cellStyle name="Comma 3 5 4 5 4 2" xfId="27115" xr:uid="{00000000-0005-0000-0000-00001B6A0000}"/>
    <cellStyle name="Comma 3 5 4 5 5" xfId="16733" xr:uid="{00000000-0005-0000-0000-00008D410000}"/>
    <cellStyle name="Comma 3 5 4 5 6" xfId="24018" xr:uid="{00000000-0005-0000-0000-0000025E0000}"/>
    <cellStyle name="Comma 3 5 4 5 7" xfId="27116" xr:uid="{00000000-0005-0000-0000-00001C6A0000}"/>
    <cellStyle name="Comma 3 5 4 5 8" xfId="27117" xr:uid="{00000000-0005-0000-0000-00001D6A0000}"/>
    <cellStyle name="Comma 3 5 4 5 9" xfId="4739" xr:uid="{00000000-0005-0000-0000-0000B3120000}"/>
    <cellStyle name="Comma 3 5 4 6" xfId="2318" xr:uid="{00000000-0005-0000-0000-00003E090000}"/>
    <cellStyle name="Comma 3 5 4 6 10" xfId="27118" xr:uid="{00000000-0005-0000-0000-00001E6A0000}"/>
    <cellStyle name="Comma 3 5 4 6 11" xfId="27120" xr:uid="{00000000-0005-0000-0000-0000206A0000}"/>
    <cellStyle name="Comma 3 5 4 6 12" xfId="18090" xr:uid="{00000000-0005-0000-0000-0000DA460000}"/>
    <cellStyle name="Comma 3 5 4 6 2" xfId="25206" xr:uid="{00000000-0005-0000-0000-0000A6620000}"/>
    <cellStyle name="Comma 3 5 4 6 2 2" xfId="9105" xr:uid="{00000000-0005-0000-0000-0000C1230000}"/>
    <cellStyle name="Comma 3 5 4 6 2 2 2" xfId="9886" xr:uid="{00000000-0005-0000-0000-0000CE260000}"/>
    <cellStyle name="Comma 3 5 4 6 2 3" xfId="1599" xr:uid="{00000000-0005-0000-0000-00006F060000}"/>
    <cellStyle name="Comma 3 5 4 6 2 4" xfId="27126" xr:uid="{00000000-0005-0000-0000-0000266A0000}"/>
    <cellStyle name="Comma 3 5 4 6 2 5" xfId="27129" xr:uid="{00000000-0005-0000-0000-0000296A0000}"/>
    <cellStyle name="Comma 3 5 4 6 2 6" xfId="27131" xr:uid="{00000000-0005-0000-0000-00002B6A0000}"/>
    <cellStyle name="Comma 3 5 4 6 2 7" xfId="27133" xr:uid="{00000000-0005-0000-0000-00002D6A0000}"/>
    <cellStyle name="Comma 3 5 4 6 2 8" xfId="27136" xr:uid="{00000000-0005-0000-0000-0000306A0000}"/>
    <cellStyle name="Comma 3 5 4 6 2 9" xfId="27138" xr:uid="{00000000-0005-0000-0000-0000326A0000}"/>
    <cellStyle name="Comma 3 5 4 6 3" xfId="27139" xr:uid="{00000000-0005-0000-0000-0000336A0000}"/>
    <cellStyle name="Comma 3 5 4 6 3 2" xfId="25547" xr:uid="{00000000-0005-0000-0000-0000FB630000}"/>
    <cellStyle name="Comma 3 5 4 6 3 3" xfId="27143" xr:uid="{00000000-0005-0000-0000-0000376A0000}"/>
    <cellStyle name="Comma 3 5 4 6 3 4" xfId="27148" xr:uid="{00000000-0005-0000-0000-00003C6A0000}"/>
    <cellStyle name="Comma 3 5 4 6 3 5" xfId="27151" xr:uid="{00000000-0005-0000-0000-00003F6A0000}"/>
    <cellStyle name="Comma 3 5 4 6 3 6" xfId="27153" xr:uid="{00000000-0005-0000-0000-0000416A0000}"/>
    <cellStyle name="Comma 3 5 4 6 4" xfId="27154" xr:uid="{00000000-0005-0000-0000-0000426A0000}"/>
    <cellStyle name="Comma 3 5 4 6 4 2" xfId="25565" xr:uid="{00000000-0005-0000-0000-00000D640000}"/>
    <cellStyle name="Comma 3 5 4 6 5" xfId="27156" xr:uid="{00000000-0005-0000-0000-0000446A0000}"/>
    <cellStyle name="Comma 3 5 4 6 6" xfId="27157" xr:uid="{00000000-0005-0000-0000-0000456A0000}"/>
    <cellStyle name="Comma 3 5 4 6 7" xfId="18057" xr:uid="{00000000-0005-0000-0000-0000B9460000}"/>
    <cellStyle name="Comma 3 5 4 6 8" xfId="18058" xr:uid="{00000000-0005-0000-0000-0000BA460000}"/>
    <cellStyle name="Comma 3 5 4 6 9" xfId="18061" xr:uid="{00000000-0005-0000-0000-0000BD460000}"/>
    <cellStyle name="Comma 3 5 4 7" xfId="764" xr:uid="{00000000-0005-0000-0000-00002C030000}"/>
    <cellStyle name="Comma 3 5 4 7 2" xfId="27158" xr:uid="{00000000-0005-0000-0000-0000466A0000}"/>
    <cellStyle name="Comma 3 5 4 7 2 2" xfId="813" xr:uid="{00000000-0005-0000-0000-00005D030000}"/>
    <cellStyle name="Comma 3 5 4 7 3" xfId="27159" xr:uid="{00000000-0005-0000-0000-0000476A0000}"/>
    <cellStyle name="Comma 3 5 4 7 4" xfId="27160" xr:uid="{00000000-0005-0000-0000-0000486A0000}"/>
    <cellStyle name="Comma 3 5 4 7 5" xfId="27161" xr:uid="{00000000-0005-0000-0000-0000496A0000}"/>
    <cellStyle name="Comma 3 5 4 7 6" xfId="27162" xr:uid="{00000000-0005-0000-0000-00004A6A0000}"/>
    <cellStyle name="Comma 3 5 4 7 7" xfId="27163" xr:uid="{00000000-0005-0000-0000-00004B6A0000}"/>
    <cellStyle name="Comma 3 5 4 7 8" xfId="27164" xr:uid="{00000000-0005-0000-0000-00004C6A0000}"/>
    <cellStyle name="Comma 3 5 4 7 9" xfId="27166" xr:uid="{00000000-0005-0000-0000-00004E6A0000}"/>
    <cellStyle name="Comma 3 5 4 8" xfId="383" xr:uid="{00000000-0005-0000-0000-000098010000}"/>
    <cellStyle name="Comma 3 5 4 8 2" xfId="1148" xr:uid="{00000000-0005-0000-0000-0000AC040000}"/>
    <cellStyle name="Comma 3 5 4 8 3" xfId="1188" xr:uid="{00000000-0005-0000-0000-0000D4040000}"/>
    <cellStyle name="Comma 3 5 4 8 4" xfId="1211" xr:uid="{00000000-0005-0000-0000-0000EB040000}"/>
    <cellStyle name="Comma 3 5 4 8 5" xfId="27168" xr:uid="{00000000-0005-0000-0000-0000506A0000}"/>
    <cellStyle name="Comma 3 5 4 8 6" xfId="27170" xr:uid="{00000000-0005-0000-0000-0000526A0000}"/>
    <cellStyle name="Comma 3 5 4 9" xfId="1258" xr:uid="{00000000-0005-0000-0000-00001A050000}"/>
    <cellStyle name="Comma 3 5 4 9 2" xfId="27172" xr:uid="{00000000-0005-0000-0000-0000546A0000}"/>
    <cellStyle name="Comma 3 5 4 9 3" xfId="27174" xr:uid="{00000000-0005-0000-0000-0000566A0000}"/>
    <cellStyle name="Comma 3 5 4 9 4" xfId="27176" xr:uid="{00000000-0005-0000-0000-0000586A0000}"/>
    <cellStyle name="Comma 3 5 4 9 5" xfId="27177" xr:uid="{00000000-0005-0000-0000-0000596A0000}"/>
    <cellStyle name="Comma 3 5 4 9 6" xfId="27178" xr:uid="{00000000-0005-0000-0000-00005A6A0000}"/>
    <cellStyle name="Comma 3 5 5" xfId="13701" xr:uid="{00000000-0005-0000-0000-0000B5350000}"/>
    <cellStyle name="Comma 3 5 5 10" xfId="27181" xr:uid="{00000000-0005-0000-0000-00005D6A0000}"/>
    <cellStyle name="Comma 3 5 5 11" xfId="27184" xr:uid="{00000000-0005-0000-0000-0000606A0000}"/>
    <cellStyle name="Comma 3 5 5 12" xfId="27188" xr:uid="{00000000-0005-0000-0000-0000646A0000}"/>
    <cellStyle name="Comma 3 5 5 13" xfId="27193" xr:uid="{00000000-0005-0000-0000-0000696A0000}"/>
    <cellStyle name="Comma 3 5 5 14" xfId="27198" xr:uid="{00000000-0005-0000-0000-00006E6A0000}"/>
    <cellStyle name="Comma 3 5 5 15" xfId="27203" xr:uid="{00000000-0005-0000-0000-0000736A0000}"/>
    <cellStyle name="Comma 3 5 5 16" xfId="2677" xr:uid="{00000000-0005-0000-0000-0000A50A0000}"/>
    <cellStyle name="Comma 3 5 5 17" xfId="448" xr:uid="{00000000-0005-0000-0000-0000DD010000}"/>
    <cellStyle name="Comma 3 5 5 18" xfId="8411" xr:uid="{00000000-0005-0000-0000-00000B210000}"/>
    <cellStyle name="Comma 3 5 5 2" xfId="8055" xr:uid="{00000000-0005-0000-0000-0000A71F0000}"/>
    <cellStyle name="Comma 3 5 5 2 10" xfId="14512" xr:uid="{00000000-0005-0000-0000-0000E0380000}"/>
    <cellStyle name="Comma 3 5 5 2 11" xfId="14521" xr:uid="{00000000-0005-0000-0000-0000E9380000}"/>
    <cellStyle name="Comma 3 5 5 2 12" xfId="10455" xr:uid="{00000000-0005-0000-0000-000007290000}"/>
    <cellStyle name="Comma 3 5 5 2 13" xfId="14526" xr:uid="{00000000-0005-0000-0000-0000EE380000}"/>
    <cellStyle name="Comma 3 5 5 2 14" xfId="14528" xr:uid="{00000000-0005-0000-0000-0000F0380000}"/>
    <cellStyle name="Comma 3 5 5 2 2" xfId="18158" xr:uid="{00000000-0005-0000-0000-00001E470000}"/>
    <cellStyle name="Comma 3 5 5 2 2 10" xfId="11655" xr:uid="{00000000-0005-0000-0000-0000B72D0000}"/>
    <cellStyle name="Comma 3 5 5 2 2 2" xfId="7423" xr:uid="{00000000-0005-0000-0000-00002F1D0000}"/>
    <cellStyle name="Comma 3 5 5 2 2 2 2" xfId="27209" xr:uid="{00000000-0005-0000-0000-0000796A0000}"/>
    <cellStyle name="Comma 3 5 5 2 2 3" xfId="9390" xr:uid="{00000000-0005-0000-0000-0000DE240000}"/>
    <cellStyle name="Comma 3 5 5 2 2 4" xfId="11595" xr:uid="{00000000-0005-0000-0000-00007B2D0000}"/>
    <cellStyle name="Comma 3 5 5 2 2 5" xfId="13936" xr:uid="{00000000-0005-0000-0000-0000A0360000}"/>
    <cellStyle name="Comma 3 5 5 2 2 6" xfId="26506" xr:uid="{00000000-0005-0000-0000-0000BA670000}"/>
    <cellStyle name="Comma 3 5 5 2 2 7" xfId="26513" xr:uid="{00000000-0005-0000-0000-0000C1670000}"/>
    <cellStyle name="Comma 3 5 5 2 2 8" xfId="5499" xr:uid="{00000000-0005-0000-0000-0000AB150000}"/>
    <cellStyle name="Comma 3 5 5 2 2 9" xfId="27210" xr:uid="{00000000-0005-0000-0000-00007A6A0000}"/>
    <cellStyle name="Comma 3 5 5 2 3" xfId="18160" xr:uid="{00000000-0005-0000-0000-000020470000}"/>
    <cellStyle name="Comma 3 5 5 2 3 2" xfId="27212" xr:uid="{00000000-0005-0000-0000-00007C6A0000}"/>
    <cellStyle name="Comma 3 5 5 2 3 3" xfId="27214" xr:uid="{00000000-0005-0000-0000-00007E6A0000}"/>
    <cellStyle name="Comma 3 5 5 2 3 4" xfId="26517" xr:uid="{00000000-0005-0000-0000-0000C5670000}"/>
    <cellStyle name="Comma 3 5 5 2 3 5" xfId="27216" xr:uid="{00000000-0005-0000-0000-0000806A0000}"/>
    <cellStyle name="Comma 3 5 5 2 3 6" xfId="3970" xr:uid="{00000000-0005-0000-0000-0000B20F0000}"/>
    <cellStyle name="Comma 3 5 5 2 4" xfId="14960" xr:uid="{00000000-0005-0000-0000-0000A03A0000}"/>
    <cellStyle name="Comma 3 5 5 2 4 2" xfId="27218" xr:uid="{00000000-0005-0000-0000-0000826A0000}"/>
    <cellStyle name="Comma 3 5 5 2 4 3" xfId="27220" xr:uid="{00000000-0005-0000-0000-0000846A0000}"/>
    <cellStyle name="Comma 3 5 5 2 4 4" xfId="27222" xr:uid="{00000000-0005-0000-0000-0000866A0000}"/>
    <cellStyle name="Comma 3 5 5 2 4 5" xfId="27224" xr:uid="{00000000-0005-0000-0000-0000886A0000}"/>
    <cellStyle name="Comma 3 5 5 2 5" xfId="16892" xr:uid="{00000000-0005-0000-0000-00002C420000}"/>
    <cellStyle name="Comma 3 5 5 2 6" xfId="12354" xr:uid="{00000000-0005-0000-0000-000072300000}"/>
    <cellStyle name="Comma 3 5 5 2 7" xfId="12357" xr:uid="{00000000-0005-0000-0000-000075300000}"/>
    <cellStyle name="Comma 3 5 5 2 8" xfId="12360" xr:uid="{00000000-0005-0000-0000-000078300000}"/>
    <cellStyle name="Comma 3 5 5 2 9" xfId="12367" xr:uid="{00000000-0005-0000-0000-00007F300000}"/>
    <cellStyle name="Comma 3 5 5 3" xfId="8064" xr:uid="{00000000-0005-0000-0000-0000B01F0000}"/>
    <cellStyle name="Comma 3 5 5 3 10" xfId="25096" xr:uid="{00000000-0005-0000-0000-000038620000}"/>
    <cellStyle name="Comma 3 5 5 3 11" xfId="25108" xr:uid="{00000000-0005-0000-0000-000044620000}"/>
    <cellStyle name="Comma 3 5 5 3 12" xfId="25122" xr:uid="{00000000-0005-0000-0000-000052620000}"/>
    <cellStyle name="Comma 3 5 5 3 2" xfId="6120" xr:uid="{00000000-0005-0000-0000-000018180000}"/>
    <cellStyle name="Comma 3 5 5 3 2 2" xfId="6133" xr:uid="{00000000-0005-0000-0000-000025180000}"/>
    <cellStyle name="Comma 3 5 5 3 2 2 2" xfId="27225" xr:uid="{00000000-0005-0000-0000-0000896A0000}"/>
    <cellStyle name="Comma 3 5 5 3 2 3" xfId="27232" xr:uid="{00000000-0005-0000-0000-0000906A0000}"/>
    <cellStyle name="Comma 3 5 5 3 2 4" xfId="26525" xr:uid="{00000000-0005-0000-0000-0000CD670000}"/>
    <cellStyle name="Comma 3 5 5 3 2 5" xfId="27236" xr:uid="{00000000-0005-0000-0000-0000946A0000}"/>
    <cellStyle name="Comma 3 5 5 3 3" xfId="27238" xr:uid="{00000000-0005-0000-0000-0000966A0000}"/>
    <cellStyle name="Comma 3 5 5 3 3 2" xfId="27192" xr:uid="{00000000-0005-0000-0000-0000686A0000}"/>
    <cellStyle name="Comma 3 5 5 3 4" xfId="27240" xr:uid="{00000000-0005-0000-0000-0000986A0000}"/>
    <cellStyle name="Comma 3 5 5 3 5" xfId="6168" xr:uid="{00000000-0005-0000-0000-000048180000}"/>
    <cellStyle name="Comma 3 5 5 3 6" xfId="1619" xr:uid="{00000000-0005-0000-0000-000083060000}"/>
    <cellStyle name="Comma 3 5 5 3 7" xfId="1647" xr:uid="{00000000-0005-0000-0000-00009F060000}"/>
    <cellStyle name="Comma 3 5 5 3 8" xfId="771" xr:uid="{00000000-0005-0000-0000-000033030000}"/>
    <cellStyle name="Comma 3 5 5 3 9" xfId="16894" xr:uid="{00000000-0005-0000-0000-00002E420000}"/>
    <cellStyle name="Comma 3 5 5 4" xfId="8071" xr:uid="{00000000-0005-0000-0000-0000B71F0000}"/>
    <cellStyle name="Comma 3 5 5 4 10" xfId="21425" xr:uid="{00000000-0005-0000-0000-0000E1530000}"/>
    <cellStyle name="Comma 3 5 5 4 11" xfId="2066" xr:uid="{00000000-0005-0000-0000-000042080000}"/>
    <cellStyle name="Comma 3 5 5 4 2" xfId="27243" xr:uid="{00000000-0005-0000-0000-00009B6A0000}"/>
    <cellStyle name="Comma 3 5 5 4 2 2" xfId="27247" xr:uid="{00000000-0005-0000-0000-00009F6A0000}"/>
    <cellStyle name="Comma 3 5 5 4 2 2 2" xfId="27248" xr:uid="{00000000-0005-0000-0000-0000A06A0000}"/>
    <cellStyle name="Comma 3 5 5 4 2 3" xfId="19465" xr:uid="{00000000-0005-0000-0000-0000394C0000}"/>
    <cellStyle name="Comma 3 5 5 4 2 4" xfId="19469" xr:uid="{00000000-0005-0000-0000-00003D4C0000}"/>
    <cellStyle name="Comma 3 5 5 4 2 5" xfId="19472" xr:uid="{00000000-0005-0000-0000-0000404C0000}"/>
    <cellStyle name="Comma 3 5 5 4 3" xfId="27249" xr:uid="{00000000-0005-0000-0000-0000A16A0000}"/>
    <cellStyle name="Comma 3 5 5 4 3 2" xfId="27253" xr:uid="{00000000-0005-0000-0000-0000A56A0000}"/>
    <cellStyle name="Comma 3 5 5 4 4" xfId="27254" xr:uid="{00000000-0005-0000-0000-0000A66A0000}"/>
    <cellStyle name="Comma 3 5 5 4 5" xfId="16897" xr:uid="{00000000-0005-0000-0000-000031420000}"/>
    <cellStyle name="Comma 3 5 5 4 6" xfId="16900" xr:uid="{00000000-0005-0000-0000-000034420000}"/>
    <cellStyle name="Comma 3 5 5 4 7" xfId="16903" xr:uid="{00000000-0005-0000-0000-000037420000}"/>
    <cellStyle name="Comma 3 5 5 4 8" xfId="16906" xr:uid="{00000000-0005-0000-0000-00003A420000}"/>
    <cellStyle name="Comma 3 5 5 4 9" xfId="16909" xr:uid="{00000000-0005-0000-0000-00003D420000}"/>
    <cellStyle name="Comma 3 5 5 5" xfId="8080" xr:uid="{00000000-0005-0000-0000-0000C01F0000}"/>
    <cellStyle name="Comma 3 5 5 5 10" xfId="23412" xr:uid="{00000000-0005-0000-0000-0000A45B0000}"/>
    <cellStyle name="Comma 3 5 5 5 2" xfId="27256" xr:uid="{00000000-0005-0000-0000-0000A86A0000}"/>
    <cellStyle name="Comma 3 5 5 5 2 2" xfId="722" xr:uid="{00000000-0005-0000-0000-000002030000}"/>
    <cellStyle name="Comma 3 5 5 5 2 2 2" xfId="4967" xr:uid="{00000000-0005-0000-0000-000097130000}"/>
    <cellStyle name="Comma 3 5 5 5 2 3" xfId="27258" xr:uid="{00000000-0005-0000-0000-0000AA6A0000}"/>
    <cellStyle name="Comma 3 5 5 5 2 4" xfId="27260" xr:uid="{00000000-0005-0000-0000-0000AC6A0000}"/>
    <cellStyle name="Comma 3 5 5 5 2 5" xfId="27262" xr:uid="{00000000-0005-0000-0000-0000AE6A0000}"/>
    <cellStyle name="Comma 3 5 5 5 3" xfId="27264" xr:uid="{00000000-0005-0000-0000-0000B06A0000}"/>
    <cellStyle name="Comma 3 5 5 5 3 2" xfId="27266" xr:uid="{00000000-0005-0000-0000-0000B26A0000}"/>
    <cellStyle name="Comma 3 5 5 5 4" xfId="27269" xr:uid="{00000000-0005-0000-0000-0000B56A0000}"/>
    <cellStyle name="Comma 3 5 5 5 5" xfId="7804" xr:uid="{00000000-0005-0000-0000-0000AC1E0000}"/>
    <cellStyle name="Comma 3 5 5 5 6" xfId="874" xr:uid="{00000000-0005-0000-0000-00009A030000}"/>
    <cellStyle name="Comma 3 5 5 5 7" xfId="893" xr:uid="{00000000-0005-0000-0000-0000AD030000}"/>
    <cellStyle name="Comma 3 5 5 5 8" xfId="27270" xr:uid="{00000000-0005-0000-0000-0000B66A0000}"/>
    <cellStyle name="Comma 3 5 5 5 9" xfId="27271" xr:uid="{00000000-0005-0000-0000-0000B76A0000}"/>
    <cellStyle name="Comma 3 5 5 6" xfId="27272" xr:uid="{00000000-0005-0000-0000-0000B86A0000}"/>
    <cellStyle name="Comma 3 5 5 6 2" xfId="27273" xr:uid="{00000000-0005-0000-0000-0000B96A0000}"/>
    <cellStyle name="Comma 3 5 5 6 2 2" xfId="27278" xr:uid="{00000000-0005-0000-0000-0000BE6A0000}"/>
    <cellStyle name="Comma 3 5 5 6 3" xfId="27279" xr:uid="{00000000-0005-0000-0000-0000BF6A0000}"/>
    <cellStyle name="Comma 3 5 5 6 4" xfId="27280" xr:uid="{00000000-0005-0000-0000-0000C06A0000}"/>
    <cellStyle name="Comma 3 5 5 6 5" xfId="27282" xr:uid="{00000000-0005-0000-0000-0000C26A0000}"/>
    <cellStyle name="Comma 3 5 5 6 6" xfId="27284" xr:uid="{00000000-0005-0000-0000-0000C46A0000}"/>
    <cellStyle name="Comma 3 5 5 6 7" xfId="25075" xr:uid="{00000000-0005-0000-0000-000023620000}"/>
    <cellStyle name="Comma 3 5 5 6 8" xfId="25079" xr:uid="{00000000-0005-0000-0000-000027620000}"/>
    <cellStyle name="Comma 3 5 5 6 9" xfId="25083" xr:uid="{00000000-0005-0000-0000-00002B620000}"/>
    <cellStyle name="Comma 3 5 5 7" xfId="27286" xr:uid="{00000000-0005-0000-0000-0000C66A0000}"/>
    <cellStyle name="Comma 3 5 5 7 2" xfId="27287" xr:uid="{00000000-0005-0000-0000-0000C76A0000}"/>
    <cellStyle name="Comma 3 5 5 8" xfId="27289" xr:uid="{00000000-0005-0000-0000-0000C96A0000}"/>
    <cellStyle name="Comma 3 5 5 9" xfId="27291" xr:uid="{00000000-0005-0000-0000-0000CB6A0000}"/>
    <cellStyle name="Comma 3 5 6" xfId="27292" xr:uid="{00000000-0005-0000-0000-0000CC6A0000}"/>
    <cellStyle name="Comma 3 5 6 10" xfId="27293" xr:uid="{00000000-0005-0000-0000-0000CD6A0000}"/>
    <cellStyle name="Comma 3 5 6 11" xfId="27295" xr:uid="{00000000-0005-0000-0000-0000CF6A0000}"/>
    <cellStyle name="Comma 3 5 6 12" xfId="27297" xr:uid="{00000000-0005-0000-0000-0000D16A0000}"/>
    <cellStyle name="Comma 3 5 6 13" xfId="27299" xr:uid="{00000000-0005-0000-0000-0000D36A0000}"/>
    <cellStyle name="Comma 3 5 6 14" xfId="27301" xr:uid="{00000000-0005-0000-0000-0000D56A0000}"/>
    <cellStyle name="Comma 3 5 6 15" xfId="27303" xr:uid="{00000000-0005-0000-0000-0000D76A0000}"/>
    <cellStyle name="Comma 3 5 6 16" xfId="8641" xr:uid="{00000000-0005-0000-0000-0000F1210000}"/>
    <cellStyle name="Comma 3 5 6 17" xfId="27305" xr:uid="{00000000-0005-0000-0000-0000D96A0000}"/>
    <cellStyle name="Comma 3 5 6 18" xfId="27307" xr:uid="{00000000-0005-0000-0000-0000DB6A0000}"/>
    <cellStyle name="Comma 3 5 6 2" xfId="8107" xr:uid="{00000000-0005-0000-0000-0000DB1F0000}"/>
    <cellStyle name="Comma 3 5 6 2 10" xfId="25451" xr:uid="{00000000-0005-0000-0000-00009B630000}"/>
    <cellStyle name="Comma 3 5 6 2 2" xfId="25455" xr:uid="{00000000-0005-0000-0000-00009F630000}"/>
    <cellStyle name="Comma 3 5 6 2 2 2" xfId="10118" xr:uid="{00000000-0005-0000-0000-0000B6270000}"/>
    <cellStyle name="Comma 3 5 6 2 3" xfId="25463" xr:uid="{00000000-0005-0000-0000-0000A7630000}"/>
    <cellStyle name="Comma 3 5 6 2 4" xfId="25467" xr:uid="{00000000-0005-0000-0000-0000AB630000}"/>
    <cellStyle name="Comma 3 5 6 2 5" xfId="16920" xr:uid="{00000000-0005-0000-0000-000048420000}"/>
    <cellStyle name="Comma 3 5 6 2 6" xfId="25469" xr:uid="{00000000-0005-0000-0000-0000AD630000}"/>
    <cellStyle name="Comma 3 5 6 2 7" xfId="25471" xr:uid="{00000000-0005-0000-0000-0000AF630000}"/>
    <cellStyle name="Comma 3 5 6 2 8" xfId="25473" xr:uid="{00000000-0005-0000-0000-0000B1630000}"/>
    <cellStyle name="Comma 3 5 6 2 9" xfId="25475" xr:uid="{00000000-0005-0000-0000-0000B3630000}"/>
    <cellStyle name="Comma 3 5 6 3" xfId="25477" xr:uid="{00000000-0005-0000-0000-0000B5630000}"/>
    <cellStyle name="Comma 3 5 6 3 2" xfId="25479" xr:uid="{00000000-0005-0000-0000-0000B7630000}"/>
    <cellStyle name="Comma 3 5 6 3 3" xfId="23321" xr:uid="{00000000-0005-0000-0000-0000495B0000}"/>
    <cellStyle name="Comma 3 5 6 3 4" xfId="23325" xr:uid="{00000000-0005-0000-0000-00004D5B0000}"/>
    <cellStyle name="Comma 3 5 6 3 5" xfId="23330" xr:uid="{00000000-0005-0000-0000-0000525B0000}"/>
    <cellStyle name="Comma 3 5 6 3 6" xfId="23335" xr:uid="{00000000-0005-0000-0000-0000575B0000}"/>
    <cellStyle name="Comma 3 5 6 4" xfId="25489" xr:uid="{00000000-0005-0000-0000-0000C1630000}"/>
    <cellStyle name="Comma 3 5 6 4 2" xfId="25491" xr:uid="{00000000-0005-0000-0000-0000C3630000}"/>
    <cellStyle name="Comma 3 5 6 4 3" xfId="27308" xr:uid="{00000000-0005-0000-0000-0000DC6A0000}"/>
    <cellStyle name="Comma 3 5 6 4 4" xfId="27309" xr:uid="{00000000-0005-0000-0000-0000DD6A0000}"/>
    <cellStyle name="Comma 3 5 6 4 5" xfId="27311" xr:uid="{00000000-0005-0000-0000-0000DF6A0000}"/>
    <cellStyle name="Comma 3 5 6 4 6" xfId="27313" xr:uid="{00000000-0005-0000-0000-0000E16A0000}"/>
    <cellStyle name="Comma 3 5 6 5" xfId="25493" xr:uid="{00000000-0005-0000-0000-0000C5630000}"/>
    <cellStyle name="Comma 3 5 6 5 2" xfId="27314" xr:uid="{00000000-0005-0000-0000-0000E26A0000}"/>
    <cellStyle name="Comma 3 5 6 5 3" xfId="27315" xr:uid="{00000000-0005-0000-0000-0000E36A0000}"/>
    <cellStyle name="Comma 3 5 6 5 4" xfId="27316" xr:uid="{00000000-0005-0000-0000-0000E46A0000}"/>
    <cellStyle name="Comma 3 5 6 5 5" xfId="27317" xr:uid="{00000000-0005-0000-0000-0000E56A0000}"/>
    <cellStyle name="Comma 3 5 6 5 6" xfId="27318" xr:uid="{00000000-0005-0000-0000-0000E66A0000}"/>
    <cellStyle name="Comma 3 5 6 6" xfId="25495" xr:uid="{00000000-0005-0000-0000-0000C7630000}"/>
    <cellStyle name="Comma 3 5 6 6 2" xfId="10988" xr:uid="{00000000-0005-0000-0000-00001C2B0000}"/>
    <cellStyle name="Comma 3 5 6 6 3" xfId="10997" xr:uid="{00000000-0005-0000-0000-0000252B0000}"/>
    <cellStyle name="Comma 3 5 6 6 4" xfId="11011" xr:uid="{00000000-0005-0000-0000-0000332B0000}"/>
    <cellStyle name="Comma 3 5 6 6 5" xfId="513" xr:uid="{00000000-0005-0000-0000-000022020000}"/>
    <cellStyle name="Comma 3 5 6 6 6" xfId="433" xr:uid="{00000000-0005-0000-0000-0000CC010000}"/>
    <cellStyle name="Comma 3 5 6 7" xfId="27319" xr:uid="{00000000-0005-0000-0000-0000E76A0000}"/>
    <cellStyle name="Comma 3 5 6 8" xfId="27320" xr:uid="{00000000-0005-0000-0000-0000E86A0000}"/>
    <cellStyle name="Comma 3 5 6 9" xfId="27321" xr:uid="{00000000-0005-0000-0000-0000E96A0000}"/>
    <cellStyle name="Comma 3 5 7" xfId="27323" xr:uid="{00000000-0005-0000-0000-0000EB6A0000}"/>
    <cellStyle name="Comma 3 5 7 10" xfId="27327" xr:uid="{00000000-0005-0000-0000-0000EF6A0000}"/>
    <cellStyle name="Comma 3 5 7 11" xfId="27332" xr:uid="{00000000-0005-0000-0000-0000F46A0000}"/>
    <cellStyle name="Comma 3 5 7 12" xfId="27335" xr:uid="{00000000-0005-0000-0000-0000F76A0000}"/>
    <cellStyle name="Comma 3 5 7 13" xfId="27338" xr:uid="{00000000-0005-0000-0000-0000FA6A0000}"/>
    <cellStyle name="Comma 3 5 7 14" xfId="27340" xr:uid="{00000000-0005-0000-0000-0000FC6A0000}"/>
    <cellStyle name="Comma 3 5 7 15" xfId="27342" xr:uid="{00000000-0005-0000-0000-0000FE6A0000}"/>
    <cellStyle name="Comma 3 5 7 16" xfId="27344" xr:uid="{00000000-0005-0000-0000-0000006B0000}"/>
    <cellStyle name="Comma 3 5 7 17" xfId="27346" xr:uid="{00000000-0005-0000-0000-0000026B0000}"/>
    <cellStyle name="Comma 3 5 7 18" xfId="27348" xr:uid="{00000000-0005-0000-0000-0000046B0000}"/>
    <cellStyle name="Comma 3 5 7 2" xfId="25510" xr:uid="{00000000-0005-0000-0000-0000D6630000}"/>
    <cellStyle name="Comma 3 5 7 2 10" xfId="22426" xr:uid="{00000000-0005-0000-0000-0000CA570000}"/>
    <cellStyle name="Comma 3 5 7 2 2" xfId="7529" xr:uid="{00000000-0005-0000-0000-0000991D0000}"/>
    <cellStyle name="Comma 3 5 7 2 2 2" xfId="27351" xr:uid="{00000000-0005-0000-0000-0000076B0000}"/>
    <cellStyle name="Comma 3 5 7 2 3" xfId="19974" xr:uid="{00000000-0005-0000-0000-0000364E0000}"/>
    <cellStyle name="Comma 3 5 7 2 4" xfId="19995" xr:uid="{00000000-0005-0000-0000-00004B4E0000}"/>
    <cellStyle name="Comma 3 5 7 2 5" xfId="16968" xr:uid="{00000000-0005-0000-0000-000078420000}"/>
    <cellStyle name="Comma 3 5 7 2 6" xfId="20006" xr:uid="{00000000-0005-0000-0000-0000564E0000}"/>
    <cellStyle name="Comma 3 5 7 2 7" xfId="20012" xr:uid="{00000000-0005-0000-0000-00005C4E0000}"/>
    <cellStyle name="Comma 3 5 7 2 8" xfId="20017" xr:uid="{00000000-0005-0000-0000-0000614E0000}"/>
    <cellStyle name="Comma 3 5 7 2 9" xfId="20023" xr:uid="{00000000-0005-0000-0000-0000674E0000}"/>
    <cellStyle name="Comma 3 5 7 3" xfId="9044" xr:uid="{00000000-0005-0000-0000-000084230000}"/>
    <cellStyle name="Comma 3 5 7 3 2" xfId="25513" xr:uid="{00000000-0005-0000-0000-0000D9630000}"/>
    <cellStyle name="Comma 3 5 7 3 3" xfId="20031" xr:uid="{00000000-0005-0000-0000-00006F4E0000}"/>
    <cellStyle name="Comma 3 5 7 3 4" xfId="20039" xr:uid="{00000000-0005-0000-0000-0000774E0000}"/>
    <cellStyle name="Comma 3 5 7 3 5" xfId="20044" xr:uid="{00000000-0005-0000-0000-00007C4E0000}"/>
    <cellStyle name="Comma 3 5 7 3 6" xfId="20050" xr:uid="{00000000-0005-0000-0000-0000824E0000}"/>
    <cellStyle name="Comma 3 5 7 4" xfId="9053" xr:uid="{00000000-0005-0000-0000-00008D230000}"/>
    <cellStyle name="Comma 3 5 7 4 2" xfId="27353" xr:uid="{00000000-0005-0000-0000-0000096B0000}"/>
    <cellStyle name="Comma 3 5 7 4 3" xfId="27355" xr:uid="{00000000-0005-0000-0000-00000B6B0000}"/>
    <cellStyle name="Comma 3 5 7 4 4" xfId="27357" xr:uid="{00000000-0005-0000-0000-00000D6B0000}"/>
    <cellStyle name="Comma 3 5 7 4 5" xfId="27359" xr:uid="{00000000-0005-0000-0000-00000F6B0000}"/>
    <cellStyle name="Comma 3 5 7 4 6" xfId="27361" xr:uid="{00000000-0005-0000-0000-0000116B0000}"/>
    <cellStyle name="Comma 3 5 7 5" xfId="8433" xr:uid="{00000000-0005-0000-0000-000021210000}"/>
    <cellStyle name="Comma 3 5 7 5 2" xfId="27363" xr:uid="{00000000-0005-0000-0000-0000136B0000}"/>
    <cellStyle name="Comma 3 5 7 5 3" xfId="27365" xr:uid="{00000000-0005-0000-0000-0000156B0000}"/>
    <cellStyle name="Comma 3 5 7 5 4" xfId="27367" xr:uid="{00000000-0005-0000-0000-0000176B0000}"/>
    <cellStyle name="Comma 3 5 7 5 5" xfId="27369" xr:uid="{00000000-0005-0000-0000-0000196B0000}"/>
    <cellStyle name="Comma 3 5 7 5 6" xfId="27371" xr:uid="{00000000-0005-0000-0000-00001B6B0000}"/>
    <cellStyle name="Comma 3 5 7 6" xfId="2398" xr:uid="{00000000-0005-0000-0000-00008E090000}"/>
    <cellStyle name="Comma 3 5 7 6 2" xfId="752" xr:uid="{00000000-0005-0000-0000-000020030000}"/>
    <cellStyle name="Comma 3 5 7 6 3" xfId="2278" xr:uid="{00000000-0005-0000-0000-000016090000}"/>
    <cellStyle name="Comma 3 5 7 6 4" xfId="9024" xr:uid="{00000000-0005-0000-0000-000070230000}"/>
    <cellStyle name="Comma 3 5 7 6 5" xfId="12377" xr:uid="{00000000-0005-0000-0000-000089300000}"/>
    <cellStyle name="Comma 3 5 7 6 6" xfId="6624" xr:uid="{00000000-0005-0000-0000-0000101A0000}"/>
    <cellStyle name="Comma 3 5 7 7" xfId="27373" xr:uid="{00000000-0005-0000-0000-00001D6B0000}"/>
    <cellStyle name="Comma 3 5 7 8" xfId="27375" xr:uid="{00000000-0005-0000-0000-00001F6B0000}"/>
    <cellStyle name="Comma 3 5 7 9" xfId="27376" xr:uid="{00000000-0005-0000-0000-0000206B0000}"/>
    <cellStyle name="Comma 3 5 8" xfId="27377" xr:uid="{00000000-0005-0000-0000-0000216B0000}"/>
    <cellStyle name="Comma 3 5 8 10" xfId="27380" xr:uid="{00000000-0005-0000-0000-0000246B0000}"/>
    <cellStyle name="Comma 3 5 8 11" xfId="27383" xr:uid="{00000000-0005-0000-0000-0000276B0000}"/>
    <cellStyle name="Comma 3 5 8 12" xfId="27386" xr:uid="{00000000-0005-0000-0000-00002A6B0000}"/>
    <cellStyle name="Comma 3 5 8 13" xfId="27390" xr:uid="{00000000-0005-0000-0000-00002E6B0000}"/>
    <cellStyle name="Comma 3 5 8 14" xfId="27392" xr:uid="{00000000-0005-0000-0000-0000306B0000}"/>
    <cellStyle name="Comma 3 5 8 15" xfId="27394" xr:uid="{00000000-0005-0000-0000-0000326B0000}"/>
    <cellStyle name="Comma 3 5 8 2" xfId="25525" xr:uid="{00000000-0005-0000-0000-0000E5630000}"/>
    <cellStyle name="Comma 3 5 8 2 2" xfId="27396" xr:uid="{00000000-0005-0000-0000-0000346B0000}"/>
    <cellStyle name="Comma 3 5 8 2 2 2" xfId="21759" xr:uid="{00000000-0005-0000-0000-00002F550000}"/>
    <cellStyle name="Comma 3 5 8 2 3" xfId="27398" xr:uid="{00000000-0005-0000-0000-0000366B0000}"/>
    <cellStyle name="Comma 3 5 8 2 4" xfId="27400" xr:uid="{00000000-0005-0000-0000-0000386B0000}"/>
    <cellStyle name="Comma 3 5 8 2 5" xfId="27402" xr:uid="{00000000-0005-0000-0000-00003A6B0000}"/>
    <cellStyle name="Comma 3 5 8 2 6" xfId="27404" xr:uid="{00000000-0005-0000-0000-00003C6B0000}"/>
    <cellStyle name="Comma 3 5 8 2 7" xfId="27405" xr:uid="{00000000-0005-0000-0000-00003D6B0000}"/>
    <cellStyle name="Comma 3 5 8 2 8" xfId="27406" xr:uid="{00000000-0005-0000-0000-00003E6B0000}"/>
    <cellStyle name="Comma 3 5 8 2 9" xfId="27407" xr:uid="{00000000-0005-0000-0000-00003F6B0000}"/>
    <cellStyle name="Comma 3 5 8 3" xfId="9061" xr:uid="{00000000-0005-0000-0000-000095230000}"/>
    <cellStyle name="Comma 3 5 8 3 2" xfId="27409" xr:uid="{00000000-0005-0000-0000-0000416B0000}"/>
    <cellStyle name="Comma 3 5 8 3 3" xfId="27411" xr:uid="{00000000-0005-0000-0000-0000436B0000}"/>
    <cellStyle name="Comma 3 5 8 3 4" xfId="27413" xr:uid="{00000000-0005-0000-0000-0000456B0000}"/>
    <cellStyle name="Comma 3 5 8 3 5" xfId="27415" xr:uid="{00000000-0005-0000-0000-0000476B0000}"/>
    <cellStyle name="Comma 3 5 8 3 6" xfId="27417" xr:uid="{00000000-0005-0000-0000-0000496B0000}"/>
    <cellStyle name="Comma 3 5 8 4" xfId="9073" xr:uid="{00000000-0005-0000-0000-0000A1230000}"/>
    <cellStyle name="Comma 3 5 8 4 2" xfId="27419" xr:uid="{00000000-0005-0000-0000-00004B6B0000}"/>
    <cellStyle name="Comma 3 5 8 5" xfId="9086" xr:uid="{00000000-0005-0000-0000-0000AE230000}"/>
    <cellStyle name="Comma 3 5 8 6" xfId="9109" xr:uid="{00000000-0005-0000-0000-0000C5230000}"/>
    <cellStyle name="Comma 3 5 8 7" xfId="27422" xr:uid="{00000000-0005-0000-0000-00004E6B0000}"/>
    <cellStyle name="Comma 3 5 8 8" xfId="27424" xr:uid="{00000000-0005-0000-0000-0000506B0000}"/>
    <cellStyle name="Comma 3 5 8 9" xfId="27425" xr:uid="{00000000-0005-0000-0000-0000516B0000}"/>
    <cellStyle name="Comma 3 5 9" xfId="27426" xr:uid="{00000000-0005-0000-0000-0000526B0000}"/>
    <cellStyle name="Comma 3 5 9 10" xfId="3803" xr:uid="{00000000-0005-0000-0000-00000B0F0000}"/>
    <cellStyle name="Comma 3 5 9 11" xfId="9647" xr:uid="{00000000-0005-0000-0000-0000DF250000}"/>
    <cellStyle name="Comma 3 5 9 12" xfId="9658" xr:uid="{00000000-0005-0000-0000-0000EA250000}"/>
    <cellStyle name="Comma 3 5 9 13" xfId="9666" xr:uid="{00000000-0005-0000-0000-0000F2250000}"/>
    <cellStyle name="Comma 3 5 9 14" xfId="5414" xr:uid="{00000000-0005-0000-0000-000056150000}"/>
    <cellStyle name="Comma 3 5 9 2" xfId="25538" xr:uid="{00000000-0005-0000-0000-0000F2630000}"/>
    <cellStyle name="Comma 3 5 9 2 2" xfId="27428" xr:uid="{00000000-0005-0000-0000-0000546B0000}"/>
    <cellStyle name="Comma 3 5 9 2 2 2" xfId="22141" xr:uid="{00000000-0005-0000-0000-0000AD560000}"/>
    <cellStyle name="Comma 3 5 9 2 3" xfId="27430" xr:uid="{00000000-0005-0000-0000-0000566B0000}"/>
    <cellStyle name="Comma 3 5 9 2 4" xfId="27432" xr:uid="{00000000-0005-0000-0000-0000586B0000}"/>
    <cellStyle name="Comma 3 5 9 2 5" xfId="27434" xr:uid="{00000000-0005-0000-0000-00005A6B0000}"/>
    <cellStyle name="Comma 3 5 9 2 6" xfId="27436" xr:uid="{00000000-0005-0000-0000-00005C6B0000}"/>
    <cellStyle name="Comma 3 5 9 2 7" xfId="27437" xr:uid="{00000000-0005-0000-0000-00005D6B0000}"/>
    <cellStyle name="Comma 3 5 9 2 8" xfId="27438" xr:uid="{00000000-0005-0000-0000-00005E6B0000}"/>
    <cellStyle name="Comma 3 5 9 2 9" xfId="21200" xr:uid="{00000000-0005-0000-0000-000000530000}"/>
    <cellStyle name="Comma 3 5 9 3" xfId="21950" xr:uid="{00000000-0005-0000-0000-0000EE550000}"/>
    <cellStyle name="Comma 3 5 9 3 2" xfId="13633" xr:uid="{00000000-0005-0000-0000-000071350000}"/>
    <cellStyle name="Comma 3 5 9 3 3" xfId="13637" xr:uid="{00000000-0005-0000-0000-000075350000}"/>
    <cellStyle name="Comma 3 5 9 3 4" xfId="27439" xr:uid="{00000000-0005-0000-0000-00005F6B0000}"/>
    <cellStyle name="Comma 3 5 9 3 5" xfId="27441" xr:uid="{00000000-0005-0000-0000-0000616B0000}"/>
    <cellStyle name="Comma 3 5 9 3 6" xfId="27442" xr:uid="{00000000-0005-0000-0000-0000626B0000}"/>
    <cellStyle name="Comma 3 5 9 4" xfId="25544" xr:uid="{00000000-0005-0000-0000-0000F8630000}"/>
    <cellStyle name="Comma 3 5 9 4 2" xfId="27444" xr:uid="{00000000-0005-0000-0000-0000646B0000}"/>
    <cellStyle name="Comma 3 5 9 5" xfId="22346" xr:uid="{00000000-0005-0000-0000-00007A570000}"/>
    <cellStyle name="Comma 3 5 9 6" xfId="25552" xr:uid="{00000000-0005-0000-0000-000000640000}"/>
    <cellStyle name="Comma 3 5 9 7" xfId="27448" xr:uid="{00000000-0005-0000-0000-0000686B0000}"/>
    <cellStyle name="Comma 3 5 9 8" xfId="27451" xr:uid="{00000000-0005-0000-0000-00006B6B0000}"/>
    <cellStyle name="Comma 3 5 9 9" xfId="27454" xr:uid="{00000000-0005-0000-0000-00006E6B0000}"/>
    <cellStyle name="Comma 3 6" xfId="27455" xr:uid="{00000000-0005-0000-0000-00006F6B0000}"/>
    <cellStyle name="Comma 3 6 10" xfId="27456" xr:uid="{00000000-0005-0000-0000-0000706B0000}"/>
    <cellStyle name="Comma 3 6 10 2" xfId="27459" xr:uid="{00000000-0005-0000-0000-0000736B0000}"/>
    <cellStyle name="Comma 3 6 10 3" xfId="27461" xr:uid="{00000000-0005-0000-0000-0000756B0000}"/>
    <cellStyle name="Comma 3 6 10 4" xfId="27462" xr:uid="{00000000-0005-0000-0000-0000766B0000}"/>
    <cellStyle name="Comma 3 6 10 5" xfId="27463" xr:uid="{00000000-0005-0000-0000-0000776B0000}"/>
    <cellStyle name="Comma 3 6 10 6" xfId="3265" xr:uid="{00000000-0005-0000-0000-0000F10C0000}"/>
    <cellStyle name="Comma 3 6 11" xfId="27464" xr:uid="{00000000-0005-0000-0000-0000786B0000}"/>
    <cellStyle name="Comma 3 6 11 2" xfId="27465" xr:uid="{00000000-0005-0000-0000-0000796B0000}"/>
    <cellStyle name="Comma 3 6 11 3" xfId="27469" xr:uid="{00000000-0005-0000-0000-00007D6B0000}"/>
    <cellStyle name="Comma 3 6 11 4" xfId="27473" xr:uid="{00000000-0005-0000-0000-0000816B0000}"/>
    <cellStyle name="Comma 3 6 11 5" xfId="27478" xr:uid="{00000000-0005-0000-0000-0000866B0000}"/>
    <cellStyle name="Comma 3 6 11 6" xfId="27480" xr:uid="{00000000-0005-0000-0000-0000886B0000}"/>
    <cellStyle name="Comma 3 6 12" xfId="27481" xr:uid="{00000000-0005-0000-0000-0000896B0000}"/>
    <cellStyle name="Comma 3 6 13" xfId="25030" xr:uid="{00000000-0005-0000-0000-0000F6610000}"/>
    <cellStyle name="Comma 3 6 14" xfId="18066" xr:uid="{00000000-0005-0000-0000-0000C2460000}"/>
    <cellStyle name="Comma 3 6 15" xfId="18079" xr:uid="{00000000-0005-0000-0000-0000CF460000}"/>
    <cellStyle name="Comma 3 6 16" xfId="18096" xr:uid="{00000000-0005-0000-0000-0000E0460000}"/>
    <cellStyle name="Comma 3 6 17" xfId="18108" xr:uid="{00000000-0005-0000-0000-0000EC460000}"/>
    <cellStyle name="Comma 3 6 18" xfId="18119" xr:uid="{00000000-0005-0000-0000-0000F7460000}"/>
    <cellStyle name="Comma 3 6 19" xfId="18133" xr:uid="{00000000-0005-0000-0000-000005470000}"/>
    <cellStyle name="Comma 3 6 2" xfId="18696" xr:uid="{00000000-0005-0000-0000-000038490000}"/>
    <cellStyle name="Comma 3 6 2 10" xfId="10083" xr:uid="{00000000-0005-0000-0000-000093270000}"/>
    <cellStyle name="Comma 3 6 2 11" xfId="26903" xr:uid="{00000000-0005-0000-0000-000047690000}"/>
    <cellStyle name="Comma 3 6 2 12" xfId="26906" xr:uid="{00000000-0005-0000-0000-00004A690000}"/>
    <cellStyle name="Comma 3 6 2 13" xfId="25854" xr:uid="{00000000-0005-0000-0000-00002E650000}"/>
    <cellStyle name="Comma 3 6 2 14" xfId="27482" xr:uid="{00000000-0005-0000-0000-00008A6B0000}"/>
    <cellStyle name="Comma 3 6 2 15" xfId="27483" xr:uid="{00000000-0005-0000-0000-00008B6B0000}"/>
    <cellStyle name="Comma 3 6 2 16" xfId="17556" xr:uid="{00000000-0005-0000-0000-0000C4440000}"/>
    <cellStyle name="Comma 3 6 2 17" xfId="27485" xr:uid="{00000000-0005-0000-0000-00008D6B0000}"/>
    <cellStyle name="Comma 3 6 2 18" xfId="27488" xr:uid="{00000000-0005-0000-0000-0000906B0000}"/>
    <cellStyle name="Comma 3 6 2 2" xfId="27489" xr:uid="{00000000-0005-0000-0000-0000916B0000}"/>
    <cellStyle name="Comma 3 6 2 2 10" xfId="23354" xr:uid="{00000000-0005-0000-0000-00006A5B0000}"/>
    <cellStyle name="Comma 3 6 2 2 11" xfId="27492" xr:uid="{00000000-0005-0000-0000-0000946B0000}"/>
    <cellStyle name="Comma 3 6 2 2 12" xfId="27494" xr:uid="{00000000-0005-0000-0000-0000966B0000}"/>
    <cellStyle name="Comma 3 6 2 2 2" xfId="18472" xr:uid="{00000000-0005-0000-0000-000058480000}"/>
    <cellStyle name="Comma 3 6 2 2 2 2" xfId="27497" xr:uid="{00000000-0005-0000-0000-0000996B0000}"/>
    <cellStyle name="Comma 3 6 2 2 2 2 2" xfId="27500" xr:uid="{00000000-0005-0000-0000-00009C6B0000}"/>
    <cellStyle name="Comma 3 6 2 2 2 3" xfId="27504" xr:uid="{00000000-0005-0000-0000-0000A06B0000}"/>
    <cellStyle name="Comma 3 6 2 2 2 4" xfId="27508" xr:uid="{00000000-0005-0000-0000-0000A46B0000}"/>
    <cellStyle name="Comma 3 6 2 2 2 5" xfId="27512" xr:uid="{00000000-0005-0000-0000-0000A86B0000}"/>
    <cellStyle name="Comma 3 6 2 2 3" xfId="10009" xr:uid="{00000000-0005-0000-0000-000049270000}"/>
    <cellStyle name="Comma 3 6 2 2 3 2" xfId="27513" xr:uid="{00000000-0005-0000-0000-0000A96B0000}"/>
    <cellStyle name="Comma 3 6 2 2 4" xfId="18476" xr:uid="{00000000-0005-0000-0000-00005C480000}"/>
    <cellStyle name="Comma 3 6 2 2 5" xfId="18480" xr:uid="{00000000-0005-0000-0000-000060480000}"/>
    <cellStyle name="Comma 3 6 2 2 6" xfId="27516" xr:uid="{00000000-0005-0000-0000-0000AC6B0000}"/>
    <cellStyle name="Comma 3 6 2 2 7" xfId="27517" xr:uid="{00000000-0005-0000-0000-0000AD6B0000}"/>
    <cellStyle name="Comma 3 6 2 2 8" xfId="27518" xr:uid="{00000000-0005-0000-0000-0000AE6B0000}"/>
    <cellStyle name="Comma 3 6 2 2 9" xfId="27519" xr:uid="{00000000-0005-0000-0000-0000AF6B0000}"/>
    <cellStyle name="Comma 3 6 2 3" xfId="27521" xr:uid="{00000000-0005-0000-0000-0000B16B0000}"/>
    <cellStyle name="Comma 3 6 2 3 10" xfId="16816" xr:uid="{00000000-0005-0000-0000-0000E0410000}"/>
    <cellStyle name="Comma 3 6 2 3 11" xfId="17522" xr:uid="{00000000-0005-0000-0000-0000A2440000}"/>
    <cellStyle name="Comma 3 6 2 3 12" xfId="17527" xr:uid="{00000000-0005-0000-0000-0000A7440000}"/>
    <cellStyle name="Comma 3 6 2 3 2" xfId="18497" xr:uid="{00000000-0005-0000-0000-000071480000}"/>
    <cellStyle name="Comma 3 6 2 3 2 2" xfId="27525" xr:uid="{00000000-0005-0000-0000-0000B56B0000}"/>
    <cellStyle name="Comma 3 6 2 3 2 2 2" xfId="14677" xr:uid="{00000000-0005-0000-0000-000085390000}"/>
    <cellStyle name="Comma 3 6 2 3 2 3" xfId="27531" xr:uid="{00000000-0005-0000-0000-0000BB6B0000}"/>
    <cellStyle name="Comma 3 6 2 3 2 4" xfId="27537" xr:uid="{00000000-0005-0000-0000-0000C16B0000}"/>
    <cellStyle name="Comma 3 6 2 3 2 5" xfId="26227" xr:uid="{00000000-0005-0000-0000-0000A3660000}"/>
    <cellStyle name="Comma 3 6 2 3 3" xfId="27539" xr:uid="{00000000-0005-0000-0000-0000C36B0000}"/>
    <cellStyle name="Comma 3 6 2 3 3 2" xfId="17125" xr:uid="{00000000-0005-0000-0000-000015430000}"/>
    <cellStyle name="Comma 3 6 2 3 4" xfId="27543" xr:uid="{00000000-0005-0000-0000-0000C76B0000}"/>
    <cellStyle name="Comma 3 6 2 3 5" xfId="1689" xr:uid="{00000000-0005-0000-0000-0000C9060000}"/>
    <cellStyle name="Comma 3 6 2 3 6" xfId="1716" xr:uid="{00000000-0005-0000-0000-0000E4060000}"/>
    <cellStyle name="Comma 3 6 2 3 7" xfId="1749" xr:uid="{00000000-0005-0000-0000-000005070000}"/>
    <cellStyle name="Comma 3 6 2 3 8" xfId="1772" xr:uid="{00000000-0005-0000-0000-00001C070000}"/>
    <cellStyle name="Comma 3 6 2 3 9" xfId="44" xr:uid="{00000000-0005-0000-0000-00002F000000}"/>
    <cellStyle name="Comma 3 6 2 4" xfId="27548" xr:uid="{00000000-0005-0000-0000-0000CC6B0000}"/>
    <cellStyle name="Comma 3 6 2 4 10" xfId="18907" xr:uid="{00000000-0005-0000-0000-00000B4A0000}"/>
    <cellStyle name="Comma 3 6 2 4 2" xfId="18518" xr:uid="{00000000-0005-0000-0000-000086480000}"/>
    <cellStyle name="Comma 3 6 2 4 2 2" xfId="27554" xr:uid="{00000000-0005-0000-0000-0000D26B0000}"/>
    <cellStyle name="Comma 3 6 2 4 2 2 2" xfId="27557" xr:uid="{00000000-0005-0000-0000-0000D56B0000}"/>
    <cellStyle name="Comma 3 6 2 4 2 3" xfId="27568" xr:uid="{00000000-0005-0000-0000-0000E06B0000}"/>
    <cellStyle name="Comma 3 6 2 4 2 4" xfId="27575" xr:uid="{00000000-0005-0000-0000-0000E76B0000}"/>
    <cellStyle name="Comma 3 6 2 4 2 5" xfId="27582" xr:uid="{00000000-0005-0000-0000-0000EE6B0000}"/>
    <cellStyle name="Comma 3 6 2 4 3" xfId="27584" xr:uid="{00000000-0005-0000-0000-0000F06B0000}"/>
    <cellStyle name="Comma 3 6 2 4 3 2" xfId="27592" xr:uid="{00000000-0005-0000-0000-0000F86B0000}"/>
    <cellStyle name="Comma 3 6 2 4 4" xfId="27597" xr:uid="{00000000-0005-0000-0000-0000FD6B0000}"/>
    <cellStyle name="Comma 3 6 2 4 5" xfId="344" xr:uid="{00000000-0005-0000-0000-00006F010000}"/>
    <cellStyle name="Comma 3 6 2 4 6" xfId="27605" xr:uid="{00000000-0005-0000-0000-0000056C0000}"/>
    <cellStyle name="Comma 3 6 2 4 7" xfId="27610" xr:uid="{00000000-0005-0000-0000-00000A6C0000}"/>
    <cellStyle name="Comma 3 6 2 4 8" xfId="27615" xr:uid="{00000000-0005-0000-0000-00000F6C0000}"/>
    <cellStyle name="Comma 3 6 2 4 9" xfId="27620" xr:uid="{00000000-0005-0000-0000-0000146C0000}"/>
    <cellStyle name="Comma 3 6 2 5" xfId="27622" xr:uid="{00000000-0005-0000-0000-0000166C0000}"/>
    <cellStyle name="Comma 3 6 2 5 10" xfId="18982" xr:uid="{00000000-0005-0000-0000-0000564A0000}"/>
    <cellStyle name="Comma 3 6 2 5 2" xfId="5866" xr:uid="{00000000-0005-0000-0000-00001A170000}"/>
    <cellStyle name="Comma 3 6 2 5 2 2" xfId="27629" xr:uid="{00000000-0005-0000-0000-00001D6C0000}"/>
    <cellStyle name="Comma 3 6 2 5 2 2 2" xfId="27634" xr:uid="{00000000-0005-0000-0000-0000226C0000}"/>
    <cellStyle name="Comma 3 6 2 5 2 3" xfId="27641" xr:uid="{00000000-0005-0000-0000-0000296C0000}"/>
    <cellStyle name="Comma 3 6 2 5 2 4" xfId="27648" xr:uid="{00000000-0005-0000-0000-0000306C0000}"/>
    <cellStyle name="Comma 3 6 2 5 2 5" xfId="27655" xr:uid="{00000000-0005-0000-0000-0000376C0000}"/>
    <cellStyle name="Comma 3 6 2 5 3" xfId="27656" xr:uid="{00000000-0005-0000-0000-0000386C0000}"/>
    <cellStyle name="Comma 3 6 2 5 3 2" xfId="27662" xr:uid="{00000000-0005-0000-0000-00003E6C0000}"/>
    <cellStyle name="Comma 3 6 2 5 4" xfId="21541" xr:uid="{00000000-0005-0000-0000-000055540000}"/>
    <cellStyle name="Comma 3 6 2 5 5" xfId="1830" xr:uid="{00000000-0005-0000-0000-000056070000}"/>
    <cellStyle name="Comma 3 6 2 5 6" xfId="27665" xr:uid="{00000000-0005-0000-0000-0000416C0000}"/>
    <cellStyle name="Comma 3 6 2 5 7" xfId="27670" xr:uid="{00000000-0005-0000-0000-0000466C0000}"/>
    <cellStyle name="Comma 3 6 2 5 8" xfId="22368" xr:uid="{00000000-0005-0000-0000-000090570000}"/>
    <cellStyle name="Comma 3 6 2 5 9" xfId="27674" xr:uid="{00000000-0005-0000-0000-00004A6C0000}"/>
    <cellStyle name="Comma 3 6 2 6" xfId="27675" xr:uid="{00000000-0005-0000-0000-00004B6C0000}"/>
    <cellStyle name="Comma 3 6 2 6 2" xfId="18531" xr:uid="{00000000-0005-0000-0000-000093480000}"/>
    <cellStyle name="Comma 3 6 2 6 2 2" xfId="27682" xr:uid="{00000000-0005-0000-0000-0000526C0000}"/>
    <cellStyle name="Comma 3 6 2 6 3" xfId="27684" xr:uid="{00000000-0005-0000-0000-0000546C0000}"/>
    <cellStyle name="Comma 3 6 2 6 4" xfId="27689" xr:uid="{00000000-0005-0000-0000-0000596C0000}"/>
    <cellStyle name="Comma 3 6 2 6 5" xfId="1602" xr:uid="{00000000-0005-0000-0000-000072060000}"/>
    <cellStyle name="Comma 3 6 2 6 6" xfId="27695" xr:uid="{00000000-0005-0000-0000-00005F6C0000}"/>
    <cellStyle name="Comma 3 6 2 6 7" xfId="27699" xr:uid="{00000000-0005-0000-0000-0000636C0000}"/>
    <cellStyle name="Comma 3 6 2 6 8" xfId="27701" xr:uid="{00000000-0005-0000-0000-0000656C0000}"/>
    <cellStyle name="Comma 3 6 2 6 9" xfId="27706" xr:uid="{00000000-0005-0000-0000-00006A6C0000}"/>
    <cellStyle name="Comma 3 6 2 7" xfId="27709" xr:uid="{00000000-0005-0000-0000-00006D6C0000}"/>
    <cellStyle name="Comma 3 6 2 7 2" xfId="27716" xr:uid="{00000000-0005-0000-0000-0000746C0000}"/>
    <cellStyle name="Comma 3 6 2 8" xfId="27719" xr:uid="{00000000-0005-0000-0000-0000776C0000}"/>
    <cellStyle name="Comma 3 6 2 9" xfId="27724" xr:uid="{00000000-0005-0000-0000-00007C6C0000}"/>
    <cellStyle name="Comma 3 6 20" xfId="18080" xr:uid="{00000000-0005-0000-0000-0000D0460000}"/>
    <cellStyle name="Comma 3 6 21" xfId="18097" xr:uid="{00000000-0005-0000-0000-0000E1460000}"/>
    <cellStyle name="Comma 3 6 22" xfId="18109" xr:uid="{00000000-0005-0000-0000-0000ED460000}"/>
    <cellStyle name="Comma 3 6 23" xfId="18120" xr:uid="{00000000-0005-0000-0000-0000F8460000}"/>
    <cellStyle name="Comma 3 6 3" xfId="27729" xr:uid="{00000000-0005-0000-0000-0000816C0000}"/>
    <cellStyle name="Comma 3 6 3 10" xfId="27730" xr:uid="{00000000-0005-0000-0000-0000826C0000}"/>
    <cellStyle name="Comma 3 6 3 11" xfId="27731" xr:uid="{00000000-0005-0000-0000-0000836C0000}"/>
    <cellStyle name="Comma 3 6 3 12" xfId="27732" xr:uid="{00000000-0005-0000-0000-0000846C0000}"/>
    <cellStyle name="Comma 3 6 3 13" xfId="27733" xr:uid="{00000000-0005-0000-0000-0000856C0000}"/>
    <cellStyle name="Comma 3 6 3 14" xfId="27735" xr:uid="{00000000-0005-0000-0000-0000876C0000}"/>
    <cellStyle name="Comma 3 6 3 15" xfId="27737" xr:uid="{00000000-0005-0000-0000-0000896C0000}"/>
    <cellStyle name="Comma 3 6 3 16" xfId="27739" xr:uid="{00000000-0005-0000-0000-00008B6C0000}"/>
    <cellStyle name="Comma 3 6 3 17" xfId="27741" xr:uid="{00000000-0005-0000-0000-00008D6C0000}"/>
    <cellStyle name="Comma 3 6 3 18" xfId="27743" xr:uid="{00000000-0005-0000-0000-00008F6C0000}"/>
    <cellStyle name="Comma 3 6 3 2" xfId="27744" xr:uid="{00000000-0005-0000-0000-0000906C0000}"/>
    <cellStyle name="Comma 3 6 3 2 10" xfId="27745" xr:uid="{00000000-0005-0000-0000-0000916C0000}"/>
    <cellStyle name="Comma 3 6 3 2 2" xfId="18577" xr:uid="{00000000-0005-0000-0000-0000C1480000}"/>
    <cellStyle name="Comma 3 6 3 2 2 2" xfId="27747" xr:uid="{00000000-0005-0000-0000-0000936C0000}"/>
    <cellStyle name="Comma 3 6 3 2 3" xfId="18580" xr:uid="{00000000-0005-0000-0000-0000C4480000}"/>
    <cellStyle name="Comma 3 6 3 2 4" xfId="18583" xr:uid="{00000000-0005-0000-0000-0000C7480000}"/>
    <cellStyle name="Comma 3 6 3 2 5" xfId="18586" xr:uid="{00000000-0005-0000-0000-0000CA480000}"/>
    <cellStyle name="Comma 3 6 3 2 6" xfId="27748" xr:uid="{00000000-0005-0000-0000-0000946C0000}"/>
    <cellStyle name="Comma 3 6 3 2 7" xfId="27749" xr:uid="{00000000-0005-0000-0000-0000956C0000}"/>
    <cellStyle name="Comma 3 6 3 2 8" xfId="27750" xr:uid="{00000000-0005-0000-0000-0000966C0000}"/>
    <cellStyle name="Comma 3 6 3 2 9" xfId="27751" xr:uid="{00000000-0005-0000-0000-0000976C0000}"/>
    <cellStyle name="Comma 3 6 3 3" xfId="27752" xr:uid="{00000000-0005-0000-0000-0000986C0000}"/>
    <cellStyle name="Comma 3 6 3 3 2" xfId="81" xr:uid="{00000000-0005-0000-0000-000056000000}"/>
    <cellStyle name="Comma 3 6 3 3 3" xfId="27753" xr:uid="{00000000-0005-0000-0000-0000996C0000}"/>
    <cellStyle name="Comma 3 6 3 3 4" xfId="27754" xr:uid="{00000000-0005-0000-0000-00009A6C0000}"/>
    <cellStyle name="Comma 3 6 3 3 5" xfId="654" xr:uid="{00000000-0005-0000-0000-0000BC020000}"/>
    <cellStyle name="Comma 3 6 3 3 6" xfId="27755" xr:uid="{00000000-0005-0000-0000-00009B6C0000}"/>
    <cellStyle name="Comma 3 6 3 4" xfId="27757" xr:uid="{00000000-0005-0000-0000-00009D6C0000}"/>
    <cellStyle name="Comma 3 6 3 4 2" xfId="27760" xr:uid="{00000000-0005-0000-0000-0000A06C0000}"/>
    <cellStyle name="Comma 3 6 3 4 3" xfId="27764" xr:uid="{00000000-0005-0000-0000-0000A46C0000}"/>
    <cellStyle name="Comma 3 6 3 4 4" xfId="27769" xr:uid="{00000000-0005-0000-0000-0000A96C0000}"/>
    <cellStyle name="Comma 3 6 3 4 5" xfId="2692" xr:uid="{00000000-0005-0000-0000-0000B40A0000}"/>
    <cellStyle name="Comma 3 6 3 4 6" xfId="21092" xr:uid="{00000000-0005-0000-0000-000094520000}"/>
    <cellStyle name="Comma 3 6 3 5" xfId="27771" xr:uid="{00000000-0005-0000-0000-0000AB6C0000}"/>
    <cellStyle name="Comma 3 6 3 5 2" xfId="27773" xr:uid="{00000000-0005-0000-0000-0000AD6C0000}"/>
    <cellStyle name="Comma 3 6 3 5 3" xfId="27775" xr:uid="{00000000-0005-0000-0000-0000AF6C0000}"/>
    <cellStyle name="Comma 3 6 3 5 4" xfId="27778" xr:uid="{00000000-0005-0000-0000-0000B26C0000}"/>
    <cellStyle name="Comma 3 6 3 5 5" xfId="712" xr:uid="{00000000-0005-0000-0000-0000F8020000}"/>
    <cellStyle name="Comma 3 6 3 5 6" xfId="27780" xr:uid="{00000000-0005-0000-0000-0000B46C0000}"/>
    <cellStyle name="Comma 3 6 3 6" xfId="27782" xr:uid="{00000000-0005-0000-0000-0000B66C0000}"/>
    <cellStyle name="Comma 3 6 3 6 2" xfId="27784" xr:uid="{00000000-0005-0000-0000-0000B86C0000}"/>
    <cellStyle name="Comma 3 6 3 6 3" xfId="27786" xr:uid="{00000000-0005-0000-0000-0000BA6C0000}"/>
    <cellStyle name="Comma 3 6 3 6 4" xfId="27789" xr:uid="{00000000-0005-0000-0000-0000BD6C0000}"/>
    <cellStyle name="Comma 3 6 3 6 5" xfId="3097" xr:uid="{00000000-0005-0000-0000-0000490C0000}"/>
    <cellStyle name="Comma 3 6 3 6 6" xfId="27791" xr:uid="{00000000-0005-0000-0000-0000BF6C0000}"/>
    <cellStyle name="Comma 3 6 3 7" xfId="27793" xr:uid="{00000000-0005-0000-0000-0000C16C0000}"/>
    <cellStyle name="Comma 3 6 3 8" xfId="27795" xr:uid="{00000000-0005-0000-0000-0000C36C0000}"/>
    <cellStyle name="Comma 3 6 3 9" xfId="27797" xr:uid="{00000000-0005-0000-0000-0000C56C0000}"/>
    <cellStyle name="Comma 3 6 4" xfId="27798" xr:uid="{00000000-0005-0000-0000-0000C66C0000}"/>
    <cellStyle name="Comma 3 6 4 10" xfId="12155" xr:uid="{00000000-0005-0000-0000-0000AB2F0000}"/>
    <cellStyle name="Comma 3 6 4 11" xfId="12167" xr:uid="{00000000-0005-0000-0000-0000B72F0000}"/>
    <cellStyle name="Comma 3 6 4 12" xfId="12179" xr:uid="{00000000-0005-0000-0000-0000C32F0000}"/>
    <cellStyle name="Comma 3 6 4 13" xfId="4654" xr:uid="{00000000-0005-0000-0000-00005E120000}"/>
    <cellStyle name="Comma 3 6 4 14" xfId="12187" xr:uid="{00000000-0005-0000-0000-0000CB2F0000}"/>
    <cellStyle name="Comma 3 6 4 15" xfId="7143" xr:uid="{00000000-0005-0000-0000-0000171C0000}"/>
    <cellStyle name="Comma 3 6 4 2" xfId="27799" xr:uid="{00000000-0005-0000-0000-0000C76C0000}"/>
    <cellStyle name="Comma 3 6 4 2 2" xfId="4130" xr:uid="{00000000-0005-0000-0000-000052100000}"/>
    <cellStyle name="Comma 3 6 4 2 2 2" xfId="27801" xr:uid="{00000000-0005-0000-0000-0000C96C0000}"/>
    <cellStyle name="Comma 3 6 4 2 3" xfId="1043" xr:uid="{00000000-0005-0000-0000-000043040000}"/>
    <cellStyle name="Comma 3 6 4 2 4" xfId="4157" xr:uid="{00000000-0005-0000-0000-00006D100000}"/>
    <cellStyle name="Comma 3 6 4 2 5" xfId="4168" xr:uid="{00000000-0005-0000-0000-000078100000}"/>
    <cellStyle name="Comma 3 6 4 2 6" xfId="15880" xr:uid="{00000000-0005-0000-0000-0000383E0000}"/>
    <cellStyle name="Comma 3 6 4 2 7" xfId="4412" xr:uid="{00000000-0005-0000-0000-00006C110000}"/>
    <cellStyle name="Comma 3 6 4 2 8" xfId="15887" xr:uid="{00000000-0005-0000-0000-00003F3E0000}"/>
    <cellStyle name="Comma 3 6 4 2 9" xfId="27802" xr:uid="{00000000-0005-0000-0000-0000CA6C0000}"/>
    <cellStyle name="Comma 3 6 4 3" xfId="27803" xr:uid="{00000000-0005-0000-0000-0000CB6C0000}"/>
    <cellStyle name="Comma 3 6 4 3 2" xfId="18631" xr:uid="{00000000-0005-0000-0000-0000F7480000}"/>
    <cellStyle name="Comma 3 6 4 3 3" xfId="27804" xr:uid="{00000000-0005-0000-0000-0000CC6C0000}"/>
    <cellStyle name="Comma 3 6 4 3 4" xfId="17866" xr:uid="{00000000-0005-0000-0000-0000FA450000}"/>
    <cellStyle name="Comma 3 6 4 3 5" xfId="27805" xr:uid="{00000000-0005-0000-0000-0000CD6C0000}"/>
    <cellStyle name="Comma 3 6 4 3 6" xfId="27806" xr:uid="{00000000-0005-0000-0000-0000CE6C0000}"/>
    <cellStyle name="Comma 3 6 4 4" xfId="27809" xr:uid="{00000000-0005-0000-0000-0000D16C0000}"/>
    <cellStyle name="Comma 3 6 4 4 2" xfId="27812" xr:uid="{00000000-0005-0000-0000-0000D46C0000}"/>
    <cellStyle name="Comma 3 6 4 5" xfId="4238" xr:uid="{00000000-0005-0000-0000-0000BE100000}"/>
    <cellStyle name="Comma 3 6 4 6" xfId="2460" xr:uid="{00000000-0005-0000-0000-0000CC090000}"/>
    <cellStyle name="Comma 3 6 4 7" xfId="355" xr:uid="{00000000-0005-0000-0000-00007B010000}"/>
    <cellStyle name="Comma 3 6 4 8" xfId="2086" xr:uid="{00000000-0005-0000-0000-000056080000}"/>
    <cellStyle name="Comma 3 6 4 9" xfId="2266" xr:uid="{00000000-0005-0000-0000-00000A090000}"/>
    <cellStyle name="Comma 3 6 5" xfId="27813" xr:uid="{00000000-0005-0000-0000-0000D56C0000}"/>
    <cellStyle name="Comma 3 6 5 10" xfId="27814" xr:uid="{00000000-0005-0000-0000-0000D66C0000}"/>
    <cellStyle name="Comma 3 6 5 11" xfId="27816" xr:uid="{00000000-0005-0000-0000-0000D86C0000}"/>
    <cellStyle name="Comma 3 6 5 12" xfId="27817" xr:uid="{00000000-0005-0000-0000-0000D96C0000}"/>
    <cellStyle name="Comma 3 6 5 13" xfId="4741" xr:uid="{00000000-0005-0000-0000-0000B5120000}"/>
    <cellStyle name="Comma 3 6 5 14" xfId="27818" xr:uid="{00000000-0005-0000-0000-0000DA6C0000}"/>
    <cellStyle name="Comma 3 6 5 2" xfId="27821" xr:uid="{00000000-0005-0000-0000-0000DD6C0000}"/>
    <cellStyle name="Comma 3 6 5 2 2" xfId="18665" xr:uid="{00000000-0005-0000-0000-000019490000}"/>
    <cellStyle name="Comma 3 6 5 2 2 2" xfId="27822" xr:uid="{00000000-0005-0000-0000-0000DE6C0000}"/>
    <cellStyle name="Comma 3 6 5 2 3" xfId="12832" xr:uid="{00000000-0005-0000-0000-000050320000}"/>
    <cellStyle name="Comma 3 6 5 2 4" xfId="12836" xr:uid="{00000000-0005-0000-0000-000054320000}"/>
    <cellStyle name="Comma 3 6 5 2 5" xfId="12841" xr:uid="{00000000-0005-0000-0000-000059320000}"/>
    <cellStyle name="Comma 3 6 5 2 6" xfId="12847" xr:uid="{00000000-0005-0000-0000-00005F320000}"/>
    <cellStyle name="Comma 3 6 5 2 7" xfId="12852" xr:uid="{00000000-0005-0000-0000-000064320000}"/>
    <cellStyle name="Comma 3 6 5 2 8" xfId="27823" xr:uid="{00000000-0005-0000-0000-0000DF6C0000}"/>
    <cellStyle name="Comma 3 6 5 2 9" xfId="27824" xr:uid="{00000000-0005-0000-0000-0000E06C0000}"/>
    <cellStyle name="Comma 3 6 5 3" xfId="27825" xr:uid="{00000000-0005-0000-0000-0000E16C0000}"/>
    <cellStyle name="Comma 3 6 5 3 2" xfId="18688" xr:uid="{00000000-0005-0000-0000-000030490000}"/>
    <cellStyle name="Comma 3 6 5 3 3" xfId="27827" xr:uid="{00000000-0005-0000-0000-0000E36C0000}"/>
    <cellStyle name="Comma 3 6 5 3 4" xfId="17887" xr:uid="{00000000-0005-0000-0000-00000F460000}"/>
    <cellStyle name="Comma 3 6 5 3 5" xfId="27831" xr:uid="{00000000-0005-0000-0000-0000E76C0000}"/>
    <cellStyle name="Comma 3 6 5 3 6" xfId="27834" xr:uid="{00000000-0005-0000-0000-0000EA6C0000}"/>
    <cellStyle name="Comma 3 6 5 4" xfId="27836" xr:uid="{00000000-0005-0000-0000-0000EC6C0000}"/>
    <cellStyle name="Comma 3 6 5 4 2" xfId="27837" xr:uid="{00000000-0005-0000-0000-0000ED6C0000}"/>
    <cellStyle name="Comma 3 6 5 5" xfId="4594" xr:uid="{00000000-0005-0000-0000-000022120000}"/>
    <cellStyle name="Comma 3 6 5 6" xfId="27841" xr:uid="{00000000-0005-0000-0000-0000F16C0000}"/>
    <cellStyle name="Comma 3 6 5 7" xfId="27843" xr:uid="{00000000-0005-0000-0000-0000F36C0000}"/>
    <cellStyle name="Comma 3 6 5 8" xfId="27845" xr:uid="{00000000-0005-0000-0000-0000F56C0000}"/>
    <cellStyle name="Comma 3 6 5 9" xfId="27847" xr:uid="{00000000-0005-0000-0000-0000F76C0000}"/>
    <cellStyle name="Comma 3 6 6" xfId="13731" xr:uid="{00000000-0005-0000-0000-0000D3350000}"/>
    <cellStyle name="Comma 3 6 6 10" xfId="27848" xr:uid="{00000000-0005-0000-0000-0000F86C0000}"/>
    <cellStyle name="Comma 3 6 6 11" xfId="27851" xr:uid="{00000000-0005-0000-0000-0000FB6C0000}"/>
    <cellStyle name="Comma 3 6 6 12" xfId="27853" xr:uid="{00000000-0005-0000-0000-0000FD6C0000}"/>
    <cellStyle name="Comma 3 6 6 2" xfId="25666" xr:uid="{00000000-0005-0000-0000-000072640000}"/>
    <cellStyle name="Comma 3 6 6 2 2" xfId="25668" xr:uid="{00000000-0005-0000-0000-000074640000}"/>
    <cellStyle name="Comma 3 6 6 2 2 2" xfId="25670" xr:uid="{00000000-0005-0000-0000-000076640000}"/>
    <cellStyle name="Comma 3 6 6 2 3" xfId="25678" xr:uid="{00000000-0005-0000-0000-00007E640000}"/>
    <cellStyle name="Comma 3 6 6 2 4" xfId="17917" xr:uid="{00000000-0005-0000-0000-00002D460000}"/>
    <cellStyle name="Comma 3 6 6 2 5" xfId="17289" xr:uid="{00000000-0005-0000-0000-0000B9430000}"/>
    <cellStyle name="Comma 3 6 6 2 6" xfId="15993" xr:uid="{00000000-0005-0000-0000-0000A93E0000}"/>
    <cellStyle name="Comma 3 6 6 2 7" xfId="15997" xr:uid="{00000000-0005-0000-0000-0000AD3E0000}"/>
    <cellStyle name="Comma 3 6 6 2 8" xfId="25682" xr:uid="{00000000-0005-0000-0000-000082640000}"/>
    <cellStyle name="Comma 3 6 6 2 9" xfId="25684" xr:uid="{00000000-0005-0000-0000-000084640000}"/>
    <cellStyle name="Comma 3 6 6 3" xfId="25688" xr:uid="{00000000-0005-0000-0000-000088640000}"/>
    <cellStyle name="Comma 3 6 6 3 2" xfId="25691" xr:uid="{00000000-0005-0000-0000-00008B640000}"/>
    <cellStyle name="Comma 3 6 6 3 3" xfId="25694" xr:uid="{00000000-0005-0000-0000-00008E640000}"/>
    <cellStyle name="Comma 3 6 6 3 4" xfId="17924" xr:uid="{00000000-0005-0000-0000-000034460000}"/>
    <cellStyle name="Comma 3 6 6 3 5" xfId="25696" xr:uid="{00000000-0005-0000-0000-000090640000}"/>
    <cellStyle name="Comma 3 6 6 3 6" xfId="25698" xr:uid="{00000000-0005-0000-0000-000092640000}"/>
    <cellStyle name="Comma 3 6 6 4" xfId="25705" xr:uid="{00000000-0005-0000-0000-000099640000}"/>
    <cellStyle name="Comma 3 6 6 4 2" xfId="25707" xr:uid="{00000000-0005-0000-0000-00009B640000}"/>
    <cellStyle name="Comma 3 6 6 5" xfId="1548" xr:uid="{00000000-0005-0000-0000-00003C060000}"/>
    <cellStyle name="Comma 3 6 6 6" xfId="1575" xr:uid="{00000000-0005-0000-0000-000057060000}"/>
    <cellStyle name="Comma 3 6 6 7" xfId="27855" xr:uid="{00000000-0005-0000-0000-0000FF6C0000}"/>
    <cellStyle name="Comma 3 6 6 8" xfId="27857" xr:uid="{00000000-0005-0000-0000-0000016D0000}"/>
    <cellStyle name="Comma 3 6 6 9" xfId="27859" xr:uid="{00000000-0005-0000-0000-0000036D0000}"/>
    <cellStyle name="Comma 3 6 7" xfId="27860" xr:uid="{00000000-0005-0000-0000-0000046D0000}"/>
    <cellStyle name="Comma 3 6 7 2" xfId="25723" xr:uid="{00000000-0005-0000-0000-0000AB640000}"/>
    <cellStyle name="Comma 3 6 7 2 2" xfId="23985" xr:uid="{00000000-0005-0000-0000-0000E15D0000}"/>
    <cellStyle name="Comma 3 6 7 3" xfId="25727" xr:uid="{00000000-0005-0000-0000-0000AF640000}"/>
    <cellStyle name="Comma 3 6 7 4" xfId="25732" xr:uid="{00000000-0005-0000-0000-0000B4640000}"/>
    <cellStyle name="Comma 3 6 7 5" xfId="1860" xr:uid="{00000000-0005-0000-0000-000074070000}"/>
    <cellStyle name="Comma 3 6 7 6" xfId="1934" xr:uid="{00000000-0005-0000-0000-0000BE070000}"/>
    <cellStyle name="Comma 3 6 7 7" xfId="27862" xr:uid="{00000000-0005-0000-0000-0000066D0000}"/>
    <cellStyle name="Comma 3 6 7 8" xfId="27866" xr:uid="{00000000-0005-0000-0000-00000A6D0000}"/>
    <cellStyle name="Comma 3 6 7 9" xfId="27869" xr:uid="{00000000-0005-0000-0000-00000D6D0000}"/>
    <cellStyle name="Comma 3 6 8" xfId="27873" xr:uid="{00000000-0005-0000-0000-0000116D0000}"/>
    <cellStyle name="Comma 3 6 8 2" xfId="25744" xr:uid="{00000000-0005-0000-0000-0000C0640000}"/>
    <cellStyle name="Comma 3 6 8 3" xfId="25747" xr:uid="{00000000-0005-0000-0000-0000C3640000}"/>
    <cellStyle name="Comma 3 6 8 4" xfId="25641" xr:uid="{00000000-0005-0000-0000-000059640000}"/>
    <cellStyle name="Comma 3 6 8 5" xfId="5639" xr:uid="{00000000-0005-0000-0000-000037160000}"/>
    <cellStyle name="Comma 3 6 8 6" xfId="816" xr:uid="{00000000-0005-0000-0000-000060030000}"/>
    <cellStyle name="Comma 3 6 9" xfId="27874" xr:uid="{00000000-0005-0000-0000-0000126D0000}"/>
    <cellStyle name="Comma 3 6 9 2" xfId="25760" xr:uid="{00000000-0005-0000-0000-0000D0640000}"/>
    <cellStyle name="Comma 3 6 9 3" xfId="25763" xr:uid="{00000000-0005-0000-0000-0000D3640000}"/>
    <cellStyle name="Comma 3 6 9 4" xfId="25766" xr:uid="{00000000-0005-0000-0000-0000D6640000}"/>
    <cellStyle name="Comma 3 6 9 5" xfId="5997" xr:uid="{00000000-0005-0000-0000-00009D170000}"/>
    <cellStyle name="Comma 3 6 9 6" xfId="1005" xr:uid="{00000000-0005-0000-0000-00001D040000}"/>
    <cellStyle name="Comma 3 7" xfId="27875" xr:uid="{00000000-0005-0000-0000-0000136D0000}"/>
    <cellStyle name="Comma 3 7 10" xfId="27876" xr:uid="{00000000-0005-0000-0000-0000146D0000}"/>
    <cellStyle name="Comma 3 7 10 2" xfId="27879" xr:uid="{00000000-0005-0000-0000-0000176D0000}"/>
    <cellStyle name="Comma 3 7 10 3" xfId="27881" xr:uid="{00000000-0005-0000-0000-0000196D0000}"/>
    <cellStyle name="Comma 3 7 10 4" xfId="27883" xr:uid="{00000000-0005-0000-0000-00001B6D0000}"/>
    <cellStyle name="Comma 3 7 10 5" xfId="27885" xr:uid="{00000000-0005-0000-0000-00001D6D0000}"/>
    <cellStyle name="Comma 3 7 10 6" xfId="4897" xr:uid="{00000000-0005-0000-0000-000051130000}"/>
    <cellStyle name="Comma 3 7 11" xfId="27886" xr:uid="{00000000-0005-0000-0000-00001E6D0000}"/>
    <cellStyle name="Comma 3 7 11 2" xfId="27887" xr:uid="{00000000-0005-0000-0000-00001F6D0000}"/>
    <cellStyle name="Comma 3 7 11 3" xfId="27890" xr:uid="{00000000-0005-0000-0000-0000226D0000}"/>
    <cellStyle name="Comma 3 7 11 4" xfId="27893" xr:uid="{00000000-0005-0000-0000-0000256D0000}"/>
    <cellStyle name="Comma 3 7 11 5" xfId="27896" xr:uid="{00000000-0005-0000-0000-0000286D0000}"/>
    <cellStyle name="Comma 3 7 11 6" xfId="27898" xr:uid="{00000000-0005-0000-0000-00002A6D0000}"/>
    <cellStyle name="Comma 3 7 12" xfId="27899" xr:uid="{00000000-0005-0000-0000-00002B6D0000}"/>
    <cellStyle name="Comma 3 7 13" xfId="27900" xr:uid="{00000000-0005-0000-0000-00002C6D0000}"/>
    <cellStyle name="Comma 3 7 14" xfId="27901" xr:uid="{00000000-0005-0000-0000-00002D6D0000}"/>
    <cellStyle name="Comma 3 7 15" xfId="27903" xr:uid="{00000000-0005-0000-0000-00002F6D0000}"/>
    <cellStyle name="Comma 3 7 16" xfId="27905" xr:uid="{00000000-0005-0000-0000-0000316D0000}"/>
    <cellStyle name="Comma 3 7 17" xfId="27907" xr:uid="{00000000-0005-0000-0000-0000336D0000}"/>
    <cellStyle name="Comma 3 7 18" xfId="24708" xr:uid="{00000000-0005-0000-0000-0000B4600000}"/>
    <cellStyle name="Comma 3 7 19" xfId="24711" xr:uid="{00000000-0005-0000-0000-0000B7600000}"/>
    <cellStyle name="Comma 3 7 2" xfId="18724" xr:uid="{00000000-0005-0000-0000-000054490000}"/>
    <cellStyle name="Comma 3 7 2 10" xfId="27910" xr:uid="{00000000-0005-0000-0000-0000366D0000}"/>
    <cellStyle name="Comma 3 7 2 11" xfId="27912" xr:uid="{00000000-0005-0000-0000-0000386D0000}"/>
    <cellStyle name="Comma 3 7 2 12" xfId="27914" xr:uid="{00000000-0005-0000-0000-00003A6D0000}"/>
    <cellStyle name="Comma 3 7 2 13" xfId="27917" xr:uid="{00000000-0005-0000-0000-00003D6D0000}"/>
    <cellStyle name="Comma 3 7 2 14" xfId="27919" xr:uid="{00000000-0005-0000-0000-00003F6D0000}"/>
    <cellStyle name="Comma 3 7 2 15" xfId="27921" xr:uid="{00000000-0005-0000-0000-0000416D0000}"/>
    <cellStyle name="Comma 3 7 2 16" xfId="27922" xr:uid="{00000000-0005-0000-0000-0000426D0000}"/>
    <cellStyle name="Comma 3 7 2 17" xfId="27923" xr:uid="{00000000-0005-0000-0000-0000436D0000}"/>
    <cellStyle name="Comma 3 7 2 18" xfId="27924" xr:uid="{00000000-0005-0000-0000-0000446D0000}"/>
    <cellStyle name="Comma 3 7 2 2" xfId="19867" xr:uid="{00000000-0005-0000-0000-0000CB4D0000}"/>
    <cellStyle name="Comma 3 7 2 2 10" xfId="26143" xr:uid="{00000000-0005-0000-0000-00004F660000}"/>
    <cellStyle name="Comma 3 7 2 2 11" xfId="27926" xr:uid="{00000000-0005-0000-0000-0000466D0000}"/>
    <cellStyle name="Comma 3 7 2 2 12" xfId="27928" xr:uid="{00000000-0005-0000-0000-0000486D0000}"/>
    <cellStyle name="Comma 3 7 2 2 2" xfId="18923" xr:uid="{00000000-0005-0000-0000-00001B4A0000}"/>
    <cellStyle name="Comma 3 7 2 2 2 2" xfId="21687" xr:uid="{00000000-0005-0000-0000-0000E7540000}"/>
    <cellStyle name="Comma 3 7 2 2 2 2 2" xfId="27929" xr:uid="{00000000-0005-0000-0000-0000496D0000}"/>
    <cellStyle name="Comma 3 7 2 2 2 3" xfId="21691" xr:uid="{00000000-0005-0000-0000-0000EB540000}"/>
    <cellStyle name="Comma 3 7 2 2 2 4" xfId="21694" xr:uid="{00000000-0005-0000-0000-0000EE540000}"/>
    <cellStyle name="Comma 3 7 2 2 2 5" xfId="21697" xr:uid="{00000000-0005-0000-0000-0000F1540000}"/>
    <cellStyle name="Comma 3 7 2 2 3" xfId="18924" xr:uid="{00000000-0005-0000-0000-00001C4A0000}"/>
    <cellStyle name="Comma 3 7 2 2 3 2" xfId="21707" xr:uid="{00000000-0005-0000-0000-0000FB540000}"/>
    <cellStyle name="Comma 3 7 2 2 4" xfId="18927" xr:uid="{00000000-0005-0000-0000-00001F4A0000}"/>
    <cellStyle name="Comma 3 7 2 2 5" xfId="18930" xr:uid="{00000000-0005-0000-0000-0000224A0000}"/>
    <cellStyle name="Comma 3 7 2 2 6" xfId="27930" xr:uid="{00000000-0005-0000-0000-00004A6D0000}"/>
    <cellStyle name="Comma 3 7 2 2 7" xfId="27932" xr:uid="{00000000-0005-0000-0000-00004C6D0000}"/>
    <cellStyle name="Comma 3 7 2 2 8" xfId="27934" xr:uid="{00000000-0005-0000-0000-00004E6D0000}"/>
    <cellStyle name="Comma 3 7 2 2 9" xfId="27936" xr:uid="{00000000-0005-0000-0000-0000506D0000}"/>
    <cellStyle name="Comma 3 7 2 3" xfId="27938" xr:uid="{00000000-0005-0000-0000-0000526D0000}"/>
    <cellStyle name="Comma 3 7 2 3 10" xfId="27940" xr:uid="{00000000-0005-0000-0000-0000546D0000}"/>
    <cellStyle name="Comma 3 7 2 3 11" xfId="24939" xr:uid="{00000000-0005-0000-0000-00009B610000}"/>
    <cellStyle name="Comma 3 7 2 3 12" xfId="24941" xr:uid="{00000000-0005-0000-0000-00009D610000}"/>
    <cellStyle name="Comma 3 7 2 3 2" xfId="18948" xr:uid="{00000000-0005-0000-0000-0000344A0000}"/>
    <cellStyle name="Comma 3 7 2 3 2 2" xfId="21735" xr:uid="{00000000-0005-0000-0000-000017550000}"/>
    <cellStyle name="Comma 3 7 2 3 2 2 2" xfId="27941" xr:uid="{00000000-0005-0000-0000-0000556D0000}"/>
    <cellStyle name="Comma 3 7 2 3 2 3" xfId="21744" xr:uid="{00000000-0005-0000-0000-000020550000}"/>
    <cellStyle name="Comma 3 7 2 3 2 4" xfId="21748" xr:uid="{00000000-0005-0000-0000-000024550000}"/>
    <cellStyle name="Comma 3 7 2 3 2 5" xfId="21756" xr:uid="{00000000-0005-0000-0000-00002C550000}"/>
    <cellStyle name="Comma 3 7 2 3 3" xfId="27942" xr:uid="{00000000-0005-0000-0000-0000566D0000}"/>
    <cellStyle name="Comma 3 7 2 3 3 2" xfId="21770" xr:uid="{00000000-0005-0000-0000-00003A550000}"/>
    <cellStyle name="Comma 3 7 2 3 4" xfId="27943" xr:uid="{00000000-0005-0000-0000-0000576D0000}"/>
    <cellStyle name="Comma 3 7 2 3 5" xfId="27944" xr:uid="{00000000-0005-0000-0000-0000586D0000}"/>
    <cellStyle name="Comma 3 7 2 3 6" xfId="27945" xr:uid="{00000000-0005-0000-0000-0000596D0000}"/>
    <cellStyle name="Comma 3 7 2 3 7" xfId="27947" xr:uid="{00000000-0005-0000-0000-00005B6D0000}"/>
    <cellStyle name="Comma 3 7 2 3 8" xfId="27949" xr:uid="{00000000-0005-0000-0000-00005D6D0000}"/>
    <cellStyle name="Comma 3 7 2 3 9" xfId="27951" xr:uid="{00000000-0005-0000-0000-00005F6D0000}"/>
    <cellStyle name="Comma 3 7 2 4" xfId="27952" xr:uid="{00000000-0005-0000-0000-0000606D0000}"/>
    <cellStyle name="Comma 3 7 2 4 10" xfId="27956" xr:uid="{00000000-0005-0000-0000-0000646D0000}"/>
    <cellStyle name="Comma 3 7 2 4 2" xfId="18956" xr:uid="{00000000-0005-0000-0000-00003C4A0000}"/>
    <cellStyle name="Comma 3 7 2 4 2 2" xfId="21810" xr:uid="{00000000-0005-0000-0000-000062550000}"/>
    <cellStyle name="Comma 3 7 2 4 2 2 2" xfId="27957" xr:uid="{00000000-0005-0000-0000-0000656D0000}"/>
    <cellStyle name="Comma 3 7 2 4 2 3" xfId="21823" xr:uid="{00000000-0005-0000-0000-00006F550000}"/>
    <cellStyle name="Comma 3 7 2 4 2 4" xfId="21831" xr:uid="{00000000-0005-0000-0000-000077550000}"/>
    <cellStyle name="Comma 3 7 2 4 2 5" xfId="21839" xr:uid="{00000000-0005-0000-0000-00007F550000}"/>
    <cellStyle name="Comma 3 7 2 4 3" xfId="27960" xr:uid="{00000000-0005-0000-0000-0000686D0000}"/>
    <cellStyle name="Comma 3 7 2 4 3 2" xfId="21873" xr:uid="{00000000-0005-0000-0000-0000A1550000}"/>
    <cellStyle name="Comma 3 7 2 4 4" xfId="27962" xr:uid="{00000000-0005-0000-0000-00006A6D0000}"/>
    <cellStyle name="Comma 3 7 2 4 5" xfId="27964" xr:uid="{00000000-0005-0000-0000-00006C6D0000}"/>
    <cellStyle name="Comma 3 7 2 4 6" xfId="27967" xr:uid="{00000000-0005-0000-0000-00006F6D0000}"/>
    <cellStyle name="Comma 3 7 2 4 7" xfId="27970" xr:uid="{00000000-0005-0000-0000-0000726D0000}"/>
    <cellStyle name="Comma 3 7 2 4 8" xfId="27972" xr:uid="{00000000-0005-0000-0000-0000746D0000}"/>
    <cellStyle name="Comma 3 7 2 4 9" xfId="27975" xr:uid="{00000000-0005-0000-0000-0000776D0000}"/>
    <cellStyle name="Comma 3 7 2 5" xfId="27976" xr:uid="{00000000-0005-0000-0000-0000786D0000}"/>
    <cellStyle name="Comma 3 7 2 5 10" xfId="27979" xr:uid="{00000000-0005-0000-0000-00007B6D0000}"/>
    <cellStyle name="Comma 3 7 2 5 2" xfId="18963" xr:uid="{00000000-0005-0000-0000-0000434A0000}"/>
    <cellStyle name="Comma 3 7 2 5 2 2" xfId="27981" xr:uid="{00000000-0005-0000-0000-00007D6D0000}"/>
    <cellStyle name="Comma 3 7 2 5 2 2 2" xfId="27983" xr:uid="{00000000-0005-0000-0000-00007F6D0000}"/>
    <cellStyle name="Comma 3 7 2 5 2 3" xfId="27986" xr:uid="{00000000-0005-0000-0000-0000826D0000}"/>
    <cellStyle name="Comma 3 7 2 5 2 4" xfId="27989" xr:uid="{00000000-0005-0000-0000-0000856D0000}"/>
    <cellStyle name="Comma 3 7 2 5 2 5" xfId="27992" xr:uid="{00000000-0005-0000-0000-0000886D0000}"/>
    <cellStyle name="Comma 3 7 2 5 3" xfId="27996" xr:uid="{00000000-0005-0000-0000-00008C6D0000}"/>
    <cellStyle name="Comma 3 7 2 5 3 2" xfId="27998" xr:uid="{00000000-0005-0000-0000-00008E6D0000}"/>
    <cellStyle name="Comma 3 7 2 5 4" xfId="21578" xr:uid="{00000000-0005-0000-0000-00007A540000}"/>
    <cellStyle name="Comma 3 7 2 5 5" xfId="28001" xr:uid="{00000000-0005-0000-0000-0000916D0000}"/>
    <cellStyle name="Comma 3 7 2 5 6" xfId="28003" xr:uid="{00000000-0005-0000-0000-0000936D0000}"/>
    <cellStyle name="Comma 3 7 2 5 7" xfId="28004" xr:uid="{00000000-0005-0000-0000-0000946D0000}"/>
    <cellStyle name="Comma 3 7 2 5 8" xfId="28005" xr:uid="{00000000-0005-0000-0000-0000956D0000}"/>
    <cellStyle name="Comma 3 7 2 5 9" xfId="28006" xr:uid="{00000000-0005-0000-0000-0000966D0000}"/>
    <cellStyle name="Comma 3 7 2 6" xfId="28007" xr:uid="{00000000-0005-0000-0000-0000976D0000}"/>
    <cellStyle name="Comma 3 7 2 6 2" xfId="18973" xr:uid="{00000000-0005-0000-0000-00004D4A0000}"/>
    <cellStyle name="Comma 3 7 2 6 2 2" xfId="28012" xr:uid="{00000000-0005-0000-0000-00009C6D0000}"/>
    <cellStyle name="Comma 3 7 2 6 3" xfId="28013" xr:uid="{00000000-0005-0000-0000-00009D6D0000}"/>
    <cellStyle name="Comma 3 7 2 6 4" xfId="28014" xr:uid="{00000000-0005-0000-0000-00009E6D0000}"/>
    <cellStyle name="Comma 3 7 2 6 5" xfId="28015" xr:uid="{00000000-0005-0000-0000-00009F6D0000}"/>
    <cellStyle name="Comma 3 7 2 6 6" xfId="28016" xr:uid="{00000000-0005-0000-0000-0000A06D0000}"/>
    <cellStyle name="Comma 3 7 2 6 7" xfId="28017" xr:uid="{00000000-0005-0000-0000-0000A16D0000}"/>
    <cellStyle name="Comma 3 7 2 6 8" xfId="28018" xr:uid="{00000000-0005-0000-0000-0000A26D0000}"/>
    <cellStyle name="Comma 3 7 2 6 9" xfId="28019" xr:uid="{00000000-0005-0000-0000-0000A36D0000}"/>
    <cellStyle name="Comma 3 7 2 7" xfId="28020" xr:uid="{00000000-0005-0000-0000-0000A46D0000}"/>
    <cellStyle name="Comma 3 7 2 7 2" xfId="28023" xr:uid="{00000000-0005-0000-0000-0000A76D0000}"/>
    <cellStyle name="Comma 3 7 2 8" xfId="28024" xr:uid="{00000000-0005-0000-0000-0000A86D0000}"/>
    <cellStyle name="Comma 3 7 2 9" xfId="28027" xr:uid="{00000000-0005-0000-0000-0000AB6D0000}"/>
    <cellStyle name="Comma 3 7 20" xfId="27904" xr:uid="{00000000-0005-0000-0000-0000306D0000}"/>
    <cellStyle name="Comma 3 7 21" xfId="27906" xr:uid="{00000000-0005-0000-0000-0000326D0000}"/>
    <cellStyle name="Comma 3 7 22" xfId="27908" xr:uid="{00000000-0005-0000-0000-0000346D0000}"/>
    <cellStyle name="Comma 3 7 23" xfId="24709" xr:uid="{00000000-0005-0000-0000-0000B5600000}"/>
    <cellStyle name="Comma 3 7 3" xfId="28030" xr:uid="{00000000-0005-0000-0000-0000AE6D0000}"/>
    <cellStyle name="Comma 3 7 3 10" xfId="23125" xr:uid="{00000000-0005-0000-0000-0000855A0000}"/>
    <cellStyle name="Comma 3 7 3 11" xfId="23128" xr:uid="{00000000-0005-0000-0000-0000885A0000}"/>
    <cellStyle name="Comma 3 7 3 12" xfId="23130" xr:uid="{00000000-0005-0000-0000-00008A5A0000}"/>
    <cellStyle name="Comma 3 7 3 13" xfId="23132" xr:uid="{00000000-0005-0000-0000-00008C5A0000}"/>
    <cellStyle name="Comma 3 7 3 14" xfId="23134" xr:uid="{00000000-0005-0000-0000-00008E5A0000}"/>
    <cellStyle name="Comma 3 7 3 15" xfId="23136" xr:uid="{00000000-0005-0000-0000-0000905A0000}"/>
    <cellStyle name="Comma 3 7 3 16" xfId="28031" xr:uid="{00000000-0005-0000-0000-0000AF6D0000}"/>
    <cellStyle name="Comma 3 7 3 17" xfId="28032" xr:uid="{00000000-0005-0000-0000-0000B06D0000}"/>
    <cellStyle name="Comma 3 7 3 18" xfId="28033" xr:uid="{00000000-0005-0000-0000-0000B16D0000}"/>
    <cellStyle name="Comma 3 7 3 2" xfId="15575" xr:uid="{00000000-0005-0000-0000-0000073D0000}"/>
    <cellStyle name="Comma 3 7 3 2 10" xfId="11142" xr:uid="{00000000-0005-0000-0000-0000B62B0000}"/>
    <cellStyle name="Comma 3 7 3 2 2" xfId="11026" xr:uid="{00000000-0005-0000-0000-0000422B0000}"/>
    <cellStyle name="Comma 3 7 3 2 2 2" xfId="14138" xr:uid="{00000000-0005-0000-0000-00006A370000}"/>
    <cellStyle name="Comma 3 7 3 2 3" xfId="11029" xr:uid="{00000000-0005-0000-0000-0000452B0000}"/>
    <cellStyle name="Comma 3 7 3 2 4" xfId="11032" xr:uid="{00000000-0005-0000-0000-0000482B0000}"/>
    <cellStyle name="Comma 3 7 3 2 5" xfId="7171" xr:uid="{00000000-0005-0000-0000-0000331C0000}"/>
    <cellStyle name="Comma 3 7 3 2 6" xfId="7111" xr:uid="{00000000-0005-0000-0000-0000F71B0000}"/>
    <cellStyle name="Comma 3 7 3 2 7" xfId="11041" xr:uid="{00000000-0005-0000-0000-0000512B0000}"/>
    <cellStyle name="Comma 3 7 3 2 8" xfId="11047" xr:uid="{00000000-0005-0000-0000-0000572B0000}"/>
    <cellStyle name="Comma 3 7 3 2 9" xfId="11053" xr:uid="{00000000-0005-0000-0000-00005D2B0000}"/>
    <cellStyle name="Comma 3 7 3 3" xfId="15578" xr:uid="{00000000-0005-0000-0000-00000A3D0000}"/>
    <cellStyle name="Comma 3 7 3 3 2" xfId="19018" xr:uid="{00000000-0005-0000-0000-00007A4A0000}"/>
    <cellStyle name="Comma 3 7 3 3 3" xfId="28034" xr:uid="{00000000-0005-0000-0000-0000B26D0000}"/>
    <cellStyle name="Comma 3 7 3 3 4" xfId="28035" xr:uid="{00000000-0005-0000-0000-0000B36D0000}"/>
    <cellStyle name="Comma 3 7 3 3 5" xfId="28036" xr:uid="{00000000-0005-0000-0000-0000B46D0000}"/>
    <cellStyle name="Comma 3 7 3 3 6" xfId="28037" xr:uid="{00000000-0005-0000-0000-0000B56D0000}"/>
    <cellStyle name="Comma 3 7 3 4" xfId="15582" xr:uid="{00000000-0005-0000-0000-00000E3D0000}"/>
    <cellStyle name="Comma 3 7 3 4 2" xfId="28040" xr:uid="{00000000-0005-0000-0000-0000B86D0000}"/>
    <cellStyle name="Comma 3 7 3 4 3" xfId="28041" xr:uid="{00000000-0005-0000-0000-0000B96D0000}"/>
    <cellStyle name="Comma 3 7 3 4 4" xfId="28042" xr:uid="{00000000-0005-0000-0000-0000BA6D0000}"/>
    <cellStyle name="Comma 3 7 3 4 5" xfId="28043" xr:uid="{00000000-0005-0000-0000-0000BB6D0000}"/>
    <cellStyle name="Comma 3 7 3 4 6" xfId="28044" xr:uid="{00000000-0005-0000-0000-0000BC6D0000}"/>
    <cellStyle name="Comma 3 7 3 5" xfId="25772" xr:uid="{00000000-0005-0000-0000-0000DC640000}"/>
    <cellStyle name="Comma 3 7 3 5 2" xfId="28045" xr:uid="{00000000-0005-0000-0000-0000BD6D0000}"/>
    <cellStyle name="Comma 3 7 3 5 3" xfId="28046" xr:uid="{00000000-0005-0000-0000-0000BE6D0000}"/>
    <cellStyle name="Comma 3 7 3 5 4" xfId="28047" xr:uid="{00000000-0005-0000-0000-0000BF6D0000}"/>
    <cellStyle name="Comma 3 7 3 5 5" xfId="28048" xr:uid="{00000000-0005-0000-0000-0000C06D0000}"/>
    <cellStyle name="Comma 3 7 3 5 6" xfId="28049" xr:uid="{00000000-0005-0000-0000-0000C16D0000}"/>
    <cellStyle name="Comma 3 7 3 6" xfId="630" xr:uid="{00000000-0005-0000-0000-0000A2020000}"/>
    <cellStyle name="Comma 3 7 3 6 2" xfId="28050" xr:uid="{00000000-0005-0000-0000-0000C26D0000}"/>
    <cellStyle name="Comma 3 7 3 6 3" xfId="28051" xr:uid="{00000000-0005-0000-0000-0000C36D0000}"/>
    <cellStyle name="Comma 3 7 3 6 4" xfId="28052" xr:uid="{00000000-0005-0000-0000-0000C46D0000}"/>
    <cellStyle name="Comma 3 7 3 6 5" xfId="28053" xr:uid="{00000000-0005-0000-0000-0000C56D0000}"/>
    <cellStyle name="Comma 3 7 3 6 6" xfId="28054" xr:uid="{00000000-0005-0000-0000-0000C66D0000}"/>
    <cellStyle name="Comma 3 7 3 7" xfId="28056" xr:uid="{00000000-0005-0000-0000-0000C86D0000}"/>
    <cellStyle name="Comma 3 7 3 8" xfId="2599" xr:uid="{00000000-0005-0000-0000-0000570A0000}"/>
    <cellStyle name="Comma 3 7 3 9" xfId="28058" xr:uid="{00000000-0005-0000-0000-0000CA6D0000}"/>
    <cellStyle name="Comma 3 7 4" xfId="28059" xr:uid="{00000000-0005-0000-0000-0000CB6D0000}"/>
    <cellStyle name="Comma 3 7 4 10" xfId="16065" xr:uid="{00000000-0005-0000-0000-0000F13E0000}"/>
    <cellStyle name="Comma 3 7 4 11" xfId="16069" xr:uid="{00000000-0005-0000-0000-0000F53E0000}"/>
    <cellStyle name="Comma 3 7 4 12" xfId="16074" xr:uid="{00000000-0005-0000-0000-0000FA3E0000}"/>
    <cellStyle name="Comma 3 7 4 13" xfId="20993" xr:uid="{00000000-0005-0000-0000-000031520000}"/>
    <cellStyle name="Comma 3 7 4 14" xfId="21029" xr:uid="{00000000-0005-0000-0000-000055520000}"/>
    <cellStyle name="Comma 3 7 4 15" xfId="21039" xr:uid="{00000000-0005-0000-0000-00005F520000}"/>
    <cellStyle name="Comma 3 7 4 2" xfId="28060" xr:uid="{00000000-0005-0000-0000-0000CC6D0000}"/>
    <cellStyle name="Comma 3 7 4 2 2" xfId="16077" xr:uid="{00000000-0005-0000-0000-0000FD3E0000}"/>
    <cellStyle name="Comma 3 7 4 2 2 2" xfId="7496" xr:uid="{00000000-0005-0000-0000-0000781D0000}"/>
    <cellStyle name="Comma 3 7 4 2 3" xfId="16082" xr:uid="{00000000-0005-0000-0000-0000023F0000}"/>
    <cellStyle name="Comma 3 7 4 2 4" xfId="16087" xr:uid="{00000000-0005-0000-0000-0000073F0000}"/>
    <cellStyle name="Comma 3 7 4 2 5" xfId="16094" xr:uid="{00000000-0005-0000-0000-00000E3F0000}"/>
    <cellStyle name="Comma 3 7 4 2 6" xfId="28061" xr:uid="{00000000-0005-0000-0000-0000CD6D0000}"/>
    <cellStyle name="Comma 3 7 4 2 7" xfId="28063" xr:uid="{00000000-0005-0000-0000-0000CF6D0000}"/>
    <cellStyle name="Comma 3 7 4 2 8" xfId="17485" xr:uid="{00000000-0005-0000-0000-00007D440000}"/>
    <cellStyle name="Comma 3 7 4 2 9" xfId="28065" xr:uid="{00000000-0005-0000-0000-0000D16D0000}"/>
    <cellStyle name="Comma 3 7 4 3" xfId="13398" xr:uid="{00000000-0005-0000-0000-000086340000}"/>
    <cellStyle name="Comma 3 7 4 3 2" xfId="16099" xr:uid="{00000000-0005-0000-0000-0000133F0000}"/>
    <cellStyle name="Comma 3 7 4 3 3" xfId="28066" xr:uid="{00000000-0005-0000-0000-0000D26D0000}"/>
    <cellStyle name="Comma 3 7 4 3 4" xfId="28067" xr:uid="{00000000-0005-0000-0000-0000D36D0000}"/>
    <cellStyle name="Comma 3 7 4 3 5" xfId="28068" xr:uid="{00000000-0005-0000-0000-0000D46D0000}"/>
    <cellStyle name="Comma 3 7 4 3 6" xfId="28069" xr:uid="{00000000-0005-0000-0000-0000D56D0000}"/>
    <cellStyle name="Comma 3 7 4 4" xfId="13404" xr:uid="{00000000-0005-0000-0000-00008C340000}"/>
    <cellStyle name="Comma 3 7 4 4 2" xfId="28070" xr:uid="{00000000-0005-0000-0000-0000D66D0000}"/>
    <cellStyle name="Comma 3 7 4 5" xfId="13411" xr:uid="{00000000-0005-0000-0000-000093340000}"/>
    <cellStyle name="Comma 3 7 4 6" xfId="5319" xr:uid="{00000000-0005-0000-0000-0000F7140000}"/>
    <cellStyle name="Comma 3 7 4 7" xfId="2699" xr:uid="{00000000-0005-0000-0000-0000BB0A0000}"/>
    <cellStyle name="Comma 3 7 4 8" xfId="2836" xr:uid="{00000000-0005-0000-0000-0000440B0000}"/>
    <cellStyle name="Comma 3 7 4 9" xfId="2882" xr:uid="{00000000-0005-0000-0000-0000720B0000}"/>
    <cellStyle name="Comma 3 7 5" xfId="28071" xr:uid="{00000000-0005-0000-0000-0000D76D0000}"/>
    <cellStyle name="Comma 3 7 5 10" xfId="1113" xr:uid="{00000000-0005-0000-0000-000089040000}"/>
    <cellStyle name="Comma 3 7 5 11" xfId="2713" xr:uid="{00000000-0005-0000-0000-0000C90A0000}"/>
    <cellStyle name="Comma 3 7 5 12" xfId="2722" xr:uid="{00000000-0005-0000-0000-0000D20A0000}"/>
    <cellStyle name="Comma 3 7 5 13" xfId="2735" xr:uid="{00000000-0005-0000-0000-0000DF0A0000}"/>
    <cellStyle name="Comma 3 7 5 2" xfId="28072" xr:uid="{00000000-0005-0000-0000-0000D86D0000}"/>
    <cellStyle name="Comma 3 7 5 2 2" xfId="16106" xr:uid="{00000000-0005-0000-0000-00001A3F0000}"/>
    <cellStyle name="Comma 3 7 5 2 2 2" xfId="1099" xr:uid="{00000000-0005-0000-0000-00007B040000}"/>
    <cellStyle name="Comma 3 7 5 2 3" xfId="16110" xr:uid="{00000000-0005-0000-0000-00001E3F0000}"/>
    <cellStyle name="Comma 3 7 5 2 4" xfId="16113" xr:uid="{00000000-0005-0000-0000-0000213F0000}"/>
    <cellStyle name="Comma 3 7 5 2 5" xfId="16116" xr:uid="{00000000-0005-0000-0000-0000243F0000}"/>
    <cellStyle name="Comma 3 7 5 2 6" xfId="28073" xr:uid="{00000000-0005-0000-0000-0000D96D0000}"/>
    <cellStyle name="Comma 3 7 5 2 7" xfId="581" xr:uid="{00000000-0005-0000-0000-00006D020000}"/>
    <cellStyle name="Comma 3 7 5 2 8" xfId="491" xr:uid="{00000000-0005-0000-0000-00000B020000}"/>
    <cellStyle name="Comma 3 7 5 2 9" xfId="1348" xr:uid="{00000000-0005-0000-0000-000074050000}"/>
    <cellStyle name="Comma 3 7 5 3" xfId="28074" xr:uid="{00000000-0005-0000-0000-0000DA6D0000}"/>
    <cellStyle name="Comma 3 7 5 3 2" xfId="12857" xr:uid="{00000000-0005-0000-0000-000069320000}"/>
    <cellStyle name="Comma 3 7 5 3 3" xfId="28075" xr:uid="{00000000-0005-0000-0000-0000DB6D0000}"/>
    <cellStyle name="Comma 3 7 5 3 4" xfId="28079" xr:uid="{00000000-0005-0000-0000-0000DF6D0000}"/>
    <cellStyle name="Comma 3 7 5 3 5" xfId="28083" xr:uid="{00000000-0005-0000-0000-0000E36D0000}"/>
    <cellStyle name="Comma 3 7 5 3 6" xfId="28086" xr:uid="{00000000-0005-0000-0000-0000E66D0000}"/>
    <cellStyle name="Comma 3 7 5 4" xfId="28090" xr:uid="{00000000-0005-0000-0000-0000EA6D0000}"/>
    <cellStyle name="Comma 3 7 5 4 2" xfId="28091" xr:uid="{00000000-0005-0000-0000-0000EB6D0000}"/>
    <cellStyle name="Comma 3 7 5 5" xfId="16126" xr:uid="{00000000-0005-0000-0000-00002E3F0000}"/>
    <cellStyle name="Comma 3 7 5 6" xfId="28094" xr:uid="{00000000-0005-0000-0000-0000EE6D0000}"/>
    <cellStyle name="Comma 3 7 5 7" xfId="28096" xr:uid="{00000000-0005-0000-0000-0000F06D0000}"/>
    <cellStyle name="Comma 3 7 5 8" xfId="2994" xr:uid="{00000000-0005-0000-0000-0000E20B0000}"/>
    <cellStyle name="Comma 3 7 5 9" xfId="28097" xr:uid="{00000000-0005-0000-0000-0000F16D0000}"/>
    <cellStyle name="Comma 3 7 6" xfId="13750" xr:uid="{00000000-0005-0000-0000-0000E6350000}"/>
    <cellStyle name="Comma 3 7 6 10" xfId="13027" xr:uid="{00000000-0005-0000-0000-000013330000}"/>
    <cellStyle name="Comma 3 7 6 11" xfId="13046" xr:uid="{00000000-0005-0000-0000-000026330000}"/>
    <cellStyle name="Comma 3 7 6 12" xfId="13064" xr:uid="{00000000-0005-0000-0000-000038330000}"/>
    <cellStyle name="Comma 3 7 6 2" xfId="16130" xr:uid="{00000000-0005-0000-0000-0000323F0000}"/>
    <cellStyle name="Comma 3 7 6 2 2" xfId="16136" xr:uid="{00000000-0005-0000-0000-0000383F0000}"/>
    <cellStyle name="Comma 3 7 6 2 2 2" xfId="16141" xr:uid="{00000000-0005-0000-0000-00003D3F0000}"/>
    <cellStyle name="Comma 3 7 6 2 3" xfId="16148" xr:uid="{00000000-0005-0000-0000-0000443F0000}"/>
    <cellStyle name="Comma 3 7 6 2 4" xfId="16154" xr:uid="{00000000-0005-0000-0000-00004A3F0000}"/>
    <cellStyle name="Comma 3 7 6 2 5" xfId="16158" xr:uid="{00000000-0005-0000-0000-00004E3F0000}"/>
    <cellStyle name="Comma 3 7 6 2 6" xfId="17840" xr:uid="{00000000-0005-0000-0000-0000E0450000}"/>
    <cellStyle name="Comma 3 7 6 2 7" xfId="17845" xr:uid="{00000000-0005-0000-0000-0000E5450000}"/>
    <cellStyle name="Comma 3 7 6 2 8" xfId="17849" xr:uid="{00000000-0005-0000-0000-0000E9450000}"/>
    <cellStyle name="Comma 3 7 6 2 9" xfId="25881" xr:uid="{00000000-0005-0000-0000-000049650000}"/>
    <cellStyle name="Comma 3 7 6 3" xfId="16162" xr:uid="{00000000-0005-0000-0000-0000523F0000}"/>
    <cellStyle name="Comma 3 7 6 3 2" xfId="14221" xr:uid="{00000000-0005-0000-0000-0000BD370000}"/>
    <cellStyle name="Comma 3 7 6 3 3" xfId="25885" xr:uid="{00000000-0005-0000-0000-00004D650000}"/>
    <cellStyle name="Comma 3 7 6 3 4" xfId="25887" xr:uid="{00000000-0005-0000-0000-00004F650000}"/>
    <cellStyle name="Comma 3 7 6 3 5" xfId="25889" xr:uid="{00000000-0005-0000-0000-000051650000}"/>
    <cellStyle name="Comma 3 7 6 3 6" xfId="25891" xr:uid="{00000000-0005-0000-0000-000053650000}"/>
    <cellStyle name="Comma 3 7 6 4" xfId="16167" xr:uid="{00000000-0005-0000-0000-0000573F0000}"/>
    <cellStyle name="Comma 3 7 6 4 2" xfId="12996" xr:uid="{00000000-0005-0000-0000-0000F4320000}"/>
    <cellStyle name="Comma 3 7 6 5" xfId="16174" xr:uid="{00000000-0005-0000-0000-00005E3F0000}"/>
    <cellStyle name="Comma 3 7 6 6" xfId="16182" xr:uid="{00000000-0005-0000-0000-0000663F0000}"/>
    <cellStyle name="Comma 3 7 6 7" xfId="28098" xr:uid="{00000000-0005-0000-0000-0000F26D0000}"/>
    <cellStyle name="Comma 3 7 6 8" xfId="4964" xr:uid="{00000000-0005-0000-0000-000094130000}"/>
    <cellStyle name="Comma 3 7 6 9" xfId="28099" xr:uid="{00000000-0005-0000-0000-0000F36D0000}"/>
    <cellStyle name="Comma 3 7 7" xfId="13754" xr:uid="{00000000-0005-0000-0000-0000EA350000}"/>
    <cellStyle name="Comma 3 7 7 2" xfId="16190" xr:uid="{00000000-0005-0000-0000-00006E3F0000}"/>
    <cellStyle name="Comma 3 7 7 2 2" xfId="16198" xr:uid="{00000000-0005-0000-0000-0000763F0000}"/>
    <cellStyle name="Comma 3 7 7 3" xfId="16224" xr:uid="{00000000-0005-0000-0000-0000903F0000}"/>
    <cellStyle name="Comma 3 7 7 4" xfId="16237" xr:uid="{00000000-0005-0000-0000-00009D3F0000}"/>
    <cellStyle name="Comma 3 7 7 5" xfId="16245" xr:uid="{00000000-0005-0000-0000-0000A53F0000}"/>
    <cellStyle name="Comma 3 7 7 6" xfId="7518" xr:uid="{00000000-0005-0000-0000-00008E1D0000}"/>
    <cellStyle name="Comma 3 7 7 7" xfId="28101" xr:uid="{00000000-0005-0000-0000-0000F56D0000}"/>
    <cellStyle name="Comma 3 7 7 8" xfId="4980" xr:uid="{00000000-0005-0000-0000-0000A4130000}"/>
    <cellStyle name="Comma 3 7 7 9" xfId="28102" xr:uid="{00000000-0005-0000-0000-0000F66D0000}"/>
    <cellStyle name="Comma 3 7 8" xfId="13759" xr:uid="{00000000-0005-0000-0000-0000EF350000}"/>
    <cellStyle name="Comma 3 7 8 2" xfId="15600" xr:uid="{00000000-0005-0000-0000-0000203D0000}"/>
    <cellStyle name="Comma 3 7 8 3" xfId="15607" xr:uid="{00000000-0005-0000-0000-0000273D0000}"/>
    <cellStyle name="Comma 3 7 8 4" xfId="16256" xr:uid="{00000000-0005-0000-0000-0000B03F0000}"/>
    <cellStyle name="Comma 3 7 8 5" xfId="16263" xr:uid="{00000000-0005-0000-0000-0000B73F0000}"/>
    <cellStyle name="Comma 3 7 8 6" xfId="1170" xr:uid="{00000000-0005-0000-0000-0000C2040000}"/>
    <cellStyle name="Comma 3 7 9" xfId="16272" xr:uid="{00000000-0005-0000-0000-0000C03F0000}"/>
    <cellStyle name="Comma 3 7 9 2" xfId="14157" xr:uid="{00000000-0005-0000-0000-00007D370000}"/>
    <cellStyle name="Comma 3 7 9 3" xfId="13442" xr:uid="{00000000-0005-0000-0000-0000B2340000}"/>
    <cellStyle name="Comma 3 7 9 4" xfId="13450" xr:uid="{00000000-0005-0000-0000-0000BA340000}"/>
    <cellStyle name="Comma 3 7 9 5" xfId="13455" xr:uid="{00000000-0005-0000-0000-0000BF340000}"/>
    <cellStyle name="Comma 3 7 9 6" xfId="20200" xr:uid="{00000000-0005-0000-0000-0000184F0000}"/>
    <cellStyle name="Comma 3 8" xfId="28103" xr:uid="{00000000-0005-0000-0000-0000F76D0000}"/>
    <cellStyle name="Comma 3 8 10" xfId="28104" xr:uid="{00000000-0005-0000-0000-0000F86D0000}"/>
    <cellStyle name="Comma 3 8 10 2" xfId="12048" xr:uid="{00000000-0005-0000-0000-0000402F0000}"/>
    <cellStyle name="Comma 3 8 10 3" xfId="19698" xr:uid="{00000000-0005-0000-0000-0000224D0000}"/>
    <cellStyle name="Comma 3 8 10 4" xfId="19722" xr:uid="{00000000-0005-0000-0000-00003A4D0000}"/>
    <cellStyle name="Comma 3 8 10 5" xfId="19724" xr:uid="{00000000-0005-0000-0000-00003C4D0000}"/>
    <cellStyle name="Comma 3 8 10 6" xfId="14019" xr:uid="{00000000-0005-0000-0000-0000F3360000}"/>
    <cellStyle name="Comma 3 8 11" xfId="28105" xr:uid="{00000000-0005-0000-0000-0000F96D0000}"/>
    <cellStyle name="Comma 3 8 11 2" xfId="19775" xr:uid="{00000000-0005-0000-0000-00006F4D0000}"/>
    <cellStyle name="Comma 3 8 11 3" xfId="18767" xr:uid="{00000000-0005-0000-0000-00007F490000}"/>
    <cellStyle name="Comma 3 8 11 4" xfId="10941" xr:uid="{00000000-0005-0000-0000-0000ED2A0000}"/>
    <cellStyle name="Comma 3 8 11 5" xfId="2573" xr:uid="{00000000-0005-0000-0000-00003D0A0000}"/>
    <cellStyle name="Comma 3 8 11 6" xfId="2584" xr:uid="{00000000-0005-0000-0000-0000480A0000}"/>
    <cellStyle name="Comma 3 8 12" xfId="28106" xr:uid="{00000000-0005-0000-0000-0000FA6D0000}"/>
    <cellStyle name="Comma 3 8 13" xfId="28107" xr:uid="{00000000-0005-0000-0000-0000FB6D0000}"/>
    <cellStyle name="Comma 3 8 14" xfId="28108" xr:uid="{00000000-0005-0000-0000-0000FC6D0000}"/>
    <cellStyle name="Comma 3 8 15" xfId="28109" xr:uid="{00000000-0005-0000-0000-0000FD6D0000}"/>
    <cellStyle name="Comma 3 8 16" xfId="28111" xr:uid="{00000000-0005-0000-0000-0000FF6D0000}"/>
    <cellStyle name="Comma 3 8 17" xfId="28114" xr:uid="{00000000-0005-0000-0000-0000026E0000}"/>
    <cellStyle name="Comma 3 8 18" xfId="28117" xr:uid="{00000000-0005-0000-0000-0000056E0000}"/>
    <cellStyle name="Comma 3 8 19" xfId="28120" xr:uid="{00000000-0005-0000-0000-0000086E0000}"/>
    <cellStyle name="Comma 3 8 2" xfId="28121" xr:uid="{00000000-0005-0000-0000-0000096E0000}"/>
    <cellStyle name="Comma 3 8 2 10" xfId="28122" xr:uid="{00000000-0005-0000-0000-00000A6E0000}"/>
    <cellStyle name="Comma 3 8 2 11" xfId="17471" xr:uid="{00000000-0005-0000-0000-00006F440000}"/>
    <cellStyle name="Comma 3 8 2 12" xfId="3692" xr:uid="{00000000-0005-0000-0000-00009C0E0000}"/>
    <cellStyle name="Comma 3 8 2 13" xfId="17489" xr:uid="{00000000-0005-0000-0000-000081440000}"/>
    <cellStyle name="Comma 3 8 2 14" xfId="16773" xr:uid="{00000000-0005-0000-0000-0000B5410000}"/>
    <cellStyle name="Comma 3 8 2 15" xfId="16789" xr:uid="{00000000-0005-0000-0000-0000C5410000}"/>
    <cellStyle name="Comma 3 8 2 16" xfId="16800" xr:uid="{00000000-0005-0000-0000-0000D0410000}"/>
    <cellStyle name="Comma 3 8 2 17" xfId="23143" xr:uid="{00000000-0005-0000-0000-0000975A0000}"/>
    <cellStyle name="Comma 3 8 2 18" xfId="23145" xr:uid="{00000000-0005-0000-0000-0000995A0000}"/>
    <cellStyle name="Comma 3 8 2 2" xfId="28123" xr:uid="{00000000-0005-0000-0000-00000B6E0000}"/>
    <cellStyle name="Comma 3 8 2 2 10" xfId="28125" xr:uid="{00000000-0005-0000-0000-00000D6E0000}"/>
    <cellStyle name="Comma 3 8 2 2 11" xfId="28128" xr:uid="{00000000-0005-0000-0000-0000106E0000}"/>
    <cellStyle name="Comma 3 8 2 2 12" xfId="28131" xr:uid="{00000000-0005-0000-0000-0000136E0000}"/>
    <cellStyle name="Comma 3 8 2 2 2" xfId="28133" xr:uid="{00000000-0005-0000-0000-0000156E0000}"/>
    <cellStyle name="Comma 3 8 2 2 2 2" xfId="10244" xr:uid="{00000000-0005-0000-0000-000034280000}"/>
    <cellStyle name="Comma 3 8 2 2 2 2 2" xfId="28135" xr:uid="{00000000-0005-0000-0000-0000176E0000}"/>
    <cellStyle name="Comma 3 8 2 2 2 3" xfId="10255" xr:uid="{00000000-0005-0000-0000-00003F280000}"/>
    <cellStyle name="Comma 3 8 2 2 2 4" xfId="6156" xr:uid="{00000000-0005-0000-0000-00003C180000}"/>
    <cellStyle name="Comma 3 8 2 2 2 5" xfId="28136" xr:uid="{00000000-0005-0000-0000-0000186E0000}"/>
    <cellStyle name="Comma 3 8 2 2 3" xfId="28137" xr:uid="{00000000-0005-0000-0000-0000196E0000}"/>
    <cellStyle name="Comma 3 8 2 2 3 2" xfId="28139" xr:uid="{00000000-0005-0000-0000-00001B6E0000}"/>
    <cellStyle name="Comma 3 8 2 2 4" xfId="28140" xr:uid="{00000000-0005-0000-0000-00001C6E0000}"/>
    <cellStyle name="Comma 3 8 2 2 5" xfId="28141" xr:uid="{00000000-0005-0000-0000-00001D6E0000}"/>
    <cellStyle name="Comma 3 8 2 2 6" xfId="28143" xr:uid="{00000000-0005-0000-0000-00001F6E0000}"/>
    <cellStyle name="Comma 3 8 2 2 7" xfId="28145" xr:uid="{00000000-0005-0000-0000-0000216E0000}"/>
    <cellStyle name="Comma 3 8 2 2 8" xfId="28148" xr:uid="{00000000-0005-0000-0000-0000246E0000}"/>
    <cellStyle name="Comma 3 8 2 2 9" xfId="28151" xr:uid="{00000000-0005-0000-0000-0000276E0000}"/>
    <cellStyle name="Comma 3 8 2 3" xfId="28153" xr:uid="{00000000-0005-0000-0000-0000296E0000}"/>
    <cellStyle name="Comma 3 8 2 3 10" xfId="28155" xr:uid="{00000000-0005-0000-0000-00002B6E0000}"/>
    <cellStyle name="Comma 3 8 2 3 11" xfId="28157" xr:uid="{00000000-0005-0000-0000-00002D6E0000}"/>
    <cellStyle name="Comma 3 8 2 3 12" xfId="28159" xr:uid="{00000000-0005-0000-0000-00002F6E0000}"/>
    <cellStyle name="Comma 3 8 2 3 2" xfId="28160" xr:uid="{00000000-0005-0000-0000-0000306E0000}"/>
    <cellStyle name="Comma 3 8 2 3 2 2" xfId="5213" xr:uid="{00000000-0005-0000-0000-00008D140000}"/>
    <cellStyle name="Comma 3 8 2 3 2 2 2" xfId="28162" xr:uid="{00000000-0005-0000-0000-0000326E0000}"/>
    <cellStyle name="Comma 3 8 2 3 2 3" xfId="10541" xr:uid="{00000000-0005-0000-0000-00005D290000}"/>
    <cellStyle name="Comma 3 8 2 3 2 4" xfId="10549" xr:uid="{00000000-0005-0000-0000-000065290000}"/>
    <cellStyle name="Comma 3 8 2 3 2 5" xfId="28164" xr:uid="{00000000-0005-0000-0000-0000346E0000}"/>
    <cellStyle name="Comma 3 8 2 3 3" xfId="28165" xr:uid="{00000000-0005-0000-0000-0000356E0000}"/>
    <cellStyle name="Comma 3 8 2 3 3 2" xfId="28167" xr:uid="{00000000-0005-0000-0000-0000376E0000}"/>
    <cellStyle name="Comma 3 8 2 3 4" xfId="28168" xr:uid="{00000000-0005-0000-0000-0000386E0000}"/>
    <cellStyle name="Comma 3 8 2 3 5" xfId="28169" xr:uid="{00000000-0005-0000-0000-0000396E0000}"/>
    <cellStyle name="Comma 3 8 2 3 6" xfId="28170" xr:uid="{00000000-0005-0000-0000-00003A6E0000}"/>
    <cellStyle name="Comma 3 8 2 3 7" xfId="28171" xr:uid="{00000000-0005-0000-0000-00003B6E0000}"/>
    <cellStyle name="Comma 3 8 2 3 8" xfId="28173" xr:uid="{00000000-0005-0000-0000-00003D6E0000}"/>
    <cellStyle name="Comma 3 8 2 3 9" xfId="28177" xr:uid="{00000000-0005-0000-0000-0000416E0000}"/>
    <cellStyle name="Comma 3 8 2 4" xfId="28180" xr:uid="{00000000-0005-0000-0000-0000446E0000}"/>
    <cellStyle name="Comma 3 8 2 4 10" xfId="28183" xr:uid="{00000000-0005-0000-0000-0000476E0000}"/>
    <cellStyle name="Comma 3 8 2 4 2" xfId="28186" xr:uid="{00000000-0005-0000-0000-00004A6E0000}"/>
    <cellStyle name="Comma 3 8 2 4 2 2" xfId="28191" xr:uid="{00000000-0005-0000-0000-00004F6E0000}"/>
    <cellStyle name="Comma 3 8 2 4 2 2 2" xfId="28194" xr:uid="{00000000-0005-0000-0000-0000526E0000}"/>
    <cellStyle name="Comma 3 8 2 4 2 3" xfId="28197" xr:uid="{00000000-0005-0000-0000-0000556E0000}"/>
    <cellStyle name="Comma 3 8 2 4 2 4" xfId="28200" xr:uid="{00000000-0005-0000-0000-0000586E0000}"/>
    <cellStyle name="Comma 3 8 2 4 2 5" xfId="28203" xr:uid="{00000000-0005-0000-0000-00005B6E0000}"/>
    <cellStyle name="Comma 3 8 2 4 3" xfId="28205" xr:uid="{00000000-0005-0000-0000-00005D6E0000}"/>
    <cellStyle name="Comma 3 8 2 4 3 2" xfId="5280" xr:uid="{00000000-0005-0000-0000-0000D0140000}"/>
    <cellStyle name="Comma 3 8 2 4 4" xfId="28207" xr:uid="{00000000-0005-0000-0000-00005F6E0000}"/>
    <cellStyle name="Comma 3 8 2 4 5" xfId="28209" xr:uid="{00000000-0005-0000-0000-0000616E0000}"/>
    <cellStyle name="Comma 3 8 2 4 6" xfId="28211" xr:uid="{00000000-0005-0000-0000-0000636E0000}"/>
    <cellStyle name="Comma 3 8 2 4 7" xfId="28213" xr:uid="{00000000-0005-0000-0000-0000656E0000}"/>
    <cellStyle name="Comma 3 8 2 4 8" xfId="28216" xr:uid="{00000000-0005-0000-0000-0000686E0000}"/>
    <cellStyle name="Comma 3 8 2 4 9" xfId="28220" xr:uid="{00000000-0005-0000-0000-00006C6E0000}"/>
    <cellStyle name="Comma 3 8 2 5" xfId="28223" xr:uid="{00000000-0005-0000-0000-00006F6E0000}"/>
    <cellStyle name="Comma 3 8 2 5 10" xfId="28224" xr:uid="{00000000-0005-0000-0000-0000706E0000}"/>
    <cellStyle name="Comma 3 8 2 5 2" xfId="28229" xr:uid="{00000000-0005-0000-0000-0000756E0000}"/>
    <cellStyle name="Comma 3 8 2 5 2 2" xfId="28232" xr:uid="{00000000-0005-0000-0000-0000786E0000}"/>
    <cellStyle name="Comma 3 8 2 5 2 2 2" xfId="28234" xr:uid="{00000000-0005-0000-0000-00007A6E0000}"/>
    <cellStyle name="Comma 3 8 2 5 2 3" xfId="28237" xr:uid="{00000000-0005-0000-0000-00007D6E0000}"/>
    <cellStyle name="Comma 3 8 2 5 2 4" xfId="28240" xr:uid="{00000000-0005-0000-0000-0000806E0000}"/>
    <cellStyle name="Comma 3 8 2 5 2 5" xfId="10842" xr:uid="{00000000-0005-0000-0000-00008A2A0000}"/>
    <cellStyle name="Comma 3 8 2 5 3" xfId="28242" xr:uid="{00000000-0005-0000-0000-0000826E0000}"/>
    <cellStyle name="Comma 3 8 2 5 3 2" xfId="28246" xr:uid="{00000000-0005-0000-0000-0000866E0000}"/>
    <cellStyle name="Comma 3 8 2 5 4" xfId="21587" xr:uid="{00000000-0005-0000-0000-000083540000}"/>
    <cellStyle name="Comma 3 8 2 5 5" xfId="28248" xr:uid="{00000000-0005-0000-0000-0000886E0000}"/>
    <cellStyle name="Comma 3 8 2 5 6" xfId="28251" xr:uid="{00000000-0005-0000-0000-00008B6E0000}"/>
    <cellStyle name="Comma 3 8 2 5 7" xfId="12628" xr:uid="{00000000-0005-0000-0000-000084310000}"/>
    <cellStyle name="Comma 3 8 2 5 8" xfId="12635" xr:uid="{00000000-0005-0000-0000-00008B310000}"/>
    <cellStyle name="Comma 3 8 2 5 9" xfId="12641" xr:uid="{00000000-0005-0000-0000-000091310000}"/>
    <cellStyle name="Comma 3 8 2 6" xfId="28254" xr:uid="{00000000-0005-0000-0000-00008E6E0000}"/>
    <cellStyle name="Comma 3 8 2 6 2" xfId="28256" xr:uid="{00000000-0005-0000-0000-0000906E0000}"/>
    <cellStyle name="Comma 3 8 2 6 2 2" xfId="28259" xr:uid="{00000000-0005-0000-0000-0000936E0000}"/>
    <cellStyle name="Comma 3 8 2 6 3" xfId="28260" xr:uid="{00000000-0005-0000-0000-0000946E0000}"/>
    <cellStyle name="Comma 3 8 2 6 4" xfId="28261" xr:uid="{00000000-0005-0000-0000-0000956E0000}"/>
    <cellStyle name="Comma 3 8 2 6 5" xfId="28262" xr:uid="{00000000-0005-0000-0000-0000966E0000}"/>
    <cellStyle name="Comma 3 8 2 6 6" xfId="28263" xr:uid="{00000000-0005-0000-0000-0000976E0000}"/>
    <cellStyle name="Comma 3 8 2 6 7" xfId="12648" xr:uid="{00000000-0005-0000-0000-000098310000}"/>
    <cellStyle name="Comma 3 8 2 6 8" xfId="26407" xr:uid="{00000000-0005-0000-0000-000057670000}"/>
    <cellStyle name="Comma 3 8 2 6 9" xfId="26413" xr:uid="{00000000-0005-0000-0000-00005D670000}"/>
    <cellStyle name="Comma 3 8 2 7" xfId="28265" xr:uid="{00000000-0005-0000-0000-0000996E0000}"/>
    <cellStyle name="Comma 3 8 2 7 2" xfId="28266" xr:uid="{00000000-0005-0000-0000-00009A6E0000}"/>
    <cellStyle name="Comma 3 8 2 8" xfId="28268" xr:uid="{00000000-0005-0000-0000-00009C6E0000}"/>
    <cellStyle name="Comma 3 8 2 9" xfId="28270" xr:uid="{00000000-0005-0000-0000-00009E6E0000}"/>
    <cellStyle name="Comma 3 8 20" xfId="28110" xr:uid="{00000000-0005-0000-0000-0000FE6D0000}"/>
    <cellStyle name="Comma 3 8 21" xfId="28112" xr:uid="{00000000-0005-0000-0000-0000006E0000}"/>
    <cellStyle name="Comma 3 8 22" xfId="28115" xr:uid="{00000000-0005-0000-0000-0000036E0000}"/>
    <cellStyle name="Comma 3 8 23" xfId="28118" xr:uid="{00000000-0005-0000-0000-0000066E0000}"/>
    <cellStyle name="Comma 3 8 3" xfId="28271" xr:uid="{00000000-0005-0000-0000-00009F6E0000}"/>
    <cellStyle name="Comma 3 8 3 10" xfId="28273" xr:uid="{00000000-0005-0000-0000-0000A16E0000}"/>
    <cellStyle name="Comma 3 8 3 11" xfId="28275" xr:uid="{00000000-0005-0000-0000-0000A36E0000}"/>
    <cellStyle name="Comma 3 8 3 12" xfId="28278" xr:uid="{00000000-0005-0000-0000-0000A66E0000}"/>
    <cellStyle name="Comma 3 8 3 13" xfId="28279" xr:uid="{00000000-0005-0000-0000-0000A76E0000}"/>
    <cellStyle name="Comma 3 8 3 14" xfId="28280" xr:uid="{00000000-0005-0000-0000-0000A86E0000}"/>
    <cellStyle name="Comma 3 8 3 15" xfId="28282" xr:uid="{00000000-0005-0000-0000-0000AA6E0000}"/>
    <cellStyle name="Comma 3 8 3 16" xfId="28284" xr:uid="{00000000-0005-0000-0000-0000AC6E0000}"/>
    <cellStyle name="Comma 3 8 3 17" xfId="28286" xr:uid="{00000000-0005-0000-0000-0000AE6E0000}"/>
    <cellStyle name="Comma 3 8 3 18" xfId="14884" xr:uid="{00000000-0005-0000-0000-0000543A0000}"/>
    <cellStyle name="Comma 3 8 3 2" xfId="28287" xr:uid="{00000000-0005-0000-0000-0000AF6E0000}"/>
    <cellStyle name="Comma 3 8 3 2 10" xfId="28288" xr:uid="{00000000-0005-0000-0000-0000B06E0000}"/>
    <cellStyle name="Comma 3 8 3 2 2" xfId="28289" xr:uid="{00000000-0005-0000-0000-0000B16E0000}"/>
    <cellStyle name="Comma 3 8 3 2 2 2" xfId="21787" xr:uid="{00000000-0005-0000-0000-00004B550000}"/>
    <cellStyle name="Comma 3 8 3 2 3" xfId="28290" xr:uid="{00000000-0005-0000-0000-0000B26E0000}"/>
    <cellStyle name="Comma 3 8 3 2 4" xfId="4559" xr:uid="{00000000-0005-0000-0000-0000FF110000}"/>
    <cellStyle name="Comma 3 8 3 2 5" xfId="25129" xr:uid="{00000000-0005-0000-0000-000059620000}"/>
    <cellStyle name="Comma 3 8 3 2 6" xfId="25133" xr:uid="{00000000-0005-0000-0000-00005D620000}"/>
    <cellStyle name="Comma 3 8 3 2 7" xfId="28292" xr:uid="{00000000-0005-0000-0000-0000B46E0000}"/>
    <cellStyle name="Comma 3 8 3 2 8" xfId="28294" xr:uid="{00000000-0005-0000-0000-0000B66E0000}"/>
    <cellStyle name="Comma 3 8 3 2 9" xfId="28296" xr:uid="{00000000-0005-0000-0000-0000B86E0000}"/>
    <cellStyle name="Comma 3 8 3 3" xfId="28297" xr:uid="{00000000-0005-0000-0000-0000B96E0000}"/>
    <cellStyle name="Comma 3 8 3 3 2" xfId="28298" xr:uid="{00000000-0005-0000-0000-0000BA6E0000}"/>
    <cellStyle name="Comma 3 8 3 3 3" xfId="28300" xr:uid="{00000000-0005-0000-0000-0000BC6E0000}"/>
    <cellStyle name="Comma 3 8 3 3 4" xfId="960" xr:uid="{00000000-0005-0000-0000-0000F0030000}"/>
    <cellStyle name="Comma 3 8 3 3 5" xfId="28302" xr:uid="{00000000-0005-0000-0000-0000BE6E0000}"/>
    <cellStyle name="Comma 3 8 3 3 6" xfId="28304" xr:uid="{00000000-0005-0000-0000-0000C06E0000}"/>
    <cellStyle name="Comma 3 8 3 4" xfId="28306" xr:uid="{00000000-0005-0000-0000-0000C26E0000}"/>
    <cellStyle name="Comma 3 8 3 4 2" xfId="28308" xr:uid="{00000000-0005-0000-0000-0000C46E0000}"/>
    <cellStyle name="Comma 3 8 3 4 3" xfId="28309" xr:uid="{00000000-0005-0000-0000-0000C56E0000}"/>
    <cellStyle name="Comma 3 8 3 4 4" xfId="4583" xr:uid="{00000000-0005-0000-0000-000017120000}"/>
    <cellStyle name="Comma 3 8 3 4 5" xfId="28310" xr:uid="{00000000-0005-0000-0000-0000C66E0000}"/>
    <cellStyle name="Comma 3 8 3 4 6" xfId="28311" xr:uid="{00000000-0005-0000-0000-0000C76E0000}"/>
    <cellStyle name="Comma 3 8 3 5" xfId="28313" xr:uid="{00000000-0005-0000-0000-0000C96E0000}"/>
    <cellStyle name="Comma 3 8 3 5 2" xfId="28316" xr:uid="{00000000-0005-0000-0000-0000CC6E0000}"/>
    <cellStyle name="Comma 3 8 3 5 3" xfId="28318" xr:uid="{00000000-0005-0000-0000-0000CE6E0000}"/>
    <cellStyle name="Comma 3 8 3 5 4" xfId="4620" xr:uid="{00000000-0005-0000-0000-00003C120000}"/>
    <cellStyle name="Comma 3 8 3 5 5" xfId="28319" xr:uid="{00000000-0005-0000-0000-0000CF6E0000}"/>
    <cellStyle name="Comma 3 8 3 5 6" xfId="28320" xr:uid="{00000000-0005-0000-0000-0000D06E0000}"/>
    <cellStyle name="Comma 3 8 3 6" xfId="28322" xr:uid="{00000000-0005-0000-0000-0000D26E0000}"/>
    <cellStyle name="Comma 3 8 3 6 2" xfId="28323" xr:uid="{00000000-0005-0000-0000-0000D36E0000}"/>
    <cellStyle name="Comma 3 8 3 6 3" xfId="28324" xr:uid="{00000000-0005-0000-0000-0000D46E0000}"/>
    <cellStyle name="Comma 3 8 3 6 4" xfId="28325" xr:uid="{00000000-0005-0000-0000-0000D56E0000}"/>
    <cellStyle name="Comma 3 8 3 6 5" xfId="28326" xr:uid="{00000000-0005-0000-0000-0000D66E0000}"/>
    <cellStyle name="Comma 3 8 3 6 6" xfId="28327" xr:uid="{00000000-0005-0000-0000-0000D76E0000}"/>
    <cellStyle name="Comma 3 8 3 7" xfId="28329" xr:uid="{00000000-0005-0000-0000-0000D96E0000}"/>
    <cellStyle name="Comma 3 8 3 8" xfId="28331" xr:uid="{00000000-0005-0000-0000-0000DB6E0000}"/>
    <cellStyle name="Comma 3 8 3 9" xfId="28333" xr:uid="{00000000-0005-0000-0000-0000DD6E0000}"/>
    <cellStyle name="Comma 3 8 4" xfId="28334" xr:uid="{00000000-0005-0000-0000-0000DE6E0000}"/>
    <cellStyle name="Comma 3 8 4 10" xfId="28336" xr:uid="{00000000-0005-0000-0000-0000E06E0000}"/>
    <cellStyle name="Comma 3 8 4 11" xfId="28339" xr:uid="{00000000-0005-0000-0000-0000E36E0000}"/>
    <cellStyle name="Comma 3 8 4 12" xfId="28342" xr:uid="{00000000-0005-0000-0000-0000E66E0000}"/>
    <cellStyle name="Comma 3 8 4 13" xfId="28345" xr:uid="{00000000-0005-0000-0000-0000E96E0000}"/>
    <cellStyle name="Comma 3 8 4 14" xfId="28348" xr:uid="{00000000-0005-0000-0000-0000EC6E0000}"/>
    <cellStyle name="Comma 3 8 4 15" xfId="28351" xr:uid="{00000000-0005-0000-0000-0000EF6E0000}"/>
    <cellStyle name="Comma 3 8 4 2" xfId="28352" xr:uid="{00000000-0005-0000-0000-0000F06E0000}"/>
    <cellStyle name="Comma 3 8 4 2 2" xfId="12899" xr:uid="{00000000-0005-0000-0000-000093320000}"/>
    <cellStyle name="Comma 3 8 4 2 2 2" xfId="6820" xr:uid="{00000000-0005-0000-0000-0000D41A0000}"/>
    <cellStyle name="Comma 3 8 4 2 3" xfId="12903" xr:uid="{00000000-0005-0000-0000-000097320000}"/>
    <cellStyle name="Comma 3 8 4 2 4" xfId="2018" xr:uid="{00000000-0005-0000-0000-000012080000}"/>
    <cellStyle name="Comma 3 8 4 2 5" xfId="12906" xr:uid="{00000000-0005-0000-0000-00009A320000}"/>
    <cellStyle name="Comma 3 8 4 2 6" xfId="8664" xr:uid="{00000000-0005-0000-0000-000008220000}"/>
    <cellStyle name="Comma 3 8 4 2 7" xfId="8705" xr:uid="{00000000-0005-0000-0000-000031220000}"/>
    <cellStyle name="Comma 3 8 4 2 8" xfId="28354" xr:uid="{00000000-0005-0000-0000-0000F26E0000}"/>
    <cellStyle name="Comma 3 8 4 2 9" xfId="28356" xr:uid="{00000000-0005-0000-0000-0000F46E0000}"/>
    <cellStyle name="Comma 3 8 4 3" xfId="28357" xr:uid="{00000000-0005-0000-0000-0000F56E0000}"/>
    <cellStyle name="Comma 3 8 4 3 2" xfId="12917" xr:uid="{00000000-0005-0000-0000-0000A5320000}"/>
    <cellStyle name="Comma 3 8 4 3 3" xfId="12920" xr:uid="{00000000-0005-0000-0000-0000A8320000}"/>
    <cellStyle name="Comma 3 8 4 3 4" xfId="2044" xr:uid="{00000000-0005-0000-0000-00002C080000}"/>
    <cellStyle name="Comma 3 8 4 3 5" xfId="12922" xr:uid="{00000000-0005-0000-0000-0000AA320000}"/>
    <cellStyle name="Comma 3 8 4 3 6" xfId="5928" xr:uid="{00000000-0005-0000-0000-000058170000}"/>
    <cellStyle name="Comma 3 8 4 4" xfId="28359" xr:uid="{00000000-0005-0000-0000-0000F76E0000}"/>
    <cellStyle name="Comma 3 8 4 4 2" xfId="12935" xr:uid="{00000000-0005-0000-0000-0000B7320000}"/>
    <cellStyle name="Comma 3 8 4 5" xfId="12403" xr:uid="{00000000-0005-0000-0000-0000A3300000}"/>
    <cellStyle name="Comma 3 8 4 6" xfId="5624" xr:uid="{00000000-0005-0000-0000-000028160000}"/>
    <cellStyle name="Comma 3 8 4 7" xfId="230" xr:uid="{00000000-0005-0000-0000-0000F7000000}"/>
    <cellStyle name="Comma 3 8 4 8" xfId="3313" xr:uid="{00000000-0005-0000-0000-0000210D0000}"/>
    <cellStyle name="Comma 3 8 4 9" xfId="28361" xr:uid="{00000000-0005-0000-0000-0000F96E0000}"/>
    <cellStyle name="Comma 3 8 5" xfId="28362" xr:uid="{00000000-0005-0000-0000-0000FA6E0000}"/>
    <cellStyle name="Comma 3 8 5 10" xfId="28364" xr:uid="{00000000-0005-0000-0000-0000FC6E0000}"/>
    <cellStyle name="Comma 3 8 5 11" xfId="28366" xr:uid="{00000000-0005-0000-0000-0000FE6E0000}"/>
    <cellStyle name="Comma 3 8 5 12" xfId="28367" xr:uid="{00000000-0005-0000-0000-0000FF6E0000}"/>
    <cellStyle name="Comma 3 8 5 13" xfId="28368" xr:uid="{00000000-0005-0000-0000-0000006F0000}"/>
    <cellStyle name="Comma 3 8 5 2" xfId="28369" xr:uid="{00000000-0005-0000-0000-0000016F0000}"/>
    <cellStyle name="Comma 3 8 5 2 2" xfId="13013" xr:uid="{00000000-0005-0000-0000-000005330000}"/>
    <cellStyle name="Comma 3 8 5 2 2 2" xfId="14186" xr:uid="{00000000-0005-0000-0000-00009A370000}"/>
    <cellStyle name="Comma 3 8 5 2 3" xfId="13016" xr:uid="{00000000-0005-0000-0000-000008330000}"/>
    <cellStyle name="Comma 3 8 5 2 4" xfId="2224" xr:uid="{00000000-0005-0000-0000-0000E0080000}"/>
    <cellStyle name="Comma 3 8 5 2 5" xfId="13020" xr:uid="{00000000-0005-0000-0000-00000C330000}"/>
    <cellStyle name="Comma 3 8 5 2 6" xfId="9424" xr:uid="{00000000-0005-0000-0000-000000250000}"/>
    <cellStyle name="Comma 3 8 5 2 7" xfId="9496" xr:uid="{00000000-0005-0000-0000-000048250000}"/>
    <cellStyle name="Comma 3 8 5 2 8" xfId="28371" xr:uid="{00000000-0005-0000-0000-0000036F0000}"/>
    <cellStyle name="Comma 3 8 5 2 9" xfId="28374" xr:uid="{00000000-0005-0000-0000-0000066F0000}"/>
    <cellStyle name="Comma 3 8 5 3" xfId="28375" xr:uid="{00000000-0005-0000-0000-0000076F0000}"/>
    <cellStyle name="Comma 3 8 5 3 2" xfId="13036" xr:uid="{00000000-0005-0000-0000-00001C330000}"/>
    <cellStyle name="Comma 3 8 5 3 3" xfId="13045" xr:uid="{00000000-0005-0000-0000-000025330000}"/>
    <cellStyle name="Comma 3 8 5 3 4" xfId="2243" xr:uid="{00000000-0005-0000-0000-0000F3080000}"/>
    <cellStyle name="Comma 3 8 5 3 5" xfId="28378" xr:uid="{00000000-0005-0000-0000-00000A6F0000}"/>
    <cellStyle name="Comma 3 8 5 3 6" xfId="28379" xr:uid="{00000000-0005-0000-0000-00000B6F0000}"/>
    <cellStyle name="Comma 3 8 5 4" xfId="28381" xr:uid="{00000000-0005-0000-0000-00000D6F0000}"/>
    <cellStyle name="Comma 3 8 5 4 2" xfId="13058" xr:uid="{00000000-0005-0000-0000-000032330000}"/>
    <cellStyle name="Comma 3 8 5 5" xfId="16303" xr:uid="{00000000-0005-0000-0000-0000DF3F0000}"/>
    <cellStyle name="Comma 3 8 5 6" xfId="28383" xr:uid="{00000000-0005-0000-0000-00000F6F0000}"/>
    <cellStyle name="Comma 3 8 5 7" xfId="28385" xr:uid="{00000000-0005-0000-0000-0000116F0000}"/>
    <cellStyle name="Comma 3 8 5 8" xfId="28387" xr:uid="{00000000-0005-0000-0000-0000136F0000}"/>
    <cellStyle name="Comma 3 8 5 9" xfId="28388" xr:uid="{00000000-0005-0000-0000-0000146F0000}"/>
    <cellStyle name="Comma 3 8 6" xfId="13768" xr:uid="{00000000-0005-0000-0000-0000F8350000}"/>
    <cellStyle name="Comma 3 8 6 10" xfId="28390" xr:uid="{00000000-0005-0000-0000-0000166F0000}"/>
    <cellStyle name="Comma 3 8 6 11" xfId="28392" xr:uid="{00000000-0005-0000-0000-0000186F0000}"/>
    <cellStyle name="Comma 3 8 6 12" xfId="28394" xr:uid="{00000000-0005-0000-0000-00001A6F0000}"/>
    <cellStyle name="Comma 3 8 6 2" xfId="16304" xr:uid="{00000000-0005-0000-0000-0000E03F0000}"/>
    <cellStyle name="Comma 3 8 6 2 2" xfId="13133" xr:uid="{00000000-0005-0000-0000-00007D330000}"/>
    <cellStyle name="Comma 3 8 6 2 2 2" xfId="16509" xr:uid="{00000000-0005-0000-0000-0000AD400000}"/>
    <cellStyle name="Comma 3 8 6 2 3" xfId="13137" xr:uid="{00000000-0005-0000-0000-000081330000}"/>
    <cellStyle name="Comma 3 8 6 2 4" xfId="13140" xr:uid="{00000000-0005-0000-0000-000084330000}"/>
    <cellStyle name="Comma 3 8 6 2 5" xfId="13144" xr:uid="{00000000-0005-0000-0000-000088330000}"/>
    <cellStyle name="Comma 3 8 6 2 6" xfId="10157" xr:uid="{00000000-0005-0000-0000-0000DD270000}"/>
    <cellStyle name="Comma 3 8 6 2 7" xfId="4915" xr:uid="{00000000-0005-0000-0000-000063130000}"/>
    <cellStyle name="Comma 3 8 6 2 8" xfId="28398" xr:uid="{00000000-0005-0000-0000-00001E6F0000}"/>
    <cellStyle name="Comma 3 8 6 2 9" xfId="28402" xr:uid="{00000000-0005-0000-0000-0000226F0000}"/>
    <cellStyle name="Comma 3 8 6 3" xfId="16308" xr:uid="{00000000-0005-0000-0000-0000E43F0000}"/>
    <cellStyle name="Comma 3 8 6 3 2" xfId="13154" xr:uid="{00000000-0005-0000-0000-000092330000}"/>
    <cellStyle name="Comma 3 8 6 3 3" xfId="13157" xr:uid="{00000000-0005-0000-0000-000095330000}"/>
    <cellStyle name="Comma 3 8 6 3 4" xfId="13159" xr:uid="{00000000-0005-0000-0000-000097330000}"/>
    <cellStyle name="Comma 3 8 6 3 5" xfId="28403" xr:uid="{00000000-0005-0000-0000-0000236F0000}"/>
    <cellStyle name="Comma 3 8 6 3 6" xfId="28404" xr:uid="{00000000-0005-0000-0000-0000246F0000}"/>
    <cellStyle name="Comma 3 8 6 4" xfId="16312" xr:uid="{00000000-0005-0000-0000-0000E83F0000}"/>
    <cellStyle name="Comma 3 8 6 4 2" xfId="28406" xr:uid="{00000000-0005-0000-0000-0000266F0000}"/>
    <cellStyle name="Comma 3 8 6 5" xfId="16316" xr:uid="{00000000-0005-0000-0000-0000EC3F0000}"/>
    <cellStyle name="Comma 3 8 6 6" xfId="16320" xr:uid="{00000000-0005-0000-0000-0000F03F0000}"/>
    <cellStyle name="Comma 3 8 6 7" xfId="28407" xr:uid="{00000000-0005-0000-0000-0000276F0000}"/>
    <cellStyle name="Comma 3 8 6 8" xfId="28408" xr:uid="{00000000-0005-0000-0000-0000286F0000}"/>
    <cellStyle name="Comma 3 8 6 9" xfId="28409" xr:uid="{00000000-0005-0000-0000-0000296F0000}"/>
    <cellStyle name="Comma 3 8 7" xfId="11778" xr:uid="{00000000-0005-0000-0000-0000322E0000}"/>
    <cellStyle name="Comma 3 8 7 2" xfId="16324" xr:uid="{00000000-0005-0000-0000-0000F43F0000}"/>
    <cellStyle name="Comma 3 8 7 2 2" xfId="9620" xr:uid="{00000000-0005-0000-0000-0000C4250000}"/>
    <cellStyle name="Comma 3 8 7 3" xfId="16330" xr:uid="{00000000-0005-0000-0000-0000FA3F0000}"/>
    <cellStyle name="Comma 3 8 7 4" xfId="16335" xr:uid="{00000000-0005-0000-0000-0000FF3F0000}"/>
    <cellStyle name="Comma 3 8 7 5" xfId="16340" xr:uid="{00000000-0005-0000-0000-000004400000}"/>
    <cellStyle name="Comma 3 8 7 6" xfId="16345" xr:uid="{00000000-0005-0000-0000-000009400000}"/>
    <cellStyle name="Comma 3 8 7 7" xfId="28411" xr:uid="{00000000-0005-0000-0000-00002B6F0000}"/>
    <cellStyle name="Comma 3 8 7 8" xfId="28413" xr:uid="{00000000-0005-0000-0000-00002D6F0000}"/>
    <cellStyle name="Comma 3 8 7 9" xfId="28414" xr:uid="{00000000-0005-0000-0000-00002E6F0000}"/>
    <cellStyle name="Comma 3 8 8" xfId="11786" xr:uid="{00000000-0005-0000-0000-00003A2E0000}"/>
    <cellStyle name="Comma 3 8 8 2" xfId="16350" xr:uid="{00000000-0005-0000-0000-00000E400000}"/>
    <cellStyle name="Comma 3 8 8 3" xfId="16355" xr:uid="{00000000-0005-0000-0000-000013400000}"/>
    <cellStyle name="Comma 3 8 8 4" xfId="16360" xr:uid="{00000000-0005-0000-0000-000018400000}"/>
    <cellStyle name="Comma 3 8 8 5" xfId="16365" xr:uid="{00000000-0005-0000-0000-00001D400000}"/>
    <cellStyle name="Comma 3 8 8 6" xfId="16371" xr:uid="{00000000-0005-0000-0000-000023400000}"/>
    <cellStyle name="Comma 3 8 9" xfId="11794" xr:uid="{00000000-0005-0000-0000-0000422E0000}"/>
    <cellStyle name="Comma 3 8 9 2" xfId="12162" xr:uid="{00000000-0005-0000-0000-0000B22F0000}"/>
    <cellStyle name="Comma 3 8 9 3" xfId="26092" xr:uid="{00000000-0005-0000-0000-00001C660000}"/>
    <cellStyle name="Comma 3 8 9 4" xfId="15858" xr:uid="{00000000-0005-0000-0000-0000223E0000}"/>
    <cellStyle name="Comma 3 8 9 5" xfId="26095" xr:uid="{00000000-0005-0000-0000-00001F660000}"/>
    <cellStyle name="Comma 3 8 9 6" xfId="26097" xr:uid="{00000000-0005-0000-0000-000021660000}"/>
    <cellStyle name="Comma 3 9" xfId="28415" xr:uid="{00000000-0005-0000-0000-00002F6F0000}"/>
    <cellStyle name="Comma 3 9 10" xfId="28418" xr:uid="{00000000-0005-0000-0000-0000326F0000}"/>
    <cellStyle name="Comma 3 9 11" xfId="23504" xr:uid="{00000000-0005-0000-0000-0000005C0000}"/>
    <cellStyle name="Comma 3 9 12" xfId="23543" xr:uid="{00000000-0005-0000-0000-0000275C0000}"/>
    <cellStyle name="Comma 3 9 13" xfId="12395" xr:uid="{00000000-0005-0000-0000-00009B300000}"/>
    <cellStyle name="Comma 3 9 14" xfId="12415" xr:uid="{00000000-0005-0000-0000-0000AF300000}"/>
    <cellStyle name="Comma 3 9 15" xfId="485" xr:uid="{00000000-0005-0000-0000-000004020000}"/>
    <cellStyle name="Comma 3 9 16" xfId="12462" xr:uid="{00000000-0005-0000-0000-0000DE300000}"/>
    <cellStyle name="Comma 3 9 17" xfId="12465" xr:uid="{00000000-0005-0000-0000-0000E1300000}"/>
    <cellStyle name="Comma 3 9 18" xfId="10613" xr:uid="{00000000-0005-0000-0000-0000A5290000}"/>
    <cellStyle name="Comma 3 9 2" xfId="28419" xr:uid="{00000000-0005-0000-0000-0000336F0000}"/>
    <cellStyle name="Comma 3 9 2 10" xfId="28420" xr:uid="{00000000-0005-0000-0000-0000346F0000}"/>
    <cellStyle name="Comma 3 9 2 11" xfId="28421" xr:uid="{00000000-0005-0000-0000-0000356F0000}"/>
    <cellStyle name="Comma 3 9 2 12" xfId="28422" xr:uid="{00000000-0005-0000-0000-0000366F0000}"/>
    <cellStyle name="Comma 3 9 2 13" xfId="28423" xr:uid="{00000000-0005-0000-0000-0000376F0000}"/>
    <cellStyle name="Comma 3 9 2 14" xfId="1227" xr:uid="{00000000-0005-0000-0000-0000FB040000}"/>
    <cellStyle name="Comma 3 9 2 2" xfId="28425" xr:uid="{00000000-0005-0000-0000-0000396F0000}"/>
    <cellStyle name="Comma 3 9 2 2 10" xfId="9923" xr:uid="{00000000-0005-0000-0000-0000F3260000}"/>
    <cellStyle name="Comma 3 9 2 2 2" xfId="28426" xr:uid="{00000000-0005-0000-0000-00003A6F0000}"/>
    <cellStyle name="Comma 3 9 2 2 2 2" xfId="14034" xr:uid="{00000000-0005-0000-0000-000002370000}"/>
    <cellStyle name="Comma 3 9 2 2 3" xfId="28428" xr:uid="{00000000-0005-0000-0000-00003C6F0000}"/>
    <cellStyle name="Comma 3 9 2 2 4" xfId="28430" xr:uid="{00000000-0005-0000-0000-00003E6F0000}"/>
    <cellStyle name="Comma 3 9 2 2 5" xfId="28431" xr:uid="{00000000-0005-0000-0000-00003F6F0000}"/>
    <cellStyle name="Comma 3 9 2 2 6" xfId="28432" xr:uid="{00000000-0005-0000-0000-0000406F0000}"/>
    <cellStyle name="Comma 3 9 2 2 7" xfId="28433" xr:uid="{00000000-0005-0000-0000-0000416F0000}"/>
    <cellStyle name="Comma 3 9 2 2 8" xfId="28434" xr:uid="{00000000-0005-0000-0000-0000426F0000}"/>
    <cellStyle name="Comma 3 9 2 2 9" xfId="28435" xr:uid="{00000000-0005-0000-0000-0000436F0000}"/>
    <cellStyle name="Comma 3 9 2 3" xfId="28436" xr:uid="{00000000-0005-0000-0000-0000446F0000}"/>
    <cellStyle name="Comma 3 9 2 3 2" xfId="13461" xr:uid="{00000000-0005-0000-0000-0000C5340000}"/>
    <cellStyle name="Comma 3 9 2 3 3" xfId="28437" xr:uid="{00000000-0005-0000-0000-0000456F0000}"/>
    <cellStyle name="Comma 3 9 2 3 4" xfId="28439" xr:uid="{00000000-0005-0000-0000-0000476F0000}"/>
    <cellStyle name="Comma 3 9 2 3 5" xfId="28440" xr:uid="{00000000-0005-0000-0000-0000486F0000}"/>
    <cellStyle name="Comma 3 9 2 3 6" xfId="28441" xr:uid="{00000000-0005-0000-0000-0000496F0000}"/>
    <cellStyle name="Comma 3 9 2 4" xfId="28444" xr:uid="{00000000-0005-0000-0000-00004C6F0000}"/>
    <cellStyle name="Comma 3 9 2 4 2" xfId="28446" xr:uid="{00000000-0005-0000-0000-00004E6F0000}"/>
    <cellStyle name="Comma 3 9 2 4 3" xfId="28448" xr:uid="{00000000-0005-0000-0000-0000506F0000}"/>
    <cellStyle name="Comma 3 9 2 4 4" xfId="13565" xr:uid="{00000000-0005-0000-0000-00002D350000}"/>
    <cellStyle name="Comma 3 9 2 4 5" xfId="28449" xr:uid="{00000000-0005-0000-0000-0000516F0000}"/>
    <cellStyle name="Comma 3 9 2 5" xfId="28454" xr:uid="{00000000-0005-0000-0000-0000566F0000}"/>
    <cellStyle name="Comma 3 9 2 6" xfId="28457" xr:uid="{00000000-0005-0000-0000-0000596F0000}"/>
    <cellStyle name="Comma 3 9 2 7" xfId="28460" xr:uid="{00000000-0005-0000-0000-00005C6F0000}"/>
    <cellStyle name="Comma 3 9 2 8" xfId="28463" xr:uid="{00000000-0005-0000-0000-00005F6F0000}"/>
    <cellStyle name="Comma 3 9 2 9" xfId="28466" xr:uid="{00000000-0005-0000-0000-0000626F0000}"/>
    <cellStyle name="Comma 3 9 3" xfId="28467" xr:uid="{00000000-0005-0000-0000-0000636F0000}"/>
    <cellStyle name="Comma 3 9 3 10" xfId="28470" xr:uid="{00000000-0005-0000-0000-0000666F0000}"/>
    <cellStyle name="Comma 3 9 3 11" xfId="21119" xr:uid="{00000000-0005-0000-0000-0000AF520000}"/>
    <cellStyle name="Comma 3 9 3 12" xfId="28473" xr:uid="{00000000-0005-0000-0000-0000696F0000}"/>
    <cellStyle name="Comma 3 9 3 2" xfId="28474" xr:uid="{00000000-0005-0000-0000-00006A6F0000}"/>
    <cellStyle name="Comma 3 9 3 2 2" xfId="28475" xr:uid="{00000000-0005-0000-0000-00006B6F0000}"/>
    <cellStyle name="Comma 3 9 3 2 2 2" xfId="20564" xr:uid="{00000000-0005-0000-0000-000084500000}"/>
    <cellStyle name="Comma 3 9 3 2 3" xfId="28476" xr:uid="{00000000-0005-0000-0000-00006C6F0000}"/>
    <cellStyle name="Comma 3 9 3 2 4" xfId="4825" xr:uid="{00000000-0005-0000-0000-000009130000}"/>
    <cellStyle name="Comma 3 9 3 2 5" xfId="28477" xr:uid="{00000000-0005-0000-0000-00006D6F0000}"/>
    <cellStyle name="Comma 3 9 3 3" xfId="28478" xr:uid="{00000000-0005-0000-0000-00006E6F0000}"/>
    <cellStyle name="Comma 3 9 3 3 2" xfId="28479" xr:uid="{00000000-0005-0000-0000-00006F6F0000}"/>
    <cellStyle name="Comma 3 9 3 4" xfId="28482" xr:uid="{00000000-0005-0000-0000-0000726F0000}"/>
    <cellStyle name="Comma 3 9 3 5" xfId="28485" xr:uid="{00000000-0005-0000-0000-0000756F0000}"/>
    <cellStyle name="Comma 3 9 3 6" xfId="28488" xr:uid="{00000000-0005-0000-0000-0000786F0000}"/>
    <cellStyle name="Comma 3 9 3 7" xfId="28491" xr:uid="{00000000-0005-0000-0000-00007B6F0000}"/>
    <cellStyle name="Comma 3 9 3 8" xfId="28493" xr:uid="{00000000-0005-0000-0000-00007D6F0000}"/>
    <cellStyle name="Comma 3 9 3 9" xfId="28495" xr:uid="{00000000-0005-0000-0000-00007F6F0000}"/>
    <cellStyle name="Comma 3 9 4" xfId="28496" xr:uid="{00000000-0005-0000-0000-0000806F0000}"/>
    <cellStyle name="Comma 3 9 4 10" xfId="28498" xr:uid="{00000000-0005-0000-0000-0000826F0000}"/>
    <cellStyle name="Comma 3 9 4 11" xfId="28500" xr:uid="{00000000-0005-0000-0000-0000846F0000}"/>
    <cellStyle name="Comma 3 9 4 2" xfId="16383" xr:uid="{00000000-0005-0000-0000-00002F400000}"/>
    <cellStyle name="Comma 3 9 4 2 2" xfId="7188" xr:uid="{00000000-0005-0000-0000-0000441C0000}"/>
    <cellStyle name="Comma 3 9 4 2 2 2" xfId="21059" xr:uid="{00000000-0005-0000-0000-000073520000}"/>
    <cellStyle name="Comma 3 9 4 2 3" xfId="7199" xr:uid="{00000000-0005-0000-0000-00004F1C0000}"/>
    <cellStyle name="Comma 3 9 4 2 4" xfId="4870" xr:uid="{00000000-0005-0000-0000-000036130000}"/>
    <cellStyle name="Comma 3 9 4 2 5" xfId="7207" xr:uid="{00000000-0005-0000-0000-0000571C0000}"/>
    <cellStyle name="Comma 3 9 4 3" xfId="16386" xr:uid="{00000000-0005-0000-0000-000032400000}"/>
    <cellStyle name="Comma 3 9 4 3 2" xfId="7247" xr:uid="{00000000-0005-0000-0000-00007F1C0000}"/>
    <cellStyle name="Comma 3 9 4 4" xfId="28503" xr:uid="{00000000-0005-0000-0000-0000876F0000}"/>
    <cellStyle name="Comma 3 9 4 5" xfId="16393" xr:uid="{00000000-0005-0000-0000-000039400000}"/>
    <cellStyle name="Comma 3 9 4 6" xfId="946" xr:uid="{00000000-0005-0000-0000-0000E2030000}"/>
    <cellStyle name="Comma 3 9 4 7" xfId="3612" xr:uid="{00000000-0005-0000-0000-00004C0E0000}"/>
    <cellStyle name="Comma 3 9 4 8" xfId="3664" xr:uid="{00000000-0005-0000-0000-0000800E0000}"/>
    <cellStyle name="Comma 3 9 4 9" xfId="3321" xr:uid="{00000000-0005-0000-0000-0000290D0000}"/>
    <cellStyle name="Comma 3 9 5" xfId="28504" xr:uid="{00000000-0005-0000-0000-0000886F0000}"/>
    <cellStyle name="Comma 3 9 5 10" xfId="28505" xr:uid="{00000000-0005-0000-0000-0000896F0000}"/>
    <cellStyle name="Comma 3 9 5 2" xfId="28506" xr:uid="{00000000-0005-0000-0000-00008A6F0000}"/>
    <cellStyle name="Comma 3 9 5 2 2" xfId="8684" xr:uid="{00000000-0005-0000-0000-00001C220000}"/>
    <cellStyle name="Comma 3 9 5 2 2 2" xfId="22938" xr:uid="{00000000-0005-0000-0000-0000CA590000}"/>
    <cellStyle name="Comma 3 9 5 2 3" xfId="8689" xr:uid="{00000000-0005-0000-0000-000021220000}"/>
    <cellStyle name="Comma 3 9 5 2 4" xfId="8696" xr:uid="{00000000-0005-0000-0000-000028220000}"/>
    <cellStyle name="Comma 3 9 5 2 5" xfId="8702" xr:uid="{00000000-0005-0000-0000-00002E220000}"/>
    <cellStyle name="Comma 3 9 5 3" xfId="28507" xr:uid="{00000000-0005-0000-0000-00008B6F0000}"/>
    <cellStyle name="Comma 3 9 5 3 2" xfId="8717" xr:uid="{00000000-0005-0000-0000-00003D220000}"/>
    <cellStyle name="Comma 3 9 5 4" xfId="28509" xr:uid="{00000000-0005-0000-0000-00008D6F0000}"/>
    <cellStyle name="Comma 3 9 5 5" xfId="16406" xr:uid="{00000000-0005-0000-0000-000046400000}"/>
    <cellStyle name="Comma 3 9 5 6" xfId="28511" xr:uid="{00000000-0005-0000-0000-00008F6F0000}"/>
    <cellStyle name="Comma 3 9 5 7" xfId="28513" xr:uid="{00000000-0005-0000-0000-0000916F0000}"/>
    <cellStyle name="Comma 3 9 5 8" xfId="28515" xr:uid="{00000000-0005-0000-0000-0000936F0000}"/>
    <cellStyle name="Comma 3 9 5 9" xfId="28517" xr:uid="{00000000-0005-0000-0000-0000956F0000}"/>
    <cellStyle name="Comma 3 9 6" xfId="16412" xr:uid="{00000000-0005-0000-0000-00004C400000}"/>
    <cellStyle name="Comma 3 9 6 2" xfId="16414" xr:uid="{00000000-0005-0000-0000-00004E400000}"/>
    <cellStyle name="Comma 3 9 6 2 2" xfId="8829" xr:uid="{00000000-0005-0000-0000-0000AD220000}"/>
    <cellStyle name="Comma 3 9 6 3" xfId="23076" xr:uid="{00000000-0005-0000-0000-0000545A0000}"/>
    <cellStyle name="Comma 3 9 6 4" xfId="23079" xr:uid="{00000000-0005-0000-0000-0000575A0000}"/>
    <cellStyle name="Comma 3 9 6 5" xfId="23082" xr:uid="{00000000-0005-0000-0000-00005A5A0000}"/>
    <cellStyle name="Comma 3 9 6 6" xfId="26132" xr:uid="{00000000-0005-0000-0000-000044660000}"/>
    <cellStyle name="Comma 3 9 6 7" xfId="28518" xr:uid="{00000000-0005-0000-0000-0000966F0000}"/>
    <cellStyle name="Comma 3 9 6 8" xfId="28519" xr:uid="{00000000-0005-0000-0000-0000976F0000}"/>
    <cellStyle name="Comma 3 9 6 9" xfId="28520" xr:uid="{00000000-0005-0000-0000-0000986F0000}"/>
    <cellStyle name="Comma 3 9 7" xfId="16418" xr:uid="{00000000-0005-0000-0000-000052400000}"/>
    <cellStyle name="Comma 3 9 7 2" xfId="21357" xr:uid="{00000000-0005-0000-0000-00009D530000}"/>
    <cellStyle name="Comma 3 9 8" xfId="16422" xr:uid="{00000000-0005-0000-0000-000056400000}"/>
    <cellStyle name="Comma 3 9 9" xfId="12173" xr:uid="{00000000-0005-0000-0000-0000BD2F0000}"/>
    <cellStyle name="Currency 2" xfId="28521" xr:uid="{00000000-0005-0000-0000-0000996F0000}"/>
    <cellStyle name="Currency 2 2" xfId="28522" xr:uid="{00000000-0005-0000-0000-00009A6F0000}"/>
    <cellStyle name="Currency 3" xfId="28523" xr:uid="{00000000-0005-0000-0000-00009B6F0000}"/>
    <cellStyle name="Currency 4" xfId="28524" xr:uid="{00000000-0005-0000-0000-00009C6F0000}"/>
    <cellStyle name="Explanatory Text 2" xfId="28129" xr:uid="{00000000-0005-0000-0000-0000116E0000}"/>
    <cellStyle name="Explanatory Text 2 2" xfId="20669" xr:uid="{00000000-0005-0000-0000-0000ED500000}"/>
    <cellStyle name="Explanatory Text 2 3" xfId="20673" xr:uid="{00000000-0005-0000-0000-0000F1500000}"/>
    <cellStyle name="Explanatory Text 2 4" xfId="13933" xr:uid="{00000000-0005-0000-0000-00009D360000}"/>
    <cellStyle name="Explanatory Text 2 5" xfId="28525" xr:uid="{00000000-0005-0000-0000-00009D6F0000}"/>
    <cellStyle name="Explanatory Text 3" xfId="28132" xr:uid="{00000000-0005-0000-0000-0000146E0000}"/>
    <cellStyle name="Good 2" xfId="27100" xr:uid="{00000000-0005-0000-0000-00000C6A0000}"/>
    <cellStyle name="Good 2 2" xfId="28526" xr:uid="{00000000-0005-0000-0000-00009E6F0000}"/>
    <cellStyle name="Good 2 2 2" xfId="917" xr:uid="{00000000-0005-0000-0000-0000C5030000}"/>
    <cellStyle name="Good 2 2 3" xfId="126" xr:uid="{00000000-0005-0000-0000-000088000000}"/>
    <cellStyle name="Good 2 2 4" xfId="937" xr:uid="{00000000-0005-0000-0000-0000D9030000}"/>
    <cellStyle name="Good 2 3" xfId="28527" xr:uid="{00000000-0005-0000-0000-00009F6F0000}"/>
    <cellStyle name="Good 2 4" xfId="28529" xr:uid="{00000000-0005-0000-0000-0000A16F0000}"/>
    <cellStyle name="Good 2 4 2" xfId="28530" xr:uid="{00000000-0005-0000-0000-0000A26F0000}"/>
    <cellStyle name="Good 2 5" xfId="28533" xr:uid="{00000000-0005-0000-0000-0000A56F0000}"/>
    <cellStyle name="Good 2 6" xfId="26449" xr:uid="{00000000-0005-0000-0000-000081670000}"/>
    <cellStyle name="Good 3" xfId="28535" xr:uid="{00000000-0005-0000-0000-0000A76F0000}"/>
    <cellStyle name="Heading 1 2" xfId="28538" xr:uid="{00000000-0005-0000-0000-0000AA6F0000}"/>
    <cellStyle name="Heading 1 2 2" xfId="8882" xr:uid="{00000000-0005-0000-0000-0000E2220000}"/>
    <cellStyle name="Heading 1 2 3" xfId="8892" xr:uid="{00000000-0005-0000-0000-0000EC220000}"/>
    <cellStyle name="Heading 1 2 4" xfId="8901" xr:uid="{00000000-0005-0000-0000-0000F5220000}"/>
    <cellStyle name="Heading 1 2 5" xfId="8913" xr:uid="{00000000-0005-0000-0000-000001230000}"/>
    <cellStyle name="Heading 1 3" xfId="28540" xr:uid="{00000000-0005-0000-0000-0000AC6F0000}"/>
    <cellStyle name="Heading 2 2" xfId="19726" xr:uid="{00000000-0005-0000-0000-00003E4D0000}"/>
    <cellStyle name="Heading 2 2 2" xfId="9693" xr:uid="{00000000-0005-0000-0000-00000D260000}"/>
    <cellStyle name="Heading 2 2 3" xfId="9699" xr:uid="{00000000-0005-0000-0000-000013260000}"/>
    <cellStyle name="Heading 2 2 4" xfId="9709" xr:uid="{00000000-0005-0000-0000-00001D260000}"/>
    <cellStyle name="Heading 2 2 5" xfId="17057" xr:uid="{00000000-0005-0000-0000-0000D1420000}"/>
    <cellStyle name="Heading 2 3" xfId="19729" xr:uid="{00000000-0005-0000-0000-0000414D0000}"/>
    <cellStyle name="Heading 3 2" xfId="28541" xr:uid="{00000000-0005-0000-0000-0000AD6F0000}"/>
    <cellStyle name="Heading 3 2 2" xfId="28542" xr:uid="{00000000-0005-0000-0000-0000AE6F0000}"/>
    <cellStyle name="Heading 3 2 3" xfId="28543" xr:uid="{00000000-0005-0000-0000-0000AF6F0000}"/>
    <cellStyle name="Heading 3 2 4" xfId="28544" xr:uid="{00000000-0005-0000-0000-0000B06F0000}"/>
    <cellStyle name="Heading 3 2 5" xfId="28545" xr:uid="{00000000-0005-0000-0000-0000B16F0000}"/>
    <cellStyle name="Heading 3 3" xfId="28546" xr:uid="{00000000-0005-0000-0000-0000B26F0000}"/>
    <cellStyle name="Heading 4 2" xfId="28548" xr:uid="{00000000-0005-0000-0000-0000B46F0000}"/>
    <cellStyle name="Heading 4 2 2" xfId="28549" xr:uid="{00000000-0005-0000-0000-0000B56F0000}"/>
    <cellStyle name="Heading 4 2 3" xfId="28550" xr:uid="{00000000-0005-0000-0000-0000B66F0000}"/>
    <cellStyle name="Heading 4 2 4" xfId="28551" xr:uid="{00000000-0005-0000-0000-0000B76F0000}"/>
    <cellStyle name="Heading 4 2 5" xfId="28552" xr:uid="{00000000-0005-0000-0000-0000B86F0000}"/>
    <cellStyle name="Heading 4 3" xfId="28553" xr:uid="{00000000-0005-0000-0000-0000B96F0000}"/>
    <cellStyle name="Hyperlink 2" xfId="28556" xr:uid="{00000000-0005-0000-0000-0000BC6F0000}"/>
    <cellStyle name="Hyperlink 2 10" xfId="28557" xr:uid="{00000000-0005-0000-0000-0000BD6F0000}"/>
    <cellStyle name="Hyperlink 2 10 2" xfId="28558" xr:uid="{00000000-0005-0000-0000-0000BE6F0000}"/>
    <cellStyle name="Hyperlink 2 10 3" xfId="28562" xr:uid="{00000000-0005-0000-0000-0000C26F0000}"/>
    <cellStyle name="Hyperlink 2 10 4" xfId="28564" xr:uid="{00000000-0005-0000-0000-0000C46F0000}"/>
    <cellStyle name="Hyperlink 2 11" xfId="92" xr:uid="{00000000-0005-0000-0000-000062000000}"/>
    <cellStyle name="Hyperlink 2 11 2" xfId="28565" xr:uid="{00000000-0005-0000-0000-0000C56F0000}"/>
    <cellStyle name="Hyperlink 2 11 3" xfId="28568" xr:uid="{00000000-0005-0000-0000-0000C86F0000}"/>
    <cellStyle name="Hyperlink 2 11 4" xfId="28570" xr:uid="{00000000-0005-0000-0000-0000CA6F0000}"/>
    <cellStyle name="Hyperlink 2 12" xfId="10446" xr:uid="{00000000-0005-0000-0000-0000FE280000}"/>
    <cellStyle name="Hyperlink 2 12 2" xfId="10451" xr:uid="{00000000-0005-0000-0000-000003290000}"/>
    <cellStyle name="Hyperlink 2 12 3" xfId="10462" xr:uid="{00000000-0005-0000-0000-00000E290000}"/>
    <cellStyle name="Hyperlink 2 12 4" xfId="10468" xr:uid="{00000000-0005-0000-0000-000014290000}"/>
    <cellStyle name="Hyperlink 2 13" xfId="5204" xr:uid="{00000000-0005-0000-0000-000084140000}"/>
    <cellStyle name="Hyperlink 2 13 2" xfId="10476" xr:uid="{00000000-0005-0000-0000-00001C290000}"/>
    <cellStyle name="Hyperlink 2 13 3" xfId="28574" xr:uid="{00000000-0005-0000-0000-0000CE6F0000}"/>
    <cellStyle name="Hyperlink 2 13 4" xfId="28577" xr:uid="{00000000-0005-0000-0000-0000D16F0000}"/>
    <cellStyle name="Hyperlink 2 14" xfId="10482" xr:uid="{00000000-0005-0000-0000-000022290000}"/>
    <cellStyle name="Hyperlink 2 14 2" xfId="10779" xr:uid="{00000000-0005-0000-0000-00004B2A0000}"/>
    <cellStyle name="Hyperlink 2 14 3" xfId="10786" xr:uid="{00000000-0005-0000-0000-0000522A0000}"/>
    <cellStyle name="Hyperlink 2 14 4" xfId="10793" xr:uid="{00000000-0005-0000-0000-0000592A0000}"/>
    <cellStyle name="Hyperlink 2 15" xfId="10485" xr:uid="{00000000-0005-0000-0000-000025290000}"/>
    <cellStyle name="Hyperlink 2 15 2" xfId="28578" xr:uid="{00000000-0005-0000-0000-0000D26F0000}"/>
    <cellStyle name="Hyperlink 2 15 3" xfId="28580" xr:uid="{00000000-0005-0000-0000-0000D46F0000}"/>
    <cellStyle name="Hyperlink 2 15 4" xfId="28582" xr:uid="{00000000-0005-0000-0000-0000D66F0000}"/>
    <cellStyle name="Hyperlink 2 16" xfId="10489" xr:uid="{00000000-0005-0000-0000-000029290000}"/>
    <cellStyle name="Hyperlink 2 16 2" xfId="28585" xr:uid="{00000000-0005-0000-0000-0000D96F0000}"/>
    <cellStyle name="Hyperlink 2 16 3" xfId="28589" xr:uid="{00000000-0005-0000-0000-0000DD6F0000}"/>
    <cellStyle name="Hyperlink 2 16 4" xfId="28593" xr:uid="{00000000-0005-0000-0000-0000E16F0000}"/>
    <cellStyle name="Hyperlink 2 17" xfId="10493" xr:uid="{00000000-0005-0000-0000-00002D290000}"/>
    <cellStyle name="Hyperlink 2 17 2" xfId="28598" xr:uid="{00000000-0005-0000-0000-0000E66F0000}"/>
    <cellStyle name="Hyperlink 2 17 3" xfId="28602" xr:uid="{00000000-0005-0000-0000-0000EA6F0000}"/>
    <cellStyle name="Hyperlink 2 17 4" xfId="28606" xr:uid="{00000000-0005-0000-0000-0000EE6F0000}"/>
    <cellStyle name="Hyperlink 2 18" xfId="10496" xr:uid="{00000000-0005-0000-0000-000030290000}"/>
    <cellStyle name="Hyperlink 2 18 2" xfId="28611" xr:uid="{00000000-0005-0000-0000-0000F36F0000}"/>
    <cellStyle name="Hyperlink 2 18 3" xfId="28616" xr:uid="{00000000-0005-0000-0000-0000F86F0000}"/>
    <cellStyle name="Hyperlink 2 18 4" xfId="28620" xr:uid="{00000000-0005-0000-0000-0000FC6F0000}"/>
    <cellStyle name="Hyperlink 2 19" xfId="10499" xr:uid="{00000000-0005-0000-0000-000033290000}"/>
    <cellStyle name="Hyperlink 2 19 2" xfId="5118" xr:uid="{00000000-0005-0000-0000-00002E140000}"/>
    <cellStyle name="Hyperlink 2 19 3" xfId="362" xr:uid="{00000000-0005-0000-0000-000082010000}"/>
    <cellStyle name="Hyperlink 2 19 4" xfId="5140" xr:uid="{00000000-0005-0000-0000-000044140000}"/>
    <cellStyle name="Hyperlink 2 2" xfId="28625" xr:uid="{00000000-0005-0000-0000-000001700000}"/>
    <cellStyle name="Hyperlink 2 2 2" xfId="28627" xr:uid="{00000000-0005-0000-0000-000003700000}"/>
    <cellStyle name="Hyperlink 2 2 3" xfId="28628" xr:uid="{00000000-0005-0000-0000-000004700000}"/>
    <cellStyle name="Hyperlink 2 2 4" xfId="28631" xr:uid="{00000000-0005-0000-0000-000007700000}"/>
    <cellStyle name="Hyperlink 2 2 5" xfId="24176" xr:uid="{00000000-0005-0000-0000-0000A05E0000}"/>
    <cellStyle name="Hyperlink 2 2 6" xfId="24181" xr:uid="{00000000-0005-0000-0000-0000A55E0000}"/>
    <cellStyle name="Hyperlink 2 2 7" xfId="19437" xr:uid="{00000000-0005-0000-0000-00001D4C0000}"/>
    <cellStyle name="Hyperlink 2 20" xfId="10486" xr:uid="{00000000-0005-0000-0000-000026290000}"/>
    <cellStyle name="Hyperlink 2 20 2" xfId="28579" xr:uid="{00000000-0005-0000-0000-0000D36F0000}"/>
    <cellStyle name="Hyperlink 2 20 3" xfId="28581" xr:uid="{00000000-0005-0000-0000-0000D56F0000}"/>
    <cellStyle name="Hyperlink 2 20 4" xfId="28583" xr:uid="{00000000-0005-0000-0000-0000D76F0000}"/>
    <cellStyle name="Hyperlink 2 21" xfId="10490" xr:uid="{00000000-0005-0000-0000-00002A290000}"/>
    <cellStyle name="Hyperlink 2 21 2" xfId="28586" xr:uid="{00000000-0005-0000-0000-0000DA6F0000}"/>
    <cellStyle name="Hyperlink 2 21 3" xfId="28590" xr:uid="{00000000-0005-0000-0000-0000DE6F0000}"/>
    <cellStyle name="Hyperlink 2 21 4" xfId="28594" xr:uid="{00000000-0005-0000-0000-0000E26F0000}"/>
    <cellStyle name="Hyperlink 2 22" xfId="10494" xr:uid="{00000000-0005-0000-0000-00002E290000}"/>
    <cellStyle name="Hyperlink 2 22 2" xfId="28599" xr:uid="{00000000-0005-0000-0000-0000E76F0000}"/>
    <cellStyle name="Hyperlink 2 22 3" xfId="28603" xr:uid="{00000000-0005-0000-0000-0000EB6F0000}"/>
    <cellStyle name="Hyperlink 2 22 4" xfId="28607" xr:uid="{00000000-0005-0000-0000-0000EF6F0000}"/>
    <cellStyle name="Hyperlink 2 23" xfId="10497" xr:uid="{00000000-0005-0000-0000-000031290000}"/>
    <cellStyle name="Hyperlink 2 23 2" xfId="28612" xr:uid="{00000000-0005-0000-0000-0000F46F0000}"/>
    <cellStyle name="Hyperlink 2 23 3" xfId="28617" xr:uid="{00000000-0005-0000-0000-0000F96F0000}"/>
    <cellStyle name="Hyperlink 2 23 4" xfId="28621" xr:uid="{00000000-0005-0000-0000-0000FD6F0000}"/>
    <cellStyle name="Hyperlink 2 24" xfId="10500" xr:uid="{00000000-0005-0000-0000-000034290000}"/>
    <cellStyle name="Hyperlink 2 24 2" xfId="5119" xr:uid="{00000000-0005-0000-0000-00002F140000}"/>
    <cellStyle name="Hyperlink 2 24 3" xfId="363" xr:uid="{00000000-0005-0000-0000-000083010000}"/>
    <cellStyle name="Hyperlink 2 24 4" xfId="5141" xr:uid="{00000000-0005-0000-0000-000045140000}"/>
    <cellStyle name="Hyperlink 2 25" xfId="21979" xr:uid="{00000000-0005-0000-0000-00000B560000}"/>
    <cellStyle name="Hyperlink 2 25 2" xfId="21984" xr:uid="{00000000-0005-0000-0000-000010560000}"/>
    <cellStyle name="Hyperlink 2 25 3" xfId="28635" xr:uid="{00000000-0005-0000-0000-00000B700000}"/>
    <cellStyle name="Hyperlink 2 25 4" xfId="28637" xr:uid="{00000000-0005-0000-0000-00000D700000}"/>
    <cellStyle name="Hyperlink 2 26" xfId="21986" xr:uid="{00000000-0005-0000-0000-000012560000}"/>
    <cellStyle name="Hyperlink 2 26 2" xfId="19508" xr:uid="{00000000-0005-0000-0000-0000644C0000}"/>
    <cellStyle name="Hyperlink 2 26 3" xfId="28638" xr:uid="{00000000-0005-0000-0000-00000E700000}"/>
    <cellStyle name="Hyperlink 2 26 4" xfId="28640" xr:uid="{00000000-0005-0000-0000-000010700000}"/>
    <cellStyle name="Hyperlink 2 27" xfId="21990" xr:uid="{00000000-0005-0000-0000-000016560000}"/>
    <cellStyle name="Hyperlink 2 27 2" xfId="28641" xr:uid="{00000000-0005-0000-0000-000011700000}"/>
    <cellStyle name="Hyperlink 2 27 3" xfId="28642" xr:uid="{00000000-0005-0000-0000-000012700000}"/>
    <cellStyle name="Hyperlink 2 27 4" xfId="28643" xr:uid="{00000000-0005-0000-0000-000013700000}"/>
    <cellStyle name="Hyperlink 2 28" xfId="20159" xr:uid="{00000000-0005-0000-0000-0000EF4E0000}"/>
    <cellStyle name="Hyperlink 2 28 2" xfId="28645" xr:uid="{00000000-0005-0000-0000-000015700000}"/>
    <cellStyle name="Hyperlink 2 28 3" xfId="28646" xr:uid="{00000000-0005-0000-0000-000016700000}"/>
    <cellStyle name="Hyperlink 2 28 4" xfId="28650" xr:uid="{00000000-0005-0000-0000-00001A700000}"/>
    <cellStyle name="Hyperlink 2 29" xfId="21994" xr:uid="{00000000-0005-0000-0000-00001A560000}"/>
    <cellStyle name="Hyperlink 2 3" xfId="28653" xr:uid="{00000000-0005-0000-0000-00001D700000}"/>
    <cellStyle name="Hyperlink 2 3 2" xfId="28655" xr:uid="{00000000-0005-0000-0000-00001F700000}"/>
    <cellStyle name="Hyperlink 2 3 3" xfId="28656" xr:uid="{00000000-0005-0000-0000-000020700000}"/>
    <cellStyle name="Hyperlink 2 3 4" xfId="28658" xr:uid="{00000000-0005-0000-0000-000022700000}"/>
    <cellStyle name="Hyperlink 2 30" xfId="21980" xr:uid="{00000000-0005-0000-0000-00000C560000}"/>
    <cellStyle name="Hyperlink 2 31" xfId="21987" xr:uid="{00000000-0005-0000-0000-000013560000}"/>
    <cellStyle name="Hyperlink 2 32" xfId="21991" xr:uid="{00000000-0005-0000-0000-000017560000}"/>
    <cellStyle name="Hyperlink 2 33" xfId="20160" xr:uid="{00000000-0005-0000-0000-0000F04E0000}"/>
    <cellStyle name="Hyperlink 2 34" xfId="21995" xr:uid="{00000000-0005-0000-0000-00001B560000}"/>
    <cellStyle name="Hyperlink 2 35" xfId="21999" xr:uid="{00000000-0005-0000-0000-00001F560000}"/>
    <cellStyle name="Hyperlink 2 36" xfId="22003" xr:uid="{00000000-0005-0000-0000-000023560000}"/>
    <cellStyle name="Hyperlink 2 37" xfId="1062" xr:uid="{00000000-0005-0000-0000-000056040000}"/>
    <cellStyle name="Hyperlink 2 38" xfId="28660" xr:uid="{00000000-0005-0000-0000-000024700000}"/>
    <cellStyle name="Hyperlink 2 39" xfId="28662" xr:uid="{00000000-0005-0000-0000-000026700000}"/>
    <cellStyle name="Hyperlink 2 4" xfId="28664" xr:uid="{00000000-0005-0000-0000-000028700000}"/>
    <cellStyle name="Hyperlink 2 4 2" xfId="28668" xr:uid="{00000000-0005-0000-0000-00002C700000}"/>
    <cellStyle name="Hyperlink 2 4 3" xfId="28670" xr:uid="{00000000-0005-0000-0000-00002E700000}"/>
    <cellStyle name="Hyperlink 2 4 4" xfId="28672" xr:uid="{00000000-0005-0000-0000-000030700000}"/>
    <cellStyle name="Hyperlink 2 40" xfId="22000" xr:uid="{00000000-0005-0000-0000-000020560000}"/>
    <cellStyle name="Hyperlink 2 41" xfId="22004" xr:uid="{00000000-0005-0000-0000-000024560000}"/>
    <cellStyle name="Hyperlink 2 42" xfId="1063" xr:uid="{00000000-0005-0000-0000-000057040000}"/>
    <cellStyle name="Hyperlink 2 43" xfId="28661" xr:uid="{00000000-0005-0000-0000-000025700000}"/>
    <cellStyle name="Hyperlink 2 44" xfId="28663" xr:uid="{00000000-0005-0000-0000-000027700000}"/>
    <cellStyle name="Hyperlink 2 45" xfId="28675" xr:uid="{00000000-0005-0000-0000-000033700000}"/>
    <cellStyle name="Hyperlink 2 46" xfId="28676" xr:uid="{00000000-0005-0000-0000-000034700000}"/>
    <cellStyle name="Hyperlink 2 47" xfId="28677" xr:uid="{00000000-0005-0000-0000-000035700000}"/>
    <cellStyle name="Hyperlink 2 47 2" xfId="28678" xr:uid="{00000000-0005-0000-0000-000036700000}"/>
    <cellStyle name="Hyperlink 2 48" xfId="28679" xr:uid="{00000000-0005-0000-0000-000037700000}"/>
    <cellStyle name="Hyperlink 2 49" xfId="28681" xr:uid="{00000000-0005-0000-0000-000039700000}"/>
    <cellStyle name="Hyperlink 2 5" xfId="28682" xr:uid="{00000000-0005-0000-0000-00003A700000}"/>
    <cellStyle name="Hyperlink 2 5 2" xfId="28685" xr:uid="{00000000-0005-0000-0000-00003D700000}"/>
    <cellStyle name="Hyperlink 2 5 3" xfId="28686" xr:uid="{00000000-0005-0000-0000-00003E700000}"/>
    <cellStyle name="Hyperlink 2 5 4" xfId="28687" xr:uid="{00000000-0005-0000-0000-00003F700000}"/>
    <cellStyle name="Hyperlink 2 6" xfId="28688" xr:uid="{00000000-0005-0000-0000-000040700000}"/>
    <cellStyle name="Hyperlink 2 6 2" xfId="28691" xr:uid="{00000000-0005-0000-0000-000043700000}"/>
    <cellStyle name="Hyperlink 2 6 3" xfId="28692" xr:uid="{00000000-0005-0000-0000-000044700000}"/>
    <cellStyle name="Hyperlink 2 6 4" xfId="28693" xr:uid="{00000000-0005-0000-0000-000045700000}"/>
    <cellStyle name="Hyperlink 2 7" xfId="10372" xr:uid="{00000000-0005-0000-0000-0000B4280000}"/>
    <cellStyle name="Hyperlink 2 7 2" xfId="28694" xr:uid="{00000000-0005-0000-0000-000046700000}"/>
    <cellStyle name="Hyperlink 2 7 3" xfId="28695" xr:uid="{00000000-0005-0000-0000-000047700000}"/>
    <cellStyle name="Hyperlink 2 7 4" xfId="28696" xr:uid="{00000000-0005-0000-0000-000048700000}"/>
    <cellStyle name="Hyperlink 2 8" xfId="10379" xr:uid="{00000000-0005-0000-0000-0000BB280000}"/>
    <cellStyle name="Hyperlink 2 8 2" xfId="28697" xr:uid="{00000000-0005-0000-0000-000049700000}"/>
    <cellStyle name="Hyperlink 2 8 3" xfId="28698" xr:uid="{00000000-0005-0000-0000-00004A700000}"/>
    <cellStyle name="Hyperlink 2 8 4" xfId="28699" xr:uid="{00000000-0005-0000-0000-00004B700000}"/>
    <cellStyle name="Hyperlink 2 9" xfId="10382" xr:uid="{00000000-0005-0000-0000-0000BE280000}"/>
    <cellStyle name="Hyperlink 2 9 2" xfId="11244" xr:uid="{00000000-0005-0000-0000-00001C2C0000}"/>
    <cellStyle name="Hyperlink 2 9 3" xfId="28700" xr:uid="{00000000-0005-0000-0000-00004C700000}"/>
    <cellStyle name="Hyperlink 2 9 4" xfId="28701" xr:uid="{00000000-0005-0000-0000-00004D700000}"/>
    <cellStyle name="Hyperlink 2_Metadata" xfId="28702" xr:uid="{00000000-0005-0000-0000-00004E700000}"/>
    <cellStyle name="Hyperlink 3" xfId="23382" xr:uid="{00000000-0005-0000-0000-0000865B0000}"/>
    <cellStyle name="Hyperlink 3 10" xfId="28704" xr:uid="{00000000-0005-0000-0000-000050700000}"/>
    <cellStyle name="Hyperlink 3 11" xfId="28706" xr:uid="{00000000-0005-0000-0000-000052700000}"/>
    <cellStyle name="Hyperlink 3 12" xfId="28709" xr:uid="{00000000-0005-0000-0000-000055700000}"/>
    <cellStyle name="Hyperlink 3 2" xfId="23386" xr:uid="{00000000-0005-0000-0000-00008A5B0000}"/>
    <cellStyle name="Hyperlink 3 3" xfId="28712" xr:uid="{00000000-0005-0000-0000-000058700000}"/>
    <cellStyle name="Hyperlink 3 4" xfId="28713" xr:uid="{00000000-0005-0000-0000-000059700000}"/>
    <cellStyle name="Hyperlink 3 5" xfId="28717" xr:uid="{00000000-0005-0000-0000-00005D700000}"/>
    <cellStyle name="Hyperlink 3 6" xfId="28720" xr:uid="{00000000-0005-0000-0000-000060700000}"/>
    <cellStyle name="Hyperlink 3 7" xfId="28723" xr:uid="{00000000-0005-0000-0000-000063700000}"/>
    <cellStyle name="Hyperlink 3 8" xfId="14435" xr:uid="{00000000-0005-0000-0000-000093380000}"/>
    <cellStyle name="Hyperlink 3 9" xfId="28727" xr:uid="{00000000-0005-0000-0000-000067700000}"/>
    <cellStyle name="Hyperlink 3_SU" xfId="28731" xr:uid="{00000000-0005-0000-0000-00006B700000}"/>
    <cellStyle name="Hyperlink 4" xfId="23391" xr:uid="{00000000-0005-0000-0000-00008F5B0000}"/>
    <cellStyle name="Hyperlink 4 2" xfId="28734" xr:uid="{00000000-0005-0000-0000-00006E700000}"/>
    <cellStyle name="Hyperlink 4 3" xfId="28737" xr:uid="{00000000-0005-0000-0000-000071700000}"/>
    <cellStyle name="Hyperlink 4 4" xfId="28741" xr:uid="{00000000-0005-0000-0000-000075700000}"/>
    <cellStyle name="Hyperlink 4 5" xfId="28743" xr:uid="{00000000-0005-0000-0000-000077700000}"/>
    <cellStyle name="Hyperlink 4 6" xfId="28747" xr:uid="{00000000-0005-0000-0000-00007B700000}"/>
    <cellStyle name="Hyperlink 5" xfId="14259" xr:uid="{00000000-0005-0000-0000-0000E3370000}"/>
    <cellStyle name="Hyperlink 5 2" xfId="28751" xr:uid="{00000000-0005-0000-0000-00007F700000}"/>
    <cellStyle name="Hyperlink 6" xfId="14264" xr:uid="{00000000-0005-0000-0000-0000E8370000}"/>
    <cellStyle name="Input 2" xfId="17424" xr:uid="{00000000-0005-0000-0000-000040440000}"/>
    <cellStyle name="Input 2 10" xfId="223" xr:uid="{00000000-0005-0000-0000-0000EF000000}"/>
    <cellStyle name="Input 2 10 2" xfId="286" xr:uid="{00000000-0005-0000-0000-000031010000}"/>
    <cellStyle name="Input 2 10 2 2" xfId="8130" xr:uid="{00000000-0005-0000-0000-0000F21F0000}"/>
    <cellStyle name="Input 2 10 3" xfId="315" xr:uid="{00000000-0005-0000-0000-000050010000}"/>
    <cellStyle name="Input 2 10 4" xfId="183" xr:uid="{00000000-0005-0000-0000-0000C5000000}"/>
    <cellStyle name="Input 2 11" xfId="15235" xr:uid="{00000000-0005-0000-0000-0000B33B0000}"/>
    <cellStyle name="Input 2 11 2" xfId="22404" xr:uid="{00000000-0005-0000-0000-0000B4570000}"/>
    <cellStyle name="Input 2 12" xfId="15779" xr:uid="{00000000-0005-0000-0000-0000D33D0000}"/>
    <cellStyle name="Input 2 12 2" xfId="19846" xr:uid="{00000000-0005-0000-0000-0000B64D0000}"/>
    <cellStyle name="Input 2 13" xfId="24069" xr:uid="{00000000-0005-0000-0000-0000355E0000}"/>
    <cellStyle name="Input 2 14" xfId="24081" xr:uid="{00000000-0005-0000-0000-0000415E0000}"/>
    <cellStyle name="Input 2 15" xfId="24119" xr:uid="{00000000-0005-0000-0000-0000675E0000}"/>
    <cellStyle name="Input 2 2" xfId="28753" xr:uid="{00000000-0005-0000-0000-000081700000}"/>
    <cellStyle name="Input 2 2 10" xfId="28755" xr:uid="{00000000-0005-0000-0000-000083700000}"/>
    <cellStyle name="Input 2 2 10 2" xfId="23146" xr:uid="{00000000-0005-0000-0000-00009A5A0000}"/>
    <cellStyle name="Input 2 2 11" xfId="28756" xr:uid="{00000000-0005-0000-0000-000084700000}"/>
    <cellStyle name="Input 2 2 12" xfId="28759" xr:uid="{00000000-0005-0000-0000-000087700000}"/>
    <cellStyle name="Input 2 2 13" xfId="28762" xr:uid="{00000000-0005-0000-0000-00008A700000}"/>
    <cellStyle name="Input 2 2 2" xfId="28763" xr:uid="{00000000-0005-0000-0000-00008B700000}"/>
    <cellStyle name="Input 2 2 2 10" xfId="28767" xr:uid="{00000000-0005-0000-0000-00008F700000}"/>
    <cellStyle name="Input 2 2 2 11" xfId="28769" xr:uid="{00000000-0005-0000-0000-000091700000}"/>
    <cellStyle name="Input 2 2 2 2" xfId="28770" xr:uid="{00000000-0005-0000-0000-000092700000}"/>
    <cellStyle name="Input 2 2 2 2 10" xfId="28771" xr:uid="{00000000-0005-0000-0000-000093700000}"/>
    <cellStyle name="Input 2 2 2 2 11" xfId="28772" xr:uid="{00000000-0005-0000-0000-000094700000}"/>
    <cellStyle name="Input 2 2 2 2 12" xfId="28773" xr:uid="{00000000-0005-0000-0000-000095700000}"/>
    <cellStyle name="Input 2 2 2 2 2" xfId="8512" xr:uid="{00000000-0005-0000-0000-000070210000}"/>
    <cellStyle name="Input 2 2 2 2 2 2" xfId="28774" xr:uid="{00000000-0005-0000-0000-000096700000}"/>
    <cellStyle name="Input 2 2 2 2 3" xfId="11158" xr:uid="{00000000-0005-0000-0000-0000C62B0000}"/>
    <cellStyle name="Input 2 2 2 2 3 2" xfId="28775" xr:uid="{00000000-0005-0000-0000-000097700000}"/>
    <cellStyle name="Input 2 2 2 2 4" xfId="11160" xr:uid="{00000000-0005-0000-0000-0000C82B0000}"/>
    <cellStyle name="Input 2 2 2 2 4 2" xfId="28776" xr:uid="{00000000-0005-0000-0000-000098700000}"/>
    <cellStyle name="Input 2 2 2 2 5" xfId="28777" xr:uid="{00000000-0005-0000-0000-000099700000}"/>
    <cellStyle name="Input 2 2 2 2 5 2" xfId="28779" xr:uid="{00000000-0005-0000-0000-00009B700000}"/>
    <cellStyle name="Input 2 2 2 2 6" xfId="28780" xr:uid="{00000000-0005-0000-0000-00009C700000}"/>
    <cellStyle name="Input 2 2 2 2 6 2" xfId="28782" xr:uid="{00000000-0005-0000-0000-00009E700000}"/>
    <cellStyle name="Input 2 2 2 2 7" xfId="28783" xr:uid="{00000000-0005-0000-0000-00009F700000}"/>
    <cellStyle name="Input 2 2 2 2 7 2" xfId="28784" xr:uid="{00000000-0005-0000-0000-0000A0700000}"/>
    <cellStyle name="Input 2 2 2 2 8" xfId="28785" xr:uid="{00000000-0005-0000-0000-0000A1700000}"/>
    <cellStyle name="Input 2 2 2 2 9" xfId="28786" xr:uid="{00000000-0005-0000-0000-0000A2700000}"/>
    <cellStyle name="Input 2 2 2 3" xfId="28787" xr:uid="{00000000-0005-0000-0000-0000A3700000}"/>
    <cellStyle name="Input 2 2 2 3 2" xfId="8583" xr:uid="{00000000-0005-0000-0000-0000B7210000}"/>
    <cellStyle name="Input 2 2 2 3 2 2" xfId="22395" xr:uid="{00000000-0005-0000-0000-0000AB570000}"/>
    <cellStyle name="Input 2 2 2 3 3" xfId="11176" xr:uid="{00000000-0005-0000-0000-0000D82B0000}"/>
    <cellStyle name="Input 2 2 2 3 4" xfId="11183" xr:uid="{00000000-0005-0000-0000-0000DF2B0000}"/>
    <cellStyle name="Input 2 2 2 4" xfId="28788" xr:uid="{00000000-0005-0000-0000-0000A4700000}"/>
    <cellStyle name="Input 2 2 2 4 2" xfId="1530" xr:uid="{00000000-0005-0000-0000-00002A060000}"/>
    <cellStyle name="Input 2 2 2 4 2 2" xfId="27000" xr:uid="{00000000-0005-0000-0000-0000A8690000}"/>
    <cellStyle name="Input 2 2 2 4 3" xfId="11195" xr:uid="{00000000-0005-0000-0000-0000EB2B0000}"/>
    <cellStyle name="Input 2 2 2 4 4" xfId="13471" xr:uid="{00000000-0005-0000-0000-0000CF340000}"/>
    <cellStyle name="Input 2 2 2 5" xfId="28789" xr:uid="{00000000-0005-0000-0000-0000A5700000}"/>
    <cellStyle name="Input 2 2 2 5 2" xfId="27007" xr:uid="{00000000-0005-0000-0000-0000AF690000}"/>
    <cellStyle name="Input 2 2 2 5 2 2" xfId="22559" xr:uid="{00000000-0005-0000-0000-00004F580000}"/>
    <cellStyle name="Input 2 2 2 5 3" xfId="27010" xr:uid="{00000000-0005-0000-0000-0000B2690000}"/>
    <cellStyle name="Input 2 2 2 5 4" xfId="19211" xr:uid="{00000000-0005-0000-0000-00003B4B0000}"/>
    <cellStyle name="Input 2 2 2 6" xfId="28790" xr:uid="{00000000-0005-0000-0000-0000A6700000}"/>
    <cellStyle name="Input 2 2 2 6 2" xfId="27017" xr:uid="{00000000-0005-0000-0000-0000B9690000}"/>
    <cellStyle name="Input 2 2 2 6 2 2" xfId="23370" xr:uid="{00000000-0005-0000-0000-00007A5B0000}"/>
    <cellStyle name="Input 2 2 2 6 3" xfId="27020" xr:uid="{00000000-0005-0000-0000-0000BC690000}"/>
    <cellStyle name="Input 2 2 2 6 4" xfId="19220" xr:uid="{00000000-0005-0000-0000-0000444B0000}"/>
    <cellStyle name="Input 2 2 2 7" xfId="28791" xr:uid="{00000000-0005-0000-0000-0000A7700000}"/>
    <cellStyle name="Input 2 2 2 7 2" xfId="16765" xr:uid="{00000000-0005-0000-0000-0000AD410000}"/>
    <cellStyle name="Input 2 2 2 8" xfId="28792" xr:uid="{00000000-0005-0000-0000-0000A8700000}"/>
    <cellStyle name="Input 2 2 2 8 2" xfId="27039" xr:uid="{00000000-0005-0000-0000-0000CF690000}"/>
    <cellStyle name="Input 2 2 2 9" xfId="24851" xr:uid="{00000000-0005-0000-0000-000043610000}"/>
    <cellStyle name="Input 2 2 3" xfId="28793" xr:uid="{00000000-0005-0000-0000-0000A9700000}"/>
    <cellStyle name="Input 2 2 4" xfId="28796" xr:uid="{00000000-0005-0000-0000-0000AC700000}"/>
    <cellStyle name="Input 2 2 4 10" xfId="13418" xr:uid="{00000000-0005-0000-0000-00009A340000}"/>
    <cellStyle name="Input 2 2 4 11" xfId="13422" xr:uid="{00000000-0005-0000-0000-00009E340000}"/>
    <cellStyle name="Input 2 2 4 2" xfId="28798" xr:uid="{00000000-0005-0000-0000-0000AE700000}"/>
    <cellStyle name="Input 2 2 4 2 10" xfId="28799" xr:uid="{00000000-0005-0000-0000-0000AF700000}"/>
    <cellStyle name="Input 2 2 4 2 2" xfId="28801" xr:uid="{00000000-0005-0000-0000-0000B1700000}"/>
    <cellStyle name="Input 2 2 4 2 2 2" xfId="28803" xr:uid="{00000000-0005-0000-0000-0000B3700000}"/>
    <cellStyle name="Input 2 2 4 2 3" xfId="28124" xr:uid="{00000000-0005-0000-0000-00000C6E0000}"/>
    <cellStyle name="Input 2 2 4 2 3 2" xfId="20629" xr:uid="{00000000-0005-0000-0000-0000C5500000}"/>
    <cellStyle name="Input 2 2 4 2 4" xfId="28126" xr:uid="{00000000-0005-0000-0000-00000E6E0000}"/>
    <cellStyle name="Input 2 2 4 2 4 2" xfId="20667" xr:uid="{00000000-0005-0000-0000-0000EB500000}"/>
    <cellStyle name="Input 2 2 4 2 5" xfId="28130" xr:uid="{00000000-0005-0000-0000-0000126E0000}"/>
    <cellStyle name="Input 2 2 4 2 5 2" xfId="13354" xr:uid="{00000000-0005-0000-0000-00005A340000}"/>
    <cellStyle name="Input 2 2 4 2 6" xfId="28804" xr:uid="{00000000-0005-0000-0000-0000B4700000}"/>
    <cellStyle name="Input 2 2 4 2 6 2" xfId="13360" xr:uid="{00000000-0005-0000-0000-000060340000}"/>
    <cellStyle name="Input 2 2 4 2 7" xfId="28805" xr:uid="{00000000-0005-0000-0000-0000B5700000}"/>
    <cellStyle name="Input 2 2 4 2 8" xfId="28806" xr:uid="{00000000-0005-0000-0000-0000B6700000}"/>
    <cellStyle name="Input 2 2 4 2 9" xfId="28809" xr:uid="{00000000-0005-0000-0000-0000B9700000}"/>
    <cellStyle name="Input 2 2 4 3" xfId="28810" xr:uid="{00000000-0005-0000-0000-0000BA700000}"/>
    <cellStyle name="Input 2 2 4 3 2" xfId="28812" xr:uid="{00000000-0005-0000-0000-0000BC700000}"/>
    <cellStyle name="Input 2 2 4 3 3" xfId="28814" xr:uid="{00000000-0005-0000-0000-0000BE700000}"/>
    <cellStyle name="Input 2 2 4 4" xfId="28816" xr:uid="{00000000-0005-0000-0000-0000C0700000}"/>
    <cellStyle name="Input 2 2 4 4 2" xfId="25288" xr:uid="{00000000-0005-0000-0000-0000F8620000}"/>
    <cellStyle name="Input 2 2 4 5" xfId="28818" xr:uid="{00000000-0005-0000-0000-0000C2700000}"/>
    <cellStyle name="Input 2 2 4 5 2" xfId="25320" xr:uid="{00000000-0005-0000-0000-000018630000}"/>
    <cellStyle name="Input 2 2 4 6" xfId="28821" xr:uid="{00000000-0005-0000-0000-0000C5700000}"/>
    <cellStyle name="Input 2 2 4 6 2" xfId="28536" xr:uid="{00000000-0005-0000-0000-0000A86F0000}"/>
    <cellStyle name="Input 2 2 4 7" xfId="28823" xr:uid="{00000000-0005-0000-0000-0000C7700000}"/>
    <cellStyle name="Input 2 2 4 7 2" xfId="28826" xr:uid="{00000000-0005-0000-0000-0000CA700000}"/>
    <cellStyle name="Input 2 2 4 8" xfId="28828" xr:uid="{00000000-0005-0000-0000-0000CC700000}"/>
    <cellStyle name="Input 2 2 4 9" xfId="28829" xr:uid="{00000000-0005-0000-0000-0000CD700000}"/>
    <cellStyle name="Input 2 2 5" xfId="28831" xr:uid="{00000000-0005-0000-0000-0000CF700000}"/>
    <cellStyle name="Input 2 2 5 10" xfId="28835" xr:uid="{00000000-0005-0000-0000-0000D3700000}"/>
    <cellStyle name="Input 2 2 5 11" xfId="28837" xr:uid="{00000000-0005-0000-0000-0000D5700000}"/>
    <cellStyle name="Input 2 2 5 2" xfId="28838" xr:uid="{00000000-0005-0000-0000-0000D6700000}"/>
    <cellStyle name="Input 2 2 5 2 2" xfId="28839" xr:uid="{00000000-0005-0000-0000-0000D7700000}"/>
    <cellStyle name="Input 2 2 5 3" xfId="28840" xr:uid="{00000000-0005-0000-0000-0000D8700000}"/>
    <cellStyle name="Input 2 2 5 3 2" xfId="28842" xr:uid="{00000000-0005-0000-0000-0000DA700000}"/>
    <cellStyle name="Input 2 2 5 4" xfId="28845" xr:uid="{00000000-0005-0000-0000-0000DD700000}"/>
    <cellStyle name="Input 2 2 5 4 2" xfId="26247" xr:uid="{00000000-0005-0000-0000-0000B7660000}"/>
    <cellStyle name="Input 2 2 5 5" xfId="28847" xr:uid="{00000000-0005-0000-0000-0000DF700000}"/>
    <cellStyle name="Input 2 2 5 5 2" xfId="26312" xr:uid="{00000000-0005-0000-0000-0000F8660000}"/>
    <cellStyle name="Input 2 2 5 6" xfId="28850" xr:uid="{00000000-0005-0000-0000-0000E2700000}"/>
    <cellStyle name="Input 2 2 5 6 2" xfId="28852" xr:uid="{00000000-0005-0000-0000-0000E4700000}"/>
    <cellStyle name="Input 2 2 5 7" xfId="28854" xr:uid="{00000000-0005-0000-0000-0000E6700000}"/>
    <cellStyle name="Input 2 2 5 7 2" xfId="28857" xr:uid="{00000000-0005-0000-0000-0000E9700000}"/>
    <cellStyle name="Input 2 2 5 8" xfId="28859" xr:uid="{00000000-0005-0000-0000-0000EB700000}"/>
    <cellStyle name="Input 2 2 5 9" xfId="28860" xr:uid="{00000000-0005-0000-0000-0000EC700000}"/>
    <cellStyle name="Input 2 2 6" xfId="28862" xr:uid="{00000000-0005-0000-0000-0000EE700000}"/>
    <cellStyle name="Input 2 2 6 2" xfId="28865" xr:uid="{00000000-0005-0000-0000-0000F1700000}"/>
    <cellStyle name="Input 2 2 6 2 2" xfId="28867" xr:uid="{00000000-0005-0000-0000-0000F3700000}"/>
    <cellStyle name="Input 2 2 6 3" xfId="28869" xr:uid="{00000000-0005-0000-0000-0000F5700000}"/>
    <cellStyle name="Input 2 2 6 4" xfId="28872" xr:uid="{00000000-0005-0000-0000-0000F8700000}"/>
    <cellStyle name="Input 2 2 7" xfId="28875" xr:uid="{00000000-0005-0000-0000-0000FB700000}"/>
    <cellStyle name="Input 2 2 7 2" xfId="22898" xr:uid="{00000000-0005-0000-0000-0000A2590000}"/>
    <cellStyle name="Input 2 2 7 2 2" xfId="1611" xr:uid="{00000000-0005-0000-0000-00007B060000}"/>
    <cellStyle name="Input 2 2 7 3" xfId="24425" xr:uid="{00000000-0005-0000-0000-0000995F0000}"/>
    <cellStyle name="Input 2 2 7 4" xfId="28877" xr:uid="{00000000-0005-0000-0000-0000FD700000}"/>
    <cellStyle name="Input 2 2 8" xfId="20397" xr:uid="{00000000-0005-0000-0000-0000DD4F0000}"/>
    <cellStyle name="Input 2 2 8 2" xfId="3093" xr:uid="{00000000-0005-0000-0000-0000450C0000}"/>
    <cellStyle name="Input 2 2 8 2 2" xfId="3101" xr:uid="{00000000-0005-0000-0000-00004D0C0000}"/>
    <cellStyle name="Input 2 2 8 3" xfId="3115" xr:uid="{00000000-0005-0000-0000-00005B0C0000}"/>
    <cellStyle name="Input 2 2 8 4" xfId="20401" xr:uid="{00000000-0005-0000-0000-0000E14F0000}"/>
    <cellStyle name="Input 2 2 9" xfId="6446" xr:uid="{00000000-0005-0000-0000-00005E190000}"/>
    <cellStyle name="Input 2 2 9 2" xfId="3541" xr:uid="{00000000-0005-0000-0000-0000050E0000}"/>
    <cellStyle name="Input 2 3" xfId="28879" xr:uid="{00000000-0005-0000-0000-0000FF700000}"/>
    <cellStyle name="Input 2 4" xfId="28881" xr:uid="{00000000-0005-0000-0000-000001710000}"/>
    <cellStyle name="Input 2 4 10" xfId="28883" xr:uid="{00000000-0005-0000-0000-000003710000}"/>
    <cellStyle name="Input 2 4 11" xfId="28884" xr:uid="{00000000-0005-0000-0000-000004710000}"/>
    <cellStyle name="Input 2 4 2" xfId="8484" xr:uid="{00000000-0005-0000-0000-000054210000}"/>
    <cellStyle name="Input 2 4 2 10" xfId="28885" xr:uid="{00000000-0005-0000-0000-000005710000}"/>
    <cellStyle name="Input 2 4 2 11" xfId="28886" xr:uid="{00000000-0005-0000-0000-000006710000}"/>
    <cellStyle name="Input 2 4 2 12" xfId="28887" xr:uid="{00000000-0005-0000-0000-000007710000}"/>
    <cellStyle name="Input 2 4 2 2" xfId="17770" xr:uid="{00000000-0005-0000-0000-00009A450000}"/>
    <cellStyle name="Input 2 4 2 2 2" xfId="28888" xr:uid="{00000000-0005-0000-0000-000008710000}"/>
    <cellStyle name="Input 2 4 2 3" xfId="1049" xr:uid="{00000000-0005-0000-0000-000049040000}"/>
    <cellStyle name="Input 2 4 2 3 2" xfId="28891" xr:uid="{00000000-0005-0000-0000-00000B710000}"/>
    <cellStyle name="Input 2 4 2 4" xfId="28892" xr:uid="{00000000-0005-0000-0000-00000C710000}"/>
    <cellStyle name="Input 2 4 2 4 2" xfId="10131" xr:uid="{00000000-0005-0000-0000-0000C3270000}"/>
    <cellStyle name="Input 2 4 2 5" xfId="28893" xr:uid="{00000000-0005-0000-0000-00000D710000}"/>
    <cellStyle name="Input 2 4 2 5 2" xfId="28896" xr:uid="{00000000-0005-0000-0000-000010710000}"/>
    <cellStyle name="Input 2 4 2 6" xfId="28897" xr:uid="{00000000-0005-0000-0000-000011710000}"/>
    <cellStyle name="Input 2 4 2 6 2" xfId="28900" xr:uid="{00000000-0005-0000-0000-000014710000}"/>
    <cellStyle name="Input 2 4 2 7" xfId="28901" xr:uid="{00000000-0005-0000-0000-000015710000}"/>
    <cellStyle name="Input 2 4 2 7 2" xfId="28906" xr:uid="{00000000-0005-0000-0000-00001A710000}"/>
    <cellStyle name="Input 2 4 2 8" xfId="28907" xr:uid="{00000000-0005-0000-0000-00001B710000}"/>
    <cellStyle name="Input 2 4 2 9" xfId="28908" xr:uid="{00000000-0005-0000-0000-00001C710000}"/>
    <cellStyle name="Input 2 4 3" xfId="8494" xr:uid="{00000000-0005-0000-0000-00005E210000}"/>
    <cellStyle name="Input 2 4 3 2" xfId="17781" xr:uid="{00000000-0005-0000-0000-0000A5450000}"/>
    <cellStyle name="Input 2 4 3 2 2" xfId="28910" xr:uid="{00000000-0005-0000-0000-00001E710000}"/>
    <cellStyle name="Input 2 4 3 3" xfId="1071" xr:uid="{00000000-0005-0000-0000-00005F040000}"/>
    <cellStyle name="Input 2 4 3 4" xfId="28913" xr:uid="{00000000-0005-0000-0000-000021710000}"/>
    <cellStyle name="Input 2 4 4" xfId="8504" xr:uid="{00000000-0005-0000-0000-000068210000}"/>
    <cellStyle name="Input 2 4 4 2" xfId="24052" xr:uid="{00000000-0005-0000-0000-0000245E0000}"/>
    <cellStyle name="Input 2 4 4 2 2" xfId="28915" xr:uid="{00000000-0005-0000-0000-000023710000}"/>
    <cellStyle name="Input 2 4 4 3" xfId="1083" xr:uid="{00000000-0005-0000-0000-00006B040000}"/>
    <cellStyle name="Input 2 4 4 4" xfId="28917" xr:uid="{00000000-0005-0000-0000-000025710000}"/>
    <cellStyle name="Input 2 4 5" xfId="11151" xr:uid="{00000000-0005-0000-0000-0000BF2B0000}"/>
    <cellStyle name="Input 2 4 5 2" xfId="28918" xr:uid="{00000000-0005-0000-0000-000026710000}"/>
    <cellStyle name="Input 2 4 5 2 2" xfId="28919" xr:uid="{00000000-0005-0000-0000-000027710000}"/>
    <cellStyle name="Input 2 4 5 3" xfId="1098" xr:uid="{00000000-0005-0000-0000-00007A040000}"/>
    <cellStyle name="Input 2 4 5 4" xfId="28921" xr:uid="{00000000-0005-0000-0000-000029710000}"/>
    <cellStyle name="Input 2 4 6" xfId="23980" xr:uid="{00000000-0005-0000-0000-0000DC5D0000}"/>
    <cellStyle name="Input 2 4 6 2" xfId="28922" xr:uid="{00000000-0005-0000-0000-00002A710000}"/>
    <cellStyle name="Input 2 4 6 2 2" xfId="28924" xr:uid="{00000000-0005-0000-0000-00002C710000}"/>
    <cellStyle name="Input 2 4 6 3" xfId="1121" xr:uid="{00000000-0005-0000-0000-000091040000}"/>
    <cellStyle name="Input 2 4 6 4" xfId="28926" xr:uid="{00000000-0005-0000-0000-00002E710000}"/>
    <cellStyle name="Input 2 4 7" xfId="23990" xr:uid="{00000000-0005-0000-0000-0000E65D0000}"/>
    <cellStyle name="Input 2 4 7 2" xfId="21013" xr:uid="{00000000-0005-0000-0000-000045520000}"/>
    <cellStyle name="Input 2 4 8" xfId="20415" xr:uid="{00000000-0005-0000-0000-0000EF4F0000}"/>
    <cellStyle name="Input 2 4 8 2" xfId="20423" xr:uid="{00000000-0005-0000-0000-0000F74F0000}"/>
    <cellStyle name="Input 2 4 9" xfId="6492" xr:uid="{00000000-0005-0000-0000-00008C190000}"/>
    <cellStyle name="Input 2 5" xfId="28928" xr:uid="{00000000-0005-0000-0000-000030710000}"/>
    <cellStyle name="Input 2 5 10" xfId="4534" xr:uid="{00000000-0005-0000-0000-0000E6110000}"/>
    <cellStyle name="Input 2 5 11" xfId="28930" xr:uid="{00000000-0005-0000-0000-000032710000}"/>
    <cellStyle name="Input 2 5 2" xfId="28931" xr:uid="{00000000-0005-0000-0000-000033710000}"/>
    <cellStyle name="Input 2 5 2 10" xfId="28935" xr:uid="{00000000-0005-0000-0000-000037710000}"/>
    <cellStyle name="Input 2 5 2 11" xfId="28938" xr:uid="{00000000-0005-0000-0000-00003A710000}"/>
    <cellStyle name="Input 2 5 2 12" xfId="28939" xr:uid="{00000000-0005-0000-0000-00003B710000}"/>
    <cellStyle name="Input 2 5 2 2" xfId="28424" xr:uid="{00000000-0005-0000-0000-0000386F0000}"/>
    <cellStyle name="Input 2 5 2 2 2" xfId="28940" xr:uid="{00000000-0005-0000-0000-00003C710000}"/>
    <cellStyle name="Input 2 5 2 3" xfId="1228" xr:uid="{00000000-0005-0000-0000-0000FC040000}"/>
    <cellStyle name="Input 2 5 2 3 2" xfId="28941" xr:uid="{00000000-0005-0000-0000-00003D710000}"/>
    <cellStyle name="Input 2 5 2 4" xfId="28943" xr:uid="{00000000-0005-0000-0000-00003F710000}"/>
    <cellStyle name="Input 2 5 2 4 2" xfId="28945" xr:uid="{00000000-0005-0000-0000-000041710000}"/>
    <cellStyle name="Input 2 5 2 5" xfId="28946" xr:uid="{00000000-0005-0000-0000-000042710000}"/>
    <cellStyle name="Input 2 5 2 5 2" xfId="28947" xr:uid="{00000000-0005-0000-0000-000043710000}"/>
    <cellStyle name="Input 2 5 2 6" xfId="28948" xr:uid="{00000000-0005-0000-0000-000044710000}"/>
    <cellStyle name="Input 2 5 2 6 2" xfId="28949" xr:uid="{00000000-0005-0000-0000-000045710000}"/>
    <cellStyle name="Input 2 5 2 7" xfId="28950" xr:uid="{00000000-0005-0000-0000-000046710000}"/>
    <cellStyle name="Input 2 5 2 7 2" xfId="28951" xr:uid="{00000000-0005-0000-0000-000047710000}"/>
    <cellStyle name="Input 2 5 2 8" xfId="28952" xr:uid="{00000000-0005-0000-0000-000048710000}"/>
    <cellStyle name="Input 2 5 2 9" xfId="28954" xr:uid="{00000000-0005-0000-0000-00004A710000}"/>
    <cellStyle name="Input 2 5 3" xfId="28955" xr:uid="{00000000-0005-0000-0000-00004B710000}"/>
    <cellStyle name="Input 2 5 3 2" xfId="28957" xr:uid="{00000000-0005-0000-0000-00004D710000}"/>
    <cellStyle name="Input 2 5 3 2 2" xfId="28959" xr:uid="{00000000-0005-0000-0000-00004F710000}"/>
    <cellStyle name="Input 2 5 3 3" xfId="1237" xr:uid="{00000000-0005-0000-0000-000005050000}"/>
    <cellStyle name="Input 2 5 3 4" xfId="28961" xr:uid="{00000000-0005-0000-0000-000051710000}"/>
    <cellStyle name="Input 2 5 4" xfId="28962" xr:uid="{00000000-0005-0000-0000-000052710000}"/>
    <cellStyle name="Input 2 5 4 2" xfId="28963" xr:uid="{00000000-0005-0000-0000-000053710000}"/>
    <cellStyle name="Input 2 5 4 2 2" xfId="28964" xr:uid="{00000000-0005-0000-0000-000054710000}"/>
    <cellStyle name="Input 2 5 4 3" xfId="1243" xr:uid="{00000000-0005-0000-0000-00000B050000}"/>
    <cellStyle name="Input 2 5 4 4" xfId="28965" xr:uid="{00000000-0005-0000-0000-000055710000}"/>
    <cellStyle name="Input 2 5 5" xfId="28966" xr:uid="{00000000-0005-0000-0000-000056710000}"/>
    <cellStyle name="Input 2 5 5 2" xfId="28967" xr:uid="{00000000-0005-0000-0000-000057710000}"/>
    <cellStyle name="Input 2 5 5 2 2" xfId="28968" xr:uid="{00000000-0005-0000-0000-000058710000}"/>
    <cellStyle name="Input 2 5 5 3" xfId="1249" xr:uid="{00000000-0005-0000-0000-000011050000}"/>
    <cellStyle name="Input 2 5 5 4" xfId="28969" xr:uid="{00000000-0005-0000-0000-000059710000}"/>
    <cellStyle name="Input 2 5 6" xfId="28970" xr:uid="{00000000-0005-0000-0000-00005A710000}"/>
    <cellStyle name="Input 2 5 6 2" xfId="28972" xr:uid="{00000000-0005-0000-0000-00005C710000}"/>
    <cellStyle name="Input 2 5 6 2 2" xfId="28974" xr:uid="{00000000-0005-0000-0000-00005E710000}"/>
    <cellStyle name="Input 2 5 6 3" xfId="28975" xr:uid="{00000000-0005-0000-0000-00005F710000}"/>
    <cellStyle name="Input 2 5 6 4" xfId="28976" xr:uid="{00000000-0005-0000-0000-000060710000}"/>
    <cellStyle name="Input 2 5 7" xfId="28977" xr:uid="{00000000-0005-0000-0000-000061710000}"/>
    <cellStyle name="Input 2 5 7 2" xfId="28980" xr:uid="{00000000-0005-0000-0000-000064710000}"/>
    <cellStyle name="Input 2 5 8" xfId="20443" xr:uid="{00000000-0005-0000-0000-00000B500000}"/>
    <cellStyle name="Input 2 5 8 2" xfId="19181" xr:uid="{00000000-0005-0000-0000-00001D4B0000}"/>
    <cellStyle name="Input 2 5 9" xfId="6536" xr:uid="{00000000-0005-0000-0000-0000B8190000}"/>
    <cellStyle name="Input 2 6" xfId="28981" xr:uid="{00000000-0005-0000-0000-000065710000}"/>
    <cellStyle name="Input 2 6 10" xfId="28983" xr:uid="{00000000-0005-0000-0000-000067710000}"/>
    <cellStyle name="Input 2 6 11" xfId="28984" xr:uid="{00000000-0005-0000-0000-000068710000}"/>
    <cellStyle name="Input 2 6 2" xfId="28987" xr:uid="{00000000-0005-0000-0000-00006B710000}"/>
    <cellStyle name="Input 2 6 2 10" xfId="26020" xr:uid="{00000000-0005-0000-0000-0000D4650000}"/>
    <cellStyle name="Input 2 6 2 2" xfId="28989" xr:uid="{00000000-0005-0000-0000-00006D710000}"/>
    <cellStyle name="Input 2 6 2 2 2" xfId="28990" xr:uid="{00000000-0005-0000-0000-00006E710000}"/>
    <cellStyle name="Input 2 6 2 3" xfId="28991" xr:uid="{00000000-0005-0000-0000-00006F710000}"/>
    <cellStyle name="Input 2 6 2 3 2" xfId="28993" xr:uid="{00000000-0005-0000-0000-000071710000}"/>
    <cellStyle name="Input 2 6 2 4" xfId="28994" xr:uid="{00000000-0005-0000-0000-000072710000}"/>
    <cellStyle name="Input 2 6 2 4 2" xfId="21762" xr:uid="{00000000-0005-0000-0000-000032550000}"/>
    <cellStyle name="Input 2 6 2 5" xfId="28996" xr:uid="{00000000-0005-0000-0000-000074710000}"/>
    <cellStyle name="Input 2 6 2 5 2" xfId="28998" xr:uid="{00000000-0005-0000-0000-000076710000}"/>
    <cellStyle name="Input 2 6 2 6" xfId="28999" xr:uid="{00000000-0005-0000-0000-000077710000}"/>
    <cellStyle name="Input 2 6 2 6 2" xfId="29002" xr:uid="{00000000-0005-0000-0000-00007A710000}"/>
    <cellStyle name="Input 2 6 2 7" xfId="29003" xr:uid="{00000000-0005-0000-0000-00007B710000}"/>
    <cellStyle name="Input 2 6 2 8" xfId="29004" xr:uid="{00000000-0005-0000-0000-00007C710000}"/>
    <cellStyle name="Input 2 6 2 9" xfId="1330" xr:uid="{00000000-0005-0000-0000-000062050000}"/>
    <cellStyle name="Input 2 6 3" xfId="29005" xr:uid="{00000000-0005-0000-0000-00007D710000}"/>
    <cellStyle name="Input 2 6 3 2" xfId="29007" xr:uid="{00000000-0005-0000-0000-00007F710000}"/>
    <cellStyle name="Input 2 6 3 3" xfId="29008" xr:uid="{00000000-0005-0000-0000-000080710000}"/>
    <cellStyle name="Input 2 6 4" xfId="29009" xr:uid="{00000000-0005-0000-0000-000081710000}"/>
    <cellStyle name="Input 2 6 4 2" xfId="29012" xr:uid="{00000000-0005-0000-0000-000084710000}"/>
    <cellStyle name="Input 2 6 5" xfId="29013" xr:uid="{00000000-0005-0000-0000-000085710000}"/>
    <cellStyle name="Input 2 6 5 2" xfId="17166" xr:uid="{00000000-0005-0000-0000-00003E430000}"/>
    <cellStyle name="Input 2 6 6" xfId="29015" xr:uid="{00000000-0005-0000-0000-000087710000}"/>
    <cellStyle name="Input 2 6 6 2" xfId="29017" xr:uid="{00000000-0005-0000-0000-000089710000}"/>
    <cellStyle name="Input 2 6 7" xfId="29018" xr:uid="{00000000-0005-0000-0000-00008A710000}"/>
    <cellStyle name="Input 2 6 7 2" xfId="29020" xr:uid="{00000000-0005-0000-0000-00008C710000}"/>
    <cellStyle name="Input 2 6 8" xfId="20461" xr:uid="{00000000-0005-0000-0000-00001D500000}"/>
    <cellStyle name="Input 2 6 9" xfId="6579" xr:uid="{00000000-0005-0000-0000-0000E3190000}"/>
    <cellStyle name="Input 2 7" xfId="29022" xr:uid="{00000000-0005-0000-0000-00008E710000}"/>
    <cellStyle name="Input 2 7 10" xfId="29024" xr:uid="{00000000-0005-0000-0000-000090710000}"/>
    <cellStyle name="Input 2 7 11" xfId="29025" xr:uid="{00000000-0005-0000-0000-000091710000}"/>
    <cellStyle name="Input 2 7 2" xfId="29027" xr:uid="{00000000-0005-0000-0000-000093710000}"/>
    <cellStyle name="Input 2 7 2 2" xfId="29029" xr:uid="{00000000-0005-0000-0000-000095710000}"/>
    <cellStyle name="Input 2 7 3" xfId="29031" xr:uid="{00000000-0005-0000-0000-000097710000}"/>
    <cellStyle name="Input 2 7 3 2" xfId="29033" xr:uid="{00000000-0005-0000-0000-000099710000}"/>
    <cellStyle name="Input 2 7 4" xfId="29035" xr:uid="{00000000-0005-0000-0000-00009B710000}"/>
    <cellStyle name="Input 2 7 4 2" xfId="29036" xr:uid="{00000000-0005-0000-0000-00009C710000}"/>
    <cellStyle name="Input 2 7 5" xfId="29038" xr:uid="{00000000-0005-0000-0000-00009E710000}"/>
    <cellStyle name="Input 2 7 5 2" xfId="29039" xr:uid="{00000000-0005-0000-0000-00009F710000}"/>
    <cellStyle name="Input 2 7 6" xfId="29041" xr:uid="{00000000-0005-0000-0000-0000A1710000}"/>
    <cellStyle name="Input 2 7 6 2" xfId="29042" xr:uid="{00000000-0005-0000-0000-0000A2710000}"/>
    <cellStyle name="Input 2 7 7" xfId="1890" xr:uid="{00000000-0005-0000-0000-000092070000}"/>
    <cellStyle name="Input 2 7 7 2" xfId="2516" xr:uid="{00000000-0005-0000-0000-0000040A0000}"/>
    <cellStyle name="Input 2 7 8" xfId="2533" xr:uid="{00000000-0005-0000-0000-0000150A0000}"/>
    <cellStyle name="Input 2 7 9" xfId="5336" xr:uid="{00000000-0005-0000-0000-000008150000}"/>
    <cellStyle name="Input 2 8" xfId="29044" xr:uid="{00000000-0005-0000-0000-0000A4710000}"/>
    <cellStyle name="Input 2 8 2" xfId="29047" xr:uid="{00000000-0005-0000-0000-0000A7710000}"/>
    <cellStyle name="Input 2 8 2 2" xfId="2693" xr:uid="{00000000-0005-0000-0000-0000B50A0000}"/>
    <cellStyle name="Input 2 8 3" xfId="29049" xr:uid="{00000000-0005-0000-0000-0000A9710000}"/>
    <cellStyle name="Input 2 8 4" xfId="3089" xr:uid="{00000000-0005-0000-0000-0000410C0000}"/>
    <cellStyle name="Input 2 9" xfId="29051" xr:uid="{00000000-0005-0000-0000-0000AB710000}"/>
    <cellStyle name="Input 2 9 2" xfId="9028" xr:uid="{00000000-0005-0000-0000-000074230000}"/>
    <cellStyle name="Input 2 9 2 2" xfId="29053" xr:uid="{00000000-0005-0000-0000-0000AD710000}"/>
    <cellStyle name="Input 2 9 3" xfId="24153" xr:uid="{00000000-0005-0000-0000-0000895E0000}"/>
    <cellStyle name="Input 2 9 4" xfId="24155" xr:uid="{00000000-0005-0000-0000-00008B5E0000}"/>
    <cellStyle name="Input 3" xfId="17429" xr:uid="{00000000-0005-0000-0000-000045440000}"/>
    <cellStyle name="Linked Cell 2" xfId="15300" xr:uid="{00000000-0005-0000-0000-0000F43B0000}"/>
    <cellStyle name="Linked Cell 2 2" xfId="10321" xr:uid="{00000000-0005-0000-0000-000081280000}"/>
    <cellStyle name="Linked Cell 2 3" xfId="29055" xr:uid="{00000000-0005-0000-0000-0000AF710000}"/>
    <cellStyle name="Linked Cell 2 4" xfId="17694" xr:uid="{00000000-0005-0000-0000-00004E450000}"/>
    <cellStyle name="Linked Cell 2 5" xfId="17695" xr:uid="{00000000-0005-0000-0000-00004F450000}"/>
    <cellStyle name="Linked Cell 3" xfId="23407" xr:uid="{00000000-0005-0000-0000-00009F5B0000}"/>
    <cellStyle name="Neutral 2" xfId="29056" xr:uid="{00000000-0005-0000-0000-0000B0710000}"/>
    <cellStyle name="Neutral 2 2" xfId="29057" xr:uid="{00000000-0005-0000-0000-0000B1710000}"/>
    <cellStyle name="Neutral 2 2 2" xfId="29058" xr:uid="{00000000-0005-0000-0000-0000B2710000}"/>
    <cellStyle name="Neutral 2 2 3" xfId="29059" xr:uid="{00000000-0005-0000-0000-0000B3710000}"/>
    <cellStyle name="Neutral 2 2 4" xfId="29060" xr:uid="{00000000-0005-0000-0000-0000B4710000}"/>
    <cellStyle name="Neutral 2 3" xfId="29061" xr:uid="{00000000-0005-0000-0000-0000B5710000}"/>
    <cellStyle name="Neutral 2 4" xfId="29062" xr:uid="{00000000-0005-0000-0000-0000B6710000}"/>
    <cellStyle name="Neutral 2 4 2" xfId="29063" xr:uid="{00000000-0005-0000-0000-0000B7710000}"/>
    <cellStyle name="Neutral 2 5" xfId="29064" xr:uid="{00000000-0005-0000-0000-0000B8710000}"/>
    <cellStyle name="Neutral 2 6" xfId="29065" xr:uid="{00000000-0005-0000-0000-0000B9710000}"/>
    <cellStyle name="Neutral 3" xfId="454" xr:uid="{00000000-0005-0000-0000-0000E3010000}"/>
    <cellStyle name="Normal" xfId="13190" xr:uid="{00000000-0005-0000-0000-0000B6330000}"/>
    <cellStyle name="Normal 10" xfId="13194" xr:uid="{00000000-0005-0000-0000-0000BA330000}"/>
    <cellStyle name="Normal 10 10" xfId="11955" xr:uid="{00000000-0005-0000-0000-0000E32E0000}"/>
    <cellStyle name="Normal 10 10 2" xfId="22496" xr:uid="{00000000-0005-0000-0000-000010580000}"/>
    <cellStyle name="Normal 10 11" xfId="10184" xr:uid="{00000000-0005-0000-0000-0000F8270000}"/>
    <cellStyle name="Normal 10 12" xfId="10192" xr:uid="{00000000-0005-0000-0000-000000280000}"/>
    <cellStyle name="Normal 10 13" xfId="10198" xr:uid="{00000000-0005-0000-0000-000006280000}"/>
    <cellStyle name="Normal 10 14" xfId="24516" xr:uid="{00000000-0005-0000-0000-0000F45F0000}"/>
    <cellStyle name="Normal 10 15" xfId="29066" xr:uid="{00000000-0005-0000-0000-0000BA710000}"/>
    <cellStyle name="Normal 10 16" xfId="29068" xr:uid="{00000000-0005-0000-0000-0000BC710000}"/>
    <cellStyle name="Normal 10 17" xfId="29070" xr:uid="{00000000-0005-0000-0000-0000BE710000}"/>
    <cellStyle name="Normal 10 18" xfId="29072" xr:uid="{00000000-0005-0000-0000-0000C0710000}"/>
    <cellStyle name="Normal 10 19" xfId="29074" xr:uid="{00000000-0005-0000-0000-0000C2710000}"/>
    <cellStyle name="Normal 10 2" xfId="13562" xr:uid="{00000000-0005-0000-0000-00002A350000}"/>
    <cellStyle name="Normal 10 2 2" xfId="7887" xr:uid="{00000000-0005-0000-0000-0000FF1E0000}"/>
    <cellStyle name="Normal 10 2 3" xfId="7891" xr:uid="{00000000-0005-0000-0000-0000031F0000}"/>
    <cellStyle name="Normal 10 2 4" xfId="5970" xr:uid="{00000000-0005-0000-0000-000082170000}"/>
    <cellStyle name="Normal 10 2 5" xfId="7897" xr:uid="{00000000-0005-0000-0000-0000091F0000}"/>
    <cellStyle name="Normal 10 20" xfId="29067" xr:uid="{00000000-0005-0000-0000-0000BB710000}"/>
    <cellStyle name="Normal 10 21" xfId="29069" xr:uid="{00000000-0005-0000-0000-0000BD710000}"/>
    <cellStyle name="Normal 10 22" xfId="29071" xr:uid="{00000000-0005-0000-0000-0000BF710000}"/>
    <cellStyle name="Normal 10 23" xfId="29073" xr:uid="{00000000-0005-0000-0000-0000C1710000}"/>
    <cellStyle name="Normal 10 24" xfId="29075" xr:uid="{00000000-0005-0000-0000-0000C3710000}"/>
    <cellStyle name="Normal 10 25" xfId="29076" xr:uid="{00000000-0005-0000-0000-0000C4710000}"/>
    <cellStyle name="Normal 10 26" xfId="29079" xr:uid="{00000000-0005-0000-0000-0000C7710000}"/>
    <cellStyle name="Normal 10 27" xfId="29082" xr:uid="{00000000-0005-0000-0000-0000CA710000}"/>
    <cellStyle name="Normal 10 28" xfId="29084" xr:uid="{00000000-0005-0000-0000-0000CC710000}"/>
    <cellStyle name="Normal 10 29" xfId="29086" xr:uid="{00000000-0005-0000-0000-0000CE710000}"/>
    <cellStyle name="Normal 10 3" xfId="23277" xr:uid="{00000000-0005-0000-0000-00001D5B0000}"/>
    <cellStyle name="Normal 10 3 2" xfId="29087" xr:uid="{00000000-0005-0000-0000-0000CF710000}"/>
    <cellStyle name="Normal 10 3 3" xfId="29088" xr:uid="{00000000-0005-0000-0000-0000D0710000}"/>
    <cellStyle name="Normal 10 3 4" xfId="22304" xr:uid="{00000000-0005-0000-0000-000050570000}"/>
    <cellStyle name="Normal 10 30" xfId="29077" xr:uid="{00000000-0005-0000-0000-0000C5710000}"/>
    <cellStyle name="Normal 10 31" xfId="29080" xr:uid="{00000000-0005-0000-0000-0000C8710000}"/>
    <cellStyle name="Normal 10 32" xfId="29083" xr:uid="{00000000-0005-0000-0000-0000CB710000}"/>
    <cellStyle name="Normal 10 33" xfId="29085" xr:uid="{00000000-0005-0000-0000-0000CD710000}"/>
    <cellStyle name="Normal 10 4" xfId="23282" xr:uid="{00000000-0005-0000-0000-0000225B0000}"/>
    <cellStyle name="Normal 10 5" xfId="23289" xr:uid="{00000000-0005-0000-0000-0000295B0000}"/>
    <cellStyle name="Normal 10 6" xfId="29089" xr:uid="{00000000-0005-0000-0000-0000D1710000}"/>
    <cellStyle name="Normal 10 6 2" xfId="29090" xr:uid="{00000000-0005-0000-0000-0000D2710000}"/>
    <cellStyle name="Normal 10 7" xfId="29091" xr:uid="{00000000-0005-0000-0000-0000D3710000}"/>
    <cellStyle name="Normal 10 8" xfId="29092" xr:uid="{00000000-0005-0000-0000-0000D4710000}"/>
    <cellStyle name="Normal 10 9" xfId="29093" xr:uid="{00000000-0005-0000-0000-0000D5710000}"/>
    <cellStyle name="Normal 11" xfId="13198" xr:uid="{00000000-0005-0000-0000-0000BE330000}"/>
    <cellStyle name="Normal 11 10" xfId="4809" xr:uid="{00000000-0005-0000-0000-0000F9120000}"/>
    <cellStyle name="Normal 11 11" xfId="11975" xr:uid="{00000000-0005-0000-0000-0000F72E0000}"/>
    <cellStyle name="Normal 11 12" xfId="19823" xr:uid="{00000000-0005-0000-0000-00009F4D0000}"/>
    <cellStyle name="Normal 11 13" xfId="24527" xr:uid="{00000000-0005-0000-0000-0000FF5F0000}"/>
    <cellStyle name="Normal 11 14" xfId="29094" xr:uid="{00000000-0005-0000-0000-0000D6710000}"/>
    <cellStyle name="Normal 11 15" xfId="29095" xr:uid="{00000000-0005-0000-0000-0000D7710000}"/>
    <cellStyle name="Normal 11 16" xfId="29098" xr:uid="{00000000-0005-0000-0000-0000DA710000}"/>
    <cellStyle name="Normal 11 17" xfId="29101" xr:uid="{00000000-0005-0000-0000-0000DD710000}"/>
    <cellStyle name="Normal 11 18" xfId="23895" xr:uid="{00000000-0005-0000-0000-0000875D0000}"/>
    <cellStyle name="Normal 11 19" xfId="23909" xr:uid="{00000000-0005-0000-0000-0000955D0000}"/>
    <cellStyle name="Normal 11 2" xfId="19781" xr:uid="{00000000-0005-0000-0000-0000754D0000}"/>
    <cellStyle name="Normal 11 2 2" xfId="25848" xr:uid="{00000000-0005-0000-0000-000028650000}"/>
    <cellStyle name="Normal 11 2 3" xfId="15008" xr:uid="{00000000-0005-0000-0000-0000D03A0000}"/>
    <cellStyle name="Normal 11 2 4" xfId="29104" xr:uid="{00000000-0005-0000-0000-0000E0710000}"/>
    <cellStyle name="Normal 11 20" xfId="29096" xr:uid="{00000000-0005-0000-0000-0000D8710000}"/>
    <cellStyle name="Normal 11 21" xfId="29099" xr:uid="{00000000-0005-0000-0000-0000DB710000}"/>
    <cellStyle name="Normal 11 22" xfId="29102" xr:uid="{00000000-0005-0000-0000-0000DE710000}"/>
    <cellStyle name="Normal 11 23" xfId="23896" xr:uid="{00000000-0005-0000-0000-0000885D0000}"/>
    <cellStyle name="Normal 11 24" xfId="23910" xr:uid="{00000000-0005-0000-0000-0000965D0000}"/>
    <cellStyle name="Normal 11 25" xfId="23918" xr:uid="{00000000-0005-0000-0000-00009E5D0000}"/>
    <cellStyle name="Normal 11 26" xfId="23924" xr:uid="{00000000-0005-0000-0000-0000A45D0000}"/>
    <cellStyle name="Normal 11 27" xfId="23931" xr:uid="{00000000-0005-0000-0000-0000AB5D0000}"/>
    <cellStyle name="Normal 11 28" xfId="23937" xr:uid="{00000000-0005-0000-0000-0000B15D0000}"/>
    <cellStyle name="Normal 11 29" xfId="23941" xr:uid="{00000000-0005-0000-0000-0000B55D0000}"/>
    <cellStyle name="Normal 11 3" xfId="19788" xr:uid="{00000000-0005-0000-0000-00007C4D0000}"/>
    <cellStyle name="Normal 11 30" xfId="23919" xr:uid="{00000000-0005-0000-0000-00009F5D0000}"/>
    <cellStyle name="Normal 11 31" xfId="23925" xr:uid="{00000000-0005-0000-0000-0000A55D0000}"/>
    <cellStyle name="Normal 11 32" xfId="23932" xr:uid="{00000000-0005-0000-0000-0000AC5D0000}"/>
    <cellStyle name="Normal 11 4" xfId="19795" xr:uid="{00000000-0005-0000-0000-0000834D0000}"/>
    <cellStyle name="Normal 11 5" xfId="19239" xr:uid="{00000000-0005-0000-0000-0000574B0000}"/>
    <cellStyle name="Normal 11 6" xfId="19245" xr:uid="{00000000-0005-0000-0000-00005D4B0000}"/>
    <cellStyle name="Normal 11 7" xfId="12890" xr:uid="{00000000-0005-0000-0000-00008A320000}"/>
    <cellStyle name="Normal 11 8" xfId="12895" xr:uid="{00000000-0005-0000-0000-00008F320000}"/>
    <cellStyle name="Normal 11 9" xfId="12897" xr:uid="{00000000-0005-0000-0000-000091320000}"/>
    <cellStyle name="Normal 12" xfId="13202" xr:uid="{00000000-0005-0000-0000-0000C2330000}"/>
    <cellStyle name="Normal 12 10" xfId="466" xr:uid="{00000000-0005-0000-0000-0000F0010000}"/>
    <cellStyle name="Normal 12 11" xfId="8305" xr:uid="{00000000-0005-0000-0000-0000A1200000}"/>
    <cellStyle name="Normal 12 12" xfId="14039" xr:uid="{00000000-0005-0000-0000-000007370000}"/>
    <cellStyle name="Normal 12 13" xfId="29105" xr:uid="{00000000-0005-0000-0000-0000E1710000}"/>
    <cellStyle name="Normal 12 14" xfId="29107" xr:uid="{00000000-0005-0000-0000-0000E3710000}"/>
    <cellStyle name="Normal 12 15" xfId="26469" xr:uid="{00000000-0005-0000-0000-000095670000}"/>
    <cellStyle name="Normal 12 16" xfId="29109" xr:uid="{00000000-0005-0000-0000-0000E5710000}"/>
    <cellStyle name="Normal 12 17" xfId="29111" xr:uid="{00000000-0005-0000-0000-0000E7710000}"/>
    <cellStyle name="Normal 12 18" xfId="29113" xr:uid="{00000000-0005-0000-0000-0000E9710000}"/>
    <cellStyle name="Normal 12 19" xfId="12703" xr:uid="{00000000-0005-0000-0000-0000CF310000}"/>
    <cellStyle name="Normal 12 2" xfId="29116" xr:uid="{00000000-0005-0000-0000-0000EC710000}"/>
    <cellStyle name="Normal 12 2 2" xfId="25862" xr:uid="{00000000-0005-0000-0000-000036650000}"/>
    <cellStyle name="Normal 12 2 3" xfId="25864" xr:uid="{00000000-0005-0000-0000-000038650000}"/>
    <cellStyle name="Normal 12 2 4" xfId="29118" xr:uid="{00000000-0005-0000-0000-0000EE710000}"/>
    <cellStyle name="Normal 12 20" xfId="26470" xr:uid="{00000000-0005-0000-0000-000096670000}"/>
    <cellStyle name="Normal 12 21" xfId="29110" xr:uid="{00000000-0005-0000-0000-0000E6710000}"/>
    <cellStyle name="Normal 12 22" xfId="29112" xr:uid="{00000000-0005-0000-0000-0000E8710000}"/>
    <cellStyle name="Normal 12 23" xfId="29114" xr:uid="{00000000-0005-0000-0000-0000EA710000}"/>
    <cellStyle name="Normal 12 24" xfId="12704" xr:uid="{00000000-0005-0000-0000-0000D0310000}"/>
    <cellStyle name="Normal 12 25" xfId="12707" xr:uid="{00000000-0005-0000-0000-0000D3310000}"/>
    <cellStyle name="Normal 12 26" xfId="12712" xr:uid="{00000000-0005-0000-0000-0000D8310000}"/>
    <cellStyle name="Normal 12 27" xfId="12717" xr:uid="{00000000-0005-0000-0000-0000DD310000}"/>
    <cellStyle name="Normal 12 28" xfId="12722" xr:uid="{00000000-0005-0000-0000-0000E2310000}"/>
    <cellStyle name="Normal 12 29" xfId="3787" xr:uid="{00000000-0005-0000-0000-0000FB0E0000}"/>
    <cellStyle name="Normal 12 3" xfId="29119" xr:uid="{00000000-0005-0000-0000-0000EF710000}"/>
    <cellStyle name="Normal 12 30" xfId="12708" xr:uid="{00000000-0005-0000-0000-0000D4310000}"/>
    <cellStyle name="Normal 12 31" xfId="12713" xr:uid="{00000000-0005-0000-0000-0000D9310000}"/>
    <cellStyle name="Normal 12 32" xfId="12718" xr:uid="{00000000-0005-0000-0000-0000DE310000}"/>
    <cellStyle name="Normal 12 4" xfId="29120" xr:uid="{00000000-0005-0000-0000-0000F0710000}"/>
    <cellStyle name="Normal 12 5" xfId="19254" xr:uid="{00000000-0005-0000-0000-0000664B0000}"/>
    <cellStyle name="Normal 12 6" xfId="29121" xr:uid="{00000000-0005-0000-0000-0000F1710000}"/>
    <cellStyle name="Normal 12 7" xfId="12907" xr:uid="{00000000-0005-0000-0000-00009B320000}"/>
    <cellStyle name="Normal 12 8" xfId="12912" xr:uid="{00000000-0005-0000-0000-0000A0320000}"/>
    <cellStyle name="Normal 12 9" xfId="12915" xr:uid="{00000000-0005-0000-0000-0000A3320000}"/>
    <cellStyle name="Normal 13" xfId="13209" xr:uid="{00000000-0005-0000-0000-0000C9330000}"/>
    <cellStyle name="Normal 13 10" xfId="789" xr:uid="{00000000-0005-0000-0000-000045030000}"/>
    <cellStyle name="Normal 13 10 2" xfId="7800" xr:uid="{00000000-0005-0000-0000-0000A81E0000}"/>
    <cellStyle name="Normal 13 11" xfId="12199" xr:uid="{00000000-0005-0000-0000-0000D72F0000}"/>
    <cellStyle name="Normal 13 11 2" xfId="29122" xr:uid="{00000000-0005-0000-0000-0000F2710000}"/>
    <cellStyle name="Normal 13 12" xfId="12204" xr:uid="{00000000-0005-0000-0000-0000DC2F0000}"/>
    <cellStyle name="Normal 13 2" xfId="16781" xr:uid="{00000000-0005-0000-0000-0000BD410000}"/>
    <cellStyle name="Normal 13 2 10" xfId="29126" xr:uid="{00000000-0005-0000-0000-0000F6710000}"/>
    <cellStyle name="Normal 13 2 2" xfId="16784" xr:uid="{00000000-0005-0000-0000-0000C0410000}"/>
    <cellStyle name="Normal 13 2 2 2" xfId="29129" xr:uid="{00000000-0005-0000-0000-0000F9710000}"/>
    <cellStyle name="Normal 13 2 2 2 2" xfId="29130" xr:uid="{00000000-0005-0000-0000-0000FA710000}"/>
    <cellStyle name="Normal 13 2 2 3" xfId="29134" xr:uid="{00000000-0005-0000-0000-0000FE710000}"/>
    <cellStyle name="Normal 13 2 2 3 2" xfId="26457" xr:uid="{00000000-0005-0000-0000-000089670000}"/>
    <cellStyle name="Normal 13 2 2 4" xfId="29136" xr:uid="{00000000-0005-0000-0000-000000720000}"/>
    <cellStyle name="Normal 13 2 2 4 2" xfId="1130" xr:uid="{00000000-0005-0000-0000-00009A040000}"/>
    <cellStyle name="Normal 13 2 2 5" xfId="29140" xr:uid="{00000000-0005-0000-0000-000004720000}"/>
    <cellStyle name="Normal 13 2 2 5 2" xfId="521" xr:uid="{00000000-0005-0000-0000-00002C020000}"/>
    <cellStyle name="Normal 13 2 2 6" xfId="29142" xr:uid="{00000000-0005-0000-0000-000006720000}"/>
    <cellStyle name="Normal 13 2 2 6 2" xfId="21609" xr:uid="{00000000-0005-0000-0000-000099540000}"/>
    <cellStyle name="Normal 13 2 2 7" xfId="29144" xr:uid="{00000000-0005-0000-0000-000008720000}"/>
    <cellStyle name="Normal 13 2 3" xfId="25879" xr:uid="{00000000-0005-0000-0000-000047650000}"/>
    <cellStyle name="Normal 13 2 3 2" xfId="29145" xr:uid="{00000000-0005-0000-0000-000009720000}"/>
    <cellStyle name="Normal 13 2 4" xfId="29147" xr:uid="{00000000-0005-0000-0000-00000B720000}"/>
    <cellStyle name="Normal 13 2 4 2" xfId="29148" xr:uid="{00000000-0005-0000-0000-00000C720000}"/>
    <cellStyle name="Normal 13 2 5" xfId="29150" xr:uid="{00000000-0005-0000-0000-00000E720000}"/>
    <cellStyle name="Normal 13 2 5 2" xfId="29152" xr:uid="{00000000-0005-0000-0000-000010720000}"/>
    <cellStyle name="Normal 13 2 6" xfId="3230" xr:uid="{00000000-0005-0000-0000-0000CE0C0000}"/>
    <cellStyle name="Normal 13 2 6 2" xfId="29156" xr:uid="{00000000-0005-0000-0000-000014720000}"/>
    <cellStyle name="Normal 13 2 7" xfId="3245" xr:uid="{00000000-0005-0000-0000-0000DD0C0000}"/>
    <cellStyle name="Normal 13 2 7 2" xfId="24842" xr:uid="{00000000-0005-0000-0000-00003A610000}"/>
    <cellStyle name="Normal 13 2 8" xfId="3253" xr:uid="{00000000-0005-0000-0000-0000E50C0000}"/>
    <cellStyle name="Normal 13 2 8 2" xfId="29158" xr:uid="{00000000-0005-0000-0000-000016720000}"/>
    <cellStyle name="Normal 13 2 9" xfId="29160" xr:uid="{00000000-0005-0000-0000-000018720000}"/>
    <cellStyle name="Normal 13 2 9 2" xfId="29161" xr:uid="{00000000-0005-0000-0000-000019720000}"/>
    <cellStyle name="Normal 13 3" xfId="16796" xr:uid="{00000000-0005-0000-0000-0000CC410000}"/>
    <cellStyle name="Normal 13 3 2" xfId="16868" xr:uid="{00000000-0005-0000-0000-000014420000}"/>
    <cellStyle name="Normal 13 3 2 2" xfId="14536" xr:uid="{00000000-0005-0000-0000-0000F8380000}"/>
    <cellStyle name="Normal 13 3 2 2 2" xfId="29162" xr:uid="{00000000-0005-0000-0000-00001A720000}"/>
    <cellStyle name="Normal 13 3 2 3" xfId="29164" xr:uid="{00000000-0005-0000-0000-00001C720000}"/>
    <cellStyle name="Normal 13 3 2 3 2" xfId="26711" xr:uid="{00000000-0005-0000-0000-000087680000}"/>
    <cellStyle name="Normal 13 3 2 4" xfId="29167" xr:uid="{00000000-0005-0000-0000-00001F720000}"/>
    <cellStyle name="Normal 13 3 2 4 2" xfId="18993" xr:uid="{00000000-0005-0000-0000-0000614A0000}"/>
    <cellStyle name="Normal 13 3 2 5" xfId="29169" xr:uid="{00000000-0005-0000-0000-000021720000}"/>
    <cellStyle name="Normal 13 3 2 5 2" xfId="19007" xr:uid="{00000000-0005-0000-0000-00006F4A0000}"/>
    <cellStyle name="Normal 13 3 2 6" xfId="29171" xr:uid="{00000000-0005-0000-0000-000023720000}"/>
    <cellStyle name="Normal 13 3 2 6 2" xfId="18383" xr:uid="{00000000-0005-0000-0000-0000FF470000}"/>
    <cellStyle name="Normal 13 3 2 7" xfId="29173" xr:uid="{00000000-0005-0000-0000-000025720000}"/>
    <cellStyle name="Normal 13 3 3" xfId="16870" xr:uid="{00000000-0005-0000-0000-000016420000}"/>
    <cellStyle name="Normal 13 3 3 2" xfId="29174" xr:uid="{00000000-0005-0000-0000-000026720000}"/>
    <cellStyle name="Normal 13 3 4" xfId="16872" xr:uid="{00000000-0005-0000-0000-000018420000}"/>
    <cellStyle name="Normal 13 3 4 2" xfId="29175" xr:uid="{00000000-0005-0000-0000-000027720000}"/>
    <cellStyle name="Normal 13 3 5" xfId="16874" xr:uid="{00000000-0005-0000-0000-00001A420000}"/>
    <cellStyle name="Normal 13 3 5 2" xfId="29176" xr:uid="{00000000-0005-0000-0000-000028720000}"/>
    <cellStyle name="Normal 13 3 6" xfId="16876" xr:uid="{00000000-0005-0000-0000-00001C420000}"/>
    <cellStyle name="Normal 13 3 6 2" xfId="29179" xr:uid="{00000000-0005-0000-0000-00002B720000}"/>
    <cellStyle name="Normal 13 3 7" xfId="16878" xr:uid="{00000000-0005-0000-0000-00001E420000}"/>
    <cellStyle name="Normal 13 3 7 2" xfId="13383" xr:uid="{00000000-0005-0000-0000-000077340000}"/>
    <cellStyle name="Normal 13 3 8" xfId="16880" xr:uid="{00000000-0005-0000-0000-000020420000}"/>
    <cellStyle name="Normal 13 4" xfId="16807" xr:uid="{00000000-0005-0000-0000-0000D7410000}"/>
    <cellStyle name="Normal 13 4 2" xfId="2753" xr:uid="{00000000-0005-0000-0000-0000F10A0000}"/>
    <cellStyle name="Normal 13 4 2 2" xfId="2764" xr:uid="{00000000-0005-0000-0000-0000FC0A0000}"/>
    <cellStyle name="Normal 13 4 3" xfId="2771" xr:uid="{00000000-0005-0000-0000-0000030B0000}"/>
    <cellStyle name="Normal 13 4 3 2" xfId="2779" xr:uid="{00000000-0005-0000-0000-00000B0B0000}"/>
    <cellStyle name="Normal 13 4 4" xfId="2794" xr:uid="{00000000-0005-0000-0000-00001A0B0000}"/>
    <cellStyle name="Normal 13 4 4 2" xfId="2801" xr:uid="{00000000-0005-0000-0000-0000210B0000}"/>
    <cellStyle name="Normal 13 4 5" xfId="2813" xr:uid="{00000000-0005-0000-0000-00002D0B0000}"/>
    <cellStyle name="Normal 13 4 5 2" xfId="2823" xr:uid="{00000000-0005-0000-0000-0000370B0000}"/>
    <cellStyle name="Normal 13 4 6" xfId="1136" xr:uid="{00000000-0005-0000-0000-0000A0040000}"/>
    <cellStyle name="Normal 13 4 6 2" xfId="1163" xr:uid="{00000000-0005-0000-0000-0000BB040000}"/>
    <cellStyle name="Normal 13 4 7" xfId="29180" xr:uid="{00000000-0005-0000-0000-00002C720000}"/>
    <cellStyle name="Normal 13 5" xfId="16812" xr:uid="{00000000-0005-0000-0000-0000DC410000}"/>
    <cellStyle name="Normal 13 5 2" xfId="2857" xr:uid="{00000000-0005-0000-0000-0000590B0000}"/>
    <cellStyle name="Normal 13 6" xfId="29181" xr:uid="{00000000-0005-0000-0000-00002D720000}"/>
    <cellStyle name="Normal 13 6 2" xfId="5936" xr:uid="{00000000-0005-0000-0000-000060170000}"/>
    <cellStyle name="Normal 13 7" xfId="12924" xr:uid="{00000000-0005-0000-0000-0000AC320000}"/>
    <cellStyle name="Normal 13 7 2" xfId="5945" xr:uid="{00000000-0005-0000-0000-000069170000}"/>
    <cellStyle name="Normal 13 8" xfId="12930" xr:uid="{00000000-0005-0000-0000-0000B2320000}"/>
    <cellStyle name="Normal 13 8 2" xfId="5961" xr:uid="{00000000-0005-0000-0000-000079170000}"/>
    <cellStyle name="Normal 13 9" xfId="12933" xr:uid="{00000000-0005-0000-0000-0000B5320000}"/>
    <cellStyle name="Normal 13 9 2" xfId="29185" xr:uid="{00000000-0005-0000-0000-000031720000}"/>
    <cellStyle name="Normal 13_ADAE" xfId="29186" xr:uid="{00000000-0005-0000-0000-000032720000}"/>
    <cellStyle name="Normal 14" xfId="10516" xr:uid="{00000000-0005-0000-0000-000044290000}"/>
    <cellStyle name="Normal 14 10" xfId="15732" xr:uid="{00000000-0005-0000-0000-0000A43D0000}"/>
    <cellStyle name="Normal 14 11" xfId="29188" xr:uid="{00000000-0005-0000-0000-000034720000}"/>
    <cellStyle name="Normal 14 2" xfId="16823" xr:uid="{00000000-0005-0000-0000-0000E7410000}"/>
    <cellStyle name="Normal 14 2 2" xfId="6891" xr:uid="{00000000-0005-0000-0000-00001B1B0000}"/>
    <cellStyle name="Normal 14 2 2 2" xfId="3755" xr:uid="{00000000-0005-0000-0000-0000DB0E0000}"/>
    <cellStyle name="Normal 14 2 3" xfId="6905" xr:uid="{00000000-0005-0000-0000-0000291B0000}"/>
    <cellStyle name="Normal 14 2 3 2" xfId="4163" xr:uid="{00000000-0005-0000-0000-000073100000}"/>
    <cellStyle name="Normal 14 2 4" xfId="2928" xr:uid="{00000000-0005-0000-0000-0000A00B0000}"/>
    <cellStyle name="Normal 14 2 4 2" xfId="2956" xr:uid="{00000000-0005-0000-0000-0000BC0B0000}"/>
    <cellStyle name="Normal 14 2 5" xfId="2969" xr:uid="{00000000-0005-0000-0000-0000C90B0000}"/>
    <cellStyle name="Normal 14 2 5 2" xfId="231" xr:uid="{00000000-0005-0000-0000-0000F8000000}"/>
    <cellStyle name="Normal 14 2 6" xfId="162" xr:uid="{00000000-0005-0000-0000-0000AE000000}"/>
    <cellStyle name="Normal 14 2 6 2" xfId="3450" xr:uid="{00000000-0005-0000-0000-0000AA0D0000}"/>
    <cellStyle name="Normal 14 2 7" xfId="3542" xr:uid="{00000000-0005-0000-0000-0000060E0000}"/>
    <cellStyle name="Normal 14 3" xfId="29189" xr:uid="{00000000-0005-0000-0000-000035720000}"/>
    <cellStyle name="Normal 14 3 2" xfId="6929" xr:uid="{00000000-0005-0000-0000-0000411B0000}"/>
    <cellStyle name="Normal 14 4" xfId="29190" xr:uid="{00000000-0005-0000-0000-000036720000}"/>
    <cellStyle name="Normal 14 4 2" xfId="6945" xr:uid="{00000000-0005-0000-0000-0000511B0000}"/>
    <cellStyle name="Normal 14 5" xfId="29191" xr:uid="{00000000-0005-0000-0000-000037720000}"/>
    <cellStyle name="Normal 14 5 2" xfId="6952" xr:uid="{00000000-0005-0000-0000-0000581B0000}"/>
    <cellStyle name="Normal 14 6" xfId="29192" xr:uid="{00000000-0005-0000-0000-000038720000}"/>
    <cellStyle name="Normal 14 6 2" xfId="6980" xr:uid="{00000000-0005-0000-0000-0000741B0000}"/>
    <cellStyle name="Normal 14 7" xfId="12946" xr:uid="{00000000-0005-0000-0000-0000C2320000}"/>
    <cellStyle name="Normal 14 7 2" xfId="11939" xr:uid="{00000000-0005-0000-0000-0000D32E0000}"/>
    <cellStyle name="Normal 14 8" xfId="12953" xr:uid="{00000000-0005-0000-0000-0000C9320000}"/>
    <cellStyle name="Normal 14 8 2" xfId="6" xr:uid="{00000000-0005-0000-0000-000006000000}"/>
    <cellStyle name="Normal 14 9" xfId="12955" xr:uid="{00000000-0005-0000-0000-0000CB320000}"/>
    <cellStyle name="Normal 15" xfId="16828" xr:uid="{00000000-0005-0000-0000-0000EC410000}"/>
    <cellStyle name="Normal 15 2" xfId="29193" xr:uid="{00000000-0005-0000-0000-000039720000}"/>
    <cellStyle name="Normal 15 2 2" xfId="7039" xr:uid="{00000000-0005-0000-0000-0000AF1B0000}"/>
    <cellStyle name="Normal 15 3" xfId="29195" xr:uid="{00000000-0005-0000-0000-00003B720000}"/>
    <cellStyle name="Normal 15 3 2" xfId="7073" xr:uid="{00000000-0005-0000-0000-0000D11B0000}"/>
    <cellStyle name="Normal 15 4" xfId="29197" xr:uid="{00000000-0005-0000-0000-00003D720000}"/>
    <cellStyle name="Normal 15 4 2" xfId="7083" xr:uid="{00000000-0005-0000-0000-0000DB1B0000}"/>
    <cellStyle name="Normal 15 5" xfId="29199" xr:uid="{00000000-0005-0000-0000-00003F720000}"/>
    <cellStyle name="Normal 15 5 2" xfId="7101" xr:uid="{00000000-0005-0000-0000-0000ED1B0000}"/>
    <cellStyle name="Normal 15 6" xfId="29200" xr:uid="{00000000-0005-0000-0000-000040720000}"/>
    <cellStyle name="Normal 15 6 2" xfId="7125" xr:uid="{00000000-0005-0000-0000-0000051C0000}"/>
    <cellStyle name="Normal 15 7" xfId="12968" xr:uid="{00000000-0005-0000-0000-0000D8320000}"/>
    <cellStyle name="Normal 15 7 2" xfId="12148" xr:uid="{00000000-0005-0000-0000-0000A42F0000}"/>
    <cellStyle name="Normal 15 8" xfId="12970" xr:uid="{00000000-0005-0000-0000-0000DA320000}"/>
    <cellStyle name="Normal 15 9" xfId="12972" xr:uid="{00000000-0005-0000-0000-0000DC320000}"/>
    <cellStyle name="Normal 16" xfId="16833" xr:uid="{00000000-0005-0000-0000-0000F1410000}"/>
    <cellStyle name="Normal 16 10" xfId="4857" xr:uid="{00000000-0005-0000-0000-000029130000}"/>
    <cellStyle name="Normal 16 11" xfId="29201" xr:uid="{00000000-0005-0000-0000-000041720000}"/>
    <cellStyle name="Normal 16 12" xfId="19858" xr:uid="{00000000-0005-0000-0000-0000C24D0000}"/>
    <cellStyle name="Normal 16 13" xfId="29202" xr:uid="{00000000-0005-0000-0000-000042720000}"/>
    <cellStyle name="Normal 16 14" xfId="29203" xr:uid="{00000000-0005-0000-0000-000043720000}"/>
    <cellStyle name="Normal 16 15" xfId="29204" xr:uid="{00000000-0005-0000-0000-000044720000}"/>
    <cellStyle name="Normal 16 16" xfId="29207" xr:uid="{00000000-0005-0000-0000-000047720000}"/>
    <cellStyle name="Normal 16 17" xfId="29210" xr:uid="{00000000-0005-0000-0000-00004A720000}"/>
    <cellStyle name="Normal 16 18" xfId="24089" xr:uid="{00000000-0005-0000-0000-0000495E0000}"/>
    <cellStyle name="Normal 16 19" xfId="24097" xr:uid="{00000000-0005-0000-0000-0000515E0000}"/>
    <cellStyle name="Normal 16 19 2" xfId="22221" xr:uid="{00000000-0005-0000-0000-0000FD560000}"/>
    <cellStyle name="Normal 16 19 2 2" xfId="29214" xr:uid="{00000000-0005-0000-0000-00004E720000}"/>
    <cellStyle name="Normal 16 19 2 2 2" xfId="29215" xr:uid="{00000000-0005-0000-0000-00004F720000}"/>
    <cellStyle name="Normal 16 19 2 3" xfId="22628" xr:uid="{00000000-0005-0000-0000-000094580000}"/>
    <cellStyle name="Normal 16 19 3" xfId="22225" xr:uid="{00000000-0005-0000-0000-000001570000}"/>
    <cellStyle name="Normal 16 19 3 2" xfId="29216" xr:uid="{00000000-0005-0000-0000-000050720000}"/>
    <cellStyle name="Normal 16 19 4" xfId="22230" xr:uid="{00000000-0005-0000-0000-000006570000}"/>
    <cellStyle name="Normal 16 2" xfId="19828" xr:uid="{00000000-0005-0000-0000-0000A44D0000}"/>
    <cellStyle name="Normal 16 2 2" xfId="29219" xr:uid="{00000000-0005-0000-0000-000053720000}"/>
    <cellStyle name="Normal 16 2 3" xfId="29222" xr:uid="{00000000-0005-0000-0000-000056720000}"/>
    <cellStyle name="Normal 16 2 4" xfId="29225" xr:uid="{00000000-0005-0000-0000-000059720000}"/>
    <cellStyle name="Normal 16 2 5" xfId="29228" xr:uid="{00000000-0005-0000-0000-00005C720000}"/>
    <cellStyle name="Normal 16 2 5 2" xfId="15962" xr:uid="{00000000-0005-0000-0000-00008A3E0000}"/>
    <cellStyle name="Normal 16 2 5 2 2" xfId="29232" xr:uid="{00000000-0005-0000-0000-000060720000}"/>
    <cellStyle name="Normal 16 2 5 3" xfId="17244" xr:uid="{00000000-0005-0000-0000-00008C430000}"/>
    <cellStyle name="Normal 16 2 6" xfId="29235" xr:uid="{00000000-0005-0000-0000-000063720000}"/>
    <cellStyle name="Normal 16 2 6 2" xfId="29237" xr:uid="{00000000-0005-0000-0000-000065720000}"/>
    <cellStyle name="Normal 16 2 7" xfId="6504" xr:uid="{00000000-0005-0000-0000-000098190000}"/>
    <cellStyle name="Normal 16 20" xfId="29205" xr:uid="{00000000-0005-0000-0000-000045720000}"/>
    <cellStyle name="Normal 16 20 2" xfId="29239" xr:uid="{00000000-0005-0000-0000-000067720000}"/>
    <cellStyle name="Normal 16 20 2 2" xfId="29240" xr:uid="{00000000-0005-0000-0000-000068720000}"/>
    <cellStyle name="Normal 16 20 2 2 2" xfId="29241" xr:uid="{00000000-0005-0000-0000-000069720000}"/>
    <cellStyle name="Normal 16 20 2 3" xfId="21619" xr:uid="{00000000-0005-0000-0000-0000A3540000}"/>
    <cellStyle name="Normal 16 20 3" xfId="29242" xr:uid="{00000000-0005-0000-0000-00006A720000}"/>
    <cellStyle name="Normal 16 20 3 2" xfId="29243" xr:uid="{00000000-0005-0000-0000-00006B720000}"/>
    <cellStyle name="Normal 16 20 4" xfId="29244" xr:uid="{00000000-0005-0000-0000-00006C720000}"/>
    <cellStyle name="Normal 16 21" xfId="29208" xr:uid="{00000000-0005-0000-0000-000048720000}"/>
    <cellStyle name="Normal 16 21 2" xfId="29245" xr:uid="{00000000-0005-0000-0000-00006D720000}"/>
    <cellStyle name="Normal 16 21 2 2" xfId="23415" xr:uid="{00000000-0005-0000-0000-0000A75B0000}"/>
    <cellStyle name="Normal 16 21 2 2 2" xfId="29246" xr:uid="{00000000-0005-0000-0000-00006E720000}"/>
    <cellStyle name="Normal 16 21 2 3" xfId="22044" xr:uid="{00000000-0005-0000-0000-00004C560000}"/>
    <cellStyle name="Normal 16 21 3" xfId="29247" xr:uid="{00000000-0005-0000-0000-00006F720000}"/>
    <cellStyle name="Normal 16 21 3 2" xfId="23423" xr:uid="{00000000-0005-0000-0000-0000AF5B0000}"/>
    <cellStyle name="Normal 16 21 4" xfId="29248" xr:uid="{00000000-0005-0000-0000-000070720000}"/>
    <cellStyle name="Normal 16 22" xfId="29211" xr:uid="{00000000-0005-0000-0000-00004B720000}"/>
    <cellStyle name="Normal 16 22 2" xfId="29249" xr:uid="{00000000-0005-0000-0000-000071720000}"/>
    <cellStyle name="Normal 16 23" xfId="24090" xr:uid="{00000000-0005-0000-0000-00004A5E0000}"/>
    <cellStyle name="Normal 16 3" xfId="19831" xr:uid="{00000000-0005-0000-0000-0000A74D0000}"/>
    <cellStyle name="Normal 16 4" xfId="19834" xr:uid="{00000000-0005-0000-0000-0000AA4D0000}"/>
    <cellStyle name="Normal 16 5" xfId="29250" xr:uid="{00000000-0005-0000-0000-000072720000}"/>
    <cellStyle name="Normal 16 6" xfId="29252" xr:uid="{00000000-0005-0000-0000-000074720000}"/>
    <cellStyle name="Normal 16 7" xfId="12983" xr:uid="{00000000-0005-0000-0000-0000E7320000}"/>
    <cellStyle name="Normal 16 8" xfId="29254" xr:uid="{00000000-0005-0000-0000-000076720000}"/>
    <cellStyle name="Normal 16 9" xfId="29256" xr:uid="{00000000-0005-0000-0000-000078720000}"/>
    <cellStyle name="Normal 16_ADAE" xfId="17610" xr:uid="{00000000-0005-0000-0000-0000FA440000}"/>
    <cellStyle name="Normal 17" xfId="2670" xr:uid="{00000000-0005-0000-0000-00009E0A0000}"/>
    <cellStyle name="Normal 17 2" xfId="22803" xr:uid="{00000000-0005-0000-0000-000043590000}"/>
    <cellStyle name="Normal 17 2 2" xfId="7183" xr:uid="{00000000-0005-0000-0000-00003F1C0000}"/>
    <cellStyle name="Normal 17 2 2 2" xfId="7189" xr:uid="{00000000-0005-0000-0000-0000451C0000}"/>
    <cellStyle name="Normal 17 2 2 2 2" xfId="29258" xr:uid="{00000000-0005-0000-0000-00007A720000}"/>
    <cellStyle name="Normal 17 2 2 3" xfId="29259" xr:uid="{00000000-0005-0000-0000-00007B720000}"/>
    <cellStyle name="Normal 17 2 3" xfId="7196" xr:uid="{00000000-0005-0000-0000-00004C1C0000}"/>
    <cellStyle name="Normal 17 2 3 2" xfId="7209" xr:uid="{00000000-0005-0000-0000-0000591C0000}"/>
    <cellStyle name="Normal 17 2 4" xfId="4879" xr:uid="{00000000-0005-0000-0000-00003F130000}"/>
    <cellStyle name="Normal 17 3" xfId="29260" xr:uid="{00000000-0005-0000-0000-00007C720000}"/>
    <cellStyle name="Normal 17 3 2" xfId="7243" xr:uid="{00000000-0005-0000-0000-00007B1C0000}"/>
    <cellStyle name="Normal 17 3 2 2" xfId="25563" xr:uid="{00000000-0005-0000-0000-00000B640000}"/>
    <cellStyle name="Normal 17 3 2 2 2" xfId="29261" xr:uid="{00000000-0005-0000-0000-00007D720000}"/>
    <cellStyle name="Normal 17 3 2 3" xfId="25567" xr:uid="{00000000-0005-0000-0000-00000F640000}"/>
    <cellStyle name="Normal 17 3 3" xfId="22349" xr:uid="{00000000-0005-0000-0000-00007D570000}"/>
    <cellStyle name="Normal 17 3 3 2" xfId="25577" xr:uid="{00000000-0005-0000-0000-000019640000}"/>
    <cellStyle name="Normal 17 3 4" xfId="22352" xr:uid="{00000000-0005-0000-0000-000080570000}"/>
    <cellStyle name="Normal 17 4" xfId="29262" xr:uid="{00000000-0005-0000-0000-00007E720000}"/>
    <cellStyle name="Normal 17 4 2" xfId="23536" xr:uid="{00000000-0005-0000-0000-0000205C0000}"/>
    <cellStyle name="Normal 17 4 2 2" xfId="25784" xr:uid="{00000000-0005-0000-0000-0000E8640000}"/>
    <cellStyle name="Normal 17 4 2 2 2" xfId="29263" xr:uid="{00000000-0005-0000-0000-00007F720000}"/>
    <cellStyle name="Normal 17 4 2 3" xfId="25786" xr:uid="{00000000-0005-0000-0000-0000EA640000}"/>
    <cellStyle name="Normal 17 4 3" xfId="23539" xr:uid="{00000000-0005-0000-0000-0000235C0000}"/>
    <cellStyle name="Normal 17 4 3 2" xfId="25799" xr:uid="{00000000-0005-0000-0000-0000F7640000}"/>
    <cellStyle name="Normal 17 4 4" xfId="29266" xr:uid="{00000000-0005-0000-0000-000082720000}"/>
    <cellStyle name="Normal 18" xfId="9431" xr:uid="{00000000-0005-0000-0000-000007250000}"/>
    <cellStyle name="Normal 18 10" xfId="12250" xr:uid="{00000000-0005-0000-0000-00000A300000}"/>
    <cellStyle name="Normal 18 10 2" xfId="3676" xr:uid="{00000000-0005-0000-0000-00008C0E0000}"/>
    <cellStyle name="Normal 18 10 2 2" xfId="29268" xr:uid="{00000000-0005-0000-0000-000084720000}"/>
    <cellStyle name="Normal 18 10 2 2 2" xfId="29269" xr:uid="{00000000-0005-0000-0000-000085720000}"/>
    <cellStyle name="Normal 18 10 2 3" xfId="29270" xr:uid="{00000000-0005-0000-0000-000086720000}"/>
    <cellStyle name="Normal 18 10 3" xfId="3684" xr:uid="{00000000-0005-0000-0000-0000940E0000}"/>
    <cellStyle name="Normal 18 10 3 2" xfId="29271" xr:uid="{00000000-0005-0000-0000-000087720000}"/>
    <cellStyle name="Normal 18 10 4" xfId="29272" xr:uid="{00000000-0005-0000-0000-000088720000}"/>
    <cellStyle name="Normal 18 11" xfId="17277" xr:uid="{00000000-0005-0000-0000-0000AD430000}"/>
    <cellStyle name="Normal 18 11 2" xfId="3733" xr:uid="{00000000-0005-0000-0000-0000C50E0000}"/>
    <cellStyle name="Normal 18 11 2 2" xfId="4812" xr:uid="{00000000-0005-0000-0000-0000FC120000}"/>
    <cellStyle name="Normal 18 11 2 2 2" xfId="14520" xr:uid="{00000000-0005-0000-0000-0000E8380000}"/>
    <cellStyle name="Normal 18 11 2 3" xfId="29273" xr:uid="{00000000-0005-0000-0000-000089720000}"/>
    <cellStyle name="Normal 18 11 3" xfId="4815" xr:uid="{00000000-0005-0000-0000-0000FF120000}"/>
    <cellStyle name="Normal 18 11 3 2" xfId="4822" xr:uid="{00000000-0005-0000-0000-000006130000}"/>
    <cellStyle name="Normal 18 11 4" xfId="3396" xr:uid="{00000000-0005-0000-0000-0000740D0000}"/>
    <cellStyle name="Normal 18 12" xfId="13883" xr:uid="{00000000-0005-0000-0000-00006B360000}"/>
    <cellStyle name="Normal 18 12 2" xfId="3745" xr:uid="{00000000-0005-0000-0000-0000D10E0000}"/>
    <cellStyle name="Normal 18 12 2 2" xfId="4860" xr:uid="{00000000-0005-0000-0000-00002C130000}"/>
    <cellStyle name="Normal 18 12 2 2 2" xfId="29275" xr:uid="{00000000-0005-0000-0000-00008B720000}"/>
    <cellStyle name="Normal 18 12 2 3" xfId="29276" xr:uid="{00000000-0005-0000-0000-00008C720000}"/>
    <cellStyle name="Normal 18 12 3" xfId="4862" xr:uid="{00000000-0005-0000-0000-00002E130000}"/>
    <cellStyle name="Normal 18 12 3 2" xfId="4867" xr:uid="{00000000-0005-0000-0000-000033130000}"/>
    <cellStyle name="Normal 18 12 4" xfId="3412" xr:uid="{00000000-0005-0000-0000-0000840D0000}"/>
    <cellStyle name="Normal 18 13" xfId="29277" xr:uid="{00000000-0005-0000-0000-00008D720000}"/>
    <cellStyle name="Normal 18 13 2" xfId="27119" xr:uid="{00000000-0005-0000-0000-00001F6A0000}"/>
    <cellStyle name="Normal 18 13 2 2" xfId="29278" xr:uid="{00000000-0005-0000-0000-00008E720000}"/>
    <cellStyle name="Normal 18 13 2 2 2" xfId="15395" xr:uid="{00000000-0005-0000-0000-0000533C0000}"/>
    <cellStyle name="Normal 18 13 2 3" xfId="29279" xr:uid="{00000000-0005-0000-0000-00008F720000}"/>
    <cellStyle name="Normal 18 13 3" xfId="27121" xr:uid="{00000000-0005-0000-0000-0000216A0000}"/>
    <cellStyle name="Normal 18 13 3 2" xfId="29280" xr:uid="{00000000-0005-0000-0000-000090720000}"/>
    <cellStyle name="Normal 18 13 4" xfId="18091" xr:uid="{00000000-0005-0000-0000-0000DB460000}"/>
    <cellStyle name="Normal 18 14" xfId="29281" xr:uid="{00000000-0005-0000-0000-000091720000}"/>
    <cellStyle name="Normal 18 14 2" xfId="29282" xr:uid="{00000000-0005-0000-0000-000092720000}"/>
    <cellStyle name="Normal 18 14 2 2" xfId="29283" xr:uid="{00000000-0005-0000-0000-000093720000}"/>
    <cellStyle name="Normal 18 14 2 2 2" xfId="29284" xr:uid="{00000000-0005-0000-0000-000094720000}"/>
    <cellStyle name="Normal 18 14 2 3" xfId="29285" xr:uid="{00000000-0005-0000-0000-000095720000}"/>
    <cellStyle name="Normal 18 14 3" xfId="29287" xr:uid="{00000000-0005-0000-0000-000097720000}"/>
    <cellStyle name="Normal 18 14 3 2" xfId="29288" xr:uid="{00000000-0005-0000-0000-000098720000}"/>
    <cellStyle name="Normal 18 14 4" xfId="18105" xr:uid="{00000000-0005-0000-0000-0000E9460000}"/>
    <cellStyle name="Normal 18 15" xfId="29289" xr:uid="{00000000-0005-0000-0000-000099720000}"/>
    <cellStyle name="Normal 18 15 2" xfId="29291" xr:uid="{00000000-0005-0000-0000-00009B720000}"/>
    <cellStyle name="Normal 18 15 2 2" xfId="21682" xr:uid="{00000000-0005-0000-0000-0000E2540000}"/>
    <cellStyle name="Normal 18 15 2 2 2" xfId="29293" xr:uid="{00000000-0005-0000-0000-00009D720000}"/>
    <cellStyle name="Normal 18 15 2 3" xfId="29296" xr:uid="{00000000-0005-0000-0000-0000A0720000}"/>
    <cellStyle name="Normal 18 15 3" xfId="29298" xr:uid="{00000000-0005-0000-0000-0000A2720000}"/>
    <cellStyle name="Normal 18 15 3 2" xfId="29301" xr:uid="{00000000-0005-0000-0000-0000A5720000}"/>
    <cellStyle name="Normal 18 15 4" xfId="29303" xr:uid="{00000000-0005-0000-0000-0000A7720000}"/>
    <cellStyle name="Normal 18 16" xfId="29305" xr:uid="{00000000-0005-0000-0000-0000A9720000}"/>
    <cellStyle name="Normal 18 16 2" xfId="2267" xr:uid="{00000000-0005-0000-0000-00000B090000}"/>
    <cellStyle name="Normal 18 16 2 2" xfId="2291" xr:uid="{00000000-0005-0000-0000-000023090000}"/>
    <cellStyle name="Normal 18 16 2 2 2" xfId="29309" xr:uid="{00000000-0005-0000-0000-0000AD720000}"/>
    <cellStyle name="Normal 18 16 2 3" xfId="29312" xr:uid="{00000000-0005-0000-0000-0000B0720000}"/>
    <cellStyle name="Normal 18 16 3" xfId="2296" xr:uid="{00000000-0005-0000-0000-000028090000}"/>
    <cellStyle name="Normal 18 16 3 2" xfId="2306" xr:uid="{00000000-0005-0000-0000-000032090000}"/>
    <cellStyle name="Normal 18 16 4" xfId="2313" xr:uid="{00000000-0005-0000-0000-000039090000}"/>
    <cellStyle name="Normal 18 17" xfId="29314" xr:uid="{00000000-0005-0000-0000-0000B2720000}"/>
    <cellStyle name="Normal 18 17 2" xfId="2430" xr:uid="{00000000-0005-0000-0000-0000AE090000}"/>
    <cellStyle name="Normal 18 17 2 2" xfId="2435" xr:uid="{00000000-0005-0000-0000-0000B3090000}"/>
    <cellStyle name="Normal 18 17 2 2 2" xfId="29316" xr:uid="{00000000-0005-0000-0000-0000B4720000}"/>
    <cellStyle name="Normal 18 17 2 3" xfId="29317" xr:uid="{00000000-0005-0000-0000-0000B5720000}"/>
    <cellStyle name="Normal 18 17 3" xfId="2441" xr:uid="{00000000-0005-0000-0000-0000B9090000}"/>
    <cellStyle name="Normal 18 17 3 2" xfId="2447" xr:uid="{00000000-0005-0000-0000-0000BF090000}"/>
    <cellStyle name="Normal 18 17 4" xfId="2453" xr:uid="{00000000-0005-0000-0000-0000C5090000}"/>
    <cellStyle name="Normal 18 18" xfId="29318" xr:uid="{00000000-0005-0000-0000-0000B6720000}"/>
    <cellStyle name="Normal 18 18 2" xfId="784" xr:uid="{00000000-0005-0000-0000-000040030000}"/>
    <cellStyle name="Normal 18 18 2 2" xfId="5304" xr:uid="{00000000-0005-0000-0000-0000E8140000}"/>
    <cellStyle name="Normal 18 18 2 2 2" xfId="27391" xr:uid="{00000000-0005-0000-0000-00002F6B0000}"/>
    <cellStyle name="Normal 18 18 2 3" xfId="29319" xr:uid="{00000000-0005-0000-0000-0000B7720000}"/>
    <cellStyle name="Normal 18 18 3" xfId="5308" xr:uid="{00000000-0005-0000-0000-0000EC140000}"/>
    <cellStyle name="Normal 18 18 3 2" xfId="632" xr:uid="{00000000-0005-0000-0000-0000A4020000}"/>
    <cellStyle name="Normal 18 18 4" xfId="5311" xr:uid="{00000000-0005-0000-0000-0000EF140000}"/>
    <cellStyle name="Normal 18 19" xfId="29320" xr:uid="{00000000-0005-0000-0000-0000B8720000}"/>
    <cellStyle name="Normal 18 19 2" xfId="5614" xr:uid="{00000000-0005-0000-0000-00001E160000}"/>
    <cellStyle name="Normal 18 19 2 2" xfId="4152" xr:uid="{00000000-0005-0000-0000-000068100000}"/>
    <cellStyle name="Normal 18 19 2 2 2" xfId="29321" xr:uid="{00000000-0005-0000-0000-0000B9720000}"/>
    <cellStyle name="Normal 18 19 2 3" xfId="4164" xr:uid="{00000000-0005-0000-0000-000074100000}"/>
    <cellStyle name="Normal 18 19 3" xfId="5617" xr:uid="{00000000-0005-0000-0000-000021160000}"/>
    <cellStyle name="Normal 18 19 3 2" xfId="4403" xr:uid="{00000000-0005-0000-0000-000063110000}"/>
    <cellStyle name="Normal 18 19 4" xfId="5620" xr:uid="{00000000-0005-0000-0000-000024160000}"/>
    <cellStyle name="Normal 18 2" xfId="29322" xr:uid="{00000000-0005-0000-0000-0000BA720000}"/>
    <cellStyle name="Normal 18 2 2" xfId="29325" xr:uid="{00000000-0005-0000-0000-0000BD720000}"/>
    <cellStyle name="Normal 18 2 2 2" xfId="11345" xr:uid="{00000000-0005-0000-0000-0000812C0000}"/>
    <cellStyle name="Normal 18 2 2 2 2" xfId="28516" xr:uid="{00000000-0005-0000-0000-0000946F0000}"/>
    <cellStyle name="Normal 18 2 2 3" xfId="11347" xr:uid="{00000000-0005-0000-0000-0000832C0000}"/>
    <cellStyle name="Normal 18 2 3" xfId="29326" xr:uid="{00000000-0005-0000-0000-0000BE720000}"/>
    <cellStyle name="Normal 18 2 3 2" xfId="29329" xr:uid="{00000000-0005-0000-0000-0000C1720000}"/>
    <cellStyle name="Normal 18 2 4" xfId="29331" xr:uid="{00000000-0005-0000-0000-0000C3720000}"/>
    <cellStyle name="Normal 18 20" xfId="29290" xr:uid="{00000000-0005-0000-0000-00009A720000}"/>
    <cellStyle name="Normal 18 20 2" xfId="29292" xr:uid="{00000000-0005-0000-0000-00009C720000}"/>
    <cellStyle name="Normal 18 20 2 2" xfId="21683" xr:uid="{00000000-0005-0000-0000-0000E3540000}"/>
    <cellStyle name="Normal 18 20 2 2 2" xfId="29294" xr:uid="{00000000-0005-0000-0000-00009E720000}"/>
    <cellStyle name="Normal 18 20 2 3" xfId="29297" xr:uid="{00000000-0005-0000-0000-0000A1720000}"/>
    <cellStyle name="Normal 18 20 3" xfId="29299" xr:uid="{00000000-0005-0000-0000-0000A3720000}"/>
    <cellStyle name="Normal 18 20 3 2" xfId="29302" xr:uid="{00000000-0005-0000-0000-0000A6720000}"/>
    <cellStyle name="Normal 18 20 4" xfId="29304" xr:uid="{00000000-0005-0000-0000-0000A8720000}"/>
    <cellStyle name="Normal 18 21" xfId="29306" xr:uid="{00000000-0005-0000-0000-0000AA720000}"/>
    <cellStyle name="Normal 18 21 2" xfId="2268" xr:uid="{00000000-0005-0000-0000-00000C090000}"/>
    <cellStyle name="Normal 18 21 2 2" xfId="2292" xr:uid="{00000000-0005-0000-0000-000024090000}"/>
    <cellStyle name="Normal 18 21 2 2 2" xfId="29310" xr:uid="{00000000-0005-0000-0000-0000AE720000}"/>
    <cellStyle name="Normal 18 21 2 3" xfId="29313" xr:uid="{00000000-0005-0000-0000-0000B1720000}"/>
    <cellStyle name="Normal 18 21 3" xfId="2297" xr:uid="{00000000-0005-0000-0000-000029090000}"/>
    <cellStyle name="Normal 18 21 3 2" xfId="2307" xr:uid="{00000000-0005-0000-0000-000033090000}"/>
    <cellStyle name="Normal 18 21 4" xfId="2314" xr:uid="{00000000-0005-0000-0000-00003A090000}"/>
    <cellStyle name="Normal 18 3" xfId="29332" xr:uid="{00000000-0005-0000-0000-0000C4720000}"/>
    <cellStyle name="Normal 18 3 2" xfId="17216" xr:uid="{00000000-0005-0000-0000-000070430000}"/>
    <cellStyle name="Normal 18 3 2 2" xfId="26665" xr:uid="{00000000-0005-0000-0000-000059680000}"/>
    <cellStyle name="Normal 18 3 2 2 2" xfId="6904" xr:uid="{00000000-0005-0000-0000-0000281B0000}"/>
    <cellStyle name="Normal 18 3 2 3" xfId="26667" xr:uid="{00000000-0005-0000-0000-00005B680000}"/>
    <cellStyle name="Normal 18 3 3" xfId="17219" xr:uid="{00000000-0005-0000-0000-000073430000}"/>
    <cellStyle name="Normal 18 3 3 2" xfId="26675" xr:uid="{00000000-0005-0000-0000-000063680000}"/>
    <cellStyle name="Normal 18 3 4" xfId="17223" xr:uid="{00000000-0005-0000-0000-000077430000}"/>
    <cellStyle name="Normal 18 4" xfId="29334" xr:uid="{00000000-0005-0000-0000-0000C6720000}"/>
    <cellStyle name="Normal 18 4 2" xfId="23586" xr:uid="{00000000-0005-0000-0000-0000525C0000}"/>
    <cellStyle name="Normal 18 4 2 2" xfId="26953" xr:uid="{00000000-0005-0000-0000-000079690000}"/>
    <cellStyle name="Normal 18 4 2 2 2" xfId="101" xr:uid="{00000000-0005-0000-0000-00006E000000}"/>
    <cellStyle name="Normal 18 4 2 3" xfId="26955" xr:uid="{00000000-0005-0000-0000-00007B690000}"/>
    <cellStyle name="Normal 18 4 3" xfId="23588" xr:uid="{00000000-0005-0000-0000-0000545C0000}"/>
    <cellStyle name="Normal 18 4 3 2" xfId="26964" xr:uid="{00000000-0005-0000-0000-000084690000}"/>
    <cellStyle name="Normal 18 4 4" xfId="29335" xr:uid="{00000000-0005-0000-0000-0000C7720000}"/>
    <cellStyle name="Normal 18 5" xfId="29336" xr:uid="{00000000-0005-0000-0000-0000C8720000}"/>
    <cellStyle name="Normal 18 5 2" xfId="29337" xr:uid="{00000000-0005-0000-0000-0000C9720000}"/>
    <cellStyle name="Normal 18 5 2 2" xfId="18059" xr:uid="{00000000-0005-0000-0000-0000BB460000}"/>
    <cellStyle name="Normal 18 5 2 2 2" xfId="29339" xr:uid="{00000000-0005-0000-0000-0000CB720000}"/>
    <cellStyle name="Normal 18 5 2 3" xfId="18062" xr:uid="{00000000-0005-0000-0000-0000BE460000}"/>
    <cellStyle name="Normal 18 5 3" xfId="29340" xr:uid="{00000000-0005-0000-0000-0000CC720000}"/>
    <cellStyle name="Normal 18 5 3 2" xfId="27165" xr:uid="{00000000-0005-0000-0000-00004D6A0000}"/>
    <cellStyle name="Normal 18 5 4" xfId="29341" xr:uid="{00000000-0005-0000-0000-0000CD720000}"/>
    <cellStyle name="Normal 18 6" xfId="29342" xr:uid="{00000000-0005-0000-0000-0000CE720000}"/>
    <cellStyle name="Normal 18 6 2" xfId="29343" xr:uid="{00000000-0005-0000-0000-0000CF720000}"/>
    <cellStyle name="Normal 18 6 2 2" xfId="25080" xr:uid="{00000000-0005-0000-0000-000028620000}"/>
    <cellStyle name="Normal 18 6 2 2 2" xfId="29345" xr:uid="{00000000-0005-0000-0000-0000D1720000}"/>
    <cellStyle name="Normal 18 6 2 3" xfId="25084" xr:uid="{00000000-0005-0000-0000-00002C620000}"/>
    <cellStyle name="Normal 18 6 3" xfId="29346" xr:uid="{00000000-0005-0000-0000-0000D2720000}"/>
    <cellStyle name="Normal 18 6 3 2" xfId="25099" xr:uid="{00000000-0005-0000-0000-00003B620000}"/>
    <cellStyle name="Normal 18 6 4" xfId="29347" xr:uid="{00000000-0005-0000-0000-0000D3720000}"/>
    <cellStyle name="Normal 18 7" xfId="29348" xr:uid="{00000000-0005-0000-0000-0000D4720000}"/>
    <cellStyle name="Normal 18 7 2" xfId="29349" xr:uid="{00000000-0005-0000-0000-0000D5720000}"/>
    <cellStyle name="Normal 18 7 2 2" xfId="573" xr:uid="{00000000-0005-0000-0000-000064020000}"/>
    <cellStyle name="Normal 18 7 2 2 2" xfId="11312" xr:uid="{00000000-0005-0000-0000-0000602C0000}"/>
    <cellStyle name="Normal 18 7 2 3" xfId="621" xr:uid="{00000000-0005-0000-0000-000097020000}"/>
    <cellStyle name="Normal 18 7 3" xfId="29350" xr:uid="{00000000-0005-0000-0000-0000D6720000}"/>
    <cellStyle name="Normal 18 7 3 2" xfId="29351" xr:uid="{00000000-0005-0000-0000-0000D7720000}"/>
    <cellStyle name="Normal 18 7 4" xfId="29353" xr:uid="{00000000-0005-0000-0000-0000D9720000}"/>
    <cellStyle name="Normal 18 8" xfId="29354" xr:uid="{00000000-0005-0000-0000-0000DA720000}"/>
    <cellStyle name="Normal 18 8 2" xfId="14929" xr:uid="{00000000-0005-0000-0000-0000813A0000}"/>
    <cellStyle name="Normal 18 8 2 2" xfId="12384" xr:uid="{00000000-0005-0000-0000-000090300000}"/>
    <cellStyle name="Normal 18 8 2 2 2" xfId="11664" xr:uid="{00000000-0005-0000-0000-0000C02D0000}"/>
    <cellStyle name="Normal 18 8 2 3" xfId="5752" xr:uid="{00000000-0005-0000-0000-0000A8160000}"/>
    <cellStyle name="Normal 18 8 3" xfId="14937" xr:uid="{00000000-0005-0000-0000-0000893A0000}"/>
    <cellStyle name="Normal 18 8 3 2" xfId="29355" xr:uid="{00000000-0005-0000-0000-0000DB720000}"/>
    <cellStyle name="Normal 18 8 4" xfId="14945" xr:uid="{00000000-0005-0000-0000-0000913A0000}"/>
    <cellStyle name="Normal 18 9" xfId="29356" xr:uid="{00000000-0005-0000-0000-0000DC720000}"/>
    <cellStyle name="Normal 18 9 2" xfId="29357" xr:uid="{00000000-0005-0000-0000-0000DD720000}"/>
    <cellStyle name="Normal 18 9 2 2" xfId="25168" xr:uid="{00000000-0005-0000-0000-000080620000}"/>
    <cellStyle name="Normal 18 9 2 2 2" xfId="18863" xr:uid="{00000000-0005-0000-0000-0000DF490000}"/>
    <cellStyle name="Normal 18 9 2 3" xfId="25171" xr:uid="{00000000-0005-0000-0000-000083620000}"/>
    <cellStyle name="Normal 18 9 3" xfId="29358" xr:uid="{00000000-0005-0000-0000-0000DE720000}"/>
    <cellStyle name="Normal 18 9 3 2" xfId="29359" xr:uid="{00000000-0005-0000-0000-0000DF720000}"/>
    <cellStyle name="Normal 18 9 4" xfId="29361" xr:uid="{00000000-0005-0000-0000-0000E1720000}"/>
    <cellStyle name="Normal 19" xfId="16839" xr:uid="{00000000-0005-0000-0000-0000F7410000}"/>
    <cellStyle name="Normal 19 10" xfId="29362" xr:uid="{00000000-0005-0000-0000-0000E2720000}"/>
    <cellStyle name="Normal 19 10 2" xfId="29363" xr:uid="{00000000-0005-0000-0000-0000E3720000}"/>
    <cellStyle name="Normal 19 10 2 2" xfId="29364" xr:uid="{00000000-0005-0000-0000-0000E4720000}"/>
    <cellStyle name="Normal 19 10 2 2 2" xfId="83" xr:uid="{00000000-0005-0000-0000-000058000000}"/>
    <cellStyle name="Normal 19 10 2 3" xfId="24094" xr:uid="{00000000-0005-0000-0000-00004E5E0000}"/>
    <cellStyle name="Normal 19 10 3" xfId="29365" xr:uid="{00000000-0005-0000-0000-0000E5720000}"/>
    <cellStyle name="Normal 19 10 3 2" xfId="29366" xr:uid="{00000000-0005-0000-0000-0000E6720000}"/>
    <cellStyle name="Normal 19 10 4" xfId="29367" xr:uid="{00000000-0005-0000-0000-0000E7720000}"/>
    <cellStyle name="Normal 19 11" xfId="29368" xr:uid="{00000000-0005-0000-0000-0000E8720000}"/>
    <cellStyle name="Normal 19 11 2" xfId="29369" xr:uid="{00000000-0005-0000-0000-0000E9720000}"/>
    <cellStyle name="Normal 19 11 2 2" xfId="29372" xr:uid="{00000000-0005-0000-0000-0000EC720000}"/>
    <cellStyle name="Normal 19 11 2 2 2" xfId="29374" xr:uid="{00000000-0005-0000-0000-0000EE720000}"/>
    <cellStyle name="Normal 19 11 2 3" xfId="29213" xr:uid="{00000000-0005-0000-0000-00004D720000}"/>
    <cellStyle name="Normal 19 11 3" xfId="26500" xr:uid="{00000000-0005-0000-0000-0000B4670000}"/>
    <cellStyle name="Normal 19 11 3 2" xfId="29375" xr:uid="{00000000-0005-0000-0000-0000EF720000}"/>
    <cellStyle name="Normal 19 11 4" xfId="29376" xr:uid="{00000000-0005-0000-0000-0000F0720000}"/>
    <cellStyle name="Normal 19 12" xfId="29379" xr:uid="{00000000-0005-0000-0000-0000F3720000}"/>
    <cellStyle name="Normal 19 12 2" xfId="29380" xr:uid="{00000000-0005-0000-0000-0000F4720000}"/>
    <cellStyle name="Normal 19 12 2 2" xfId="29382" xr:uid="{00000000-0005-0000-0000-0000F6720000}"/>
    <cellStyle name="Normal 19 12 2 2 2" xfId="29383" xr:uid="{00000000-0005-0000-0000-0000F7720000}"/>
    <cellStyle name="Normal 19 12 2 3" xfId="29385" xr:uid="{00000000-0005-0000-0000-0000F9720000}"/>
    <cellStyle name="Normal 19 12 3" xfId="29386" xr:uid="{00000000-0005-0000-0000-0000FA720000}"/>
    <cellStyle name="Normal 19 12 3 2" xfId="29387" xr:uid="{00000000-0005-0000-0000-0000FB720000}"/>
    <cellStyle name="Normal 19 12 4" xfId="29388" xr:uid="{00000000-0005-0000-0000-0000FC720000}"/>
    <cellStyle name="Normal 19 13" xfId="8596" xr:uid="{00000000-0005-0000-0000-0000C4210000}"/>
    <cellStyle name="Normal 19 13 2" xfId="25366" xr:uid="{00000000-0005-0000-0000-000046630000}"/>
    <cellStyle name="Normal 19 13 2 2" xfId="25368" xr:uid="{00000000-0005-0000-0000-000048630000}"/>
    <cellStyle name="Normal 19 13 2 2 2" xfId="29389" xr:uid="{00000000-0005-0000-0000-0000FD720000}"/>
    <cellStyle name="Normal 19 13 2 3" xfId="5862" xr:uid="{00000000-0005-0000-0000-000016170000}"/>
    <cellStyle name="Normal 19 13 3" xfId="25371" xr:uid="{00000000-0005-0000-0000-00004B630000}"/>
    <cellStyle name="Normal 19 13 3 2" xfId="29392" xr:uid="{00000000-0005-0000-0000-000000730000}"/>
    <cellStyle name="Normal 19 13 4" xfId="25374" xr:uid="{00000000-0005-0000-0000-00004E630000}"/>
    <cellStyle name="Normal 19 14" xfId="29393" xr:uid="{00000000-0005-0000-0000-000001730000}"/>
    <cellStyle name="Normal 19 14 2" xfId="2327" xr:uid="{00000000-0005-0000-0000-000047090000}"/>
    <cellStyle name="Normal 19 14 2 2" xfId="11067" xr:uid="{00000000-0005-0000-0000-00006B2B0000}"/>
    <cellStyle name="Normal 19 14 2 2 2" xfId="12550" xr:uid="{00000000-0005-0000-0000-000036310000}"/>
    <cellStyle name="Normal 19 14 2 3" xfId="11072" xr:uid="{00000000-0005-0000-0000-0000702B0000}"/>
    <cellStyle name="Normal 19 14 3" xfId="29394" xr:uid="{00000000-0005-0000-0000-000002730000}"/>
    <cellStyle name="Normal 19 14 3 2" xfId="29397" xr:uid="{00000000-0005-0000-0000-000005730000}"/>
    <cellStyle name="Normal 19 14 4" xfId="29398" xr:uid="{00000000-0005-0000-0000-000006730000}"/>
    <cellStyle name="Normal 19 15" xfId="29399" xr:uid="{00000000-0005-0000-0000-000007730000}"/>
    <cellStyle name="Normal 19 15 2" xfId="29401" xr:uid="{00000000-0005-0000-0000-000009730000}"/>
    <cellStyle name="Normal 19 15 2 2" xfId="11094" xr:uid="{00000000-0005-0000-0000-0000862B0000}"/>
    <cellStyle name="Normal 19 15 2 2 2" xfId="13425" xr:uid="{00000000-0005-0000-0000-0000A1340000}"/>
    <cellStyle name="Normal 19 15 2 3" xfId="11097" xr:uid="{00000000-0005-0000-0000-0000892B0000}"/>
    <cellStyle name="Normal 19 15 3" xfId="29403" xr:uid="{00000000-0005-0000-0000-00000B730000}"/>
    <cellStyle name="Normal 19 15 3 2" xfId="29405" xr:uid="{00000000-0005-0000-0000-00000D730000}"/>
    <cellStyle name="Normal 19 15 4" xfId="29407" xr:uid="{00000000-0005-0000-0000-00000F730000}"/>
    <cellStyle name="Normal 19 16" xfId="14590" xr:uid="{00000000-0005-0000-0000-00002E390000}"/>
    <cellStyle name="Normal 19 16 2" xfId="4548" xr:uid="{00000000-0005-0000-0000-0000F4110000}"/>
    <cellStyle name="Normal 19 16 2 2" xfId="11129" xr:uid="{00000000-0005-0000-0000-0000A92B0000}"/>
    <cellStyle name="Normal 19 16 2 2 2" xfId="15526" xr:uid="{00000000-0005-0000-0000-0000D63C0000}"/>
    <cellStyle name="Normal 19 16 2 3" xfId="11134" xr:uid="{00000000-0005-0000-0000-0000AE2B0000}"/>
    <cellStyle name="Normal 19 16 3" xfId="29409" xr:uid="{00000000-0005-0000-0000-000011730000}"/>
    <cellStyle name="Normal 19 16 3 2" xfId="29414" xr:uid="{00000000-0005-0000-0000-000016730000}"/>
    <cellStyle name="Normal 19 16 4" xfId="29416" xr:uid="{00000000-0005-0000-0000-000018730000}"/>
    <cellStyle name="Normal 19 17" xfId="14600" xr:uid="{00000000-0005-0000-0000-000038390000}"/>
    <cellStyle name="Normal 19 17 2" xfId="29419" xr:uid="{00000000-0005-0000-0000-00001B730000}"/>
    <cellStyle name="Normal 19 17 2 2" xfId="4337" xr:uid="{00000000-0005-0000-0000-000021110000}"/>
    <cellStyle name="Normal 19 17 2 2 2" xfId="1295" xr:uid="{00000000-0005-0000-0000-00003F050000}"/>
    <cellStyle name="Normal 19 17 2 3" xfId="3444" xr:uid="{00000000-0005-0000-0000-0000A40D0000}"/>
    <cellStyle name="Normal 19 17 3" xfId="29420" xr:uid="{00000000-0005-0000-0000-00001C730000}"/>
    <cellStyle name="Normal 19 17 3 2" xfId="29423" xr:uid="{00000000-0005-0000-0000-00001F730000}"/>
    <cellStyle name="Normal 19 17 4" xfId="29424" xr:uid="{00000000-0005-0000-0000-000020730000}"/>
    <cellStyle name="Normal 19 18" xfId="14608" xr:uid="{00000000-0005-0000-0000-000040390000}"/>
    <cellStyle name="Normal 19 18 2" xfId="14611" xr:uid="{00000000-0005-0000-0000-000043390000}"/>
    <cellStyle name="Normal 19 18 2 2" xfId="26384" xr:uid="{00000000-0005-0000-0000-000040670000}"/>
    <cellStyle name="Normal 19 18 2 2 2" xfId="29425" xr:uid="{00000000-0005-0000-0000-000021730000}"/>
    <cellStyle name="Normal 19 18 2 3" xfId="26389" xr:uid="{00000000-0005-0000-0000-000045670000}"/>
    <cellStyle name="Normal 19 18 3" xfId="14615" xr:uid="{00000000-0005-0000-0000-000047390000}"/>
    <cellStyle name="Normal 19 18 3 2" xfId="29429" xr:uid="{00000000-0005-0000-0000-000025730000}"/>
    <cellStyle name="Normal 19 18 4" xfId="14619" xr:uid="{00000000-0005-0000-0000-00004B390000}"/>
    <cellStyle name="Normal 19 19" xfId="11979" xr:uid="{00000000-0005-0000-0000-0000FB2E0000}"/>
    <cellStyle name="Normal 19 19 2" xfId="29430" xr:uid="{00000000-0005-0000-0000-000026730000}"/>
    <cellStyle name="Normal 19 19 2 2" xfId="29433" xr:uid="{00000000-0005-0000-0000-000029730000}"/>
    <cellStyle name="Normal 19 19 2 2 2" xfId="29434" xr:uid="{00000000-0005-0000-0000-00002A730000}"/>
    <cellStyle name="Normal 19 19 2 3" xfId="29437" xr:uid="{00000000-0005-0000-0000-00002D730000}"/>
    <cellStyle name="Normal 19 19 3" xfId="29440" xr:uid="{00000000-0005-0000-0000-000030730000}"/>
    <cellStyle name="Normal 19 19 3 2" xfId="29442" xr:uid="{00000000-0005-0000-0000-000032730000}"/>
    <cellStyle name="Normal 19 19 4" xfId="15617" xr:uid="{00000000-0005-0000-0000-0000313D0000}"/>
    <cellStyle name="Normal 19 2" xfId="29444" xr:uid="{00000000-0005-0000-0000-000034730000}"/>
    <cellStyle name="Normal 19 2 2" xfId="29446" xr:uid="{00000000-0005-0000-0000-000036730000}"/>
    <cellStyle name="Normal 19 2 2 2" xfId="19628" xr:uid="{00000000-0005-0000-0000-0000DC4C0000}"/>
    <cellStyle name="Normal 19 2 2 2 2" xfId="29448" xr:uid="{00000000-0005-0000-0000-000038730000}"/>
    <cellStyle name="Normal 19 2 2 3" xfId="19633" xr:uid="{00000000-0005-0000-0000-0000E14C0000}"/>
    <cellStyle name="Normal 19 2 3" xfId="29450" xr:uid="{00000000-0005-0000-0000-00003A730000}"/>
    <cellStyle name="Normal 19 2 3 2" xfId="29438" xr:uid="{00000000-0005-0000-0000-00002E730000}"/>
    <cellStyle name="Normal 19 2 4" xfId="29452" xr:uid="{00000000-0005-0000-0000-00003C730000}"/>
    <cellStyle name="Normal 19 20" xfId="29400" xr:uid="{00000000-0005-0000-0000-000008730000}"/>
    <cellStyle name="Normal 19 20 2" xfId="29402" xr:uid="{00000000-0005-0000-0000-00000A730000}"/>
    <cellStyle name="Normal 19 20 2 2" xfId="11095" xr:uid="{00000000-0005-0000-0000-0000872B0000}"/>
    <cellStyle name="Normal 19 20 2 2 2" xfId="13426" xr:uid="{00000000-0005-0000-0000-0000A2340000}"/>
    <cellStyle name="Normal 19 20 2 3" xfId="11098" xr:uid="{00000000-0005-0000-0000-00008A2B0000}"/>
    <cellStyle name="Normal 19 20 3" xfId="29404" xr:uid="{00000000-0005-0000-0000-00000C730000}"/>
    <cellStyle name="Normal 19 20 3 2" xfId="29406" xr:uid="{00000000-0005-0000-0000-00000E730000}"/>
    <cellStyle name="Normal 19 20 4" xfId="29408" xr:uid="{00000000-0005-0000-0000-000010730000}"/>
    <cellStyle name="Normal 19 21" xfId="14591" xr:uid="{00000000-0005-0000-0000-00002F390000}"/>
    <cellStyle name="Normal 19 21 2" xfId="4549" xr:uid="{00000000-0005-0000-0000-0000F5110000}"/>
    <cellStyle name="Normal 19 21 2 2" xfId="11130" xr:uid="{00000000-0005-0000-0000-0000AA2B0000}"/>
    <cellStyle name="Normal 19 21 2 2 2" xfId="15527" xr:uid="{00000000-0005-0000-0000-0000D73C0000}"/>
    <cellStyle name="Normal 19 21 2 3" xfId="11135" xr:uid="{00000000-0005-0000-0000-0000AF2B0000}"/>
    <cellStyle name="Normal 19 21 3" xfId="29410" xr:uid="{00000000-0005-0000-0000-000012730000}"/>
    <cellStyle name="Normal 19 21 3 2" xfId="29415" xr:uid="{00000000-0005-0000-0000-000017730000}"/>
    <cellStyle name="Normal 19 21 4" xfId="29417" xr:uid="{00000000-0005-0000-0000-000019730000}"/>
    <cellStyle name="Normal 19 3" xfId="29454" xr:uid="{00000000-0005-0000-0000-00003E730000}"/>
    <cellStyle name="Normal 19 3 2" xfId="22369" xr:uid="{00000000-0005-0000-0000-000091570000}"/>
    <cellStyle name="Normal 19 3 2 2" xfId="27702" xr:uid="{00000000-0005-0000-0000-0000666C0000}"/>
    <cellStyle name="Normal 19 3 2 2 2" xfId="28225" xr:uid="{00000000-0005-0000-0000-0000716E0000}"/>
    <cellStyle name="Normal 19 3 2 3" xfId="27707" xr:uid="{00000000-0005-0000-0000-00006B6C0000}"/>
    <cellStyle name="Normal 19 3 3" xfId="22372" xr:uid="{00000000-0005-0000-0000-000094570000}"/>
    <cellStyle name="Normal 19 3 3 2" xfId="29457" xr:uid="{00000000-0005-0000-0000-000041730000}"/>
    <cellStyle name="Normal 19 3 4" xfId="22375" xr:uid="{00000000-0005-0000-0000-000097570000}"/>
    <cellStyle name="Normal 19 4" xfId="29459" xr:uid="{00000000-0005-0000-0000-000043730000}"/>
    <cellStyle name="Normal 19 4 2" xfId="23624" xr:uid="{00000000-0005-0000-0000-0000785C0000}"/>
    <cellStyle name="Normal 19 4 2 2" xfId="29461" xr:uid="{00000000-0005-0000-0000-000045730000}"/>
    <cellStyle name="Normal 19 4 2 2 2" xfId="29464" xr:uid="{00000000-0005-0000-0000-000048730000}"/>
    <cellStyle name="Normal 19 4 2 3" xfId="29466" xr:uid="{00000000-0005-0000-0000-00004A730000}"/>
    <cellStyle name="Normal 19 4 3" xfId="23627" xr:uid="{00000000-0005-0000-0000-00007B5C0000}"/>
    <cellStyle name="Normal 19 4 3 2" xfId="29468" xr:uid="{00000000-0005-0000-0000-00004C730000}"/>
    <cellStyle name="Normal 19 4 4" xfId="29470" xr:uid="{00000000-0005-0000-0000-00004E730000}"/>
    <cellStyle name="Normal 19 5" xfId="29472" xr:uid="{00000000-0005-0000-0000-000050730000}"/>
    <cellStyle name="Normal 19 5 2" xfId="29474" xr:uid="{00000000-0005-0000-0000-000052730000}"/>
    <cellStyle name="Normal 19 5 2 2" xfId="29478" xr:uid="{00000000-0005-0000-0000-000056730000}"/>
    <cellStyle name="Normal 19 5 2 2 2" xfId="29479" xr:uid="{00000000-0005-0000-0000-000057730000}"/>
    <cellStyle name="Normal 19 5 2 3" xfId="29485" xr:uid="{00000000-0005-0000-0000-00005D730000}"/>
    <cellStyle name="Normal 19 5 3" xfId="29486" xr:uid="{00000000-0005-0000-0000-00005E730000}"/>
    <cellStyle name="Normal 19 5 3 2" xfId="29488" xr:uid="{00000000-0005-0000-0000-000060730000}"/>
    <cellStyle name="Normal 19 5 4" xfId="29489" xr:uid="{00000000-0005-0000-0000-000061730000}"/>
    <cellStyle name="Normal 19 6" xfId="29490" xr:uid="{00000000-0005-0000-0000-000062730000}"/>
    <cellStyle name="Normal 19 6 2" xfId="29491" xr:uid="{00000000-0005-0000-0000-000063730000}"/>
    <cellStyle name="Normal 19 6 2 2" xfId="29494" xr:uid="{00000000-0005-0000-0000-000066730000}"/>
    <cellStyle name="Normal 19 6 2 2 2" xfId="29495" xr:uid="{00000000-0005-0000-0000-000067730000}"/>
    <cellStyle name="Normal 19 6 2 3" xfId="29497" xr:uid="{00000000-0005-0000-0000-000069730000}"/>
    <cellStyle name="Normal 19 6 3" xfId="29498" xr:uid="{00000000-0005-0000-0000-00006A730000}"/>
    <cellStyle name="Normal 19 6 3 2" xfId="29499" xr:uid="{00000000-0005-0000-0000-00006B730000}"/>
    <cellStyle name="Normal 19 6 4" xfId="29500" xr:uid="{00000000-0005-0000-0000-00006C730000}"/>
    <cellStyle name="Normal 19 7" xfId="29501" xr:uid="{00000000-0005-0000-0000-00006D730000}"/>
    <cellStyle name="Normal 19 7 2" xfId="29502" xr:uid="{00000000-0005-0000-0000-00006E730000}"/>
    <cellStyle name="Normal 19 7 2 2" xfId="5237" xr:uid="{00000000-0005-0000-0000-0000A5140000}"/>
    <cellStyle name="Normal 19 7 2 2 2" xfId="5251" xr:uid="{00000000-0005-0000-0000-0000B3140000}"/>
    <cellStyle name="Normal 19 7 2 3" xfId="3926" xr:uid="{00000000-0005-0000-0000-0000860F0000}"/>
    <cellStyle name="Normal 19 7 3" xfId="29503" xr:uid="{00000000-0005-0000-0000-00006F730000}"/>
    <cellStyle name="Normal 19 7 3 2" xfId="29504" xr:uid="{00000000-0005-0000-0000-000070730000}"/>
    <cellStyle name="Normal 19 7 4" xfId="29505" xr:uid="{00000000-0005-0000-0000-000071730000}"/>
    <cellStyle name="Normal 19 8" xfId="29506" xr:uid="{00000000-0005-0000-0000-000072730000}"/>
    <cellStyle name="Normal 19 8 2" xfId="29507" xr:uid="{00000000-0005-0000-0000-000073730000}"/>
    <cellStyle name="Normal 19 8 2 2" xfId="29508" xr:uid="{00000000-0005-0000-0000-000074730000}"/>
    <cellStyle name="Normal 19 8 2 2 2" xfId="5553" xr:uid="{00000000-0005-0000-0000-0000E1150000}"/>
    <cellStyle name="Normal 19 8 2 3" xfId="29510" xr:uid="{00000000-0005-0000-0000-000076730000}"/>
    <cellStyle name="Normal 19 8 3" xfId="29511" xr:uid="{00000000-0005-0000-0000-000077730000}"/>
    <cellStyle name="Normal 19 8 3 2" xfId="29512" xr:uid="{00000000-0005-0000-0000-000078730000}"/>
    <cellStyle name="Normal 19 8 4" xfId="29513" xr:uid="{00000000-0005-0000-0000-000079730000}"/>
    <cellStyle name="Normal 19 9" xfId="29514" xr:uid="{00000000-0005-0000-0000-00007A730000}"/>
    <cellStyle name="Normal 19 9 2" xfId="29515" xr:uid="{00000000-0005-0000-0000-00007B730000}"/>
    <cellStyle name="Normal 19 9 2 2" xfId="29516" xr:uid="{00000000-0005-0000-0000-00007C730000}"/>
    <cellStyle name="Normal 19 9 2 2 2" xfId="29517" xr:uid="{00000000-0005-0000-0000-00007D730000}"/>
    <cellStyle name="Normal 19 9 2 3" xfId="29519" xr:uid="{00000000-0005-0000-0000-00007F730000}"/>
    <cellStyle name="Normal 19 9 3" xfId="29520" xr:uid="{00000000-0005-0000-0000-000080730000}"/>
    <cellStyle name="Normal 19 9 3 2" xfId="29521" xr:uid="{00000000-0005-0000-0000-000081730000}"/>
    <cellStyle name="Normal 19 9 4" xfId="29522" xr:uid="{00000000-0005-0000-0000-000082730000}"/>
    <cellStyle name="Normal 2" xfId="13213" xr:uid="{00000000-0005-0000-0000-0000CD330000}"/>
    <cellStyle name="Normal 2 10" xfId="23817" xr:uid="{00000000-0005-0000-0000-0000395D0000}"/>
    <cellStyle name="Normal 2 10 2" xfId="23822" xr:uid="{00000000-0005-0000-0000-00003E5D0000}"/>
    <cellStyle name="Normal 2 10 3" xfId="16734" xr:uid="{00000000-0005-0000-0000-00008E410000}"/>
    <cellStyle name="Normal 2 10 4" xfId="27815" xr:uid="{00000000-0005-0000-0000-0000D76C0000}"/>
    <cellStyle name="Normal 2 11" xfId="23825" xr:uid="{00000000-0005-0000-0000-0000415D0000}"/>
    <cellStyle name="Normal 2 11 2" xfId="29523" xr:uid="{00000000-0005-0000-0000-000083730000}"/>
    <cellStyle name="Normal 2 11 3" xfId="29524" xr:uid="{00000000-0005-0000-0000-000084730000}"/>
    <cellStyle name="Normal 2 11 4" xfId="29525" xr:uid="{00000000-0005-0000-0000-000085730000}"/>
    <cellStyle name="Normal 2 12" xfId="9684" xr:uid="{00000000-0005-0000-0000-000004260000}"/>
    <cellStyle name="Normal 2 12 2" xfId="29526" xr:uid="{00000000-0005-0000-0000-000086730000}"/>
    <cellStyle name="Normal 2 12 3" xfId="29527" xr:uid="{00000000-0005-0000-0000-000087730000}"/>
    <cellStyle name="Normal 2 12 4" xfId="29528" xr:uid="{00000000-0005-0000-0000-000088730000}"/>
    <cellStyle name="Normal 2 13" xfId="23827" xr:uid="{00000000-0005-0000-0000-0000435D0000}"/>
    <cellStyle name="Normal 2 13 2" xfId="1212" xr:uid="{00000000-0005-0000-0000-0000EC040000}"/>
    <cellStyle name="Normal 2 13 3" xfId="29529" xr:uid="{00000000-0005-0000-0000-000089730000}"/>
    <cellStyle name="Normal 2 13 4" xfId="29530" xr:uid="{00000000-0005-0000-0000-00008A730000}"/>
    <cellStyle name="Normal 2 14" xfId="373" xr:uid="{00000000-0005-0000-0000-00008E010000}"/>
    <cellStyle name="Normal 2 14 10" xfId="29531" xr:uid="{00000000-0005-0000-0000-00008B730000}"/>
    <cellStyle name="Normal 2 14 11" xfId="29532" xr:uid="{00000000-0005-0000-0000-00008C730000}"/>
    <cellStyle name="Normal 2 14 12" xfId="25614" xr:uid="{00000000-0005-0000-0000-00003E640000}"/>
    <cellStyle name="Normal 2 14 13" xfId="25617" xr:uid="{00000000-0005-0000-0000-000041640000}"/>
    <cellStyle name="Normal 2 14 14" xfId="25620" xr:uid="{00000000-0005-0000-0000-000044640000}"/>
    <cellStyle name="Normal 2 14 15" xfId="25623" xr:uid="{00000000-0005-0000-0000-000047640000}"/>
    <cellStyle name="Normal 2 14 16" xfId="25627" xr:uid="{00000000-0005-0000-0000-00004B640000}"/>
    <cellStyle name="Normal 2 14 17" xfId="29533" xr:uid="{00000000-0005-0000-0000-00008D730000}"/>
    <cellStyle name="Normal 2 14 18" xfId="29535" xr:uid="{00000000-0005-0000-0000-00008F730000}"/>
    <cellStyle name="Normal 2 14 19" xfId="29538" xr:uid="{00000000-0005-0000-0000-000092730000}"/>
    <cellStyle name="Normal 2 14 2" xfId="29541" xr:uid="{00000000-0005-0000-0000-000095730000}"/>
    <cellStyle name="Normal 2 14 20" xfId="25624" xr:uid="{00000000-0005-0000-0000-000048640000}"/>
    <cellStyle name="Normal 2 14 3" xfId="29542" xr:uid="{00000000-0005-0000-0000-000096730000}"/>
    <cellStyle name="Normal 2 14 4" xfId="29543" xr:uid="{00000000-0005-0000-0000-000097730000}"/>
    <cellStyle name="Normal 2 14 5" xfId="29544" xr:uid="{00000000-0005-0000-0000-000098730000}"/>
    <cellStyle name="Normal 2 14 6" xfId="29545" xr:uid="{00000000-0005-0000-0000-000099730000}"/>
    <cellStyle name="Normal 2 14 7" xfId="29546" xr:uid="{00000000-0005-0000-0000-00009A730000}"/>
    <cellStyle name="Normal 2 14 8" xfId="29547" xr:uid="{00000000-0005-0000-0000-00009B730000}"/>
    <cellStyle name="Normal 2 14 9" xfId="25737" xr:uid="{00000000-0005-0000-0000-0000B9640000}"/>
    <cellStyle name="Normal 2 15" xfId="29548" xr:uid="{00000000-0005-0000-0000-00009C730000}"/>
    <cellStyle name="Normal 2 15 2" xfId="29550" xr:uid="{00000000-0005-0000-0000-00009E730000}"/>
    <cellStyle name="Normal 2 15 3" xfId="29551" xr:uid="{00000000-0005-0000-0000-00009F730000}"/>
    <cellStyle name="Normal 2 15 4" xfId="27849" xr:uid="{00000000-0005-0000-0000-0000F96C0000}"/>
    <cellStyle name="Normal 2 16" xfId="29552" xr:uid="{00000000-0005-0000-0000-0000A0730000}"/>
    <cellStyle name="Normal 2 17" xfId="29554" xr:uid="{00000000-0005-0000-0000-0000A2730000}"/>
    <cellStyle name="Normal 2 18" xfId="29556" xr:uid="{00000000-0005-0000-0000-0000A4730000}"/>
    <cellStyle name="Normal 2 19" xfId="29559" xr:uid="{00000000-0005-0000-0000-0000A7730000}"/>
    <cellStyle name="Normal 2 2" xfId="9598" xr:uid="{00000000-0005-0000-0000-0000AE250000}"/>
    <cellStyle name="Normal 2 2 10" xfId="29562" xr:uid="{00000000-0005-0000-0000-0000AA730000}"/>
    <cellStyle name="Normal 2 2 11" xfId="29565" xr:uid="{00000000-0005-0000-0000-0000AD730000}"/>
    <cellStyle name="Normal 2 2 12" xfId="18675" xr:uid="{00000000-0005-0000-0000-000023490000}"/>
    <cellStyle name="Normal 2 2 13" xfId="18679" xr:uid="{00000000-0005-0000-0000-000027490000}"/>
    <cellStyle name="Normal 2 2 14" xfId="18682" xr:uid="{00000000-0005-0000-0000-00002A490000}"/>
    <cellStyle name="Normal 2 2 15" xfId="18685" xr:uid="{00000000-0005-0000-0000-00002D490000}"/>
    <cellStyle name="Normal 2 2 16" xfId="18689" xr:uid="{00000000-0005-0000-0000-000031490000}"/>
    <cellStyle name="Normal 2 2 16 2" xfId="18261" xr:uid="{00000000-0005-0000-0000-000085470000}"/>
    <cellStyle name="Normal 2 2 17" xfId="27828" xr:uid="{00000000-0005-0000-0000-0000E46C0000}"/>
    <cellStyle name="Normal 2 2 2" xfId="13216" xr:uid="{00000000-0005-0000-0000-0000D0330000}"/>
    <cellStyle name="Normal 2 2 2 10" xfId="29567" xr:uid="{00000000-0005-0000-0000-0000AF730000}"/>
    <cellStyle name="Normal 2 2 2 11" xfId="29568" xr:uid="{00000000-0005-0000-0000-0000B0730000}"/>
    <cellStyle name="Normal 2 2 2 12" xfId="29569" xr:uid="{00000000-0005-0000-0000-0000B1730000}"/>
    <cellStyle name="Normal 2 2 2 13" xfId="29570" xr:uid="{00000000-0005-0000-0000-0000B2730000}"/>
    <cellStyle name="Normal 2 2 2 14" xfId="29571" xr:uid="{00000000-0005-0000-0000-0000B3730000}"/>
    <cellStyle name="Normal 2 2 2 15" xfId="29572" xr:uid="{00000000-0005-0000-0000-0000B4730000}"/>
    <cellStyle name="Normal 2 2 2 16" xfId="29573" xr:uid="{00000000-0005-0000-0000-0000B5730000}"/>
    <cellStyle name="Normal 2 2 2 16 2" xfId="22913" xr:uid="{00000000-0005-0000-0000-0000B1590000}"/>
    <cellStyle name="Normal 2 2 2 17" xfId="1143" xr:uid="{00000000-0005-0000-0000-0000A7040000}"/>
    <cellStyle name="Normal 2 2 2 2" xfId="29574" xr:uid="{00000000-0005-0000-0000-0000B6730000}"/>
    <cellStyle name="Normal 2 2 2 2 10" xfId="29575" xr:uid="{00000000-0005-0000-0000-0000B7730000}"/>
    <cellStyle name="Normal 2 2 2 2 11" xfId="29576" xr:uid="{00000000-0005-0000-0000-0000B8730000}"/>
    <cellStyle name="Normal 2 2 2 2 12" xfId="29577" xr:uid="{00000000-0005-0000-0000-0000B9730000}"/>
    <cellStyle name="Normal 2 2 2 2 13" xfId="29578" xr:uid="{00000000-0005-0000-0000-0000BA730000}"/>
    <cellStyle name="Normal 2 2 2 2 14" xfId="29579" xr:uid="{00000000-0005-0000-0000-0000BB730000}"/>
    <cellStyle name="Normal 2 2 2 2 15" xfId="29580" xr:uid="{00000000-0005-0000-0000-0000BC730000}"/>
    <cellStyle name="Normal 2 2 2 2 2" xfId="29581" xr:uid="{00000000-0005-0000-0000-0000BD730000}"/>
    <cellStyle name="Normal 2 2 2 2 2 10" xfId="29582" xr:uid="{00000000-0005-0000-0000-0000BE730000}"/>
    <cellStyle name="Normal 2 2 2 2 2 11" xfId="7175" xr:uid="{00000000-0005-0000-0000-0000371C0000}"/>
    <cellStyle name="Normal 2 2 2 2 2 12" xfId="7114" xr:uid="{00000000-0005-0000-0000-0000FA1B0000}"/>
    <cellStyle name="Normal 2 2 2 2 2 13" xfId="29584" xr:uid="{00000000-0005-0000-0000-0000C0730000}"/>
    <cellStyle name="Normal 2 2 2 2 2 14" xfId="29585" xr:uid="{00000000-0005-0000-0000-0000C1730000}"/>
    <cellStyle name="Normal 2 2 2 2 2 15" xfId="29586" xr:uid="{00000000-0005-0000-0000-0000C2730000}"/>
    <cellStyle name="Normal 2 2 2 2 2 2" xfId="29588" xr:uid="{00000000-0005-0000-0000-0000C4730000}"/>
    <cellStyle name="Normal 2 2 2 2 2 2 10" xfId="2591" xr:uid="{00000000-0005-0000-0000-00004F0A0000}"/>
    <cellStyle name="Normal 2 2 2 2 2 2 11" xfId="2619" xr:uid="{00000000-0005-0000-0000-00006B0A0000}"/>
    <cellStyle name="Normal 2 2 2 2 2 2 12" xfId="2631" xr:uid="{00000000-0005-0000-0000-0000770A0000}"/>
    <cellStyle name="Normal 2 2 2 2 2 2 13" xfId="29589" xr:uid="{00000000-0005-0000-0000-0000C5730000}"/>
    <cellStyle name="Normal 2 2 2 2 2 2 14" xfId="29590" xr:uid="{00000000-0005-0000-0000-0000C6730000}"/>
    <cellStyle name="Normal 2 2 2 2 2 2 2" xfId="29593" xr:uid="{00000000-0005-0000-0000-0000C9730000}"/>
    <cellStyle name="Normal 2 2 2 2 2 2 2 10" xfId="29594" xr:uid="{00000000-0005-0000-0000-0000CA730000}"/>
    <cellStyle name="Normal 2 2 2 2 2 2 2 11" xfId="29595" xr:uid="{00000000-0005-0000-0000-0000CB730000}"/>
    <cellStyle name="Normal 2 2 2 2 2 2 2 12" xfId="25364" xr:uid="{00000000-0005-0000-0000-000044630000}"/>
    <cellStyle name="Normal 2 2 2 2 2 2 2 13" xfId="5853" xr:uid="{00000000-0005-0000-0000-00000D170000}"/>
    <cellStyle name="Normal 2 2 2 2 2 2 2 14" xfId="22701" xr:uid="{00000000-0005-0000-0000-0000DD580000}"/>
    <cellStyle name="Normal 2 2 2 2 2 2 2 2" xfId="8931" xr:uid="{00000000-0005-0000-0000-000013230000}"/>
    <cellStyle name="Normal 2 2 2 2 2 2 2 2 10" xfId="10041" xr:uid="{00000000-0005-0000-0000-000069270000}"/>
    <cellStyle name="Normal 2 2 2 2 2 2 2 2 11" xfId="25941" xr:uid="{00000000-0005-0000-0000-000085650000}"/>
    <cellStyle name="Normal 2 2 2 2 2 2 2 2 12" xfId="25944" xr:uid="{00000000-0005-0000-0000-000088650000}"/>
    <cellStyle name="Normal 2 2 2 2 2 2 2 2 2" xfId="25947" xr:uid="{00000000-0005-0000-0000-00008B650000}"/>
    <cellStyle name="Normal 2 2 2 2 2 2 2 2 2 10" xfId="29596" xr:uid="{00000000-0005-0000-0000-0000CC730000}"/>
    <cellStyle name="Normal 2 2 2 2 2 2 2 2 2 11" xfId="29598" xr:uid="{00000000-0005-0000-0000-0000CE730000}"/>
    <cellStyle name="Normal 2 2 2 2 2 2 2 2 2 12" xfId="29600" xr:uid="{00000000-0005-0000-0000-0000D0730000}"/>
    <cellStyle name="Normal 2 2 2 2 2 2 2 2 2 2" xfId="25949" xr:uid="{00000000-0005-0000-0000-00008D650000}"/>
    <cellStyle name="Normal 2 2 2 2 2 2 2 2 2 2 2" xfId="3835" xr:uid="{00000000-0005-0000-0000-00002B0F0000}"/>
    <cellStyle name="Normal 2 2 2 2 2 2 2 2 2 2 2 2" xfId="29601" xr:uid="{00000000-0005-0000-0000-0000D1730000}"/>
    <cellStyle name="Normal 2 2 2 2 2 2 2 2 2 2 2 2 2" xfId="29603" xr:uid="{00000000-0005-0000-0000-0000D3730000}"/>
    <cellStyle name="Normal 2 2 2 2 2 2 2 2 2 2 2 2 2 2" xfId="20406" xr:uid="{00000000-0005-0000-0000-0000E64F0000}"/>
    <cellStyle name="Normal 2 2 2 2 2 2 2 2 2 2 2 2 2 2 2" xfId="17621" xr:uid="{00000000-0005-0000-0000-000005450000}"/>
    <cellStyle name="Normal 2 2 2 2 2 2 2 2 2 2 2 2 2 2 2 2" xfId="29604" xr:uid="{00000000-0005-0000-0000-0000D4730000}"/>
    <cellStyle name="Normal 2 2 2 2 2 2 2 2 2 2 2 2 2 2 2 2 2" xfId="29606" xr:uid="{00000000-0005-0000-0000-0000D6730000}"/>
    <cellStyle name="Normal 2 2 2 2 2 2 2 2 2 2 2 2 2 2 2 2 2 2" xfId="29608" xr:uid="{00000000-0005-0000-0000-0000D8730000}"/>
    <cellStyle name="Normal 2 2 2 2 2 2 2 2 2 2 2 2 2 2 2 2 2 2 2" xfId="29610" xr:uid="{00000000-0005-0000-0000-0000DA730000}"/>
    <cellStyle name="Normal 2 2 2 2 2 2 2 2 2 2 2 2 2 2 2 2 2 2 2 2" xfId="6872" xr:uid="{00000000-0005-0000-0000-0000081B0000}"/>
    <cellStyle name="Normal 2 2 2 2 2 2 2 2 2 2 2 2 2 2 2 2 2 2 2 2 2" xfId="29613" xr:uid="{00000000-0005-0000-0000-0000DD730000}"/>
    <cellStyle name="Normal 2 2 2 2 2 2 2 2 2 2 2 2 2 2 2 2 2 2 2 2 2 2" xfId="29617" xr:uid="{00000000-0005-0000-0000-0000E1730000}"/>
    <cellStyle name="Normal 2 2 2 2 2 2 2 2 2 2 2 2 2 2 2 2 2 2 2 2 2 2 2" xfId="24201" xr:uid="{00000000-0005-0000-0000-0000B95E0000}"/>
    <cellStyle name="Normal 2 2 2 2 2 2 2 2 2 2 2 2 2 2 2 2 2 2 2 2 2 2 2 2" xfId="29618" xr:uid="{00000000-0005-0000-0000-0000E2730000}"/>
    <cellStyle name="Normal 2 2 2 2 2 2 2 2 2 2 2 2 2 2 2 2 2 2 2 2 2 2 2 2 2" xfId="29619" xr:uid="{00000000-0005-0000-0000-0000E3730000}"/>
    <cellStyle name="Normal 2 2 2 2 2 2 2 2 2 2 2 2 2 2 2 2 2 2 2 2 2 2 2 2 2 2" xfId="29620" xr:uid="{00000000-0005-0000-0000-0000E4730000}"/>
    <cellStyle name="Normal 2 2 2 2 2 2 2 2 2 2 2 2 2 2 2 2 2 2 2 2 2 2 2 3" xfId="29621" xr:uid="{00000000-0005-0000-0000-0000E5730000}"/>
    <cellStyle name="Normal 2 2 2 2 2 2 2 2 2 2 2 2 2 2 2 2 2 2 2 2 2 2 3" xfId="24203" xr:uid="{00000000-0005-0000-0000-0000BB5E0000}"/>
    <cellStyle name="Normal 2 2 2 2 2 2 2 2 2 2 2 2 2 2 2 2 2 2 2 2 2 3" xfId="29627" xr:uid="{00000000-0005-0000-0000-0000EB730000}"/>
    <cellStyle name="Normal 2 2 2 2 2 2 2 2 2 2 2 2 2 2 2 2 2 2 2 2 2 4" xfId="29633" xr:uid="{00000000-0005-0000-0000-0000F1730000}"/>
    <cellStyle name="Normal 2 2 2 2 2 2 2 2 2 2 2 2 2 2 2 2 2 2 2 2 3" xfId="29637" xr:uid="{00000000-0005-0000-0000-0000F5730000}"/>
    <cellStyle name="Normal 2 2 2 2 2 2 2 2 2 2 2 2 2 2 2 2 2 2 2 2 4" xfId="29640" xr:uid="{00000000-0005-0000-0000-0000F8730000}"/>
    <cellStyle name="Normal 2 2 2 2 2 2 2 2 2 2 2 2 2 2 2 2 2 2 2 3" xfId="6886" xr:uid="{00000000-0005-0000-0000-0000161B0000}"/>
    <cellStyle name="Normal 2 2 2 2 2 2 2 2 2 2 2 2 2 2 2 2 2 2 2 4" xfId="6899" xr:uid="{00000000-0005-0000-0000-0000231B0000}"/>
    <cellStyle name="Normal 2 2 2 2 2 2 2 2 2 2 2 2 2 2 2 2 2 2 2 5" xfId="2935" xr:uid="{00000000-0005-0000-0000-0000A70B0000}"/>
    <cellStyle name="Normal 2 2 2 2 2 2 2 2 2 2 2 2 2 2 2 2 2 2 3" xfId="29641" xr:uid="{00000000-0005-0000-0000-0000F9730000}"/>
    <cellStyle name="Normal 2 2 2 2 2 2 2 2 2 2 2 2 2 2 2 2 2 2 4" xfId="29642" xr:uid="{00000000-0005-0000-0000-0000FA730000}"/>
    <cellStyle name="Normal 2 2 2 2 2 2 2 2 2 2 2 2 2 2 2 2 2 2 5" xfId="29643" xr:uid="{00000000-0005-0000-0000-0000FB730000}"/>
    <cellStyle name="Normal 2 2 2 2 2 2 2 2 2 2 2 2 2 2 2 2 2 3" xfId="29645" xr:uid="{00000000-0005-0000-0000-0000FD730000}"/>
    <cellStyle name="Normal 2 2 2 2 2 2 2 2 2 2 2 2 2 2 2 2 2 4" xfId="29648" xr:uid="{00000000-0005-0000-0000-000000740000}"/>
    <cellStyle name="Normal 2 2 2 2 2 2 2 2 2 2 2 2 2 2 2 2 2 5" xfId="29650" xr:uid="{00000000-0005-0000-0000-000002740000}"/>
    <cellStyle name="Normal 2 2 2 2 2 2 2 2 2 2 2 2 2 2 2 2 2 6" xfId="29652" xr:uid="{00000000-0005-0000-0000-000004740000}"/>
    <cellStyle name="Normal 2 2 2 2 2 2 2 2 2 2 2 2 2 2 2 2 3" xfId="29654" xr:uid="{00000000-0005-0000-0000-000006740000}"/>
    <cellStyle name="Normal 2 2 2 2 2 2 2 2 2 2 2 2 2 2 2 2 4" xfId="27590" xr:uid="{00000000-0005-0000-0000-0000F66B0000}"/>
    <cellStyle name="Normal 2 2 2 2 2 2 2 2 2 2 2 2 2 2 2 2 5" xfId="29656" xr:uid="{00000000-0005-0000-0000-000008740000}"/>
    <cellStyle name="Normal 2 2 2 2 2 2 2 2 2 2 2 2 2 2 2 2 6" xfId="29662" xr:uid="{00000000-0005-0000-0000-00000E740000}"/>
    <cellStyle name="Normal 2 2 2 2 2 2 2 2 2 2 2 2 2 2 2 3" xfId="29666" xr:uid="{00000000-0005-0000-0000-000012740000}"/>
    <cellStyle name="Normal 2 2 2 2 2 2 2 2 2 2 2 2 2 2 2 4" xfId="29667" xr:uid="{00000000-0005-0000-0000-000013740000}"/>
    <cellStyle name="Normal 2 2 2 2 2 2 2 2 2 2 2 2 2 2 2 5" xfId="29669" xr:uid="{00000000-0005-0000-0000-000015740000}"/>
    <cellStyle name="Normal 2 2 2 2 2 2 2 2 2 2 2 2 2 2 2 6" xfId="29672" xr:uid="{00000000-0005-0000-0000-000018740000}"/>
    <cellStyle name="Normal 2 2 2 2 2 2 2 2 2 2 2 2 2 2 2 7" xfId="29675" xr:uid="{00000000-0005-0000-0000-00001B740000}"/>
    <cellStyle name="Normal 2 2 2 2 2 2 2 2 2 2 2 2 2 2 3" xfId="17624" xr:uid="{00000000-0005-0000-0000-000008450000}"/>
    <cellStyle name="Normal 2 2 2 2 2 2 2 2 2 2 2 2 2 2 4" xfId="29676" xr:uid="{00000000-0005-0000-0000-00001C740000}"/>
    <cellStyle name="Normal 2 2 2 2 2 2 2 2 2 2 2 2 2 2 5" xfId="29677" xr:uid="{00000000-0005-0000-0000-00001D740000}"/>
    <cellStyle name="Normal 2 2 2 2 2 2 2 2 2 2 2 2 2 2 6" xfId="29678" xr:uid="{00000000-0005-0000-0000-00001E740000}"/>
    <cellStyle name="Normal 2 2 2 2 2 2 2 2 2 2 2 2 2 2 7" xfId="29679" xr:uid="{00000000-0005-0000-0000-00001F740000}"/>
    <cellStyle name="Normal 2 2 2 2 2 2 2 2 2 2 2 2 2 3" xfId="6465" xr:uid="{00000000-0005-0000-0000-000071190000}"/>
    <cellStyle name="Normal 2 2 2 2 2 2 2 2 2 2 2 2 2 4" xfId="6479" xr:uid="{00000000-0005-0000-0000-00007F190000}"/>
    <cellStyle name="Normal 2 2 2 2 2 2 2 2 2 2 2 2 2 5" xfId="13878" xr:uid="{00000000-0005-0000-0000-000066360000}"/>
    <cellStyle name="Normal 2 2 2 2 2 2 2 2 2 2 2 2 2 6" xfId="29680" xr:uid="{00000000-0005-0000-0000-000020740000}"/>
    <cellStyle name="Normal 2 2 2 2 2 2 2 2 2 2 2 2 2 7" xfId="29681" xr:uid="{00000000-0005-0000-0000-000021740000}"/>
    <cellStyle name="Normal 2 2 2 2 2 2 2 2 2 2 2 2 2 8" xfId="29683" xr:uid="{00000000-0005-0000-0000-000023740000}"/>
    <cellStyle name="Normal 2 2 2 2 2 2 2 2 2 2 2 2 3" xfId="29685" xr:uid="{00000000-0005-0000-0000-000025740000}"/>
    <cellStyle name="Normal 2 2 2 2 2 2 2 2 2 2 2 2 4" xfId="29688" xr:uid="{00000000-0005-0000-0000-000028740000}"/>
    <cellStyle name="Normal 2 2 2 2 2 2 2 2 2 2 2 2 5" xfId="29690" xr:uid="{00000000-0005-0000-0000-00002A740000}"/>
    <cellStyle name="Normal 2 2 2 2 2 2 2 2 2 2 2 2 6" xfId="29693" xr:uid="{00000000-0005-0000-0000-00002D740000}"/>
    <cellStyle name="Normal 2 2 2 2 2 2 2 2 2 2 2 2 7" xfId="29695" xr:uid="{00000000-0005-0000-0000-00002F740000}"/>
    <cellStyle name="Normal 2 2 2 2 2 2 2 2 2 2 2 2 8" xfId="29696" xr:uid="{00000000-0005-0000-0000-000030740000}"/>
    <cellStyle name="Normal 2 2 2 2 2 2 2 2 2 2 2 3" xfId="29697" xr:uid="{00000000-0005-0000-0000-000031740000}"/>
    <cellStyle name="Normal 2 2 2 2 2 2 2 2 2 2 2 4" xfId="29698" xr:uid="{00000000-0005-0000-0000-000032740000}"/>
    <cellStyle name="Normal 2 2 2 2 2 2 2 2 2 2 2 5" xfId="29700" xr:uid="{00000000-0005-0000-0000-000034740000}"/>
    <cellStyle name="Normal 2 2 2 2 2 2 2 2 2 2 2 6" xfId="29702" xr:uid="{00000000-0005-0000-0000-000036740000}"/>
    <cellStyle name="Normal 2 2 2 2 2 2 2 2 2 2 2 7" xfId="29704" xr:uid="{00000000-0005-0000-0000-000038740000}"/>
    <cellStyle name="Normal 2 2 2 2 2 2 2 2 2 2 2 8" xfId="29706" xr:uid="{00000000-0005-0000-0000-00003A740000}"/>
    <cellStyle name="Normal 2 2 2 2 2 2 2 2 2 2 2 9" xfId="29708" xr:uid="{00000000-0005-0000-0000-00003C740000}"/>
    <cellStyle name="Normal 2 2 2 2 2 2 2 2 2 2 3" xfId="3815" xr:uid="{00000000-0005-0000-0000-0000170F0000}"/>
    <cellStyle name="Normal 2 2 2 2 2 2 2 2 2 2 3 2" xfId="29712" xr:uid="{00000000-0005-0000-0000-000040740000}"/>
    <cellStyle name="Normal 2 2 2 2 2 2 2 2 2 2 4" xfId="9890" xr:uid="{00000000-0005-0000-0000-0000D2260000}"/>
    <cellStyle name="Normal 2 2 2 2 2 2 2 2 2 2 5" xfId="9898" xr:uid="{00000000-0005-0000-0000-0000DA260000}"/>
    <cellStyle name="Normal 2 2 2 2 2 2 2 2 2 2 6" xfId="1816" xr:uid="{00000000-0005-0000-0000-000048070000}"/>
    <cellStyle name="Normal 2 2 2 2 2 2 2 2 2 2 7" xfId="10143" xr:uid="{00000000-0005-0000-0000-0000CF270000}"/>
    <cellStyle name="Normal 2 2 2 2 2 2 2 2 2 2 8" xfId="10153" xr:uid="{00000000-0005-0000-0000-0000D9270000}"/>
    <cellStyle name="Normal 2 2 2 2 2 2 2 2 2 2 9" xfId="25167" xr:uid="{00000000-0005-0000-0000-00007F620000}"/>
    <cellStyle name="Normal 2 2 2 2 2 2 2 2 2 3" xfId="20872" xr:uid="{00000000-0005-0000-0000-0000B8510000}"/>
    <cellStyle name="Normal 2 2 2 2 2 2 2 2 2 3 2" xfId="29714" xr:uid="{00000000-0005-0000-0000-000042740000}"/>
    <cellStyle name="Normal 2 2 2 2 2 2 2 2 2 3 2 2" xfId="29715" xr:uid="{00000000-0005-0000-0000-000043740000}"/>
    <cellStyle name="Normal 2 2 2 2 2 2 2 2 2 4" xfId="20877" xr:uid="{00000000-0005-0000-0000-0000BD510000}"/>
    <cellStyle name="Normal 2 2 2 2 2 2 2 2 2 5" xfId="20882" xr:uid="{00000000-0005-0000-0000-0000C2510000}"/>
    <cellStyle name="Normal 2 2 2 2 2 2 2 2 2 6" xfId="20887" xr:uid="{00000000-0005-0000-0000-0000C7510000}"/>
    <cellStyle name="Normal 2 2 2 2 2 2 2 2 2 7" xfId="25952" xr:uid="{00000000-0005-0000-0000-000090650000}"/>
    <cellStyle name="Normal 2 2 2 2 2 2 2 2 2 8" xfId="25954" xr:uid="{00000000-0005-0000-0000-000092650000}"/>
    <cellStyle name="Normal 2 2 2 2 2 2 2 2 2 9" xfId="24853" xr:uid="{00000000-0005-0000-0000-000045610000}"/>
    <cellStyle name="Normal 2 2 2 2 2 2 2 2 3" xfId="25956" xr:uid="{00000000-0005-0000-0000-000094650000}"/>
    <cellStyle name="Normal 2 2 2 2 2 2 2 2 3 2" xfId="25959" xr:uid="{00000000-0005-0000-0000-000097650000}"/>
    <cellStyle name="Normal 2 2 2 2 2 2 2 2 3 2 2" xfId="29717" xr:uid="{00000000-0005-0000-0000-000045740000}"/>
    <cellStyle name="Normal 2 2 2 2 2 2 2 2 4" xfId="25966" xr:uid="{00000000-0005-0000-0000-00009E650000}"/>
    <cellStyle name="Normal 2 2 2 2 2 2 2 2 5" xfId="14155" xr:uid="{00000000-0005-0000-0000-00007B370000}"/>
    <cellStyle name="Normal 2 2 2 2 2 2 2 2 6" xfId="13439" xr:uid="{00000000-0005-0000-0000-0000AF340000}"/>
    <cellStyle name="Normal 2 2 2 2 2 2 2 2 7" xfId="13448" xr:uid="{00000000-0005-0000-0000-0000B8340000}"/>
    <cellStyle name="Normal 2 2 2 2 2 2 2 2 8" xfId="13453" xr:uid="{00000000-0005-0000-0000-0000BD340000}"/>
    <cellStyle name="Normal 2 2 2 2 2 2 2 2 9" xfId="20199" xr:uid="{00000000-0005-0000-0000-0000174F0000}"/>
    <cellStyle name="Normal 2 2 2 2 2 2 2 3" xfId="8937" xr:uid="{00000000-0005-0000-0000-000019230000}"/>
    <cellStyle name="Normal 2 2 2 2 2 2 2 4" xfId="8943" xr:uid="{00000000-0005-0000-0000-00001F230000}"/>
    <cellStyle name="Normal 2 2 2 2 2 2 2 5" xfId="11359" xr:uid="{00000000-0005-0000-0000-00008F2C0000}"/>
    <cellStyle name="Normal 2 2 2 2 2 2 2 5 2" xfId="20844" xr:uid="{00000000-0005-0000-0000-00009C510000}"/>
    <cellStyle name="Normal 2 2 2 2 2 2 2 5 2 2" xfId="13294" xr:uid="{00000000-0005-0000-0000-00001E340000}"/>
    <cellStyle name="Normal 2 2 2 2 2 2 2 6" xfId="5526" xr:uid="{00000000-0005-0000-0000-0000C6150000}"/>
    <cellStyle name="Normal 2 2 2 2 2 2 2 7" xfId="29718" xr:uid="{00000000-0005-0000-0000-000046740000}"/>
    <cellStyle name="Normal 2 2 2 2 2 2 2 8" xfId="29719" xr:uid="{00000000-0005-0000-0000-000047740000}"/>
    <cellStyle name="Normal 2 2 2 2 2 2 2 9" xfId="29720" xr:uid="{00000000-0005-0000-0000-000048740000}"/>
    <cellStyle name="Normal 2 2 2 2 2 2 3" xfId="29722" xr:uid="{00000000-0005-0000-0000-00004A740000}"/>
    <cellStyle name="Normal 2 2 2 2 2 2 3 2" xfId="13656" xr:uid="{00000000-0005-0000-0000-000088350000}"/>
    <cellStyle name="Normal 2 2 2 2 2 2 3 3" xfId="13663" xr:uid="{00000000-0005-0000-0000-00008F350000}"/>
    <cellStyle name="Normal 2 2 2 2 2 2 4" xfId="29724" xr:uid="{00000000-0005-0000-0000-00004C740000}"/>
    <cellStyle name="Normal 2 2 2 2 2 2 5" xfId="29726" xr:uid="{00000000-0005-0000-0000-00004E740000}"/>
    <cellStyle name="Normal 2 2 2 2 2 2 5 2" xfId="26187" xr:uid="{00000000-0005-0000-0000-00007B660000}"/>
    <cellStyle name="Normal 2 2 2 2 2 2 5 2 2" xfId="26190" xr:uid="{00000000-0005-0000-0000-00007E660000}"/>
    <cellStyle name="Normal 2 2 2 2 2 2 6" xfId="29728" xr:uid="{00000000-0005-0000-0000-000050740000}"/>
    <cellStyle name="Normal 2 2 2 2 2 2 7" xfId="6416" xr:uid="{00000000-0005-0000-0000-000040190000}"/>
    <cellStyle name="Normal 2 2 2 2 2 2 8" xfId="7181" xr:uid="{00000000-0005-0000-0000-00003D1C0000}"/>
    <cellStyle name="Normal 2 2 2 2 2 2 9" xfId="7194" xr:uid="{00000000-0005-0000-0000-00004A1C0000}"/>
    <cellStyle name="Normal 2 2 2 2 2 3" xfId="28417" xr:uid="{00000000-0005-0000-0000-0000316F0000}"/>
    <cellStyle name="Normal 2 2 2 2 2 3 2" xfId="29731" xr:uid="{00000000-0005-0000-0000-000053740000}"/>
    <cellStyle name="Normal 2 2 2 2 2 3 3" xfId="29733" xr:uid="{00000000-0005-0000-0000-000055740000}"/>
    <cellStyle name="Normal 2 2 2 2 2 4" xfId="23503" xr:uid="{00000000-0005-0000-0000-0000FF5B0000}"/>
    <cellStyle name="Normal 2 2 2 2 2 4 2" xfId="23522" xr:uid="{00000000-0005-0000-0000-0000125C0000}"/>
    <cellStyle name="Normal 2 2 2 2 2 4 2 2" xfId="4239" xr:uid="{00000000-0005-0000-0000-0000BF100000}"/>
    <cellStyle name="Normal 2 2 2 2 2 4 3" xfId="23525" xr:uid="{00000000-0005-0000-0000-0000155C0000}"/>
    <cellStyle name="Normal 2 2 2 2 2 4 4" xfId="23529" xr:uid="{00000000-0005-0000-0000-0000195C0000}"/>
    <cellStyle name="Normal 2 2 2 2 2 5" xfId="23542" xr:uid="{00000000-0005-0000-0000-0000265C0000}"/>
    <cellStyle name="Normal 2 2 2 2 2 6" xfId="12394" xr:uid="{00000000-0005-0000-0000-00009A300000}"/>
    <cellStyle name="Normal 2 2 2 2 2 6 2" xfId="12399" xr:uid="{00000000-0005-0000-0000-00009F300000}"/>
    <cellStyle name="Normal 2 2 2 2 2 6 2 2" xfId="12404" xr:uid="{00000000-0005-0000-0000-0000A4300000}"/>
    <cellStyle name="Normal 2 2 2 2 2 7" xfId="12414" xr:uid="{00000000-0005-0000-0000-0000AE300000}"/>
    <cellStyle name="Normal 2 2 2 2 2 8" xfId="484" xr:uid="{00000000-0005-0000-0000-000003020000}"/>
    <cellStyle name="Normal 2 2 2 2 2 9" xfId="12461" xr:uid="{00000000-0005-0000-0000-0000DD300000}"/>
    <cellStyle name="Normal 2 2 2 2 3" xfId="29734" xr:uid="{00000000-0005-0000-0000-000056740000}"/>
    <cellStyle name="Normal 2 2 2 2 3 2" xfId="29737" xr:uid="{00000000-0005-0000-0000-000059740000}"/>
    <cellStyle name="Normal 2 2 2 2 3 3" xfId="29740" xr:uid="{00000000-0005-0000-0000-00005C740000}"/>
    <cellStyle name="Normal 2 2 2 2 4" xfId="29741" xr:uid="{00000000-0005-0000-0000-00005D740000}"/>
    <cellStyle name="Normal 2 2 2 2 4 2" xfId="19749" xr:uid="{00000000-0005-0000-0000-0000554D0000}"/>
    <cellStyle name="Normal 2 2 2 2 4 3" xfId="19754" xr:uid="{00000000-0005-0000-0000-00005A4D0000}"/>
    <cellStyle name="Normal 2 2 2 2 5" xfId="29742" xr:uid="{00000000-0005-0000-0000-00005E740000}"/>
    <cellStyle name="Normal 2 2 2 2 5 2" xfId="19770" xr:uid="{00000000-0005-0000-0000-00006A4D0000}"/>
    <cellStyle name="Normal 2 2 2 2 5 2 2" xfId="8350" xr:uid="{00000000-0005-0000-0000-0000CE200000}"/>
    <cellStyle name="Normal 2 2 2 2 5 2 2 2" xfId="29743" xr:uid="{00000000-0005-0000-0000-00005F740000}"/>
    <cellStyle name="Normal 2 2 2 2 5 2 2 2 2" xfId="29744" xr:uid="{00000000-0005-0000-0000-000060740000}"/>
    <cellStyle name="Normal 2 2 2 2 5 2 2 3" xfId="29745" xr:uid="{00000000-0005-0000-0000-000061740000}"/>
    <cellStyle name="Normal 2 2 2 2 5 2 3" xfId="8357" xr:uid="{00000000-0005-0000-0000-0000D5200000}"/>
    <cellStyle name="Normal 2 2 2 2 5 3" xfId="22873" xr:uid="{00000000-0005-0000-0000-000089590000}"/>
    <cellStyle name="Normal 2 2 2 2 5 3 2" xfId="29746" xr:uid="{00000000-0005-0000-0000-000062740000}"/>
    <cellStyle name="Normal 2 2 2 2 5 4" xfId="20543" xr:uid="{00000000-0005-0000-0000-00006F500000}"/>
    <cellStyle name="Normal 2 2 2 2 5 5" xfId="20547" xr:uid="{00000000-0005-0000-0000-000073500000}"/>
    <cellStyle name="Normal 2 2 2 2 6" xfId="29748" xr:uid="{00000000-0005-0000-0000-000064740000}"/>
    <cellStyle name="Normal 2 2 2 2 6 2" xfId="29750" xr:uid="{00000000-0005-0000-0000-000066740000}"/>
    <cellStyle name="Normal 2 2 2 2 6 2 2" xfId="5659" xr:uid="{00000000-0005-0000-0000-00004B160000}"/>
    <cellStyle name="Normal 2 2 2 2 6 2 3" xfId="5669" xr:uid="{00000000-0005-0000-0000-000055160000}"/>
    <cellStyle name="Normal 2 2 2 2 6 2 4" xfId="8001" xr:uid="{00000000-0005-0000-0000-0000711F0000}"/>
    <cellStyle name="Normal 2 2 2 2 6 3" xfId="29754" xr:uid="{00000000-0005-0000-0000-00006A740000}"/>
    <cellStyle name="Normal 2 2 2 2 6 4" xfId="23681" xr:uid="{00000000-0005-0000-0000-0000B15C0000}"/>
    <cellStyle name="Normal 2 2 2 2 7" xfId="29756" xr:uid="{00000000-0005-0000-0000-00006C740000}"/>
    <cellStyle name="Normal 2 2 2 2 8" xfId="869" xr:uid="{00000000-0005-0000-0000-000095030000}"/>
    <cellStyle name="Normal 2 2 2 2 9" xfId="29758" xr:uid="{00000000-0005-0000-0000-00006E740000}"/>
    <cellStyle name="Normal 2 2 2 3" xfId="29759" xr:uid="{00000000-0005-0000-0000-00006F740000}"/>
    <cellStyle name="Normal 2 2 2 3 2" xfId="29761" xr:uid="{00000000-0005-0000-0000-000071740000}"/>
    <cellStyle name="Normal 2 2 2 3 3" xfId="29762" xr:uid="{00000000-0005-0000-0000-000072740000}"/>
    <cellStyle name="Normal 2 2 2 4" xfId="26010" xr:uid="{00000000-0005-0000-0000-0000CA650000}"/>
    <cellStyle name="Normal 2 2 2 4 2" xfId="22910" xr:uid="{00000000-0005-0000-0000-0000AE590000}"/>
    <cellStyle name="Normal 2 2 2 4 3" xfId="29764" xr:uid="{00000000-0005-0000-0000-000074740000}"/>
    <cellStyle name="Normal 2 2 2 5" xfId="26012" xr:uid="{00000000-0005-0000-0000-0000CC650000}"/>
    <cellStyle name="Normal 2 2 2 5 2" xfId="22931" xr:uid="{00000000-0005-0000-0000-0000C3590000}"/>
    <cellStyle name="Normal 2 2 2 5 2 2" xfId="29768" xr:uid="{00000000-0005-0000-0000-000078740000}"/>
    <cellStyle name="Normal 2 2 2 5 2 2 2" xfId="1450" xr:uid="{00000000-0005-0000-0000-0000DA050000}"/>
    <cellStyle name="Normal 2 2 2 5 2 2 2 2" xfId="6951" xr:uid="{00000000-0005-0000-0000-0000571B0000}"/>
    <cellStyle name="Normal 2 2 2 5 2 2 3" xfId="3583" xr:uid="{00000000-0005-0000-0000-00002F0E0000}"/>
    <cellStyle name="Normal 2 2 2 5 2 3" xfId="29772" xr:uid="{00000000-0005-0000-0000-00007C740000}"/>
    <cellStyle name="Normal 2 2 2 5 3" xfId="29776" xr:uid="{00000000-0005-0000-0000-000080740000}"/>
    <cellStyle name="Normal 2 2 2 5 3 2" xfId="28630" xr:uid="{00000000-0005-0000-0000-000006700000}"/>
    <cellStyle name="Normal 2 2 2 5 4" xfId="29779" xr:uid="{00000000-0005-0000-0000-000083740000}"/>
    <cellStyle name="Normal 2 2 2 5 5" xfId="29780" xr:uid="{00000000-0005-0000-0000-000084740000}"/>
    <cellStyle name="Normal 2 2 2 6" xfId="26015" xr:uid="{00000000-0005-0000-0000-0000CF650000}"/>
    <cellStyle name="Normal 2 2 2 6 2" xfId="22966" xr:uid="{00000000-0005-0000-0000-0000E6590000}"/>
    <cellStyle name="Normal 2 2 2 6 2 2" xfId="15178" xr:uid="{00000000-0005-0000-0000-00007A3B0000}"/>
    <cellStyle name="Normal 2 2 2 6 3" xfId="29784" xr:uid="{00000000-0005-0000-0000-000088740000}"/>
    <cellStyle name="Normal 2 2 2 6 4" xfId="29788" xr:uid="{00000000-0005-0000-0000-00008C740000}"/>
    <cellStyle name="Normal 2 2 2 7" xfId="26018" xr:uid="{00000000-0005-0000-0000-0000D2650000}"/>
    <cellStyle name="Normal 2 2 2 7 2" xfId="23001" xr:uid="{00000000-0005-0000-0000-0000095A0000}"/>
    <cellStyle name="Normal 2 2 2 7 2 2" xfId="29790" xr:uid="{00000000-0005-0000-0000-00008E740000}"/>
    <cellStyle name="Normal 2 2 2 7 3" xfId="29793" xr:uid="{00000000-0005-0000-0000-000091740000}"/>
    <cellStyle name="Normal 2 2 2 7 4" xfId="29796" xr:uid="{00000000-0005-0000-0000-000094740000}"/>
    <cellStyle name="Normal 2 2 2 8" xfId="26022" xr:uid="{00000000-0005-0000-0000-0000D6650000}"/>
    <cellStyle name="Normal 2 2 2 9" xfId="26026" xr:uid="{00000000-0005-0000-0000-0000DA650000}"/>
    <cellStyle name="Normal 2 2 3" xfId="29798" xr:uid="{00000000-0005-0000-0000-000096740000}"/>
    <cellStyle name="Normal 2 2 3 2" xfId="21243" xr:uid="{00000000-0005-0000-0000-00002B530000}"/>
    <cellStyle name="Normal 2 2 3 3" xfId="21245" xr:uid="{00000000-0005-0000-0000-00002D530000}"/>
    <cellStyle name="Normal 2 2 3 3 2" xfId="29799" xr:uid="{00000000-0005-0000-0000-000097740000}"/>
    <cellStyle name="Normal 2 2 3 4" xfId="21248" xr:uid="{00000000-0005-0000-0000-000030530000}"/>
    <cellStyle name="Normal 2 2 3 5" xfId="21251" xr:uid="{00000000-0005-0000-0000-000033530000}"/>
    <cellStyle name="Normal 2 2 4" xfId="29800" xr:uid="{00000000-0005-0000-0000-000098740000}"/>
    <cellStyle name="Normal 2 2 4 2" xfId="29801" xr:uid="{00000000-0005-0000-0000-000099740000}"/>
    <cellStyle name="Normal 2 2 4 3" xfId="29802" xr:uid="{00000000-0005-0000-0000-00009A740000}"/>
    <cellStyle name="Normal 2 2 5" xfId="13121" xr:uid="{00000000-0005-0000-0000-000071330000}"/>
    <cellStyle name="Normal 2 2 5 2" xfId="13125" xr:uid="{00000000-0005-0000-0000-000075330000}"/>
    <cellStyle name="Normal 2 2 5 3" xfId="13128" xr:uid="{00000000-0005-0000-0000-000078330000}"/>
    <cellStyle name="Normal 2 2 6" xfId="13146" xr:uid="{00000000-0005-0000-0000-00008A330000}"/>
    <cellStyle name="Normal 2 2 6 2" xfId="13148" xr:uid="{00000000-0005-0000-0000-00008C330000}"/>
    <cellStyle name="Normal 2 2 6 2 2" xfId="12196" xr:uid="{00000000-0005-0000-0000-0000D42F0000}"/>
    <cellStyle name="Normal 2 2 6 2 2 2" xfId="27281" xr:uid="{00000000-0005-0000-0000-0000C16A0000}"/>
    <cellStyle name="Normal 2 2 6 2 2 2 2" xfId="29803" xr:uid="{00000000-0005-0000-0000-00009B740000}"/>
    <cellStyle name="Normal 2 2 6 2 2 3" xfId="27283" xr:uid="{00000000-0005-0000-0000-0000C36A0000}"/>
    <cellStyle name="Normal 2 2 6 2 3" xfId="29804" xr:uid="{00000000-0005-0000-0000-00009C740000}"/>
    <cellStyle name="Normal 2 2 6 3" xfId="13150" xr:uid="{00000000-0005-0000-0000-00008E330000}"/>
    <cellStyle name="Normal 2 2 6 3 2" xfId="7773" xr:uid="{00000000-0005-0000-0000-00008D1E0000}"/>
    <cellStyle name="Normal 2 2 6 4" xfId="13152" xr:uid="{00000000-0005-0000-0000-000090330000}"/>
    <cellStyle name="Normal 2 2 6 5" xfId="13155" xr:uid="{00000000-0005-0000-0000-000093330000}"/>
    <cellStyle name="Normal 2 2 7" xfId="13161" xr:uid="{00000000-0005-0000-0000-000099330000}"/>
    <cellStyle name="Normal 2 2 7 2" xfId="13165" xr:uid="{00000000-0005-0000-0000-00009D330000}"/>
    <cellStyle name="Normal 2 2 7 2 2" xfId="17274" xr:uid="{00000000-0005-0000-0000-0000AA430000}"/>
    <cellStyle name="Normal 2 2 7 2 3" xfId="29805" xr:uid="{00000000-0005-0000-0000-00009D740000}"/>
    <cellStyle name="Normal 2 2 7 2 4" xfId="29806" xr:uid="{00000000-0005-0000-0000-00009E740000}"/>
    <cellStyle name="Normal 2 2 7 3" xfId="29807" xr:uid="{00000000-0005-0000-0000-00009F740000}"/>
    <cellStyle name="Normal 2 2 7 4" xfId="28405" xr:uid="{00000000-0005-0000-0000-0000256F0000}"/>
    <cellStyle name="Normal 2 2 8" xfId="13168" xr:uid="{00000000-0005-0000-0000-0000A0330000}"/>
    <cellStyle name="Normal 2 2 8 2" xfId="29808" xr:uid="{00000000-0005-0000-0000-0000A0740000}"/>
    <cellStyle name="Normal 2 2 8 3" xfId="29810" xr:uid="{00000000-0005-0000-0000-0000A2740000}"/>
    <cellStyle name="Normal 2 2 9" xfId="13173" xr:uid="{00000000-0005-0000-0000-0000A5330000}"/>
    <cellStyle name="Normal 2 2 9 2" xfId="29812" xr:uid="{00000000-0005-0000-0000-0000A4740000}"/>
    <cellStyle name="Normal 2 2 9 3" xfId="29814" xr:uid="{00000000-0005-0000-0000-0000A6740000}"/>
    <cellStyle name="Normal 2 2 9 3 2" xfId="17461" xr:uid="{00000000-0005-0000-0000-000065440000}"/>
    <cellStyle name="Normal 2 2 9 4" xfId="29816" xr:uid="{00000000-0005-0000-0000-0000A8740000}"/>
    <cellStyle name="Normal 2 2_ADECHO" xfId="29819" xr:uid="{00000000-0005-0000-0000-0000AB740000}"/>
    <cellStyle name="Normal 2 20" xfId="29549" xr:uid="{00000000-0005-0000-0000-00009D730000}"/>
    <cellStyle name="Normal 2 21" xfId="29553" xr:uid="{00000000-0005-0000-0000-0000A1730000}"/>
    <cellStyle name="Normal 2 22" xfId="29555" xr:uid="{00000000-0005-0000-0000-0000A3730000}"/>
    <cellStyle name="Normal 2 23" xfId="29557" xr:uid="{00000000-0005-0000-0000-0000A5730000}"/>
    <cellStyle name="Normal 2 24" xfId="29560" xr:uid="{00000000-0005-0000-0000-0000A8730000}"/>
    <cellStyle name="Normal 2 25" xfId="29822" xr:uid="{00000000-0005-0000-0000-0000AE740000}"/>
    <cellStyle name="Normal 2 26" xfId="29825" xr:uid="{00000000-0005-0000-0000-0000B1740000}"/>
    <cellStyle name="Normal 2 27" xfId="29829" xr:uid="{00000000-0005-0000-0000-0000B5740000}"/>
    <cellStyle name="Normal 2 28" xfId="29832" xr:uid="{00000000-0005-0000-0000-0000B8740000}"/>
    <cellStyle name="Normal 2 29" xfId="29836" xr:uid="{00000000-0005-0000-0000-0000BC740000}"/>
    <cellStyle name="Normal 2 3" xfId="9609" xr:uid="{00000000-0005-0000-0000-0000B9250000}"/>
    <cellStyle name="Normal 2 3 10" xfId="11772" xr:uid="{00000000-0005-0000-0000-00002C2E0000}"/>
    <cellStyle name="Normal 2 3 11" xfId="29838" xr:uid="{00000000-0005-0000-0000-0000BE740000}"/>
    <cellStyle name="Normal 2 3 12" xfId="29840" xr:uid="{00000000-0005-0000-0000-0000C0740000}"/>
    <cellStyle name="Normal 2 3 13" xfId="29843" xr:uid="{00000000-0005-0000-0000-0000C3740000}"/>
    <cellStyle name="Normal 2 3 14" xfId="29847" xr:uid="{00000000-0005-0000-0000-0000C7740000}"/>
    <cellStyle name="Normal 2 3 15" xfId="29854" xr:uid="{00000000-0005-0000-0000-0000CE740000}"/>
    <cellStyle name="Normal 2 3 16" xfId="29860" xr:uid="{00000000-0005-0000-0000-0000D4740000}"/>
    <cellStyle name="Normal 2 3 17" xfId="29864" xr:uid="{00000000-0005-0000-0000-0000D8740000}"/>
    <cellStyle name="Normal 2 3 18" xfId="29870" xr:uid="{00000000-0005-0000-0000-0000DE740000}"/>
    <cellStyle name="Normal 2 3 19" xfId="29875" xr:uid="{00000000-0005-0000-0000-0000E3740000}"/>
    <cellStyle name="Normal 2 3 2" xfId="29877" xr:uid="{00000000-0005-0000-0000-0000E5740000}"/>
    <cellStyle name="Normal 2 3 2 10" xfId="28299" xr:uid="{00000000-0005-0000-0000-0000BB6E0000}"/>
    <cellStyle name="Normal 2 3 2 11" xfId="959" xr:uid="{00000000-0005-0000-0000-0000EF030000}"/>
    <cellStyle name="Normal 2 3 2 12" xfId="28301" xr:uid="{00000000-0005-0000-0000-0000BD6E0000}"/>
    <cellStyle name="Normal 2 3 2 13" xfId="28303" xr:uid="{00000000-0005-0000-0000-0000BF6E0000}"/>
    <cellStyle name="Normal 2 3 2 14" xfId="29878" xr:uid="{00000000-0005-0000-0000-0000E6740000}"/>
    <cellStyle name="Normal 2 3 2 15" xfId="29879" xr:uid="{00000000-0005-0000-0000-0000E7740000}"/>
    <cellStyle name="Normal 2 3 2 16" xfId="29882" xr:uid="{00000000-0005-0000-0000-0000EA740000}"/>
    <cellStyle name="Normal 2 3 2 17" xfId="4229" xr:uid="{00000000-0005-0000-0000-0000B5100000}"/>
    <cellStyle name="Normal 2 3 2 18" xfId="29885" xr:uid="{00000000-0005-0000-0000-0000ED740000}"/>
    <cellStyle name="Normal 2 3 2 19" xfId="29888" xr:uid="{00000000-0005-0000-0000-0000F0740000}"/>
    <cellStyle name="Normal 2 3 2 2" xfId="463" xr:uid="{00000000-0005-0000-0000-0000ED010000}"/>
    <cellStyle name="Normal 2 3 2 2 2" xfId="11458" xr:uid="{00000000-0005-0000-0000-0000F22C0000}"/>
    <cellStyle name="Normal 2 3 2 2 3" xfId="11480" xr:uid="{00000000-0005-0000-0000-0000082D0000}"/>
    <cellStyle name="Normal 2 3 2 2 4" xfId="10900" xr:uid="{00000000-0005-0000-0000-0000C42A0000}"/>
    <cellStyle name="Normal 2 3 2 2 5" xfId="10906" xr:uid="{00000000-0005-0000-0000-0000CA2A0000}"/>
    <cellStyle name="Normal 2 3 2 2 6" xfId="4036" xr:uid="{00000000-0005-0000-0000-0000F40F0000}"/>
    <cellStyle name="Normal 2 3 2 2 7" xfId="10912" xr:uid="{00000000-0005-0000-0000-0000D02A0000}"/>
    <cellStyle name="Normal 2 3 2 2 8" xfId="10921" xr:uid="{00000000-0005-0000-0000-0000D92A0000}"/>
    <cellStyle name="Normal 2 3 2 2 9" xfId="11495" xr:uid="{00000000-0005-0000-0000-0000172D0000}"/>
    <cellStyle name="Normal 2 3 2 20" xfId="29880" xr:uid="{00000000-0005-0000-0000-0000E8740000}"/>
    <cellStyle name="Normal 2 3 2 21" xfId="29883" xr:uid="{00000000-0005-0000-0000-0000EB740000}"/>
    <cellStyle name="Normal 2 3 2 22" xfId="4230" xr:uid="{00000000-0005-0000-0000-0000B6100000}"/>
    <cellStyle name="Normal 2 3 2 23" xfId="29886" xr:uid="{00000000-0005-0000-0000-0000EE740000}"/>
    <cellStyle name="Normal 2 3 2 24" xfId="29889" xr:uid="{00000000-0005-0000-0000-0000F1740000}"/>
    <cellStyle name="Normal 2 3 2 25" xfId="29891" xr:uid="{00000000-0005-0000-0000-0000F3740000}"/>
    <cellStyle name="Normal 2 3 2 26" xfId="29893" xr:uid="{00000000-0005-0000-0000-0000F5740000}"/>
    <cellStyle name="Normal 2 3 2 27" xfId="29896" xr:uid="{00000000-0005-0000-0000-0000F8740000}"/>
    <cellStyle name="Normal 2 3 2 28" xfId="29898" xr:uid="{00000000-0005-0000-0000-0000FA740000}"/>
    <cellStyle name="Normal 2 3 2 3" xfId="29899" xr:uid="{00000000-0005-0000-0000-0000FB740000}"/>
    <cellStyle name="Normal 2 3 2 4" xfId="26046" xr:uid="{00000000-0005-0000-0000-0000EE650000}"/>
    <cellStyle name="Normal 2 3 2 5" xfId="26052" xr:uid="{00000000-0005-0000-0000-0000F4650000}"/>
    <cellStyle name="Normal 2 3 2 6" xfId="26058" xr:uid="{00000000-0005-0000-0000-0000FA650000}"/>
    <cellStyle name="Normal 2 3 2 7" xfId="26065" xr:uid="{00000000-0005-0000-0000-000001660000}"/>
    <cellStyle name="Normal 2 3 2 8" xfId="29901" xr:uid="{00000000-0005-0000-0000-0000FD740000}"/>
    <cellStyle name="Normal 2 3 2 9" xfId="29903" xr:uid="{00000000-0005-0000-0000-0000FF740000}"/>
    <cellStyle name="Normal 2 3 20" xfId="29855" xr:uid="{00000000-0005-0000-0000-0000CF740000}"/>
    <cellStyle name="Normal 2 3 21" xfId="29861" xr:uid="{00000000-0005-0000-0000-0000D5740000}"/>
    <cellStyle name="Normal 2 3 22" xfId="29865" xr:uid="{00000000-0005-0000-0000-0000D9740000}"/>
    <cellStyle name="Normal 2 3 23" xfId="29871" xr:uid="{00000000-0005-0000-0000-0000DF740000}"/>
    <cellStyle name="Normal 2 3 24" xfId="29876" xr:uid="{00000000-0005-0000-0000-0000E4740000}"/>
    <cellStyle name="Normal 2 3 25" xfId="29907" xr:uid="{00000000-0005-0000-0000-000003750000}"/>
    <cellStyle name="Normal 2 3 26" xfId="29913" xr:uid="{00000000-0005-0000-0000-000009750000}"/>
    <cellStyle name="Normal 2 3 27" xfId="29917" xr:uid="{00000000-0005-0000-0000-00000D750000}"/>
    <cellStyle name="Normal 2 3 28" xfId="29919" xr:uid="{00000000-0005-0000-0000-00000F750000}"/>
    <cellStyle name="Normal 2 3 29" xfId="29921" xr:uid="{00000000-0005-0000-0000-000011750000}"/>
    <cellStyle name="Normal 2 3 3" xfId="29922" xr:uid="{00000000-0005-0000-0000-000012750000}"/>
    <cellStyle name="Normal 2 3 3 2" xfId="29923" xr:uid="{00000000-0005-0000-0000-000013750000}"/>
    <cellStyle name="Normal 2 3 3 3" xfId="29925" xr:uid="{00000000-0005-0000-0000-000015750000}"/>
    <cellStyle name="Normal 2 3 3 4" xfId="26069" xr:uid="{00000000-0005-0000-0000-000005660000}"/>
    <cellStyle name="Normal 2 3 3 5" xfId="29927" xr:uid="{00000000-0005-0000-0000-000017750000}"/>
    <cellStyle name="Normal 2 3 3 6" xfId="29929" xr:uid="{00000000-0005-0000-0000-000019750000}"/>
    <cellStyle name="Normal 2 3 3 7" xfId="29931" xr:uid="{00000000-0005-0000-0000-00001B750000}"/>
    <cellStyle name="Normal 2 3 3 8" xfId="29933" xr:uid="{00000000-0005-0000-0000-00001D750000}"/>
    <cellStyle name="Normal 2 3 3 9" xfId="29935" xr:uid="{00000000-0005-0000-0000-00001F750000}"/>
    <cellStyle name="Normal 2 3 30" xfId="29908" xr:uid="{00000000-0005-0000-0000-000004750000}"/>
    <cellStyle name="Normal 2 3 31" xfId="29914" xr:uid="{00000000-0005-0000-0000-00000A750000}"/>
    <cellStyle name="Normal 2 3 4" xfId="29936" xr:uid="{00000000-0005-0000-0000-000020750000}"/>
    <cellStyle name="Normal 2 3 5" xfId="13214" xr:uid="{00000000-0005-0000-0000-0000CE330000}"/>
    <cellStyle name="Normal 2 3 6" xfId="13223" xr:uid="{00000000-0005-0000-0000-0000D7330000}"/>
    <cellStyle name="Normal 2 3 7" xfId="13243" xr:uid="{00000000-0005-0000-0000-0000EB330000}"/>
    <cellStyle name="Normal 2 3 8" xfId="13249" xr:uid="{00000000-0005-0000-0000-0000F1330000}"/>
    <cellStyle name="Normal 2 3 9" xfId="13253" xr:uid="{00000000-0005-0000-0000-0000F5330000}"/>
    <cellStyle name="Normal 2 30" xfId="29823" xr:uid="{00000000-0005-0000-0000-0000AF740000}"/>
    <cellStyle name="Normal 2 31" xfId="29826" xr:uid="{00000000-0005-0000-0000-0000B2740000}"/>
    <cellStyle name="Normal 2 32" xfId="29830" xr:uid="{00000000-0005-0000-0000-0000B6740000}"/>
    <cellStyle name="Normal 2 33" xfId="29833" xr:uid="{00000000-0005-0000-0000-0000B9740000}"/>
    <cellStyle name="Normal 2 34" xfId="29837" xr:uid="{00000000-0005-0000-0000-0000BD740000}"/>
    <cellStyle name="Normal 2 35" xfId="29939" xr:uid="{00000000-0005-0000-0000-000023750000}"/>
    <cellStyle name="Normal 2 36" xfId="29944" xr:uid="{00000000-0005-0000-0000-000028750000}"/>
    <cellStyle name="Normal 2 37" xfId="29949" xr:uid="{00000000-0005-0000-0000-00002D750000}"/>
    <cellStyle name="Normal 2 38" xfId="29953" xr:uid="{00000000-0005-0000-0000-000031750000}"/>
    <cellStyle name="Normal 2 39" xfId="29956" xr:uid="{00000000-0005-0000-0000-000034750000}"/>
    <cellStyle name="Normal 2 4" xfId="9622" xr:uid="{00000000-0005-0000-0000-0000C6250000}"/>
    <cellStyle name="Normal 2 4 2" xfId="18139" xr:uid="{00000000-0005-0000-0000-00000B470000}"/>
    <cellStyle name="Normal 2 4 3" xfId="29959" xr:uid="{00000000-0005-0000-0000-000037750000}"/>
    <cellStyle name="Normal 2 4 4" xfId="29961" xr:uid="{00000000-0005-0000-0000-000039750000}"/>
    <cellStyle name="Normal 2 4 5" xfId="13269" xr:uid="{00000000-0005-0000-0000-000005340000}"/>
    <cellStyle name="Normal 2 4 6" xfId="13276" xr:uid="{00000000-0005-0000-0000-00000C340000}"/>
    <cellStyle name="Normal 2 4 6 2" xfId="13279" xr:uid="{00000000-0005-0000-0000-00000F340000}"/>
    <cellStyle name="Normal 2 4 7" xfId="614" xr:uid="{00000000-0005-0000-0000-000090020000}"/>
    <cellStyle name="Normal 2 4 8" xfId="13291" xr:uid="{00000000-0005-0000-0000-00001B340000}"/>
    <cellStyle name="Normal 2 40" xfId="29940" xr:uid="{00000000-0005-0000-0000-000024750000}"/>
    <cellStyle name="Normal 2 41" xfId="29945" xr:uid="{00000000-0005-0000-0000-000029750000}"/>
    <cellStyle name="Normal 2 42" xfId="29950" xr:uid="{00000000-0005-0000-0000-00002E750000}"/>
    <cellStyle name="Normal 2 43" xfId="29954" xr:uid="{00000000-0005-0000-0000-000032750000}"/>
    <cellStyle name="Normal 2 44" xfId="29957" xr:uid="{00000000-0005-0000-0000-000035750000}"/>
    <cellStyle name="Normal 2 45" xfId="29963" xr:uid="{00000000-0005-0000-0000-00003B750000}"/>
    <cellStyle name="Normal 2 46" xfId="29965" xr:uid="{00000000-0005-0000-0000-00003D750000}"/>
    <cellStyle name="Normal 2 47" xfId="29443" xr:uid="{00000000-0005-0000-0000-000033730000}"/>
    <cellStyle name="Normal 2 48" xfId="29967" xr:uid="{00000000-0005-0000-0000-00003F750000}"/>
    <cellStyle name="Normal 2 48 2" xfId="29968" xr:uid="{00000000-0005-0000-0000-000040750000}"/>
    <cellStyle name="Normal 2 49" xfId="29971" xr:uid="{00000000-0005-0000-0000-000043750000}"/>
    <cellStyle name="Normal 2 5" xfId="3951" xr:uid="{00000000-0005-0000-0000-00009F0F0000}"/>
    <cellStyle name="Normal 2 5 2" xfId="29974" xr:uid="{00000000-0005-0000-0000-000046750000}"/>
    <cellStyle name="Normal 2 5 3" xfId="29977" xr:uid="{00000000-0005-0000-0000-000049750000}"/>
    <cellStyle name="Normal 2 5 4" xfId="29980" xr:uid="{00000000-0005-0000-0000-00004C750000}"/>
    <cellStyle name="Normal 2 5 5" xfId="3028" xr:uid="{00000000-0005-0000-0000-0000040C0000}"/>
    <cellStyle name="Normal 2 5 6" xfId="10663" xr:uid="{00000000-0005-0000-0000-0000D7290000}"/>
    <cellStyle name="Normal 2 5 6 2" xfId="29981" xr:uid="{00000000-0005-0000-0000-00004D750000}"/>
    <cellStyle name="Normal 2 5 7" xfId="7013" xr:uid="{00000000-0005-0000-0000-0000951B0000}"/>
    <cellStyle name="Normal 2 5 8" xfId="8" xr:uid="{00000000-0005-0000-0000-000009000000}"/>
    <cellStyle name="Normal 2 6" xfId="9631" xr:uid="{00000000-0005-0000-0000-0000CF250000}"/>
    <cellStyle name="Normal 2 6 2" xfId="29983" xr:uid="{00000000-0005-0000-0000-00004F750000}"/>
    <cellStyle name="Normal 2 6 2 2" xfId="29984" xr:uid="{00000000-0005-0000-0000-000050750000}"/>
    <cellStyle name="Normal 2 6 2 2 2" xfId="29987" xr:uid="{00000000-0005-0000-0000-000053750000}"/>
    <cellStyle name="Normal 2 6 2 2 2 2" xfId="26542" xr:uid="{00000000-0005-0000-0000-0000DE670000}"/>
    <cellStyle name="Normal 2 6 2 2 3" xfId="29989" xr:uid="{00000000-0005-0000-0000-000055750000}"/>
    <cellStyle name="Normal 2 6 2 2 3 2" xfId="29991" xr:uid="{00000000-0005-0000-0000-000057750000}"/>
    <cellStyle name="Normal 2 6 2 2 4" xfId="29993" xr:uid="{00000000-0005-0000-0000-000059750000}"/>
    <cellStyle name="Normal 2 6 2 3" xfId="29995" xr:uid="{00000000-0005-0000-0000-00005B750000}"/>
    <cellStyle name="Normal 2 6 2 4" xfId="26101" xr:uid="{00000000-0005-0000-0000-000025660000}"/>
    <cellStyle name="Normal 2 6 3" xfId="29998" xr:uid="{00000000-0005-0000-0000-00005E750000}"/>
    <cellStyle name="Normal 2 6 3 2" xfId="29999" xr:uid="{00000000-0005-0000-0000-00005F750000}"/>
    <cellStyle name="Normal 2 6 3 3" xfId="30002" xr:uid="{00000000-0005-0000-0000-000062750000}"/>
    <cellStyle name="Normal 2 6 4" xfId="30005" xr:uid="{00000000-0005-0000-0000-000065750000}"/>
    <cellStyle name="Normal 2 6 5" xfId="13314" xr:uid="{00000000-0005-0000-0000-000032340000}"/>
    <cellStyle name="Normal 2 6 6" xfId="13319" xr:uid="{00000000-0005-0000-0000-000037340000}"/>
    <cellStyle name="Normal 2 6 6 2" xfId="8240" xr:uid="{00000000-0005-0000-0000-000060200000}"/>
    <cellStyle name="Normal 2 6 7" xfId="13320" xr:uid="{00000000-0005-0000-0000-000038340000}"/>
    <cellStyle name="Normal 2 7" xfId="88" xr:uid="{00000000-0005-0000-0000-00005E000000}"/>
    <cellStyle name="Normal 2 7 2" xfId="30007" xr:uid="{00000000-0005-0000-0000-000067750000}"/>
    <cellStyle name="Normal 2 7 2 2" xfId="30008" xr:uid="{00000000-0005-0000-0000-000068750000}"/>
    <cellStyle name="Normal 2 7 2 3" xfId="30011" xr:uid="{00000000-0005-0000-0000-00006B750000}"/>
    <cellStyle name="Normal 2 7 3" xfId="30014" xr:uid="{00000000-0005-0000-0000-00006E750000}"/>
    <cellStyle name="Normal 2 7 4" xfId="30016" xr:uid="{00000000-0005-0000-0000-000070750000}"/>
    <cellStyle name="Normal 2 7 5" xfId="13332" xr:uid="{00000000-0005-0000-0000-000044340000}"/>
    <cellStyle name="Normal 2 7 6" xfId="13334" xr:uid="{00000000-0005-0000-0000-000046340000}"/>
    <cellStyle name="Normal 2 7 6 2" xfId="24919" xr:uid="{00000000-0005-0000-0000-000087610000}"/>
    <cellStyle name="Normal 2 7 6 3" xfId="30018" xr:uid="{00000000-0005-0000-0000-000072750000}"/>
    <cellStyle name="Normal 2 7 7" xfId="13337" xr:uid="{00000000-0005-0000-0000-000049340000}"/>
    <cellStyle name="Normal 2 7 7 2" xfId="30021" xr:uid="{00000000-0005-0000-0000-000075750000}"/>
    <cellStyle name="Normal 2 7 8" xfId="13339" xr:uid="{00000000-0005-0000-0000-00004B340000}"/>
    <cellStyle name="Normal 2 8" xfId="10441" xr:uid="{00000000-0005-0000-0000-0000F9280000}"/>
    <cellStyle name="Normal 2 8 10" xfId="2477" xr:uid="{00000000-0005-0000-0000-0000DD090000}"/>
    <cellStyle name="Normal 2 8 11" xfId="30023" xr:uid="{00000000-0005-0000-0000-000077750000}"/>
    <cellStyle name="Normal 2 8 12" xfId="30025" xr:uid="{00000000-0005-0000-0000-000079750000}"/>
    <cellStyle name="Normal 2 8 13" xfId="30028" xr:uid="{00000000-0005-0000-0000-00007C750000}"/>
    <cellStyle name="Normal 2 8 14" xfId="30032" xr:uid="{00000000-0005-0000-0000-000080750000}"/>
    <cellStyle name="Normal 2 8 15" xfId="30036" xr:uid="{00000000-0005-0000-0000-000084750000}"/>
    <cellStyle name="Normal 2 8 16" xfId="30041" xr:uid="{00000000-0005-0000-0000-000089750000}"/>
    <cellStyle name="Normal 2 8 17" xfId="30045" xr:uid="{00000000-0005-0000-0000-00008D750000}"/>
    <cellStyle name="Normal 2 8 18" xfId="30048" xr:uid="{00000000-0005-0000-0000-000090750000}"/>
    <cellStyle name="Normal 2 8 19" xfId="30051" xr:uid="{00000000-0005-0000-0000-000093750000}"/>
    <cellStyle name="Normal 2 8 2" xfId="24690" xr:uid="{00000000-0005-0000-0000-0000A2600000}"/>
    <cellStyle name="Normal 2 8 20" xfId="30037" xr:uid="{00000000-0005-0000-0000-000085750000}"/>
    <cellStyle name="Normal 2 8 21" xfId="30042" xr:uid="{00000000-0005-0000-0000-00008A750000}"/>
    <cellStyle name="Normal 2 8 22" xfId="30046" xr:uid="{00000000-0005-0000-0000-00008E750000}"/>
    <cellStyle name="Normal 2 8 23" xfId="30049" xr:uid="{00000000-0005-0000-0000-000091750000}"/>
    <cellStyle name="Normal 2 8 24" xfId="30052" xr:uid="{00000000-0005-0000-0000-000094750000}"/>
    <cellStyle name="Normal 2 8 25" xfId="30055" xr:uid="{00000000-0005-0000-0000-000097750000}"/>
    <cellStyle name="Normal 2 8 26" xfId="30060" xr:uid="{00000000-0005-0000-0000-00009C750000}"/>
    <cellStyle name="Normal 2 8 27" xfId="30063" xr:uid="{00000000-0005-0000-0000-00009F750000}"/>
    <cellStyle name="Normal 2 8 28" xfId="30066" xr:uid="{00000000-0005-0000-0000-0000A2750000}"/>
    <cellStyle name="Normal 2 8 29" xfId="30069" xr:uid="{00000000-0005-0000-0000-0000A5750000}"/>
    <cellStyle name="Normal 2 8 3" xfId="24694" xr:uid="{00000000-0005-0000-0000-0000A6600000}"/>
    <cellStyle name="Normal 2 8 30" xfId="30056" xr:uid="{00000000-0005-0000-0000-000098750000}"/>
    <cellStyle name="Normal 2 8 31" xfId="30061" xr:uid="{00000000-0005-0000-0000-00009D750000}"/>
    <cellStyle name="Normal 2 8 32" xfId="30064" xr:uid="{00000000-0005-0000-0000-0000A0750000}"/>
    <cellStyle name="Normal 2 8 33" xfId="30067" xr:uid="{00000000-0005-0000-0000-0000A3750000}"/>
    <cellStyle name="Normal 2 8 33 2" xfId="30071" xr:uid="{00000000-0005-0000-0000-0000A7750000}"/>
    <cellStyle name="Normal 2 8 34" xfId="30070" xr:uid="{00000000-0005-0000-0000-0000A6750000}"/>
    <cellStyle name="Normal 2 8 35" xfId="30072" xr:uid="{00000000-0005-0000-0000-0000A8750000}"/>
    <cellStyle name="Normal 2 8 4" xfId="24697" xr:uid="{00000000-0005-0000-0000-0000A9600000}"/>
    <cellStyle name="Normal 2 8 5" xfId="24699" xr:uid="{00000000-0005-0000-0000-0000AB600000}"/>
    <cellStyle name="Normal 2 8 6" xfId="24701" xr:uid="{00000000-0005-0000-0000-0000AD600000}"/>
    <cellStyle name="Normal 2 8 7" xfId="24703" xr:uid="{00000000-0005-0000-0000-0000AF600000}"/>
    <cellStyle name="Normal 2 8 8" xfId="30073" xr:uid="{00000000-0005-0000-0000-0000A9750000}"/>
    <cellStyle name="Normal 2 8 9" xfId="30075" xr:uid="{00000000-0005-0000-0000-0000AB750000}"/>
    <cellStyle name="Normal 2 9" xfId="5200" xr:uid="{00000000-0005-0000-0000-000080140000}"/>
    <cellStyle name="Normal 2 9 2" xfId="10471" xr:uid="{00000000-0005-0000-0000-000017290000}"/>
    <cellStyle name="Normal 2 9 2 2" xfId="14620" xr:uid="{00000000-0005-0000-0000-00004C390000}"/>
    <cellStyle name="Normal 2 9 3" xfId="15614" xr:uid="{00000000-0005-0000-0000-00002E3D0000}"/>
    <cellStyle name="Normal 2 9 4" xfId="15620" xr:uid="{00000000-0005-0000-0000-0000343D0000}"/>
    <cellStyle name="Normal 2 9 5" xfId="15628" xr:uid="{00000000-0005-0000-0000-00003C3D0000}"/>
    <cellStyle name="Normal 2_ADAE" xfId="30077" xr:uid="{00000000-0005-0000-0000-0000AD750000}"/>
    <cellStyle name="Normal 20" xfId="16829" xr:uid="{00000000-0005-0000-0000-0000ED410000}"/>
    <cellStyle name="Normal 20 2" xfId="29194" xr:uid="{00000000-0005-0000-0000-00003A720000}"/>
    <cellStyle name="Normal 20 2 2" xfId="7040" xr:uid="{00000000-0005-0000-0000-0000B01B0000}"/>
    <cellStyle name="Normal 20 2 2 2" xfId="7046" xr:uid="{00000000-0005-0000-0000-0000B61B0000}"/>
    <cellStyle name="Normal 20 2 2 2 2" xfId="30078" xr:uid="{00000000-0005-0000-0000-0000AE750000}"/>
    <cellStyle name="Normal 20 2 2 3" xfId="30081" xr:uid="{00000000-0005-0000-0000-0000B1750000}"/>
    <cellStyle name="Normal 20 2 3" xfId="7048" xr:uid="{00000000-0005-0000-0000-0000B81B0000}"/>
    <cellStyle name="Normal 20 2 3 2" xfId="5737" xr:uid="{00000000-0005-0000-0000-000099160000}"/>
    <cellStyle name="Normal 20 2 4" xfId="3687" xr:uid="{00000000-0005-0000-0000-0000970E0000}"/>
    <cellStyle name="Normal 20 3" xfId="29196" xr:uid="{00000000-0005-0000-0000-00003C720000}"/>
    <cellStyle name="Normal 20 3 2" xfId="7074" xr:uid="{00000000-0005-0000-0000-0000D21B0000}"/>
    <cellStyle name="Normal 20 3 2 2" xfId="15414" xr:uid="{00000000-0005-0000-0000-0000663C0000}"/>
    <cellStyle name="Normal 20 3 2 2 2" xfId="30083" xr:uid="{00000000-0005-0000-0000-0000B3750000}"/>
    <cellStyle name="Normal 20 3 2 3" xfId="22645" xr:uid="{00000000-0005-0000-0000-0000A5580000}"/>
    <cellStyle name="Normal 20 3 3" xfId="7076" xr:uid="{00000000-0005-0000-0000-0000D41B0000}"/>
    <cellStyle name="Normal 20 3 3 2" xfId="22695" xr:uid="{00000000-0005-0000-0000-0000D7580000}"/>
    <cellStyle name="Normal 20 3 4" xfId="22814" xr:uid="{00000000-0005-0000-0000-00004E590000}"/>
    <cellStyle name="Normal 20 4" xfId="29198" xr:uid="{00000000-0005-0000-0000-00003E720000}"/>
    <cellStyle name="Normal 20 4 2" xfId="7084" xr:uid="{00000000-0005-0000-0000-0000DC1B0000}"/>
    <cellStyle name="Normal 20 4 2 2" xfId="22849" xr:uid="{00000000-0005-0000-0000-000071590000}"/>
    <cellStyle name="Normal 20 4 2 2 2" xfId="7482" xr:uid="{00000000-0005-0000-0000-00006A1D0000}"/>
    <cellStyle name="Normal 20 4 2 3" xfId="22851" xr:uid="{00000000-0005-0000-0000-000073590000}"/>
    <cellStyle name="Normal 20 4 3" xfId="7090" xr:uid="{00000000-0005-0000-0000-0000E21B0000}"/>
    <cellStyle name="Normal 20 4 3 2" xfId="22861" xr:uid="{00000000-0005-0000-0000-00007D590000}"/>
    <cellStyle name="Normal 20 4 4" xfId="30084" xr:uid="{00000000-0005-0000-0000-0000B4750000}"/>
    <cellStyle name="Normal 21" xfId="16834" xr:uid="{00000000-0005-0000-0000-0000F2410000}"/>
    <cellStyle name="Normal 21 10" xfId="4858" xr:uid="{00000000-0005-0000-0000-00002A130000}"/>
    <cellStyle name="Normal 21 10 2" xfId="30086" xr:uid="{00000000-0005-0000-0000-0000B6750000}"/>
    <cellStyle name="Normal 21 2" xfId="19829" xr:uid="{00000000-0005-0000-0000-0000A54D0000}"/>
    <cellStyle name="Normal 21 2 2" xfId="29220" xr:uid="{00000000-0005-0000-0000-000054720000}"/>
    <cellStyle name="Normal 21 2 2 2" xfId="8181" xr:uid="{00000000-0005-0000-0000-000025200000}"/>
    <cellStyle name="Normal 21 2 2 2 2" xfId="30088" xr:uid="{00000000-0005-0000-0000-0000B8750000}"/>
    <cellStyle name="Normal 21 2 2 3" xfId="6787" xr:uid="{00000000-0005-0000-0000-0000B31A0000}"/>
    <cellStyle name="Normal 21 2 3" xfId="29223" xr:uid="{00000000-0005-0000-0000-000057720000}"/>
    <cellStyle name="Normal 21 2 3 2" xfId="8143" xr:uid="{00000000-0005-0000-0000-0000FF1F0000}"/>
    <cellStyle name="Normal 21 2 3 2 2" xfId="30089" xr:uid="{00000000-0005-0000-0000-0000B9750000}"/>
    <cellStyle name="Normal 21 2 3 3" xfId="12554" xr:uid="{00000000-0005-0000-0000-00003A310000}"/>
    <cellStyle name="Normal 21 2 4" xfId="29226" xr:uid="{00000000-0005-0000-0000-00005A720000}"/>
    <cellStyle name="Normal 21 2 4 2" xfId="30090" xr:uid="{00000000-0005-0000-0000-0000BA750000}"/>
    <cellStyle name="Normal 21 2 4 2 2" xfId="30093" xr:uid="{00000000-0005-0000-0000-0000BD750000}"/>
    <cellStyle name="Normal 21 2 4 3" xfId="30094" xr:uid="{00000000-0005-0000-0000-0000BE750000}"/>
    <cellStyle name="Normal 21 2 5" xfId="29229" xr:uid="{00000000-0005-0000-0000-00005D720000}"/>
    <cellStyle name="Normal 21 2 5 2" xfId="15963" xr:uid="{00000000-0005-0000-0000-00008B3E0000}"/>
    <cellStyle name="Normal 21 2 5 2 2" xfId="29233" xr:uid="{00000000-0005-0000-0000-000061720000}"/>
    <cellStyle name="Normal 21 2 5 3" xfId="17245" xr:uid="{00000000-0005-0000-0000-00008D430000}"/>
    <cellStyle name="Normal 21 2 6" xfId="29236" xr:uid="{00000000-0005-0000-0000-000064720000}"/>
    <cellStyle name="Normal 21 2 6 2" xfId="29238" xr:uid="{00000000-0005-0000-0000-000066720000}"/>
    <cellStyle name="Normal 21 2 6 2 2" xfId="21397" xr:uid="{00000000-0005-0000-0000-0000C5530000}"/>
    <cellStyle name="Normal 21 2 6 3" xfId="30095" xr:uid="{00000000-0005-0000-0000-0000BF750000}"/>
    <cellStyle name="Normal 21 2 7" xfId="6505" xr:uid="{00000000-0005-0000-0000-000099190000}"/>
    <cellStyle name="Normal 21 2 7 2" xfId="30097" xr:uid="{00000000-0005-0000-0000-0000C1750000}"/>
    <cellStyle name="Normal 21 2 7 2 2" xfId="30099" xr:uid="{00000000-0005-0000-0000-0000C3750000}"/>
    <cellStyle name="Normal 21 2 7 3" xfId="30102" xr:uid="{00000000-0005-0000-0000-0000C6750000}"/>
    <cellStyle name="Normal 21 2 8" xfId="6518" xr:uid="{00000000-0005-0000-0000-0000A6190000}"/>
    <cellStyle name="Normal 21 2 8 2" xfId="30103" xr:uid="{00000000-0005-0000-0000-0000C7750000}"/>
    <cellStyle name="Normal 21 2 8 2 2" xfId="30105" xr:uid="{00000000-0005-0000-0000-0000C9750000}"/>
    <cellStyle name="Normal 21 2 8 3" xfId="30108" xr:uid="{00000000-0005-0000-0000-0000CC750000}"/>
    <cellStyle name="Normal 21 2 9" xfId="4932" xr:uid="{00000000-0005-0000-0000-000074130000}"/>
    <cellStyle name="Normal 21 3" xfId="19832" xr:uid="{00000000-0005-0000-0000-0000A84D0000}"/>
    <cellStyle name="Normal 21 3 2" xfId="22323" xr:uid="{00000000-0005-0000-0000-000063570000}"/>
    <cellStyle name="Normal 21 3 2 2" xfId="24286" xr:uid="{00000000-0005-0000-0000-00000E5F0000}"/>
    <cellStyle name="Normal 21 3 2 2 2" xfId="30109" xr:uid="{00000000-0005-0000-0000-0000CD750000}"/>
    <cellStyle name="Normal 21 3 2 3" xfId="24291" xr:uid="{00000000-0005-0000-0000-0000135F0000}"/>
    <cellStyle name="Normal 21 3 3" xfId="22326" xr:uid="{00000000-0005-0000-0000-000066570000}"/>
    <cellStyle name="Normal 21 3 3 2" xfId="7166" xr:uid="{00000000-0005-0000-0000-00002E1C0000}"/>
    <cellStyle name="Normal 21 3 4" xfId="22330" xr:uid="{00000000-0005-0000-0000-00006A570000}"/>
    <cellStyle name="Normal 21 4" xfId="19835" xr:uid="{00000000-0005-0000-0000-0000AB4D0000}"/>
    <cellStyle name="Normal 21 4 2" xfId="30111" xr:uid="{00000000-0005-0000-0000-0000CF750000}"/>
    <cellStyle name="Normal 21 4 2 2" xfId="24543" xr:uid="{00000000-0005-0000-0000-00000F600000}"/>
    <cellStyle name="Normal 21 4 2 2 2" xfId="30112" xr:uid="{00000000-0005-0000-0000-0000D0750000}"/>
    <cellStyle name="Normal 21 4 2 3" xfId="24545" xr:uid="{00000000-0005-0000-0000-000011600000}"/>
    <cellStyle name="Normal 21 4 3" xfId="30115" xr:uid="{00000000-0005-0000-0000-0000D3750000}"/>
    <cellStyle name="Normal 21 4 3 2" xfId="24553" xr:uid="{00000000-0005-0000-0000-000019600000}"/>
    <cellStyle name="Normal 21 4 4" xfId="30117" xr:uid="{00000000-0005-0000-0000-0000D5750000}"/>
    <cellStyle name="Normal 21 5" xfId="29251" xr:uid="{00000000-0005-0000-0000-000073720000}"/>
    <cellStyle name="Normal 21 5 2" xfId="30118" xr:uid="{00000000-0005-0000-0000-0000D6750000}"/>
    <cellStyle name="Normal 21 6" xfId="29253" xr:uid="{00000000-0005-0000-0000-000075720000}"/>
    <cellStyle name="Normal 21 6 2" xfId="30119" xr:uid="{00000000-0005-0000-0000-0000D7750000}"/>
    <cellStyle name="Normal 21 7" xfId="12984" xr:uid="{00000000-0005-0000-0000-0000E8320000}"/>
    <cellStyle name="Normal 21 7 2" xfId="30120" xr:uid="{00000000-0005-0000-0000-0000D8750000}"/>
    <cellStyle name="Normal 21 8" xfId="29255" xr:uid="{00000000-0005-0000-0000-000077720000}"/>
    <cellStyle name="Normal 21 8 2" xfId="30122" xr:uid="{00000000-0005-0000-0000-0000DA750000}"/>
    <cellStyle name="Normal 21 9" xfId="29257" xr:uid="{00000000-0005-0000-0000-000079720000}"/>
    <cellStyle name="Normal 21 9 2" xfId="30124" xr:uid="{00000000-0005-0000-0000-0000DC750000}"/>
    <cellStyle name="Normal 22" xfId="2671" xr:uid="{00000000-0005-0000-0000-00009F0A0000}"/>
    <cellStyle name="Normal 22 2" xfId="22804" xr:uid="{00000000-0005-0000-0000-000044590000}"/>
    <cellStyle name="Normal 23" xfId="9432" xr:uid="{00000000-0005-0000-0000-000008250000}"/>
    <cellStyle name="Normal 23 2" xfId="29323" xr:uid="{00000000-0005-0000-0000-0000BB720000}"/>
    <cellStyle name="Normal 24" xfId="16840" xr:uid="{00000000-0005-0000-0000-0000F8410000}"/>
    <cellStyle name="Normal 24 2" xfId="29445" xr:uid="{00000000-0005-0000-0000-000035730000}"/>
    <cellStyle name="Normal 24 2 2" xfId="29447" xr:uid="{00000000-0005-0000-0000-000037730000}"/>
    <cellStyle name="Normal 24 2 2 2" xfId="19629" xr:uid="{00000000-0005-0000-0000-0000DD4C0000}"/>
    <cellStyle name="Normal 24 2 2 2 2" xfId="29449" xr:uid="{00000000-0005-0000-0000-000039730000}"/>
    <cellStyle name="Normal 24 2 2 3" xfId="19634" xr:uid="{00000000-0005-0000-0000-0000E24C0000}"/>
    <cellStyle name="Normal 24 2 3" xfId="29451" xr:uid="{00000000-0005-0000-0000-00003B730000}"/>
    <cellStyle name="Normal 24 2 3 2" xfId="29439" xr:uid="{00000000-0005-0000-0000-00002F730000}"/>
    <cellStyle name="Normal 24 2 4" xfId="29453" xr:uid="{00000000-0005-0000-0000-00003D730000}"/>
    <cellStyle name="Normal 24 3" xfId="29455" xr:uid="{00000000-0005-0000-0000-00003F730000}"/>
    <cellStyle name="Normal 24 3 2" xfId="22370" xr:uid="{00000000-0005-0000-0000-000092570000}"/>
    <cellStyle name="Normal 24 3 2 2" xfId="27703" xr:uid="{00000000-0005-0000-0000-0000676C0000}"/>
    <cellStyle name="Normal 24 3 2 2 2" xfId="28226" xr:uid="{00000000-0005-0000-0000-0000726E0000}"/>
    <cellStyle name="Normal 24 3 2 3" xfId="27708" xr:uid="{00000000-0005-0000-0000-00006C6C0000}"/>
    <cellStyle name="Normal 24 3 3" xfId="22373" xr:uid="{00000000-0005-0000-0000-000095570000}"/>
    <cellStyle name="Normal 24 3 3 2" xfId="29458" xr:uid="{00000000-0005-0000-0000-000042730000}"/>
    <cellStyle name="Normal 24 3 4" xfId="22376" xr:uid="{00000000-0005-0000-0000-000098570000}"/>
    <cellStyle name="Normal 24 4" xfId="29460" xr:uid="{00000000-0005-0000-0000-000044730000}"/>
    <cellStyle name="Normal 24 4 2" xfId="23625" xr:uid="{00000000-0005-0000-0000-0000795C0000}"/>
    <cellStyle name="Normal 24 4 2 2" xfId="29462" xr:uid="{00000000-0005-0000-0000-000046730000}"/>
    <cellStyle name="Normal 24 4 2 2 2" xfId="29465" xr:uid="{00000000-0005-0000-0000-000049730000}"/>
    <cellStyle name="Normal 24 4 2 3" xfId="29467" xr:uid="{00000000-0005-0000-0000-00004B730000}"/>
    <cellStyle name="Normal 24 4 3" xfId="23628" xr:uid="{00000000-0005-0000-0000-00007C5C0000}"/>
    <cellStyle name="Normal 24 4 3 2" xfId="29469" xr:uid="{00000000-0005-0000-0000-00004D730000}"/>
    <cellStyle name="Normal 24 4 4" xfId="29471" xr:uid="{00000000-0005-0000-0000-00004F730000}"/>
    <cellStyle name="Normal 24 5" xfId="29473" xr:uid="{00000000-0005-0000-0000-000051730000}"/>
    <cellStyle name="Normal 25" xfId="16848" xr:uid="{00000000-0005-0000-0000-000000420000}"/>
    <cellStyle name="Normal 25 2" xfId="30125" xr:uid="{00000000-0005-0000-0000-0000DD750000}"/>
    <cellStyle name="Normal 26" xfId="30127" xr:uid="{00000000-0005-0000-0000-0000DF750000}"/>
    <cellStyle name="Normal 26 2" xfId="30130" xr:uid="{00000000-0005-0000-0000-0000E2750000}"/>
    <cellStyle name="Normal 26 2 2" xfId="30133" xr:uid="{00000000-0005-0000-0000-0000E5750000}"/>
    <cellStyle name="Normal 26 2 2 2" xfId="12615" xr:uid="{00000000-0005-0000-0000-000077310000}"/>
    <cellStyle name="Normal 26 2 2 2 2" xfId="15040" xr:uid="{00000000-0005-0000-0000-0000F03A0000}"/>
    <cellStyle name="Normal 26 2 2 3" xfId="12619" xr:uid="{00000000-0005-0000-0000-00007B310000}"/>
    <cellStyle name="Normal 26 2 3" xfId="30136" xr:uid="{00000000-0005-0000-0000-0000E8750000}"/>
    <cellStyle name="Normal 26 2 3 2" xfId="30138" xr:uid="{00000000-0005-0000-0000-0000EA750000}"/>
    <cellStyle name="Normal 26 2 4" xfId="30140" xr:uid="{00000000-0005-0000-0000-0000EC750000}"/>
    <cellStyle name="Normal 26 3" xfId="10337" xr:uid="{00000000-0005-0000-0000-000091280000}"/>
    <cellStyle name="Normal 26 3 2" xfId="30142" xr:uid="{00000000-0005-0000-0000-0000EE750000}"/>
    <cellStyle name="Normal 26 3 2 2" xfId="26408" xr:uid="{00000000-0005-0000-0000-000058670000}"/>
    <cellStyle name="Normal 26 3 2 2 2" xfId="25405" xr:uid="{00000000-0005-0000-0000-00006D630000}"/>
    <cellStyle name="Normal 26 3 2 3" xfId="26414" xr:uid="{00000000-0005-0000-0000-00005E670000}"/>
    <cellStyle name="Normal 26 3 3" xfId="30144" xr:uid="{00000000-0005-0000-0000-0000F0750000}"/>
    <cellStyle name="Normal 26 3 3 2" xfId="30146" xr:uid="{00000000-0005-0000-0000-0000F2750000}"/>
    <cellStyle name="Normal 26 3 4" xfId="30148" xr:uid="{00000000-0005-0000-0000-0000F4750000}"/>
    <cellStyle name="Normal 26 4" xfId="10340" xr:uid="{00000000-0005-0000-0000-000094280000}"/>
    <cellStyle name="Normal 26 4 2" xfId="23693" xr:uid="{00000000-0005-0000-0000-0000BD5C0000}"/>
    <cellStyle name="Normal 26 4 2 2" xfId="27324" xr:uid="{00000000-0005-0000-0000-0000EC6A0000}"/>
    <cellStyle name="Normal 26 4 2 2 2" xfId="30152" xr:uid="{00000000-0005-0000-0000-0000F8750000}"/>
    <cellStyle name="Normal 26 4 2 3" xfId="27328" xr:uid="{00000000-0005-0000-0000-0000F06A0000}"/>
    <cellStyle name="Normal 26 4 3" xfId="23698" xr:uid="{00000000-0005-0000-0000-0000C25C0000}"/>
    <cellStyle name="Normal 26 4 3 2" xfId="30155" xr:uid="{00000000-0005-0000-0000-0000FB750000}"/>
    <cellStyle name="Normal 26 4 4" xfId="30159" xr:uid="{00000000-0005-0000-0000-0000FF750000}"/>
    <cellStyle name="Normal 26 5" xfId="10343" xr:uid="{00000000-0005-0000-0000-000097280000}"/>
    <cellStyle name="Normal 27" xfId="27490" xr:uid="{00000000-0005-0000-0000-0000926B0000}"/>
    <cellStyle name="Normal 27 2" xfId="18473" xr:uid="{00000000-0005-0000-0000-000059480000}"/>
    <cellStyle name="Normal 27 2 2" xfId="27498" xr:uid="{00000000-0005-0000-0000-00009A6B0000}"/>
    <cellStyle name="Normal 27 2 2 2" xfId="27501" xr:uid="{00000000-0005-0000-0000-00009D6B0000}"/>
    <cellStyle name="Normal 27 2 2 2 2" xfId="30161" xr:uid="{00000000-0005-0000-0000-000001760000}"/>
    <cellStyle name="Normal 27 2 2 3" xfId="1084" xr:uid="{00000000-0005-0000-0000-00006C040000}"/>
    <cellStyle name="Normal 27 2 3" xfId="27505" xr:uid="{00000000-0005-0000-0000-0000A16B0000}"/>
    <cellStyle name="Normal 27 2 3 2" xfId="30164" xr:uid="{00000000-0005-0000-0000-000004760000}"/>
    <cellStyle name="Normal 27 2 4" xfId="27509" xr:uid="{00000000-0005-0000-0000-0000A56B0000}"/>
    <cellStyle name="Normal 27 3" xfId="10010" xr:uid="{00000000-0005-0000-0000-00004A270000}"/>
    <cellStyle name="Normal 27 3 2" xfId="27514" xr:uid="{00000000-0005-0000-0000-0000AA6B0000}"/>
    <cellStyle name="Normal 27 3 2 2" xfId="30166" xr:uid="{00000000-0005-0000-0000-000006760000}"/>
    <cellStyle name="Normal 27 3 2 2 2" xfId="30168" xr:uid="{00000000-0005-0000-0000-000008760000}"/>
    <cellStyle name="Normal 27 3 2 3" xfId="30170" xr:uid="{00000000-0005-0000-0000-00000A760000}"/>
    <cellStyle name="Normal 27 3 3" xfId="30172" xr:uid="{00000000-0005-0000-0000-00000C760000}"/>
    <cellStyle name="Normal 27 3 3 2" xfId="30174" xr:uid="{00000000-0005-0000-0000-00000E760000}"/>
    <cellStyle name="Normal 27 3 4" xfId="30176" xr:uid="{00000000-0005-0000-0000-000010760000}"/>
    <cellStyle name="Normal 27 4" xfId="18477" xr:uid="{00000000-0005-0000-0000-00005D480000}"/>
    <cellStyle name="Normal 27 4 2" xfId="30178" xr:uid="{00000000-0005-0000-0000-000012760000}"/>
    <cellStyle name="Normal 27 4 2 2" xfId="30180" xr:uid="{00000000-0005-0000-0000-000014760000}"/>
    <cellStyle name="Normal 27 4 2 2 2" xfId="30182" xr:uid="{00000000-0005-0000-0000-000016760000}"/>
    <cellStyle name="Normal 27 4 2 3" xfId="30184" xr:uid="{00000000-0005-0000-0000-000018760000}"/>
    <cellStyle name="Normal 27 4 3" xfId="30187" xr:uid="{00000000-0005-0000-0000-00001B760000}"/>
    <cellStyle name="Normal 27 4 3 2" xfId="30189" xr:uid="{00000000-0005-0000-0000-00001D760000}"/>
    <cellStyle name="Normal 27 4 4" xfId="30192" xr:uid="{00000000-0005-0000-0000-000020760000}"/>
    <cellStyle name="Normal 27 5" xfId="18481" xr:uid="{00000000-0005-0000-0000-000061480000}"/>
    <cellStyle name="Normal 28" xfId="27522" xr:uid="{00000000-0005-0000-0000-0000B26B0000}"/>
    <cellStyle name="Normal 28 2" xfId="18498" xr:uid="{00000000-0005-0000-0000-000072480000}"/>
    <cellStyle name="Normal 28 2 2" xfId="27526" xr:uid="{00000000-0005-0000-0000-0000B66B0000}"/>
    <cellStyle name="Normal 28 2 2 2" xfId="14678" xr:uid="{00000000-0005-0000-0000-000086390000}"/>
    <cellStyle name="Normal 28 2 2 2 2" xfId="30194" xr:uid="{00000000-0005-0000-0000-000022760000}"/>
    <cellStyle name="Normal 28 2 2 3" xfId="14688" xr:uid="{00000000-0005-0000-0000-000090390000}"/>
    <cellStyle name="Normal 28 2 3" xfId="27532" xr:uid="{00000000-0005-0000-0000-0000BC6B0000}"/>
    <cellStyle name="Normal 28 2 3 2" xfId="17799" xr:uid="{00000000-0005-0000-0000-0000B7450000}"/>
    <cellStyle name="Normal 28 2 4" xfId="27538" xr:uid="{00000000-0005-0000-0000-0000C26B0000}"/>
    <cellStyle name="Normal 28 3" xfId="27540" xr:uid="{00000000-0005-0000-0000-0000C46B0000}"/>
    <cellStyle name="Normal 28 3 2" xfId="17126" xr:uid="{00000000-0005-0000-0000-000016430000}"/>
    <cellStyle name="Normal 28 3 2 2" xfId="30195" xr:uid="{00000000-0005-0000-0000-000023760000}"/>
    <cellStyle name="Normal 28 3 2 2 2" xfId="21488" xr:uid="{00000000-0005-0000-0000-000020540000}"/>
    <cellStyle name="Normal 28 3 2 3" xfId="30196" xr:uid="{00000000-0005-0000-0000-000024760000}"/>
    <cellStyle name="Normal 28 3 3" xfId="26826" xr:uid="{00000000-0005-0000-0000-0000FA680000}"/>
    <cellStyle name="Normal 28 3 3 2" xfId="30201" xr:uid="{00000000-0005-0000-0000-000029760000}"/>
    <cellStyle name="Normal 28 3 4" xfId="26827" xr:uid="{00000000-0005-0000-0000-0000FB680000}"/>
    <cellStyle name="Normal 28 4" xfId="27544" xr:uid="{00000000-0005-0000-0000-0000C86B0000}"/>
    <cellStyle name="Normal 28 4 2" xfId="30202" xr:uid="{00000000-0005-0000-0000-00002A760000}"/>
    <cellStyle name="Normal 28 4 2 2" xfId="30203" xr:uid="{00000000-0005-0000-0000-00002B760000}"/>
    <cellStyle name="Normal 28 4 2 2 2" xfId="30204" xr:uid="{00000000-0005-0000-0000-00002C760000}"/>
    <cellStyle name="Normal 28 4 2 3" xfId="30205" xr:uid="{00000000-0005-0000-0000-00002D760000}"/>
    <cellStyle name="Normal 28 4 3" xfId="30208" xr:uid="{00000000-0005-0000-0000-000030760000}"/>
    <cellStyle name="Normal 28 4 3 2" xfId="30209" xr:uid="{00000000-0005-0000-0000-000031760000}"/>
    <cellStyle name="Normal 28 4 4" xfId="30210" xr:uid="{00000000-0005-0000-0000-000032760000}"/>
    <cellStyle name="Normal 28 5" xfId="1690" xr:uid="{00000000-0005-0000-0000-0000CA060000}"/>
    <cellStyle name="Normal 29" xfId="27549" xr:uid="{00000000-0005-0000-0000-0000CD6B0000}"/>
    <cellStyle name="Normal 29 2" xfId="18519" xr:uid="{00000000-0005-0000-0000-000087480000}"/>
    <cellStyle name="Normal 29 2 2" xfId="27555" xr:uid="{00000000-0005-0000-0000-0000D36B0000}"/>
    <cellStyle name="Normal 29 2 2 2" xfId="27558" xr:uid="{00000000-0005-0000-0000-0000D66B0000}"/>
    <cellStyle name="Normal 29 2 2 2 2" xfId="30211" xr:uid="{00000000-0005-0000-0000-000033760000}"/>
    <cellStyle name="Normal 29 2 2 3" xfId="30214" xr:uid="{00000000-0005-0000-0000-000036760000}"/>
    <cellStyle name="Normal 29 2 3" xfId="27569" xr:uid="{00000000-0005-0000-0000-0000E16B0000}"/>
    <cellStyle name="Normal 29 2 3 2" xfId="30217" xr:uid="{00000000-0005-0000-0000-000039760000}"/>
    <cellStyle name="Normal 29 2 4" xfId="27576" xr:uid="{00000000-0005-0000-0000-0000E86B0000}"/>
    <cellStyle name="Normal 29 3" xfId="27585" xr:uid="{00000000-0005-0000-0000-0000F16B0000}"/>
    <cellStyle name="Normal 29 3 2" xfId="27593" xr:uid="{00000000-0005-0000-0000-0000F96B0000}"/>
    <cellStyle name="Normal 29 3 2 2" xfId="30222" xr:uid="{00000000-0005-0000-0000-00003E760000}"/>
    <cellStyle name="Normal 29 3 2 2 2" xfId="30225" xr:uid="{00000000-0005-0000-0000-000041760000}"/>
    <cellStyle name="Normal 29 3 2 3" xfId="30228" xr:uid="{00000000-0005-0000-0000-000044760000}"/>
    <cellStyle name="Normal 29 3 3" xfId="29659" xr:uid="{00000000-0005-0000-0000-00000B740000}"/>
    <cellStyle name="Normal 29 3 3 2" xfId="30231" xr:uid="{00000000-0005-0000-0000-000047760000}"/>
    <cellStyle name="Normal 29 3 4" xfId="29664" xr:uid="{00000000-0005-0000-0000-000010740000}"/>
    <cellStyle name="Normal 29 4" xfId="27598" xr:uid="{00000000-0005-0000-0000-0000FE6B0000}"/>
    <cellStyle name="Normal 29 4 2" xfId="13911" xr:uid="{00000000-0005-0000-0000-000087360000}"/>
    <cellStyle name="Normal 29 4 2 2" xfId="4368" xr:uid="{00000000-0005-0000-0000-000040110000}"/>
    <cellStyle name="Normal 29 4 2 2 2" xfId="30235" xr:uid="{00000000-0005-0000-0000-00004B760000}"/>
    <cellStyle name="Normal 29 4 2 3" xfId="4416" xr:uid="{00000000-0005-0000-0000-000070110000}"/>
    <cellStyle name="Normal 29 4 3" xfId="30240" xr:uid="{00000000-0005-0000-0000-000050760000}"/>
    <cellStyle name="Normal 29 4 3 2" xfId="3620" xr:uid="{00000000-0005-0000-0000-0000540E0000}"/>
    <cellStyle name="Normal 29 4 4" xfId="30244" xr:uid="{00000000-0005-0000-0000-000054760000}"/>
    <cellStyle name="Normal 29 5" xfId="345" xr:uid="{00000000-0005-0000-0000-000070010000}"/>
    <cellStyle name="Normal 3" xfId="13224" xr:uid="{00000000-0005-0000-0000-0000D8330000}"/>
    <cellStyle name="Normal 3 10" xfId="30246" xr:uid="{00000000-0005-0000-0000-000056760000}"/>
    <cellStyle name="Normal 3 11" xfId="1955" xr:uid="{00000000-0005-0000-0000-0000D3070000}"/>
    <cellStyle name="Normal 3 12" xfId="30247" xr:uid="{00000000-0005-0000-0000-000057760000}"/>
    <cellStyle name="Normal 3 13" xfId="30248" xr:uid="{00000000-0005-0000-0000-000058760000}"/>
    <cellStyle name="Normal 3 14" xfId="30251" xr:uid="{00000000-0005-0000-0000-00005B760000}"/>
    <cellStyle name="Normal 3 15" xfId="30254" xr:uid="{00000000-0005-0000-0000-00005E760000}"/>
    <cellStyle name="Normal 3 16" xfId="14517" xr:uid="{00000000-0005-0000-0000-0000E5380000}"/>
    <cellStyle name="Normal 3 17" xfId="30258" xr:uid="{00000000-0005-0000-0000-000062760000}"/>
    <cellStyle name="Normal 3 18" xfId="30262" xr:uid="{00000000-0005-0000-0000-000066760000}"/>
    <cellStyle name="Normal 3 19" xfId="30265" xr:uid="{00000000-0005-0000-0000-000069760000}"/>
    <cellStyle name="Normal 3 2" xfId="13227" xr:uid="{00000000-0005-0000-0000-0000DB330000}"/>
    <cellStyle name="Normal 3 2 2" xfId="30267" xr:uid="{00000000-0005-0000-0000-00006B760000}"/>
    <cellStyle name="Normal 3 2 2 2" xfId="30268" xr:uid="{00000000-0005-0000-0000-00006C760000}"/>
    <cellStyle name="Normal 3 2 2 2 2" xfId="30269" xr:uid="{00000000-0005-0000-0000-00006D760000}"/>
    <cellStyle name="Normal 3 2 2 3" xfId="30270" xr:uid="{00000000-0005-0000-0000-00006E760000}"/>
    <cellStyle name="Normal 3 2 2 4" xfId="26127" xr:uid="{00000000-0005-0000-0000-00003F660000}"/>
    <cellStyle name="Normal 3 2 3" xfId="30271" xr:uid="{00000000-0005-0000-0000-00006F760000}"/>
    <cellStyle name="Normal 3 2 4" xfId="30272" xr:uid="{00000000-0005-0000-0000-000070760000}"/>
    <cellStyle name="Normal 3 2 4 2" xfId="6060" xr:uid="{00000000-0005-0000-0000-0000DC170000}"/>
    <cellStyle name="Normal 3 2 4 3" xfId="30274" xr:uid="{00000000-0005-0000-0000-000072760000}"/>
    <cellStyle name="Normal 3 2 5" xfId="13588" xr:uid="{00000000-0005-0000-0000-000044350000}"/>
    <cellStyle name="Normal 3 2 5 2" xfId="8823" xr:uid="{00000000-0005-0000-0000-0000A7220000}"/>
    <cellStyle name="Normal 3 20" xfId="30255" xr:uid="{00000000-0005-0000-0000-00005F760000}"/>
    <cellStyle name="Normal 3 21" xfId="14518" xr:uid="{00000000-0005-0000-0000-0000E6380000}"/>
    <cellStyle name="Normal 3 22" xfId="30259" xr:uid="{00000000-0005-0000-0000-000063760000}"/>
    <cellStyle name="Normal 3 23" xfId="30263" xr:uid="{00000000-0005-0000-0000-000067760000}"/>
    <cellStyle name="Normal 3 23 2" xfId="30275" xr:uid="{00000000-0005-0000-0000-000073760000}"/>
    <cellStyle name="Normal 3 23 3" xfId="30276" xr:uid="{00000000-0005-0000-0000-000074760000}"/>
    <cellStyle name="Normal 3 24" xfId="30266" xr:uid="{00000000-0005-0000-0000-00006A760000}"/>
    <cellStyle name="Normal 3 24 2" xfId="30277" xr:uid="{00000000-0005-0000-0000-000075760000}"/>
    <cellStyle name="Normal 3 3" xfId="13231" xr:uid="{00000000-0005-0000-0000-0000DF330000}"/>
    <cellStyle name="Normal 3 3 2" xfId="30278" xr:uid="{00000000-0005-0000-0000-000076760000}"/>
    <cellStyle name="Normal 3 3 3" xfId="30279" xr:uid="{00000000-0005-0000-0000-000077760000}"/>
    <cellStyle name="Normal 3 3 3 2" xfId="21660" xr:uid="{00000000-0005-0000-0000-0000CC540000}"/>
    <cellStyle name="Normal 3 3 4" xfId="30280" xr:uid="{00000000-0005-0000-0000-000078760000}"/>
    <cellStyle name="Normal 3 3 5" xfId="13643" xr:uid="{00000000-0005-0000-0000-00007B350000}"/>
    <cellStyle name="Normal 3 4" xfId="13234" xr:uid="{00000000-0005-0000-0000-0000E2330000}"/>
    <cellStyle name="Normal 3 4 10" xfId="19675" xr:uid="{00000000-0005-0000-0000-00000B4D0000}"/>
    <cellStyle name="Normal 3 4 10 2" xfId="26830" xr:uid="{00000000-0005-0000-0000-0000FE680000}"/>
    <cellStyle name="Normal 3 4 11" xfId="19682" xr:uid="{00000000-0005-0000-0000-0000124D0000}"/>
    <cellStyle name="Normal 3 4 12" xfId="16586" xr:uid="{00000000-0005-0000-0000-0000FA400000}"/>
    <cellStyle name="Normal 3 4 2" xfId="16521" xr:uid="{00000000-0005-0000-0000-0000B9400000}"/>
    <cellStyle name="Normal 3 4 2 2" xfId="30282" xr:uid="{00000000-0005-0000-0000-00007A760000}"/>
    <cellStyle name="Normal 3 4 2 2 2" xfId="7744" xr:uid="{00000000-0005-0000-0000-0000701E0000}"/>
    <cellStyle name="Normal 3 4 2 2 2 2" xfId="4538" xr:uid="{00000000-0005-0000-0000-0000EA110000}"/>
    <cellStyle name="Normal 3 4 2 2 3" xfId="4004" xr:uid="{00000000-0005-0000-0000-0000D40F0000}"/>
    <cellStyle name="Normal 3 4 2 2 3 2" xfId="599" xr:uid="{00000000-0005-0000-0000-000080020000}"/>
    <cellStyle name="Normal 3 4 2 2 4" xfId="528" xr:uid="{00000000-0005-0000-0000-000034020000}"/>
    <cellStyle name="Normal 3 4 2 2 4 2" xfId="30284" xr:uid="{00000000-0005-0000-0000-00007C760000}"/>
    <cellStyle name="Normal 3 4 2 2 5" xfId="7754" xr:uid="{00000000-0005-0000-0000-00007A1E0000}"/>
    <cellStyle name="Normal 3 4 2 2 5 2" xfId="30287" xr:uid="{00000000-0005-0000-0000-00007F760000}"/>
    <cellStyle name="Normal 3 4 2 2 6" xfId="30289" xr:uid="{00000000-0005-0000-0000-000081760000}"/>
    <cellStyle name="Normal 3 4 2 2 6 2" xfId="30293" xr:uid="{00000000-0005-0000-0000-000085760000}"/>
    <cellStyle name="Normal 3 4 2 2 7" xfId="30294" xr:uid="{00000000-0005-0000-0000-000086760000}"/>
    <cellStyle name="Normal 3 4 2 3" xfId="30298" xr:uid="{00000000-0005-0000-0000-00008A760000}"/>
    <cellStyle name="Normal 3 4 2 3 2" xfId="30300" xr:uid="{00000000-0005-0000-0000-00008C760000}"/>
    <cellStyle name="Normal 3 4 2 4" xfId="30304" xr:uid="{00000000-0005-0000-0000-000090760000}"/>
    <cellStyle name="Normal 3 4 2 4 2" xfId="30306" xr:uid="{00000000-0005-0000-0000-000092760000}"/>
    <cellStyle name="Normal 3 4 2 5" xfId="30308" xr:uid="{00000000-0005-0000-0000-000094760000}"/>
    <cellStyle name="Normal 3 4 2 5 2" xfId="30310" xr:uid="{00000000-0005-0000-0000-000096760000}"/>
    <cellStyle name="Normal 3 4 2 6" xfId="2110" xr:uid="{00000000-0005-0000-0000-00006E080000}"/>
    <cellStyle name="Normal 3 4 2 6 2" xfId="30311" xr:uid="{00000000-0005-0000-0000-000097760000}"/>
    <cellStyle name="Normal 3 4 2 7" xfId="30312" xr:uid="{00000000-0005-0000-0000-000098760000}"/>
    <cellStyle name="Normal 3 4 2 7 2" xfId="30314" xr:uid="{00000000-0005-0000-0000-00009A760000}"/>
    <cellStyle name="Normal 3 4 2 8" xfId="30285" xr:uid="{00000000-0005-0000-0000-00007D760000}"/>
    <cellStyle name="Normal 3 4 3" xfId="30319" xr:uid="{00000000-0005-0000-0000-00009F760000}"/>
    <cellStyle name="Normal 3 4 3 2" xfId="30321" xr:uid="{00000000-0005-0000-0000-0000A1760000}"/>
    <cellStyle name="Normal 3 4 3 2 2" xfId="7855" xr:uid="{00000000-0005-0000-0000-0000DF1E0000}"/>
    <cellStyle name="Normal 3 4 3 2 2 2" xfId="30324" xr:uid="{00000000-0005-0000-0000-0000A4760000}"/>
    <cellStyle name="Normal 3 4 3 2 3" xfId="7632" xr:uid="{00000000-0005-0000-0000-0000001E0000}"/>
    <cellStyle name="Normal 3 4 3 2 3 2" xfId="30327" xr:uid="{00000000-0005-0000-0000-0000A7760000}"/>
    <cellStyle name="Normal 3 4 3 2 4" xfId="1418" xr:uid="{00000000-0005-0000-0000-0000BA050000}"/>
    <cellStyle name="Normal 3 4 3 2 4 2" xfId="30328" xr:uid="{00000000-0005-0000-0000-0000A8760000}"/>
    <cellStyle name="Normal 3 4 3 2 5" xfId="7866" xr:uid="{00000000-0005-0000-0000-0000EA1E0000}"/>
    <cellStyle name="Normal 3 4 3 2 5 2" xfId="30332" xr:uid="{00000000-0005-0000-0000-0000AC760000}"/>
    <cellStyle name="Normal 3 4 3 2 6" xfId="30333" xr:uid="{00000000-0005-0000-0000-0000AD760000}"/>
    <cellStyle name="Normal 3 4 3 2 6 2" xfId="30335" xr:uid="{00000000-0005-0000-0000-0000AF760000}"/>
    <cellStyle name="Normal 3 4 3 2 7" xfId="30336" xr:uid="{00000000-0005-0000-0000-0000B0760000}"/>
    <cellStyle name="Normal 3 4 3 3" xfId="30338" xr:uid="{00000000-0005-0000-0000-0000B2760000}"/>
    <cellStyle name="Normal 3 4 3 3 2" xfId="30340" xr:uid="{00000000-0005-0000-0000-0000B4760000}"/>
    <cellStyle name="Normal 3 4 3 4" xfId="30342" xr:uid="{00000000-0005-0000-0000-0000B6760000}"/>
    <cellStyle name="Normal 3 4 3 4 2" xfId="5454" xr:uid="{00000000-0005-0000-0000-00007E150000}"/>
    <cellStyle name="Normal 3 4 3 5" xfId="30345" xr:uid="{00000000-0005-0000-0000-0000B9760000}"/>
    <cellStyle name="Normal 3 4 3 5 2" xfId="30347" xr:uid="{00000000-0005-0000-0000-0000BB760000}"/>
    <cellStyle name="Normal 3 4 3 6" xfId="2290" xr:uid="{00000000-0005-0000-0000-000022090000}"/>
    <cellStyle name="Normal 3 4 3 6 2" xfId="29307" xr:uid="{00000000-0005-0000-0000-0000AB720000}"/>
    <cellStyle name="Normal 3 4 3 7" xfId="29311" xr:uid="{00000000-0005-0000-0000-0000AF720000}"/>
    <cellStyle name="Normal 3 4 3 7 2" xfId="30348" xr:uid="{00000000-0005-0000-0000-0000BC760000}"/>
    <cellStyle name="Normal 3 4 3 8" xfId="30288" xr:uid="{00000000-0005-0000-0000-000080760000}"/>
    <cellStyle name="Normal 3 4 4" xfId="30352" xr:uid="{00000000-0005-0000-0000-0000C0760000}"/>
    <cellStyle name="Normal 3 4 4 2" xfId="30354" xr:uid="{00000000-0005-0000-0000-0000C2760000}"/>
    <cellStyle name="Normal 3 4 4 2 2" xfId="18023" xr:uid="{00000000-0005-0000-0000-000097460000}"/>
    <cellStyle name="Normal 3 4 4 3" xfId="30358" xr:uid="{00000000-0005-0000-0000-0000C6760000}"/>
    <cellStyle name="Normal 3 4 4 3 2" xfId="30360" xr:uid="{00000000-0005-0000-0000-0000C8760000}"/>
    <cellStyle name="Normal 3 4 4 4" xfId="30362" xr:uid="{00000000-0005-0000-0000-0000CA760000}"/>
    <cellStyle name="Normal 3 4 4 4 2" xfId="30364" xr:uid="{00000000-0005-0000-0000-0000CC760000}"/>
    <cellStyle name="Normal 3 4 4 5" xfId="30365" xr:uid="{00000000-0005-0000-0000-0000CD760000}"/>
    <cellStyle name="Normal 3 4 4 5 2" xfId="30367" xr:uid="{00000000-0005-0000-0000-0000CF760000}"/>
    <cellStyle name="Normal 3 4 4 6" xfId="2305" xr:uid="{00000000-0005-0000-0000-000031090000}"/>
    <cellStyle name="Normal 3 4 4 6 2" xfId="30368" xr:uid="{00000000-0005-0000-0000-0000D0760000}"/>
    <cellStyle name="Normal 3 4 4 7" xfId="30369" xr:uid="{00000000-0005-0000-0000-0000D1760000}"/>
    <cellStyle name="Normal 3 4 5" xfId="13695" xr:uid="{00000000-0005-0000-0000-0000AF350000}"/>
    <cellStyle name="Normal 3 4 5 2" xfId="8009" xr:uid="{00000000-0005-0000-0000-0000791F0000}"/>
    <cellStyle name="Normal 3 4 6" xfId="13704" xr:uid="{00000000-0005-0000-0000-0000B8350000}"/>
    <cellStyle name="Normal 3 4 6 2" xfId="8056" xr:uid="{00000000-0005-0000-0000-0000A81F0000}"/>
    <cellStyle name="Normal 3 4 7" xfId="13710" xr:uid="{00000000-0005-0000-0000-0000BE350000}"/>
    <cellStyle name="Normal 3 4 7 2" xfId="8109" xr:uid="{00000000-0005-0000-0000-0000DD1F0000}"/>
    <cellStyle name="Normal 3 4 8" xfId="13715" xr:uid="{00000000-0005-0000-0000-0000C3350000}"/>
    <cellStyle name="Normal 3 4 8 2" xfId="30370" xr:uid="{00000000-0005-0000-0000-0000D2760000}"/>
    <cellStyle name="Normal 3 4 9" xfId="6384" xr:uid="{00000000-0005-0000-0000-000020190000}"/>
    <cellStyle name="Normal 3 4 9 2" xfId="30372" xr:uid="{00000000-0005-0000-0000-0000D4760000}"/>
    <cellStyle name="Normal 3 5" xfId="13237" xr:uid="{00000000-0005-0000-0000-0000E5330000}"/>
    <cellStyle name="Normal 3 5 10" xfId="30374" xr:uid="{00000000-0005-0000-0000-0000D6760000}"/>
    <cellStyle name="Normal 3 5 11" xfId="30375" xr:uid="{00000000-0005-0000-0000-0000D7760000}"/>
    <cellStyle name="Normal 3 5 12" xfId="30376" xr:uid="{00000000-0005-0000-0000-0000D8760000}"/>
    <cellStyle name="Normal 3 5 13" xfId="30378" xr:uid="{00000000-0005-0000-0000-0000DA760000}"/>
    <cellStyle name="Normal 3 5 14" xfId="25019" xr:uid="{00000000-0005-0000-0000-0000EB610000}"/>
    <cellStyle name="Normal 3 5 15" xfId="25022" xr:uid="{00000000-0005-0000-0000-0000EE610000}"/>
    <cellStyle name="Normal 3 5 16" xfId="25025" xr:uid="{00000000-0005-0000-0000-0000F1610000}"/>
    <cellStyle name="Normal 3 5 17" xfId="25028" xr:uid="{00000000-0005-0000-0000-0000F4610000}"/>
    <cellStyle name="Normal 3 5 18" xfId="25036" xr:uid="{00000000-0005-0000-0000-0000FC610000}"/>
    <cellStyle name="Normal 3 5 19" xfId="18072" xr:uid="{00000000-0005-0000-0000-0000C8460000}"/>
    <cellStyle name="Normal 3 5 2" xfId="30379" xr:uid="{00000000-0005-0000-0000-0000DB760000}"/>
    <cellStyle name="Normal 3 5 2 2" xfId="29670" xr:uid="{00000000-0005-0000-0000-000016740000}"/>
    <cellStyle name="Normal 3 5 2 2 2" xfId="30380" xr:uid="{00000000-0005-0000-0000-0000DC760000}"/>
    <cellStyle name="Normal 3 5 2 3" xfId="29673" xr:uid="{00000000-0005-0000-0000-000019740000}"/>
    <cellStyle name="Normal 3 5 2 4" xfId="30382" xr:uid="{00000000-0005-0000-0000-0000DE760000}"/>
    <cellStyle name="Normal 3 5 20" xfId="25023" xr:uid="{00000000-0005-0000-0000-0000EF610000}"/>
    <cellStyle name="Normal 3 5 21" xfId="25026" xr:uid="{00000000-0005-0000-0000-0000F2610000}"/>
    <cellStyle name="Normal 3 5 22" xfId="25029" xr:uid="{00000000-0005-0000-0000-0000F5610000}"/>
    <cellStyle name="Normal 3 5 23" xfId="25037" xr:uid="{00000000-0005-0000-0000-0000FD610000}"/>
    <cellStyle name="Normal 3 5 24" xfId="18073" xr:uid="{00000000-0005-0000-0000-0000C9460000}"/>
    <cellStyle name="Normal 3 5 25" xfId="18086" xr:uid="{00000000-0005-0000-0000-0000D6460000}"/>
    <cellStyle name="Normal 3 5 26" xfId="18103" xr:uid="{00000000-0005-0000-0000-0000E7460000}"/>
    <cellStyle name="Normal 3 5 27" xfId="18116" xr:uid="{00000000-0005-0000-0000-0000F4460000}"/>
    <cellStyle name="Normal 3 5 28" xfId="18127" xr:uid="{00000000-0005-0000-0000-0000FF460000}"/>
    <cellStyle name="Normal 3 5 29" xfId="18137" xr:uid="{00000000-0005-0000-0000-000009470000}"/>
    <cellStyle name="Normal 3 5 3" xfId="30384" xr:uid="{00000000-0005-0000-0000-0000E0760000}"/>
    <cellStyle name="Normal 3 5 3 2" xfId="30385" xr:uid="{00000000-0005-0000-0000-0000E1760000}"/>
    <cellStyle name="Normal 3 5 3 2 2" xfId="30387" xr:uid="{00000000-0005-0000-0000-0000E3760000}"/>
    <cellStyle name="Normal 3 5 3 3" xfId="30388" xr:uid="{00000000-0005-0000-0000-0000E4760000}"/>
    <cellStyle name="Normal 3 5 3 4" xfId="30390" xr:uid="{00000000-0005-0000-0000-0000E6760000}"/>
    <cellStyle name="Normal 3 5 30" xfId="18087" xr:uid="{00000000-0005-0000-0000-0000D7460000}"/>
    <cellStyle name="Normal 3 5 30 2" xfId="18089" xr:uid="{00000000-0005-0000-0000-0000D9460000}"/>
    <cellStyle name="Normal 3 5 31" xfId="18104" xr:uid="{00000000-0005-0000-0000-0000E8460000}"/>
    <cellStyle name="Normal 3 5 32" xfId="18117" xr:uid="{00000000-0005-0000-0000-0000F5460000}"/>
    <cellStyle name="Normal 3 5 4" xfId="30392" xr:uid="{00000000-0005-0000-0000-0000E8760000}"/>
    <cellStyle name="Normal 3 5 4 2" xfId="30394" xr:uid="{00000000-0005-0000-0000-0000EA760000}"/>
    <cellStyle name="Normal 3 5 4 2 2" xfId="18576" xr:uid="{00000000-0005-0000-0000-0000C0480000}"/>
    <cellStyle name="Normal 3 5 4 3" xfId="30396" xr:uid="{00000000-0005-0000-0000-0000EC760000}"/>
    <cellStyle name="Normal 3 5 4 4" xfId="30398" xr:uid="{00000000-0005-0000-0000-0000EE760000}"/>
    <cellStyle name="Normal 3 5 5" xfId="4659" xr:uid="{00000000-0005-0000-0000-000063120000}"/>
    <cellStyle name="Normal 3 5 5 2" xfId="13725" xr:uid="{00000000-0005-0000-0000-0000CD350000}"/>
    <cellStyle name="Normal 3 5 5 2 2" xfId="4127" xr:uid="{00000000-0005-0000-0000-00004F100000}"/>
    <cellStyle name="Normal 3 5 5 3" xfId="30399" xr:uid="{00000000-0005-0000-0000-0000EF760000}"/>
    <cellStyle name="Normal 3 5 5 4" xfId="30400" xr:uid="{00000000-0005-0000-0000-0000F0760000}"/>
    <cellStyle name="Normal 3 5 6" xfId="13727" xr:uid="{00000000-0005-0000-0000-0000CF350000}"/>
    <cellStyle name="Normal 3 5 6 2" xfId="30401" xr:uid="{00000000-0005-0000-0000-0000F1760000}"/>
    <cellStyle name="Normal 3 5 6 2 2" xfId="30404" xr:uid="{00000000-0005-0000-0000-0000F4760000}"/>
    <cellStyle name="Normal 3 5 6 3" xfId="30406" xr:uid="{00000000-0005-0000-0000-0000F6760000}"/>
    <cellStyle name="Normal 3 5 6 4" xfId="30408" xr:uid="{00000000-0005-0000-0000-0000F8760000}"/>
    <cellStyle name="Normal 3 5 7" xfId="13729" xr:uid="{00000000-0005-0000-0000-0000D1350000}"/>
    <cellStyle name="Normal 3 5 8" xfId="13734" xr:uid="{00000000-0005-0000-0000-0000D6350000}"/>
    <cellStyle name="Normal 3 5 9" xfId="13737" xr:uid="{00000000-0005-0000-0000-0000D9350000}"/>
    <cellStyle name="Normal 3 6" xfId="13240" xr:uid="{00000000-0005-0000-0000-0000E8330000}"/>
    <cellStyle name="Normal 3 7" xfId="30409" xr:uid="{00000000-0005-0000-0000-0000F9760000}"/>
    <cellStyle name="Normal 3 8" xfId="30411" xr:uid="{00000000-0005-0000-0000-0000FB760000}"/>
    <cellStyle name="Normal 3 9" xfId="30413" xr:uid="{00000000-0005-0000-0000-0000FD760000}"/>
    <cellStyle name="Normal 3_AD-001 ADB specs" xfId="29230" xr:uid="{00000000-0005-0000-0000-00005E720000}"/>
    <cellStyle name="Normal 30" xfId="16849" xr:uid="{00000000-0005-0000-0000-000001420000}"/>
    <cellStyle name="Normal 30 2" xfId="30126" xr:uid="{00000000-0005-0000-0000-0000DE750000}"/>
    <cellStyle name="Normal 31" xfId="30128" xr:uid="{00000000-0005-0000-0000-0000E0750000}"/>
    <cellStyle name="Normal 31 2" xfId="30131" xr:uid="{00000000-0005-0000-0000-0000E3750000}"/>
    <cellStyle name="Normal 31 2 2" xfId="30134" xr:uid="{00000000-0005-0000-0000-0000E6750000}"/>
    <cellStyle name="Normal 31 2 2 2" xfId="12616" xr:uid="{00000000-0005-0000-0000-000078310000}"/>
    <cellStyle name="Normal 31 2 2 2 2" xfId="15041" xr:uid="{00000000-0005-0000-0000-0000F13A0000}"/>
    <cellStyle name="Normal 31 2 2 3" xfId="12620" xr:uid="{00000000-0005-0000-0000-00007C310000}"/>
    <cellStyle name="Normal 31 2 3" xfId="30137" xr:uid="{00000000-0005-0000-0000-0000E9750000}"/>
    <cellStyle name="Normal 31 2 3 2" xfId="30139" xr:uid="{00000000-0005-0000-0000-0000EB750000}"/>
    <cellStyle name="Normal 31 2 4" xfId="30141" xr:uid="{00000000-0005-0000-0000-0000ED750000}"/>
    <cellStyle name="Normal 31 3" xfId="10338" xr:uid="{00000000-0005-0000-0000-000092280000}"/>
    <cellStyle name="Normal 31 3 2" xfId="30143" xr:uid="{00000000-0005-0000-0000-0000EF750000}"/>
    <cellStyle name="Normal 31 3 2 2" xfId="26409" xr:uid="{00000000-0005-0000-0000-000059670000}"/>
    <cellStyle name="Normal 31 3 2 2 2" xfId="25406" xr:uid="{00000000-0005-0000-0000-00006E630000}"/>
    <cellStyle name="Normal 31 3 2 3" xfId="26415" xr:uid="{00000000-0005-0000-0000-00005F670000}"/>
    <cellStyle name="Normal 31 3 3" xfId="30145" xr:uid="{00000000-0005-0000-0000-0000F1750000}"/>
    <cellStyle name="Normal 31 3 3 2" xfId="30147" xr:uid="{00000000-0005-0000-0000-0000F3750000}"/>
    <cellStyle name="Normal 31 3 4" xfId="30149" xr:uid="{00000000-0005-0000-0000-0000F5750000}"/>
    <cellStyle name="Normal 31 4" xfId="10341" xr:uid="{00000000-0005-0000-0000-000095280000}"/>
    <cellStyle name="Normal 31 4 2" xfId="23694" xr:uid="{00000000-0005-0000-0000-0000BE5C0000}"/>
    <cellStyle name="Normal 31 4 2 2" xfId="27325" xr:uid="{00000000-0005-0000-0000-0000ED6A0000}"/>
    <cellStyle name="Normal 31 4 2 2 2" xfId="30153" xr:uid="{00000000-0005-0000-0000-0000F9750000}"/>
    <cellStyle name="Normal 31 4 2 3" xfId="27329" xr:uid="{00000000-0005-0000-0000-0000F16A0000}"/>
    <cellStyle name="Normal 31 4 3" xfId="23699" xr:uid="{00000000-0005-0000-0000-0000C35C0000}"/>
    <cellStyle name="Normal 31 4 3 2" xfId="30156" xr:uid="{00000000-0005-0000-0000-0000FC750000}"/>
    <cellStyle name="Normal 31 4 4" xfId="30160" xr:uid="{00000000-0005-0000-0000-000000760000}"/>
    <cellStyle name="Normal 31 5" xfId="10344" xr:uid="{00000000-0005-0000-0000-000098280000}"/>
    <cellStyle name="Normal 31 5 2" xfId="30414" xr:uid="{00000000-0005-0000-0000-0000FE760000}"/>
    <cellStyle name="Normal 31 6" xfId="10347" xr:uid="{00000000-0005-0000-0000-00009B280000}"/>
    <cellStyle name="Normal 32" xfId="27491" xr:uid="{00000000-0005-0000-0000-0000936B0000}"/>
    <cellStyle name="Normal 32 2" xfId="18474" xr:uid="{00000000-0005-0000-0000-00005A480000}"/>
    <cellStyle name="Normal 32 2 2" xfId="27499" xr:uid="{00000000-0005-0000-0000-00009B6B0000}"/>
    <cellStyle name="Normal 32 2 2 2" xfId="27502" xr:uid="{00000000-0005-0000-0000-00009E6B0000}"/>
    <cellStyle name="Normal 32 2 2 2 2" xfId="30162" xr:uid="{00000000-0005-0000-0000-000002760000}"/>
    <cellStyle name="Normal 32 2 2 3" xfId="1085" xr:uid="{00000000-0005-0000-0000-00006D040000}"/>
    <cellStyle name="Normal 32 2 3" xfId="27506" xr:uid="{00000000-0005-0000-0000-0000A26B0000}"/>
    <cellStyle name="Normal 32 2 3 2" xfId="30165" xr:uid="{00000000-0005-0000-0000-000005760000}"/>
    <cellStyle name="Normal 32 2 4" xfId="27510" xr:uid="{00000000-0005-0000-0000-0000A66B0000}"/>
    <cellStyle name="Normal 32 3" xfId="10011" xr:uid="{00000000-0005-0000-0000-00004B270000}"/>
    <cellStyle name="Normal 32 3 2" xfId="27515" xr:uid="{00000000-0005-0000-0000-0000AB6B0000}"/>
    <cellStyle name="Normal 32 3 2 2" xfId="30167" xr:uid="{00000000-0005-0000-0000-000007760000}"/>
    <cellStyle name="Normal 32 3 2 2 2" xfId="30169" xr:uid="{00000000-0005-0000-0000-000009760000}"/>
    <cellStyle name="Normal 32 3 2 3" xfId="30171" xr:uid="{00000000-0005-0000-0000-00000B760000}"/>
    <cellStyle name="Normal 32 3 3" xfId="30173" xr:uid="{00000000-0005-0000-0000-00000D760000}"/>
    <cellStyle name="Normal 32 3 3 2" xfId="30175" xr:uid="{00000000-0005-0000-0000-00000F760000}"/>
    <cellStyle name="Normal 32 3 4" xfId="30177" xr:uid="{00000000-0005-0000-0000-000011760000}"/>
    <cellStyle name="Normal 32 4" xfId="18478" xr:uid="{00000000-0005-0000-0000-00005E480000}"/>
    <cellStyle name="Normal 32 4 2" xfId="30179" xr:uid="{00000000-0005-0000-0000-000013760000}"/>
    <cellStyle name="Normal 32 4 2 2" xfId="30181" xr:uid="{00000000-0005-0000-0000-000015760000}"/>
    <cellStyle name="Normal 32 4 2 2 2" xfId="30183" xr:uid="{00000000-0005-0000-0000-000017760000}"/>
    <cellStyle name="Normal 32 4 2 3" xfId="30185" xr:uid="{00000000-0005-0000-0000-000019760000}"/>
    <cellStyle name="Normal 32 4 3" xfId="30188" xr:uid="{00000000-0005-0000-0000-00001C760000}"/>
    <cellStyle name="Normal 32 4 3 2" xfId="30190" xr:uid="{00000000-0005-0000-0000-00001E760000}"/>
    <cellStyle name="Normal 32 4 4" xfId="30193" xr:uid="{00000000-0005-0000-0000-000021760000}"/>
    <cellStyle name="Normal 33" xfId="27523" xr:uid="{00000000-0005-0000-0000-0000B36B0000}"/>
    <cellStyle name="Normal 33 2" xfId="18499" xr:uid="{00000000-0005-0000-0000-000073480000}"/>
    <cellStyle name="Normal 34" xfId="27550" xr:uid="{00000000-0005-0000-0000-0000CE6B0000}"/>
    <cellStyle name="Normal 34 2" xfId="18520" xr:uid="{00000000-0005-0000-0000-000088480000}"/>
    <cellStyle name="Normal 34 2 2" xfId="27556" xr:uid="{00000000-0005-0000-0000-0000D46B0000}"/>
    <cellStyle name="Normal 34 2 2 2" xfId="27559" xr:uid="{00000000-0005-0000-0000-0000D76B0000}"/>
    <cellStyle name="Normal 34 2 2 2 2" xfId="30212" xr:uid="{00000000-0005-0000-0000-000034760000}"/>
    <cellStyle name="Normal 34 2 2 3" xfId="30215" xr:uid="{00000000-0005-0000-0000-000037760000}"/>
    <cellStyle name="Normal 34 2 3" xfId="27570" xr:uid="{00000000-0005-0000-0000-0000E26B0000}"/>
    <cellStyle name="Normal 34 2 3 2" xfId="30218" xr:uid="{00000000-0005-0000-0000-00003A760000}"/>
    <cellStyle name="Normal 34 2 4" xfId="27577" xr:uid="{00000000-0005-0000-0000-0000E96B0000}"/>
    <cellStyle name="Normal 34 3" xfId="27586" xr:uid="{00000000-0005-0000-0000-0000F26B0000}"/>
    <cellStyle name="Normal 34 3 2" xfId="27594" xr:uid="{00000000-0005-0000-0000-0000FA6B0000}"/>
    <cellStyle name="Normal 34 3 2 2" xfId="30223" xr:uid="{00000000-0005-0000-0000-00003F760000}"/>
    <cellStyle name="Normal 34 3 2 2 2" xfId="30226" xr:uid="{00000000-0005-0000-0000-000042760000}"/>
    <cellStyle name="Normal 34 3 2 3" xfId="30229" xr:uid="{00000000-0005-0000-0000-000045760000}"/>
    <cellStyle name="Normal 34 3 3" xfId="29660" xr:uid="{00000000-0005-0000-0000-00000C740000}"/>
    <cellStyle name="Normal 34 3 3 2" xfId="30232" xr:uid="{00000000-0005-0000-0000-000048760000}"/>
    <cellStyle name="Normal 34 3 4" xfId="29665" xr:uid="{00000000-0005-0000-0000-000011740000}"/>
    <cellStyle name="Normal 34 4" xfId="27599" xr:uid="{00000000-0005-0000-0000-0000FF6B0000}"/>
    <cellStyle name="Normal 34 4 2" xfId="13912" xr:uid="{00000000-0005-0000-0000-000088360000}"/>
    <cellStyle name="Normal 34 4 2 2" xfId="4369" xr:uid="{00000000-0005-0000-0000-000041110000}"/>
    <cellStyle name="Normal 34 4 2 2 2" xfId="30236" xr:uid="{00000000-0005-0000-0000-00004C760000}"/>
    <cellStyle name="Normal 34 4 2 3" xfId="4417" xr:uid="{00000000-0005-0000-0000-000071110000}"/>
    <cellStyle name="Normal 34 4 3" xfId="30241" xr:uid="{00000000-0005-0000-0000-000051760000}"/>
    <cellStyle name="Normal 34 4 3 2" xfId="3621" xr:uid="{00000000-0005-0000-0000-0000550E0000}"/>
    <cellStyle name="Normal 34 4 4" xfId="30245" xr:uid="{00000000-0005-0000-0000-000055760000}"/>
    <cellStyle name="Normal 34 5" xfId="346" xr:uid="{00000000-0005-0000-0000-000071010000}"/>
    <cellStyle name="Normal 35" xfId="27623" xr:uid="{00000000-0005-0000-0000-0000176C0000}"/>
    <cellStyle name="Normal 35 2" xfId="5867" xr:uid="{00000000-0005-0000-0000-00001B170000}"/>
    <cellStyle name="Normal 35 2 2" xfId="27630" xr:uid="{00000000-0005-0000-0000-00001E6C0000}"/>
    <cellStyle name="Normal 35 2 2 2" xfId="27635" xr:uid="{00000000-0005-0000-0000-0000236C0000}"/>
    <cellStyle name="Normal 35 2 2 2 2" xfId="30416" xr:uid="{00000000-0005-0000-0000-000000770000}"/>
    <cellStyle name="Normal 35 2 2 3" xfId="30418" xr:uid="{00000000-0005-0000-0000-000002770000}"/>
    <cellStyle name="Normal 35 2 3" xfId="27642" xr:uid="{00000000-0005-0000-0000-00002A6C0000}"/>
    <cellStyle name="Normal 35 2 3 2" xfId="30421" xr:uid="{00000000-0005-0000-0000-000005770000}"/>
    <cellStyle name="Normal 35 2 4" xfId="27649" xr:uid="{00000000-0005-0000-0000-0000316C0000}"/>
    <cellStyle name="Normal 35 3" xfId="27657" xr:uid="{00000000-0005-0000-0000-0000396C0000}"/>
    <cellStyle name="Normal 35 3 2" xfId="27663" xr:uid="{00000000-0005-0000-0000-00003F6C0000}"/>
    <cellStyle name="Normal 35 3 2 2" xfId="30424" xr:uid="{00000000-0005-0000-0000-000008770000}"/>
    <cellStyle name="Normal 35 3 2 2 2" xfId="30428" xr:uid="{00000000-0005-0000-0000-00000C770000}"/>
    <cellStyle name="Normal 35 3 2 3" xfId="30431" xr:uid="{00000000-0005-0000-0000-00000F770000}"/>
    <cellStyle name="Normal 35 3 3" xfId="30434" xr:uid="{00000000-0005-0000-0000-000012770000}"/>
    <cellStyle name="Normal 35 3 3 2" xfId="30436" xr:uid="{00000000-0005-0000-0000-000014770000}"/>
    <cellStyle name="Normal 35 3 4" xfId="23108" xr:uid="{00000000-0005-0000-0000-0000745A0000}"/>
    <cellStyle name="Normal 35 4" xfId="21542" xr:uid="{00000000-0005-0000-0000-000056540000}"/>
    <cellStyle name="Normal 35 4 2" xfId="30437" xr:uid="{00000000-0005-0000-0000-000015770000}"/>
    <cellStyle name="Normal 35 4 2 2" xfId="30440" xr:uid="{00000000-0005-0000-0000-000018770000}"/>
    <cellStyle name="Normal 35 4 2 2 2" xfId="30441" xr:uid="{00000000-0005-0000-0000-000019770000}"/>
    <cellStyle name="Normal 35 4 2 3" xfId="30444" xr:uid="{00000000-0005-0000-0000-00001C770000}"/>
    <cellStyle name="Normal 35 4 3" xfId="30447" xr:uid="{00000000-0005-0000-0000-00001F770000}"/>
    <cellStyle name="Normal 35 4 3 2" xfId="14568" xr:uid="{00000000-0005-0000-0000-000018390000}"/>
    <cellStyle name="Normal 35 4 4" xfId="30448" xr:uid="{00000000-0005-0000-0000-000020770000}"/>
    <cellStyle name="Normal 35 5" xfId="1831" xr:uid="{00000000-0005-0000-0000-000057070000}"/>
    <cellStyle name="Normal 36" xfId="27676" xr:uid="{00000000-0005-0000-0000-00004C6C0000}"/>
    <cellStyle name="Normal 36 2" xfId="18532" xr:uid="{00000000-0005-0000-0000-000094480000}"/>
    <cellStyle name="Normal 37" xfId="27710" xr:uid="{00000000-0005-0000-0000-00006E6C0000}"/>
    <cellStyle name="Normal 37 2" xfId="27717" xr:uid="{00000000-0005-0000-0000-0000756C0000}"/>
    <cellStyle name="Normal 37 2 2" xfId="1616" xr:uid="{00000000-0005-0000-0000-000080060000}"/>
    <cellStyle name="Normal 37 2 2 2" xfId="1641" xr:uid="{00000000-0005-0000-0000-000099060000}"/>
    <cellStyle name="Normal 37 2 2 2 2" xfId="30450" xr:uid="{00000000-0005-0000-0000-000022770000}"/>
    <cellStyle name="Normal 37 2 2 3" xfId="22520" xr:uid="{00000000-0005-0000-0000-000028580000}"/>
    <cellStyle name="Normal 37 2 3" xfId="1666" xr:uid="{00000000-0005-0000-0000-0000B2060000}"/>
    <cellStyle name="Normal 37 2 3 2" xfId="1060" xr:uid="{00000000-0005-0000-0000-000054040000}"/>
    <cellStyle name="Normal 37 2 4" xfId="30456" xr:uid="{00000000-0005-0000-0000-000028770000}"/>
    <cellStyle name="Normal 37 3" xfId="30459" xr:uid="{00000000-0005-0000-0000-00002B770000}"/>
    <cellStyle name="Normal 37 3 2" xfId="1904" xr:uid="{00000000-0005-0000-0000-0000A0070000}"/>
    <cellStyle name="Normal 37 3 2 2" xfId="2506" xr:uid="{00000000-0005-0000-0000-0000FA090000}"/>
    <cellStyle name="Normal 37 3 2 2 2" xfId="30461" xr:uid="{00000000-0005-0000-0000-00002D770000}"/>
    <cellStyle name="Normal 37 3 2 3" xfId="30462" xr:uid="{00000000-0005-0000-0000-00002E770000}"/>
    <cellStyle name="Normal 37 3 3" xfId="2542" xr:uid="{00000000-0005-0000-0000-00001E0A0000}"/>
    <cellStyle name="Normal 37 3 3 2" xfId="2560" xr:uid="{00000000-0005-0000-0000-0000300A0000}"/>
    <cellStyle name="Normal 37 3 4" xfId="30463" xr:uid="{00000000-0005-0000-0000-00002F770000}"/>
    <cellStyle name="Normal 37 4" xfId="9728" xr:uid="{00000000-0005-0000-0000-000030260000}"/>
    <cellStyle name="Normal 37 4 2" xfId="846" xr:uid="{00000000-0005-0000-0000-00007E030000}"/>
    <cellStyle name="Normal 37 4 2 2" xfId="411" xr:uid="{00000000-0005-0000-0000-0000B6010000}"/>
    <cellStyle name="Normal 37 4 2 2 2" xfId="23583" xr:uid="{00000000-0005-0000-0000-00004F5C0000}"/>
    <cellStyle name="Normal 37 4 2 3" xfId="30464" xr:uid="{00000000-0005-0000-0000-000030770000}"/>
    <cellStyle name="Normal 37 4 3" xfId="883" xr:uid="{00000000-0005-0000-0000-0000A3030000}"/>
    <cellStyle name="Normal 37 4 3 2" xfId="902" xr:uid="{00000000-0005-0000-0000-0000B6030000}"/>
    <cellStyle name="Normal 37 4 4" xfId="30465" xr:uid="{00000000-0005-0000-0000-000031770000}"/>
    <cellStyle name="Normal 37 5" xfId="1908" xr:uid="{00000000-0005-0000-0000-0000A4070000}"/>
    <cellStyle name="Normal 38" xfId="27720" xr:uid="{00000000-0005-0000-0000-0000786C0000}"/>
    <cellStyle name="Normal 38 2" xfId="30467" xr:uid="{00000000-0005-0000-0000-000033770000}"/>
    <cellStyle name="Normal 38 2 2" xfId="30473" xr:uid="{00000000-0005-0000-0000-000039770000}"/>
    <cellStyle name="Normal 38 2 2 2" xfId="8345" xr:uid="{00000000-0005-0000-0000-0000C9200000}"/>
    <cellStyle name="Normal 38 2 2 2 2" xfId="30474" xr:uid="{00000000-0005-0000-0000-00003A770000}"/>
    <cellStyle name="Normal 38 2 2 3" xfId="16929" xr:uid="{00000000-0005-0000-0000-000051420000}"/>
    <cellStyle name="Normal 38 2 3" xfId="30478" xr:uid="{00000000-0005-0000-0000-00003E770000}"/>
    <cellStyle name="Normal 38 2 3 2" xfId="30480" xr:uid="{00000000-0005-0000-0000-000040770000}"/>
    <cellStyle name="Normal 38 2 4" xfId="30486" xr:uid="{00000000-0005-0000-0000-000046770000}"/>
    <cellStyle name="Normal 38 3" xfId="30488" xr:uid="{00000000-0005-0000-0000-000048770000}"/>
    <cellStyle name="Normal 38 3 2" xfId="5646" xr:uid="{00000000-0005-0000-0000-00003E160000}"/>
    <cellStyle name="Normal 38 3 2 2" xfId="5653" xr:uid="{00000000-0005-0000-0000-000045160000}"/>
    <cellStyle name="Normal 38 3 2 2 2" xfId="3269" xr:uid="{00000000-0005-0000-0000-0000F50C0000}"/>
    <cellStyle name="Normal 38 3 2 3" xfId="5670" xr:uid="{00000000-0005-0000-0000-000056160000}"/>
    <cellStyle name="Normal 38 3 3" xfId="5681" xr:uid="{00000000-0005-0000-0000-000061160000}"/>
    <cellStyle name="Normal 38 3 3 2" xfId="5687" xr:uid="{00000000-0005-0000-0000-000067160000}"/>
    <cellStyle name="Normal 38 3 4" xfId="5701" xr:uid="{00000000-0005-0000-0000-000075160000}"/>
    <cellStyle name="Normal 38 4" xfId="30492" xr:uid="{00000000-0005-0000-0000-00004C770000}"/>
    <cellStyle name="Normal 38 4 2" xfId="30495" xr:uid="{00000000-0005-0000-0000-00004F770000}"/>
    <cellStyle name="Normal 38 4 2 2" xfId="30496" xr:uid="{00000000-0005-0000-0000-000050770000}"/>
    <cellStyle name="Normal 38 4 2 2 2" xfId="24426" xr:uid="{00000000-0005-0000-0000-00009A5F0000}"/>
    <cellStyle name="Normal 38 4 2 3" xfId="30498" xr:uid="{00000000-0005-0000-0000-000052770000}"/>
    <cellStyle name="Normal 38 4 3" xfId="30501" xr:uid="{00000000-0005-0000-0000-000055770000}"/>
    <cellStyle name="Normal 38 4 3 2" xfId="30502" xr:uid="{00000000-0005-0000-0000-000056770000}"/>
    <cellStyle name="Normal 38 4 4" xfId="30503" xr:uid="{00000000-0005-0000-0000-000057770000}"/>
    <cellStyle name="Normal 39" xfId="27725" xr:uid="{00000000-0005-0000-0000-00007D6C0000}"/>
    <cellStyle name="Normal 39 2" xfId="24235" xr:uid="{00000000-0005-0000-0000-0000DB5E0000}"/>
    <cellStyle name="Normal 39 2 2" xfId="24240" xr:uid="{00000000-0005-0000-0000-0000E05E0000}"/>
    <cellStyle name="Normal 39 2 2 2" xfId="11007" xr:uid="{00000000-0005-0000-0000-00002F2B0000}"/>
    <cellStyle name="Normal 39 2 2 2 2" xfId="22547" xr:uid="{00000000-0005-0000-0000-000043580000}"/>
    <cellStyle name="Normal 39 2 2 3" xfId="2482" xr:uid="{00000000-0005-0000-0000-0000E2090000}"/>
    <cellStyle name="Normal 39 2 3" xfId="24243" xr:uid="{00000000-0005-0000-0000-0000E35E0000}"/>
    <cellStyle name="Normal 39 2 3 2" xfId="24247" xr:uid="{00000000-0005-0000-0000-0000E75E0000}"/>
    <cellStyle name="Normal 39 2 4" xfId="24251" xr:uid="{00000000-0005-0000-0000-0000EB5E0000}"/>
    <cellStyle name="Normal 39 3" xfId="24294" xr:uid="{00000000-0005-0000-0000-0000165F0000}"/>
    <cellStyle name="Normal 39 3 2" xfId="24317" xr:uid="{00000000-0005-0000-0000-00002D5F0000}"/>
    <cellStyle name="Normal 39 3 2 2" xfId="15692" xr:uid="{00000000-0005-0000-0000-00007C3D0000}"/>
    <cellStyle name="Normal 39 3 2 2 2" xfId="24320" xr:uid="{00000000-0005-0000-0000-0000305F0000}"/>
    <cellStyle name="Normal 39 3 2 3" xfId="3056" xr:uid="{00000000-0005-0000-0000-0000200C0000}"/>
    <cellStyle name="Normal 39 3 3" xfId="24323" xr:uid="{00000000-0005-0000-0000-0000335F0000}"/>
    <cellStyle name="Normal 39 3 3 2" xfId="24326" xr:uid="{00000000-0005-0000-0000-0000365F0000}"/>
    <cellStyle name="Normal 39 3 4" xfId="9199" xr:uid="{00000000-0005-0000-0000-00001F240000}"/>
    <cellStyle name="Normal 39 4" xfId="14044" xr:uid="{00000000-0005-0000-0000-00000C370000}"/>
    <cellStyle name="Normal 39 4 2" xfId="24338" xr:uid="{00000000-0005-0000-0000-0000425F0000}"/>
    <cellStyle name="Normal 39 4 2 2" xfId="12769" xr:uid="{00000000-0005-0000-0000-000011320000}"/>
    <cellStyle name="Normal 39 4 2 2 2" xfId="24343" xr:uid="{00000000-0005-0000-0000-0000475F0000}"/>
    <cellStyle name="Normal 39 4 2 3" xfId="3523" xr:uid="{00000000-0005-0000-0000-0000F30D0000}"/>
    <cellStyle name="Normal 39 4 3" xfId="24348" xr:uid="{00000000-0005-0000-0000-00004C5F0000}"/>
    <cellStyle name="Normal 39 4 3 2" xfId="2185" xr:uid="{00000000-0005-0000-0000-0000B9080000}"/>
    <cellStyle name="Normal 39 4 4" xfId="9217" xr:uid="{00000000-0005-0000-0000-000031240000}"/>
    <cellStyle name="Normal 4" xfId="13244" xr:uid="{00000000-0005-0000-0000-0000EC330000}"/>
    <cellStyle name="Normal 4 10" xfId="12918" xr:uid="{00000000-0005-0000-0000-0000A6320000}"/>
    <cellStyle name="Normal 4 2" xfId="13247" xr:uid="{00000000-0005-0000-0000-0000EF330000}"/>
    <cellStyle name="Normal 4 2 2" xfId="14839" xr:uid="{00000000-0005-0000-0000-0000273A0000}"/>
    <cellStyle name="Normal 4 2 2 2" xfId="14842" xr:uid="{00000000-0005-0000-0000-00002A3A0000}"/>
    <cellStyle name="Normal 4 2 2 3" xfId="11452" xr:uid="{00000000-0005-0000-0000-0000EC2C0000}"/>
    <cellStyle name="Normal 4 2 2 4" xfId="11476" xr:uid="{00000000-0005-0000-0000-0000042D0000}"/>
    <cellStyle name="Normal 4 2 3" xfId="14846" xr:uid="{00000000-0005-0000-0000-00002E3A0000}"/>
    <cellStyle name="Normal 4 2 4" xfId="14849" xr:uid="{00000000-0005-0000-0000-0000313A0000}"/>
    <cellStyle name="Normal 4 2 5" xfId="14028" xr:uid="{00000000-0005-0000-0000-0000FC360000}"/>
    <cellStyle name="Normal 4 2 6" xfId="14036" xr:uid="{00000000-0005-0000-0000-000004370000}"/>
    <cellStyle name="Normal 4 3" xfId="30504" xr:uid="{00000000-0005-0000-0000-000058770000}"/>
    <cellStyle name="Normal 4 3 2" xfId="30505" xr:uid="{00000000-0005-0000-0000-000059770000}"/>
    <cellStyle name="Normal 4 3 2 2" xfId="30509" xr:uid="{00000000-0005-0000-0000-00005D770000}"/>
    <cellStyle name="Normal 4 3 2 3" xfId="30515" xr:uid="{00000000-0005-0000-0000-000063770000}"/>
    <cellStyle name="Normal 4 3 2 4" xfId="30522" xr:uid="{00000000-0005-0000-0000-00006A770000}"/>
    <cellStyle name="Normal 4 3 3" xfId="30524" xr:uid="{00000000-0005-0000-0000-00006C770000}"/>
    <cellStyle name="Normal 4 3 4" xfId="30525" xr:uid="{00000000-0005-0000-0000-00006D770000}"/>
    <cellStyle name="Normal 4 4" xfId="30526" xr:uid="{00000000-0005-0000-0000-00006E770000}"/>
    <cellStyle name="Normal 4 4 2" xfId="15245" xr:uid="{00000000-0005-0000-0000-0000BD3B0000}"/>
    <cellStyle name="Normal 4 4 3" xfId="30528" xr:uid="{00000000-0005-0000-0000-000070770000}"/>
    <cellStyle name="Normal 4 4 4" xfId="30530" xr:uid="{00000000-0005-0000-0000-000072770000}"/>
    <cellStyle name="Normal 4 4 5" xfId="14051" xr:uid="{00000000-0005-0000-0000-000013370000}"/>
    <cellStyle name="Normal 4 5" xfId="30531" xr:uid="{00000000-0005-0000-0000-000073770000}"/>
    <cellStyle name="Normal 4 5 2" xfId="30532" xr:uid="{00000000-0005-0000-0000-000074770000}"/>
    <cellStyle name="Normal 4 5 2 2" xfId="30534" xr:uid="{00000000-0005-0000-0000-000076770000}"/>
    <cellStyle name="Normal 4 5 2 3" xfId="30537" xr:uid="{00000000-0005-0000-0000-000079770000}"/>
    <cellStyle name="Normal 4 5 2 4" xfId="30541" xr:uid="{00000000-0005-0000-0000-00007D770000}"/>
    <cellStyle name="Normal 4 5 3" xfId="30543" xr:uid="{00000000-0005-0000-0000-00007F770000}"/>
    <cellStyle name="Normal 4 5 4" xfId="30544" xr:uid="{00000000-0005-0000-0000-000080770000}"/>
    <cellStyle name="Normal 4 5 5" xfId="14069" xr:uid="{00000000-0005-0000-0000-000025370000}"/>
    <cellStyle name="Normal 4 6" xfId="12882" xr:uid="{00000000-0005-0000-0000-000082320000}"/>
    <cellStyle name="Normal 4 6 2" xfId="30545" xr:uid="{00000000-0005-0000-0000-000081770000}"/>
    <cellStyle name="Normal 4 6 3" xfId="30546" xr:uid="{00000000-0005-0000-0000-000082770000}"/>
    <cellStyle name="Normal 4 6 4" xfId="30547" xr:uid="{00000000-0005-0000-0000-000083770000}"/>
    <cellStyle name="Normal 4 6 5" xfId="14087" xr:uid="{00000000-0005-0000-0000-000037370000}"/>
    <cellStyle name="Normal 4 7" xfId="12885" xr:uid="{00000000-0005-0000-0000-000085320000}"/>
    <cellStyle name="Normal 4 7 2" xfId="15181" xr:uid="{00000000-0005-0000-0000-00007D3B0000}"/>
    <cellStyle name="Normal 4 7 3" xfId="15201" xr:uid="{00000000-0005-0000-0000-0000913B0000}"/>
    <cellStyle name="Normal 4 7 4" xfId="15203" xr:uid="{00000000-0005-0000-0000-0000933B0000}"/>
    <cellStyle name="Normal 4 8" xfId="10573" xr:uid="{00000000-0005-0000-0000-00007D290000}"/>
    <cellStyle name="Normal 4 9" xfId="1882" xr:uid="{00000000-0005-0000-0000-00008A070000}"/>
    <cellStyle name="Normal 4_ADECHO" xfId="1823" xr:uid="{00000000-0005-0000-0000-00004F070000}"/>
    <cellStyle name="Normal 40" xfId="27624" xr:uid="{00000000-0005-0000-0000-0000186C0000}"/>
    <cellStyle name="Normal 41" xfId="27677" xr:uid="{00000000-0005-0000-0000-00004D6C0000}"/>
    <cellStyle name="Normal 41 2" xfId="18533" xr:uid="{00000000-0005-0000-0000-000095480000}"/>
    <cellStyle name="Normal 41 2 2" xfId="27683" xr:uid="{00000000-0005-0000-0000-0000536C0000}"/>
    <cellStyle name="Normal 41 2 2 2" xfId="30550" xr:uid="{00000000-0005-0000-0000-000086770000}"/>
    <cellStyle name="Normal 41 2 3" xfId="30555" xr:uid="{00000000-0005-0000-0000-00008B770000}"/>
    <cellStyle name="Normal 41 3" xfId="27685" xr:uid="{00000000-0005-0000-0000-0000556C0000}"/>
    <cellStyle name="Normal 41 3 2" xfId="28184" xr:uid="{00000000-0005-0000-0000-0000486E0000}"/>
    <cellStyle name="Normal 41 4" xfId="27690" xr:uid="{00000000-0005-0000-0000-00005A6C0000}"/>
    <cellStyle name="Normal 42" xfId="27711" xr:uid="{00000000-0005-0000-0000-00006F6C0000}"/>
    <cellStyle name="Normal 42 2" xfId="27718" xr:uid="{00000000-0005-0000-0000-0000766C0000}"/>
    <cellStyle name="Normal 42 2 2" xfId="1617" xr:uid="{00000000-0005-0000-0000-000081060000}"/>
    <cellStyle name="Normal 42 2 2 2" xfId="1642" xr:uid="{00000000-0005-0000-0000-00009A060000}"/>
    <cellStyle name="Normal 42 2 3" xfId="1667" xr:uid="{00000000-0005-0000-0000-0000B3060000}"/>
    <cellStyle name="Normal 42 3" xfId="30460" xr:uid="{00000000-0005-0000-0000-00002C770000}"/>
    <cellStyle name="Normal 42 3 2" xfId="1905" xr:uid="{00000000-0005-0000-0000-0000A1070000}"/>
    <cellStyle name="Normal 42 4" xfId="9729" xr:uid="{00000000-0005-0000-0000-000031260000}"/>
    <cellStyle name="Normal 43" xfId="27721" xr:uid="{00000000-0005-0000-0000-0000796C0000}"/>
    <cellStyle name="Normal 44" xfId="27726" xr:uid="{00000000-0005-0000-0000-00007E6C0000}"/>
    <cellStyle name="Normal 45" xfId="30557" xr:uid="{00000000-0005-0000-0000-00008D770000}"/>
    <cellStyle name="Normal 46" xfId="30563" xr:uid="{00000000-0005-0000-0000-000093770000}"/>
    <cellStyle name="Normal 46 2" xfId="8837" xr:uid="{00000000-0005-0000-0000-0000B5220000}"/>
    <cellStyle name="Normal 46 2 2" xfId="24770" xr:uid="{00000000-0005-0000-0000-0000F2600000}"/>
    <cellStyle name="Normal 46 3" xfId="8842" xr:uid="{00000000-0005-0000-0000-0000BA220000}"/>
    <cellStyle name="Normal 47" xfId="30568" xr:uid="{00000000-0005-0000-0000-000098770000}"/>
    <cellStyle name="Normal 47 2" xfId="13600" xr:uid="{00000000-0005-0000-0000-000050350000}"/>
    <cellStyle name="Normal 48" xfId="30572" xr:uid="{00000000-0005-0000-0000-00009C770000}"/>
    <cellStyle name="Normal 48 2" xfId="25181" xr:uid="{00000000-0005-0000-0000-00008D620000}"/>
    <cellStyle name="Normal 48 3" xfId="25191" xr:uid="{00000000-0005-0000-0000-000097620000}"/>
    <cellStyle name="Normal 48 4" xfId="25195" xr:uid="{00000000-0005-0000-0000-00009B620000}"/>
    <cellStyle name="Normal 48 5" xfId="25199" xr:uid="{00000000-0005-0000-0000-00009F620000}"/>
    <cellStyle name="Normal 48 6" xfId="30576" xr:uid="{00000000-0005-0000-0000-0000A0770000}"/>
    <cellStyle name="Normal 48 7" xfId="30579" xr:uid="{00000000-0005-0000-0000-0000A3770000}"/>
    <cellStyle name="Normal 49" xfId="30583" xr:uid="{00000000-0005-0000-0000-0000A7770000}"/>
    <cellStyle name="Normal 5" xfId="13250" xr:uid="{00000000-0005-0000-0000-0000F2330000}"/>
    <cellStyle name="Normal 5 10" xfId="30587" xr:uid="{00000000-0005-0000-0000-0000AB770000}"/>
    <cellStyle name="Normal 5 11" xfId="26728" xr:uid="{00000000-0005-0000-0000-000098680000}"/>
    <cellStyle name="Normal 5 11 2" xfId="26733" xr:uid="{00000000-0005-0000-0000-00009D680000}"/>
    <cellStyle name="Normal 5 2" xfId="30589" xr:uid="{00000000-0005-0000-0000-0000AD770000}"/>
    <cellStyle name="Normal 5 2 2" xfId="9242" xr:uid="{00000000-0005-0000-0000-00004A240000}"/>
    <cellStyle name="Normal 5 2 2 2" xfId="27528" xr:uid="{00000000-0005-0000-0000-0000B86B0000}"/>
    <cellStyle name="Normal 5 2 2 2 2" xfId="17797" xr:uid="{00000000-0005-0000-0000-0000B5450000}"/>
    <cellStyle name="Normal 5 2 2 2 2 2" xfId="2103" xr:uid="{00000000-0005-0000-0000-000067080000}"/>
    <cellStyle name="Normal 5 2 2 2 3" xfId="17802" xr:uid="{00000000-0005-0000-0000-0000BA450000}"/>
    <cellStyle name="Normal 5 2 2 3" xfId="27534" xr:uid="{00000000-0005-0000-0000-0000BE6B0000}"/>
    <cellStyle name="Normal 5 2 2 3 2" xfId="17811" xr:uid="{00000000-0005-0000-0000-0000C3450000}"/>
    <cellStyle name="Normal 5 2 2 4" xfId="26224" xr:uid="{00000000-0005-0000-0000-0000A0660000}"/>
    <cellStyle name="Normal 5 2 3" xfId="9249" xr:uid="{00000000-0005-0000-0000-000051240000}"/>
    <cellStyle name="Normal 5 2 3 2" xfId="26824" xr:uid="{00000000-0005-0000-0000-0000F8680000}"/>
    <cellStyle name="Normal 5 2 4" xfId="8518" xr:uid="{00000000-0005-0000-0000-000076210000}"/>
    <cellStyle name="Normal 5 2 4 2" xfId="30207" xr:uid="{00000000-0005-0000-0000-00002F760000}"/>
    <cellStyle name="Normal 5 2 5" xfId="8533" xr:uid="{00000000-0005-0000-0000-000085210000}"/>
    <cellStyle name="Normal 5 2 6" xfId="8546" xr:uid="{00000000-0005-0000-0000-000092210000}"/>
    <cellStyle name="Normal 5 2_ADAE" xfId="30591" xr:uid="{00000000-0005-0000-0000-0000AF770000}"/>
    <cellStyle name="Normal 5 3" xfId="30592" xr:uid="{00000000-0005-0000-0000-0000B0770000}"/>
    <cellStyle name="Normal 5 3 2" xfId="30594" xr:uid="{00000000-0005-0000-0000-0000B2770000}"/>
    <cellStyle name="Normal 5 3 2 2" xfId="27564" xr:uid="{00000000-0005-0000-0000-0000DC6B0000}"/>
    <cellStyle name="Normal 5 3 2 3" xfId="27572" xr:uid="{00000000-0005-0000-0000-0000E46B0000}"/>
    <cellStyle name="Normal 5 3 2 3 2" xfId="30597" xr:uid="{00000000-0005-0000-0000-0000B5770000}"/>
    <cellStyle name="Normal 5 3 2 4" xfId="27579" xr:uid="{00000000-0005-0000-0000-0000EB6B0000}"/>
    <cellStyle name="Normal 5 3 3" xfId="30598" xr:uid="{00000000-0005-0000-0000-0000B6770000}"/>
    <cellStyle name="Normal 5 3 4" xfId="30600" xr:uid="{00000000-0005-0000-0000-0000B8770000}"/>
    <cellStyle name="Normal 5 3 4 2" xfId="30238" xr:uid="{00000000-0005-0000-0000-00004E760000}"/>
    <cellStyle name="Normal 5 3 5" xfId="8602" xr:uid="{00000000-0005-0000-0000-0000CA210000}"/>
    <cellStyle name="Normal 5 4" xfId="30602" xr:uid="{00000000-0005-0000-0000-0000BA770000}"/>
    <cellStyle name="Normal 5 4 2" xfId="30605" xr:uid="{00000000-0005-0000-0000-0000BD770000}"/>
    <cellStyle name="Normal 5 4 2 2" xfId="27638" xr:uid="{00000000-0005-0000-0000-0000266C0000}"/>
    <cellStyle name="Normal 5 4 2 3" xfId="27645" xr:uid="{00000000-0005-0000-0000-00002D6C0000}"/>
    <cellStyle name="Normal 5 4 2 3 2" xfId="8614" xr:uid="{00000000-0005-0000-0000-0000D6210000}"/>
    <cellStyle name="Normal 5 4 2 4" xfId="27652" xr:uid="{00000000-0005-0000-0000-0000346C0000}"/>
    <cellStyle name="Normal 5 4 3" xfId="30608" xr:uid="{00000000-0005-0000-0000-0000C0770000}"/>
    <cellStyle name="Normal 5 4 4" xfId="30611" xr:uid="{00000000-0005-0000-0000-0000C3770000}"/>
    <cellStyle name="Normal 5 4 4 2" xfId="30446" xr:uid="{00000000-0005-0000-0000-00001E770000}"/>
    <cellStyle name="Normal 5 4 5" xfId="14173" xr:uid="{00000000-0005-0000-0000-00008D370000}"/>
    <cellStyle name="Normal 5 5" xfId="30613" xr:uid="{00000000-0005-0000-0000-0000C5770000}"/>
    <cellStyle name="Normal 5 5 10" xfId="30617" xr:uid="{00000000-0005-0000-0000-0000C9770000}"/>
    <cellStyle name="Normal 5 5 10 2" xfId="21558" xr:uid="{00000000-0005-0000-0000-000066540000}"/>
    <cellStyle name="Normal 5 5 11" xfId="30621" xr:uid="{00000000-0005-0000-0000-0000CD770000}"/>
    <cellStyle name="Normal 5 5 12" xfId="30624" xr:uid="{00000000-0005-0000-0000-0000D0770000}"/>
    <cellStyle name="Normal 5 5 2" xfId="30625" xr:uid="{00000000-0005-0000-0000-0000D1770000}"/>
    <cellStyle name="Normal 5 5 2 2" xfId="30552" xr:uid="{00000000-0005-0000-0000-000088770000}"/>
    <cellStyle name="Normal 5 5 2 2 2" xfId="30627" xr:uid="{00000000-0005-0000-0000-0000D3770000}"/>
    <cellStyle name="Normal 5 5 2 2 2 2" xfId="28808" xr:uid="{00000000-0005-0000-0000-0000B8700000}"/>
    <cellStyle name="Normal 5 5 2 2 3" xfId="5081" xr:uid="{00000000-0005-0000-0000-000009140000}"/>
    <cellStyle name="Normal 5 5 2 2 3 2" xfId="11763" xr:uid="{00000000-0005-0000-0000-0000232E0000}"/>
    <cellStyle name="Normal 5 5 2 2 4" xfId="30629" xr:uid="{00000000-0005-0000-0000-0000D5770000}"/>
    <cellStyle name="Normal 5 5 2 2 4 2" xfId="15179" xr:uid="{00000000-0005-0000-0000-00007B3B0000}"/>
    <cellStyle name="Normal 5 5 2 2 5" xfId="30631" xr:uid="{00000000-0005-0000-0000-0000D7770000}"/>
    <cellStyle name="Normal 5 5 2 2 5 2" xfId="13017" xr:uid="{00000000-0005-0000-0000-000009330000}"/>
    <cellStyle name="Normal 5 5 2 2 6" xfId="30632" xr:uid="{00000000-0005-0000-0000-0000D8770000}"/>
    <cellStyle name="Normal 5 5 2 2 6 2" xfId="13039" xr:uid="{00000000-0005-0000-0000-00001F330000}"/>
    <cellStyle name="Normal 5 5 2 2 7" xfId="30633" xr:uid="{00000000-0005-0000-0000-0000D9770000}"/>
    <cellStyle name="Normal 5 5 2 3" xfId="30635" xr:uid="{00000000-0005-0000-0000-0000DB770000}"/>
    <cellStyle name="Normal 5 5 2 3 2" xfId="7373" xr:uid="{00000000-0005-0000-0000-0000FD1C0000}"/>
    <cellStyle name="Normal 5 5 2 4" xfId="30639" xr:uid="{00000000-0005-0000-0000-0000DF770000}"/>
    <cellStyle name="Normal 5 5 2 4 2" xfId="30642" xr:uid="{00000000-0005-0000-0000-0000E2770000}"/>
    <cellStyle name="Normal 5 5 2 5" xfId="30643" xr:uid="{00000000-0005-0000-0000-0000E3770000}"/>
    <cellStyle name="Normal 5 5 2 5 2" xfId="30645" xr:uid="{00000000-0005-0000-0000-0000E5770000}"/>
    <cellStyle name="Normal 5 5 2 6" xfId="30646" xr:uid="{00000000-0005-0000-0000-0000E6770000}"/>
    <cellStyle name="Normal 5 5 2 6 2" xfId="30647" xr:uid="{00000000-0005-0000-0000-0000E7770000}"/>
    <cellStyle name="Normal 5 5 2 7" xfId="30649" xr:uid="{00000000-0005-0000-0000-0000E9770000}"/>
    <cellStyle name="Normal 5 5 2 7 2" xfId="30651" xr:uid="{00000000-0005-0000-0000-0000EB770000}"/>
    <cellStyle name="Normal 5 5 2 8" xfId="30653" xr:uid="{00000000-0005-0000-0000-0000ED770000}"/>
    <cellStyle name="Normal 5 5 3" xfId="19284" xr:uid="{00000000-0005-0000-0000-0000844B0000}"/>
    <cellStyle name="Normal 5 5 3 2" xfId="30655" xr:uid="{00000000-0005-0000-0000-0000EF770000}"/>
    <cellStyle name="Normal 5 5 3 2 2" xfId="30657" xr:uid="{00000000-0005-0000-0000-0000F1770000}"/>
    <cellStyle name="Normal 5 5 3 2 2 2" xfId="29941" xr:uid="{00000000-0005-0000-0000-000025750000}"/>
    <cellStyle name="Normal 5 5 3 2 3" xfId="30658" xr:uid="{00000000-0005-0000-0000-0000F2770000}"/>
    <cellStyle name="Normal 5 5 3 2 3 2" xfId="22529" xr:uid="{00000000-0005-0000-0000-000031580000}"/>
    <cellStyle name="Normal 5 5 3 2 4" xfId="12632" xr:uid="{00000000-0005-0000-0000-000088310000}"/>
    <cellStyle name="Normal 5 5 3 2 4 2" xfId="22826" xr:uid="{00000000-0005-0000-0000-00005A590000}"/>
    <cellStyle name="Normal 5 5 3 2 5" xfId="30659" xr:uid="{00000000-0005-0000-0000-0000F3770000}"/>
    <cellStyle name="Normal 5 5 3 2 5 2" xfId="8686" xr:uid="{00000000-0005-0000-0000-00001E220000}"/>
    <cellStyle name="Normal 5 5 3 2 6" xfId="30661" xr:uid="{00000000-0005-0000-0000-0000F5770000}"/>
    <cellStyle name="Normal 5 5 3 2 6 2" xfId="13508" xr:uid="{00000000-0005-0000-0000-0000F4340000}"/>
    <cellStyle name="Normal 5 5 3 2 7" xfId="26498" xr:uid="{00000000-0005-0000-0000-0000B2670000}"/>
    <cellStyle name="Normal 5 5 3 3" xfId="30663" xr:uid="{00000000-0005-0000-0000-0000F7770000}"/>
    <cellStyle name="Normal 5 5 3 3 2" xfId="15252" xr:uid="{00000000-0005-0000-0000-0000C43B0000}"/>
    <cellStyle name="Normal 5 5 3 4" xfId="30665" xr:uid="{00000000-0005-0000-0000-0000F9770000}"/>
    <cellStyle name="Normal 5 5 3 4 2" xfId="30666" xr:uid="{00000000-0005-0000-0000-0000FA770000}"/>
    <cellStyle name="Normal 5 5 3 5" xfId="30667" xr:uid="{00000000-0005-0000-0000-0000FB770000}"/>
    <cellStyle name="Normal 5 5 3 5 2" xfId="30668" xr:uid="{00000000-0005-0000-0000-0000FC770000}"/>
    <cellStyle name="Normal 5 5 3 6" xfId="30669" xr:uid="{00000000-0005-0000-0000-0000FD770000}"/>
    <cellStyle name="Normal 5 5 3 6 2" xfId="30670" xr:uid="{00000000-0005-0000-0000-0000FE770000}"/>
    <cellStyle name="Normal 5 5 3 7" xfId="30673" xr:uid="{00000000-0005-0000-0000-000001780000}"/>
    <cellStyle name="Normal 5 5 3 7 2" xfId="30675" xr:uid="{00000000-0005-0000-0000-000003780000}"/>
    <cellStyle name="Normal 5 5 3 8" xfId="30678" xr:uid="{00000000-0005-0000-0000-000006780000}"/>
    <cellStyle name="Normal 5 5 4" xfId="30679" xr:uid="{00000000-0005-0000-0000-000007780000}"/>
    <cellStyle name="Normal 5 5 4 2" xfId="21504" xr:uid="{00000000-0005-0000-0000-000030540000}"/>
    <cellStyle name="Normal 5 5 4 2 2" xfId="30681" xr:uid="{00000000-0005-0000-0000-000009780000}"/>
    <cellStyle name="Normal 5 5 4 3" xfId="20969" xr:uid="{00000000-0005-0000-0000-000019520000}"/>
    <cellStyle name="Normal 5 5 4 3 2" xfId="30682" xr:uid="{00000000-0005-0000-0000-00000A780000}"/>
    <cellStyle name="Normal 5 5 4 4" xfId="30684" xr:uid="{00000000-0005-0000-0000-00000C780000}"/>
    <cellStyle name="Normal 5 5 4 4 2" xfId="30686" xr:uid="{00000000-0005-0000-0000-00000E780000}"/>
    <cellStyle name="Normal 5 5 4 5" xfId="30687" xr:uid="{00000000-0005-0000-0000-00000F780000}"/>
    <cellStyle name="Normal 5 5 4 5 2" xfId="30689" xr:uid="{00000000-0005-0000-0000-000011780000}"/>
    <cellStyle name="Normal 5 5 4 6" xfId="30690" xr:uid="{00000000-0005-0000-0000-000012780000}"/>
    <cellStyle name="Normal 5 5 4 6 2" xfId="30692" xr:uid="{00000000-0005-0000-0000-000014780000}"/>
    <cellStyle name="Normal 5 5 4 7" xfId="30693" xr:uid="{00000000-0005-0000-0000-000015780000}"/>
    <cellStyle name="Normal 5 5 5" xfId="14181" xr:uid="{00000000-0005-0000-0000-000095370000}"/>
    <cellStyle name="Normal 5 5 5 2" xfId="30697" xr:uid="{00000000-0005-0000-0000-000019780000}"/>
    <cellStyle name="Normal 5 5 6" xfId="30698" xr:uid="{00000000-0005-0000-0000-00001A780000}"/>
    <cellStyle name="Normal 5 5 6 2" xfId="30701" xr:uid="{00000000-0005-0000-0000-00001D780000}"/>
    <cellStyle name="Normal 5 5 7" xfId="30702" xr:uid="{00000000-0005-0000-0000-00001E780000}"/>
    <cellStyle name="Normal 5 5 7 2" xfId="30705" xr:uid="{00000000-0005-0000-0000-000021780000}"/>
    <cellStyle name="Normal 5 5 8" xfId="30706" xr:uid="{00000000-0005-0000-0000-000022780000}"/>
    <cellStyle name="Normal 5 5 8 2" xfId="30709" xr:uid="{00000000-0005-0000-0000-000025780000}"/>
    <cellStyle name="Normal 5 5 9" xfId="30711" xr:uid="{00000000-0005-0000-0000-000027780000}"/>
    <cellStyle name="Normal 5 5 9 2" xfId="2683" xr:uid="{00000000-0005-0000-0000-0000AB0A0000}"/>
    <cellStyle name="Normal 5 6" xfId="30714" xr:uid="{00000000-0005-0000-0000-00002A780000}"/>
    <cellStyle name="Normal 5 6 2" xfId="28985" xr:uid="{00000000-0005-0000-0000-000069710000}"/>
    <cellStyle name="Normal 5 6 3" xfId="30716" xr:uid="{00000000-0005-0000-0000-00002C780000}"/>
    <cellStyle name="Normal 5 6 3 2" xfId="2541" xr:uid="{00000000-0005-0000-0000-00001D0A0000}"/>
    <cellStyle name="Normal 5 6 4" xfId="30718" xr:uid="{00000000-0005-0000-0000-00002E780000}"/>
    <cellStyle name="Normal 5 7" xfId="30720" xr:uid="{00000000-0005-0000-0000-000030780000}"/>
    <cellStyle name="Normal 5 7 2" xfId="30722" xr:uid="{00000000-0005-0000-0000-000032780000}"/>
    <cellStyle name="Normal 5 7 2 2" xfId="30476" xr:uid="{00000000-0005-0000-0000-00003C770000}"/>
    <cellStyle name="Normal 5 7 2 2 2" xfId="30479" xr:uid="{00000000-0005-0000-0000-00003F770000}"/>
    <cellStyle name="Normal 5 7 2 2 2 2" xfId="30725" xr:uid="{00000000-0005-0000-0000-000035780000}"/>
    <cellStyle name="Normal 5 7 2 2 3" xfId="30726" xr:uid="{00000000-0005-0000-0000-000036780000}"/>
    <cellStyle name="Normal 5 7 2 2 3 2" xfId="30728" xr:uid="{00000000-0005-0000-0000-000038780000}"/>
    <cellStyle name="Normal 5 7 2 2 4" xfId="30729" xr:uid="{00000000-0005-0000-0000-000039780000}"/>
    <cellStyle name="Normal 5 7 2 2 4 2" xfId="30731" xr:uid="{00000000-0005-0000-0000-00003B780000}"/>
    <cellStyle name="Normal 5 7 2 2 5" xfId="30732" xr:uid="{00000000-0005-0000-0000-00003C780000}"/>
    <cellStyle name="Normal 5 7 2 2 5 2" xfId="11014" xr:uid="{00000000-0005-0000-0000-0000362B0000}"/>
    <cellStyle name="Normal 5 7 2 2 6" xfId="30733" xr:uid="{00000000-0005-0000-0000-00003D780000}"/>
    <cellStyle name="Normal 5 7 2 2 6 2" xfId="30734" xr:uid="{00000000-0005-0000-0000-00003E780000}"/>
    <cellStyle name="Normal 5 7 2 2 7" xfId="30735" xr:uid="{00000000-0005-0000-0000-00003F780000}"/>
    <cellStyle name="Normal 5 7 2 3" xfId="30483" xr:uid="{00000000-0005-0000-0000-000043770000}"/>
    <cellStyle name="Normal 5 7 2 3 2" xfId="19399" xr:uid="{00000000-0005-0000-0000-0000F74B0000}"/>
    <cellStyle name="Normal 5 7 2 4" xfId="30738" xr:uid="{00000000-0005-0000-0000-000042780000}"/>
    <cellStyle name="Normal 5 7 2 4 2" xfId="30740" xr:uid="{00000000-0005-0000-0000-000044780000}"/>
    <cellStyle name="Normal 5 7 2 5" xfId="30742" xr:uid="{00000000-0005-0000-0000-000046780000}"/>
    <cellStyle name="Normal 5 7 2 5 2" xfId="30744" xr:uid="{00000000-0005-0000-0000-000048780000}"/>
    <cellStyle name="Normal 5 7 2 6" xfId="1992" xr:uid="{00000000-0005-0000-0000-0000F8070000}"/>
    <cellStyle name="Normal 5 7 2 6 2" xfId="9127" xr:uid="{00000000-0005-0000-0000-0000D7230000}"/>
    <cellStyle name="Normal 5 7 2 7" xfId="8179" xr:uid="{00000000-0005-0000-0000-000023200000}"/>
    <cellStyle name="Normal 5 7 2 7 2" xfId="30087" xr:uid="{00000000-0005-0000-0000-0000B7750000}"/>
    <cellStyle name="Normal 5 7 2 8" xfId="6785" xr:uid="{00000000-0005-0000-0000-0000B11A0000}"/>
    <cellStyle name="Normal 5 7 3" xfId="30745" xr:uid="{00000000-0005-0000-0000-000049780000}"/>
    <cellStyle name="Normal 5 7 3 2" xfId="5680" xr:uid="{00000000-0005-0000-0000-000060160000}"/>
    <cellStyle name="Normal 5 7 3 2 2" xfId="5686" xr:uid="{00000000-0005-0000-0000-000066160000}"/>
    <cellStyle name="Normal 5 7 3 3" xfId="5700" xr:uid="{00000000-0005-0000-0000-000074160000}"/>
    <cellStyle name="Normal 5 7 3 3 2" xfId="5709" xr:uid="{00000000-0005-0000-0000-00007D160000}"/>
    <cellStyle name="Normal 5 7 3 4" xfId="116" xr:uid="{00000000-0005-0000-0000-00007E000000}"/>
    <cellStyle name="Normal 5 7 3 4 2" xfId="6814" xr:uid="{00000000-0005-0000-0000-0000CE1A0000}"/>
    <cellStyle name="Normal 5 7 3 5" xfId="5728" xr:uid="{00000000-0005-0000-0000-000090160000}"/>
    <cellStyle name="Normal 5 7 3 5 2" xfId="5054" xr:uid="{00000000-0005-0000-0000-0000EE130000}"/>
    <cellStyle name="Normal 5 7 3 6" xfId="2016" xr:uid="{00000000-0005-0000-0000-000010080000}"/>
    <cellStyle name="Normal 5 7 3 6 2" xfId="5161" xr:uid="{00000000-0005-0000-0000-000059140000}"/>
    <cellStyle name="Normal 5 7 3 7" xfId="8142" xr:uid="{00000000-0005-0000-0000-0000FE1F0000}"/>
    <cellStyle name="Normal 5 7 4" xfId="30746" xr:uid="{00000000-0005-0000-0000-00004A780000}"/>
    <cellStyle name="Normal 5 7 4 2" xfId="30500" xr:uid="{00000000-0005-0000-0000-000054770000}"/>
    <cellStyle name="Normal 5 7 5" xfId="17240" xr:uid="{00000000-0005-0000-0000-000088430000}"/>
    <cellStyle name="Normal 5 7 5 2" xfId="17243" xr:uid="{00000000-0005-0000-0000-00008B430000}"/>
    <cellStyle name="Normal 5 7 6" xfId="17249" xr:uid="{00000000-0005-0000-0000-000091430000}"/>
    <cellStyle name="Normal 5 7 6 2" xfId="12824" xr:uid="{00000000-0005-0000-0000-000048320000}"/>
    <cellStyle name="Normal 5 7 7" xfId="17252" xr:uid="{00000000-0005-0000-0000-000094430000}"/>
    <cellStyle name="Normal 5 7 7 2" xfId="12846" xr:uid="{00000000-0005-0000-0000-00005E320000}"/>
    <cellStyle name="Normal 5 7 8" xfId="3049" xr:uid="{00000000-0005-0000-0000-0000190C0000}"/>
    <cellStyle name="Normal 5 7 8 2" xfId="17255" xr:uid="{00000000-0005-0000-0000-000097430000}"/>
    <cellStyle name="Normal 5 7 9" xfId="17265" xr:uid="{00000000-0005-0000-0000-0000A1430000}"/>
    <cellStyle name="Normal 5 8" xfId="30747" xr:uid="{00000000-0005-0000-0000-00004B780000}"/>
    <cellStyle name="Normal 5 8 2" xfId="30749" xr:uid="{00000000-0005-0000-0000-00004D780000}"/>
    <cellStyle name="Normal 5 8 2 2" xfId="24241" xr:uid="{00000000-0005-0000-0000-0000E15E0000}"/>
    <cellStyle name="Normal 5 8 2 2 2" xfId="24244" xr:uid="{00000000-0005-0000-0000-0000E45E0000}"/>
    <cellStyle name="Normal 5 8 2 3" xfId="24249" xr:uid="{00000000-0005-0000-0000-0000E95E0000}"/>
    <cellStyle name="Normal 5 8 2 3 2" xfId="24253" xr:uid="{00000000-0005-0000-0000-0000ED5E0000}"/>
    <cellStyle name="Normal 5 8 2 4" xfId="24257" xr:uid="{00000000-0005-0000-0000-0000F15E0000}"/>
    <cellStyle name="Normal 5 8 2 4 2" xfId="24260" xr:uid="{00000000-0005-0000-0000-0000F45E0000}"/>
    <cellStyle name="Normal 5 8 2 5" xfId="24272" xr:uid="{00000000-0005-0000-0000-0000005F0000}"/>
    <cellStyle name="Normal 5 8 2 5 2" xfId="24275" xr:uid="{00000000-0005-0000-0000-0000035F0000}"/>
    <cellStyle name="Normal 5 8 2 6" xfId="2203" xr:uid="{00000000-0005-0000-0000-0000CB080000}"/>
    <cellStyle name="Normal 5 8 2 6 2" xfId="30750" xr:uid="{00000000-0005-0000-0000-00004E780000}"/>
    <cellStyle name="Normal 5 8 2 7" xfId="24284" xr:uid="{00000000-0005-0000-0000-00000C5F0000}"/>
    <cellStyle name="Normal 5 8 3" xfId="30751" xr:uid="{00000000-0005-0000-0000-00004F780000}"/>
    <cellStyle name="Normal 5 8 3 2" xfId="24321" xr:uid="{00000000-0005-0000-0000-0000315F0000}"/>
    <cellStyle name="Normal 5 8 4" xfId="30752" xr:uid="{00000000-0005-0000-0000-000050780000}"/>
    <cellStyle name="Normal 5 8 4 2" xfId="24350" xr:uid="{00000000-0005-0000-0000-00004E5F0000}"/>
    <cellStyle name="Normal 5 8 5" xfId="14852" xr:uid="{00000000-0005-0000-0000-0000343A0000}"/>
    <cellStyle name="Normal 5 8 5 2" xfId="15446" xr:uid="{00000000-0005-0000-0000-0000863C0000}"/>
    <cellStyle name="Normal 5 8 6" xfId="14856" xr:uid="{00000000-0005-0000-0000-0000383A0000}"/>
    <cellStyle name="Normal 5 8 6 2" xfId="17287" xr:uid="{00000000-0005-0000-0000-0000B7430000}"/>
    <cellStyle name="Normal 5 8 7" xfId="14861" xr:uid="{00000000-0005-0000-0000-00003D3A0000}"/>
    <cellStyle name="Normal 5 8 7 2" xfId="17294" xr:uid="{00000000-0005-0000-0000-0000BE430000}"/>
    <cellStyle name="Normal 5 8 8" xfId="3335" xr:uid="{00000000-0005-0000-0000-0000370D0000}"/>
    <cellStyle name="Normal 5 9" xfId="30753" xr:uid="{00000000-0005-0000-0000-000051780000}"/>
    <cellStyle name="Normal 50" xfId="30558" xr:uid="{00000000-0005-0000-0000-00008E770000}"/>
    <cellStyle name="Normal 51" xfId="30564" xr:uid="{00000000-0005-0000-0000-000094770000}"/>
    <cellStyle name="Normal 52" xfId="30569" xr:uid="{00000000-0005-0000-0000-000099770000}"/>
    <cellStyle name="Normal 53" xfId="30573" xr:uid="{00000000-0005-0000-0000-00009D770000}"/>
    <cellStyle name="Normal 54" xfId="30584" xr:uid="{00000000-0005-0000-0000-0000A8770000}"/>
    <cellStyle name="Normal 6" xfId="13254" xr:uid="{00000000-0005-0000-0000-0000F6330000}"/>
    <cellStyle name="Normal 6 10" xfId="30755" xr:uid="{00000000-0005-0000-0000-000053780000}"/>
    <cellStyle name="Normal 6 10 10" xfId="30759" xr:uid="{00000000-0005-0000-0000-000057780000}"/>
    <cellStyle name="Normal 6 10 11" xfId="11180" xr:uid="{00000000-0005-0000-0000-0000DC2B0000}"/>
    <cellStyle name="Normal 6 10 12" xfId="30762" xr:uid="{00000000-0005-0000-0000-00005A780000}"/>
    <cellStyle name="Normal 6 10 13" xfId="26385" xr:uid="{00000000-0005-0000-0000-000041670000}"/>
    <cellStyle name="Normal 6 10 14" xfId="26390" xr:uid="{00000000-0005-0000-0000-000046670000}"/>
    <cellStyle name="Normal 6 10 15" xfId="26395" xr:uid="{00000000-0005-0000-0000-00004B670000}"/>
    <cellStyle name="Normal 6 10 16" xfId="26398" xr:uid="{00000000-0005-0000-0000-00004E670000}"/>
    <cellStyle name="Normal 6 10 17" xfId="26401" xr:uid="{00000000-0005-0000-0000-000051670000}"/>
    <cellStyle name="Normal 6 10 18" xfId="30763" xr:uid="{00000000-0005-0000-0000-00005B780000}"/>
    <cellStyle name="Normal 6 10 19" xfId="30765" xr:uid="{00000000-0005-0000-0000-00005D780000}"/>
    <cellStyle name="Normal 6 10 2" xfId="30769" xr:uid="{00000000-0005-0000-0000-000061780000}"/>
    <cellStyle name="Normal 6 10 2 2" xfId="129" xr:uid="{00000000-0005-0000-0000-00008B000000}"/>
    <cellStyle name="Normal 6 10 2 3" xfId="940" xr:uid="{00000000-0005-0000-0000-0000DC030000}"/>
    <cellStyle name="Normal 6 10 2 4" xfId="967" xr:uid="{00000000-0005-0000-0000-0000F7030000}"/>
    <cellStyle name="Normal 6 10 2 5" xfId="30771" xr:uid="{00000000-0005-0000-0000-000063780000}"/>
    <cellStyle name="Normal 6 10 2 6" xfId="30773" xr:uid="{00000000-0005-0000-0000-000065780000}"/>
    <cellStyle name="Normal 6 10 2 7" xfId="30775" xr:uid="{00000000-0005-0000-0000-000067780000}"/>
    <cellStyle name="Normal 6 10 2 8" xfId="30777" xr:uid="{00000000-0005-0000-0000-000069780000}"/>
    <cellStyle name="Normal 6 10 2 9" xfId="30778" xr:uid="{00000000-0005-0000-0000-00006A780000}"/>
    <cellStyle name="Normal 6 10 20" xfId="26396" xr:uid="{00000000-0005-0000-0000-00004C670000}"/>
    <cellStyle name="Normal 6 10 21" xfId="26399" xr:uid="{00000000-0005-0000-0000-00004F670000}"/>
    <cellStyle name="Normal 6 10 22" xfId="26402" xr:uid="{00000000-0005-0000-0000-000052670000}"/>
    <cellStyle name="Normal 6 10 23" xfId="30764" xr:uid="{00000000-0005-0000-0000-00005C780000}"/>
    <cellStyle name="Normal 6 10 24" xfId="30766" xr:uid="{00000000-0005-0000-0000-00005E780000}"/>
    <cellStyle name="Normal 6 10 25" xfId="9521" xr:uid="{00000000-0005-0000-0000-000061250000}"/>
    <cellStyle name="Normal 6 10 3" xfId="30782" xr:uid="{00000000-0005-0000-0000-00006E780000}"/>
    <cellStyle name="Normal 6 10 4" xfId="30785" xr:uid="{00000000-0005-0000-0000-000071780000}"/>
    <cellStyle name="Normal 6 10 5" xfId="30788" xr:uid="{00000000-0005-0000-0000-000074780000}"/>
    <cellStyle name="Normal 6 10 6" xfId="30793" xr:uid="{00000000-0005-0000-0000-000079780000}"/>
    <cellStyle name="Normal 6 10 7" xfId="30796" xr:uid="{00000000-0005-0000-0000-00007C780000}"/>
    <cellStyle name="Normal 6 10 8" xfId="30799" xr:uid="{00000000-0005-0000-0000-00007F780000}"/>
    <cellStyle name="Normal 6 10 9" xfId="30802" xr:uid="{00000000-0005-0000-0000-000082780000}"/>
    <cellStyle name="Normal 6 11" xfId="30803" xr:uid="{00000000-0005-0000-0000-000083780000}"/>
    <cellStyle name="Normal 6 11 2" xfId="4422" xr:uid="{00000000-0005-0000-0000-000076110000}"/>
    <cellStyle name="Normal 6 11 3" xfId="4765" xr:uid="{00000000-0005-0000-0000-0000CD120000}"/>
    <cellStyle name="Normal 6 11 4" xfId="1079" xr:uid="{00000000-0005-0000-0000-000067040000}"/>
    <cellStyle name="Normal 6 11 5" xfId="4789" xr:uid="{00000000-0005-0000-0000-0000E5120000}"/>
    <cellStyle name="Normal 6 11 6" xfId="220" xr:uid="{00000000-0005-0000-0000-0000EC000000}"/>
    <cellStyle name="Normal 6 11 7" xfId="3309" xr:uid="{00000000-0005-0000-0000-00001D0D0000}"/>
    <cellStyle name="Normal 6 11 8" xfId="2654" xr:uid="{00000000-0005-0000-0000-00008E0A0000}"/>
    <cellStyle name="Normal 6 11 9" xfId="3384" xr:uid="{00000000-0005-0000-0000-0000680D0000}"/>
    <cellStyle name="Normal 6 12" xfId="30805" xr:uid="{00000000-0005-0000-0000-000085780000}"/>
    <cellStyle name="Normal 6 13" xfId="30807" xr:uid="{00000000-0005-0000-0000-000087780000}"/>
    <cellStyle name="Normal 6 14" xfId="30506" xr:uid="{00000000-0005-0000-0000-00005A770000}"/>
    <cellStyle name="Normal 6 15" xfId="30511" xr:uid="{00000000-0005-0000-0000-00005F770000}"/>
    <cellStyle name="Normal 6 16" xfId="30517" xr:uid="{00000000-0005-0000-0000-000065770000}"/>
    <cellStyle name="Normal 6 17" xfId="30811" xr:uid="{00000000-0005-0000-0000-00008B780000}"/>
    <cellStyle name="Normal 6 18" xfId="30816" xr:uid="{00000000-0005-0000-0000-000090780000}"/>
    <cellStyle name="Normal 6 19" xfId="30824" xr:uid="{00000000-0005-0000-0000-000098780000}"/>
    <cellStyle name="Normal 6 2" xfId="30826" xr:uid="{00000000-0005-0000-0000-00009A780000}"/>
    <cellStyle name="Normal 6 2 10" xfId="30830" xr:uid="{00000000-0005-0000-0000-00009E780000}"/>
    <cellStyle name="Normal 6 2 11" xfId="30834" xr:uid="{00000000-0005-0000-0000-0000A2780000}"/>
    <cellStyle name="Normal 6 2 11 2" xfId="30157" xr:uid="{00000000-0005-0000-0000-0000FD750000}"/>
    <cellStyle name="Normal 6 2 12" xfId="30837" xr:uid="{00000000-0005-0000-0000-0000A5780000}"/>
    <cellStyle name="Normal 6 2 12 2" xfId="2389" xr:uid="{00000000-0005-0000-0000-000085090000}"/>
    <cellStyle name="Normal 6 2 13" xfId="30839" xr:uid="{00000000-0005-0000-0000-0000A7780000}"/>
    <cellStyle name="Normal 6 2 13 2" xfId="9098" xr:uid="{00000000-0005-0000-0000-0000BA230000}"/>
    <cellStyle name="Normal 6 2 13 3" xfId="1590" xr:uid="{00000000-0005-0000-0000-000066060000}"/>
    <cellStyle name="Normal 6 2 14" xfId="30840" xr:uid="{00000000-0005-0000-0000-0000A8780000}"/>
    <cellStyle name="Normal 6 2 14 2" xfId="10038" xr:uid="{00000000-0005-0000-0000-000066270000}"/>
    <cellStyle name="Normal 6 2 15" xfId="30841" xr:uid="{00000000-0005-0000-0000-0000A9780000}"/>
    <cellStyle name="Normal 6 2 2" xfId="30842" xr:uid="{00000000-0005-0000-0000-0000AA780000}"/>
    <cellStyle name="Normal 6 2 2 2" xfId="30845" xr:uid="{00000000-0005-0000-0000-0000AD780000}"/>
    <cellStyle name="Normal 6 2 2 2 2" xfId="30849" xr:uid="{00000000-0005-0000-0000-0000B1780000}"/>
    <cellStyle name="Normal 6 2 2 3" xfId="30851" xr:uid="{00000000-0005-0000-0000-0000B3780000}"/>
    <cellStyle name="Normal 6 2 2 3 2" xfId="30852" xr:uid="{00000000-0005-0000-0000-0000B4780000}"/>
    <cellStyle name="Normal 6 2 2 4" xfId="26274" xr:uid="{00000000-0005-0000-0000-0000D2660000}"/>
    <cellStyle name="Normal 6 2 3" xfId="23344" xr:uid="{00000000-0005-0000-0000-0000605B0000}"/>
    <cellStyle name="Normal 6 2 3 2" xfId="23348" xr:uid="{00000000-0005-0000-0000-0000645B0000}"/>
    <cellStyle name="Normal 6 2 3 2 2" xfId="30853" xr:uid="{00000000-0005-0000-0000-0000B5780000}"/>
    <cellStyle name="Normal 6 2 3 3" xfId="30855" xr:uid="{00000000-0005-0000-0000-0000B7780000}"/>
    <cellStyle name="Normal 6 2 3 3 2" xfId="30856" xr:uid="{00000000-0005-0000-0000-0000B8780000}"/>
    <cellStyle name="Normal 6 2 3 4" xfId="30858" xr:uid="{00000000-0005-0000-0000-0000BA780000}"/>
    <cellStyle name="Normal 6 2 4" xfId="23351" xr:uid="{00000000-0005-0000-0000-0000675B0000}"/>
    <cellStyle name="Normal 6 2 4 2" xfId="30861" xr:uid="{00000000-0005-0000-0000-0000BD780000}"/>
    <cellStyle name="Normal 6 2 4 2 2" xfId="30862" xr:uid="{00000000-0005-0000-0000-0000BE780000}"/>
    <cellStyle name="Normal 6 2 4 3" xfId="30865" xr:uid="{00000000-0005-0000-0000-0000C1780000}"/>
    <cellStyle name="Normal 6 2 4 3 2" xfId="30866" xr:uid="{00000000-0005-0000-0000-0000C2780000}"/>
    <cellStyle name="Normal 6 2 4 4" xfId="30868" xr:uid="{00000000-0005-0000-0000-0000C4780000}"/>
    <cellStyle name="Normal 6 2 5" xfId="8745" xr:uid="{00000000-0005-0000-0000-000059220000}"/>
    <cellStyle name="Normal 6 2 5 2" xfId="10535" xr:uid="{00000000-0005-0000-0000-000057290000}"/>
    <cellStyle name="Normal 6 2 6" xfId="8752" xr:uid="{00000000-0005-0000-0000-000060220000}"/>
    <cellStyle name="Normal 6 2 6 2" xfId="30870" xr:uid="{00000000-0005-0000-0000-0000C6780000}"/>
    <cellStyle name="Normal 6 2 7" xfId="7328" xr:uid="{00000000-0005-0000-0000-0000D01C0000}"/>
    <cellStyle name="Normal 6 2 8" xfId="8760" xr:uid="{00000000-0005-0000-0000-000068220000}"/>
    <cellStyle name="Normal 6 2 9" xfId="13529" xr:uid="{00000000-0005-0000-0000-000009350000}"/>
    <cellStyle name="Normal 6 2_ADAE" xfId="22156" xr:uid="{00000000-0005-0000-0000-0000BC560000}"/>
    <cellStyle name="Normal 6 20" xfId="30512" xr:uid="{00000000-0005-0000-0000-000060770000}"/>
    <cellStyle name="Normal 6 21" xfId="30518" xr:uid="{00000000-0005-0000-0000-000066770000}"/>
    <cellStyle name="Normal 6 22" xfId="30812" xr:uid="{00000000-0005-0000-0000-00008C780000}"/>
    <cellStyle name="Normal 6 23" xfId="30817" xr:uid="{00000000-0005-0000-0000-000091780000}"/>
    <cellStyle name="Normal 6 24" xfId="30825" xr:uid="{00000000-0005-0000-0000-000099780000}"/>
    <cellStyle name="Normal 6 25" xfId="30873" xr:uid="{00000000-0005-0000-0000-0000C9780000}"/>
    <cellStyle name="Normal 6 26" xfId="30876" xr:uid="{00000000-0005-0000-0000-0000CC780000}"/>
    <cellStyle name="Normal 6 27" xfId="30878" xr:uid="{00000000-0005-0000-0000-0000CE780000}"/>
    <cellStyle name="Normal 6 28" xfId="16286" xr:uid="{00000000-0005-0000-0000-0000CE3F0000}"/>
    <cellStyle name="Normal 6 29" xfId="18488" xr:uid="{00000000-0005-0000-0000-000068480000}"/>
    <cellStyle name="Normal 6 3" xfId="30880" xr:uid="{00000000-0005-0000-0000-0000D0780000}"/>
    <cellStyle name="Normal 6 3 10" xfId="30884" xr:uid="{00000000-0005-0000-0000-0000D4780000}"/>
    <cellStyle name="Normal 6 3 11" xfId="30888" xr:uid="{00000000-0005-0000-0000-0000D8780000}"/>
    <cellStyle name="Normal 6 3 12" xfId="30892" xr:uid="{00000000-0005-0000-0000-0000DC780000}"/>
    <cellStyle name="Normal 6 3 13" xfId="30894" xr:uid="{00000000-0005-0000-0000-0000DE780000}"/>
    <cellStyle name="Normal 6 3 2" xfId="30895" xr:uid="{00000000-0005-0000-0000-0000DF780000}"/>
    <cellStyle name="Normal 6 3 2 2" xfId="30898" xr:uid="{00000000-0005-0000-0000-0000E2780000}"/>
    <cellStyle name="Normal 6 3 2 2 2" xfId="7954" xr:uid="{00000000-0005-0000-0000-0000421F0000}"/>
    <cellStyle name="Normal 6 3 2 3" xfId="30900" xr:uid="{00000000-0005-0000-0000-0000E4780000}"/>
    <cellStyle name="Normal 6 3 2 3 2" xfId="14073" xr:uid="{00000000-0005-0000-0000-000029370000}"/>
    <cellStyle name="Normal 6 3 2 4" xfId="30902" xr:uid="{00000000-0005-0000-0000-0000E6780000}"/>
    <cellStyle name="Normal 6 3 3" xfId="23359" xr:uid="{00000000-0005-0000-0000-00006F5B0000}"/>
    <cellStyle name="Normal 6 3 3 2" xfId="30904" xr:uid="{00000000-0005-0000-0000-0000E8780000}"/>
    <cellStyle name="Normal 6 3 3 2 2" xfId="30905" xr:uid="{00000000-0005-0000-0000-0000E9780000}"/>
    <cellStyle name="Normal 6 3 3 3" xfId="30907" xr:uid="{00000000-0005-0000-0000-0000EB780000}"/>
    <cellStyle name="Normal 6 3 3 3 2" xfId="30908" xr:uid="{00000000-0005-0000-0000-0000EC780000}"/>
    <cellStyle name="Normal 6 3 3 4" xfId="30910" xr:uid="{00000000-0005-0000-0000-0000EE780000}"/>
    <cellStyle name="Normal 6 3 4" xfId="23362" xr:uid="{00000000-0005-0000-0000-0000725B0000}"/>
    <cellStyle name="Normal 6 3 4 2" xfId="30913" xr:uid="{00000000-0005-0000-0000-0000F1780000}"/>
    <cellStyle name="Normal 6 3 4 2 2" xfId="30914" xr:uid="{00000000-0005-0000-0000-0000F2780000}"/>
    <cellStyle name="Normal 6 3 4 3" xfId="30918" xr:uid="{00000000-0005-0000-0000-0000F6780000}"/>
    <cellStyle name="Normal 6 3 4 3 2" xfId="30920" xr:uid="{00000000-0005-0000-0000-0000F8780000}"/>
    <cellStyle name="Normal 6 3 4 4" xfId="30922" xr:uid="{00000000-0005-0000-0000-0000FA780000}"/>
    <cellStyle name="Normal 6 3 5" xfId="8777" xr:uid="{00000000-0005-0000-0000-000079220000}"/>
    <cellStyle name="Normal 6 3 5 2" xfId="30924" xr:uid="{00000000-0005-0000-0000-0000FC780000}"/>
    <cellStyle name="Normal 6 3 6" xfId="8786" xr:uid="{00000000-0005-0000-0000-000082220000}"/>
    <cellStyle name="Normal 6 3 6 2" xfId="26434" xr:uid="{00000000-0005-0000-0000-000072670000}"/>
    <cellStyle name="Normal 6 3 7" xfId="7353" xr:uid="{00000000-0005-0000-0000-0000E91C0000}"/>
    <cellStyle name="Normal 6 3 8" xfId="8790" xr:uid="{00000000-0005-0000-0000-000086220000}"/>
    <cellStyle name="Normal 6 3 9" xfId="13547" xr:uid="{00000000-0005-0000-0000-00001B350000}"/>
    <cellStyle name="Normal 6 30" xfId="30874" xr:uid="{00000000-0005-0000-0000-0000CA780000}"/>
    <cellStyle name="Normal 6 31" xfId="30877" xr:uid="{00000000-0005-0000-0000-0000CD780000}"/>
    <cellStyle name="Normal 6 32" xfId="30879" xr:uid="{00000000-0005-0000-0000-0000CF780000}"/>
    <cellStyle name="Normal 6 33" xfId="16287" xr:uid="{00000000-0005-0000-0000-0000CF3F0000}"/>
    <cellStyle name="Normal 6 34" xfId="18489" xr:uid="{00000000-0005-0000-0000-000069480000}"/>
    <cellStyle name="Normal 6 35" xfId="18491" xr:uid="{00000000-0005-0000-0000-00006B480000}"/>
    <cellStyle name="Normal 6 35 2" xfId="30926" xr:uid="{00000000-0005-0000-0000-0000FE780000}"/>
    <cellStyle name="Normal 6 35 3" xfId="30928" xr:uid="{00000000-0005-0000-0000-000000790000}"/>
    <cellStyle name="Normal 6 36" xfId="18494" xr:uid="{00000000-0005-0000-0000-00006E480000}"/>
    <cellStyle name="Normal 6 37" xfId="18500" xr:uid="{00000000-0005-0000-0000-000074480000}"/>
    <cellStyle name="Normal 6 38" xfId="27541" xr:uid="{00000000-0005-0000-0000-0000C56B0000}"/>
    <cellStyle name="Normal 6 39" xfId="27545" xr:uid="{00000000-0005-0000-0000-0000C96B0000}"/>
    <cellStyle name="Normal 6 4" xfId="30929" xr:uid="{00000000-0005-0000-0000-000001790000}"/>
    <cellStyle name="Normal 6 4 10" xfId="9334" xr:uid="{00000000-0005-0000-0000-0000A6240000}"/>
    <cellStyle name="Normal 6 4 2" xfId="8644" xr:uid="{00000000-0005-0000-0000-0000F4210000}"/>
    <cellStyle name="Normal 6 4 2 2" xfId="30932" xr:uid="{00000000-0005-0000-0000-000004790000}"/>
    <cellStyle name="Normal 6 4 2 3" xfId="30934" xr:uid="{00000000-0005-0000-0000-000006790000}"/>
    <cellStyle name="Normal 6 4 2 4" xfId="30936" xr:uid="{00000000-0005-0000-0000-000008790000}"/>
    <cellStyle name="Normal 6 4 2 5" xfId="30937" xr:uid="{00000000-0005-0000-0000-000009790000}"/>
    <cellStyle name="Normal 6 4 3" xfId="8652" xr:uid="{00000000-0005-0000-0000-0000FC210000}"/>
    <cellStyle name="Normal 6 4 3 2" xfId="29894" xr:uid="{00000000-0005-0000-0000-0000F6740000}"/>
    <cellStyle name="Normal 6 4 4" xfId="30939" xr:uid="{00000000-0005-0000-0000-00000B790000}"/>
    <cellStyle name="Normal 6 4 5" xfId="13806" xr:uid="{00000000-0005-0000-0000-00001E360000}"/>
    <cellStyle name="Normal 6 4 6" xfId="13812" xr:uid="{00000000-0005-0000-0000-000024360000}"/>
    <cellStyle name="Normal 6 4 7" xfId="13816" xr:uid="{00000000-0005-0000-0000-000028360000}"/>
    <cellStyle name="Normal 6 4 8" xfId="3680" xr:uid="{00000000-0005-0000-0000-0000900E0000}"/>
    <cellStyle name="Normal 6 4 9" xfId="6402" xr:uid="{00000000-0005-0000-0000-000032190000}"/>
    <cellStyle name="Normal 6 40" xfId="18492" xr:uid="{00000000-0005-0000-0000-00006C480000}"/>
    <cellStyle name="Normal 6 41" xfId="18495" xr:uid="{00000000-0005-0000-0000-00006F480000}"/>
    <cellStyle name="Normal 6 42" xfId="18501" xr:uid="{00000000-0005-0000-0000-000075480000}"/>
    <cellStyle name="Normal 6 43" xfId="27542" xr:uid="{00000000-0005-0000-0000-0000C66B0000}"/>
    <cellStyle name="Normal 6 44" xfId="27546" xr:uid="{00000000-0005-0000-0000-0000CA6B0000}"/>
    <cellStyle name="Normal 6 45" xfId="1691" xr:uid="{00000000-0005-0000-0000-0000CB060000}"/>
    <cellStyle name="Normal 6 46" xfId="1717" xr:uid="{00000000-0005-0000-0000-0000E5060000}"/>
    <cellStyle name="Normal 6 47" xfId="1750" xr:uid="{00000000-0005-0000-0000-000006070000}"/>
    <cellStyle name="Normal 6 48" xfId="1773" xr:uid="{00000000-0005-0000-0000-00001D070000}"/>
    <cellStyle name="Normal 6 49" xfId="45" xr:uid="{00000000-0005-0000-0000-000030000000}"/>
    <cellStyle name="Normal 6 5" xfId="30941" xr:uid="{00000000-0005-0000-0000-00000D790000}"/>
    <cellStyle name="Normal 6 5 2" xfId="8801" xr:uid="{00000000-0005-0000-0000-000091220000}"/>
    <cellStyle name="Normal 6 5 2 2" xfId="30944" xr:uid="{00000000-0005-0000-0000-000010790000}"/>
    <cellStyle name="Normal 6 5 3" xfId="8805" xr:uid="{00000000-0005-0000-0000-000095220000}"/>
    <cellStyle name="Normal 6 5 3 2" xfId="30947" xr:uid="{00000000-0005-0000-0000-000013790000}"/>
    <cellStyle name="Normal 6 5 4" xfId="30948" xr:uid="{00000000-0005-0000-0000-000014790000}"/>
    <cellStyle name="Normal 6 5 5" xfId="30951" xr:uid="{00000000-0005-0000-0000-000017790000}"/>
    <cellStyle name="Normal 6 5 6" xfId="30953" xr:uid="{00000000-0005-0000-0000-000019790000}"/>
    <cellStyle name="Normal 6 5 7" xfId="30955" xr:uid="{00000000-0005-0000-0000-00001B790000}"/>
    <cellStyle name="Normal 6 50" xfId="1692" xr:uid="{00000000-0005-0000-0000-0000CC060000}"/>
    <cellStyle name="Normal 6 51" xfId="1718" xr:uid="{00000000-0005-0000-0000-0000E6060000}"/>
    <cellStyle name="Normal 6 51 2" xfId="1731" xr:uid="{00000000-0005-0000-0000-0000F3060000}"/>
    <cellStyle name="Normal 6 52" xfId="1751" xr:uid="{00000000-0005-0000-0000-000007070000}"/>
    <cellStyle name="Normal 6 53" xfId="1774" xr:uid="{00000000-0005-0000-0000-00001E070000}"/>
    <cellStyle name="Normal 6 54" xfId="46" xr:uid="{00000000-0005-0000-0000-000031000000}"/>
    <cellStyle name="Normal 6 55" xfId="3629" xr:uid="{00000000-0005-0000-0000-00005D0E0000}"/>
    <cellStyle name="Normal 6 56" xfId="3603" xr:uid="{00000000-0005-0000-0000-0000430E0000}"/>
    <cellStyle name="Normal 6 57" xfId="3656" xr:uid="{00000000-0005-0000-0000-0000780E0000}"/>
    <cellStyle name="Normal 6 58" xfId="30958" xr:uid="{00000000-0005-0000-0000-00001E790000}"/>
    <cellStyle name="Normal 6 59" xfId="30962" xr:uid="{00000000-0005-0000-0000-000022790000}"/>
    <cellStyle name="Normal 6 6" xfId="26887" xr:uid="{00000000-0005-0000-0000-000037690000}"/>
    <cellStyle name="Normal 6 6 2" xfId="8902" xr:uid="{00000000-0005-0000-0000-0000F6220000}"/>
    <cellStyle name="Normal 6 6 2 2" xfId="30964" xr:uid="{00000000-0005-0000-0000-000024790000}"/>
    <cellStyle name="Normal 6 6 3" xfId="8914" xr:uid="{00000000-0005-0000-0000-000002230000}"/>
    <cellStyle name="Normal 6 6 3 2" xfId="30965" xr:uid="{00000000-0005-0000-0000-000025790000}"/>
    <cellStyle name="Normal 6 6 4" xfId="30966" xr:uid="{00000000-0005-0000-0000-000026790000}"/>
    <cellStyle name="Normal 6 6 5" xfId="17435" xr:uid="{00000000-0005-0000-0000-00004B440000}"/>
    <cellStyle name="Normal 6 6 6" xfId="17468" xr:uid="{00000000-0005-0000-0000-00006C440000}"/>
    <cellStyle name="Normal 6 6 7" xfId="17473" xr:uid="{00000000-0005-0000-0000-000071440000}"/>
    <cellStyle name="Normal 6 60" xfId="3630" xr:uid="{00000000-0005-0000-0000-00005E0E0000}"/>
    <cellStyle name="Normal 6 61" xfId="3604" xr:uid="{00000000-0005-0000-0000-0000440E0000}"/>
    <cellStyle name="Normal 6 62" xfId="3657" xr:uid="{00000000-0005-0000-0000-0000790E0000}"/>
    <cellStyle name="Normal 6 63" xfId="30959" xr:uid="{00000000-0005-0000-0000-00001F790000}"/>
    <cellStyle name="Normal 6 64" xfId="30963" xr:uid="{00000000-0005-0000-0000-000023790000}"/>
    <cellStyle name="Normal 6 65" xfId="30970" xr:uid="{00000000-0005-0000-0000-00002A790000}"/>
    <cellStyle name="Normal 6 66" xfId="30975" xr:uid="{00000000-0005-0000-0000-00002F790000}"/>
    <cellStyle name="Normal 6 67" xfId="30978" xr:uid="{00000000-0005-0000-0000-000032790000}"/>
    <cellStyle name="Normal 6 68" xfId="30981" xr:uid="{00000000-0005-0000-0000-000035790000}"/>
    <cellStyle name="Normal 6 69" xfId="30984" xr:uid="{00000000-0005-0000-0000-000038790000}"/>
    <cellStyle name="Normal 6 7" xfId="26891" xr:uid="{00000000-0005-0000-0000-00003B690000}"/>
    <cellStyle name="Normal 6 7 2" xfId="8976" xr:uid="{00000000-0005-0000-0000-000040230000}"/>
    <cellStyle name="Normal 6 7 3" xfId="8979" xr:uid="{00000000-0005-0000-0000-000043230000}"/>
    <cellStyle name="Normal 6 7 4" xfId="30987" xr:uid="{00000000-0005-0000-0000-00003B790000}"/>
    <cellStyle name="Normal 6 7 5" xfId="17495" xr:uid="{00000000-0005-0000-0000-000087440000}"/>
    <cellStyle name="Normal 6 70" xfId="30971" xr:uid="{00000000-0005-0000-0000-00002B790000}"/>
    <cellStyle name="Normal 6 71" xfId="30976" xr:uid="{00000000-0005-0000-0000-000030790000}"/>
    <cellStyle name="Normal 6 72" xfId="30979" xr:uid="{00000000-0005-0000-0000-000033790000}"/>
    <cellStyle name="Normal 6 73" xfId="30982" xr:uid="{00000000-0005-0000-0000-000036790000}"/>
    <cellStyle name="Normal 6 74" xfId="30985" xr:uid="{00000000-0005-0000-0000-000039790000}"/>
    <cellStyle name="Normal 6 75" xfId="30989" xr:uid="{00000000-0005-0000-0000-00003D790000}"/>
    <cellStyle name="Normal 6 76" xfId="30991" xr:uid="{00000000-0005-0000-0000-00003F790000}"/>
    <cellStyle name="Normal 6 77" xfId="30993" xr:uid="{00000000-0005-0000-0000-000041790000}"/>
    <cellStyle name="Normal 6 78" xfId="3196" xr:uid="{00000000-0005-0000-0000-0000AC0C0000}"/>
    <cellStyle name="Normal 6 79" xfId="3217" xr:uid="{00000000-0005-0000-0000-0000C10C0000}"/>
    <cellStyle name="Normal 6 8" xfId="26895" xr:uid="{00000000-0005-0000-0000-00003F690000}"/>
    <cellStyle name="Normal 6 8 2" xfId="9003" xr:uid="{00000000-0005-0000-0000-00005B230000}"/>
    <cellStyle name="Normal 6 8 3" xfId="97" xr:uid="{00000000-0005-0000-0000-000068000000}"/>
    <cellStyle name="Normal 6 8 4" xfId="30995" xr:uid="{00000000-0005-0000-0000-000043790000}"/>
    <cellStyle name="Normal 6 8 5" xfId="17537" xr:uid="{00000000-0005-0000-0000-0000B1440000}"/>
    <cellStyle name="Normal 6 80" xfId="30990" xr:uid="{00000000-0005-0000-0000-00003E790000}"/>
    <cellStyle name="Normal 6 81" xfId="30992" xr:uid="{00000000-0005-0000-0000-000040790000}"/>
    <cellStyle name="Normal 6 82" xfId="30994" xr:uid="{00000000-0005-0000-0000-000042790000}"/>
    <cellStyle name="Normal 6 83" xfId="3197" xr:uid="{00000000-0005-0000-0000-0000AD0C0000}"/>
    <cellStyle name="Normal 6 84" xfId="3218" xr:uid="{00000000-0005-0000-0000-0000C20C0000}"/>
    <cellStyle name="Normal 6 85" xfId="18509" xr:uid="{00000000-0005-0000-0000-00007D480000}"/>
    <cellStyle name="Normal 6 86" xfId="18512" xr:uid="{00000000-0005-0000-0000-000080480000}"/>
    <cellStyle name="Normal 6 87" xfId="18521" xr:uid="{00000000-0005-0000-0000-000089480000}"/>
    <cellStyle name="Normal 6 88" xfId="27587" xr:uid="{00000000-0005-0000-0000-0000F36B0000}"/>
    <cellStyle name="Normal 6 89" xfId="27600" xr:uid="{00000000-0005-0000-0000-0000006C0000}"/>
    <cellStyle name="Normal 6 9" xfId="26899" xr:uid="{00000000-0005-0000-0000-000043690000}"/>
    <cellStyle name="Normal 6 9 2" xfId="9013" xr:uid="{00000000-0005-0000-0000-000065230000}"/>
    <cellStyle name="Normal 6 9 3" xfId="9016" xr:uid="{00000000-0005-0000-0000-000068230000}"/>
    <cellStyle name="Normal 6 9 4" xfId="30997" xr:uid="{00000000-0005-0000-0000-000045790000}"/>
    <cellStyle name="Normal 6 90" xfId="18510" xr:uid="{00000000-0005-0000-0000-00007E480000}"/>
    <cellStyle name="Normal 6 91" xfId="18513" xr:uid="{00000000-0005-0000-0000-000081480000}"/>
    <cellStyle name="Normal 6 92" xfId="18522" xr:uid="{00000000-0005-0000-0000-00008A480000}"/>
    <cellStyle name="Normal 6 93" xfId="27588" xr:uid="{00000000-0005-0000-0000-0000F46B0000}"/>
    <cellStyle name="Normal 6 94" xfId="27601" xr:uid="{00000000-0005-0000-0000-0000016C0000}"/>
    <cellStyle name="Normal 6 95" xfId="347" xr:uid="{00000000-0005-0000-0000-000072010000}"/>
    <cellStyle name="Normal 6 96" xfId="27606" xr:uid="{00000000-0005-0000-0000-0000066C0000}"/>
    <cellStyle name="Normal 6 97" xfId="27611" xr:uid="{00000000-0005-0000-0000-00000B6C0000}"/>
    <cellStyle name="Normal 6 98" xfId="27616" xr:uid="{00000000-0005-0000-0000-0000106C0000}"/>
    <cellStyle name="Normal 6 99" xfId="27621" xr:uid="{00000000-0005-0000-0000-0000156C0000}"/>
    <cellStyle name="Normal 6_ControlledTerminology" xfId="28531" xr:uid="{00000000-0005-0000-0000-0000A36F0000}"/>
    <cellStyle name="Normal 7" xfId="13258" xr:uid="{00000000-0005-0000-0000-0000FA330000}"/>
    <cellStyle name="Normal 7 10" xfId="17872" xr:uid="{00000000-0005-0000-0000-000000460000}"/>
    <cellStyle name="Normal 7 10 2" xfId="4348" xr:uid="{00000000-0005-0000-0000-00002C110000}"/>
    <cellStyle name="Normal 7 10 3" xfId="3459" xr:uid="{00000000-0005-0000-0000-0000B30D0000}"/>
    <cellStyle name="Normal 7 10 4" xfId="3482" xr:uid="{00000000-0005-0000-0000-0000CA0D0000}"/>
    <cellStyle name="Normal 7 10 5" xfId="30998" xr:uid="{00000000-0005-0000-0000-000046790000}"/>
    <cellStyle name="Normal 7 10 6" xfId="30999" xr:uid="{00000000-0005-0000-0000-000047790000}"/>
    <cellStyle name="Normal 7 10 7" xfId="31000" xr:uid="{00000000-0005-0000-0000-000048790000}"/>
    <cellStyle name="Normal 7 10 8" xfId="21583" xr:uid="{00000000-0005-0000-0000-00007F540000}"/>
    <cellStyle name="Normal 7 10 9" xfId="21589" xr:uid="{00000000-0005-0000-0000-000085540000}"/>
    <cellStyle name="Normal 7 100" xfId="14301" xr:uid="{00000000-0005-0000-0000-00000D380000}"/>
    <cellStyle name="Normal 7 11" xfId="7745" xr:uid="{00000000-0005-0000-0000-0000711E0000}"/>
    <cellStyle name="Normal 7 11 2" xfId="4539" xr:uid="{00000000-0005-0000-0000-0000EB110000}"/>
    <cellStyle name="Normal 7 11 3" xfId="3550" xr:uid="{00000000-0005-0000-0000-00000E0E0000}"/>
    <cellStyle name="Normal 7 11 4" xfId="4542" xr:uid="{00000000-0005-0000-0000-0000EE110000}"/>
    <cellStyle name="Normal 7 11 5" xfId="4556" xr:uid="{00000000-0005-0000-0000-0000FC110000}"/>
    <cellStyle name="Normal 7 11 6" xfId="4565" xr:uid="{00000000-0005-0000-0000-000005120000}"/>
    <cellStyle name="Normal 7 11 7" xfId="4572" xr:uid="{00000000-0005-0000-0000-00000C120000}"/>
    <cellStyle name="Normal 7 11 8" xfId="2188" xr:uid="{00000000-0005-0000-0000-0000BC080000}"/>
    <cellStyle name="Normal 7 11 9" xfId="4633" xr:uid="{00000000-0005-0000-0000-000049120000}"/>
    <cellStyle name="Normal 7 12" xfId="4005" xr:uid="{00000000-0005-0000-0000-0000D50F0000}"/>
    <cellStyle name="Normal 7 13" xfId="529" xr:uid="{00000000-0005-0000-0000-000035020000}"/>
    <cellStyle name="Normal 7 14" xfId="7755" xr:uid="{00000000-0005-0000-0000-00007B1E0000}"/>
    <cellStyle name="Normal 7 15" xfId="30290" xr:uid="{00000000-0005-0000-0000-000082760000}"/>
    <cellStyle name="Normal 7 16" xfId="30295" xr:uid="{00000000-0005-0000-0000-000087760000}"/>
    <cellStyle name="Normal 7 17" xfId="31001" xr:uid="{00000000-0005-0000-0000-000049790000}"/>
    <cellStyle name="Normal 7 18" xfId="31003" xr:uid="{00000000-0005-0000-0000-00004B790000}"/>
    <cellStyle name="Normal 7 19" xfId="31005" xr:uid="{00000000-0005-0000-0000-00004D790000}"/>
    <cellStyle name="Normal 7 2" xfId="31007" xr:uid="{00000000-0005-0000-0000-00004F790000}"/>
    <cellStyle name="Normal 7 2 10" xfId="31012" xr:uid="{00000000-0005-0000-0000-000054790000}"/>
    <cellStyle name="Normal 7 2 11" xfId="31015" xr:uid="{00000000-0005-0000-0000-000057790000}"/>
    <cellStyle name="Normal 7 2 12" xfId="19085" xr:uid="{00000000-0005-0000-0000-0000BD4A0000}"/>
    <cellStyle name="Normal 7 2 13" xfId="19088" xr:uid="{00000000-0005-0000-0000-0000C04A0000}"/>
    <cellStyle name="Normal 7 2 14" xfId="19090" xr:uid="{00000000-0005-0000-0000-0000C24A0000}"/>
    <cellStyle name="Normal 7 2 15" xfId="19092" xr:uid="{00000000-0005-0000-0000-0000C44A0000}"/>
    <cellStyle name="Normal 7 2 16" xfId="12858" xr:uid="{00000000-0005-0000-0000-00006A320000}"/>
    <cellStyle name="Normal 7 2 17" xfId="28076" xr:uid="{00000000-0005-0000-0000-0000DC6D0000}"/>
    <cellStyle name="Normal 7 2 18" xfId="28080" xr:uid="{00000000-0005-0000-0000-0000E06D0000}"/>
    <cellStyle name="Normal 7 2 19" xfId="28084" xr:uid="{00000000-0005-0000-0000-0000E46D0000}"/>
    <cellStyle name="Normal 7 2 2" xfId="28554" xr:uid="{00000000-0005-0000-0000-0000BA6F0000}"/>
    <cellStyle name="Normal 7 2 2 2" xfId="28623" xr:uid="{00000000-0005-0000-0000-0000FF6F0000}"/>
    <cellStyle name="Normal 7 2 2 2 2" xfId="28626" xr:uid="{00000000-0005-0000-0000-000002700000}"/>
    <cellStyle name="Normal 7 2 2 3" xfId="28652" xr:uid="{00000000-0005-0000-0000-00001C700000}"/>
    <cellStyle name="Normal 7 2 2 3 2" xfId="28654" xr:uid="{00000000-0005-0000-0000-00001E700000}"/>
    <cellStyle name="Normal 7 2 2 4" xfId="28667" xr:uid="{00000000-0005-0000-0000-00002B700000}"/>
    <cellStyle name="Normal 7 2 2 5" xfId="28684" xr:uid="{00000000-0005-0000-0000-00003C700000}"/>
    <cellStyle name="Normal 7 2 2 6" xfId="28690" xr:uid="{00000000-0005-0000-0000-000042700000}"/>
    <cellStyle name="Normal 7 2 2 7" xfId="10374" xr:uid="{00000000-0005-0000-0000-0000B6280000}"/>
    <cellStyle name="Normal 7 2 20" xfId="19093" xr:uid="{00000000-0005-0000-0000-0000C54A0000}"/>
    <cellStyle name="Normal 7 2 21" xfId="12859" xr:uid="{00000000-0005-0000-0000-00006B320000}"/>
    <cellStyle name="Normal 7 2 22" xfId="28077" xr:uid="{00000000-0005-0000-0000-0000DD6D0000}"/>
    <cellStyle name="Normal 7 2 23" xfId="28081" xr:uid="{00000000-0005-0000-0000-0000E16D0000}"/>
    <cellStyle name="Normal 7 2 24" xfId="28085" xr:uid="{00000000-0005-0000-0000-0000E56D0000}"/>
    <cellStyle name="Normal 7 2 25" xfId="28087" xr:uid="{00000000-0005-0000-0000-0000E76D0000}"/>
    <cellStyle name="Normal 7 2 26" xfId="1680" xr:uid="{00000000-0005-0000-0000-0000C0060000}"/>
    <cellStyle name="Normal 7 2 27" xfId="1793" xr:uid="{00000000-0005-0000-0000-000031070000}"/>
    <cellStyle name="Normal 7 2 28" xfId="1824" xr:uid="{00000000-0005-0000-0000-000050070000}"/>
    <cellStyle name="Normal 7 2 29" xfId="1845" xr:uid="{00000000-0005-0000-0000-000065070000}"/>
    <cellStyle name="Normal 7 2 3" xfId="23379" xr:uid="{00000000-0005-0000-0000-0000835B0000}"/>
    <cellStyle name="Normal 7 2 3 2" xfId="23384" xr:uid="{00000000-0005-0000-0000-0000885B0000}"/>
    <cellStyle name="Normal 7 2 3 2 2" xfId="31016" xr:uid="{00000000-0005-0000-0000-000058790000}"/>
    <cellStyle name="Normal 7 2 3 3" xfId="28711" xr:uid="{00000000-0005-0000-0000-000057700000}"/>
    <cellStyle name="Normal 7 2 3 3 2" xfId="31018" xr:uid="{00000000-0005-0000-0000-00005A790000}"/>
    <cellStyle name="Normal 7 2 3 4" xfId="28716" xr:uid="{00000000-0005-0000-0000-00005C700000}"/>
    <cellStyle name="Normal 7 2 3 5" xfId="28719" xr:uid="{00000000-0005-0000-0000-00005F700000}"/>
    <cellStyle name="Normal 7 2 3 6" xfId="28722" xr:uid="{00000000-0005-0000-0000-000062700000}"/>
    <cellStyle name="Normal 7 2 3 7" xfId="28725" xr:uid="{00000000-0005-0000-0000-000065700000}"/>
    <cellStyle name="Normal 7 2 30" xfId="28088" xr:uid="{00000000-0005-0000-0000-0000E86D0000}"/>
    <cellStyle name="Normal 7 2 31" xfId="1681" xr:uid="{00000000-0005-0000-0000-0000C1060000}"/>
    <cellStyle name="Normal 7 2 32" xfId="1794" xr:uid="{00000000-0005-0000-0000-000032070000}"/>
    <cellStyle name="Normal 7 2 33" xfId="1825" xr:uid="{00000000-0005-0000-0000-000051070000}"/>
    <cellStyle name="Normal 7 2 34" xfId="1846" xr:uid="{00000000-0005-0000-0000-000066070000}"/>
    <cellStyle name="Normal 7 2 4" xfId="23387" xr:uid="{00000000-0005-0000-0000-00008B5B0000}"/>
    <cellStyle name="Normal 7 2 4 2" xfId="28733" xr:uid="{00000000-0005-0000-0000-00006D700000}"/>
    <cellStyle name="Normal 7 2 4 2 2" xfId="31020" xr:uid="{00000000-0005-0000-0000-00005C790000}"/>
    <cellStyle name="Normal 7 2 4 3" xfId="28736" xr:uid="{00000000-0005-0000-0000-000070700000}"/>
    <cellStyle name="Normal 7 2 4 3 2" xfId="31021" xr:uid="{00000000-0005-0000-0000-00005D790000}"/>
    <cellStyle name="Normal 7 2 4 4" xfId="28739" xr:uid="{00000000-0005-0000-0000-000073700000}"/>
    <cellStyle name="Normal 7 2 4 5" xfId="28742" xr:uid="{00000000-0005-0000-0000-000076700000}"/>
    <cellStyle name="Normal 7 2 4 6" xfId="28744" xr:uid="{00000000-0005-0000-0000-000078700000}"/>
    <cellStyle name="Normal 7 2 4 7" xfId="31022" xr:uid="{00000000-0005-0000-0000-00005E790000}"/>
    <cellStyle name="Normal 7 2 5" xfId="14254" xr:uid="{00000000-0005-0000-0000-0000DE370000}"/>
    <cellStyle name="Normal 7 2 5 2" xfId="28750" xr:uid="{00000000-0005-0000-0000-00007E700000}"/>
    <cellStyle name="Normal 7 2 5 3" xfId="31027" xr:uid="{00000000-0005-0000-0000-000063790000}"/>
    <cellStyle name="Normal 7 2 5 4" xfId="31029" xr:uid="{00000000-0005-0000-0000-000065790000}"/>
    <cellStyle name="Normal 7 2 5 5" xfId="31030" xr:uid="{00000000-0005-0000-0000-000066790000}"/>
    <cellStyle name="Normal 7 2 6" xfId="14260" xr:uid="{00000000-0005-0000-0000-0000E4370000}"/>
    <cellStyle name="Normal 7 2 6 2" xfId="31032" xr:uid="{00000000-0005-0000-0000-000068790000}"/>
    <cellStyle name="Normal 7 2 6 3" xfId="31034" xr:uid="{00000000-0005-0000-0000-00006A790000}"/>
    <cellStyle name="Normal 7 2 6 4" xfId="31036" xr:uid="{00000000-0005-0000-0000-00006C790000}"/>
    <cellStyle name="Normal 7 2 6 5" xfId="31037" xr:uid="{00000000-0005-0000-0000-00006D790000}"/>
    <cellStyle name="Normal 7 2 7" xfId="14265" xr:uid="{00000000-0005-0000-0000-0000E9370000}"/>
    <cellStyle name="Normal 7 2 7 2" xfId="31038" xr:uid="{00000000-0005-0000-0000-00006E790000}"/>
    <cellStyle name="Normal 7 2 7 3" xfId="31039" xr:uid="{00000000-0005-0000-0000-00006F790000}"/>
    <cellStyle name="Normal 7 2 7 4" xfId="31040" xr:uid="{00000000-0005-0000-0000-000070790000}"/>
    <cellStyle name="Normal 7 2 8" xfId="14270" xr:uid="{00000000-0005-0000-0000-0000EE370000}"/>
    <cellStyle name="Normal 7 2 9" xfId="14275" xr:uid="{00000000-0005-0000-0000-0000F3370000}"/>
    <cellStyle name="Normal 7 2_Metadata" xfId="13823" xr:uid="{00000000-0005-0000-0000-00002F360000}"/>
    <cellStyle name="Normal 7 20" xfId="30291" xr:uid="{00000000-0005-0000-0000-000083760000}"/>
    <cellStyle name="Normal 7 21" xfId="30296" xr:uid="{00000000-0005-0000-0000-000088760000}"/>
    <cellStyle name="Normal 7 22" xfId="31002" xr:uid="{00000000-0005-0000-0000-00004A790000}"/>
    <cellStyle name="Normal 7 23" xfId="31004" xr:uid="{00000000-0005-0000-0000-00004C790000}"/>
    <cellStyle name="Normal 7 24" xfId="31006" xr:uid="{00000000-0005-0000-0000-00004E790000}"/>
    <cellStyle name="Normal 7 25" xfId="31041" xr:uid="{00000000-0005-0000-0000-000071790000}"/>
    <cellStyle name="Normal 7 26" xfId="31043" xr:uid="{00000000-0005-0000-0000-000073790000}"/>
    <cellStyle name="Normal 7 26 2" xfId="27144" xr:uid="{00000000-0005-0000-0000-0000386A0000}"/>
    <cellStyle name="Normal 7 27" xfId="31045" xr:uid="{00000000-0005-0000-0000-000075790000}"/>
    <cellStyle name="Normal 7 28" xfId="31047" xr:uid="{00000000-0005-0000-0000-000077790000}"/>
    <cellStyle name="Normal 7 28 2" xfId="31049" xr:uid="{00000000-0005-0000-0000-000079790000}"/>
    <cellStyle name="Normal 7 29" xfId="31051" xr:uid="{00000000-0005-0000-0000-00007B790000}"/>
    <cellStyle name="Normal 7 29 2" xfId="31053" xr:uid="{00000000-0005-0000-0000-00007D790000}"/>
    <cellStyle name="Normal 7 3" xfId="31054" xr:uid="{00000000-0005-0000-0000-00007E790000}"/>
    <cellStyle name="Normal 7 3 10" xfId="15903" xr:uid="{00000000-0005-0000-0000-00004F3E0000}"/>
    <cellStyle name="Normal 7 3 2" xfId="31057" xr:uid="{00000000-0005-0000-0000-000081790000}"/>
    <cellStyle name="Normal 7 3 2 2" xfId="31060" xr:uid="{00000000-0005-0000-0000-000084790000}"/>
    <cellStyle name="Normal 7 3 2 2 2" xfId="22302" xr:uid="{00000000-0005-0000-0000-00004E570000}"/>
    <cellStyle name="Normal 7 3 2 3" xfId="31062" xr:uid="{00000000-0005-0000-0000-000086790000}"/>
    <cellStyle name="Normal 7 3 2 3 2" xfId="31063" xr:uid="{00000000-0005-0000-0000-000087790000}"/>
    <cellStyle name="Normal 7 3 2 4" xfId="31065" xr:uid="{00000000-0005-0000-0000-000089790000}"/>
    <cellStyle name="Normal 7 3 2_Metadata" xfId="23845" xr:uid="{00000000-0005-0000-0000-0000555D0000}"/>
    <cellStyle name="Normal 7 3 3" xfId="23393" xr:uid="{00000000-0005-0000-0000-0000915B0000}"/>
    <cellStyle name="Normal 7 3 3 2" xfId="31067" xr:uid="{00000000-0005-0000-0000-00008B790000}"/>
    <cellStyle name="Normal 7 3 3 2 2" xfId="22737" xr:uid="{00000000-0005-0000-0000-000001590000}"/>
    <cellStyle name="Normal 7 3 3 3" xfId="31069" xr:uid="{00000000-0005-0000-0000-00008D790000}"/>
    <cellStyle name="Normal 7 3 3 3 2" xfId="31071" xr:uid="{00000000-0005-0000-0000-00008F790000}"/>
    <cellStyle name="Normal 7 3 3 4" xfId="31073" xr:uid="{00000000-0005-0000-0000-000091790000}"/>
    <cellStyle name="Normal 7 3 3_Metadata" xfId="27872" xr:uid="{00000000-0005-0000-0000-0000106D0000}"/>
    <cellStyle name="Normal 7 3 4" xfId="31074" xr:uid="{00000000-0005-0000-0000-000092790000}"/>
    <cellStyle name="Normal 7 3 4 2" xfId="31078" xr:uid="{00000000-0005-0000-0000-000096790000}"/>
    <cellStyle name="Normal 7 3 4 2 2" xfId="14024" xr:uid="{00000000-0005-0000-0000-0000F8360000}"/>
    <cellStyle name="Normal 7 3 4 3" xfId="28934" xr:uid="{00000000-0005-0000-0000-000036710000}"/>
    <cellStyle name="Normal 7 3 4 3 2" xfId="31079" xr:uid="{00000000-0005-0000-0000-000097790000}"/>
    <cellStyle name="Normal 7 3 4 4" xfId="28937" xr:uid="{00000000-0005-0000-0000-000039710000}"/>
    <cellStyle name="Normal 7 3 5" xfId="14284" xr:uid="{00000000-0005-0000-0000-0000FC370000}"/>
    <cellStyle name="Normal 7 3 5 2" xfId="31083" xr:uid="{00000000-0005-0000-0000-00009B790000}"/>
    <cellStyle name="Normal 7 3 6" xfId="14287" xr:uid="{00000000-0005-0000-0000-0000FF370000}"/>
    <cellStyle name="Normal 7 3 6 2" xfId="31085" xr:uid="{00000000-0005-0000-0000-00009D790000}"/>
    <cellStyle name="Normal 7 3 7" xfId="14290" xr:uid="{00000000-0005-0000-0000-000002380000}"/>
    <cellStyle name="Normal 7 3 8" xfId="14293" xr:uid="{00000000-0005-0000-0000-000005380000}"/>
    <cellStyle name="Normal 7 3 9" xfId="14296" xr:uid="{00000000-0005-0000-0000-000008380000}"/>
    <cellStyle name="Normal 7 3_Metadata" xfId="31086" xr:uid="{00000000-0005-0000-0000-00009E790000}"/>
    <cellStyle name="Normal 7 30" xfId="31042" xr:uid="{00000000-0005-0000-0000-000072790000}"/>
    <cellStyle name="Normal 7 30 2" xfId="27122" xr:uid="{00000000-0005-0000-0000-0000226A0000}"/>
    <cellStyle name="Normal 7 31" xfId="31044" xr:uid="{00000000-0005-0000-0000-000074790000}"/>
    <cellStyle name="Normal 7 32" xfId="31046" xr:uid="{00000000-0005-0000-0000-000076790000}"/>
    <cellStyle name="Normal 7 33" xfId="31048" xr:uid="{00000000-0005-0000-0000-000078790000}"/>
    <cellStyle name="Normal 7 34" xfId="31052" xr:uid="{00000000-0005-0000-0000-00007C790000}"/>
    <cellStyle name="Normal 7 35" xfId="31088" xr:uid="{00000000-0005-0000-0000-0000A0790000}"/>
    <cellStyle name="Normal 7 36" xfId="31090" xr:uid="{00000000-0005-0000-0000-0000A2790000}"/>
    <cellStyle name="Normal 7 37" xfId="30468" xr:uid="{00000000-0005-0000-0000-000034770000}"/>
    <cellStyle name="Normal 7 38" xfId="30489" xr:uid="{00000000-0005-0000-0000-000049770000}"/>
    <cellStyle name="Normal 7 39" xfId="30493" xr:uid="{00000000-0005-0000-0000-00004D770000}"/>
    <cellStyle name="Normal 7 4" xfId="31092" xr:uid="{00000000-0005-0000-0000-0000A4790000}"/>
    <cellStyle name="Normal 7 4 2" xfId="8153" xr:uid="{00000000-0005-0000-0000-000009200000}"/>
    <cellStyle name="Normal 7 4 2 2" xfId="4296" xr:uid="{00000000-0005-0000-0000-0000F8100000}"/>
    <cellStyle name="Normal 7 4 3" xfId="9396" xr:uid="{00000000-0005-0000-0000-0000E4240000}"/>
    <cellStyle name="Normal 7 4 3 2" xfId="31098" xr:uid="{00000000-0005-0000-0000-0000AA790000}"/>
    <cellStyle name="Normal 7 4 4" xfId="31099" xr:uid="{00000000-0005-0000-0000-0000AB790000}"/>
    <cellStyle name="Normal 7 4 5" xfId="14302" xr:uid="{00000000-0005-0000-0000-00000E380000}"/>
    <cellStyle name="Normal 7 4 6" xfId="14304" xr:uid="{00000000-0005-0000-0000-000010380000}"/>
    <cellStyle name="Normal 7 4 7" xfId="14306" xr:uid="{00000000-0005-0000-0000-000012380000}"/>
    <cellStyle name="Normal 7 4_Metadata" xfId="31101" xr:uid="{00000000-0005-0000-0000-0000AD790000}"/>
    <cellStyle name="Normal 7 40" xfId="31089" xr:uid="{00000000-0005-0000-0000-0000A1790000}"/>
    <cellStyle name="Normal 7 41" xfId="31091" xr:uid="{00000000-0005-0000-0000-0000A3790000}"/>
    <cellStyle name="Normal 7 42" xfId="30469" xr:uid="{00000000-0005-0000-0000-000035770000}"/>
    <cellStyle name="Normal 7 43" xfId="30490" xr:uid="{00000000-0005-0000-0000-00004A770000}"/>
    <cellStyle name="Normal 7 44" xfId="30494" xr:uid="{00000000-0005-0000-0000-00004E770000}"/>
    <cellStyle name="Normal 7 45" xfId="866" xr:uid="{00000000-0005-0000-0000-000092030000}"/>
    <cellStyle name="Normal 7 46" xfId="31103" xr:uid="{00000000-0005-0000-0000-0000AF790000}"/>
    <cellStyle name="Normal 7 47" xfId="31106" xr:uid="{00000000-0005-0000-0000-0000B2790000}"/>
    <cellStyle name="Normal 7 48" xfId="31109" xr:uid="{00000000-0005-0000-0000-0000B5790000}"/>
    <cellStyle name="Normal 7 49" xfId="31113" xr:uid="{00000000-0005-0000-0000-0000B9790000}"/>
    <cellStyle name="Normal 7 5" xfId="31115" xr:uid="{00000000-0005-0000-0000-0000BB790000}"/>
    <cellStyle name="Normal 7 5 2" xfId="9582" xr:uid="{00000000-0005-0000-0000-00009E250000}"/>
    <cellStyle name="Normal 7 5 2 2" xfId="31118" xr:uid="{00000000-0005-0000-0000-0000BE790000}"/>
    <cellStyle name="Normal 7 5 3" xfId="284" xr:uid="{00000000-0005-0000-0000-00002F010000}"/>
    <cellStyle name="Normal 7 5 3 2" xfId="31120" xr:uid="{00000000-0005-0000-0000-0000C0790000}"/>
    <cellStyle name="Normal 7 5 4" xfId="31121" xr:uid="{00000000-0005-0000-0000-0000C1790000}"/>
    <cellStyle name="Normal 7 5 5" xfId="31123" xr:uid="{00000000-0005-0000-0000-0000C3790000}"/>
    <cellStyle name="Normal 7 5 6" xfId="31124" xr:uid="{00000000-0005-0000-0000-0000C4790000}"/>
    <cellStyle name="Normal 7 5 7" xfId="31125" xr:uid="{00000000-0005-0000-0000-0000C5790000}"/>
    <cellStyle name="Normal 7 50" xfId="867" xr:uid="{00000000-0005-0000-0000-000093030000}"/>
    <cellStyle name="Normal 7 51" xfId="31104" xr:uid="{00000000-0005-0000-0000-0000B0790000}"/>
    <cellStyle name="Normal 7 52" xfId="31107" xr:uid="{00000000-0005-0000-0000-0000B3790000}"/>
    <cellStyle name="Normal 7 53" xfId="31110" xr:uid="{00000000-0005-0000-0000-0000B6790000}"/>
    <cellStyle name="Normal 7 54" xfId="31114" xr:uid="{00000000-0005-0000-0000-0000BA790000}"/>
    <cellStyle name="Normal 7 55" xfId="17893" xr:uid="{00000000-0005-0000-0000-000015460000}"/>
    <cellStyle name="Normal 7 56" xfId="30301" xr:uid="{00000000-0005-0000-0000-00008D760000}"/>
    <cellStyle name="Normal 7 57" xfId="31126" xr:uid="{00000000-0005-0000-0000-0000C6790000}"/>
    <cellStyle name="Normal 7 58" xfId="31128" xr:uid="{00000000-0005-0000-0000-0000C8790000}"/>
    <cellStyle name="Normal 7 59" xfId="31132" xr:uid="{00000000-0005-0000-0000-0000CC790000}"/>
    <cellStyle name="Normal 7 6" xfId="6751" xr:uid="{00000000-0005-0000-0000-00008F1A0000}"/>
    <cellStyle name="Normal 7 6 2" xfId="9712" xr:uid="{00000000-0005-0000-0000-000020260000}"/>
    <cellStyle name="Normal 7 6 2 2" xfId="31134" xr:uid="{00000000-0005-0000-0000-0000CE790000}"/>
    <cellStyle name="Normal 7 6 3" xfId="9714" xr:uid="{00000000-0005-0000-0000-000022260000}"/>
    <cellStyle name="Normal 7 6 3 2" xfId="31135" xr:uid="{00000000-0005-0000-0000-0000CF790000}"/>
    <cellStyle name="Normal 7 6 4" xfId="31136" xr:uid="{00000000-0005-0000-0000-0000D0790000}"/>
    <cellStyle name="Normal 7 6 5" xfId="17634" xr:uid="{00000000-0005-0000-0000-000012450000}"/>
    <cellStyle name="Normal 7 6 6" xfId="17637" xr:uid="{00000000-0005-0000-0000-000015450000}"/>
    <cellStyle name="Normal 7 6 7" xfId="17640" xr:uid="{00000000-0005-0000-0000-000018450000}"/>
    <cellStyle name="Normal 7 60" xfId="17894" xr:uid="{00000000-0005-0000-0000-000016460000}"/>
    <cellStyle name="Normal 7 61" xfId="30302" xr:uid="{00000000-0005-0000-0000-00008E760000}"/>
    <cellStyle name="Normal 7 62" xfId="31127" xr:uid="{00000000-0005-0000-0000-0000C7790000}"/>
    <cellStyle name="Normal 7 63" xfId="31129" xr:uid="{00000000-0005-0000-0000-0000C9790000}"/>
    <cellStyle name="Normal 7 64" xfId="31133" xr:uid="{00000000-0005-0000-0000-0000CD790000}"/>
    <cellStyle name="Normal 7 65" xfId="31139" xr:uid="{00000000-0005-0000-0000-0000D3790000}"/>
    <cellStyle name="Normal 7 66" xfId="31142" xr:uid="{00000000-0005-0000-0000-0000D6790000}"/>
    <cellStyle name="Normal 7 67" xfId="31145" xr:uid="{00000000-0005-0000-0000-0000D9790000}"/>
    <cellStyle name="Normal 7 68" xfId="31148" xr:uid="{00000000-0005-0000-0000-0000DC790000}"/>
    <cellStyle name="Normal 7 69" xfId="31151" xr:uid="{00000000-0005-0000-0000-0000DF790000}"/>
    <cellStyle name="Normal 7 7" xfId="8161" xr:uid="{00000000-0005-0000-0000-000011200000}"/>
    <cellStyle name="Normal 7 7 2" xfId="9776" xr:uid="{00000000-0005-0000-0000-000060260000}"/>
    <cellStyle name="Normal 7 7 3" xfId="9778" xr:uid="{00000000-0005-0000-0000-000062260000}"/>
    <cellStyle name="Normal 7 7 4" xfId="31153" xr:uid="{00000000-0005-0000-0000-0000E1790000}"/>
    <cellStyle name="Normal 7 7 5" xfId="17655" xr:uid="{00000000-0005-0000-0000-000027450000}"/>
    <cellStyle name="Normal 7 70" xfId="31140" xr:uid="{00000000-0005-0000-0000-0000D4790000}"/>
    <cellStyle name="Normal 7 71" xfId="31143" xr:uid="{00000000-0005-0000-0000-0000D7790000}"/>
    <cellStyle name="Normal 7 72" xfId="31146" xr:uid="{00000000-0005-0000-0000-0000DA790000}"/>
    <cellStyle name="Normal 7 73" xfId="31149" xr:uid="{00000000-0005-0000-0000-0000DD790000}"/>
    <cellStyle name="Normal 7 74" xfId="31152" xr:uid="{00000000-0005-0000-0000-0000E0790000}"/>
    <cellStyle name="Normal 7 75" xfId="31155" xr:uid="{00000000-0005-0000-0000-0000E3790000}"/>
    <cellStyle name="Normal 7 76" xfId="31158" xr:uid="{00000000-0005-0000-0000-0000E6790000}"/>
    <cellStyle name="Normal 7 77" xfId="31160" xr:uid="{00000000-0005-0000-0000-0000E8790000}"/>
    <cellStyle name="Normal 7 78" xfId="23437" xr:uid="{00000000-0005-0000-0000-0000BD5B0000}"/>
    <cellStyle name="Normal 7 79" xfId="23757" xr:uid="{00000000-0005-0000-0000-0000FD5C0000}"/>
    <cellStyle name="Normal 7 8" xfId="8168" xr:uid="{00000000-0005-0000-0000-000018200000}"/>
    <cellStyle name="Normal 7 8 2" xfId="9843" xr:uid="{00000000-0005-0000-0000-0000A3260000}"/>
    <cellStyle name="Normal 7 8 3" xfId="9845" xr:uid="{00000000-0005-0000-0000-0000A5260000}"/>
    <cellStyle name="Normal 7 8 4" xfId="31162" xr:uid="{00000000-0005-0000-0000-0000EA790000}"/>
    <cellStyle name="Normal 7 8 5" xfId="17439" xr:uid="{00000000-0005-0000-0000-00004F440000}"/>
    <cellStyle name="Normal 7 80" xfId="31156" xr:uid="{00000000-0005-0000-0000-0000E4790000}"/>
    <cellStyle name="Normal 7 81" xfId="31159" xr:uid="{00000000-0005-0000-0000-0000E7790000}"/>
    <cellStyle name="Normal 7 82" xfId="31161" xr:uid="{00000000-0005-0000-0000-0000E9790000}"/>
    <cellStyle name="Normal 7 83" xfId="23438" xr:uid="{00000000-0005-0000-0000-0000BE5B0000}"/>
    <cellStyle name="Normal 7 84" xfId="23758" xr:uid="{00000000-0005-0000-0000-0000FE5C0000}"/>
    <cellStyle name="Normal 7 85" xfId="23971" xr:uid="{00000000-0005-0000-0000-0000D35D0000}"/>
    <cellStyle name="Normal 7 86" xfId="24151" xr:uid="{00000000-0005-0000-0000-0000875E0000}"/>
    <cellStyle name="Normal 7 87" xfId="24236" xr:uid="{00000000-0005-0000-0000-0000DC5E0000}"/>
    <cellStyle name="Normal 7 88" xfId="24295" xr:uid="{00000000-0005-0000-0000-0000175F0000}"/>
    <cellStyle name="Normal 7 89" xfId="14045" xr:uid="{00000000-0005-0000-0000-00000D370000}"/>
    <cellStyle name="Normal 7 9" xfId="5255" xr:uid="{00000000-0005-0000-0000-0000B7140000}"/>
    <cellStyle name="Normal 7 9 2" xfId="9865" xr:uid="{00000000-0005-0000-0000-0000B9260000}"/>
    <cellStyle name="Normal 7 9 3" xfId="9868" xr:uid="{00000000-0005-0000-0000-0000BC260000}"/>
    <cellStyle name="Normal 7 9 4" xfId="31164" xr:uid="{00000000-0005-0000-0000-0000EC790000}"/>
    <cellStyle name="Normal 7 90" xfId="23972" xr:uid="{00000000-0005-0000-0000-0000D45D0000}"/>
    <cellStyle name="Normal 7 91" xfId="24152" xr:uid="{00000000-0005-0000-0000-0000885E0000}"/>
    <cellStyle name="Normal 7 92" xfId="24237" xr:uid="{00000000-0005-0000-0000-0000DD5E0000}"/>
    <cellStyle name="Normal 7 93" xfId="24296" xr:uid="{00000000-0005-0000-0000-0000185F0000}"/>
    <cellStyle name="Normal 7 94" xfId="14046" xr:uid="{00000000-0005-0000-0000-00000E370000}"/>
    <cellStyle name="Normal 7 95" xfId="2520" xr:uid="{00000000-0005-0000-0000-0000080A0000}"/>
    <cellStyle name="Normal 7 96" xfId="31166" xr:uid="{00000000-0005-0000-0000-0000EE790000}"/>
    <cellStyle name="Normal 7 97" xfId="17915" xr:uid="{00000000-0005-0000-0000-00002B460000}"/>
    <cellStyle name="Normal 7 98" xfId="31167" xr:uid="{00000000-0005-0000-0000-0000EF790000}"/>
    <cellStyle name="Normal 7 99" xfId="31169" xr:uid="{00000000-0005-0000-0000-0000F1790000}"/>
    <cellStyle name="Normal 7_DM" xfId="29856" xr:uid="{00000000-0005-0000-0000-0000D0740000}"/>
    <cellStyle name="Normal 8" xfId="13261" xr:uid="{00000000-0005-0000-0000-0000FD330000}"/>
    <cellStyle name="Normal 8 10" xfId="31170" xr:uid="{00000000-0005-0000-0000-0000F2790000}"/>
    <cellStyle name="Normal 8 100" xfId="31174" xr:uid="{00000000-0005-0000-0000-0000F6790000}"/>
    <cellStyle name="Normal 8 11" xfId="30315" xr:uid="{00000000-0005-0000-0000-00009B760000}"/>
    <cellStyle name="Normal 8 12" xfId="31177" xr:uid="{00000000-0005-0000-0000-0000F9790000}"/>
    <cellStyle name="Normal 8 13" xfId="31179" xr:uid="{00000000-0005-0000-0000-0000FB790000}"/>
    <cellStyle name="Normal 8 14" xfId="31181" xr:uid="{00000000-0005-0000-0000-0000FD790000}"/>
    <cellStyle name="Normal 8 15" xfId="31182" xr:uid="{00000000-0005-0000-0000-0000FE790000}"/>
    <cellStyle name="Normal 8 16" xfId="31184" xr:uid="{00000000-0005-0000-0000-0000007A0000}"/>
    <cellStyle name="Normal 8 17" xfId="31186" xr:uid="{00000000-0005-0000-0000-0000027A0000}"/>
    <cellStyle name="Normal 8 18" xfId="31188" xr:uid="{00000000-0005-0000-0000-0000047A0000}"/>
    <cellStyle name="Normal 8 19" xfId="31190" xr:uid="{00000000-0005-0000-0000-0000067A0000}"/>
    <cellStyle name="Normal 8 2" xfId="31192" xr:uid="{00000000-0005-0000-0000-0000087A0000}"/>
    <cellStyle name="Normal 8 2 10" xfId="24579" xr:uid="{00000000-0005-0000-0000-000033600000}"/>
    <cellStyle name="Normal 8 2 11" xfId="24582" xr:uid="{00000000-0005-0000-0000-000036600000}"/>
    <cellStyle name="Normal 8 2 12" xfId="24585" xr:uid="{00000000-0005-0000-0000-000039600000}"/>
    <cellStyle name="Normal 8 2 13" xfId="24589" xr:uid="{00000000-0005-0000-0000-00003D600000}"/>
    <cellStyle name="Normal 8 2 14" xfId="24592" xr:uid="{00000000-0005-0000-0000-000040600000}"/>
    <cellStyle name="Normal 8 2 15" xfId="31196" xr:uid="{00000000-0005-0000-0000-00000C7A0000}"/>
    <cellStyle name="Normal 8 2 16" xfId="31200" xr:uid="{00000000-0005-0000-0000-0000107A0000}"/>
    <cellStyle name="Normal 8 2 17" xfId="31203" xr:uid="{00000000-0005-0000-0000-0000137A0000}"/>
    <cellStyle name="Normal 8 2 18" xfId="31206" xr:uid="{00000000-0005-0000-0000-0000167A0000}"/>
    <cellStyle name="Normal 8 2 19" xfId="31209" xr:uid="{00000000-0005-0000-0000-0000197A0000}"/>
    <cellStyle name="Normal 8 2 2" xfId="31211" xr:uid="{00000000-0005-0000-0000-00001B7A0000}"/>
    <cellStyle name="Normal 8 2 2 2" xfId="18270" xr:uid="{00000000-0005-0000-0000-00008E470000}"/>
    <cellStyle name="Normal 8 2 2 2 2" xfId="18273" xr:uid="{00000000-0005-0000-0000-000091470000}"/>
    <cellStyle name="Normal 8 2 2 3" xfId="12012" xr:uid="{00000000-0005-0000-0000-00001C2F0000}"/>
    <cellStyle name="Normal 8 2 2 3 2" xfId="31215" xr:uid="{00000000-0005-0000-0000-00001F7A0000}"/>
    <cellStyle name="Normal 8 2 2 4" xfId="18279" xr:uid="{00000000-0005-0000-0000-000097470000}"/>
    <cellStyle name="Normal 8 2 2 5" xfId="18281" xr:uid="{00000000-0005-0000-0000-000099470000}"/>
    <cellStyle name="Normal 8 2 2 6" xfId="18284" xr:uid="{00000000-0005-0000-0000-00009C470000}"/>
    <cellStyle name="Normal 8 2 2 7" xfId="18287" xr:uid="{00000000-0005-0000-0000-00009F470000}"/>
    <cellStyle name="Normal 8 2 20" xfId="31197" xr:uid="{00000000-0005-0000-0000-00000D7A0000}"/>
    <cellStyle name="Normal 8 2 21" xfId="31201" xr:uid="{00000000-0005-0000-0000-0000117A0000}"/>
    <cellStyle name="Normal 8 2 22" xfId="31204" xr:uid="{00000000-0005-0000-0000-0000147A0000}"/>
    <cellStyle name="Normal 8 2 23" xfId="31207" xr:uid="{00000000-0005-0000-0000-0000177A0000}"/>
    <cellStyle name="Normal 8 2 24" xfId="31210" xr:uid="{00000000-0005-0000-0000-00001A7A0000}"/>
    <cellStyle name="Normal 8 2 25" xfId="31219" xr:uid="{00000000-0005-0000-0000-0000237A0000}"/>
    <cellStyle name="Normal 8 2 26" xfId="31223" xr:uid="{00000000-0005-0000-0000-0000277A0000}"/>
    <cellStyle name="Normal 8 2 27" xfId="31227" xr:uid="{00000000-0005-0000-0000-00002B7A0000}"/>
    <cellStyle name="Normal 8 2 28" xfId="31229" xr:uid="{00000000-0005-0000-0000-00002D7A0000}"/>
    <cellStyle name="Normal 8 2 29" xfId="31231" xr:uid="{00000000-0005-0000-0000-00002F7A0000}"/>
    <cellStyle name="Normal 8 2 3" xfId="23402" xr:uid="{00000000-0005-0000-0000-00009A5B0000}"/>
    <cellStyle name="Normal 8 2 3 2" xfId="31234" xr:uid="{00000000-0005-0000-0000-0000327A0000}"/>
    <cellStyle name="Normal 8 2 3 2 2" xfId="31235" xr:uid="{00000000-0005-0000-0000-0000337A0000}"/>
    <cellStyle name="Normal 8 2 3 3" xfId="31239" xr:uid="{00000000-0005-0000-0000-0000377A0000}"/>
    <cellStyle name="Normal 8 2 3 3 2" xfId="11885" xr:uid="{00000000-0005-0000-0000-00009D2E0000}"/>
    <cellStyle name="Normal 8 2 3 4" xfId="11060" xr:uid="{00000000-0005-0000-0000-0000642B0000}"/>
    <cellStyle name="Normal 8 2 3 5" xfId="11064" xr:uid="{00000000-0005-0000-0000-0000682B0000}"/>
    <cellStyle name="Normal 8 2 3 6" xfId="11066" xr:uid="{00000000-0005-0000-0000-00006A2B0000}"/>
    <cellStyle name="Normal 8 2 3 7" xfId="11071" xr:uid="{00000000-0005-0000-0000-00006F2B0000}"/>
    <cellStyle name="Normal 8 2 30" xfId="31220" xr:uid="{00000000-0005-0000-0000-0000247A0000}"/>
    <cellStyle name="Normal 8 2 31" xfId="31224" xr:uid="{00000000-0005-0000-0000-0000287A0000}"/>
    <cellStyle name="Normal 8 2 4" xfId="31240" xr:uid="{00000000-0005-0000-0000-0000387A0000}"/>
    <cellStyle name="Normal 8 2 4 2" xfId="31244" xr:uid="{00000000-0005-0000-0000-00003C7A0000}"/>
    <cellStyle name="Normal 8 2 4 2 2" xfId="31245" xr:uid="{00000000-0005-0000-0000-00003D7A0000}"/>
    <cellStyle name="Normal 8 2 4 3" xfId="31248" xr:uid="{00000000-0005-0000-0000-0000407A0000}"/>
    <cellStyle name="Normal 8 2 4 3 2" xfId="31249" xr:uid="{00000000-0005-0000-0000-0000417A0000}"/>
    <cellStyle name="Normal 8 2 4 4" xfId="11077" xr:uid="{00000000-0005-0000-0000-0000752B0000}"/>
    <cellStyle name="Normal 8 2 4 5" xfId="31250" xr:uid="{00000000-0005-0000-0000-0000427A0000}"/>
    <cellStyle name="Normal 8 2 4 6" xfId="29395" xr:uid="{00000000-0005-0000-0000-000003730000}"/>
    <cellStyle name="Normal 8 2 4 7" xfId="31251" xr:uid="{00000000-0005-0000-0000-0000437A0000}"/>
    <cellStyle name="Normal 8 2 5" xfId="14347" xr:uid="{00000000-0005-0000-0000-00003B380000}"/>
    <cellStyle name="Normal 8 2 5 2" xfId="14980" xr:uid="{00000000-0005-0000-0000-0000B43A0000}"/>
    <cellStyle name="Normal 8 2 5 3" xfId="31255" xr:uid="{00000000-0005-0000-0000-0000477A0000}"/>
    <cellStyle name="Normal 8 2 5 4" xfId="31258" xr:uid="{00000000-0005-0000-0000-00004A7A0000}"/>
    <cellStyle name="Normal 8 2 5 5" xfId="31260" xr:uid="{00000000-0005-0000-0000-00004C7A0000}"/>
    <cellStyle name="Normal 8 2 6" xfId="31261" xr:uid="{00000000-0005-0000-0000-00004D7A0000}"/>
    <cellStyle name="Normal 8 2 6 2" xfId="31264" xr:uid="{00000000-0005-0000-0000-0000507A0000}"/>
    <cellStyle name="Normal 8 2 6 3" xfId="31266" xr:uid="{00000000-0005-0000-0000-0000527A0000}"/>
    <cellStyle name="Normal 8 2 6 4" xfId="31267" xr:uid="{00000000-0005-0000-0000-0000537A0000}"/>
    <cellStyle name="Normal 8 2 6 5" xfId="31268" xr:uid="{00000000-0005-0000-0000-0000547A0000}"/>
    <cellStyle name="Normal 8 2 7" xfId="31269" xr:uid="{00000000-0005-0000-0000-0000557A0000}"/>
    <cellStyle name="Normal 8 2 7 2" xfId="18773" xr:uid="{00000000-0005-0000-0000-000085490000}"/>
    <cellStyle name="Normal 8 2 7 3" xfId="18781" xr:uid="{00000000-0005-0000-0000-00008D490000}"/>
    <cellStyle name="Normal 8 2 7 4" xfId="18784" xr:uid="{00000000-0005-0000-0000-000090490000}"/>
    <cellStyle name="Normal 8 2 8" xfId="31271" xr:uid="{00000000-0005-0000-0000-0000577A0000}"/>
    <cellStyle name="Normal 8 2 9" xfId="22258" xr:uid="{00000000-0005-0000-0000-000022570000}"/>
    <cellStyle name="Normal 8 2_Metadata" xfId="14358" xr:uid="{00000000-0005-0000-0000-000046380000}"/>
    <cellStyle name="Normal 8 20" xfId="31183" xr:uid="{00000000-0005-0000-0000-0000FF790000}"/>
    <cellStyle name="Normal 8 21" xfId="31185" xr:uid="{00000000-0005-0000-0000-0000017A0000}"/>
    <cellStyle name="Normal 8 21 2" xfId="458" xr:uid="{00000000-0005-0000-0000-0000E7010000}"/>
    <cellStyle name="Normal 8 22" xfId="31187" xr:uid="{00000000-0005-0000-0000-0000037A0000}"/>
    <cellStyle name="Normal 8 22 2" xfId="31273" xr:uid="{00000000-0005-0000-0000-0000597A0000}"/>
    <cellStyle name="Normal 8 23" xfId="31189" xr:uid="{00000000-0005-0000-0000-0000057A0000}"/>
    <cellStyle name="Normal 8 23 2" xfId="31275" xr:uid="{00000000-0005-0000-0000-00005B7A0000}"/>
    <cellStyle name="Normal 8 24" xfId="31191" xr:uid="{00000000-0005-0000-0000-0000077A0000}"/>
    <cellStyle name="Normal 8 25" xfId="31276" xr:uid="{00000000-0005-0000-0000-00005C7A0000}"/>
    <cellStyle name="Normal 8 26" xfId="8869" xr:uid="{00000000-0005-0000-0000-0000D5220000}"/>
    <cellStyle name="Normal 8 27" xfId="31278" xr:uid="{00000000-0005-0000-0000-00005E7A0000}"/>
    <cellStyle name="Normal 8 28" xfId="13608" xr:uid="{00000000-0005-0000-0000-000058350000}"/>
    <cellStyle name="Normal 8 29" xfId="25126" xr:uid="{00000000-0005-0000-0000-000056620000}"/>
    <cellStyle name="Normal 8 3" xfId="31280" xr:uid="{00000000-0005-0000-0000-0000607A0000}"/>
    <cellStyle name="Normal 8 3 10" xfId="31283" xr:uid="{00000000-0005-0000-0000-0000637A0000}"/>
    <cellStyle name="Normal 8 3 2" xfId="31285" xr:uid="{00000000-0005-0000-0000-0000657A0000}"/>
    <cellStyle name="Normal 8 3 2 2" xfId="19379" xr:uid="{00000000-0005-0000-0000-0000E34B0000}"/>
    <cellStyle name="Normal 8 3 2 2 2" xfId="27955" xr:uid="{00000000-0005-0000-0000-0000636D0000}"/>
    <cellStyle name="Normal 8 3 2 3" xfId="19383" xr:uid="{00000000-0005-0000-0000-0000E74B0000}"/>
    <cellStyle name="Normal 8 3 2 3 2" xfId="31287" xr:uid="{00000000-0005-0000-0000-0000677A0000}"/>
    <cellStyle name="Normal 8 3 2 4" xfId="19386" xr:uid="{00000000-0005-0000-0000-0000EA4B0000}"/>
    <cellStyle name="Normal 8 3 2_Metadata" xfId="31288" xr:uid="{00000000-0005-0000-0000-0000687A0000}"/>
    <cellStyle name="Normal 8 3 3" xfId="31289" xr:uid="{00000000-0005-0000-0000-0000697A0000}"/>
    <cellStyle name="Normal 8 3 3 2" xfId="31292" xr:uid="{00000000-0005-0000-0000-00006C7A0000}"/>
    <cellStyle name="Normal 8 3 3 2 2" xfId="31293" xr:uid="{00000000-0005-0000-0000-00006D7A0000}"/>
    <cellStyle name="Normal 8 3 3 3" xfId="31295" xr:uid="{00000000-0005-0000-0000-00006F7A0000}"/>
    <cellStyle name="Normal 8 3 3 3 2" xfId="31296" xr:uid="{00000000-0005-0000-0000-0000707A0000}"/>
    <cellStyle name="Normal 8 3 3 4" xfId="11092" xr:uid="{00000000-0005-0000-0000-0000842B0000}"/>
    <cellStyle name="Normal 8 3 3_Metadata" xfId="8442" xr:uid="{00000000-0005-0000-0000-00002A210000}"/>
    <cellStyle name="Normal 8 3 4" xfId="31297" xr:uid="{00000000-0005-0000-0000-0000717A0000}"/>
    <cellStyle name="Normal 8 3 4 2" xfId="31300" xr:uid="{00000000-0005-0000-0000-0000747A0000}"/>
    <cellStyle name="Normal 8 3 4 2 2" xfId="15812" xr:uid="{00000000-0005-0000-0000-0000F43D0000}"/>
    <cellStyle name="Normal 8 3 4 3" xfId="31302" xr:uid="{00000000-0005-0000-0000-0000767A0000}"/>
    <cellStyle name="Normal 8 3 4 3 2" xfId="31303" xr:uid="{00000000-0005-0000-0000-0000777A0000}"/>
    <cellStyle name="Normal 8 3 4 4" xfId="1536" xr:uid="{00000000-0005-0000-0000-000030060000}"/>
    <cellStyle name="Normal 8 3 5" xfId="31304" xr:uid="{00000000-0005-0000-0000-0000787A0000}"/>
    <cellStyle name="Normal 8 3 5 2" xfId="31307" xr:uid="{00000000-0005-0000-0000-00007B7A0000}"/>
    <cellStyle name="Normal 8 3 6" xfId="31308" xr:uid="{00000000-0005-0000-0000-00007C7A0000}"/>
    <cellStyle name="Normal 8 3 6 2" xfId="31311" xr:uid="{00000000-0005-0000-0000-00007F7A0000}"/>
    <cellStyle name="Normal 8 3 7" xfId="31312" xr:uid="{00000000-0005-0000-0000-0000807A0000}"/>
    <cellStyle name="Normal 8 3 8" xfId="31313" xr:uid="{00000000-0005-0000-0000-0000817A0000}"/>
    <cellStyle name="Normal 8 3 9" xfId="22282" xr:uid="{00000000-0005-0000-0000-00003A570000}"/>
    <cellStyle name="Normal 8 3_Metadata" xfId="8053" xr:uid="{00000000-0005-0000-0000-0000A51F0000}"/>
    <cellStyle name="Normal 8 30" xfId="31277" xr:uid="{00000000-0005-0000-0000-00005D7A0000}"/>
    <cellStyle name="Normal 8 31" xfId="8870" xr:uid="{00000000-0005-0000-0000-0000D6220000}"/>
    <cellStyle name="Normal 8 32" xfId="31279" xr:uid="{00000000-0005-0000-0000-00005F7A0000}"/>
    <cellStyle name="Normal 8 33" xfId="13609" xr:uid="{00000000-0005-0000-0000-000059350000}"/>
    <cellStyle name="Normal 8 34" xfId="25127" xr:uid="{00000000-0005-0000-0000-000057620000}"/>
    <cellStyle name="Normal 8 35" xfId="25144" xr:uid="{00000000-0005-0000-0000-000068620000}"/>
    <cellStyle name="Normal 8 36" xfId="25158" xr:uid="{00000000-0005-0000-0000-000076620000}"/>
    <cellStyle name="Normal 8 37" xfId="25182" xr:uid="{00000000-0005-0000-0000-00008E620000}"/>
    <cellStyle name="Normal 8 38" xfId="25192" xr:uid="{00000000-0005-0000-0000-000098620000}"/>
    <cellStyle name="Normal 8 39" xfId="25196" xr:uid="{00000000-0005-0000-0000-00009C620000}"/>
    <cellStyle name="Normal 8 4" xfId="31315" xr:uid="{00000000-0005-0000-0000-0000837A0000}"/>
    <cellStyle name="Normal 8 4 2" xfId="9124" xr:uid="{00000000-0005-0000-0000-0000D4230000}"/>
    <cellStyle name="Normal 8 4 2 2" xfId="31318" xr:uid="{00000000-0005-0000-0000-0000867A0000}"/>
    <cellStyle name="Normal 8 4 2_Metadata" xfId="30381" xr:uid="{00000000-0005-0000-0000-0000DD760000}"/>
    <cellStyle name="Normal 8 4 3" xfId="9138" xr:uid="{00000000-0005-0000-0000-0000E2230000}"/>
    <cellStyle name="Normal 8 4 3 2" xfId="31321" xr:uid="{00000000-0005-0000-0000-0000897A0000}"/>
    <cellStyle name="Normal 8 4 4" xfId="31325" xr:uid="{00000000-0005-0000-0000-00008D7A0000}"/>
    <cellStyle name="Normal 8 4 5" xfId="31175" xr:uid="{00000000-0005-0000-0000-0000F7790000}"/>
    <cellStyle name="Normal 8 4 6" xfId="31328" xr:uid="{00000000-0005-0000-0000-0000907A0000}"/>
    <cellStyle name="Normal 8 4 7" xfId="31331" xr:uid="{00000000-0005-0000-0000-0000937A0000}"/>
    <cellStyle name="Normal 8 4_Metadata" xfId="5476" xr:uid="{00000000-0005-0000-0000-000094150000}"/>
    <cellStyle name="Normal 8 40" xfId="25145" xr:uid="{00000000-0005-0000-0000-000069620000}"/>
    <cellStyle name="Normal 8 41" xfId="25159" xr:uid="{00000000-0005-0000-0000-000077620000}"/>
    <cellStyle name="Normal 8 42" xfId="25183" xr:uid="{00000000-0005-0000-0000-00008F620000}"/>
    <cellStyle name="Normal 8 43" xfId="25193" xr:uid="{00000000-0005-0000-0000-000099620000}"/>
    <cellStyle name="Normal 8 44" xfId="25197" xr:uid="{00000000-0005-0000-0000-00009D620000}"/>
    <cellStyle name="Normal 8 45" xfId="25200" xr:uid="{00000000-0005-0000-0000-0000A0620000}"/>
    <cellStyle name="Normal 8 46" xfId="30577" xr:uid="{00000000-0005-0000-0000-0000A1770000}"/>
    <cellStyle name="Normal 8 47" xfId="30580" xr:uid="{00000000-0005-0000-0000-0000A4770000}"/>
    <cellStyle name="Normal 8 48" xfId="31332" xr:uid="{00000000-0005-0000-0000-0000947A0000}"/>
    <cellStyle name="Normal 8 49" xfId="31334" xr:uid="{00000000-0005-0000-0000-0000967A0000}"/>
    <cellStyle name="Normal 8 5" xfId="31337" xr:uid="{00000000-0005-0000-0000-0000997A0000}"/>
    <cellStyle name="Normal 8 5 2" xfId="10209" xr:uid="{00000000-0005-0000-0000-000011280000}"/>
    <cellStyle name="Normal 8 5 2 2" xfId="31340" xr:uid="{00000000-0005-0000-0000-00009C7A0000}"/>
    <cellStyle name="Normal 8 5 3" xfId="10211" xr:uid="{00000000-0005-0000-0000-000013280000}"/>
    <cellStyle name="Normal 8 5 3 2" xfId="31342" xr:uid="{00000000-0005-0000-0000-00009E7A0000}"/>
    <cellStyle name="Normal 8 5 4" xfId="31344" xr:uid="{00000000-0005-0000-0000-0000A07A0000}"/>
    <cellStyle name="Normal 8 5 5" xfId="31345" xr:uid="{00000000-0005-0000-0000-0000A17A0000}"/>
    <cellStyle name="Normal 8 5 6" xfId="29597" xr:uid="{00000000-0005-0000-0000-0000CD730000}"/>
    <cellStyle name="Normal 8 5 7" xfId="29599" xr:uid="{00000000-0005-0000-0000-0000CF730000}"/>
    <cellStyle name="Normal 8 5_Metadata" xfId="31130" xr:uid="{00000000-0005-0000-0000-0000CA790000}"/>
    <cellStyle name="Normal 8 50" xfId="25201" xr:uid="{00000000-0005-0000-0000-0000A1620000}"/>
    <cellStyle name="Normal 8 51" xfId="30578" xr:uid="{00000000-0005-0000-0000-0000A2770000}"/>
    <cellStyle name="Normal 8 52" xfId="30581" xr:uid="{00000000-0005-0000-0000-0000A5770000}"/>
    <cellStyle name="Normal 8 53" xfId="31333" xr:uid="{00000000-0005-0000-0000-0000957A0000}"/>
    <cellStyle name="Normal 8 54" xfId="31335" xr:uid="{00000000-0005-0000-0000-0000977A0000}"/>
    <cellStyle name="Normal 8 55" xfId="31346" xr:uid="{00000000-0005-0000-0000-0000A27A0000}"/>
    <cellStyle name="Normal 8 56" xfId="31348" xr:uid="{00000000-0005-0000-0000-0000A47A0000}"/>
    <cellStyle name="Normal 8 57" xfId="31350" xr:uid="{00000000-0005-0000-0000-0000A67A0000}"/>
    <cellStyle name="Normal 8 58" xfId="31352" xr:uid="{00000000-0005-0000-0000-0000A87A0000}"/>
    <cellStyle name="Normal 8 59" xfId="31354" xr:uid="{00000000-0005-0000-0000-0000AA7A0000}"/>
    <cellStyle name="Normal 8 6" xfId="6780" xr:uid="{00000000-0005-0000-0000-0000AC1A0000}"/>
    <cellStyle name="Normal 8 6 2" xfId="2679" xr:uid="{00000000-0005-0000-0000-0000A70A0000}"/>
    <cellStyle name="Normal 8 6 2 2" xfId="31357" xr:uid="{00000000-0005-0000-0000-0000AD7A0000}"/>
    <cellStyle name="Normal 8 6 3" xfId="451" xr:uid="{00000000-0005-0000-0000-0000E0010000}"/>
    <cellStyle name="Normal 8 6 3 2" xfId="31359" xr:uid="{00000000-0005-0000-0000-0000AF7A0000}"/>
    <cellStyle name="Normal 8 6 4" xfId="31361" xr:uid="{00000000-0005-0000-0000-0000B17A0000}"/>
    <cellStyle name="Normal 8 6 5" xfId="17679" xr:uid="{00000000-0005-0000-0000-00003F450000}"/>
    <cellStyle name="Normal 8 6 6" xfId="17684" xr:uid="{00000000-0005-0000-0000-000044450000}"/>
    <cellStyle name="Normal 8 6 7" xfId="17687" xr:uid="{00000000-0005-0000-0000-000047450000}"/>
    <cellStyle name="Normal 8 60" xfId="31347" xr:uid="{00000000-0005-0000-0000-0000A37A0000}"/>
    <cellStyle name="Normal 8 61" xfId="31349" xr:uid="{00000000-0005-0000-0000-0000A57A0000}"/>
    <cellStyle name="Normal 8 62" xfId="31351" xr:uid="{00000000-0005-0000-0000-0000A77A0000}"/>
    <cellStyle name="Normal 8 63" xfId="31353" xr:uid="{00000000-0005-0000-0000-0000A97A0000}"/>
    <cellStyle name="Normal 8 64" xfId="31355" xr:uid="{00000000-0005-0000-0000-0000AB7A0000}"/>
    <cellStyle name="Normal 8 65" xfId="31362" xr:uid="{00000000-0005-0000-0000-0000B27A0000}"/>
    <cellStyle name="Normal 8 66" xfId="31364" xr:uid="{00000000-0005-0000-0000-0000B47A0000}"/>
    <cellStyle name="Normal 8 67" xfId="31366" xr:uid="{00000000-0005-0000-0000-0000B67A0000}"/>
    <cellStyle name="Normal 8 68" xfId="31368" xr:uid="{00000000-0005-0000-0000-0000B87A0000}"/>
    <cellStyle name="Normal 8 69" xfId="31370" xr:uid="{00000000-0005-0000-0000-0000BA7A0000}"/>
    <cellStyle name="Normal 8 7" xfId="31373" xr:uid="{00000000-0005-0000-0000-0000BD7A0000}"/>
    <cellStyle name="Normal 8 7 2" xfId="10317" xr:uid="{00000000-0005-0000-0000-00007D280000}"/>
    <cellStyle name="Normal 8 7 3" xfId="10319" xr:uid="{00000000-0005-0000-0000-00007F280000}"/>
    <cellStyle name="Normal 8 7 4" xfId="29054" xr:uid="{00000000-0005-0000-0000-0000AE710000}"/>
    <cellStyle name="Normal 8 7 5" xfId="17693" xr:uid="{00000000-0005-0000-0000-00004D450000}"/>
    <cellStyle name="Normal 8 70" xfId="31363" xr:uid="{00000000-0005-0000-0000-0000B37A0000}"/>
    <cellStyle name="Normal 8 71" xfId="31365" xr:uid="{00000000-0005-0000-0000-0000B57A0000}"/>
    <cellStyle name="Normal 8 72" xfId="31367" xr:uid="{00000000-0005-0000-0000-0000B77A0000}"/>
    <cellStyle name="Normal 8 73" xfId="31369" xr:uid="{00000000-0005-0000-0000-0000B97A0000}"/>
    <cellStyle name="Normal 8 74" xfId="31371" xr:uid="{00000000-0005-0000-0000-0000BB7A0000}"/>
    <cellStyle name="Normal 8 75" xfId="31375" xr:uid="{00000000-0005-0000-0000-0000BF7A0000}"/>
    <cellStyle name="Normal 8 76" xfId="31377" xr:uid="{00000000-0005-0000-0000-0000C17A0000}"/>
    <cellStyle name="Normal 8 77" xfId="31380" xr:uid="{00000000-0005-0000-0000-0000C47A0000}"/>
    <cellStyle name="Normal 8 78" xfId="25204" xr:uid="{00000000-0005-0000-0000-0000A4620000}"/>
    <cellStyle name="Normal 8 79" xfId="25212" xr:uid="{00000000-0005-0000-0000-0000AC620000}"/>
    <cellStyle name="Normal 8 8" xfId="31383" xr:uid="{00000000-0005-0000-0000-0000C77A0000}"/>
    <cellStyle name="Normal 8 8 2" xfId="10348" xr:uid="{00000000-0005-0000-0000-00009C280000}"/>
    <cellStyle name="Normal 8 8 3" xfId="10350" xr:uid="{00000000-0005-0000-0000-00009E280000}"/>
    <cellStyle name="Normal 8 8 4" xfId="31385" xr:uid="{00000000-0005-0000-0000-0000C97A0000}"/>
    <cellStyle name="Normal 8 8 5" xfId="17499" xr:uid="{00000000-0005-0000-0000-00008B440000}"/>
    <cellStyle name="Normal 8 80" xfId="31376" xr:uid="{00000000-0005-0000-0000-0000C07A0000}"/>
    <cellStyle name="Normal 8 81" xfId="31378" xr:uid="{00000000-0005-0000-0000-0000C27A0000}"/>
    <cellStyle name="Normal 8 82" xfId="31381" xr:uid="{00000000-0005-0000-0000-0000C57A0000}"/>
    <cellStyle name="Normal 8 83" xfId="25205" xr:uid="{00000000-0005-0000-0000-0000A5620000}"/>
    <cellStyle name="Normal 8 84" xfId="25213" xr:uid="{00000000-0005-0000-0000-0000AD620000}"/>
    <cellStyle name="Normal 8 85" xfId="25219" xr:uid="{00000000-0005-0000-0000-0000B3620000}"/>
    <cellStyle name="Normal 8 86" xfId="25228" xr:uid="{00000000-0005-0000-0000-0000BC620000}"/>
    <cellStyle name="Normal 8 87" xfId="25235" xr:uid="{00000000-0005-0000-0000-0000C3620000}"/>
    <cellStyle name="Normal 8 88" xfId="25241" xr:uid="{00000000-0005-0000-0000-0000C9620000}"/>
    <cellStyle name="Normal 8 89" xfId="25245" xr:uid="{00000000-0005-0000-0000-0000CD620000}"/>
    <cellStyle name="Normal 8 9" xfId="31386" xr:uid="{00000000-0005-0000-0000-0000CA7A0000}"/>
    <cellStyle name="Normal 8 9 2" xfId="9962" xr:uid="{00000000-0005-0000-0000-00001A270000}"/>
    <cellStyle name="Normal 8 9 3" xfId="9968" xr:uid="{00000000-0005-0000-0000-000020270000}"/>
    <cellStyle name="Normal 8 9 4" xfId="31392" xr:uid="{00000000-0005-0000-0000-0000D07A0000}"/>
    <cellStyle name="Normal 8 90" xfId="25220" xr:uid="{00000000-0005-0000-0000-0000B4620000}"/>
    <cellStyle name="Normal 8 91" xfId="25229" xr:uid="{00000000-0005-0000-0000-0000BD620000}"/>
    <cellStyle name="Normal 8 92" xfId="25236" xr:uid="{00000000-0005-0000-0000-0000C4620000}"/>
    <cellStyle name="Normal 8 93" xfId="25242" xr:uid="{00000000-0005-0000-0000-0000CA620000}"/>
    <cellStyle name="Normal 8 94" xfId="25246" xr:uid="{00000000-0005-0000-0000-0000CE620000}"/>
    <cellStyle name="Normal 8 95" xfId="25248" xr:uid="{00000000-0005-0000-0000-0000D0620000}"/>
    <cellStyle name="Normal 8 96" xfId="31393" xr:uid="{00000000-0005-0000-0000-0000D17A0000}"/>
    <cellStyle name="Normal 8 97" xfId="31394" xr:uid="{00000000-0005-0000-0000-0000D27A0000}"/>
    <cellStyle name="Normal 8 98" xfId="31395" xr:uid="{00000000-0005-0000-0000-0000D37A0000}"/>
    <cellStyle name="Normal 8 99" xfId="31396" xr:uid="{00000000-0005-0000-0000-0000D47A0000}"/>
    <cellStyle name="Normal 8_ADECHO" xfId="31397" xr:uid="{00000000-0005-0000-0000-0000D57A0000}"/>
    <cellStyle name="Normal 9" xfId="13264" xr:uid="{00000000-0005-0000-0000-000000340000}"/>
    <cellStyle name="Normal 9 10" xfId="13042" xr:uid="{00000000-0005-0000-0000-000022330000}"/>
    <cellStyle name="Normal 9 10 2" xfId="14764" xr:uid="{00000000-0005-0000-0000-0000DC390000}"/>
    <cellStyle name="Normal 9 10 3" xfId="31400" xr:uid="{00000000-0005-0000-0000-0000D87A0000}"/>
    <cellStyle name="Normal 9 11" xfId="2240" xr:uid="{00000000-0005-0000-0000-0000F0080000}"/>
    <cellStyle name="Normal 9 11 2" xfId="31403" xr:uid="{00000000-0005-0000-0000-0000DB7A0000}"/>
    <cellStyle name="Normal 9 12" xfId="28376" xr:uid="{00000000-0005-0000-0000-0000086F0000}"/>
    <cellStyle name="Normal 9 2" xfId="31406" xr:uid="{00000000-0005-0000-0000-0000DE7A0000}"/>
    <cellStyle name="Normal 9 2 2" xfId="6815" xr:uid="{00000000-0005-0000-0000-0000CF1A0000}"/>
    <cellStyle name="Normal 9 2 3" xfId="6830" xr:uid="{00000000-0005-0000-0000-0000DE1A0000}"/>
    <cellStyle name="Normal 9 2 4" xfId="6858" xr:uid="{00000000-0005-0000-0000-0000FA1A0000}"/>
    <cellStyle name="Normal 9 2 5" xfId="6867" xr:uid="{00000000-0005-0000-0000-0000031B0000}"/>
    <cellStyle name="Normal 9 2 6" xfId="8126" xr:uid="{00000000-0005-0000-0000-0000EE1F0000}"/>
    <cellStyle name="Normal 9 2 7" xfId="9039" xr:uid="{00000000-0005-0000-0000-00007F230000}"/>
    <cellStyle name="Normal 9 3" xfId="31409" xr:uid="{00000000-0005-0000-0000-0000E17A0000}"/>
    <cellStyle name="Normal 9 3 2" xfId="31411" xr:uid="{00000000-0005-0000-0000-0000E37A0000}"/>
    <cellStyle name="Normal 9 3 3" xfId="31413" xr:uid="{00000000-0005-0000-0000-0000E57A0000}"/>
    <cellStyle name="Normal 9 3 4" xfId="31415" xr:uid="{00000000-0005-0000-0000-0000E77A0000}"/>
    <cellStyle name="Normal 9 4" xfId="31417" xr:uid="{00000000-0005-0000-0000-0000E97A0000}"/>
    <cellStyle name="Normal 9 5" xfId="31420" xr:uid="{00000000-0005-0000-0000-0000EC7A0000}"/>
    <cellStyle name="Normal 9 6" xfId="12558" xr:uid="{00000000-0005-0000-0000-00003E310000}"/>
    <cellStyle name="Normal 9 7" xfId="12565" xr:uid="{00000000-0005-0000-0000-000045310000}"/>
    <cellStyle name="Normal 9 8" xfId="12571" xr:uid="{00000000-0005-0000-0000-00004B310000}"/>
    <cellStyle name="Normal 9 9" xfId="12575" xr:uid="{00000000-0005-0000-0000-00004F310000}"/>
    <cellStyle name="Normal_ADAE" xfId="980" xr:uid="{00000000-0005-0000-0000-000004040000}"/>
    <cellStyle name="Note 2" xfId="31422" xr:uid="{00000000-0005-0000-0000-0000EE7A0000}"/>
    <cellStyle name="Note 2 2" xfId="31424" xr:uid="{00000000-0005-0000-0000-0000F07A0000}"/>
    <cellStyle name="Note 2 2 2" xfId="19817" xr:uid="{00000000-0005-0000-0000-0000994D0000}"/>
    <cellStyle name="Note 2 2 3" xfId="19820" xr:uid="{00000000-0005-0000-0000-00009C4D0000}"/>
    <cellStyle name="Note 2 2 4" xfId="23291" xr:uid="{00000000-0005-0000-0000-00002B5B0000}"/>
    <cellStyle name="Note 2 2 5" xfId="23295" xr:uid="{00000000-0005-0000-0000-00002F5B0000}"/>
    <cellStyle name="Note 2 3" xfId="31426" xr:uid="{00000000-0005-0000-0000-0000F27A0000}"/>
    <cellStyle name="Note 2 3 10" xfId="17542" xr:uid="{00000000-0005-0000-0000-0000B6440000}"/>
    <cellStyle name="Note 2 3 10 2" xfId="28528" xr:uid="{00000000-0005-0000-0000-0000A06F0000}"/>
    <cellStyle name="Note 2 3 11" xfId="31427" xr:uid="{00000000-0005-0000-0000-0000F37A0000}"/>
    <cellStyle name="Note 2 3 11 2" xfId="31428" xr:uid="{00000000-0005-0000-0000-0000F47A0000}"/>
    <cellStyle name="Note 2 3 12" xfId="19242" xr:uid="{00000000-0005-0000-0000-00005A4B0000}"/>
    <cellStyle name="Note 2 3 13" xfId="31429" xr:uid="{00000000-0005-0000-0000-0000F57A0000}"/>
    <cellStyle name="Note 2 3 14" xfId="31430" xr:uid="{00000000-0005-0000-0000-0000F67A0000}"/>
    <cellStyle name="Note 2 3 2" xfId="29097" xr:uid="{00000000-0005-0000-0000-0000D9710000}"/>
    <cellStyle name="Note 2 3 2 10" xfId="31432" xr:uid="{00000000-0005-0000-0000-0000F87A0000}"/>
    <cellStyle name="Note 2 3 2 10 2" xfId="31433" xr:uid="{00000000-0005-0000-0000-0000F97A0000}"/>
    <cellStyle name="Note 2 3 2 11" xfId="31435" xr:uid="{00000000-0005-0000-0000-0000FB7A0000}"/>
    <cellStyle name="Note 2 3 2 12" xfId="31437" xr:uid="{00000000-0005-0000-0000-0000FD7A0000}"/>
    <cellStyle name="Note 2 3 2 13" xfId="31439" xr:uid="{00000000-0005-0000-0000-0000FF7A0000}"/>
    <cellStyle name="Note 2 3 2 2" xfId="31440" xr:uid="{00000000-0005-0000-0000-0000007B0000}"/>
    <cellStyle name="Note 2 3 2 2 10" xfId="31441" xr:uid="{00000000-0005-0000-0000-0000017B0000}"/>
    <cellStyle name="Note 2 3 2 2 11" xfId="31442" xr:uid="{00000000-0005-0000-0000-0000027B0000}"/>
    <cellStyle name="Note 2 3 2 2 12" xfId="31443" xr:uid="{00000000-0005-0000-0000-0000037B0000}"/>
    <cellStyle name="Note 2 3 2 2 2" xfId="31444" xr:uid="{00000000-0005-0000-0000-0000047B0000}"/>
    <cellStyle name="Note 2 3 2 2 2 10" xfId="31445" xr:uid="{00000000-0005-0000-0000-0000057B0000}"/>
    <cellStyle name="Note 2 3 2 2 2 11" xfId="31446" xr:uid="{00000000-0005-0000-0000-0000067B0000}"/>
    <cellStyle name="Note 2 3 2 2 2 12" xfId="31447" xr:uid="{00000000-0005-0000-0000-0000077B0000}"/>
    <cellStyle name="Note 2 3 2 2 2 13" xfId="31448" xr:uid="{00000000-0005-0000-0000-0000087B0000}"/>
    <cellStyle name="Note 2 3 2 2 2 2" xfId="31449" xr:uid="{00000000-0005-0000-0000-0000097B0000}"/>
    <cellStyle name="Note 2 3 2 2 2 2 2" xfId="31450" xr:uid="{00000000-0005-0000-0000-00000A7B0000}"/>
    <cellStyle name="Note 2 3 2 2 2 2 3" xfId="29990" xr:uid="{00000000-0005-0000-0000-000056750000}"/>
    <cellStyle name="Note 2 3 2 2 2 3" xfId="31451" xr:uid="{00000000-0005-0000-0000-00000B7B0000}"/>
    <cellStyle name="Note 2 3 2 2 2 3 2" xfId="31453" xr:uid="{00000000-0005-0000-0000-00000D7B0000}"/>
    <cellStyle name="Note 2 3 2 2 2 4" xfId="31454" xr:uid="{00000000-0005-0000-0000-00000E7B0000}"/>
    <cellStyle name="Note 2 3 2 2 2 4 2" xfId="31455" xr:uid="{00000000-0005-0000-0000-00000F7B0000}"/>
    <cellStyle name="Note 2 3 2 2 2 5" xfId="31456" xr:uid="{00000000-0005-0000-0000-0000107B0000}"/>
    <cellStyle name="Note 2 3 2 2 2 5 2" xfId="6588" xr:uid="{00000000-0005-0000-0000-0000EC190000}"/>
    <cellStyle name="Note 2 3 2 2 2 6" xfId="31457" xr:uid="{00000000-0005-0000-0000-0000117B0000}"/>
    <cellStyle name="Note 2 3 2 2 2 6 2" xfId="17238" xr:uid="{00000000-0005-0000-0000-000086430000}"/>
    <cellStyle name="Note 2 3 2 2 2 7" xfId="31458" xr:uid="{00000000-0005-0000-0000-0000127B0000}"/>
    <cellStyle name="Note 2 3 2 2 2 7 2" xfId="31459" xr:uid="{00000000-0005-0000-0000-0000137B0000}"/>
    <cellStyle name="Note 2 3 2 2 2 8" xfId="31460" xr:uid="{00000000-0005-0000-0000-0000147B0000}"/>
    <cellStyle name="Note 2 3 2 2 2 9" xfId="31461" xr:uid="{00000000-0005-0000-0000-0000157B0000}"/>
    <cellStyle name="Note 2 3 2 2 3" xfId="31462" xr:uid="{00000000-0005-0000-0000-0000167B0000}"/>
    <cellStyle name="Note 2 3 2 2 3 2" xfId="31464" xr:uid="{00000000-0005-0000-0000-0000187B0000}"/>
    <cellStyle name="Note 2 3 2 2 3 2 2" xfId="31466" xr:uid="{00000000-0005-0000-0000-00001A7B0000}"/>
    <cellStyle name="Note 2 3 2 2 3 3" xfId="31468" xr:uid="{00000000-0005-0000-0000-00001C7B0000}"/>
    <cellStyle name="Note 2 3 2 2 3 4" xfId="31469" xr:uid="{00000000-0005-0000-0000-00001D7B0000}"/>
    <cellStyle name="Note 2 3 2 2 4" xfId="31470" xr:uid="{00000000-0005-0000-0000-00001E7B0000}"/>
    <cellStyle name="Note 2 3 2 2 4 2" xfId="31471" xr:uid="{00000000-0005-0000-0000-00001F7B0000}"/>
    <cellStyle name="Note 2 3 2 2 4 2 2" xfId="31473" xr:uid="{00000000-0005-0000-0000-0000217B0000}"/>
    <cellStyle name="Note 2 3 2 2 4 3" xfId="30091" xr:uid="{00000000-0005-0000-0000-0000BB750000}"/>
    <cellStyle name="Note 2 3 2 2 4 4" xfId="31474" xr:uid="{00000000-0005-0000-0000-0000227B0000}"/>
    <cellStyle name="Note 2 3 2 2 5" xfId="31475" xr:uid="{00000000-0005-0000-0000-0000237B0000}"/>
    <cellStyle name="Note 2 3 2 2 5 2" xfId="31476" xr:uid="{00000000-0005-0000-0000-0000247B0000}"/>
    <cellStyle name="Note 2 3 2 2 5 2 2" xfId="31477" xr:uid="{00000000-0005-0000-0000-0000257B0000}"/>
    <cellStyle name="Note 2 3 2 2 5 3" xfId="31478" xr:uid="{00000000-0005-0000-0000-0000267B0000}"/>
    <cellStyle name="Note 2 3 2 2 5 4" xfId="31479" xr:uid="{00000000-0005-0000-0000-0000277B0000}"/>
    <cellStyle name="Note 2 3 2 2 6" xfId="31480" xr:uid="{00000000-0005-0000-0000-0000287B0000}"/>
    <cellStyle name="Note 2 3 2 2 6 2" xfId="31482" xr:uid="{00000000-0005-0000-0000-00002A7B0000}"/>
    <cellStyle name="Note 2 3 2 2 6 2 2" xfId="31483" xr:uid="{00000000-0005-0000-0000-00002B7B0000}"/>
    <cellStyle name="Note 2 3 2 2 6 3" xfId="31486" xr:uid="{00000000-0005-0000-0000-00002E7B0000}"/>
    <cellStyle name="Note 2 3 2 2 6 4" xfId="11355" xr:uid="{00000000-0005-0000-0000-00008B2C0000}"/>
    <cellStyle name="Note 2 3 2 2 7" xfId="31487" xr:uid="{00000000-0005-0000-0000-00002F7B0000}"/>
    <cellStyle name="Note 2 3 2 2 7 2" xfId="31488" xr:uid="{00000000-0005-0000-0000-0000307B0000}"/>
    <cellStyle name="Note 2 3 2 2 8" xfId="31489" xr:uid="{00000000-0005-0000-0000-0000317B0000}"/>
    <cellStyle name="Note 2 3 2 2 8 2" xfId="19885" xr:uid="{00000000-0005-0000-0000-0000DD4D0000}"/>
    <cellStyle name="Note 2 3 2 2 9" xfId="31490" xr:uid="{00000000-0005-0000-0000-0000327B0000}"/>
    <cellStyle name="Note 2 3 2 3" xfId="31491" xr:uid="{00000000-0005-0000-0000-0000337B0000}"/>
    <cellStyle name="Note 2 3 2 4" xfId="31492" xr:uid="{00000000-0005-0000-0000-0000347B0000}"/>
    <cellStyle name="Note 2 3 2 4 10" xfId="31494" xr:uid="{00000000-0005-0000-0000-0000367B0000}"/>
    <cellStyle name="Note 2 3 2 4 11" xfId="3936" xr:uid="{00000000-0005-0000-0000-0000900F0000}"/>
    <cellStyle name="Note 2 3 2 4 12" xfId="31496" xr:uid="{00000000-0005-0000-0000-0000387B0000}"/>
    <cellStyle name="Note 2 3 2 4 2" xfId="240" xr:uid="{00000000-0005-0000-0000-000001010000}"/>
    <cellStyle name="Note 2 3 2 4 2 10" xfId="28064" xr:uid="{00000000-0005-0000-0000-0000D06D0000}"/>
    <cellStyle name="Note 2 3 2 4 2 11" xfId="17486" xr:uid="{00000000-0005-0000-0000-00007E440000}"/>
    <cellStyle name="Note 2 3 2 4 2 2" xfId="9985" xr:uid="{00000000-0005-0000-0000-000031270000}"/>
    <cellStyle name="Note 2 3 2 4 2 2 2" xfId="31497" xr:uid="{00000000-0005-0000-0000-0000397B0000}"/>
    <cellStyle name="Note 2 3 2 4 2 2 3" xfId="2372" xr:uid="{00000000-0005-0000-0000-000074090000}"/>
    <cellStyle name="Note 2 3 2 4 2 3" xfId="31498" xr:uid="{00000000-0005-0000-0000-00003A7B0000}"/>
    <cellStyle name="Note 2 3 2 4 2 3 2" xfId="31499" xr:uid="{00000000-0005-0000-0000-00003B7B0000}"/>
    <cellStyle name="Note 2 3 2 4 2 4" xfId="31501" xr:uid="{00000000-0005-0000-0000-00003D7B0000}"/>
    <cellStyle name="Note 2 3 2 4 2 4 2" xfId="24041" xr:uid="{00000000-0005-0000-0000-0000195E0000}"/>
    <cellStyle name="Note 2 3 2 4 2 5" xfId="31503" xr:uid="{00000000-0005-0000-0000-00003F7B0000}"/>
    <cellStyle name="Note 2 3 2 4 2 5 2" xfId="31504" xr:uid="{00000000-0005-0000-0000-0000407B0000}"/>
    <cellStyle name="Note 2 3 2 4 2 6" xfId="31506" xr:uid="{00000000-0005-0000-0000-0000427B0000}"/>
    <cellStyle name="Note 2 3 2 4 2 6 2" xfId="987" xr:uid="{00000000-0005-0000-0000-00000B040000}"/>
    <cellStyle name="Note 2 3 2 4 2 7" xfId="31507" xr:uid="{00000000-0005-0000-0000-0000437B0000}"/>
    <cellStyle name="Note 2 3 2 4 2 8" xfId="31508" xr:uid="{00000000-0005-0000-0000-0000447B0000}"/>
    <cellStyle name="Note 2 3 2 4 2 9" xfId="31509" xr:uid="{00000000-0005-0000-0000-0000457B0000}"/>
    <cellStyle name="Note 2 3 2 4 3" xfId="10804" xr:uid="{00000000-0005-0000-0000-0000642A0000}"/>
    <cellStyle name="Note 2 3 2 4 3 2" xfId="10874" xr:uid="{00000000-0005-0000-0000-0000AA2A0000}"/>
    <cellStyle name="Note 2 3 2 4 3 3" xfId="10879" xr:uid="{00000000-0005-0000-0000-0000AF2A0000}"/>
    <cellStyle name="Note 2 3 2 4 4" xfId="10807" xr:uid="{00000000-0005-0000-0000-0000672A0000}"/>
    <cellStyle name="Note 2 3 2 4 4 2" xfId="21394" xr:uid="{00000000-0005-0000-0000-0000C2530000}"/>
    <cellStyle name="Note 2 3 2 4 5" xfId="10810" xr:uid="{00000000-0005-0000-0000-00006A2A0000}"/>
    <cellStyle name="Note 2 3 2 4 5 2" xfId="31513" xr:uid="{00000000-0005-0000-0000-0000497B0000}"/>
    <cellStyle name="Note 2 3 2 4 6" xfId="10815" xr:uid="{00000000-0005-0000-0000-00006F2A0000}"/>
    <cellStyle name="Note 2 3 2 4 6 2" xfId="22094" xr:uid="{00000000-0005-0000-0000-00007E560000}"/>
    <cellStyle name="Note 2 3 2 4 7" xfId="14139" xr:uid="{00000000-0005-0000-0000-00006B370000}"/>
    <cellStyle name="Note 2 3 2 4 7 2" xfId="31515" xr:uid="{00000000-0005-0000-0000-00004B7B0000}"/>
    <cellStyle name="Note 2 3 2 4 8" xfId="14146" xr:uid="{00000000-0005-0000-0000-000072370000}"/>
    <cellStyle name="Note 2 3 2 4 9" xfId="14151" xr:uid="{00000000-0005-0000-0000-000077370000}"/>
    <cellStyle name="Note 2 3 2 5" xfId="31516" xr:uid="{00000000-0005-0000-0000-00004C7B0000}"/>
    <cellStyle name="Note 2 3 2 5 10" xfId="31518" xr:uid="{00000000-0005-0000-0000-00004E7B0000}"/>
    <cellStyle name="Note 2 3 2 5 11" xfId="2949" xr:uid="{00000000-0005-0000-0000-0000B50B0000}"/>
    <cellStyle name="Note 2 3 2 5 12" xfId="31519" xr:uid="{00000000-0005-0000-0000-00004F7B0000}"/>
    <cellStyle name="Note 2 3 2 5 2" xfId="10825" xr:uid="{00000000-0005-0000-0000-0000792A0000}"/>
    <cellStyle name="Note 2 3 2 5 2 2" xfId="31520" xr:uid="{00000000-0005-0000-0000-0000507B0000}"/>
    <cellStyle name="Note 2 3 2 5 2 3" xfId="31521" xr:uid="{00000000-0005-0000-0000-0000517B0000}"/>
    <cellStyle name="Note 2 3 2 5 3" xfId="10828" xr:uid="{00000000-0005-0000-0000-00007C2A0000}"/>
    <cellStyle name="Note 2 3 2 5 3 2" xfId="7305" xr:uid="{00000000-0005-0000-0000-0000B91C0000}"/>
    <cellStyle name="Note 2 3 2 5 4" xfId="31523" xr:uid="{00000000-0005-0000-0000-0000537B0000}"/>
    <cellStyle name="Note 2 3 2 5 4 2" xfId="31526" xr:uid="{00000000-0005-0000-0000-0000567B0000}"/>
    <cellStyle name="Note 2 3 2 5 5" xfId="31527" xr:uid="{00000000-0005-0000-0000-0000577B0000}"/>
    <cellStyle name="Note 2 3 2 5 5 2" xfId="31530" xr:uid="{00000000-0005-0000-0000-00005A7B0000}"/>
    <cellStyle name="Note 2 3 2 5 6" xfId="22104" xr:uid="{00000000-0005-0000-0000-000088560000}"/>
    <cellStyle name="Note 2 3 2 5 6 2" xfId="31532" xr:uid="{00000000-0005-0000-0000-00005C7B0000}"/>
    <cellStyle name="Note 2 3 2 5 7" xfId="22106" xr:uid="{00000000-0005-0000-0000-00008A560000}"/>
    <cellStyle name="Note 2 3 2 5 7 2" xfId="31534" xr:uid="{00000000-0005-0000-0000-00005E7B0000}"/>
    <cellStyle name="Note 2 3 2 5 8" xfId="22110" xr:uid="{00000000-0005-0000-0000-00008E560000}"/>
    <cellStyle name="Note 2 3 2 5 9" xfId="22115" xr:uid="{00000000-0005-0000-0000-000093560000}"/>
    <cellStyle name="Note 2 3 2 6" xfId="31535" xr:uid="{00000000-0005-0000-0000-00005F7B0000}"/>
    <cellStyle name="Note 2 3 2 6 2" xfId="10838" xr:uid="{00000000-0005-0000-0000-0000862A0000}"/>
    <cellStyle name="Note 2 3 2 6 2 2" xfId="31536" xr:uid="{00000000-0005-0000-0000-0000607B0000}"/>
    <cellStyle name="Note 2 3 2 6 3" xfId="10845" xr:uid="{00000000-0005-0000-0000-00008D2A0000}"/>
    <cellStyle name="Note 2 3 2 6 4" xfId="31537" xr:uid="{00000000-0005-0000-0000-0000617B0000}"/>
    <cellStyle name="Note 2 3 2 7" xfId="31538" xr:uid="{00000000-0005-0000-0000-0000627B0000}"/>
    <cellStyle name="Note 2 3 2 7 2" xfId="509" xr:uid="{00000000-0005-0000-0000-00001E020000}"/>
    <cellStyle name="Note 2 3 2 7 2 2" xfId="31539" xr:uid="{00000000-0005-0000-0000-0000637B0000}"/>
    <cellStyle name="Note 2 3 2 7 3" xfId="409" xr:uid="{00000000-0005-0000-0000-0000B4010000}"/>
    <cellStyle name="Note 2 3 2 7 4" xfId="31540" xr:uid="{00000000-0005-0000-0000-0000647B0000}"/>
    <cellStyle name="Note 2 3 2 8" xfId="31541" xr:uid="{00000000-0005-0000-0000-0000657B0000}"/>
    <cellStyle name="Note 2 3 2 8 2" xfId="10854" xr:uid="{00000000-0005-0000-0000-0000962A0000}"/>
    <cellStyle name="Note 2 3 2 8 2 2" xfId="28438" xr:uid="{00000000-0005-0000-0000-0000466F0000}"/>
    <cellStyle name="Note 2 3 2 8 3" xfId="10861" xr:uid="{00000000-0005-0000-0000-00009D2A0000}"/>
    <cellStyle name="Note 2 3 2 8 4" xfId="31542" xr:uid="{00000000-0005-0000-0000-0000667B0000}"/>
    <cellStyle name="Note 2 3 2 9" xfId="31543" xr:uid="{00000000-0005-0000-0000-0000677B0000}"/>
    <cellStyle name="Note 2 3 2 9 2" xfId="31545" xr:uid="{00000000-0005-0000-0000-0000697B0000}"/>
    <cellStyle name="Note 2 3 3" xfId="29100" xr:uid="{00000000-0005-0000-0000-0000DC710000}"/>
    <cellStyle name="Note 2 3 3 10" xfId="31546" xr:uid="{00000000-0005-0000-0000-00006A7B0000}"/>
    <cellStyle name="Note 2 3 3 11" xfId="31547" xr:uid="{00000000-0005-0000-0000-00006B7B0000}"/>
    <cellStyle name="Note 2 3 3 12" xfId="31548" xr:uid="{00000000-0005-0000-0000-00006C7B0000}"/>
    <cellStyle name="Note 2 3 3 2" xfId="31549" xr:uid="{00000000-0005-0000-0000-00006D7B0000}"/>
    <cellStyle name="Note 2 3 3 2 10" xfId="9422" xr:uid="{00000000-0005-0000-0000-0000FE240000}"/>
    <cellStyle name="Note 2 3 3 2 11" xfId="9494" xr:uid="{00000000-0005-0000-0000-000046250000}"/>
    <cellStyle name="Note 2 3 3 2 12" xfId="28370" xr:uid="{00000000-0005-0000-0000-0000026F0000}"/>
    <cellStyle name="Note 2 3 3 2 13" xfId="28373" xr:uid="{00000000-0005-0000-0000-0000056F0000}"/>
    <cellStyle name="Note 2 3 3 2 2" xfId="31550" xr:uid="{00000000-0005-0000-0000-00006E7B0000}"/>
    <cellStyle name="Note 2 3 3 2 2 2" xfId="12812" xr:uid="{00000000-0005-0000-0000-00003C320000}"/>
    <cellStyle name="Note 2 3 3 2 2 3" xfId="12814" xr:uid="{00000000-0005-0000-0000-00003E320000}"/>
    <cellStyle name="Note 2 3 3 2 3" xfId="31552" xr:uid="{00000000-0005-0000-0000-0000707B0000}"/>
    <cellStyle name="Note 2 3 3 2 3 2" xfId="31554" xr:uid="{00000000-0005-0000-0000-0000727B0000}"/>
    <cellStyle name="Note 2 3 3 2 4" xfId="31555" xr:uid="{00000000-0005-0000-0000-0000737B0000}"/>
    <cellStyle name="Note 2 3 3 2 4 2" xfId="1323" xr:uid="{00000000-0005-0000-0000-00005B050000}"/>
    <cellStyle name="Note 2 3 3 2 5" xfId="31557" xr:uid="{00000000-0005-0000-0000-0000757B0000}"/>
    <cellStyle name="Note 2 3 3 2 5 2" xfId="443" xr:uid="{00000000-0005-0000-0000-0000D8010000}"/>
    <cellStyle name="Note 2 3 3 2 6" xfId="31559" xr:uid="{00000000-0005-0000-0000-0000777B0000}"/>
    <cellStyle name="Note 2 3 3 2 6 2" xfId="31560" xr:uid="{00000000-0005-0000-0000-0000787B0000}"/>
    <cellStyle name="Note 2 3 3 2 7" xfId="31561" xr:uid="{00000000-0005-0000-0000-0000797B0000}"/>
    <cellStyle name="Note 2 3 3 2 7 2" xfId="31562" xr:uid="{00000000-0005-0000-0000-00007A7B0000}"/>
    <cellStyle name="Note 2 3 3 2 8" xfId="31563" xr:uid="{00000000-0005-0000-0000-00007B7B0000}"/>
    <cellStyle name="Note 2 3 3 2 9" xfId="31564" xr:uid="{00000000-0005-0000-0000-00007C7B0000}"/>
    <cellStyle name="Note 2 3 3 3" xfId="31565" xr:uid="{00000000-0005-0000-0000-00007D7B0000}"/>
    <cellStyle name="Note 2 3 3 3 2" xfId="31566" xr:uid="{00000000-0005-0000-0000-00007E7B0000}"/>
    <cellStyle name="Note 2 3 3 3 2 2" xfId="31568" xr:uid="{00000000-0005-0000-0000-0000807B0000}"/>
    <cellStyle name="Note 2 3 3 3 3" xfId="31569" xr:uid="{00000000-0005-0000-0000-0000817B0000}"/>
    <cellStyle name="Note 2 3 3 3 4" xfId="31571" xr:uid="{00000000-0005-0000-0000-0000837B0000}"/>
    <cellStyle name="Note 2 3 3 4" xfId="31573" xr:uid="{00000000-0005-0000-0000-0000857B0000}"/>
    <cellStyle name="Note 2 3 3 4 2" xfId="9797" xr:uid="{00000000-0005-0000-0000-000075260000}"/>
    <cellStyle name="Note 2 3 3 4 2 2" xfId="31574" xr:uid="{00000000-0005-0000-0000-0000867B0000}"/>
    <cellStyle name="Note 2 3 3 4 3" xfId="10871" xr:uid="{00000000-0005-0000-0000-0000A72A0000}"/>
    <cellStyle name="Note 2 3 3 4 4" xfId="10876" xr:uid="{00000000-0005-0000-0000-0000AC2A0000}"/>
    <cellStyle name="Note 2 3 3 5" xfId="31575" xr:uid="{00000000-0005-0000-0000-0000877B0000}"/>
    <cellStyle name="Note 2 3 3 5 2" xfId="10911" xr:uid="{00000000-0005-0000-0000-0000CF2A0000}"/>
    <cellStyle name="Note 2 3 3 5 2 2" xfId="31576" xr:uid="{00000000-0005-0000-0000-0000887B0000}"/>
    <cellStyle name="Note 2 3 3 5 3" xfId="10919" xr:uid="{00000000-0005-0000-0000-0000D72A0000}"/>
    <cellStyle name="Note 2 3 3 5 4" xfId="31577" xr:uid="{00000000-0005-0000-0000-0000897B0000}"/>
    <cellStyle name="Note 2 3 3 6" xfId="31578" xr:uid="{00000000-0005-0000-0000-00008A7B0000}"/>
    <cellStyle name="Note 2 3 3 6 2" xfId="31581" xr:uid="{00000000-0005-0000-0000-00008D7B0000}"/>
    <cellStyle name="Note 2 3 3 6 2 2" xfId="31583" xr:uid="{00000000-0005-0000-0000-00008F7B0000}"/>
    <cellStyle name="Note 2 3 3 6 3" xfId="5665" xr:uid="{00000000-0005-0000-0000-000051160000}"/>
    <cellStyle name="Note 2 3 3 6 4" xfId="5674" xr:uid="{00000000-0005-0000-0000-00005A160000}"/>
    <cellStyle name="Note 2 3 3 7" xfId="31584" xr:uid="{00000000-0005-0000-0000-0000907B0000}"/>
    <cellStyle name="Note 2 3 3 7 2" xfId="31585" xr:uid="{00000000-0005-0000-0000-0000917B0000}"/>
    <cellStyle name="Note 2 3 3 8" xfId="31586" xr:uid="{00000000-0005-0000-0000-0000927B0000}"/>
    <cellStyle name="Note 2 3 3 8 2" xfId="31587" xr:uid="{00000000-0005-0000-0000-0000937B0000}"/>
    <cellStyle name="Note 2 3 3 9" xfId="31588" xr:uid="{00000000-0005-0000-0000-0000947B0000}"/>
    <cellStyle name="Note 2 3 4" xfId="29103" xr:uid="{00000000-0005-0000-0000-0000DF710000}"/>
    <cellStyle name="Note 2 3 5" xfId="23897" xr:uid="{00000000-0005-0000-0000-0000895D0000}"/>
    <cellStyle name="Note 2 3 5 10" xfId="31589" xr:uid="{00000000-0005-0000-0000-0000957B0000}"/>
    <cellStyle name="Note 2 3 5 11" xfId="31590" xr:uid="{00000000-0005-0000-0000-0000967B0000}"/>
    <cellStyle name="Note 2 3 5 12" xfId="31070" xr:uid="{00000000-0005-0000-0000-00008E790000}"/>
    <cellStyle name="Note 2 3 5 2" xfId="21820" xr:uid="{00000000-0005-0000-0000-00006C550000}"/>
    <cellStyle name="Note 2 3 5 2 10" xfId="31591" xr:uid="{00000000-0005-0000-0000-0000977B0000}"/>
    <cellStyle name="Note 2 3 5 2 11" xfId="14026" xr:uid="{00000000-0005-0000-0000-0000FA360000}"/>
    <cellStyle name="Note 2 3 5 2 2" xfId="23901" xr:uid="{00000000-0005-0000-0000-00008D5D0000}"/>
    <cellStyle name="Note 2 3 5 2 2 2" xfId="31592" xr:uid="{00000000-0005-0000-0000-0000987B0000}"/>
    <cellStyle name="Note 2 3 5 2 2 3" xfId="31593" xr:uid="{00000000-0005-0000-0000-0000997B0000}"/>
    <cellStyle name="Note 2 3 5 2 3" xfId="31595" xr:uid="{00000000-0005-0000-0000-00009B7B0000}"/>
    <cellStyle name="Note 2 3 5 2 3 2" xfId="31596" xr:uid="{00000000-0005-0000-0000-00009C7B0000}"/>
    <cellStyle name="Note 2 3 5 2 4" xfId="31598" xr:uid="{00000000-0005-0000-0000-00009E7B0000}"/>
    <cellStyle name="Note 2 3 5 2 4 2" xfId="31599" xr:uid="{00000000-0005-0000-0000-00009F7B0000}"/>
    <cellStyle name="Note 2 3 5 2 5" xfId="18765" xr:uid="{00000000-0005-0000-0000-00007D490000}"/>
    <cellStyle name="Note 2 3 5 2 5 2" xfId="18770" xr:uid="{00000000-0005-0000-0000-000082490000}"/>
    <cellStyle name="Note 2 3 5 2 6" xfId="18774" xr:uid="{00000000-0005-0000-0000-000086490000}"/>
    <cellStyle name="Note 2 3 5 2 6 2" xfId="11833" xr:uid="{00000000-0005-0000-0000-0000692E0000}"/>
    <cellStyle name="Note 2 3 5 2 7" xfId="18782" xr:uid="{00000000-0005-0000-0000-00008E490000}"/>
    <cellStyle name="Note 2 3 5 2 8" xfId="18785" xr:uid="{00000000-0005-0000-0000-000091490000}"/>
    <cellStyle name="Note 2 3 5 2 9" xfId="18787" xr:uid="{00000000-0005-0000-0000-000093490000}"/>
    <cellStyle name="Note 2 3 5 3" xfId="21829" xr:uid="{00000000-0005-0000-0000-000075550000}"/>
    <cellStyle name="Note 2 3 5 3 2" xfId="31601" xr:uid="{00000000-0005-0000-0000-0000A17B0000}"/>
    <cellStyle name="Note 2 3 5 3 3" xfId="31603" xr:uid="{00000000-0005-0000-0000-0000A37B0000}"/>
    <cellStyle name="Note 2 3 5 4" xfId="21837" xr:uid="{00000000-0005-0000-0000-00007D550000}"/>
    <cellStyle name="Note 2 3 5 4 2" xfId="31605" xr:uid="{00000000-0005-0000-0000-0000A57B0000}"/>
    <cellStyle name="Note 2 3 5 5" xfId="21845" xr:uid="{00000000-0005-0000-0000-000085550000}"/>
    <cellStyle name="Note 2 3 5 5 2" xfId="31606" xr:uid="{00000000-0005-0000-0000-0000A67B0000}"/>
    <cellStyle name="Note 2 3 5 6" xfId="21852" xr:uid="{00000000-0005-0000-0000-00008C550000}"/>
    <cellStyle name="Note 2 3 5 6 2" xfId="14725" xr:uid="{00000000-0005-0000-0000-0000B5390000}"/>
    <cellStyle name="Note 2 3 5 7" xfId="21859" xr:uid="{00000000-0005-0000-0000-000093550000}"/>
    <cellStyle name="Note 2 3 5 7 2" xfId="31607" xr:uid="{00000000-0005-0000-0000-0000A77B0000}"/>
    <cellStyle name="Note 2 3 5 8" xfId="23903" xr:uid="{00000000-0005-0000-0000-00008F5D0000}"/>
    <cellStyle name="Note 2 3 5 9" xfId="23907" xr:uid="{00000000-0005-0000-0000-0000935D0000}"/>
    <cellStyle name="Note 2 3 6" xfId="23911" xr:uid="{00000000-0005-0000-0000-0000975D0000}"/>
    <cellStyle name="Note 2 3 6 10" xfId="6818" xr:uid="{00000000-0005-0000-0000-0000D21A0000}"/>
    <cellStyle name="Note 2 3 6 11" xfId="6837" xr:uid="{00000000-0005-0000-0000-0000E51A0000}"/>
    <cellStyle name="Note 2 3 6 12" xfId="22787" xr:uid="{00000000-0005-0000-0000-000033590000}"/>
    <cellStyle name="Note 2 3 6 2" xfId="21878" xr:uid="{00000000-0005-0000-0000-0000A6550000}"/>
    <cellStyle name="Note 2 3 6 2 2" xfId="31609" xr:uid="{00000000-0005-0000-0000-0000A97B0000}"/>
    <cellStyle name="Note 2 3 6 2 3" xfId="31611" xr:uid="{00000000-0005-0000-0000-0000AB7B0000}"/>
    <cellStyle name="Note 2 3 6 3" xfId="21883" xr:uid="{00000000-0005-0000-0000-0000AB550000}"/>
    <cellStyle name="Note 2 3 6 3 2" xfId="31613" xr:uid="{00000000-0005-0000-0000-0000AD7B0000}"/>
    <cellStyle name="Note 2 3 6 4" xfId="21888" xr:uid="{00000000-0005-0000-0000-0000B0550000}"/>
    <cellStyle name="Note 2 3 6 4 2" xfId="31616" xr:uid="{00000000-0005-0000-0000-0000B07B0000}"/>
    <cellStyle name="Note 2 3 6 5" xfId="23913" xr:uid="{00000000-0005-0000-0000-0000995D0000}"/>
    <cellStyle name="Note 2 3 6 5 2" xfId="31617" xr:uid="{00000000-0005-0000-0000-0000B17B0000}"/>
    <cellStyle name="Note 2 3 6 6" xfId="23915" xr:uid="{00000000-0005-0000-0000-00009B5D0000}"/>
    <cellStyle name="Note 2 3 6 6 2" xfId="31618" xr:uid="{00000000-0005-0000-0000-0000B27B0000}"/>
    <cellStyle name="Note 2 3 6 7" xfId="31619" xr:uid="{00000000-0005-0000-0000-0000B37B0000}"/>
    <cellStyle name="Note 2 3 6 7 2" xfId="31620" xr:uid="{00000000-0005-0000-0000-0000B47B0000}"/>
    <cellStyle name="Note 2 3 6 8" xfId="31621" xr:uid="{00000000-0005-0000-0000-0000B57B0000}"/>
    <cellStyle name="Note 2 3 6 9" xfId="7025" xr:uid="{00000000-0005-0000-0000-0000A11B0000}"/>
    <cellStyle name="Note 2 3 7" xfId="23920" xr:uid="{00000000-0005-0000-0000-0000A05D0000}"/>
    <cellStyle name="Note 2 3 7 2" xfId="2059" xr:uid="{00000000-0005-0000-0000-00003B080000}"/>
    <cellStyle name="Note 2 3 7 2 2" xfId="31622" xr:uid="{00000000-0005-0000-0000-0000B67B0000}"/>
    <cellStyle name="Note 2 3 7 3" xfId="31623" xr:uid="{00000000-0005-0000-0000-0000B77B0000}"/>
    <cellStyle name="Note 2 3 7 4" xfId="31624" xr:uid="{00000000-0005-0000-0000-0000B87B0000}"/>
    <cellStyle name="Note 2 3 8" xfId="23926" xr:uid="{00000000-0005-0000-0000-0000A65D0000}"/>
    <cellStyle name="Note 2 3 8 2" xfId="31625" xr:uid="{00000000-0005-0000-0000-0000B97B0000}"/>
    <cellStyle name="Note 2 3 8 2 2" xfId="31626" xr:uid="{00000000-0005-0000-0000-0000BA7B0000}"/>
    <cellStyle name="Note 2 3 8 3" xfId="31627" xr:uid="{00000000-0005-0000-0000-0000BB7B0000}"/>
    <cellStyle name="Note 2 3 8 4" xfId="31628" xr:uid="{00000000-0005-0000-0000-0000BC7B0000}"/>
    <cellStyle name="Note 2 3 9" xfId="23933" xr:uid="{00000000-0005-0000-0000-0000AD5D0000}"/>
    <cellStyle name="Note 2 3 9 2" xfId="31630" xr:uid="{00000000-0005-0000-0000-0000BE7B0000}"/>
    <cellStyle name="Note 2 3 9 2 2" xfId="6424" xr:uid="{00000000-0005-0000-0000-000048190000}"/>
    <cellStyle name="Note 2 3 9 3" xfId="31632" xr:uid="{00000000-0005-0000-0000-0000C07B0000}"/>
    <cellStyle name="Note 2 3 9 4" xfId="31635" xr:uid="{00000000-0005-0000-0000-0000C37B0000}"/>
    <cellStyle name="Note 2 4" xfId="31637" xr:uid="{00000000-0005-0000-0000-0000C57B0000}"/>
    <cellStyle name="Note 2 4 2" xfId="31638" xr:uid="{00000000-0005-0000-0000-0000C67B0000}"/>
    <cellStyle name="Note 2 4 3" xfId="31641" xr:uid="{00000000-0005-0000-0000-0000C97B0000}"/>
    <cellStyle name="Note 2 4 4" xfId="31644" xr:uid="{00000000-0005-0000-0000-0000CC7B0000}"/>
    <cellStyle name="Note 2 5" xfId="31647" xr:uid="{00000000-0005-0000-0000-0000CF7B0000}"/>
    <cellStyle name="Note 2 5 10" xfId="19318" xr:uid="{00000000-0005-0000-0000-0000A64B0000}"/>
    <cellStyle name="Note 2 5 11" xfId="19321" xr:uid="{00000000-0005-0000-0000-0000A94B0000}"/>
    <cellStyle name="Note 2 5 12" xfId="31649" xr:uid="{00000000-0005-0000-0000-0000D17B0000}"/>
    <cellStyle name="Note 2 5 13" xfId="31653" xr:uid="{00000000-0005-0000-0000-0000D57B0000}"/>
    <cellStyle name="Note 2 5 2" xfId="4923" xr:uid="{00000000-0005-0000-0000-00006B130000}"/>
    <cellStyle name="Note 2 5 3" xfId="31654" xr:uid="{00000000-0005-0000-0000-0000D67B0000}"/>
    <cellStyle name="Note 2 5 3 10" xfId="31655" xr:uid="{00000000-0005-0000-0000-0000D77B0000}"/>
    <cellStyle name="Note 2 5 3 11" xfId="31657" xr:uid="{00000000-0005-0000-0000-0000D97B0000}"/>
    <cellStyle name="Note 2 5 3 12" xfId="31658" xr:uid="{00000000-0005-0000-0000-0000DA7B0000}"/>
    <cellStyle name="Note 2 5 3 13" xfId="1066" xr:uid="{00000000-0005-0000-0000-00005A040000}"/>
    <cellStyle name="Note 2 5 3 2" xfId="31660" xr:uid="{00000000-0005-0000-0000-0000DC7B0000}"/>
    <cellStyle name="Note 2 5 3 2 2" xfId="31661" xr:uid="{00000000-0005-0000-0000-0000DD7B0000}"/>
    <cellStyle name="Note 2 5 3 2 3" xfId="31662" xr:uid="{00000000-0005-0000-0000-0000DE7B0000}"/>
    <cellStyle name="Note 2 5 3 3" xfId="31664" xr:uid="{00000000-0005-0000-0000-0000E07B0000}"/>
    <cellStyle name="Note 2 5 3 3 2" xfId="17667" xr:uid="{00000000-0005-0000-0000-000033450000}"/>
    <cellStyle name="Note 2 5 3 4" xfId="31666" xr:uid="{00000000-0005-0000-0000-0000E27B0000}"/>
    <cellStyle name="Note 2 5 3 4 2" xfId="31667" xr:uid="{00000000-0005-0000-0000-0000E37B0000}"/>
    <cellStyle name="Note 2 5 3 5" xfId="31668" xr:uid="{00000000-0005-0000-0000-0000E47B0000}"/>
    <cellStyle name="Note 2 5 3 5 2" xfId="31669" xr:uid="{00000000-0005-0000-0000-0000E57B0000}"/>
    <cellStyle name="Note 2 5 3 6" xfId="31670" xr:uid="{00000000-0005-0000-0000-0000E67B0000}"/>
    <cellStyle name="Note 2 5 3 6 2" xfId="31673" xr:uid="{00000000-0005-0000-0000-0000E97B0000}"/>
    <cellStyle name="Note 2 5 3 7" xfId="31675" xr:uid="{00000000-0005-0000-0000-0000EB7B0000}"/>
    <cellStyle name="Note 2 5 3 7 2" xfId="31677" xr:uid="{00000000-0005-0000-0000-0000ED7B0000}"/>
    <cellStyle name="Note 2 5 3 8" xfId="31680" xr:uid="{00000000-0005-0000-0000-0000F07B0000}"/>
    <cellStyle name="Note 2 5 3 9" xfId="30848" xr:uid="{00000000-0005-0000-0000-0000B0780000}"/>
    <cellStyle name="Note 2 5 4" xfId="31681" xr:uid="{00000000-0005-0000-0000-0000F17B0000}"/>
    <cellStyle name="Note 2 5 4 2" xfId="31682" xr:uid="{00000000-0005-0000-0000-0000F27B0000}"/>
    <cellStyle name="Note 2 5 4 2 2" xfId="31683" xr:uid="{00000000-0005-0000-0000-0000F37B0000}"/>
    <cellStyle name="Note 2 5 4 3" xfId="31684" xr:uid="{00000000-0005-0000-0000-0000F47B0000}"/>
    <cellStyle name="Note 2 5 4 4" xfId="31687" xr:uid="{00000000-0005-0000-0000-0000F77B0000}"/>
    <cellStyle name="Note 2 5 5" xfId="1801" xr:uid="{00000000-0005-0000-0000-000039070000}"/>
    <cellStyle name="Note 2 5 5 2" xfId="31690" xr:uid="{00000000-0005-0000-0000-0000FA7B0000}"/>
    <cellStyle name="Note 2 5 5 2 2" xfId="31691" xr:uid="{00000000-0005-0000-0000-0000FB7B0000}"/>
    <cellStyle name="Note 2 5 5 3" xfId="31693" xr:uid="{00000000-0005-0000-0000-0000FD7B0000}"/>
    <cellStyle name="Note 2 5 5 4" xfId="31696" xr:uid="{00000000-0005-0000-0000-0000007C0000}"/>
    <cellStyle name="Note 2 5 6" xfId="4265" xr:uid="{00000000-0005-0000-0000-0000D9100000}"/>
    <cellStyle name="Note 2 5 6 2" xfId="4289" xr:uid="{00000000-0005-0000-0000-0000F1100000}"/>
    <cellStyle name="Note 2 5 6 2 2" xfId="12591" xr:uid="{00000000-0005-0000-0000-00005F310000}"/>
    <cellStyle name="Note 2 5 6 3" xfId="12597" xr:uid="{00000000-0005-0000-0000-000065310000}"/>
    <cellStyle name="Note 2 5 6 4" xfId="12603" xr:uid="{00000000-0005-0000-0000-00006B310000}"/>
    <cellStyle name="Note 2 5 7" xfId="4292" xr:uid="{00000000-0005-0000-0000-0000F4100000}"/>
    <cellStyle name="Note 2 5 7 2" xfId="12613" xr:uid="{00000000-0005-0000-0000-000075310000}"/>
    <cellStyle name="Note 2 5 7 2 2" xfId="31697" xr:uid="{00000000-0005-0000-0000-0000017C0000}"/>
    <cellStyle name="Note 2 5 7 3" xfId="12617" xr:uid="{00000000-0005-0000-0000-000079310000}"/>
    <cellStyle name="Note 2 5 7 4" xfId="12621" xr:uid="{00000000-0005-0000-0000-00007D310000}"/>
    <cellStyle name="Note 2 5 8" xfId="6288" xr:uid="{00000000-0005-0000-0000-0000C0180000}"/>
    <cellStyle name="Note 2 5 8 2" xfId="12626" xr:uid="{00000000-0005-0000-0000-000082310000}"/>
    <cellStyle name="Note 2 5 9" xfId="6306" xr:uid="{00000000-0005-0000-0000-0000D2180000}"/>
    <cellStyle name="Note 2 5 9 2" xfId="31698" xr:uid="{00000000-0005-0000-0000-0000027C0000}"/>
    <cellStyle name="Note 2 6" xfId="31700" xr:uid="{00000000-0005-0000-0000-0000047C0000}"/>
    <cellStyle name="Note 2 6 10" xfId="31701" xr:uid="{00000000-0005-0000-0000-0000057C0000}"/>
    <cellStyle name="Note 2 6 11" xfId="31702" xr:uid="{00000000-0005-0000-0000-0000067C0000}"/>
    <cellStyle name="Note 2 6 12" xfId="31703" xr:uid="{00000000-0005-0000-0000-0000077C0000}"/>
    <cellStyle name="Note 2 6 2" xfId="31704" xr:uid="{00000000-0005-0000-0000-0000087C0000}"/>
    <cellStyle name="Note 2 6 2 10" xfId="14049" xr:uid="{00000000-0005-0000-0000-000011370000}"/>
    <cellStyle name="Note 2 6 2 11" xfId="31705" xr:uid="{00000000-0005-0000-0000-0000097C0000}"/>
    <cellStyle name="Note 2 6 2 12" xfId="24407" xr:uid="{00000000-0005-0000-0000-0000875F0000}"/>
    <cellStyle name="Note 2 6 2 13" xfId="17913" xr:uid="{00000000-0005-0000-0000-000029460000}"/>
    <cellStyle name="Note 2 6 2 2" xfId="31707" xr:uid="{00000000-0005-0000-0000-00000B7C0000}"/>
    <cellStyle name="Note 2 6 2 2 2" xfId="31708" xr:uid="{00000000-0005-0000-0000-00000C7C0000}"/>
    <cellStyle name="Note 2 6 2 2 3" xfId="31709" xr:uid="{00000000-0005-0000-0000-00000D7C0000}"/>
    <cellStyle name="Note 2 6 2 3" xfId="31711" xr:uid="{00000000-0005-0000-0000-00000F7C0000}"/>
    <cellStyle name="Note 2 6 2 3 2" xfId="20757" xr:uid="{00000000-0005-0000-0000-000045510000}"/>
    <cellStyle name="Note 2 6 2 4" xfId="31713" xr:uid="{00000000-0005-0000-0000-0000117C0000}"/>
    <cellStyle name="Note 2 6 2 4 2" xfId="19968" xr:uid="{00000000-0005-0000-0000-0000304E0000}"/>
    <cellStyle name="Note 2 6 2 5" xfId="31715" xr:uid="{00000000-0005-0000-0000-0000137C0000}"/>
    <cellStyle name="Note 2 6 2 5 2" xfId="20129" xr:uid="{00000000-0005-0000-0000-0000D14E0000}"/>
    <cellStyle name="Note 2 6 2 6" xfId="31716" xr:uid="{00000000-0005-0000-0000-0000147C0000}"/>
    <cellStyle name="Note 2 6 2 6 2" xfId="6150" xr:uid="{00000000-0005-0000-0000-000036180000}"/>
    <cellStyle name="Note 2 6 2 7" xfId="31717" xr:uid="{00000000-0005-0000-0000-0000157C0000}"/>
    <cellStyle name="Note 2 6 2 7 2" xfId="20239" xr:uid="{00000000-0005-0000-0000-00003F4F0000}"/>
    <cellStyle name="Note 2 6 2 8" xfId="31718" xr:uid="{00000000-0005-0000-0000-0000167C0000}"/>
    <cellStyle name="Note 2 6 2 9" xfId="31719" xr:uid="{00000000-0005-0000-0000-0000177C0000}"/>
    <cellStyle name="Note 2 6 3" xfId="31720" xr:uid="{00000000-0005-0000-0000-0000187C0000}"/>
    <cellStyle name="Note 2 6 3 2" xfId="28146" xr:uid="{00000000-0005-0000-0000-0000226E0000}"/>
    <cellStyle name="Note 2 6 3 2 2" xfId="31721" xr:uid="{00000000-0005-0000-0000-0000197C0000}"/>
    <cellStyle name="Note 2 6 3 3" xfId="28149" xr:uid="{00000000-0005-0000-0000-0000256E0000}"/>
    <cellStyle name="Note 2 6 3 4" xfId="28152" xr:uid="{00000000-0005-0000-0000-0000286E0000}"/>
    <cellStyle name="Note 2 6 4" xfId="31722" xr:uid="{00000000-0005-0000-0000-00001A7C0000}"/>
    <cellStyle name="Note 2 6 4 2" xfId="28172" xr:uid="{00000000-0005-0000-0000-00003C6E0000}"/>
    <cellStyle name="Note 2 6 4 2 2" xfId="31723" xr:uid="{00000000-0005-0000-0000-00001B7C0000}"/>
    <cellStyle name="Note 2 6 4 3" xfId="28174" xr:uid="{00000000-0005-0000-0000-00003E6E0000}"/>
    <cellStyle name="Note 2 6 4 4" xfId="28178" xr:uid="{00000000-0005-0000-0000-0000426E0000}"/>
    <cellStyle name="Note 2 6 5" xfId="23968" xr:uid="{00000000-0005-0000-0000-0000D05D0000}"/>
    <cellStyle name="Note 2 6 5 2" xfId="28214" xr:uid="{00000000-0005-0000-0000-0000666E0000}"/>
    <cellStyle name="Note 2 6 5 2 2" xfId="30630" xr:uid="{00000000-0005-0000-0000-0000D6770000}"/>
    <cellStyle name="Note 2 6 5 3" xfId="28217" xr:uid="{00000000-0005-0000-0000-0000696E0000}"/>
    <cellStyle name="Note 2 6 5 4" xfId="28221" xr:uid="{00000000-0005-0000-0000-00006D6E0000}"/>
    <cellStyle name="Note 2 6 6" xfId="4320" xr:uid="{00000000-0005-0000-0000-000010110000}"/>
    <cellStyle name="Note 2 6 6 2" xfId="12629" xr:uid="{00000000-0005-0000-0000-000085310000}"/>
    <cellStyle name="Note 2 6 6 2 2" xfId="12633" xr:uid="{00000000-0005-0000-0000-000089310000}"/>
    <cellStyle name="Note 2 6 6 3" xfId="12636" xr:uid="{00000000-0005-0000-0000-00008C310000}"/>
    <cellStyle name="Note 2 6 6 4" xfId="12642" xr:uid="{00000000-0005-0000-0000-000092310000}"/>
    <cellStyle name="Note 2 6 7" xfId="12645" xr:uid="{00000000-0005-0000-0000-000095310000}"/>
    <cellStyle name="Note 2 6 7 2" xfId="12649" xr:uid="{00000000-0005-0000-0000-000099310000}"/>
    <cellStyle name="Note 2 6 8" xfId="12651" xr:uid="{00000000-0005-0000-0000-00009B310000}"/>
    <cellStyle name="Note 2 6 8 2" xfId="31724" xr:uid="{00000000-0005-0000-0000-00001C7C0000}"/>
    <cellStyle name="Note 2 6 9" xfId="12657" xr:uid="{00000000-0005-0000-0000-0000A1310000}"/>
    <cellStyle name="Note 2 7" xfId="30451" xr:uid="{00000000-0005-0000-0000-000023770000}"/>
    <cellStyle name="Note 2 8" xfId="26467" xr:uid="{00000000-0005-0000-0000-000093670000}"/>
    <cellStyle name="Note 2_FA" xfId="31725" xr:uid="{00000000-0005-0000-0000-00001D7C0000}"/>
    <cellStyle name="Note 3" xfId="31727" xr:uid="{00000000-0005-0000-0000-00001F7C0000}"/>
    <cellStyle name="Note 3 10" xfId="31728" xr:uid="{00000000-0005-0000-0000-0000207C0000}"/>
    <cellStyle name="Note 3 10 10" xfId="31730" xr:uid="{00000000-0005-0000-0000-0000227C0000}"/>
    <cellStyle name="Note 3 10 11" xfId="31733" xr:uid="{00000000-0005-0000-0000-0000257C0000}"/>
    <cellStyle name="Note 3 10 12" xfId="31737" xr:uid="{00000000-0005-0000-0000-0000297C0000}"/>
    <cellStyle name="Note 3 10 2" xfId="31738" xr:uid="{00000000-0005-0000-0000-00002A7C0000}"/>
    <cellStyle name="Note 3 10 2 10" xfId="31739" xr:uid="{00000000-0005-0000-0000-00002B7C0000}"/>
    <cellStyle name="Note 3 10 2 11" xfId="31740" xr:uid="{00000000-0005-0000-0000-00002C7C0000}"/>
    <cellStyle name="Note 3 10 2 12" xfId="31742" xr:uid="{00000000-0005-0000-0000-00002E7C0000}"/>
    <cellStyle name="Note 3 10 2 13" xfId="31743" xr:uid="{00000000-0005-0000-0000-00002F7C0000}"/>
    <cellStyle name="Note 3 10 2 2" xfId="31744" xr:uid="{00000000-0005-0000-0000-0000307C0000}"/>
    <cellStyle name="Note 3 10 2 2 2" xfId="31745" xr:uid="{00000000-0005-0000-0000-0000317C0000}"/>
    <cellStyle name="Note 3 10 2 2 3" xfId="31747" xr:uid="{00000000-0005-0000-0000-0000337C0000}"/>
    <cellStyle name="Note 3 10 2 3" xfId="31748" xr:uid="{00000000-0005-0000-0000-0000347C0000}"/>
    <cellStyle name="Note 3 10 2 3 2" xfId="31749" xr:uid="{00000000-0005-0000-0000-0000357C0000}"/>
    <cellStyle name="Note 3 10 2 4" xfId="31750" xr:uid="{00000000-0005-0000-0000-0000367C0000}"/>
    <cellStyle name="Note 3 10 2 4 2" xfId="31751" xr:uid="{00000000-0005-0000-0000-0000377C0000}"/>
    <cellStyle name="Note 3 10 2 5" xfId="31752" xr:uid="{00000000-0005-0000-0000-0000387C0000}"/>
    <cellStyle name="Note 3 10 2 5 2" xfId="31753" xr:uid="{00000000-0005-0000-0000-0000397C0000}"/>
    <cellStyle name="Note 3 10 2 6" xfId="31754" xr:uid="{00000000-0005-0000-0000-00003A7C0000}"/>
    <cellStyle name="Note 3 10 2 6 2" xfId="4183" xr:uid="{00000000-0005-0000-0000-000087100000}"/>
    <cellStyle name="Note 3 10 2 7" xfId="31755" xr:uid="{00000000-0005-0000-0000-00003B7C0000}"/>
    <cellStyle name="Note 3 10 2 7 2" xfId="31756" xr:uid="{00000000-0005-0000-0000-00003C7C0000}"/>
    <cellStyle name="Note 3 10 2 8" xfId="31757" xr:uid="{00000000-0005-0000-0000-00003D7C0000}"/>
    <cellStyle name="Note 3 10 2 9" xfId="31758" xr:uid="{00000000-0005-0000-0000-00003E7C0000}"/>
    <cellStyle name="Note 3 10 3" xfId="31760" xr:uid="{00000000-0005-0000-0000-0000407C0000}"/>
    <cellStyle name="Note 3 10 3 2" xfId="26404" xr:uid="{00000000-0005-0000-0000-000054670000}"/>
    <cellStyle name="Note 3 10 3 2 2" xfId="31761" xr:uid="{00000000-0005-0000-0000-0000417C0000}"/>
    <cellStyle name="Note 3 10 3 3" xfId="13687" xr:uid="{00000000-0005-0000-0000-0000A7350000}"/>
    <cellStyle name="Note 3 10 3 4" xfId="2761" xr:uid="{00000000-0005-0000-0000-0000F90A0000}"/>
    <cellStyle name="Note 3 10 4" xfId="31762" xr:uid="{00000000-0005-0000-0000-0000427C0000}"/>
    <cellStyle name="Note 3 10 4 2" xfId="31763" xr:uid="{00000000-0005-0000-0000-0000437C0000}"/>
    <cellStyle name="Note 3 10 4 2 2" xfId="28547" xr:uid="{00000000-0005-0000-0000-0000B36F0000}"/>
    <cellStyle name="Note 3 10 4 3" xfId="31764" xr:uid="{00000000-0005-0000-0000-0000447C0000}"/>
    <cellStyle name="Note 3 10 4 4" xfId="31765" xr:uid="{00000000-0005-0000-0000-0000457C0000}"/>
    <cellStyle name="Note 3 10 5" xfId="30919" xr:uid="{00000000-0005-0000-0000-0000F7780000}"/>
    <cellStyle name="Note 3 10 5 2" xfId="14430" xr:uid="{00000000-0005-0000-0000-00008E380000}"/>
    <cellStyle name="Note 3 10 5 2 2" xfId="31766" xr:uid="{00000000-0005-0000-0000-0000467C0000}"/>
    <cellStyle name="Note 3 10 5 3" xfId="14440" xr:uid="{00000000-0005-0000-0000-000098380000}"/>
    <cellStyle name="Note 3 10 5 4" xfId="2799" xr:uid="{00000000-0005-0000-0000-00001F0B0000}"/>
    <cellStyle name="Note 3 10 6" xfId="31767" xr:uid="{00000000-0005-0000-0000-0000477C0000}"/>
    <cellStyle name="Note 3 10 6 2" xfId="18014" xr:uid="{00000000-0005-0000-0000-00008E460000}"/>
    <cellStyle name="Note 3 10 6 2 2" xfId="31768" xr:uid="{00000000-0005-0000-0000-0000487C0000}"/>
    <cellStyle name="Note 3 10 6 3" xfId="13220" xr:uid="{00000000-0005-0000-0000-0000D4330000}"/>
    <cellStyle name="Note 3 10 6 4" xfId="29797" xr:uid="{00000000-0005-0000-0000-000095740000}"/>
    <cellStyle name="Note 3 10 7" xfId="31769" xr:uid="{00000000-0005-0000-0000-0000497C0000}"/>
    <cellStyle name="Note 3 10 7 2" xfId="18050" xr:uid="{00000000-0005-0000-0000-0000B2460000}"/>
    <cellStyle name="Note 3 10 8" xfId="31771" xr:uid="{00000000-0005-0000-0000-00004B7C0000}"/>
    <cellStyle name="Note 3 10 8 2" xfId="18131" xr:uid="{00000000-0005-0000-0000-000003470000}"/>
    <cellStyle name="Note 3 10 9" xfId="12335" xr:uid="{00000000-0005-0000-0000-00005F300000}"/>
    <cellStyle name="Note 3 11" xfId="8048" xr:uid="{00000000-0005-0000-0000-0000A01F0000}"/>
    <cellStyle name="Note 3 12" xfId="8052" xr:uid="{00000000-0005-0000-0000-0000A41F0000}"/>
    <cellStyle name="Note 3 12 10" xfId="31775" xr:uid="{00000000-0005-0000-0000-00004F7C0000}"/>
    <cellStyle name="Note 3 12 11" xfId="31778" xr:uid="{00000000-0005-0000-0000-0000527C0000}"/>
    <cellStyle name="Note 3 12 12" xfId="31782" xr:uid="{00000000-0005-0000-0000-0000567C0000}"/>
    <cellStyle name="Note 3 12 2" xfId="31783" xr:uid="{00000000-0005-0000-0000-0000577C0000}"/>
    <cellStyle name="Note 3 12 2 10" xfId="11660" xr:uid="{00000000-0005-0000-0000-0000BC2D0000}"/>
    <cellStyle name="Note 3 12 2 11" xfId="11668" xr:uid="{00000000-0005-0000-0000-0000C42D0000}"/>
    <cellStyle name="Note 3 12 2 2" xfId="31784" xr:uid="{00000000-0005-0000-0000-0000587C0000}"/>
    <cellStyle name="Note 3 12 2 2 2" xfId="31786" xr:uid="{00000000-0005-0000-0000-00005A7C0000}"/>
    <cellStyle name="Note 3 12 2 2 3" xfId="31788" xr:uid="{00000000-0005-0000-0000-00005C7C0000}"/>
    <cellStyle name="Note 3 12 2 3" xfId="31789" xr:uid="{00000000-0005-0000-0000-00005D7C0000}"/>
    <cellStyle name="Note 3 12 2 3 2" xfId="31790" xr:uid="{00000000-0005-0000-0000-00005E7C0000}"/>
    <cellStyle name="Note 3 12 2 4" xfId="11599" xr:uid="{00000000-0005-0000-0000-00007F2D0000}"/>
    <cellStyle name="Note 3 12 2 4 2" xfId="31794" xr:uid="{00000000-0005-0000-0000-0000627C0000}"/>
    <cellStyle name="Note 3 12 2 5" xfId="31795" xr:uid="{00000000-0005-0000-0000-0000637C0000}"/>
    <cellStyle name="Note 3 12 2 5 2" xfId="31797" xr:uid="{00000000-0005-0000-0000-0000657C0000}"/>
    <cellStyle name="Note 3 12 2 6" xfId="31798" xr:uid="{00000000-0005-0000-0000-0000667C0000}"/>
    <cellStyle name="Note 3 12 2 6 2" xfId="31800" xr:uid="{00000000-0005-0000-0000-0000687C0000}"/>
    <cellStyle name="Note 3 12 2 7" xfId="31801" xr:uid="{00000000-0005-0000-0000-0000697C0000}"/>
    <cellStyle name="Note 3 12 2 8" xfId="31802" xr:uid="{00000000-0005-0000-0000-00006A7C0000}"/>
    <cellStyle name="Note 3 12 2 9" xfId="31803" xr:uid="{00000000-0005-0000-0000-00006B7C0000}"/>
    <cellStyle name="Note 3 12 3" xfId="31805" xr:uid="{00000000-0005-0000-0000-00006D7C0000}"/>
    <cellStyle name="Note 3 12 3 2" xfId="3924" xr:uid="{00000000-0005-0000-0000-0000840F0000}"/>
    <cellStyle name="Note 3 12 3 3" xfId="3941" xr:uid="{00000000-0005-0000-0000-0000950F0000}"/>
    <cellStyle name="Note 3 12 4" xfId="31806" xr:uid="{00000000-0005-0000-0000-00006E7C0000}"/>
    <cellStyle name="Note 3 12 4 2" xfId="4023" xr:uid="{00000000-0005-0000-0000-0000E70F0000}"/>
    <cellStyle name="Note 3 12 5" xfId="31807" xr:uid="{00000000-0005-0000-0000-00006F7C0000}"/>
    <cellStyle name="Note 3 12 5 2" xfId="12684" xr:uid="{00000000-0005-0000-0000-0000BC310000}"/>
    <cellStyle name="Note 3 12 6" xfId="31808" xr:uid="{00000000-0005-0000-0000-0000707C0000}"/>
    <cellStyle name="Note 3 12 6 2" xfId="12702" xr:uid="{00000000-0005-0000-0000-0000CE310000}"/>
    <cellStyle name="Note 3 12 7" xfId="31809" xr:uid="{00000000-0005-0000-0000-0000717C0000}"/>
    <cellStyle name="Note 3 12 7 2" xfId="31811" xr:uid="{00000000-0005-0000-0000-0000737C0000}"/>
    <cellStyle name="Note 3 12 8" xfId="12364" xr:uid="{00000000-0005-0000-0000-00007C300000}"/>
    <cellStyle name="Note 3 12 9" xfId="12370" xr:uid="{00000000-0005-0000-0000-000082300000}"/>
    <cellStyle name="Note 3 13" xfId="8062" xr:uid="{00000000-0005-0000-0000-0000AE1F0000}"/>
    <cellStyle name="Note 3 13 10" xfId="31812" xr:uid="{00000000-0005-0000-0000-0000747C0000}"/>
    <cellStyle name="Note 3 13 11" xfId="31813" xr:uid="{00000000-0005-0000-0000-0000757C0000}"/>
    <cellStyle name="Note 3 13 12" xfId="31815" xr:uid="{00000000-0005-0000-0000-0000777C0000}"/>
    <cellStyle name="Note 3 13 2" xfId="6125" xr:uid="{00000000-0005-0000-0000-00001D180000}"/>
    <cellStyle name="Note 3 13 2 2" xfId="6137" xr:uid="{00000000-0005-0000-0000-000029180000}"/>
    <cellStyle name="Note 3 13 2 3" xfId="31816" xr:uid="{00000000-0005-0000-0000-0000787C0000}"/>
    <cellStyle name="Note 3 13 3" xfId="6148" xr:uid="{00000000-0005-0000-0000-000034180000}"/>
    <cellStyle name="Note 3 13 3 2" xfId="6155" xr:uid="{00000000-0005-0000-0000-00003B180000}"/>
    <cellStyle name="Note 3 13 4" xfId="6164" xr:uid="{00000000-0005-0000-0000-000044180000}"/>
    <cellStyle name="Note 3 13 4 2" xfId="4478" xr:uid="{00000000-0005-0000-0000-0000AE110000}"/>
    <cellStyle name="Note 3 13 5" xfId="6173" xr:uid="{00000000-0005-0000-0000-00004D180000}"/>
    <cellStyle name="Note 3 13 5 2" xfId="4533" xr:uid="{00000000-0005-0000-0000-0000E5110000}"/>
    <cellStyle name="Note 3 13 6" xfId="1624" xr:uid="{00000000-0005-0000-0000-000088060000}"/>
    <cellStyle name="Note 3 13 6 2" xfId="7540" xr:uid="{00000000-0005-0000-0000-0000A41D0000}"/>
    <cellStyle name="Note 3 13 7" xfId="1652" xr:uid="{00000000-0005-0000-0000-0000A4060000}"/>
    <cellStyle name="Note 3 13 7 2" xfId="31818" xr:uid="{00000000-0005-0000-0000-00007A7C0000}"/>
    <cellStyle name="Note 3 13 8" xfId="776" xr:uid="{00000000-0005-0000-0000-000038030000}"/>
    <cellStyle name="Note 3 13 9" xfId="31819" xr:uid="{00000000-0005-0000-0000-00007B7C0000}"/>
    <cellStyle name="Note 3 14" xfId="8069" xr:uid="{00000000-0005-0000-0000-0000B51F0000}"/>
    <cellStyle name="Note 3 14 2" xfId="7551" xr:uid="{00000000-0005-0000-0000-0000AF1D0000}"/>
    <cellStyle name="Note 3 14 2 2" xfId="10929" xr:uid="{00000000-0005-0000-0000-0000E12A0000}"/>
    <cellStyle name="Note 3 14 3" xfId="7554" xr:uid="{00000000-0005-0000-0000-0000B21D0000}"/>
    <cellStyle name="Note 3 14 4" xfId="31821" xr:uid="{00000000-0005-0000-0000-00007D7C0000}"/>
    <cellStyle name="Note 3 15" xfId="8076" xr:uid="{00000000-0005-0000-0000-0000BC1F0000}"/>
    <cellStyle name="Note 3 15 2" xfId="7586" xr:uid="{00000000-0005-0000-0000-0000D21D0000}"/>
    <cellStyle name="Note 3 15 2 2" xfId="728" xr:uid="{00000000-0005-0000-0000-000008030000}"/>
    <cellStyle name="Note 3 15 3" xfId="7599" xr:uid="{00000000-0005-0000-0000-0000DF1D0000}"/>
    <cellStyle name="Note 3 15 4" xfId="22429" xr:uid="{00000000-0005-0000-0000-0000CD570000}"/>
    <cellStyle name="Note 3 16" xfId="2341" xr:uid="{00000000-0005-0000-0000-000055090000}"/>
    <cellStyle name="Note 3 16 2" xfId="175" xr:uid="{00000000-0005-0000-0000-0000BC000000}"/>
    <cellStyle name="Note 3 16 2 2" xfId="10412" xr:uid="{00000000-0005-0000-0000-0000DC280000}"/>
    <cellStyle name="Note 3 16 3" xfId="7608" xr:uid="{00000000-0005-0000-0000-0000E81D0000}"/>
    <cellStyle name="Note 3 16 4" xfId="22452" xr:uid="{00000000-0005-0000-0000-0000E4570000}"/>
    <cellStyle name="Note 3 17" xfId="1357" xr:uid="{00000000-0005-0000-0000-00007D050000}"/>
    <cellStyle name="Note 3 17 2" xfId="1370" xr:uid="{00000000-0005-0000-0000-00008A050000}"/>
    <cellStyle name="Note 3 18" xfId="1377" xr:uid="{00000000-0005-0000-0000-000091050000}"/>
    <cellStyle name="Note 3 18 2" xfId="1396" xr:uid="{00000000-0005-0000-0000-0000A4050000}"/>
    <cellStyle name="Note 3 19" xfId="1410" xr:uid="{00000000-0005-0000-0000-0000B2050000}"/>
    <cellStyle name="Note 3 2" xfId="31822" xr:uid="{00000000-0005-0000-0000-00007E7C0000}"/>
    <cellStyle name="Note 3 2 10" xfId="31824" xr:uid="{00000000-0005-0000-0000-0000807C0000}"/>
    <cellStyle name="Note 3 2 11" xfId="31826" xr:uid="{00000000-0005-0000-0000-0000827C0000}"/>
    <cellStyle name="Note 3 2 11 10" xfId="22413" xr:uid="{00000000-0005-0000-0000-0000BD570000}"/>
    <cellStyle name="Note 3 2 11 11" xfId="22415" xr:uid="{00000000-0005-0000-0000-0000BF570000}"/>
    <cellStyle name="Note 3 2 11 12" xfId="30497" xr:uid="{00000000-0005-0000-0000-000051770000}"/>
    <cellStyle name="Note 3 2 11 2" xfId="20905" xr:uid="{00000000-0005-0000-0000-0000D9510000}"/>
    <cellStyle name="Note 3 2 11 2 10" xfId="7379" xr:uid="{00000000-0005-0000-0000-0000031D0000}"/>
    <cellStyle name="Note 3 2 11 2 11" xfId="7393" xr:uid="{00000000-0005-0000-0000-0000111D0000}"/>
    <cellStyle name="Note 3 2 11 2 2" xfId="20906" xr:uid="{00000000-0005-0000-0000-0000DA510000}"/>
    <cellStyle name="Note 3 2 11 2 2 2" xfId="20914" xr:uid="{00000000-0005-0000-0000-0000E2510000}"/>
    <cellStyle name="Note 3 2 11 2 2 3" xfId="20921" xr:uid="{00000000-0005-0000-0000-0000E9510000}"/>
    <cellStyle name="Note 3 2 11 2 3" xfId="20937" xr:uid="{00000000-0005-0000-0000-0000F9510000}"/>
    <cellStyle name="Note 3 2 11 2 3 2" xfId="20945" xr:uid="{00000000-0005-0000-0000-000001520000}"/>
    <cellStyle name="Note 3 2 11 2 4" xfId="14315" xr:uid="{00000000-0005-0000-0000-00001B380000}"/>
    <cellStyle name="Note 3 2 11 2 4 2" xfId="31827" xr:uid="{00000000-0005-0000-0000-0000837C0000}"/>
    <cellStyle name="Note 3 2 11 2 5" xfId="11867" xr:uid="{00000000-0005-0000-0000-00008B2E0000}"/>
    <cellStyle name="Note 3 2 11 2 5 2" xfId="31828" xr:uid="{00000000-0005-0000-0000-0000847C0000}"/>
    <cellStyle name="Note 3 2 11 2 6" xfId="14319" xr:uid="{00000000-0005-0000-0000-00001F380000}"/>
    <cellStyle name="Note 3 2 11 2 6 2" xfId="31829" xr:uid="{00000000-0005-0000-0000-0000857C0000}"/>
    <cellStyle name="Note 3 2 11 2 7" xfId="14322" xr:uid="{00000000-0005-0000-0000-000022380000}"/>
    <cellStyle name="Note 3 2 11 2 8" xfId="14325" xr:uid="{00000000-0005-0000-0000-000025380000}"/>
    <cellStyle name="Note 3 2 11 2 9" xfId="14329" xr:uid="{00000000-0005-0000-0000-000029380000}"/>
    <cellStyle name="Note 3 2 11 3" xfId="20949" xr:uid="{00000000-0005-0000-0000-000005520000}"/>
    <cellStyle name="Note 3 2 11 3 2" xfId="3280" xr:uid="{00000000-0005-0000-0000-0000000D0000}"/>
    <cellStyle name="Note 3 2 11 3 3" xfId="3293" xr:uid="{00000000-0005-0000-0000-00000D0D0000}"/>
    <cellStyle name="Note 3 2 11 4" xfId="20954" xr:uid="{00000000-0005-0000-0000-00000A520000}"/>
    <cellStyle name="Note 3 2 11 4 2" xfId="248" xr:uid="{00000000-0005-0000-0000-000009010000}"/>
    <cellStyle name="Note 3 2 11 5" xfId="20959" xr:uid="{00000000-0005-0000-0000-00000F520000}"/>
    <cellStyle name="Note 3 2 11 5 2" xfId="31830" xr:uid="{00000000-0005-0000-0000-0000867C0000}"/>
    <cellStyle name="Note 3 2 11 6" xfId="19037" xr:uid="{00000000-0005-0000-0000-00008D4A0000}"/>
    <cellStyle name="Note 3 2 11 6 2" xfId="19042" xr:uid="{00000000-0005-0000-0000-0000924A0000}"/>
    <cellStyle name="Note 3 2 11 7" xfId="19045" xr:uid="{00000000-0005-0000-0000-0000954A0000}"/>
    <cellStyle name="Note 3 2 11 7 2" xfId="31831" xr:uid="{00000000-0005-0000-0000-0000877C0000}"/>
    <cellStyle name="Note 3 2 11 8" xfId="19049" xr:uid="{00000000-0005-0000-0000-0000994A0000}"/>
    <cellStyle name="Note 3 2 11 9" xfId="19050" xr:uid="{00000000-0005-0000-0000-00009A4A0000}"/>
    <cellStyle name="Note 3 2 12" xfId="31833" xr:uid="{00000000-0005-0000-0000-0000897C0000}"/>
    <cellStyle name="Note 3 2 12 10" xfId="31834" xr:uid="{00000000-0005-0000-0000-00008A7C0000}"/>
    <cellStyle name="Note 3 2 12 11" xfId="31463" xr:uid="{00000000-0005-0000-0000-0000177B0000}"/>
    <cellStyle name="Note 3 2 12 12" xfId="31467" xr:uid="{00000000-0005-0000-0000-00001B7B0000}"/>
    <cellStyle name="Note 3 2 12 2" xfId="30648" xr:uid="{00000000-0005-0000-0000-0000E8770000}"/>
    <cellStyle name="Note 3 2 12 2 2" xfId="30650" xr:uid="{00000000-0005-0000-0000-0000EA770000}"/>
    <cellStyle name="Note 3 2 12 2 3" xfId="31835" xr:uid="{00000000-0005-0000-0000-00008B7C0000}"/>
    <cellStyle name="Note 3 2 12 3" xfId="30652" xr:uid="{00000000-0005-0000-0000-0000EC770000}"/>
    <cellStyle name="Note 3 2 12 3 2" xfId="3791" xr:uid="{00000000-0005-0000-0000-0000FF0E0000}"/>
    <cellStyle name="Note 3 2 12 4" xfId="31837" xr:uid="{00000000-0005-0000-0000-00008D7C0000}"/>
    <cellStyle name="Note 3 2 12 4 2" xfId="31838" xr:uid="{00000000-0005-0000-0000-00008E7C0000}"/>
    <cellStyle name="Note 3 2 12 5" xfId="31840" xr:uid="{00000000-0005-0000-0000-0000907C0000}"/>
    <cellStyle name="Note 3 2 12 5 2" xfId="31759" xr:uid="{00000000-0005-0000-0000-00003F7C0000}"/>
    <cellStyle name="Note 3 2 12 6" xfId="19056" xr:uid="{00000000-0005-0000-0000-0000A04A0000}"/>
    <cellStyle name="Note 3 2 12 6 2" xfId="31841" xr:uid="{00000000-0005-0000-0000-0000917C0000}"/>
    <cellStyle name="Note 3 2 12 7" xfId="19059" xr:uid="{00000000-0005-0000-0000-0000A34A0000}"/>
    <cellStyle name="Note 3 2 12 7 2" xfId="31804" xr:uid="{00000000-0005-0000-0000-00006C7C0000}"/>
    <cellStyle name="Note 3 2 12 8" xfId="19063" xr:uid="{00000000-0005-0000-0000-0000A74A0000}"/>
    <cellStyle name="Note 3 2 12 9" xfId="19064" xr:uid="{00000000-0005-0000-0000-0000A84A0000}"/>
    <cellStyle name="Note 3 2 13" xfId="31843" xr:uid="{00000000-0005-0000-0000-0000937C0000}"/>
    <cellStyle name="Note 3 2 13 2" xfId="30672" xr:uid="{00000000-0005-0000-0000-000000780000}"/>
    <cellStyle name="Note 3 2 13 2 2" xfId="30674" xr:uid="{00000000-0005-0000-0000-000002780000}"/>
    <cellStyle name="Note 3 2 13 3" xfId="30676" xr:uid="{00000000-0005-0000-0000-000004780000}"/>
    <cellStyle name="Note 3 2 13 4" xfId="31844" xr:uid="{00000000-0005-0000-0000-0000947C0000}"/>
    <cellStyle name="Note 3 2 14" xfId="31847" xr:uid="{00000000-0005-0000-0000-0000977C0000}"/>
    <cellStyle name="Note 3 2 14 2" xfId="30695" xr:uid="{00000000-0005-0000-0000-000017780000}"/>
    <cellStyle name="Note 3 2 14 2 2" xfId="31849" xr:uid="{00000000-0005-0000-0000-0000997C0000}"/>
    <cellStyle name="Note 3 2 14 3" xfId="31851" xr:uid="{00000000-0005-0000-0000-00009B7C0000}"/>
    <cellStyle name="Note 3 2 14 4" xfId="31853" xr:uid="{00000000-0005-0000-0000-00009D7C0000}"/>
    <cellStyle name="Note 3 2 15" xfId="20998" xr:uid="{00000000-0005-0000-0000-000036520000}"/>
    <cellStyle name="Note 3 2 15 2" xfId="21002" xr:uid="{00000000-0005-0000-0000-00003A520000}"/>
    <cellStyle name="Note 3 2 15 2 2" xfId="31855" xr:uid="{00000000-0005-0000-0000-00009F7C0000}"/>
    <cellStyle name="Note 3 2 15 3" xfId="31856" xr:uid="{00000000-0005-0000-0000-0000A07C0000}"/>
    <cellStyle name="Note 3 2 15 4" xfId="31857" xr:uid="{00000000-0005-0000-0000-0000A17C0000}"/>
    <cellStyle name="Note 3 2 16" xfId="21008" xr:uid="{00000000-0005-0000-0000-000040520000}"/>
    <cellStyle name="Note 3 2 16 2" xfId="31858" xr:uid="{00000000-0005-0000-0000-0000A27C0000}"/>
    <cellStyle name="Note 3 2 17" xfId="21014" xr:uid="{00000000-0005-0000-0000-000046520000}"/>
    <cellStyle name="Note 3 2 17 2" xfId="31859" xr:uid="{00000000-0005-0000-0000-0000A37C0000}"/>
    <cellStyle name="Note 3 2 18" xfId="21018" xr:uid="{00000000-0005-0000-0000-00004A520000}"/>
    <cellStyle name="Note 3 2 19" xfId="31860" xr:uid="{00000000-0005-0000-0000-0000A47C0000}"/>
    <cellStyle name="Note 3 2 2" xfId="19854" xr:uid="{00000000-0005-0000-0000-0000BE4D0000}"/>
    <cellStyle name="Note 3 2 2 2" xfId="31861" xr:uid="{00000000-0005-0000-0000-0000A57C0000}"/>
    <cellStyle name="Note 3 2 2 3" xfId="31862" xr:uid="{00000000-0005-0000-0000-0000A67C0000}"/>
    <cellStyle name="Note 3 2 2 4" xfId="31863" xr:uid="{00000000-0005-0000-0000-0000A77C0000}"/>
    <cellStyle name="Note 3 2 2 5" xfId="31864" xr:uid="{00000000-0005-0000-0000-0000A87C0000}"/>
    <cellStyle name="Note 3 2 2 6" xfId="31866" xr:uid="{00000000-0005-0000-0000-0000AA7C0000}"/>
    <cellStyle name="Note 3 2 2 7" xfId="31868" xr:uid="{00000000-0005-0000-0000-0000AC7C0000}"/>
    <cellStyle name="Note 3 2 20" xfId="20999" xr:uid="{00000000-0005-0000-0000-000037520000}"/>
    <cellStyle name="Note 3 2 3" xfId="19856" xr:uid="{00000000-0005-0000-0000-0000C04D0000}"/>
    <cellStyle name="Note 3 2 4" xfId="31869" xr:uid="{00000000-0005-0000-0000-0000AD7C0000}"/>
    <cellStyle name="Note 3 2 5" xfId="23770" xr:uid="{00000000-0005-0000-0000-00000A5D0000}"/>
    <cellStyle name="Note 3 2 6" xfId="23776" xr:uid="{00000000-0005-0000-0000-0000105D0000}"/>
    <cellStyle name="Note 3 2 7" xfId="23783" xr:uid="{00000000-0005-0000-0000-0000175D0000}"/>
    <cellStyle name="Note 3 2 8" xfId="9538" xr:uid="{00000000-0005-0000-0000-000072250000}"/>
    <cellStyle name="Note 3 2 9" xfId="23789" xr:uid="{00000000-0005-0000-0000-00001D5D0000}"/>
    <cellStyle name="Note 3 2 9 10" xfId="12860" xr:uid="{00000000-0005-0000-0000-00006C320000}"/>
    <cellStyle name="Note 3 2 9 11" xfId="28078" xr:uid="{00000000-0005-0000-0000-0000DE6D0000}"/>
    <cellStyle name="Note 3 2 9 12" xfId="28082" xr:uid="{00000000-0005-0000-0000-0000E26D0000}"/>
    <cellStyle name="Note 3 2 9 2" xfId="31873" xr:uid="{00000000-0005-0000-0000-0000B17C0000}"/>
    <cellStyle name="Note 3 2 9 2 10" xfId="31874" xr:uid="{00000000-0005-0000-0000-0000B27C0000}"/>
    <cellStyle name="Note 3 2 9 2 11" xfId="31875" xr:uid="{00000000-0005-0000-0000-0000B37C0000}"/>
    <cellStyle name="Note 3 2 9 2 12" xfId="31876" xr:uid="{00000000-0005-0000-0000-0000B47C0000}"/>
    <cellStyle name="Note 3 2 9 2 13" xfId="14217" xr:uid="{00000000-0005-0000-0000-0000B9370000}"/>
    <cellStyle name="Note 3 2 9 2 2" xfId="28726" xr:uid="{00000000-0005-0000-0000-000066700000}"/>
    <cellStyle name="Note 3 2 9 2 2 2" xfId="6611" xr:uid="{00000000-0005-0000-0000-0000031A0000}"/>
    <cellStyle name="Note 3 2 9 2 2 3" xfId="6619" xr:uid="{00000000-0005-0000-0000-00000B1A0000}"/>
    <cellStyle name="Note 3 2 9 2 3" xfId="14437" xr:uid="{00000000-0005-0000-0000-000095380000}"/>
    <cellStyle name="Note 3 2 9 2 3 2" xfId="21792" xr:uid="{00000000-0005-0000-0000-000050550000}"/>
    <cellStyle name="Note 3 2 9 2 4" xfId="28729" xr:uid="{00000000-0005-0000-0000-000069700000}"/>
    <cellStyle name="Note 3 2 9 2 4 2" xfId="21905" xr:uid="{00000000-0005-0000-0000-0000C1550000}"/>
    <cellStyle name="Note 3 2 9 2 5" xfId="31877" xr:uid="{00000000-0005-0000-0000-0000B57C0000}"/>
    <cellStyle name="Note 3 2 9 2 5 2" xfId="21918" xr:uid="{00000000-0005-0000-0000-0000CE550000}"/>
    <cellStyle name="Note 3 2 9 2 6" xfId="31878" xr:uid="{00000000-0005-0000-0000-0000B67C0000}"/>
    <cellStyle name="Note 3 2 9 2 6 2" xfId="31879" xr:uid="{00000000-0005-0000-0000-0000B77C0000}"/>
    <cellStyle name="Note 3 2 9 2 7" xfId="31880" xr:uid="{00000000-0005-0000-0000-0000B87C0000}"/>
    <cellStyle name="Note 3 2 9 2 7 2" xfId="31881" xr:uid="{00000000-0005-0000-0000-0000B97C0000}"/>
    <cellStyle name="Note 3 2 9 2 8" xfId="31882" xr:uid="{00000000-0005-0000-0000-0000BA7C0000}"/>
    <cellStyle name="Note 3 2 9 2 9" xfId="31883" xr:uid="{00000000-0005-0000-0000-0000BB7C0000}"/>
    <cellStyle name="Note 3 2 9 3" xfId="31886" xr:uid="{00000000-0005-0000-0000-0000BE7C0000}"/>
    <cellStyle name="Note 3 2 9 3 2" xfId="31023" xr:uid="{00000000-0005-0000-0000-00005F790000}"/>
    <cellStyle name="Note 3 2 9 3 2 2" xfId="11370" xr:uid="{00000000-0005-0000-0000-00009A2C0000}"/>
    <cellStyle name="Note 3 2 9 3 3" xfId="31887" xr:uid="{00000000-0005-0000-0000-0000BF7C0000}"/>
    <cellStyle name="Note 3 2 9 3 4" xfId="31889" xr:uid="{00000000-0005-0000-0000-0000C17C0000}"/>
    <cellStyle name="Note 3 2 9 4" xfId="31893" xr:uid="{00000000-0005-0000-0000-0000C57C0000}"/>
    <cellStyle name="Note 3 2 9 4 2" xfId="31894" xr:uid="{00000000-0005-0000-0000-0000C67C0000}"/>
    <cellStyle name="Note 3 2 9 4 2 2" xfId="1286" xr:uid="{00000000-0005-0000-0000-000036050000}"/>
    <cellStyle name="Note 3 2 9 4 3" xfId="31895" xr:uid="{00000000-0005-0000-0000-0000C77C0000}"/>
    <cellStyle name="Note 3 2 9 4 4" xfId="31896" xr:uid="{00000000-0005-0000-0000-0000C87C0000}"/>
    <cellStyle name="Note 3 2 9 5" xfId="31897" xr:uid="{00000000-0005-0000-0000-0000C97C0000}"/>
    <cellStyle name="Note 3 2 9 5 2" xfId="24186" xr:uid="{00000000-0005-0000-0000-0000AA5E0000}"/>
    <cellStyle name="Note 3 2 9 5 2 2" xfId="2311" xr:uid="{00000000-0005-0000-0000-000037090000}"/>
    <cellStyle name="Note 3 2 9 5 3" xfId="24188" xr:uid="{00000000-0005-0000-0000-0000AC5E0000}"/>
    <cellStyle name="Note 3 2 9 5 4" xfId="31898" xr:uid="{00000000-0005-0000-0000-0000CA7C0000}"/>
    <cellStyle name="Note 3 2 9 6" xfId="29010" xr:uid="{00000000-0005-0000-0000-000082710000}"/>
    <cellStyle name="Note 3 2 9 6 2" xfId="10638" xr:uid="{00000000-0005-0000-0000-0000BE290000}"/>
    <cellStyle name="Note 3 2 9 6 2 2" xfId="2912" xr:uid="{00000000-0005-0000-0000-0000900B0000}"/>
    <cellStyle name="Note 3 2 9 6 3" xfId="10642" xr:uid="{00000000-0005-0000-0000-0000C2290000}"/>
    <cellStyle name="Note 3 2 9 6 4" xfId="10649" xr:uid="{00000000-0005-0000-0000-0000C9290000}"/>
    <cellStyle name="Note 3 2 9 7" xfId="31899" xr:uid="{00000000-0005-0000-0000-0000CB7C0000}"/>
    <cellStyle name="Note 3 2 9 7 2" xfId="31900" xr:uid="{00000000-0005-0000-0000-0000CC7C0000}"/>
    <cellStyle name="Note 3 2 9 8" xfId="31903" xr:uid="{00000000-0005-0000-0000-0000CF7C0000}"/>
    <cellStyle name="Note 3 2 9 8 2" xfId="31905" xr:uid="{00000000-0005-0000-0000-0000D17C0000}"/>
    <cellStyle name="Note 3 2 9 9" xfId="31907" xr:uid="{00000000-0005-0000-0000-0000D37C0000}"/>
    <cellStyle name="Note 3 20" xfId="8077" xr:uid="{00000000-0005-0000-0000-0000BD1F0000}"/>
    <cellStyle name="Note 3 21" xfId="2342" xr:uid="{00000000-0005-0000-0000-000056090000}"/>
    <cellStyle name="Note 3 3" xfId="31908" xr:uid="{00000000-0005-0000-0000-0000D47C0000}"/>
    <cellStyle name="Note 3 3 2" xfId="29206" xr:uid="{00000000-0005-0000-0000-000046720000}"/>
    <cellStyle name="Note 3 3 3" xfId="29209" xr:uid="{00000000-0005-0000-0000-000049720000}"/>
    <cellStyle name="Note 3 3 4" xfId="29212" xr:uid="{00000000-0005-0000-0000-00004C720000}"/>
    <cellStyle name="Note 3 3 5" xfId="24091" xr:uid="{00000000-0005-0000-0000-00004B5E0000}"/>
    <cellStyle name="Note 3 3 6" xfId="24098" xr:uid="{00000000-0005-0000-0000-0000525E0000}"/>
    <cellStyle name="Note 3 3 7" xfId="24103" xr:uid="{00000000-0005-0000-0000-0000575E0000}"/>
    <cellStyle name="Note 3 4" xfId="31909" xr:uid="{00000000-0005-0000-0000-0000D57C0000}"/>
    <cellStyle name="Note 3 5" xfId="24171" xr:uid="{00000000-0005-0000-0000-00009B5E0000}"/>
    <cellStyle name="Note 3 6" xfId="24173" xr:uid="{00000000-0005-0000-0000-00009D5E0000}"/>
    <cellStyle name="Note 3 7" xfId="24175" xr:uid="{00000000-0005-0000-0000-00009F5E0000}"/>
    <cellStyle name="Note 3 8" xfId="26480" xr:uid="{00000000-0005-0000-0000-0000A0670000}"/>
    <cellStyle name="Note 3 9" xfId="19305" xr:uid="{00000000-0005-0000-0000-0000994B0000}"/>
    <cellStyle name="Note 4" xfId="31910" xr:uid="{00000000-0005-0000-0000-0000D67C0000}"/>
    <cellStyle name="Note 4 2" xfId="28665" xr:uid="{00000000-0005-0000-0000-000029700000}"/>
    <cellStyle name="Note 4 2 2" xfId="28669" xr:uid="{00000000-0005-0000-0000-00002D700000}"/>
    <cellStyle name="Note 4 2 3" xfId="28671" xr:uid="{00000000-0005-0000-0000-00002F700000}"/>
    <cellStyle name="Note 4 2 4" xfId="28673" xr:uid="{00000000-0005-0000-0000-000031700000}"/>
    <cellStyle name="Note 4 2 5" xfId="24209" xr:uid="{00000000-0005-0000-0000-0000C15E0000}"/>
    <cellStyle name="Note 4 2 6" xfId="24213" xr:uid="{00000000-0005-0000-0000-0000C55E0000}"/>
    <cellStyle name="Note 4 2 7" xfId="24216" xr:uid="{00000000-0005-0000-0000-0000C85E0000}"/>
    <cellStyle name="Note 4 3" xfId="28683" xr:uid="{00000000-0005-0000-0000-00003B700000}"/>
    <cellStyle name="Note 4 4" xfId="28689" xr:uid="{00000000-0005-0000-0000-000041700000}"/>
    <cellStyle name="Note 4 5" xfId="10373" xr:uid="{00000000-0005-0000-0000-0000B5280000}"/>
    <cellStyle name="Note 4 6" xfId="10380" xr:uid="{00000000-0005-0000-0000-0000BC280000}"/>
    <cellStyle name="Note 4 7" xfId="10383" xr:uid="{00000000-0005-0000-0000-0000BF280000}"/>
    <cellStyle name="Note 4 8" xfId="2783" xr:uid="{00000000-0005-0000-0000-00000F0B0000}"/>
    <cellStyle name="Note 5" xfId="11824" xr:uid="{00000000-0005-0000-0000-0000602E0000}"/>
    <cellStyle name="Note 5 2" xfId="28714" xr:uid="{00000000-0005-0000-0000-00005A700000}"/>
    <cellStyle name="Note 5 3" xfId="28718" xr:uid="{00000000-0005-0000-0000-00005E700000}"/>
    <cellStyle name="Note 5 4" xfId="28721" xr:uid="{00000000-0005-0000-0000-000061700000}"/>
    <cellStyle name="Note 5 5" xfId="28724" xr:uid="{00000000-0005-0000-0000-000064700000}"/>
    <cellStyle name="Note 5 6" xfId="14436" xr:uid="{00000000-0005-0000-0000-000094380000}"/>
    <cellStyle name="Note 5 7" xfId="28728" xr:uid="{00000000-0005-0000-0000-000068700000}"/>
    <cellStyle name="Output 2" xfId="31912" xr:uid="{00000000-0005-0000-0000-0000D87C0000}"/>
    <cellStyle name="Output 2 10" xfId="31915" xr:uid="{00000000-0005-0000-0000-0000DB7C0000}"/>
    <cellStyle name="Output 2 10 2" xfId="31916" xr:uid="{00000000-0005-0000-0000-0000DC7C0000}"/>
    <cellStyle name="Output 2 10 2 2" xfId="22036" xr:uid="{00000000-0005-0000-0000-000044560000}"/>
    <cellStyle name="Output 2 10 3" xfId="31917" xr:uid="{00000000-0005-0000-0000-0000DD7C0000}"/>
    <cellStyle name="Output 2 10 4" xfId="31918" xr:uid="{00000000-0005-0000-0000-0000DE7C0000}"/>
    <cellStyle name="Output 2 11" xfId="31919" xr:uid="{00000000-0005-0000-0000-0000DF7C0000}"/>
    <cellStyle name="Output 2 11 2" xfId="12802" xr:uid="{00000000-0005-0000-0000-000032320000}"/>
    <cellStyle name="Output 2 12" xfId="31920" xr:uid="{00000000-0005-0000-0000-0000E07C0000}"/>
    <cellStyle name="Output 2 12 2" xfId="3762" xr:uid="{00000000-0005-0000-0000-0000E20E0000}"/>
    <cellStyle name="Output 2 13" xfId="31921" xr:uid="{00000000-0005-0000-0000-0000E17C0000}"/>
    <cellStyle name="Output 2 14" xfId="31922" xr:uid="{00000000-0005-0000-0000-0000E27C0000}"/>
    <cellStyle name="Output 2 15" xfId="31923" xr:uid="{00000000-0005-0000-0000-0000E37C0000}"/>
    <cellStyle name="Output 2 16" xfId="31924" xr:uid="{00000000-0005-0000-0000-0000E47C0000}"/>
    <cellStyle name="Output 2 2" xfId="31925" xr:uid="{00000000-0005-0000-0000-0000E57C0000}"/>
    <cellStyle name="Output 2 2 10" xfId="31926" xr:uid="{00000000-0005-0000-0000-0000E67C0000}"/>
    <cellStyle name="Output 2 2 10 2" xfId="31929" xr:uid="{00000000-0005-0000-0000-0000E97C0000}"/>
    <cellStyle name="Output 2 2 11" xfId="31932" xr:uid="{00000000-0005-0000-0000-0000EC7C0000}"/>
    <cellStyle name="Output 2 2 12" xfId="31934" xr:uid="{00000000-0005-0000-0000-0000EE7C0000}"/>
    <cellStyle name="Output 2 2 13" xfId="31935" xr:uid="{00000000-0005-0000-0000-0000EF7C0000}"/>
    <cellStyle name="Output 2 2 2" xfId="31936" xr:uid="{00000000-0005-0000-0000-0000F07C0000}"/>
    <cellStyle name="Output 2 2 2 10" xfId="31937" xr:uid="{00000000-0005-0000-0000-0000F17C0000}"/>
    <cellStyle name="Output 2 2 2 11" xfId="31938" xr:uid="{00000000-0005-0000-0000-0000F27C0000}"/>
    <cellStyle name="Output 2 2 2 12" xfId="31939" xr:uid="{00000000-0005-0000-0000-0000F37C0000}"/>
    <cellStyle name="Output 2 2 2 2" xfId="12468" xr:uid="{00000000-0005-0000-0000-0000E4300000}"/>
    <cellStyle name="Output 2 2 2 2 10" xfId="31940" xr:uid="{00000000-0005-0000-0000-0000F47C0000}"/>
    <cellStyle name="Output 2 2 2 2 11" xfId="31941" xr:uid="{00000000-0005-0000-0000-0000F57C0000}"/>
    <cellStyle name="Output 2 2 2 2 12" xfId="31942" xr:uid="{00000000-0005-0000-0000-0000F67C0000}"/>
    <cellStyle name="Output 2 2 2 2 13" xfId="1807" xr:uid="{00000000-0005-0000-0000-00003F070000}"/>
    <cellStyle name="Output 2 2 2 2 2" xfId="9327" xr:uid="{00000000-0005-0000-0000-00009F240000}"/>
    <cellStyle name="Output 2 2 2 2 2 2" xfId="22872" xr:uid="{00000000-0005-0000-0000-000088590000}"/>
    <cellStyle name="Output 2 2 2 2 2 3" xfId="20541" xr:uid="{00000000-0005-0000-0000-00006D500000}"/>
    <cellStyle name="Output 2 2 2 2 3" xfId="12470" xr:uid="{00000000-0005-0000-0000-0000E6300000}"/>
    <cellStyle name="Output 2 2 2 2 3 2" xfId="29752" xr:uid="{00000000-0005-0000-0000-000068740000}"/>
    <cellStyle name="Output 2 2 2 2 4" xfId="12472" xr:uid="{00000000-0005-0000-0000-0000E8300000}"/>
    <cellStyle name="Output 2 2 2 2 4 2" xfId="31944" xr:uid="{00000000-0005-0000-0000-0000F87C0000}"/>
    <cellStyle name="Output 2 2 2 2 5" xfId="12474" xr:uid="{00000000-0005-0000-0000-0000EA300000}"/>
    <cellStyle name="Output 2 2 2 2 5 2" xfId="31947" xr:uid="{00000000-0005-0000-0000-0000FB7C0000}"/>
    <cellStyle name="Output 2 2 2 2 6" xfId="12476" xr:uid="{00000000-0005-0000-0000-0000EC300000}"/>
    <cellStyle name="Output 2 2 2 2 6 2" xfId="31949" xr:uid="{00000000-0005-0000-0000-0000FD7C0000}"/>
    <cellStyle name="Output 2 2 2 2 7" xfId="31950" xr:uid="{00000000-0005-0000-0000-0000FE7C0000}"/>
    <cellStyle name="Output 2 2 2 2 7 2" xfId="23057" xr:uid="{00000000-0005-0000-0000-0000415A0000}"/>
    <cellStyle name="Output 2 2 2 2 8" xfId="31951" xr:uid="{00000000-0005-0000-0000-0000FF7C0000}"/>
    <cellStyle name="Output 2 2 2 2 9" xfId="31952" xr:uid="{00000000-0005-0000-0000-0000007D0000}"/>
    <cellStyle name="Output 2 2 2 3" xfId="10616" xr:uid="{00000000-0005-0000-0000-0000A8290000}"/>
    <cellStyle name="Output 2 2 2 3 2" xfId="31953" xr:uid="{00000000-0005-0000-0000-0000017D0000}"/>
    <cellStyle name="Output 2 2 2 3 2 2" xfId="23292" xr:uid="{00000000-0005-0000-0000-00002C5B0000}"/>
    <cellStyle name="Output 2 2 2 3 3" xfId="31954" xr:uid="{00000000-0005-0000-0000-0000027D0000}"/>
    <cellStyle name="Output 2 2 2 3 4" xfId="31955" xr:uid="{00000000-0005-0000-0000-0000037D0000}"/>
    <cellStyle name="Output 2 2 2 4" xfId="5234" xr:uid="{00000000-0005-0000-0000-0000A2140000}"/>
    <cellStyle name="Output 2 2 2 4 2" xfId="31956" xr:uid="{00000000-0005-0000-0000-0000047D0000}"/>
    <cellStyle name="Output 2 2 2 4 2 2" xfId="31870" xr:uid="{00000000-0005-0000-0000-0000AE7C0000}"/>
    <cellStyle name="Output 2 2 2 4 3" xfId="31957" xr:uid="{00000000-0005-0000-0000-0000057D0000}"/>
    <cellStyle name="Output 2 2 2 4 4" xfId="31958" xr:uid="{00000000-0005-0000-0000-0000067D0000}"/>
    <cellStyle name="Output 2 2 2 5" xfId="10057" xr:uid="{00000000-0005-0000-0000-000079270000}"/>
    <cellStyle name="Output 2 2 2 5 2" xfId="31959" xr:uid="{00000000-0005-0000-0000-0000077D0000}"/>
    <cellStyle name="Output 2 2 2 5 2 2" xfId="28674" xr:uid="{00000000-0005-0000-0000-000032700000}"/>
    <cellStyle name="Output 2 2 2 5 3" xfId="31962" xr:uid="{00000000-0005-0000-0000-00000A7D0000}"/>
    <cellStyle name="Output 2 2 2 5 4" xfId="31964" xr:uid="{00000000-0005-0000-0000-00000C7D0000}"/>
    <cellStyle name="Output 2 2 2 6" xfId="16376" xr:uid="{00000000-0005-0000-0000-000028400000}"/>
    <cellStyle name="Output 2 2 2 6 2" xfId="31966" xr:uid="{00000000-0005-0000-0000-00000E7D0000}"/>
    <cellStyle name="Output 2 2 2 6 2 2" xfId="31968" xr:uid="{00000000-0005-0000-0000-0000107D0000}"/>
    <cellStyle name="Output 2 2 2 6 3" xfId="31969" xr:uid="{00000000-0005-0000-0000-0000117D0000}"/>
    <cellStyle name="Output 2 2 2 6 4" xfId="570" xr:uid="{00000000-0005-0000-0000-000061020000}"/>
    <cellStyle name="Output 2 2 2 7" xfId="16378" xr:uid="{00000000-0005-0000-0000-00002A400000}"/>
    <cellStyle name="Output 2 2 2 7 2" xfId="31971" xr:uid="{00000000-0005-0000-0000-0000137D0000}"/>
    <cellStyle name="Output 2 2 2 8" xfId="16380" xr:uid="{00000000-0005-0000-0000-00002C400000}"/>
    <cellStyle name="Output 2 2 2 8 2" xfId="31973" xr:uid="{00000000-0005-0000-0000-0000157D0000}"/>
    <cellStyle name="Output 2 2 2 9" xfId="16382" xr:uid="{00000000-0005-0000-0000-00002E400000}"/>
    <cellStyle name="Output 2 2 3" xfId="11068" xr:uid="{00000000-0005-0000-0000-00006C2B0000}"/>
    <cellStyle name="Output 2 2 4" xfId="31976" xr:uid="{00000000-0005-0000-0000-0000187D0000}"/>
    <cellStyle name="Output 2 2 4 10" xfId="25055" xr:uid="{00000000-0005-0000-0000-00000F620000}"/>
    <cellStyle name="Output 2 2 4 11" xfId="25059" xr:uid="{00000000-0005-0000-0000-000013620000}"/>
    <cellStyle name="Output 2 2 4 12" xfId="25062" xr:uid="{00000000-0005-0000-0000-000016620000}"/>
    <cellStyle name="Output 2 2 4 2" xfId="14659" xr:uid="{00000000-0005-0000-0000-000073390000}"/>
    <cellStyle name="Output 2 2 4 2 10" xfId="31979" xr:uid="{00000000-0005-0000-0000-00001B7D0000}"/>
    <cellStyle name="Output 2 2 4 2 11" xfId="31983" xr:uid="{00000000-0005-0000-0000-00001F7D0000}"/>
    <cellStyle name="Output 2 2 4 2 2" xfId="14633" xr:uid="{00000000-0005-0000-0000-000059390000}"/>
    <cellStyle name="Output 2 2 4 2 2 2" xfId="13922" xr:uid="{00000000-0005-0000-0000-000092360000}"/>
    <cellStyle name="Output 2 2 4 2 2 3" xfId="13925" xr:uid="{00000000-0005-0000-0000-000095360000}"/>
    <cellStyle name="Output 2 2 4 2 3" xfId="14636" xr:uid="{00000000-0005-0000-0000-00005C390000}"/>
    <cellStyle name="Output 2 2 4 2 3 2" xfId="31986" xr:uid="{00000000-0005-0000-0000-0000227D0000}"/>
    <cellStyle name="Output 2 2 4 2 4" xfId="14639" xr:uid="{00000000-0005-0000-0000-00005F390000}"/>
    <cellStyle name="Output 2 2 4 2 4 2" xfId="31988" xr:uid="{00000000-0005-0000-0000-0000247D0000}"/>
    <cellStyle name="Output 2 2 4 2 5" xfId="14643" xr:uid="{00000000-0005-0000-0000-000063390000}"/>
    <cellStyle name="Output 2 2 4 2 5 2" xfId="31990" xr:uid="{00000000-0005-0000-0000-0000267D0000}"/>
    <cellStyle name="Output 2 2 4 2 6" xfId="14646" xr:uid="{00000000-0005-0000-0000-000066390000}"/>
    <cellStyle name="Output 2 2 4 2 6 2" xfId="31991" xr:uid="{00000000-0005-0000-0000-0000277D0000}"/>
    <cellStyle name="Output 2 2 4 2 7" xfId="31993" xr:uid="{00000000-0005-0000-0000-0000297D0000}"/>
    <cellStyle name="Output 2 2 4 2 8" xfId="31995" xr:uid="{00000000-0005-0000-0000-00002B7D0000}"/>
    <cellStyle name="Output 2 2 4 2 9" xfId="31997" xr:uid="{00000000-0005-0000-0000-00002D7D0000}"/>
    <cellStyle name="Output 2 2 4 3" xfId="14664" xr:uid="{00000000-0005-0000-0000-000078390000}"/>
    <cellStyle name="Output 2 2 4 3 2" xfId="32000" xr:uid="{00000000-0005-0000-0000-0000307D0000}"/>
    <cellStyle name="Output 2 2 4 3 3" xfId="32004" xr:uid="{00000000-0005-0000-0000-0000347D0000}"/>
    <cellStyle name="Output 2 2 4 4" xfId="32006" xr:uid="{00000000-0005-0000-0000-0000367D0000}"/>
    <cellStyle name="Output 2 2 4 4 2" xfId="32009" xr:uid="{00000000-0005-0000-0000-0000397D0000}"/>
    <cellStyle name="Output 2 2 4 5" xfId="32011" xr:uid="{00000000-0005-0000-0000-00003B7D0000}"/>
    <cellStyle name="Output 2 2 4 5 2" xfId="32014" xr:uid="{00000000-0005-0000-0000-00003E7D0000}"/>
    <cellStyle name="Output 2 2 4 6" xfId="2569" xr:uid="{00000000-0005-0000-0000-0000390A0000}"/>
    <cellStyle name="Output 2 2 4 6 2" xfId="10147" xr:uid="{00000000-0005-0000-0000-0000D3270000}"/>
    <cellStyle name="Output 2 2 4 7" xfId="32018" xr:uid="{00000000-0005-0000-0000-0000427D0000}"/>
    <cellStyle name="Output 2 2 4 7 2" xfId="14685" xr:uid="{00000000-0005-0000-0000-00008D390000}"/>
    <cellStyle name="Output 2 2 4 8" xfId="32021" xr:uid="{00000000-0005-0000-0000-0000457D0000}"/>
    <cellStyle name="Output 2 2 4 9" xfId="32024" xr:uid="{00000000-0005-0000-0000-0000487D0000}"/>
    <cellStyle name="Output 2 2 5" xfId="32027" xr:uid="{00000000-0005-0000-0000-00004B7D0000}"/>
    <cellStyle name="Output 2 2 5 10" xfId="32029" xr:uid="{00000000-0005-0000-0000-00004D7D0000}"/>
    <cellStyle name="Output 2 2 5 11" xfId="32031" xr:uid="{00000000-0005-0000-0000-00004F7D0000}"/>
    <cellStyle name="Output 2 2 5 12" xfId="31989" xr:uid="{00000000-0005-0000-0000-0000257D0000}"/>
    <cellStyle name="Output 2 2 5 2" xfId="31980" xr:uid="{00000000-0005-0000-0000-00001C7D0000}"/>
    <cellStyle name="Output 2 2 5 2 2" xfId="32034" xr:uid="{00000000-0005-0000-0000-0000527D0000}"/>
    <cellStyle name="Output 2 2 5 2 3" xfId="32037" xr:uid="{00000000-0005-0000-0000-0000557D0000}"/>
    <cellStyle name="Output 2 2 5 3" xfId="31984" xr:uid="{00000000-0005-0000-0000-0000207D0000}"/>
    <cellStyle name="Output 2 2 5 3 2" xfId="32040" xr:uid="{00000000-0005-0000-0000-0000587D0000}"/>
    <cellStyle name="Output 2 2 5 4" xfId="32043" xr:uid="{00000000-0005-0000-0000-00005B7D0000}"/>
    <cellStyle name="Output 2 2 5 4 2" xfId="32046" xr:uid="{00000000-0005-0000-0000-00005E7D0000}"/>
    <cellStyle name="Output 2 2 5 5" xfId="32049" xr:uid="{00000000-0005-0000-0000-0000617D0000}"/>
    <cellStyle name="Output 2 2 5 5 2" xfId="32052" xr:uid="{00000000-0005-0000-0000-0000647D0000}"/>
    <cellStyle name="Output 2 2 5 6" xfId="2852" xr:uid="{00000000-0005-0000-0000-0000540B0000}"/>
    <cellStyle name="Output 2 2 5 6 2" xfId="32057" xr:uid="{00000000-0005-0000-0000-0000697D0000}"/>
    <cellStyle name="Output 2 2 5 7" xfId="32060" xr:uid="{00000000-0005-0000-0000-00006C7D0000}"/>
    <cellStyle name="Output 2 2 5 7 2" xfId="30199" xr:uid="{00000000-0005-0000-0000-000027760000}"/>
    <cellStyle name="Output 2 2 5 8" xfId="32063" xr:uid="{00000000-0005-0000-0000-00006F7D0000}"/>
    <cellStyle name="Output 2 2 5 9" xfId="26486" xr:uid="{00000000-0005-0000-0000-0000A6670000}"/>
    <cellStyle name="Output 2 2 6" xfId="32066" xr:uid="{00000000-0005-0000-0000-0000727D0000}"/>
    <cellStyle name="Output 2 2 6 2" xfId="32068" xr:uid="{00000000-0005-0000-0000-0000747D0000}"/>
    <cellStyle name="Output 2 2 6 2 2" xfId="32070" xr:uid="{00000000-0005-0000-0000-0000767D0000}"/>
    <cellStyle name="Output 2 2 6 3" xfId="32072" xr:uid="{00000000-0005-0000-0000-0000787D0000}"/>
    <cellStyle name="Output 2 2 6 4" xfId="32074" xr:uid="{00000000-0005-0000-0000-00007A7D0000}"/>
    <cellStyle name="Output 2 2 7" xfId="1432" xr:uid="{00000000-0005-0000-0000-0000C8050000}"/>
    <cellStyle name="Output 2 2 7 2" xfId="32077" xr:uid="{00000000-0005-0000-0000-00007D7D0000}"/>
    <cellStyle name="Output 2 2 7 2 2" xfId="32079" xr:uid="{00000000-0005-0000-0000-00007F7D0000}"/>
    <cellStyle name="Output 2 2 7 3" xfId="32081" xr:uid="{00000000-0005-0000-0000-0000817D0000}"/>
    <cellStyle name="Output 2 2 7 4" xfId="32083" xr:uid="{00000000-0005-0000-0000-0000837D0000}"/>
    <cellStyle name="Output 2 2 8" xfId="32085" xr:uid="{00000000-0005-0000-0000-0000857D0000}"/>
    <cellStyle name="Output 2 2 8 2" xfId="32087" xr:uid="{00000000-0005-0000-0000-0000877D0000}"/>
    <cellStyle name="Output 2 2 8 2 2" xfId="32089" xr:uid="{00000000-0005-0000-0000-0000897D0000}"/>
    <cellStyle name="Output 2 2 8 3" xfId="32091" xr:uid="{00000000-0005-0000-0000-00008B7D0000}"/>
    <cellStyle name="Output 2 2 8 4" xfId="32093" xr:uid="{00000000-0005-0000-0000-00008D7D0000}"/>
    <cellStyle name="Output 2 2 9" xfId="32095" xr:uid="{00000000-0005-0000-0000-00008F7D0000}"/>
    <cellStyle name="Output 2 2 9 2" xfId="1501" xr:uid="{00000000-0005-0000-0000-00000D060000}"/>
    <cellStyle name="Output 2 3" xfId="32096" xr:uid="{00000000-0005-0000-0000-0000907D0000}"/>
    <cellStyle name="Output 2 4" xfId="32097" xr:uid="{00000000-0005-0000-0000-0000917D0000}"/>
    <cellStyle name="Output 2 4 10" xfId="32098" xr:uid="{00000000-0005-0000-0000-0000927D0000}"/>
    <cellStyle name="Output 2 4 11" xfId="32099" xr:uid="{00000000-0005-0000-0000-0000937D0000}"/>
    <cellStyle name="Output 2 4 12" xfId="32100" xr:uid="{00000000-0005-0000-0000-0000947D0000}"/>
    <cellStyle name="Output 2 4 2" xfId="32101" xr:uid="{00000000-0005-0000-0000-0000957D0000}"/>
    <cellStyle name="Output 2 4 2 10" xfId="32102" xr:uid="{00000000-0005-0000-0000-0000967D0000}"/>
    <cellStyle name="Output 2 4 2 11" xfId="32103" xr:uid="{00000000-0005-0000-0000-0000977D0000}"/>
    <cellStyle name="Output 2 4 2 12" xfId="32104" xr:uid="{00000000-0005-0000-0000-0000987D0000}"/>
    <cellStyle name="Output 2 4 2 13" xfId="32105" xr:uid="{00000000-0005-0000-0000-0000997D0000}"/>
    <cellStyle name="Output 2 4 2 2" xfId="9464" xr:uid="{00000000-0005-0000-0000-000028250000}"/>
    <cellStyle name="Output 2 4 2 2 2" xfId="32106" xr:uid="{00000000-0005-0000-0000-00009A7D0000}"/>
    <cellStyle name="Output 2 4 2 2 3" xfId="32107" xr:uid="{00000000-0005-0000-0000-00009B7D0000}"/>
    <cellStyle name="Output 2 4 2 3" xfId="9474" xr:uid="{00000000-0005-0000-0000-000032250000}"/>
    <cellStyle name="Output 2 4 2 3 2" xfId="14229" xr:uid="{00000000-0005-0000-0000-0000C5370000}"/>
    <cellStyle name="Output 2 4 2 4" xfId="9482" xr:uid="{00000000-0005-0000-0000-00003A250000}"/>
    <cellStyle name="Output 2 4 2 4 2" xfId="17611" xr:uid="{00000000-0005-0000-0000-0000FB440000}"/>
    <cellStyle name="Output 2 4 2 5" xfId="9489" xr:uid="{00000000-0005-0000-0000-000041250000}"/>
    <cellStyle name="Output 2 4 2 5 2" xfId="32108" xr:uid="{00000000-0005-0000-0000-00009C7D0000}"/>
    <cellStyle name="Output 2 4 2 6" xfId="32110" xr:uid="{00000000-0005-0000-0000-00009E7D0000}"/>
    <cellStyle name="Output 2 4 2 6 2" xfId="32111" xr:uid="{00000000-0005-0000-0000-00009F7D0000}"/>
    <cellStyle name="Output 2 4 2 7" xfId="32112" xr:uid="{00000000-0005-0000-0000-0000A07D0000}"/>
    <cellStyle name="Output 2 4 2 7 2" xfId="32113" xr:uid="{00000000-0005-0000-0000-0000A17D0000}"/>
    <cellStyle name="Output 2 4 2 8" xfId="32114" xr:uid="{00000000-0005-0000-0000-0000A27D0000}"/>
    <cellStyle name="Output 2 4 2 9" xfId="11624" xr:uid="{00000000-0005-0000-0000-0000982D0000}"/>
    <cellStyle name="Output 2 4 3" xfId="32115" xr:uid="{00000000-0005-0000-0000-0000A37D0000}"/>
    <cellStyle name="Output 2 4 3 2" xfId="745" xr:uid="{00000000-0005-0000-0000-000019030000}"/>
    <cellStyle name="Output 2 4 3 2 2" xfId="32116" xr:uid="{00000000-0005-0000-0000-0000A47D0000}"/>
    <cellStyle name="Output 2 4 3 3" xfId="13979" xr:uid="{00000000-0005-0000-0000-0000CB360000}"/>
    <cellStyle name="Output 2 4 3 4" xfId="13984" xr:uid="{00000000-0005-0000-0000-0000D0360000}"/>
    <cellStyle name="Output 2 4 4" xfId="32118" xr:uid="{00000000-0005-0000-0000-0000A67D0000}"/>
    <cellStyle name="Output 2 4 4 2" xfId="9529" xr:uid="{00000000-0005-0000-0000-000069250000}"/>
    <cellStyle name="Output 2 4 4 2 2" xfId="32120" xr:uid="{00000000-0005-0000-0000-0000A87D0000}"/>
    <cellStyle name="Output 2 4 4 3" xfId="13993" xr:uid="{00000000-0005-0000-0000-0000D9360000}"/>
    <cellStyle name="Output 2 4 4 4" xfId="32122" xr:uid="{00000000-0005-0000-0000-0000AA7D0000}"/>
    <cellStyle name="Output 2 4 5" xfId="32124" xr:uid="{00000000-0005-0000-0000-0000AC7D0000}"/>
    <cellStyle name="Output 2 4 5 2" xfId="23802" xr:uid="{00000000-0005-0000-0000-00002A5D0000}"/>
    <cellStyle name="Output 2 4 5 2 2" xfId="32126" xr:uid="{00000000-0005-0000-0000-0000AE7D0000}"/>
    <cellStyle name="Output 2 4 5 3" xfId="23807" xr:uid="{00000000-0005-0000-0000-00002F5D0000}"/>
    <cellStyle name="Output 2 4 5 4" xfId="32128" xr:uid="{00000000-0005-0000-0000-0000B07D0000}"/>
    <cellStyle name="Output 2 4 6" xfId="32130" xr:uid="{00000000-0005-0000-0000-0000B27D0000}"/>
    <cellStyle name="Output 2 4 6 2" xfId="32132" xr:uid="{00000000-0005-0000-0000-0000B47D0000}"/>
    <cellStyle name="Output 2 4 6 2 2" xfId="24798" xr:uid="{00000000-0005-0000-0000-00000E610000}"/>
    <cellStyle name="Output 2 4 6 3" xfId="32134" xr:uid="{00000000-0005-0000-0000-0000B67D0000}"/>
    <cellStyle name="Output 2 4 6 4" xfId="32136" xr:uid="{00000000-0005-0000-0000-0000B87D0000}"/>
    <cellStyle name="Output 2 4 7" xfId="32138" xr:uid="{00000000-0005-0000-0000-0000BA7D0000}"/>
    <cellStyle name="Output 2 4 7 2" xfId="32140" xr:uid="{00000000-0005-0000-0000-0000BC7D0000}"/>
    <cellStyle name="Output 2 4 8" xfId="32142" xr:uid="{00000000-0005-0000-0000-0000BE7D0000}"/>
    <cellStyle name="Output 2 4 8 2" xfId="32144" xr:uid="{00000000-0005-0000-0000-0000C07D0000}"/>
    <cellStyle name="Output 2 4 9" xfId="32146" xr:uid="{00000000-0005-0000-0000-0000C27D0000}"/>
    <cellStyle name="Output 2 5" xfId="32147" xr:uid="{00000000-0005-0000-0000-0000C37D0000}"/>
    <cellStyle name="Output 2 5 10" xfId="32148" xr:uid="{00000000-0005-0000-0000-0000C47D0000}"/>
    <cellStyle name="Output 2 5 11" xfId="31639" xr:uid="{00000000-0005-0000-0000-0000C77B0000}"/>
    <cellStyle name="Output 2 5 12" xfId="31642" xr:uid="{00000000-0005-0000-0000-0000CA7B0000}"/>
    <cellStyle name="Output 2 5 2" xfId="32150" xr:uid="{00000000-0005-0000-0000-0000C67D0000}"/>
    <cellStyle name="Output 2 5 2 10" xfId="32152" xr:uid="{00000000-0005-0000-0000-0000C87D0000}"/>
    <cellStyle name="Output 2 5 2 11" xfId="32047" xr:uid="{00000000-0005-0000-0000-00005F7D0000}"/>
    <cellStyle name="Output 2 5 2 12" xfId="32155" xr:uid="{00000000-0005-0000-0000-0000CB7D0000}"/>
    <cellStyle name="Output 2 5 2 13" xfId="32158" xr:uid="{00000000-0005-0000-0000-0000CE7D0000}"/>
    <cellStyle name="Output 2 5 2 2" xfId="9655" xr:uid="{00000000-0005-0000-0000-0000E7250000}"/>
    <cellStyle name="Output 2 5 2 2 2" xfId="32159" xr:uid="{00000000-0005-0000-0000-0000CF7D0000}"/>
    <cellStyle name="Output 2 5 2 2 3" xfId="32160" xr:uid="{00000000-0005-0000-0000-0000D07D0000}"/>
    <cellStyle name="Output 2 5 2 3" xfId="9662" xr:uid="{00000000-0005-0000-0000-0000EE250000}"/>
    <cellStyle name="Output 2 5 2 3 2" xfId="10233" xr:uid="{00000000-0005-0000-0000-000029280000}"/>
    <cellStyle name="Output 2 5 2 4" xfId="9668" xr:uid="{00000000-0005-0000-0000-0000F4250000}"/>
    <cellStyle name="Output 2 5 2 4 2" xfId="10267" xr:uid="{00000000-0005-0000-0000-00004B280000}"/>
    <cellStyle name="Output 2 5 2 5" xfId="5416" xr:uid="{00000000-0005-0000-0000-000058150000}"/>
    <cellStyle name="Output 2 5 2 5 2" xfId="32161" xr:uid="{00000000-0005-0000-0000-0000D17D0000}"/>
    <cellStyle name="Output 2 5 2 6" xfId="9998" xr:uid="{00000000-0005-0000-0000-00003E270000}"/>
    <cellStyle name="Output 2 5 2 6 2" xfId="32162" xr:uid="{00000000-0005-0000-0000-0000D27D0000}"/>
    <cellStyle name="Output 2 5 2 7" xfId="5713" xr:uid="{00000000-0005-0000-0000-000081160000}"/>
    <cellStyle name="Output 2 5 2 7 2" xfId="32163" xr:uid="{00000000-0005-0000-0000-0000D37D0000}"/>
    <cellStyle name="Output 2 5 2 8" xfId="10355" xr:uid="{00000000-0005-0000-0000-0000A3280000}"/>
    <cellStyle name="Output 2 5 2 9" xfId="11684" xr:uid="{00000000-0005-0000-0000-0000D42D0000}"/>
    <cellStyle name="Output 2 5 3" xfId="32164" xr:uid="{00000000-0005-0000-0000-0000D47D0000}"/>
    <cellStyle name="Output 2 5 3 2" xfId="9682" xr:uid="{00000000-0005-0000-0000-000002260000}"/>
    <cellStyle name="Output 2 5 3 2 2" xfId="32166" xr:uid="{00000000-0005-0000-0000-0000D67D0000}"/>
    <cellStyle name="Output 2 5 3 3" xfId="10506" xr:uid="{00000000-0005-0000-0000-00003A290000}"/>
    <cellStyle name="Output 2 5 3 4" xfId="10567" xr:uid="{00000000-0005-0000-0000-000077290000}"/>
    <cellStyle name="Output 2 5 4" xfId="32168" xr:uid="{00000000-0005-0000-0000-0000D87D0000}"/>
    <cellStyle name="Output 2 5 4 2" xfId="32171" xr:uid="{00000000-0005-0000-0000-0000DB7D0000}"/>
    <cellStyle name="Output 2 5 4 2 2" xfId="32173" xr:uid="{00000000-0005-0000-0000-0000DD7D0000}"/>
    <cellStyle name="Output 2 5 4 3" xfId="10718" xr:uid="{00000000-0005-0000-0000-00000E2A0000}"/>
    <cellStyle name="Output 2 5 4 4" xfId="10736" xr:uid="{00000000-0005-0000-0000-0000202A0000}"/>
    <cellStyle name="Output 2 5 5" xfId="32175" xr:uid="{00000000-0005-0000-0000-0000DF7D0000}"/>
    <cellStyle name="Output 2 5 5 2" xfId="32178" xr:uid="{00000000-0005-0000-0000-0000E27D0000}"/>
    <cellStyle name="Output 2 5 5 2 2" xfId="32180" xr:uid="{00000000-0005-0000-0000-0000E47D0000}"/>
    <cellStyle name="Output 2 5 5 3" xfId="10438" xr:uid="{00000000-0005-0000-0000-0000F6280000}"/>
    <cellStyle name="Output 2 5 5 4" xfId="32182" xr:uid="{00000000-0005-0000-0000-0000E67D0000}"/>
    <cellStyle name="Output 2 5 6" xfId="32184" xr:uid="{00000000-0005-0000-0000-0000E87D0000}"/>
    <cellStyle name="Output 2 5 6 2" xfId="32187" xr:uid="{00000000-0005-0000-0000-0000EB7D0000}"/>
    <cellStyle name="Output 2 5 6 2 2" xfId="32189" xr:uid="{00000000-0005-0000-0000-0000ED7D0000}"/>
    <cellStyle name="Output 2 5 6 3" xfId="32191" xr:uid="{00000000-0005-0000-0000-0000EF7D0000}"/>
    <cellStyle name="Output 2 5 6 4" xfId="32193" xr:uid="{00000000-0005-0000-0000-0000F17D0000}"/>
    <cellStyle name="Output 2 5 7" xfId="32195" xr:uid="{00000000-0005-0000-0000-0000F37D0000}"/>
    <cellStyle name="Output 2 5 7 2" xfId="32198" xr:uid="{00000000-0005-0000-0000-0000F67D0000}"/>
    <cellStyle name="Output 2 5 8" xfId="32200" xr:uid="{00000000-0005-0000-0000-0000F87D0000}"/>
    <cellStyle name="Output 2 5 8 2" xfId="1877" xr:uid="{00000000-0005-0000-0000-000085070000}"/>
    <cellStyle name="Output 2 5 9" xfId="31773" xr:uid="{00000000-0005-0000-0000-00004D7C0000}"/>
    <cellStyle name="Output 2 6" xfId="6701" xr:uid="{00000000-0005-0000-0000-00005D1A0000}"/>
    <cellStyle name="Output 2 6 10" xfId="32202" xr:uid="{00000000-0005-0000-0000-0000FA7D0000}"/>
    <cellStyle name="Output 2 6 11" xfId="32204" xr:uid="{00000000-0005-0000-0000-0000FC7D0000}"/>
    <cellStyle name="Output 2 6 12" xfId="32206" xr:uid="{00000000-0005-0000-0000-0000FE7D0000}"/>
    <cellStyle name="Output 2 6 2" xfId="32207" xr:uid="{00000000-0005-0000-0000-0000FF7D0000}"/>
    <cellStyle name="Output 2 6 2 10" xfId="32209" xr:uid="{00000000-0005-0000-0000-0000017E0000}"/>
    <cellStyle name="Output 2 6 2 11" xfId="32211" xr:uid="{00000000-0005-0000-0000-0000037E0000}"/>
    <cellStyle name="Output 2 6 2 2" xfId="9737" xr:uid="{00000000-0005-0000-0000-000039260000}"/>
    <cellStyle name="Output 2 6 2 2 2" xfId="11323" xr:uid="{00000000-0005-0000-0000-00006B2C0000}"/>
    <cellStyle name="Output 2 6 2 2 3" xfId="4146" xr:uid="{00000000-0005-0000-0000-000062100000}"/>
    <cellStyle name="Output 2 6 2 3" xfId="9745" xr:uid="{00000000-0005-0000-0000-000041260000}"/>
    <cellStyle name="Output 2 6 2 3 2" xfId="11328" xr:uid="{00000000-0005-0000-0000-0000702C0000}"/>
    <cellStyle name="Output 2 6 2 4" xfId="9752" xr:uid="{00000000-0005-0000-0000-000048260000}"/>
    <cellStyle name="Output 2 6 2 4 2" xfId="21898" xr:uid="{00000000-0005-0000-0000-0000BA550000}"/>
    <cellStyle name="Output 2 6 2 5" xfId="9760" xr:uid="{00000000-0005-0000-0000-000050260000}"/>
    <cellStyle name="Output 2 6 2 5 2" xfId="21914" xr:uid="{00000000-0005-0000-0000-0000CA550000}"/>
    <cellStyle name="Output 2 6 2 6" xfId="11334" xr:uid="{00000000-0005-0000-0000-0000762C0000}"/>
    <cellStyle name="Output 2 6 2 6 2" xfId="17859" xr:uid="{00000000-0005-0000-0000-0000F3450000}"/>
    <cellStyle name="Output 2 6 2 7" xfId="5884" xr:uid="{00000000-0005-0000-0000-00002C170000}"/>
    <cellStyle name="Output 2 6 2 8" xfId="11342" xr:uid="{00000000-0005-0000-0000-00007E2C0000}"/>
    <cellStyle name="Output 2 6 2 9" xfId="32213" xr:uid="{00000000-0005-0000-0000-0000057E0000}"/>
    <cellStyle name="Output 2 6 3" xfId="32214" xr:uid="{00000000-0005-0000-0000-0000067E0000}"/>
    <cellStyle name="Output 2 6 3 2" xfId="9770" xr:uid="{00000000-0005-0000-0000-00005A260000}"/>
    <cellStyle name="Output 2 6 3 3" xfId="11264" xr:uid="{00000000-0005-0000-0000-0000302C0000}"/>
    <cellStyle name="Output 2 6 4" xfId="32215" xr:uid="{00000000-0005-0000-0000-0000077E0000}"/>
    <cellStyle name="Output 2 6 4 2" xfId="32218" xr:uid="{00000000-0005-0000-0000-00000A7E0000}"/>
    <cellStyle name="Output 2 6 5" xfId="32219" xr:uid="{00000000-0005-0000-0000-00000B7E0000}"/>
    <cellStyle name="Output 2 6 5 2" xfId="32221" xr:uid="{00000000-0005-0000-0000-00000D7E0000}"/>
    <cellStyle name="Output 2 6 6" xfId="32222" xr:uid="{00000000-0005-0000-0000-00000E7E0000}"/>
    <cellStyle name="Output 2 6 6 2" xfId="32224" xr:uid="{00000000-0005-0000-0000-0000107E0000}"/>
    <cellStyle name="Output 2 6 7" xfId="27800" xr:uid="{00000000-0005-0000-0000-0000C86C0000}"/>
    <cellStyle name="Output 2 6 7 2" xfId="32226" xr:uid="{00000000-0005-0000-0000-0000127E0000}"/>
    <cellStyle name="Output 2 6 8" xfId="32227" xr:uid="{00000000-0005-0000-0000-0000137E0000}"/>
    <cellStyle name="Output 2 6 9" xfId="32228" xr:uid="{00000000-0005-0000-0000-0000147E0000}"/>
    <cellStyle name="Output 2 7" xfId="6709" xr:uid="{00000000-0005-0000-0000-0000651A0000}"/>
    <cellStyle name="Output 2 7 10" xfId="32229" xr:uid="{00000000-0005-0000-0000-0000157E0000}"/>
    <cellStyle name="Output 2 7 11" xfId="32230" xr:uid="{00000000-0005-0000-0000-0000167E0000}"/>
    <cellStyle name="Output 2 7 12" xfId="32231" xr:uid="{00000000-0005-0000-0000-0000177E0000}"/>
    <cellStyle name="Output 2 7 2" xfId="32232" xr:uid="{00000000-0005-0000-0000-0000187E0000}"/>
    <cellStyle name="Output 2 7 2 2" xfId="9808" xr:uid="{00000000-0005-0000-0000-000080260000}"/>
    <cellStyle name="Output 2 7 2 3" xfId="9816" xr:uid="{00000000-0005-0000-0000-000088260000}"/>
    <cellStyle name="Output 2 7 3" xfId="32233" xr:uid="{00000000-0005-0000-0000-0000197E0000}"/>
    <cellStyle name="Output 2 7 3 2" xfId="9831" xr:uid="{00000000-0005-0000-0000-000097260000}"/>
    <cellStyle name="Output 2 7 4" xfId="32234" xr:uid="{00000000-0005-0000-0000-00001A7E0000}"/>
    <cellStyle name="Output 2 7 4 2" xfId="32235" xr:uid="{00000000-0005-0000-0000-00001B7E0000}"/>
    <cellStyle name="Output 2 7 5" xfId="32236" xr:uid="{00000000-0005-0000-0000-00001C7E0000}"/>
    <cellStyle name="Output 2 7 5 2" xfId="7009" xr:uid="{00000000-0005-0000-0000-0000911B0000}"/>
    <cellStyle name="Output 2 7 6" xfId="32237" xr:uid="{00000000-0005-0000-0000-00001D7E0000}"/>
    <cellStyle name="Output 2 7 6 2" xfId="7136" xr:uid="{00000000-0005-0000-0000-0000101C0000}"/>
    <cellStyle name="Output 2 7 7" xfId="32238" xr:uid="{00000000-0005-0000-0000-00001E7E0000}"/>
    <cellStyle name="Output 2 7 7 2" xfId="8315" xr:uid="{00000000-0005-0000-0000-0000AB200000}"/>
    <cellStyle name="Output 2 7 8" xfId="32239" xr:uid="{00000000-0005-0000-0000-00001F7E0000}"/>
    <cellStyle name="Output 2 7 9" xfId="32240" xr:uid="{00000000-0005-0000-0000-0000207E0000}"/>
    <cellStyle name="Output 2 8" xfId="6718" xr:uid="{00000000-0005-0000-0000-00006E1A0000}"/>
    <cellStyle name="Output 2 8 2" xfId="22880" xr:uid="{00000000-0005-0000-0000-000090590000}"/>
    <cellStyle name="Output 2 8 2 2" xfId="10654" xr:uid="{00000000-0005-0000-0000-0000CE290000}"/>
    <cellStyle name="Output 2 8 3" xfId="22883" xr:uid="{00000000-0005-0000-0000-000093590000}"/>
    <cellStyle name="Output 2 8 4" xfId="22886" xr:uid="{00000000-0005-0000-0000-000096590000}"/>
    <cellStyle name="Output 2 9" xfId="32241" xr:uid="{00000000-0005-0000-0000-0000217E0000}"/>
    <cellStyle name="Output 2 9 2" xfId="32242" xr:uid="{00000000-0005-0000-0000-0000227E0000}"/>
    <cellStyle name="Output 2 9 2 2" xfId="32243" xr:uid="{00000000-0005-0000-0000-0000237E0000}"/>
    <cellStyle name="Output 2 9 3" xfId="32244" xr:uid="{00000000-0005-0000-0000-0000247E0000}"/>
    <cellStyle name="Output 2 9 4" xfId="32245" xr:uid="{00000000-0005-0000-0000-0000257E0000}"/>
    <cellStyle name="Output 3" xfId="32246" xr:uid="{00000000-0005-0000-0000-0000267E0000}"/>
    <cellStyle name="Percent 2" xfId="32247" xr:uid="{00000000-0005-0000-0000-0000277E0000}"/>
    <cellStyle name="Percent 3" xfId="32248" xr:uid="{00000000-0005-0000-0000-0000287E0000}"/>
    <cellStyle name="Percent 3 2" xfId="32249" xr:uid="{00000000-0005-0000-0000-0000297E0000}"/>
    <cellStyle name="Percent 3 3" xfId="32250" xr:uid="{00000000-0005-0000-0000-00002A7E0000}"/>
    <cellStyle name="Percent 3 4" xfId="32251" xr:uid="{00000000-0005-0000-0000-00002B7E0000}"/>
    <cellStyle name="Percent 3 4 2" xfId="1252" xr:uid="{00000000-0005-0000-0000-000014050000}"/>
    <cellStyle name="Percent 3 4 3" xfId="1266" xr:uid="{00000000-0005-0000-0000-000022050000}"/>
    <cellStyle name="Percent 3 5" xfId="32252" xr:uid="{00000000-0005-0000-0000-00002C7E0000}"/>
    <cellStyle name="Percent 3 6" xfId="5574" xr:uid="{00000000-0005-0000-0000-0000F6150000}"/>
    <cellStyle name="Percent 4" xfId="32253" xr:uid="{00000000-0005-0000-0000-00002D7E0000}"/>
    <cellStyle name="Percent 4 2" xfId="32254" xr:uid="{00000000-0005-0000-0000-00002E7E0000}"/>
    <cellStyle name="Percent 4 3" xfId="32255" xr:uid="{00000000-0005-0000-0000-00002F7E0000}"/>
    <cellStyle name="Percent 5" xfId="32256" xr:uid="{00000000-0005-0000-0000-0000307E0000}"/>
    <cellStyle name="Percent 5 2" xfId="32257" xr:uid="{00000000-0005-0000-0000-0000317E0000}"/>
    <cellStyle name="Percent 5 3" xfId="32258" xr:uid="{00000000-0005-0000-0000-0000327E0000}"/>
    <cellStyle name="Percent 6" xfId="32259" xr:uid="{00000000-0005-0000-0000-0000337E0000}"/>
    <cellStyle name="Percent 6 2" xfId="32261" xr:uid="{00000000-0005-0000-0000-0000357E0000}"/>
    <cellStyle name="Percent 7" xfId="32262" xr:uid="{00000000-0005-0000-0000-0000367E0000}"/>
    <cellStyle name="Percent 7 2" xfId="24728" xr:uid="{00000000-0005-0000-0000-0000C8600000}"/>
    <cellStyle name="Percent 8" xfId="32263" xr:uid="{00000000-0005-0000-0000-0000377E0000}"/>
    <cellStyle name="Style 1" xfId="32264" xr:uid="{00000000-0005-0000-0000-0000387E0000}"/>
    <cellStyle name="Title 2" xfId="32265" xr:uid="{00000000-0005-0000-0000-0000397E0000}"/>
    <cellStyle name="Title 2 2" xfId="32267" xr:uid="{00000000-0005-0000-0000-00003B7E0000}"/>
    <cellStyle name="Title 2 2 2" xfId="32269" xr:uid="{00000000-0005-0000-0000-00003D7E0000}"/>
    <cellStyle name="Title 2 2 3" xfId="21305" xr:uid="{00000000-0005-0000-0000-000069530000}"/>
    <cellStyle name="Title 2 2 4" xfId="21310" xr:uid="{00000000-0005-0000-0000-00006E530000}"/>
    <cellStyle name="Title 2 3" xfId="32271" xr:uid="{00000000-0005-0000-0000-00003F7E0000}"/>
    <cellStyle name="Title 2 4" xfId="32272" xr:uid="{00000000-0005-0000-0000-0000407E0000}"/>
    <cellStyle name="Title 2 5" xfId="32273" xr:uid="{00000000-0005-0000-0000-0000417E0000}"/>
    <cellStyle name="Title 3" xfId="32274" xr:uid="{00000000-0005-0000-0000-0000427E0000}"/>
    <cellStyle name="Total 2" xfId="32276" xr:uid="{00000000-0005-0000-0000-0000447E0000}"/>
    <cellStyle name="Total 2 10" xfId="32279" xr:uid="{00000000-0005-0000-0000-0000477E0000}"/>
    <cellStyle name="Total 2 10 2" xfId="5606" xr:uid="{00000000-0005-0000-0000-000016160000}"/>
    <cellStyle name="Total 2 10 2 2" xfId="32285" xr:uid="{00000000-0005-0000-0000-00004D7E0000}"/>
    <cellStyle name="Total 2 10 3" xfId="5611" xr:uid="{00000000-0005-0000-0000-00001B160000}"/>
    <cellStyle name="Total 2 10 4" xfId="5616" xr:uid="{00000000-0005-0000-0000-000020160000}"/>
    <cellStyle name="Total 2 11" xfId="32286" xr:uid="{00000000-0005-0000-0000-00004E7E0000}"/>
    <cellStyle name="Total 2 11 2" xfId="32287" xr:uid="{00000000-0005-0000-0000-00004F7E0000}"/>
    <cellStyle name="Total 2 12" xfId="32288" xr:uid="{00000000-0005-0000-0000-0000507E0000}"/>
    <cellStyle name="Total 2 12 2" xfId="32289" xr:uid="{00000000-0005-0000-0000-0000517E0000}"/>
    <cellStyle name="Total 2 13" xfId="32290" xr:uid="{00000000-0005-0000-0000-0000527E0000}"/>
    <cellStyle name="Total 2 14" xfId="32292" xr:uid="{00000000-0005-0000-0000-0000547E0000}"/>
    <cellStyle name="Total 2 15" xfId="32294" xr:uid="{00000000-0005-0000-0000-0000567E0000}"/>
    <cellStyle name="Total 2 16" xfId="32296" xr:uid="{00000000-0005-0000-0000-0000587E0000}"/>
    <cellStyle name="Total 2 2" xfId="32297" xr:uid="{00000000-0005-0000-0000-0000597E0000}"/>
    <cellStyle name="Total 2 2 10" xfId="31686" xr:uid="{00000000-0005-0000-0000-0000F67B0000}"/>
    <cellStyle name="Total 2 2 10 2" xfId="32299" xr:uid="{00000000-0005-0000-0000-00005B7E0000}"/>
    <cellStyle name="Total 2 2 11" xfId="4203" xr:uid="{00000000-0005-0000-0000-00009B100000}"/>
    <cellStyle name="Total 2 2 12" xfId="32301" xr:uid="{00000000-0005-0000-0000-00005D7E0000}"/>
    <cellStyle name="Total 2 2 13" xfId="32303" xr:uid="{00000000-0005-0000-0000-00005F7E0000}"/>
    <cellStyle name="Total 2 2 2" xfId="32304" xr:uid="{00000000-0005-0000-0000-0000607E0000}"/>
    <cellStyle name="Total 2 2 2 10" xfId="21548" xr:uid="{00000000-0005-0000-0000-00005C540000}"/>
    <cellStyle name="Total 2 2 2 11" xfId="21553" xr:uid="{00000000-0005-0000-0000-000061540000}"/>
    <cellStyle name="Total 2 2 2 12" xfId="20072" xr:uid="{00000000-0005-0000-0000-0000984E0000}"/>
    <cellStyle name="Total 2 2 2 2" xfId="32307" xr:uid="{00000000-0005-0000-0000-0000637E0000}"/>
    <cellStyle name="Total 2 2 2 2 10" xfId="26766" xr:uid="{00000000-0005-0000-0000-0000BE680000}"/>
    <cellStyle name="Total 2 2 2 2 11" xfId="32309" xr:uid="{00000000-0005-0000-0000-0000657E0000}"/>
    <cellStyle name="Total 2 2 2 2 12" xfId="32311" xr:uid="{00000000-0005-0000-0000-0000677E0000}"/>
    <cellStyle name="Total 2 2 2 2 13" xfId="32314" xr:uid="{00000000-0005-0000-0000-00006A7E0000}"/>
    <cellStyle name="Total 2 2 2 2 2" xfId="3179" xr:uid="{00000000-0005-0000-0000-00009B0C0000}"/>
    <cellStyle name="Total 2 2 2 2 2 2" xfId="2000" xr:uid="{00000000-0005-0000-0000-000000080000}"/>
    <cellStyle name="Total 2 2 2 2 2 3" xfId="2026" xr:uid="{00000000-0005-0000-0000-00001A080000}"/>
    <cellStyle name="Total 2 2 2 2 3" xfId="32316" xr:uid="{00000000-0005-0000-0000-00006C7E0000}"/>
    <cellStyle name="Total 2 2 2 2 3 2" xfId="14705" xr:uid="{00000000-0005-0000-0000-0000A1390000}"/>
    <cellStyle name="Total 2 2 2 2 4" xfId="32319" xr:uid="{00000000-0005-0000-0000-00006F7E0000}"/>
    <cellStyle name="Total 2 2 2 2 4 2" xfId="14746" xr:uid="{00000000-0005-0000-0000-0000CA390000}"/>
    <cellStyle name="Total 2 2 2 2 5" xfId="32322" xr:uid="{00000000-0005-0000-0000-0000727E0000}"/>
    <cellStyle name="Total 2 2 2 2 5 2" xfId="29634" xr:uid="{00000000-0005-0000-0000-0000F2730000}"/>
    <cellStyle name="Total 2 2 2 2 6" xfId="32325" xr:uid="{00000000-0005-0000-0000-0000757E0000}"/>
    <cellStyle name="Total 2 2 2 2 6 2" xfId="32329" xr:uid="{00000000-0005-0000-0000-0000797E0000}"/>
    <cellStyle name="Total 2 2 2 2 7" xfId="32333" xr:uid="{00000000-0005-0000-0000-00007D7E0000}"/>
    <cellStyle name="Total 2 2 2 2 7 2" xfId="29773" xr:uid="{00000000-0005-0000-0000-00007D740000}"/>
    <cellStyle name="Total 2 2 2 2 8" xfId="22468" xr:uid="{00000000-0005-0000-0000-0000F4570000}"/>
    <cellStyle name="Total 2 2 2 2 9" xfId="32336" xr:uid="{00000000-0005-0000-0000-0000807E0000}"/>
    <cellStyle name="Total 2 2 2 3" xfId="31902" xr:uid="{00000000-0005-0000-0000-0000CE7C0000}"/>
    <cellStyle name="Total 2 2 2 3 2" xfId="3403" xr:uid="{00000000-0005-0000-0000-00007B0D0000}"/>
    <cellStyle name="Total 2 2 2 3 2 2" xfId="3409" xr:uid="{00000000-0005-0000-0000-0000810D0000}"/>
    <cellStyle name="Total 2 2 2 3 3" xfId="2144" xr:uid="{00000000-0005-0000-0000-000090080000}"/>
    <cellStyle name="Total 2 2 2 3 4" xfId="3429" xr:uid="{00000000-0005-0000-0000-0000950D0000}"/>
    <cellStyle name="Total 2 2 2 3 5" xfId="3439" xr:uid="{00000000-0005-0000-0000-00009F0D0000}"/>
    <cellStyle name="Total 2 2 2 4" xfId="32338" xr:uid="{00000000-0005-0000-0000-0000827E0000}"/>
    <cellStyle name="Total 2 2 2 4 2" xfId="3514" xr:uid="{00000000-0005-0000-0000-0000EA0D0000}"/>
    <cellStyle name="Total 2 2 2 4 2 2" xfId="3183" xr:uid="{00000000-0005-0000-0000-00009F0C0000}"/>
    <cellStyle name="Total 2 2 2 4 3" xfId="2170" xr:uid="{00000000-0005-0000-0000-0000AA080000}"/>
    <cellStyle name="Total 2 2 2 4 4" xfId="3531" xr:uid="{00000000-0005-0000-0000-0000FB0D0000}"/>
    <cellStyle name="Total 2 2 2 5" xfId="28560" xr:uid="{00000000-0005-0000-0000-0000C06F0000}"/>
    <cellStyle name="Total 2 2 2 5 2" xfId="32339" xr:uid="{00000000-0005-0000-0000-0000837E0000}"/>
    <cellStyle name="Total 2 2 2 5 2 2" xfId="32342" xr:uid="{00000000-0005-0000-0000-0000867E0000}"/>
    <cellStyle name="Total 2 2 2 5 3" xfId="2183" xr:uid="{00000000-0005-0000-0000-0000B7080000}"/>
    <cellStyle name="Total 2 2 2 5 4" xfId="4631" xr:uid="{00000000-0005-0000-0000-000047120000}"/>
    <cellStyle name="Total 2 2 2 6" xfId="28561" xr:uid="{00000000-0005-0000-0000-0000C16F0000}"/>
    <cellStyle name="Total 2 2 2 6 2" xfId="32343" xr:uid="{00000000-0005-0000-0000-0000877E0000}"/>
    <cellStyle name="Total 2 2 2 6 2 2" xfId="32347" xr:uid="{00000000-0005-0000-0000-00008B7E0000}"/>
    <cellStyle name="Total 2 2 2 6 3" xfId="6241" xr:uid="{00000000-0005-0000-0000-000091180000}"/>
    <cellStyle name="Total 2 2 2 6 4" xfId="6676" xr:uid="{00000000-0005-0000-0000-0000441A0000}"/>
    <cellStyle name="Total 2 2 2 7" xfId="28563" xr:uid="{00000000-0005-0000-0000-0000C36F0000}"/>
    <cellStyle name="Total 2 2 2 7 2" xfId="32348" xr:uid="{00000000-0005-0000-0000-00008C7E0000}"/>
    <cellStyle name="Total 2 2 2 8" xfId="32349" xr:uid="{00000000-0005-0000-0000-00008D7E0000}"/>
    <cellStyle name="Total 2 2 2 8 2" xfId="32350" xr:uid="{00000000-0005-0000-0000-00008E7E0000}"/>
    <cellStyle name="Total 2 2 2 9" xfId="32351" xr:uid="{00000000-0005-0000-0000-00008F7E0000}"/>
    <cellStyle name="Total 2 2 3" xfId="27420" xr:uid="{00000000-0005-0000-0000-00004C6B0000}"/>
    <cellStyle name="Total 2 2 4" xfId="32353" xr:uid="{00000000-0005-0000-0000-0000917E0000}"/>
    <cellStyle name="Total 2 2 4 10" xfId="5276" xr:uid="{00000000-0005-0000-0000-0000CC140000}"/>
    <cellStyle name="Total 2 2 4 11" xfId="32355" xr:uid="{00000000-0005-0000-0000-0000937E0000}"/>
    <cellStyle name="Total 2 2 4 12" xfId="32357" xr:uid="{00000000-0005-0000-0000-0000957E0000}"/>
    <cellStyle name="Total 2 2 4 2" xfId="32360" xr:uid="{00000000-0005-0000-0000-0000987E0000}"/>
    <cellStyle name="Total 2 2 4 2 10" xfId="16602" xr:uid="{00000000-0005-0000-0000-00000A410000}"/>
    <cellStyle name="Total 2 2 4 2 11" xfId="16611" xr:uid="{00000000-0005-0000-0000-000013410000}"/>
    <cellStyle name="Total 2 2 4 2 2" xfId="1515" xr:uid="{00000000-0005-0000-0000-00001B060000}"/>
    <cellStyle name="Total 2 2 4 2 2 2" xfId="32361" xr:uid="{00000000-0005-0000-0000-0000997E0000}"/>
    <cellStyle name="Total 2 2 4 2 2 3" xfId="32362" xr:uid="{00000000-0005-0000-0000-00009A7E0000}"/>
    <cellStyle name="Total 2 2 4 2 3" xfId="32364" xr:uid="{00000000-0005-0000-0000-00009C7E0000}"/>
    <cellStyle name="Total 2 2 4 2 3 2" xfId="18644" xr:uid="{00000000-0005-0000-0000-000004490000}"/>
    <cellStyle name="Total 2 2 4 2 4" xfId="32367" xr:uid="{00000000-0005-0000-0000-00009F7E0000}"/>
    <cellStyle name="Total 2 2 4 2 4 2" xfId="14405" xr:uid="{00000000-0005-0000-0000-000075380000}"/>
    <cellStyle name="Total 2 2 4 2 5" xfId="32369" xr:uid="{00000000-0005-0000-0000-0000A17E0000}"/>
    <cellStyle name="Total 2 2 4 2 5 2" xfId="18716" xr:uid="{00000000-0005-0000-0000-00004C490000}"/>
    <cellStyle name="Total 2 2 4 2 6" xfId="32372" xr:uid="{00000000-0005-0000-0000-0000A47E0000}"/>
    <cellStyle name="Total 2 2 4 2 6 2" xfId="18749" xr:uid="{00000000-0005-0000-0000-00006D490000}"/>
    <cellStyle name="Total 2 2 4 2 7" xfId="32376" xr:uid="{00000000-0005-0000-0000-0000A87E0000}"/>
    <cellStyle name="Total 2 2 4 2 8" xfId="32380" xr:uid="{00000000-0005-0000-0000-0000AC7E0000}"/>
    <cellStyle name="Total 2 2 4 2 9" xfId="32385" xr:uid="{00000000-0005-0000-0000-0000B17E0000}"/>
    <cellStyle name="Total 2 2 4 3" xfId="32387" xr:uid="{00000000-0005-0000-0000-0000B37E0000}"/>
    <cellStyle name="Total 2 2 4 3 2" xfId="3783" xr:uid="{00000000-0005-0000-0000-0000F70E0000}"/>
    <cellStyle name="Total 2 2 4 3 3" xfId="674" xr:uid="{00000000-0005-0000-0000-0000D2020000}"/>
    <cellStyle name="Total 2 2 4 4" xfId="32389" xr:uid="{00000000-0005-0000-0000-0000B57E0000}"/>
    <cellStyle name="Total 2 2 4 4 2" xfId="3914" xr:uid="{00000000-0005-0000-0000-00007A0F0000}"/>
    <cellStyle name="Total 2 2 4 5" xfId="10449" xr:uid="{00000000-0005-0000-0000-000001290000}"/>
    <cellStyle name="Total 2 2 4 5 2" xfId="10457" xr:uid="{00000000-0005-0000-0000-000009290000}"/>
    <cellStyle name="Total 2 2 4 6" xfId="10460" xr:uid="{00000000-0005-0000-0000-00000C290000}"/>
    <cellStyle name="Total 2 2 4 6 2" xfId="32390" xr:uid="{00000000-0005-0000-0000-0000B67E0000}"/>
    <cellStyle name="Total 2 2 4 7" xfId="10465" xr:uid="{00000000-0005-0000-0000-000011290000}"/>
    <cellStyle name="Total 2 2 4 7 2" xfId="32391" xr:uid="{00000000-0005-0000-0000-0000B77E0000}"/>
    <cellStyle name="Total 2 2 4 8" xfId="7611" xr:uid="{00000000-0005-0000-0000-0000EB1D0000}"/>
    <cellStyle name="Total 2 2 4 9" xfId="32392" xr:uid="{00000000-0005-0000-0000-0000B87E0000}"/>
    <cellStyle name="Total 2 2 5" xfId="32394" xr:uid="{00000000-0005-0000-0000-0000BA7E0000}"/>
    <cellStyle name="Total 2 2 5 10" xfId="66" xr:uid="{00000000-0005-0000-0000-000046000000}"/>
    <cellStyle name="Total 2 2 5 11" xfId="2710" xr:uid="{00000000-0005-0000-0000-0000C60A0000}"/>
    <cellStyle name="Total 2 2 5 12" xfId="1972" xr:uid="{00000000-0005-0000-0000-0000E4070000}"/>
    <cellStyle name="Total 2 2 5 2" xfId="32395" xr:uid="{00000000-0005-0000-0000-0000BB7E0000}"/>
    <cellStyle name="Total 2 2 5 2 2" xfId="32397" xr:uid="{00000000-0005-0000-0000-0000BD7E0000}"/>
    <cellStyle name="Total 2 2 5 2 3" xfId="32400" xr:uid="{00000000-0005-0000-0000-0000C07E0000}"/>
    <cellStyle name="Total 2 2 5 3" xfId="24206" xr:uid="{00000000-0005-0000-0000-0000BE5E0000}"/>
    <cellStyle name="Total 2 2 5 3 2" xfId="32401" xr:uid="{00000000-0005-0000-0000-0000C17E0000}"/>
    <cellStyle name="Total 2 2 5 4" xfId="32402" xr:uid="{00000000-0005-0000-0000-0000C27E0000}"/>
    <cellStyle name="Total 2 2 5 4 2" xfId="32404" xr:uid="{00000000-0005-0000-0000-0000C47E0000}"/>
    <cellStyle name="Total 2 2 5 5" xfId="10473" xr:uid="{00000000-0005-0000-0000-000019290000}"/>
    <cellStyle name="Total 2 2 5 5 2" xfId="32405" xr:uid="{00000000-0005-0000-0000-0000C57E0000}"/>
    <cellStyle name="Total 2 2 5 6" xfId="28572" xr:uid="{00000000-0005-0000-0000-0000CC6F0000}"/>
    <cellStyle name="Total 2 2 5 6 2" xfId="32406" xr:uid="{00000000-0005-0000-0000-0000C67E0000}"/>
    <cellStyle name="Total 2 2 5 7" xfId="28575" xr:uid="{00000000-0005-0000-0000-0000CF6F0000}"/>
    <cellStyle name="Total 2 2 5 7 2" xfId="32407" xr:uid="{00000000-0005-0000-0000-0000C77E0000}"/>
    <cellStyle name="Total 2 2 5 8" xfId="32408" xr:uid="{00000000-0005-0000-0000-0000C87E0000}"/>
    <cellStyle name="Total 2 2 5 9" xfId="32410" xr:uid="{00000000-0005-0000-0000-0000CA7E0000}"/>
    <cellStyle name="Total 2 2 6" xfId="32413" xr:uid="{00000000-0005-0000-0000-0000CD7E0000}"/>
    <cellStyle name="Total 2 2 6 2" xfId="32414" xr:uid="{00000000-0005-0000-0000-0000CE7E0000}"/>
    <cellStyle name="Total 2 2 6 2 2" xfId="32415" xr:uid="{00000000-0005-0000-0000-0000CF7E0000}"/>
    <cellStyle name="Total 2 2 6 3" xfId="10772" xr:uid="{00000000-0005-0000-0000-0000442A0000}"/>
    <cellStyle name="Total 2 2 6 4" xfId="10774" xr:uid="{00000000-0005-0000-0000-0000462A0000}"/>
    <cellStyle name="Total 2 2 7" xfId="32417" xr:uid="{00000000-0005-0000-0000-0000D17E0000}"/>
    <cellStyle name="Total 2 2 7 2" xfId="32418" xr:uid="{00000000-0005-0000-0000-0000D27E0000}"/>
    <cellStyle name="Total 2 2 7 2 2" xfId="8224" xr:uid="{00000000-0005-0000-0000-000050200000}"/>
    <cellStyle name="Total 2 2 7 3" xfId="32419" xr:uid="{00000000-0005-0000-0000-0000D37E0000}"/>
    <cellStyle name="Total 2 2 7 4" xfId="32420" xr:uid="{00000000-0005-0000-0000-0000D47E0000}"/>
    <cellStyle name="Total 2 2 8" xfId="32421" xr:uid="{00000000-0005-0000-0000-0000D57E0000}"/>
    <cellStyle name="Total 2 2 8 2" xfId="32423" xr:uid="{00000000-0005-0000-0000-0000D77E0000}"/>
    <cellStyle name="Total 2 2 8 2 2" xfId="9526" xr:uid="{00000000-0005-0000-0000-000066250000}"/>
    <cellStyle name="Total 2 2 8 3" xfId="32425" xr:uid="{00000000-0005-0000-0000-0000D97E0000}"/>
    <cellStyle name="Total 2 2 8 4" xfId="32426" xr:uid="{00000000-0005-0000-0000-0000DA7E0000}"/>
    <cellStyle name="Total 2 2 9" xfId="32429" xr:uid="{00000000-0005-0000-0000-0000DD7E0000}"/>
    <cellStyle name="Total 2 2 9 2" xfId="32432" xr:uid="{00000000-0005-0000-0000-0000E07E0000}"/>
    <cellStyle name="Total 2 3" xfId="32433" xr:uid="{00000000-0005-0000-0000-0000E17E0000}"/>
    <cellStyle name="Total 2 4" xfId="25665" xr:uid="{00000000-0005-0000-0000-000071640000}"/>
    <cellStyle name="Total 2 4 10" xfId="32434" xr:uid="{00000000-0005-0000-0000-0000E27E0000}"/>
    <cellStyle name="Total 2 4 11" xfId="32435" xr:uid="{00000000-0005-0000-0000-0000E37E0000}"/>
    <cellStyle name="Total 2 4 12" xfId="4954" xr:uid="{00000000-0005-0000-0000-00008A130000}"/>
    <cellStyle name="Total 2 4 2" xfId="3814" xr:uid="{00000000-0005-0000-0000-0000160F0000}"/>
    <cellStyle name="Total 2 4 2 10" xfId="32437" xr:uid="{00000000-0005-0000-0000-0000E57E0000}"/>
    <cellStyle name="Total 2 4 2 11" xfId="32439" xr:uid="{00000000-0005-0000-0000-0000E77E0000}"/>
    <cellStyle name="Total 2 4 2 12" xfId="32442" xr:uid="{00000000-0005-0000-0000-0000EA7E0000}"/>
    <cellStyle name="Total 2 4 2 13" xfId="32445" xr:uid="{00000000-0005-0000-0000-0000ED7E0000}"/>
    <cellStyle name="Total 2 4 2 2" xfId="29710" xr:uid="{00000000-0005-0000-0000-00003E740000}"/>
    <cellStyle name="Total 2 4 2 2 2" xfId="32446" xr:uid="{00000000-0005-0000-0000-0000EE7E0000}"/>
    <cellStyle name="Total 2 4 2 2 3" xfId="32448" xr:uid="{00000000-0005-0000-0000-0000F07E0000}"/>
    <cellStyle name="Total 2 4 2 3" xfId="32450" xr:uid="{00000000-0005-0000-0000-0000F27E0000}"/>
    <cellStyle name="Total 2 4 2 3 2" xfId="32452" xr:uid="{00000000-0005-0000-0000-0000F47E0000}"/>
    <cellStyle name="Total 2 4 2 4" xfId="32456" xr:uid="{00000000-0005-0000-0000-0000F87E0000}"/>
    <cellStyle name="Total 2 4 2 4 2" xfId="32459" xr:uid="{00000000-0005-0000-0000-0000FB7E0000}"/>
    <cellStyle name="Total 2 4 2 5" xfId="32460" xr:uid="{00000000-0005-0000-0000-0000FC7E0000}"/>
    <cellStyle name="Total 2 4 2 5 2" xfId="14317" xr:uid="{00000000-0005-0000-0000-00001D380000}"/>
    <cellStyle name="Total 2 4 2 6" xfId="32462" xr:uid="{00000000-0005-0000-0000-0000FE7E0000}"/>
    <cellStyle name="Total 2 4 2 6 2" xfId="2100" xr:uid="{00000000-0005-0000-0000-000064080000}"/>
    <cellStyle name="Total 2 4 2 7" xfId="32463" xr:uid="{00000000-0005-0000-0000-0000FF7E0000}"/>
    <cellStyle name="Total 2 4 2 7 2" xfId="2274" xr:uid="{00000000-0005-0000-0000-000012090000}"/>
    <cellStyle name="Total 2 4 2 8" xfId="32464" xr:uid="{00000000-0005-0000-0000-0000007F0000}"/>
    <cellStyle name="Total 2 4 2 9" xfId="32465" xr:uid="{00000000-0005-0000-0000-0000017F0000}"/>
    <cellStyle name="Total 2 4 3" xfId="9889" xr:uid="{00000000-0005-0000-0000-0000D1260000}"/>
    <cellStyle name="Total 2 4 3 2" xfId="32466" xr:uid="{00000000-0005-0000-0000-0000027F0000}"/>
    <cellStyle name="Total 2 4 3 2 2" xfId="32468" xr:uid="{00000000-0005-0000-0000-0000047F0000}"/>
    <cellStyle name="Total 2 4 3 3" xfId="32470" xr:uid="{00000000-0005-0000-0000-0000067F0000}"/>
    <cellStyle name="Total 2 4 3 4" xfId="32471" xr:uid="{00000000-0005-0000-0000-0000077F0000}"/>
    <cellStyle name="Total 2 4 3 5" xfId="32472" xr:uid="{00000000-0005-0000-0000-0000087F0000}"/>
    <cellStyle name="Total 2 4 4" xfId="9896" xr:uid="{00000000-0005-0000-0000-0000D8260000}"/>
    <cellStyle name="Total 2 4 4 2" xfId="32474" xr:uid="{00000000-0005-0000-0000-00000A7F0000}"/>
    <cellStyle name="Total 2 4 4 2 2" xfId="32475" xr:uid="{00000000-0005-0000-0000-00000B7F0000}"/>
    <cellStyle name="Total 2 4 4 3" xfId="32477" xr:uid="{00000000-0005-0000-0000-00000D7F0000}"/>
    <cellStyle name="Total 2 4 4 4" xfId="32478" xr:uid="{00000000-0005-0000-0000-00000E7F0000}"/>
    <cellStyle name="Total 2 4 5" xfId="1814" xr:uid="{00000000-0005-0000-0000-000046070000}"/>
    <cellStyle name="Total 2 4 5 2" xfId="32479" xr:uid="{00000000-0005-0000-0000-00000F7F0000}"/>
    <cellStyle name="Total 2 4 5 2 2" xfId="32480" xr:uid="{00000000-0005-0000-0000-0000107F0000}"/>
    <cellStyle name="Total 2 4 5 3" xfId="32481" xr:uid="{00000000-0005-0000-0000-0000117F0000}"/>
    <cellStyle name="Total 2 4 5 4" xfId="32482" xr:uid="{00000000-0005-0000-0000-0000127F0000}"/>
    <cellStyle name="Total 2 4 6" xfId="10141" xr:uid="{00000000-0005-0000-0000-0000CD270000}"/>
    <cellStyle name="Total 2 4 6 2" xfId="18807" xr:uid="{00000000-0005-0000-0000-0000A7490000}"/>
    <cellStyle name="Total 2 4 6 2 2" xfId="32483" xr:uid="{00000000-0005-0000-0000-0000137F0000}"/>
    <cellStyle name="Total 2 4 6 3" xfId="18809" xr:uid="{00000000-0005-0000-0000-0000A9490000}"/>
    <cellStyle name="Total 2 4 6 4" xfId="18811" xr:uid="{00000000-0005-0000-0000-0000AB490000}"/>
    <cellStyle name="Total 2 4 7" xfId="10150" xr:uid="{00000000-0005-0000-0000-0000D6270000}"/>
    <cellStyle name="Total 2 4 7 2" xfId="18824" xr:uid="{00000000-0005-0000-0000-0000B8490000}"/>
    <cellStyle name="Total 2 4 8" xfId="25164" xr:uid="{00000000-0005-0000-0000-00007C620000}"/>
    <cellStyle name="Total 2 4 8 2" xfId="18323" xr:uid="{00000000-0005-0000-0000-0000C3470000}"/>
    <cellStyle name="Total 2 4 9" xfId="25169" xr:uid="{00000000-0005-0000-0000-000081620000}"/>
    <cellStyle name="Total 2 5" xfId="32484" xr:uid="{00000000-0005-0000-0000-0000147F0000}"/>
    <cellStyle name="Total 2 5 10" xfId="56" xr:uid="{00000000-0005-0000-0000-00003C000000}"/>
    <cellStyle name="Total 2 5 11" xfId="5059" xr:uid="{00000000-0005-0000-0000-0000F3130000}"/>
    <cellStyle name="Total 2 5 12" xfId="9346" xr:uid="{00000000-0005-0000-0000-0000B2240000}"/>
    <cellStyle name="Total 2 5 2" xfId="32485" xr:uid="{00000000-0005-0000-0000-0000157F0000}"/>
    <cellStyle name="Total 2 5 2 10" xfId="32487" xr:uid="{00000000-0005-0000-0000-0000177F0000}"/>
    <cellStyle name="Total 2 5 2 11" xfId="5421" xr:uid="{00000000-0005-0000-0000-00005D150000}"/>
    <cellStyle name="Total 2 5 2 12" xfId="32488" xr:uid="{00000000-0005-0000-0000-0000187F0000}"/>
    <cellStyle name="Total 2 5 2 13" xfId="32490" xr:uid="{00000000-0005-0000-0000-00001A7F0000}"/>
    <cellStyle name="Total 2 5 2 2" xfId="32493" xr:uid="{00000000-0005-0000-0000-00001D7F0000}"/>
    <cellStyle name="Total 2 5 2 2 2" xfId="32494" xr:uid="{00000000-0005-0000-0000-00001E7F0000}"/>
    <cellStyle name="Total 2 5 2 2 3" xfId="32496" xr:uid="{00000000-0005-0000-0000-0000207F0000}"/>
    <cellStyle name="Total 2 5 2 3" xfId="32500" xr:uid="{00000000-0005-0000-0000-0000247F0000}"/>
    <cellStyle name="Total 2 5 2 3 2" xfId="28819" xr:uid="{00000000-0005-0000-0000-0000C3700000}"/>
    <cellStyle name="Total 2 5 2 4" xfId="32501" xr:uid="{00000000-0005-0000-0000-0000257F0000}"/>
    <cellStyle name="Total 2 5 2 4 2" xfId="28848" xr:uid="{00000000-0005-0000-0000-0000E0700000}"/>
    <cellStyle name="Total 2 5 2 5" xfId="32502" xr:uid="{00000000-0005-0000-0000-0000267F0000}"/>
    <cellStyle name="Total 2 5 2 5 2" xfId="32504" xr:uid="{00000000-0005-0000-0000-0000287F0000}"/>
    <cellStyle name="Total 2 5 2 6" xfId="32505" xr:uid="{00000000-0005-0000-0000-0000297F0000}"/>
    <cellStyle name="Total 2 5 2 6 2" xfId="32506" xr:uid="{00000000-0005-0000-0000-00002A7F0000}"/>
    <cellStyle name="Total 2 5 2 7" xfId="32507" xr:uid="{00000000-0005-0000-0000-00002B7F0000}"/>
    <cellStyle name="Total 2 5 2 7 2" xfId="32508" xr:uid="{00000000-0005-0000-0000-00002C7F0000}"/>
    <cellStyle name="Total 2 5 2 8" xfId="32509" xr:uid="{00000000-0005-0000-0000-00002D7F0000}"/>
    <cellStyle name="Total 2 5 2 9" xfId="32510" xr:uid="{00000000-0005-0000-0000-00002E7F0000}"/>
    <cellStyle name="Total 2 5 3" xfId="32511" xr:uid="{00000000-0005-0000-0000-00002F7F0000}"/>
    <cellStyle name="Total 2 5 3 2" xfId="32512" xr:uid="{00000000-0005-0000-0000-0000307F0000}"/>
    <cellStyle name="Total 2 5 3 2 2" xfId="32513" xr:uid="{00000000-0005-0000-0000-0000317F0000}"/>
    <cellStyle name="Total 2 5 3 3" xfId="32515" xr:uid="{00000000-0005-0000-0000-0000337F0000}"/>
    <cellStyle name="Total 2 5 3 4" xfId="32516" xr:uid="{00000000-0005-0000-0000-0000347F0000}"/>
    <cellStyle name="Total 2 5 3 5" xfId="32517" xr:uid="{00000000-0005-0000-0000-0000357F0000}"/>
    <cellStyle name="Total 2 5 4" xfId="32518" xr:uid="{00000000-0005-0000-0000-0000367F0000}"/>
    <cellStyle name="Total 2 5 4 2" xfId="32519" xr:uid="{00000000-0005-0000-0000-0000377F0000}"/>
    <cellStyle name="Total 2 5 4 2 2" xfId="32520" xr:uid="{00000000-0005-0000-0000-0000387F0000}"/>
    <cellStyle name="Total 2 5 4 3" xfId="32522" xr:uid="{00000000-0005-0000-0000-00003A7F0000}"/>
    <cellStyle name="Total 2 5 4 4" xfId="32523" xr:uid="{00000000-0005-0000-0000-00003B7F0000}"/>
    <cellStyle name="Total 2 5 5" xfId="32524" xr:uid="{00000000-0005-0000-0000-00003C7F0000}"/>
    <cellStyle name="Total 2 5 5 2" xfId="32526" xr:uid="{00000000-0005-0000-0000-00003E7F0000}"/>
    <cellStyle name="Total 2 5 5 2 2" xfId="32527" xr:uid="{00000000-0005-0000-0000-00003F7F0000}"/>
    <cellStyle name="Total 2 5 5 3" xfId="32529" xr:uid="{00000000-0005-0000-0000-0000417F0000}"/>
    <cellStyle name="Total 2 5 5 4" xfId="32531" xr:uid="{00000000-0005-0000-0000-0000437F0000}"/>
    <cellStyle name="Total 2 5 6" xfId="32532" xr:uid="{00000000-0005-0000-0000-0000447F0000}"/>
    <cellStyle name="Total 2 5 6 2" xfId="18918" xr:uid="{00000000-0005-0000-0000-0000164A0000}"/>
    <cellStyle name="Total 2 5 6 2 2" xfId="32533" xr:uid="{00000000-0005-0000-0000-0000457F0000}"/>
    <cellStyle name="Total 2 5 6 3" xfId="18920" xr:uid="{00000000-0005-0000-0000-0000184A0000}"/>
    <cellStyle name="Total 2 5 6 4" xfId="18922" xr:uid="{00000000-0005-0000-0000-00001A4A0000}"/>
    <cellStyle name="Total 2 5 7" xfId="32534" xr:uid="{00000000-0005-0000-0000-0000467F0000}"/>
    <cellStyle name="Total 2 5 7 2" xfId="18938" xr:uid="{00000000-0005-0000-0000-00002A4A0000}"/>
    <cellStyle name="Total 2 5 8" xfId="25175" xr:uid="{00000000-0005-0000-0000-000087620000}"/>
    <cellStyle name="Total 2 5 8 2" xfId="18358" xr:uid="{00000000-0005-0000-0000-0000E6470000}"/>
    <cellStyle name="Total 2 5 9" xfId="29360" xr:uid="{00000000-0005-0000-0000-0000E0720000}"/>
    <cellStyle name="Total 2 6" xfId="31839" xr:uid="{00000000-0005-0000-0000-00008F7C0000}"/>
    <cellStyle name="Total 2 6 10" xfId="327" xr:uid="{00000000-0005-0000-0000-00005D010000}"/>
    <cellStyle name="Total 2 6 11" xfId="12668" xr:uid="{00000000-0005-0000-0000-0000AC310000}"/>
    <cellStyle name="Total 2 6 12" xfId="12678" xr:uid="{00000000-0005-0000-0000-0000B6310000}"/>
    <cellStyle name="Total 2 6 2" xfId="32535" xr:uid="{00000000-0005-0000-0000-0000477F0000}"/>
    <cellStyle name="Total 2 6 2 10" xfId="32536" xr:uid="{00000000-0005-0000-0000-0000487F0000}"/>
    <cellStyle name="Total 2 6 2 11" xfId="32537" xr:uid="{00000000-0005-0000-0000-0000497F0000}"/>
    <cellStyle name="Total 2 6 2 2" xfId="32538" xr:uid="{00000000-0005-0000-0000-00004A7F0000}"/>
    <cellStyle name="Total 2 6 2 2 2" xfId="23388" xr:uid="{00000000-0005-0000-0000-00008C5B0000}"/>
    <cellStyle name="Total 2 6 2 2 3" xfId="14255" xr:uid="{00000000-0005-0000-0000-0000DF370000}"/>
    <cellStyle name="Total 2 6 2 3" xfId="32539" xr:uid="{00000000-0005-0000-0000-00004B7F0000}"/>
    <cellStyle name="Total 2 6 2 3 2" xfId="31075" xr:uid="{00000000-0005-0000-0000-000093790000}"/>
    <cellStyle name="Total 2 6 2 4" xfId="32540" xr:uid="{00000000-0005-0000-0000-00004C7F0000}"/>
    <cellStyle name="Total 2 6 2 4 2" xfId="31100" xr:uid="{00000000-0005-0000-0000-0000AC790000}"/>
    <cellStyle name="Total 2 6 2 5" xfId="32541" xr:uid="{00000000-0005-0000-0000-00004D7F0000}"/>
    <cellStyle name="Total 2 6 2 5 2" xfId="31122" xr:uid="{00000000-0005-0000-0000-0000C2790000}"/>
    <cellStyle name="Total 2 6 2 6" xfId="32543" xr:uid="{00000000-0005-0000-0000-00004F7F0000}"/>
    <cellStyle name="Total 2 6 2 6 2" xfId="31137" xr:uid="{00000000-0005-0000-0000-0000D1790000}"/>
    <cellStyle name="Total 2 6 2 7" xfId="32544" xr:uid="{00000000-0005-0000-0000-0000507F0000}"/>
    <cellStyle name="Total 2 6 2 8" xfId="32545" xr:uid="{00000000-0005-0000-0000-0000517F0000}"/>
    <cellStyle name="Total 2 6 2 9" xfId="32547" xr:uid="{00000000-0005-0000-0000-0000537F0000}"/>
    <cellStyle name="Total 2 6 3" xfId="32548" xr:uid="{00000000-0005-0000-0000-0000547F0000}"/>
    <cellStyle name="Total 2 6 3 2" xfId="32550" xr:uid="{00000000-0005-0000-0000-0000567F0000}"/>
    <cellStyle name="Total 2 6 3 3" xfId="32552" xr:uid="{00000000-0005-0000-0000-0000587F0000}"/>
    <cellStyle name="Total 2 6 4" xfId="32553" xr:uid="{00000000-0005-0000-0000-0000597F0000}"/>
    <cellStyle name="Total 2 6 4 2" xfId="8996" xr:uid="{00000000-0005-0000-0000-000054230000}"/>
    <cellStyle name="Total 2 6 5" xfId="32554" xr:uid="{00000000-0005-0000-0000-00005A7F0000}"/>
    <cellStyle name="Total 2 6 5 2" xfId="32555" xr:uid="{00000000-0005-0000-0000-00005B7F0000}"/>
    <cellStyle name="Total 2 6 6" xfId="32556" xr:uid="{00000000-0005-0000-0000-00005C7F0000}"/>
    <cellStyle name="Total 2 6 6 2" xfId="18995" xr:uid="{00000000-0005-0000-0000-0000634A0000}"/>
    <cellStyle name="Total 2 6 7" xfId="32558" xr:uid="{00000000-0005-0000-0000-00005E7F0000}"/>
    <cellStyle name="Total 2 6 7 2" xfId="19010" xr:uid="{00000000-0005-0000-0000-0000724A0000}"/>
    <cellStyle name="Total 2 6 8" xfId="32560" xr:uid="{00000000-0005-0000-0000-0000607F0000}"/>
    <cellStyle name="Total 2 6 9" xfId="32562" xr:uid="{00000000-0005-0000-0000-0000627F0000}"/>
    <cellStyle name="Total 2 7" xfId="32563" xr:uid="{00000000-0005-0000-0000-0000637F0000}"/>
    <cellStyle name="Total 2 7 10" xfId="28176" xr:uid="{00000000-0005-0000-0000-0000406E0000}"/>
    <cellStyle name="Total 2 7 11" xfId="4221" xr:uid="{00000000-0005-0000-0000-0000AD100000}"/>
    <cellStyle name="Total 2 7 12" xfId="32565" xr:uid="{00000000-0005-0000-0000-0000657F0000}"/>
    <cellStyle name="Total 2 7 2" xfId="32566" xr:uid="{00000000-0005-0000-0000-0000667F0000}"/>
    <cellStyle name="Total 2 7 2 2" xfId="32567" xr:uid="{00000000-0005-0000-0000-0000677F0000}"/>
    <cellStyle name="Total 2 7 2 3" xfId="32568" xr:uid="{00000000-0005-0000-0000-0000687F0000}"/>
    <cellStyle name="Total 2 7 3" xfId="32569" xr:uid="{00000000-0005-0000-0000-0000697F0000}"/>
    <cellStyle name="Total 2 7 3 2" xfId="32570" xr:uid="{00000000-0005-0000-0000-00006A7F0000}"/>
    <cellStyle name="Total 2 7 4" xfId="32571" xr:uid="{00000000-0005-0000-0000-00006B7F0000}"/>
    <cellStyle name="Total 2 7 4 2" xfId="9837" xr:uid="{00000000-0005-0000-0000-00009D260000}"/>
    <cellStyle name="Total 2 7 5" xfId="32572" xr:uid="{00000000-0005-0000-0000-00006C7F0000}"/>
    <cellStyle name="Total 2 7 5 2" xfId="32573" xr:uid="{00000000-0005-0000-0000-00006D7F0000}"/>
    <cellStyle name="Total 2 7 6" xfId="32575" xr:uid="{00000000-0005-0000-0000-00006F7F0000}"/>
    <cellStyle name="Total 2 7 6 2" xfId="19048" xr:uid="{00000000-0005-0000-0000-0000984A0000}"/>
    <cellStyle name="Total 2 7 7" xfId="32577" xr:uid="{00000000-0005-0000-0000-0000717F0000}"/>
    <cellStyle name="Total 2 7 7 2" xfId="19062" xr:uid="{00000000-0005-0000-0000-0000A64A0000}"/>
    <cellStyle name="Total 2 7 8" xfId="32578" xr:uid="{00000000-0005-0000-0000-0000727F0000}"/>
    <cellStyle name="Total 2 7 9" xfId="32579" xr:uid="{00000000-0005-0000-0000-0000737F0000}"/>
    <cellStyle name="Total 2 8" xfId="30915" xr:uid="{00000000-0005-0000-0000-0000F3780000}"/>
    <cellStyle name="Total 2 8 2" xfId="32580" xr:uid="{00000000-0005-0000-0000-0000747F0000}"/>
    <cellStyle name="Total 2 8 2 2" xfId="32581" xr:uid="{00000000-0005-0000-0000-0000757F0000}"/>
    <cellStyle name="Total 2 8 3" xfId="32582" xr:uid="{00000000-0005-0000-0000-0000767F0000}"/>
    <cellStyle name="Total 2 8 4" xfId="32584" xr:uid="{00000000-0005-0000-0000-0000787F0000}"/>
    <cellStyle name="Total 2 9" xfId="32586" xr:uid="{00000000-0005-0000-0000-00007A7F0000}"/>
    <cellStyle name="Total 2 9 2" xfId="10218" xr:uid="{00000000-0005-0000-0000-00001A280000}"/>
    <cellStyle name="Total 2 9 2 2" xfId="32587" xr:uid="{00000000-0005-0000-0000-00007B7F0000}"/>
    <cellStyle name="Total 2 9 3" xfId="10225" xr:uid="{00000000-0005-0000-0000-000021280000}"/>
    <cellStyle name="Total 2 9 4" xfId="10232" xr:uid="{00000000-0005-0000-0000-000028280000}"/>
    <cellStyle name="Total 3" xfId="32588" xr:uid="{00000000-0005-0000-0000-00007C7F0000}"/>
    <cellStyle name="Warning Text 2" xfId="2036" xr:uid="{00000000-0005-0000-0000-000024080000}"/>
    <cellStyle name="Warning Text 2 2" xfId="2046" xr:uid="{00000000-0005-0000-0000-00002E080000}"/>
    <cellStyle name="Warning Text 2 3" xfId="32591" xr:uid="{00000000-0005-0000-0000-00007F7F0000}"/>
    <cellStyle name="Warning Text 2 4" xfId="5929" xr:uid="{00000000-0005-0000-0000-000059170000}"/>
    <cellStyle name="Warning Text 2 5" xfId="8846" xr:uid="{00000000-0005-0000-0000-0000BE220000}"/>
    <cellStyle name="Warning Text 3" xfId="2056" xr:uid="{00000000-0005-0000-0000-000038080000}"/>
    <cellStyle name="标题 1 2" xfId="25521" xr:uid="{00000000-0005-0000-0000-0000E1630000}"/>
    <cellStyle name="标题 2 2" xfId="25532" xr:uid="{00000000-0005-0000-0000-0000EC630000}"/>
    <cellStyle name="标题 3 2" xfId="25556" xr:uid="{00000000-0005-0000-0000-000004640000}"/>
    <cellStyle name="标题 4 2" xfId="9441" xr:uid="{00000000-0005-0000-0000-000011250000}"/>
    <cellStyle name="标题 5" xfId="9450" xr:uid="{00000000-0005-0000-0000-00001A250000}"/>
    <cellStyle name="差 2" xfId="28567" xr:uid="{00000000-0005-0000-0000-0000C76F0000}"/>
    <cellStyle name="常规" xfId="0" builtinId="0"/>
    <cellStyle name="常规 10" xfId="24750" xr:uid="{00000000-0005-0000-0000-0000DE600000}"/>
    <cellStyle name="常规 10 2" xfId="15087" xr:uid="{00000000-0005-0000-0000-00001F3B0000}"/>
    <cellStyle name="常规 100" xfId="32592" xr:uid="{00000000-0005-0000-0000-0000807F0000}"/>
    <cellStyle name="常规 101" xfId="32593" xr:uid="{00000000-0005-0000-0000-0000817F0000}"/>
    <cellStyle name="常规 102" xfId="32594" xr:uid="{00000000-0005-0000-0000-0000827F0000}"/>
    <cellStyle name="常规 103" xfId="32595" xr:uid="{00000000-0005-0000-0000-0000837F0000}"/>
    <cellStyle name="常规 104" xfId="21431" xr:uid="{00000000-0005-0000-0000-0000E7530000}"/>
    <cellStyle name="常规 105" xfId="26275" xr:uid="{00000000-0005-0000-0000-0000D3660000}"/>
    <cellStyle name="常规 106" xfId="26279" xr:uid="{00000000-0005-0000-0000-0000D7660000}"/>
    <cellStyle name="常规 107" xfId="26284" xr:uid="{00000000-0005-0000-0000-0000DC660000}"/>
    <cellStyle name="常规 108" xfId="26288" xr:uid="{00000000-0005-0000-0000-0000E0660000}"/>
    <cellStyle name="常规 109" xfId="26292" xr:uid="{00000000-0005-0000-0000-0000E4660000}"/>
    <cellStyle name="常规 11" xfId="24753" xr:uid="{00000000-0005-0000-0000-0000E1600000}"/>
    <cellStyle name="常规 11 2" xfId="15093" xr:uid="{00000000-0005-0000-0000-0000253B0000}"/>
    <cellStyle name="常规 110" xfId="49641" xr:uid="{DEE013D4-5FCA-4F38-8BEA-47AF649D67E5}"/>
    <cellStyle name="常规 12" xfId="24756" xr:uid="{00000000-0005-0000-0000-0000E4600000}"/>
    <cellStyle name="常规 12 2" xfId="15100" xr:uid="{00000000-0005-0000-0000-00002C3B0000}"/>
    <cellStyle name="常规 125" xfId="49643" xr:uid="{4E66E0C3-9AAD-47E2-8185-AF771C99BD64}"/>
    <cellStyle name="常规 13" xfId="15665" xr:uid="{00000000-0005-0000-0000-0000613D0000}"/>
    <cellStyle name="常规 13 2" xfId="32596" xr:uid="{00000000-0005-0000-0000-0000847F0000}"/>
    <cellStyle name="常规 14" xfId="23243" xr:uid="{00000000-0005-0000-0000-0000FB5A0000}"/>
    <cellStyle name="常规 14 2" xfId="19515" xr:uid="{00000000-0005-0000-0000-00006B4C0000}"/>
    <cellStyle name="常规 15" xfId="16442" xr:uid="{00000000-0005-0000-0000-00006A400000}"/>
    <cellStyle name="常规 15 2" xfId="16448" xr:uid="{00000000-0005-0000-0000-000070400000}"/>
    <cellStyle name="常规 16" xfId="16472" xr:uid="{00000000-0005-0000-0000-000088400000}"/>
    <cellStyle name="常规 16 2" xfId="16476" xr:uid="{00000000-0005-0000-0000-00008C400000}"/>
    <cellStyle name="常规 17" xfId="16496" xr:uid="{00000000-0005-0000-0000-0000A0400000}"/>
    <cellStyle name="常规 17 2" xfId="16504" xr:uid="{00000000-0005-0000-0000-0000A8400000}"/>
    <cellStyle name="常规 18" xfId="6699" xr:uid="{00000000-0005-0000-0000-00005B1A0000}"/>
    <cellStyle name="常规 18 2" xfId="19611" xr:uid="{00000000-0005-0000-0000-0000CB4C0000}"/>
    <cellStyle name="常规 19" xfId="6707" xr:uid="{00000000-0005-0000-0000-0000631A0000}"/>
    <cellStyle name="常规 19 2" xfId="32598" xr:uid="{00000000-0005-0000-0000-0000867F0000}"/>
    <cellStyle name="常规 2" xfId="32600" xr:uid="{00000000-0005-0000-0000-0000887F0000}"/>
    <cellStyle name="常规 2 2" xfId="32019" xr:uid="{00000000-0005-0000-0000-0000437D0000}"/>
    <cellStyle name="常规 2 2 2" xfId="14686" xr:uid="{00000000-0005-0000-0000-00008E390000}"/>
    <cellStyle name="常规 2 2 3" xfId="14690" xr:uid="{00000000-0005-0000-0000-000092390000}"/>
    <cellStyle name="常规 2 2 4" xfId="14694" xr:uid="{00000000-0005-0000-0000-000096390000}"/>
    <cellStyle name="常规 2 3" xfId="32022" xr:uid="{00000000-0005-0000-0000-0000467D0000}"/>
    <cellStyle name="常规 2 4" xfId="32025" xr:uid="{00000000-0005-0000-0000-0000497D0000}"/>
    <cellStyle name="常规 2 4 2" xfId="17814" xr:uid="{00000000-0005-0000-0000-0000C6450000}"/>
    <cellStyle name="常规 2 5" xfId="32601" xr:uid="{00000000-0005-0000-0000-0000897F0000}"/>
    <cellStyle name="常规 2 6" xfId="32602" xr:uid="{00000000-0005-0000-0000-00008A7F0000}"/>
    <cellStyle name="常规 2 7" xfId="32603" xr:uid="{00000000-0005-0000-0000-00008B7F0000}"/>
    <cellStyle name="常规 20" xfId="16443" xr:uid="{00000000-0005-0000-0000-00006B400000}"/>
    <cellStyle name="常规 20 2" xfId="16449" xr:uid="{00000000-0005-0000-0000-000071400000}"/>
    <cellStyle name="常规 21" xfId="16473" xr:uid="{00000000-0005-0000-0000-000089400000}"/>
    <cellStyle name="常规 21 2" xfId="16477" xr:uid="{00000000-0005-0000-0000-00008D400000}"/>
    <cellStyle name="常规 22" xfId="16497" xr:uid="{00000000-0005-0000-0000-0000A1400000}"/>
    <cellStyle name="常规 22 2" xfId="16505" xr:uid="{00000000-0005-0000-0000-0000A9400000}"/>
    <cellStyle name="常规 23" xfId="6700" xr:uid="{00000000-0005-0000-0000-00005C1A0000}"/>
    <cellStyle name="常规 23 2" xfId="19612" xr:uid="{00000000-0005-0000-0000-0000CC4C0000}"/>
    <cellStyle name="常规 24" xfId="6708" xr:uid="{00000000-0005-0000-0000-0000641A0000}"/>
    <cellStyle name="常规 24 2" xfId="32599" xr:uid="{00000000-0005-0000-0000-0000877F0000}"/>
    <cellStyle name="常规 25" xfId="6716" xr:uid="{00000000-0005-0000-0000-00006C1A0000}"/>
    <cellStyle name="常规 25 2" xfId="32607" xr:uid="{00000000-0005-0000-0000-00008F7F0000}"/>
    <cellStyle name="常规 26" xfId="16512" xr:uid="{00000000-0005-0000-0000-0000B0400000}"/>
    <cellStyle name="常规 26 2" xfId="32611" xr:uid="{00000000-0005-0000-0000-0000937F0000}"/>
    <cellStyle name="常规 27" xfId="16517" xr:uid="{00000000-0005-0000-0000-0000B5400000}"/>
    <cellStyle name="常规 27 2" xfId="32614" xr:uid="{00000000-0005-0000-0000-0000967F0000}"/>
    <cellStyle name="常规 28" xfId="32616" xr:uid="{00000000-0005-0000-0000-0000987F0000}"/>
    <cellStyle name="常规 28 2" xfId="32621" xr:uid="{00000000-0005-0000-0000-00009D7F0000}"/>
    <cellStyle name="常规 29" xfId="32623" xr:uid="{00000000-0005-0000-0000-00009F7F0000}"/>
    <cellStyle name="常规 29 2" xfId="32626" xr:uid="{00000000-0005-0000-0000-0000A27F0000}"/>
    <cellStyle name="常规 3" xfId="1962" xr:uid="{00000000-0005-0000-0000-0000DA070000}"/>
    <cellStyle name="常规 3 2" xfId="32061" xr:uid="{00000000-0005-0000-0000-00006D7D0000}"/>
    <cellStyle name="常规 3 2 2" xfId="30200" xr:uid="{00000000-0005-0000-0000-000028760000}"/>
    <cellStyle name="常规 3 2 2 2" xfId="32631" xr:uid="{00000000-0005-0000-0000-0000A77F0000}"/>
    <cellStyle name="常规 3 2 3" xfId="32633" xr:uid="{00000000-0005-0000-0000-0000A97F0000}"/>
    <cellStyle name="常规 3 3" xfId="32064" xr:uid="{00000000-0005-0000-0000-0000707D0000}"/>
    <cellStyle name="常规 3 4" xfId="26487" xr:uid="{00000000-0005-0000-0000-0000A7670000}"/>
    <cellStyle name="常规 3 4 2" xfId="32635" xr:uid="{00000000-0005-0000-0000-0000AB7F0000}"/>
    <cellStyle name="常规 3 4 2 2" xfId="32636" xr:uid="{00000000-0005-0000-0000-0000AC7F0000}"/>
    <cellStyle name="常规 3 4 2 3" xfId="32637" xr:uid="{00000000-0005-0000-0000-0000AD7F0000}"/>
    <cellStyle name="常规 3 4 3" xfId="31614" xr:uid="{00000000-0005-0000-0000-0000AE7B0000}"/>
    <cellStyle name="常规 3 5" xfId="32638" xr:uid="{00000000-0005-0000-0000-0000AE7F0000}"/>
    <cellStyle name="常规 30" xfId="6717" xr:uid="{00000000-0005-0000-0000-00006D1A0000}"/>
    <cellStyle name="常规 30 2" xfId="32608" xr:uid="{00000000-0005-0000-0000-0000907F0000}"/>
    <cellStyle name="常规 31" xfId="16513" xr:uid="{00000000-0005-0000-0000-0000B1400000}"/>
    <cellStyle name="常规 31 2" xfId="32612" xr:uid="{00000000-0005-0000-0000-0000947F0000}"/>
    <cellStyle name="常规 32" xfId="16518" xr:uid="{00000000-0005-0000-0000-0000B6400000}"/>
    <cellStyle name="常规 32 2" xfId="32615" xr:uid="{00000000-0005-0000-0000-0000977F0000}"/>
    <cellStyle name="常规 33" xfId="32617" xr:uid="{00000000-0005-0000-0000-0000997F0000}"/>
    <cellStyle name="常规 33 2" xfId="32622" xr:uid="{00000000-0005-0000-0000-00009E7F0000}"/>
    <cellStyle name="常规 34" xfId="32624" xr:uid="{00000000-0005-0000-0000-0000A07F0000}"/>
    <cellStyle name="常规 34 2" xfId="32627" xr:uid="{00000000-0005-0000-0000-0000A37F0000}"/>
    <cellStyle name="常规 35" xfId="32639" xr:uid="{00000000-0005-0000-0000-0000AF7F0000}"/>
    <cellStyle name="常规 35 2" xfId="32645" xr:uid="{00000000-0005-0000-0000-0000B57F0000}"/>
    <cellStyle name="常规 36" xfId="32647" xr:uid="{00000000-0005-0000-0000-0000B77F0000}"/>
    <cellStyle name="常规 36 2" xfId="1737" xr:uid="{00000000-0005-0000-0000-0000F9060000}"/>
    <cellStyle name="常规 37" xfId="32649" xr:uid="{00000000-0005-0000-0000-0000B97F0000}"/>
    <cellStyle name="常规 37 2" xfId="1762" xr:uid="{00000000-0005-0000-0000-000012070000}"/>
    <cellStyle name="常规 38" xfId="32652" xr:uid="{00000000-0005-0000-0000-0000BC7F0000}"/>
    <cellStyle name="常规 38 2" xfId="32655" xr:uid="{00000000-0005-0000-0000-0000BF7F0000}"/>
    <cellStyle name="常规 39" xfId="20727" xr:uid="{00000000-0005-0000-0000-000027510000}"/>
    <cellStyle name="常规 39 2" xfId="32659" xr:uid="{00000000-0005-0000-0000-0000C37F0000}"/>
    <cellStyle name="常规 4" xfId="32661" xr:uid="{00000000-0005-0000-0000-0000C57F0000}"/>
    <cellStyle name="常规 4 2" xfId="32663" xr:uid="{00000000-0005-0000-0000-0000C77F0000}"/>
    <cellStyle name="常规 4 3" xfId="32665" xr:uid="{00000000-0005-0000-0000-0000C97F0000}"/>
    <cellStyle name="常规 4 3 2" xfId="32666" xr:uid="{00000000-0005-0000-0000-0000CA7F0000}"/>
    <cellStyle name="常规 4 3 2 2" xfId="4065" xr:uid="{00000000-0005-0000-0000-000011100000}"/>
    <cellStyle name="常规 4 3 2 3" xfId="5517" xr:uid="{00000000-0005-0000-0000-0000BD150000}"/>
    <cellStyle name="常规 4 4" xfId="32668" xr:uid="{00000000-0005-0000-0000-0000CC7F0000}"/>
    <cellStyle name="常规 4 5" xfId="49642" xr:uid="{7BDA509D-ADBF-4805-B421-6AFB9772C0CD}"/>
    <cellStyle name="常规 40" xfId="32640" xr:uid="{00000000-0005-0000-0000-0000B07F0000}"/>
    <cellStyle name="常规 40 2" xfId="32646" xr:uid="{00000000-0005-0000-0000-0000B67F0000}"/>
    <cellStyle name="常规 41" xfId="32648" xr:uid="{00000000-0005-0000-0000-0000B87F0000}"/>
    <cellStyle name="常规 41 2" xfId="1738" xr:uid="{00000000-0005-0000-0000-0000FA060000}"/>
    <cellStyle name="常规 42" xfId="32650" xr:uid="{00000000-0005-0000-0000-0000BA7F0000}"/>
    <cellStyle name="常规 42 2" xfId="1763" xr:uid="{00000000-0005-0000-0000-000013070000}"/>
    <cellStyle name="常规 43" xfId="32653" xr:uid="{00000000-0005-0000-0000-0000BD7F0000}"/>
    <cellStyle name="常规 43 2" xfId="32656" xr:uid="{00000000-0005-0000-0000-0000C07F0000}"/>
    <cellStyle name="常规 44" xfId="20728" xr:uid="{00000000-0005-0000-0000-000028510000}"/>
    <cellStyle name="常规 44 2" xfId="32660" xr:uid="{00000000-0005-0000-0000-0000C47F0000}"/>
    <cellStyle name="常规 45" xfId="32669" xr:uid="{00000000-0005-0000-0000-0000CD7F0000}"/>
    <cellStyle name="常规 45 2" xfId="32672" xr:uid="{00000000-0005-0000-0000-0000D07F0000}"/>
    <cellStyle name="常规 46" xfId="32674" xr:uid="{00000000-0005-0000-0000-0000D27F0000}"/>
    <cellStyle name="常规 46 2" xfId="3639" xr:uid="{00000000-0005-0000-0000-0000670E0000}"/>
    <cellStyle name="常规 47" xfId="32676" xr:uid="{00000000-0005-0000-0000-0000D47F0000}"/>
    <cellStyle name="常规 47 2" xfId="32678" xr:uid="{00000000-0005-0000-0000-0000D67F0000}"/>
    <cellStyle name="常规 48" xfId="32680" xr:uid="{00000000-0005-0000-0000-0000D87F0000}"/>
    <cellStyle name="常规 48 2" xfId="13423" xr:uid="{00000000-0005-0000-0000-00009F340000}"/>
    <cellStyle name="常规 49" xfId="32682" xr:uid="{00000000-0005-0000-0000-0000DA7F0000}"/>
    <cellStyle name="常规 49 2" xfId="15112" xr:uid="{00000000-0005-0000-0000-0000383B0000}"/>
    <cellStyle name="常规 5" xfId="32684" xr:uid="{00000000-0005-0000-0000-0000DC7F0000}"/>
    <cellStyle name="常规 5 2" xfId="16436" xr:uid="{00000000-0005-0000-0000-000064400000}"/>
    <cellStyle name="常规 5 2 2" xfId="26510" xr:uid="{00000000-0005-0000-0000-0000BE670000}"/>
    <cellStyle name="常规 5 2 2 2" xfId="14572" xr:uid="{00000000-0005-0000-0000-00001C390000}"/>
    <cellStyle name="常规 5 2 3" xfId="5497" xr:uid="{00000000-0005-0000-0000-0000A9150000}"/>
    <cellStyle name="常规 5 3" xfId="8527" xr:uid="{00000000-0005-0000-0000-00007F210000}"/>
    <cellStyle name="常规 5 4" xfId="32686" xr:uid="{00000000-0005-0000-0000-0000DE7F0000}"/>
    <cellStyle name="常规 5 4 2" xfId="32687" xr:uid="{00000000-0005-0000-0000-0000DF7F0000}"/>
    <cellStyle name="常规 5 4 2 2" xfId="8380" xr:uid="{00000000-0005-0000-0000-0000EC200000}"/>
    <cellStyle name="常规 5 4 2 3" xfId="8387" xr:uid="{00000000-0005-0000-0000-0000F3200000}"/>
    <cellStyle name="常规 5 4 3" xfId="32688" xr:uid="{00000000-0005-0000-0000-0000E07F0000}"/>
    <cellStyle name="常规 5 5" xfId="32689" xr:uid="{00000000-0005-0000-0000-0000E17F0000}"/>
    <cellStyle name="常规 50" xfId="32670" xr:uid="{00000000-0005-0000-0000-0000CE7F0000}"/>
    <cellStyle name="常规 50 2" xfId="32673" xr:uid="{00000000-0005-0000-0000-0000D17F0000}"/>
    <cellStyle name="常规 51" xfId="32675" xr:uid="{00000000-0005-0000-0000-0000D37F0000}"/>
    <cellStyle name="常规 51 2" xfId="3640" xr:uid="{00000000-0005-0000-0000-0000680E0000}"/>
    <cellStyle name="常规 52" xfId="32677" xr:uid="{00000000-0005-0000-0000-0000D57F0000}"/>
    <cellStyle name="常规 52 2" xfId="32679" xr:uid="{00000000-0005-0000-0000-0000D77F0000}"/>
    <cellStyle name="常规 53" xfId="32681" xr:uid="{00000000-0005-0000-0000-0000D97F0000}"/>
    <cellStyle name="常规 54" xfId="32683" xr:uid="{00000000-0005-0000-0000-0000DB7F0000}"/>
    <cellStyle name="常规 54 2" xfId="15113" xr:uid="{00000000-0005-0000-0000-0000393B0000}"/>
    <cellStyle name="常规 55" xfId="24758" xr:uid="{00000000-0005-0000-0000-0000E6600000}"/>
    <cellStyle name="常规 55 2" xfId="21074" xr:uid="{00000000-0005-0000-0000-000082520000}"/>
    <cellStyle name="常规 56" xfId="32690" xr:uid="{00000000-0005-0000-0000-0000E27F0000}"/>
    <cellStyle name="常规 57" xfId="32692" xr:uid="{00000000-0005-0000-0000-0000E47F0000}"/>
    <cellStyle name="常规 58" xfId="24384" xr:uid="{00000000-0005-0000-0000-0000705F0000}"/>
    <cellStyle name="常规 59" xfId="23248" xr:uid="{00000000-0005-0000-0000-0000005B0000}"/>
    <cellStyle name="常规 6" xfId="32694" xr:uid="{00000000-0005-0000-0000-0000E67F0000}"/>
    <cellStyle name="常规 6 2" xfId="32696" xr:uid="{00000000-0005-0000-0000-0000E87F0000}"/>
    <cellStyle name="常规 6 2 2" xfId="32700" xr:uid="{00000000-0005-0000-0000-0000EC7F0000}"/>
    <cellStyle name="常规 60" xfId="24759" xr:uid="{00000000-0005-0000-0000-0000E7600000}"/>
    <cellStyle name="常规 61" xfId="32691" xr:uid="{00000000-0005-0000-0000-0000E37F0000}"/>
    <cellStyle name="常规 62" xfId="32693" xr:uid="{00000000-0005-0000-0000-0000E57F0000}"/>
    <cellStyle name="常规 63" xfId="24385" xr:uid="{00000000-0005-0000-0000-0000715F0000}"/>
    <cellStyle name="常规 64" xfId="23249" xr:uid="{00000000-0005-0000-0000-0000015B0000}"/>
    <cellStyle name="常规 65" xfId="16535" xr:uid="{00000000-0005-0000-0000-0000C7400000}"/>
    <cellStyle name="常规 66" xfId="16557" xr:uid="{00000000-0005-0000-0000-0000DD400000}"/>
    <cellStyle name="常规 67" xfId="16580" xr:uid="{00000000-0005-0000-0000-0000F4400000}"/>
    <cellStyle name="常规 68" xfId="16597" xr:uid="{00000000-0005-0000-0000-000005410000}"/>
    <cellStyle name="常规 69" xfId="16606" xr:uid="{00000000-0005-0000-0000-00000E410000}"/>
    <cellStyle name="常规 7" xfId="32701" xr:uid="{00000000-0005-0000-0000-0000ED7F0000}"/>
    <cellStyle name="常规 7 2" xfId="22759" xr:uid="{00000000-0005-0000-0000-000017590000}"/>
    <cellStyle name="常规 7 3" xfId="13495" xr:uid="{00000000-0005-0000-0000-0000E7340000}"/>
    <cellStyle name="常规 70" xfId="16536" xr:uid="{00000000-0005-0000-0000-0000C8400000}"/>
    <cellStyle name="常规 71" xfId="16558" xr:uid="{00000000-0005-0000-0000-0000DE400000}"/>
    <cellStyle name="常规 72" xfId="16581" xr:uid="{00000000-0005-0000-0000-0000F5400000}"/>
    <cellStyle name="常规 73" xfId="16598" xr:uid="{00000000-0005-0000-0000-000006410000}"/>
    <cellStyle name="常规 74" xfId="16607" xr:uid="{00000000-0005-0000-0000-00000F410000}"/>
    <cellStyle name="常规 75" xfId="16615" xr:uid="{00000000-0005-0000-0000-000017410000}"/>
    <cellStyle name="常规 76" xfId="16621" xr:uid="{00000000-0005-0000-0000-00001D410000}"/>
    <cellStyle name="常规 77" xfId="16626" xr:uid="{00000000-0005-0000-0000-000022410000}"/>
    <cellStyle name="常规 78" xfId="32702" xr:uid="{00000000-0005-0000-0000-0000EE7F0000}"/>
    <cellStyle name="常规 79" xfId="32704" xr:uid="{00000000-0005-0000-0000-0000F07F0000}"/>
    <cellStyle name="常规 8" xfId="32706" xr:uid="{00000000-0005-0000-0000-0000F27F0000}"/>
    <cellStyle name="常规 8 2" xfId="24382" xr:uid="{00000000-0005-0000-0000-00006E5F0000}"/>
    <cellStyle name="常规 80" xfId="16616" xr:uid="{00000000-0005-0000-0000-000018410000}"/>
    <cellStyle name="常规 81" xfId="16622" xr:uid="{00000000-0005-0000-0000-00001E410000}"/>
    <cellStyle name="常规 82" xfId="16627" xr:uid="{00000000-0005-0000-0000-000023410000}"/>
    <cellStyle name="常规 83" xfId="32703" xr:uid="{00000000-0005-0000-0000-0000EF7F0000}"/>
    <cellStyle name="常规 84" xfId="32705" xr:uid="{00000000-0005-0000-0000-0000F17F0000}"/>
    <cellStyle name="常规 85" xfId="32707" xr:uid="{00000000-0005-0000-0000-0000F37F0000}"/>
    <cellStyle name="常规 86" xfId="32709" xr:uid="{00000000-0005-0000-0000-0000F57F0000}"/>
    <cellStyle name="常规 87" xfId="32711" xr:uid="{00000000-0005-0000-0000-0000F77F0000}"/>
    <cellStyle name="常规 88" xfId="32713" xr:uid="{00000000-0005-0000-0000-0000F97F0000}"/>
    <cellStyle name="常规 89" xfId="32715" xr:uid="{00000000-0005-0000-0000-0000FB7F0000}"/>
    <cellStyle name="常规 9" xfId="32717" xr:uid="{00000000-0005-0000-0000-0000FD7F0000}"/>
    <cellStyle name="常规 9 2" xfId="25592" xr:uid="{00000000-0005-0000-0000-000028640000}"/>
    <cellStyle name="常规 90" xfId="32708" xr:uid="{00000000-0005-0000-0000-0000F47F0000}"/>
    <cellStyle name="常规 91" xfId="32710" xr:uid="{00000000-0005-0000-0000-0000F67F0000}"/>
    <cellStyle name="常规 92" xfId="32712" xr:uid="{00000000-0005-0000-0000-0000F87F0000}"/>
    <cellStyle name="常规 93" xfId="32714" xr:uid="{00000000-0005-0000-0000-0000FA7F0000}"/>
    <cellStyle name="常规 94" xfId="32716" xr:uid="{00000000-0005-0000-0000-0000FC7F0000}"/>
    <cellStyle name="常规 95" xfId="32718" xr:uid="{00000000-0005-0000-0000-0000FE7F0000}"/>
    <cellStyle name="常规 96" xfId="32719" xr:uid="{00000000-0005-0000-0000-0000FF7F0000}"/>
    <cellStyle name="常规 97" xfId="32720" xr:uid="{00000000-0005-0000-0000-000000800000}"/>
    <cellStyle name="常规 98" xfId="32721" xr:uid="{00000000-0005-0000-0000-000001800000}"/>
    <cellStyle name="常规 99" xfId="32722" xr:uid="{00000000-0005-0000-0000-000002800000}"/>
    <cellStyle name="超链接 2" xfId="32723" xr:uid="{00000000-0005-0000-0000-000003800000}"/>
    <cellStyle name="超链接 3" xfId="6835" xr:uid="{00000000-0005-0000-0000-0000E31A0000}"/>
    <cellStyle name="超链接 4" xfId="25505" xr:uid="{00000000-0005-0000-0000-0000D1630000}"/>
    <cellStyle name="好 2" xfId="32726" xr:uid="{00000000-0005-0000-0000-000006800000}"/>
    <cellStyle name="汇总 2" xfId="11459" xr:uid="{00000000-0005-0000-0000-0000F32C0000}"/>
    <cellStyle name="货币 2" xfId="32728" xr:uid="{00000000-0005-0000-0000-000008800000}"/>
    <cellStyle name="货币 2 10" xfId="32731" xr:uid="{00000000-0005-0000-0000-00000B800000}"/>
    <cellStyle name="货币 2 10 10" xfId="21840" xr:uid="{00000000-0005-0000-0000-000080550000}"/>
    <cellStyle name="货币 2 10 10 2" xfId="32732" xr:uid="{00000000-0005-0000-0000-00000C800000}"/>
    <cellStyle name="货币 2 10 10 3" xfId="32733" xr:uid="{00000000-0005-0000-0000-00000D800000}"/>
    <cellStyle name="货币 2 10 10 4" xfId="32735" xr:uid="{00000000-0005-0000-0000-00000F800000}"/>
    <cellStyle name="货币 2 10 10 5" xfId="32737" xr:uid="{00000000-0005-0000-0000-000011800000}"/>
    <cellStyle name="货币 2 10 10 6" xfId="32740" xr:uid="{00000000-0005-0000-0000-000014800000}"/>
    <cellStyle name="货币 2 10 11" xfId="21848" xr:uid="{00000000-0005-0000-0000-000088550000}"/>
    <cellStyle name="货币 2 10 11 2" xfId="32743" xr:uid="{00000000-0005-0000-0000-000017800000}"/>
    <cellStyle name="货币 2 10 11 3" xfId="32745" xr:uid="{00000000-0005-0000-0000-000019800000}"/>
    <cellStyle name="货币 2 10 11 4" xfId="32748" xr:uid="{00000000-0005-0000-0000-00001C800000}"/>
    <cellStyle name="货币 2 10 11 5" xfId="30106" xr:uid="{00000000-0005-0000-0000-0000CA750000}"/>
    <cellStyle name="货币 2 10 11 6" xfId="32752" xr:uid="{00000000-0005-0000-0000-000020800000}"/>
    <cellStyle name="货币 2 10 12" xfId="21855" xr:uid="{00000000-0005-0000-0000-00008F550000}"/>
    <cellStyle name="货币 2 10 13" xfId="21861" xr:uid="{00000000-0005-0000-0000-000095550000}"/>
    <cellStyle name="货币 2 10 14" xfId="32754" xr:uid="{00000000-0005-0000-0000-000022800000}"/>
    <cellStyle name="货币 2 10 15" xfId="32755" xr:uid="{00000000-0005-0000-0000-000023800000}"/>
    <cellStyle name="货币 2 10 16" xfId="32757" xr:uid="{00000000-0005-0000-0000-000025800000}"/>
    <cellStyle name="货币 2 10 17" xfId="32759" xr:uid="{00000000-0005-0000-0000-000027800000}"/>
    <cellStyle name="货币 2 10 18" xfId="32761" xr:uid="{00000000-0005-0000-0000-000029800000}"/>
    <cellStyle name="货币 2 10 19" xfId="32763" xr:uid="{00000000-0005-0000-0000-00002B800000}"/>
    <cellStyle name="货币 2 10 2" xfId="15553" xr:uid="{00000000-0005-0000-0000-0000F13C0000}"/>
    <cellStyle name="货币 2 10 2 10" xfId="32764" xr:uid="{00000000-0005-0000-0000-00002C800000}"/>
    <cellStyle name="货币 2 10 2 11" xfId="32766" xr:uid="{00000000-0005-0000-0000-00002E800000}"/>
    <cellStyle name="货币 2 10 2 12" xfId="25447" xr:uid="{00000000-0005-0000-0000-000097630000}"/>
    <cellStyle name="货币 2 10 2 13" xfId="32768" xr:uid="{00000000-0005-0000-0000-000030800000}"/>
    <cellStyle name="货币 2 10 2 14" xfId="32770" xr:uid="{00000000-0005-0000-0000-000032800000}"/>
    <cellStyle name="货币 2 10 2 15" xfId="32772" xr:uid="{00000000-0005-0000-0000-000034800000}"/>
    <cellStyle name="货币 2 10 2 16" xfId="30233" xr:uid="{00000000-0005-0000-0000-000049760000}"/>
    <cellStyle name="货币 2 10 2 17" xfId="32774" xr:uid="{00000000-0005-0000-0000-000036800000}"/>
    <cellStyle name="货币 2 10 2 18" xfId="32776" xr:uid="{00000000-0005-0000-0000-000038800000}"/>
    <cellStyle name="货币 2 10 2 2" xfId="396" xr:uid="{00000000-0005-0000-0000-0000A6010000}"/>
    <cellStyle name="货币 2 10 2 2 10" xfId="22990" xr:uid="{00000000-0005-0000-0000-0000FE590000}"/>
    <cellStyle name="货币 2 10 2 2 11" xfId="22993" xr:uid="{00000000-0005-0000-0000-0000015A0000}"/>
    <cellStyle name="货币 2 10 2 2 12" xfId="22996" xr:uid="{00000000-0005-0000-0000-0000045A0000}"/>
    <cellStyle name="货币 2 10 2 2 2" xfId="14669" xr:uid="{00000000-0005-0000-0000-00007D390000}"/>
    <cellStyle name="货币 2 10 2 2 2 2" xfId="9135" xr:uid="{00000000-0005-0000-0000-0000DF230000}"/>
    <cellStyle name="货币 2 10 2 2 2 2 2" xfId="17548" xr:uid="{00000000-0005-0000-0000-0000BC440000}"/>
    <cellStyle name="货币 2 10 2 2 2 3" xfId="9146" xr:uid="{00000000-0005-0000-0000-0000EA230000}"/>
    <cellStyle name="货币 2 10 2 2 2 4" xfId="9152" xr:uid="{00000000-0005-0000-0000-0000F0230000}"/>
    <cellStyle name="货币 2 10 2 2 2 5" xfId="9155" xr:uid="{00000000-0005-0000-0000-0000F3230000}"/>
    <cellStyle name="货币 2 10 2 2 3" xfId="20561" xr:uid="{00000000-0005-0000-0000-000081500000}"/>
    <cellStyle name="货币 2 10 2 2 3 2" xfId="32780" xr:uid="{00000000-0005-0000-0000-00003C800000}"/>
    <cellStyle name="货币 2 10 2 2 4" xfId="20570" xr:uid="{00000000-0005-0000-0000-00008A500000}"/>
    <cellStyle name="货币 2 10 2 2 5" xfId="22875" xr:uid="{00000000-0005-0000-0000-00008B590000}"/>
    <cellStyle name="货币 2 10 2 2 6" xfId="23674" xr:uid="{00000000-0005-0000-0000-0000AA5C0000}"/>
    <cellStyle name="货币 2 10 2 2 7" xfId="32781" xr:uid="{00000000-0005-0000-0000-00003D800000}"/>
    <cellStyle name="货币 2 10 2 2 8" xfId="32782" xr:uid="{00000000-0005-0000-0000-00003E800000}"/>
    <cellStyle name="货币 2 10 2 2 9" xfId="32783" xr:uid="{00000000-0005-0000-0000-00003F800000}"/>
    <cellStyle name="货币 2 10 2 3" xfId="1998" xr:uid="{00000000-0005-0000-0000-0000FE070000}"/>
    <cellStyle name="货币 2 10 2 3 10" xfId="17052" xr:uid="{00000000-0005-0000-0000-0000CC420000}"/>
    <cellStyle name="货币 2 10 2 3 11" xfId="17059" xr:uid="{00000000-0005-0000-0000-0000D3420000}"/>
    <cellStyle name="货币 2 10 2 3 12" xfId="17064" xr:uid="{00000000-0005-0000-0000-0000D8420000}"/>
    <cellStyle name="货币 2 10 2 3 2" xfId="23708" xr:uid="{00000000-0005-0000-0000-0000CC5C0000}"/>
    <cellStyle name="货币 2 10 2 3 2 2" xfId="32784" xr:uid="{00000000-0005-0000-0000-000040800000}"/>
    <cellStyle name="货币 2 10 2 3 2 2 2" xfId="32785" xr:uid="{00000000-0005-0000-0000-000041800000}"/>
    <cellStyle name="货币 2 10 2 3 2 3" xfId="32786" xr:uid="{00000000-0005-0000-0000-000042800000}"/>
    <cellStyle name="货币 2 10 2 3 2 4" xfId="5186" xr:uid="{00000000-0005-0000-0000-000072140000}"/>
    <cellStyle name="货币 2 10 2 3 2 5" xfId="17170" xr:uid="{00000000-0005-0000-0000-000042430000}"/>
    <cellStyle name="货币 2 10 2 3 3" xfId="23712" xr:uid="{00000000-0005-0000-0000-0000D05C0000}"/>
    <cellStyle name="货币 2 10 2 3 3 2" xfId="32787" xr:uid="{00000000-0005-0000-0000-000043800000}"/>
    <cellStyle name="货币 2 10 2 3 4" xfId="23715" xr:uid="{00000000-0005-0000-0000-0000D35C0000}"/>
    <cellStyle name="货币 2 10 2 3 5" xfId="23717" xr:uid="{00000000-0005-0000-0000-0000D55C0000}"/>
    <cellStyle name="货币 2 10 2 3 6" xfId="23719" xr:uid="{00000000-0005-0000-0000-0000D75C0000}"/>
    <cellStyle name="货币 2 10 2 3 7" xfId="31087" xr:uid="{00000000-0005-0000-0000-00009F790000}"/>
    <cellStyle name="货币 2 10 2 3 8" xfId="32788" xr:uid="{00000000-0005-0000-0000-000044800000}"/>
    <cellStyle name="货币 2 10 2 3 9" xfId="32789" xr:uid="{00000000-0005-0000-0000-000045800000}"/>
    <cellStyle name="货币 2 10 2 4" xfId="2024" xr:uid="{00000000-0005-0000-0000-000018080000}"/>
    <cellStyle name="货币 2 10 2 4 10" xfId="32790" xr:uid="{00000000-0005-0000-0000-000046800000}"/>
    <cellStyle name="货币 2 10 2 4 2" xfId="23733" xr:uid="{00000000-0005-0000-0000-0000E55C0000}"/>
    <cellStyle name="货币 2 10 2 4 2 2" xfId="32791" xr:uid="{00000000-0005-0000-0000-000047800000}"/>
    <cellStyle name="货币 2 10 2 4 2 2 2" xfId="24406" xr:uid="{00000000-0005-0000-0000-0000865F0000}"/>
    <cellStyle name="货币 2 10 2 4 2 3" xfId="32792" xr:uid="{00000000-0005-0000-0000-000048800000}"/>
    <cellStyle name="货币 2 10 2 4 2 4" xfId="32793" xr:uid="{00000000-0005-0000-0000-000049800000}"/>
    <cellStyle name="货币 2 10 2 4 2 5" xfId="32794" xr:uid="{00000000-0005-0000-0000-00004A800000}"/>
    <cellStyle name="货币 2 10 2 4 3" xfId="23236" xr:uid="{00000000-0005-0000-0000-0000F45A0000}"/>
    <cellStyle name="货币 2 10 2 4 3 2" xfId="32795" xr:uid="{00000000-0005-0000-0000-00004B800000}"/>
    <cellStyle name="货币 2 10 2 4 4" xfId="23736" xr:uid="{00000000-0005-0000-0000-0000E85C0000}"/>
    <cellStyle name="货币 2 10 2 4 5" xfId="1441" xr:uid="{00000000-0005-0000-0000-0000D1050000}"/>
    <cellStyle name="货币 2 10 2 4 6" xfId="3579" xr:uid="{00000000-0005-0000-0000-00002B0E0000}"/>
    <cellStyle name="货币 2 10 2 4 7" xfId="32797" xr:uid="{00000000-0005-0000-0000-00004D800000}"/>
    <cellStyle name="货币 2 10 2 4 8" xfId="32799" xr:uid="{00000000-0005-0000-0000-00004F800000}"/>
    <cellStyle name="货币 2 10 2 4 9" xfId="32801" xr:uid="{00000000-0005-0000-0000-000051800000}"/>
    <cellStyle name="货币 2 10 2 5" xfId="2048" xr:uid="{00000000-0005-0000-0000-000030080000}"/>
    <cellStyle name="货币 2 10 2 5 10" xfId="32802" xr:uid="{00000000-0005-0000-0000-000052800000}"/>
    <cellStyle name="货币 2 10 2 5 2" xfId="23745" xr:uid="{00000000-0005-0000-0000-0000F15C0000}"/>
    <cellStyle name="货币 2 10 2 5 2 2" xfId="32803" xr:uid="{00000000-0005-0000-0000-000053800000}"/>
    <cellStyle name="货币 2 10 2 5 2 2 2" xfId="32805" xr:uid="{00000000-0005-0000-0000-000055800000}"/>
    <cellStyle name="货币 2 10 2 5 2 3" xfId="32806" xr:uid="{00000000-0005-0000-0000-000056800000}"/>
    <cellStyle name="货币 2 10 2 5 2 4" xfId="32808" xr:uid="{00000000-0005-0000-0000-000058800000}"/>
    <cellStyle name="货币 2 10 2 5 2 5" xfId="23842" xr:uid="{00000000-0005-0000-0000-0000525D0000}"/>
    <cellStyle name="货币 2 10 2 5 3" xfId="23748" xr:uid="{00000000-0005-0000-0000-0000F45C0000}"/>
    <cellStyle name="货币 2 10 2 5 3 2" xfId="32810" xr:uid="{00000000-0005-0000-0000-00005A800000}"/>
    <cellStyle name="货币 2 10 2 5 4" xfId="32812" xr:uid="{00000000-0005-0000-0000-00005C800000}"/>
    <cellStyle name="货币 2 10 2 5 5" xfId="1470" xr:uid="{00000000-0005-0000-0000-0000EE050000}"/>
    <cellStyle name="货币 2 10 2 5 6" xfId="32813" xr:uid="{00000000-0005-0000-0000-00005D800000}"/>
    <cellStyle name="货币 2 10 2 5 7" xfId="32814" xr:uid="{00000000-0005-0000-0000-00005E800000}"/>
    <cellStyle name="货币 2 10 2 5 8" xfId="32815" xr:uid="{00000000-0005-0000-0000-00005F800000}"/>
    <cellStyle name="货币 2 10 2 5 9" xfId="32816" xr:uid="{00000000-0005-0000-0000-000060800000}"/>
    <cellStyle name="货币 2 10 2 6" xfId="6232" xr:uid="{00000000-0005-0000-0000-000088180000}"/>
    <cellStyle name="货币 2 10 2 6 2" xfId="18299" xr:uid="{00000000-0005-0000-0000-0000AB470000}"/>
    <cellStyle name="货币 2 10 2 6 2 2" xfId="32817" xr:uid="{00000000-0005-0000-0000-000061800000}"/>
    <cellStyle name="货币 2 10 2 6 3" xfId="18334" xr:uid="{00000000-0005-0000-0000-0000CE470000}"/>
    <cellStyle name="货币 2 10 2 6 4" xfId="18373" xr:uid="{00000000-0005-0000-0000-0000F5470000}"/>
    <cellStyle name="货币 2 10 2 6 5" xfId="1498" xr:uid="{00000000-0005-0000-0000-00000A060000}"/>
    <cellStyle name="货币 2 10 2 6 6" xfId="14463" xr:uid="{00000000-0005-0000-0000-0000AF380000}"/>
    <cellStyle name="货币 2 10 2 6 7" xfId="14468" xr:uid="{00000000-0005-0000-0000-0000B4380000}"/>
    <cellStyle name="货币 2 10 2 6 8" xfId="32818" xr:uid="{00000000-0005-0000-0000-000062800000}"/>
    <cellStyle name="货币 2 10 2 6 9" xfId="32820" xr:uid="{00000000-0005-0000-0000-000064800000}"/>
    <cellStyle name="货币 2 10 2 7" xfId="6666" xr:uid="{00000000-0005-0000-0000-00003A1A0000}"/>
    <cellStyle name="货币 2 10 2 7 2" xfId="18468" xr:uid="{00000000-0005-0000-0000-000054480000}"/>
    <cellStyle name="货币 2 10 2 8" xfId="8191" xr:uid="{00000000-0005-0000-0000-00002F200000}"/>
    <cellStyle name="货币 2 10 2 9" xfId="11984" xr:uid="{00000000-0005-0000-0000-0000002F0000}"/>
    <cellStyle name="货币 2 10 20" xfId="32756" xr:uid="{00000000-0005-0000-0000-000024800000}"/>
    <cellStyle name="货币 2 10 21" xfId="32758" xr:uid="{00000000-0005-0000-0000-000026800000}"/>
    <cellStyle name="货币 2 10 22" xfId="32760" xr:uid="{00000000-0005-0000-0000-000028800000}"/>
    <cellStyle name="货币 2 10 23" xfId="32762" xr:uid="{00000000-0005-0000-0000-00002A800000}"/>
    <cellStyle name="货币 2 10 3" xfId="15558" xr:uid="{00000000-0005-0000-0000-0000F63C0000}"/>
    <cellStyle name="货币 2 10 3 10" xfId="32165" xr:uid="{00000000-0005-0000-0000-0000D57D0000}"/>
    <cellStyle name="货币 2 10 3 11" xfId="32169" xr:uid="{00000000-0005-0000-0000-0000D97D0000}"/>
    <cellStyle name="货币 2 10 3 12" xfId="32176" xr:uid="{00000000-0005-0000-0000-0000E07D0000}"/>
    <cellStyle name="货币 2 10 3 13" xfId="32185" xr:uid="{00000000-0005-0000-0000-0000E97D0000}"/>
    <cellStyle name="货币 2 10 3 14" xfId="32196" xr:uid="{00000000-0005-0000-0000-0000F47D0000}"/>
    <cellStyle name="货币 2 10 3 15" xfId="32201" xr:uid="{00000000-0005-0000-0000-0000F97D0000}"/>
    <cellStyle name="货币 2 10 3 16" xfId="31774" xr:uid="{00000000-0005-0000-0000-00004E7C0000}"/>
    <cellStyle name="货币 2 10 3 17" xfId="31777" xr:uid="{00000000-0005-0000-0000-0000517C0000}"/>
    <cellStyle name="货币 2 10 3 18" xfId="31780" xr:uid="{00000000-0005-0000-0000-0000547C0000}"/>
    <cellStyle name="货币 2 10 3 2" xfId="14697" xr:uid="{00000000-0005-0000-0000-000099390000}"/>
    <cellStyle name="货币 2 10 3 2 10" xfId="32821" xr:uid="{00000000-0005-0000-0000-000065800000}"/>
    <cellStyle name="货币 2 10 3 2 2" xfId="2192" xr:uid="{00000000-0005-0000-0000-0000C0080000}"/>
    <cellStyle name="货币 2 10 3 2 2 2" xfId="24966" xr:uid="{00000000-0005-0000-0000-0000B6610000}"/>
    <cellStyle name="货币 2 10 3 2 3" xfId="23879" xr:uid="{00000000-0005-0000-0000-0000775D0000}"/>
    <cellStyle name="货币 2 10 3 2 4" xfId="23883" xr:uid="{00000000-0005-0000-0000-00007B5D0000}"/>
    <cellStyle name="货币 2 10 3 2 5" xfId="23887" xr:uid="{00000000-0005-0000-0000-00007F5D0000}"/>
    <cellStyle name="货币 2 10 3 2 6" xfId="23891" xr:uid="{00000000-0005-0000-0000-0000835D0000}"/>
    <cellStyle name="货币 2 10 3 2 7" xfId="32822" xr:uid="{00000000-0005-0000-0000-000066800000}"/>
    <cellStyle name="货币 2 10 3 2 8" xfId="9382" xr:uid="{00000000-0005-0000-0000-0000D6240000}"/>
    <cellStyle name="货币 2 10 3 2 9" xfId="11575" xr:uid="{00000000-0005-0000-0000-0000672D0000}"/>
    <cellStyle name="货币 2 10 3 3" xfId="14701" xr:uid="{00000000-0005-0000-0000-00009D390000}"/>
    <cellStyle name="货币 2 10 3 3 2" xfId="23927" xr:uid="{00000000-0005-0000-0000-0000A75D0000}"/>
    <cellStyle name="货币 2 10 3 3 3" xfId="23934" xr:uid="{00000000-0005-0000-0000-0000AE5D0000}"/>
    <cellStyle name="货币 2 10 3 3 4" xfId="23938" xr:uid="{00000000-0005-0000-0000-0000B25D0000}"/>
    <cellStyle name="货币 2 10 3 3 5" xfId="23942" xr:uid="{00000000-0005-0000-0000-0000B65D0000}"/>
    <cellStyle name="货币 2 10 3 3 6" xfId="23945" xr:uid="{00000000-0005-0000-0000-0000B95D0000}"/>
    <cellStyle name="货币 2 10 3 4" xfId="14710" xr:uid="{00000000-0005-0000-0000-0000A6390000}"/>
    <cellStyle name="货币 2 10 3 4 2" xfId="23956" xr:uid="{00000000-0005-0000-0000-0000C45D0000}"/>
    <cellStyle name="货币 2 10 3 4 3" xfId="23959" xr:uid="{00000000-0005-0000-0000-0000C75D0000}"/>
    <cellStyle name="货币 2 10 3 4 4" xfId="23963" xr:uid="{00000000-0005-0000-0000-0000CB5D0000}"/>
    <cellStyle name="货币 2 10 3 4 5" xfId="143" xr:uid="{00000000-0005-0000-0000-00009A000000}"/>
    <cellStyle name="货币 2 10 3 4 6" xfId="3900" xr:uid="{00000000-0005-0000-0000-00006C0F0000}"/>
    <cellStyle name="货币 2 10 3 5" xfId="2246" xr:uid="{00000000-0005-0000-0000-0000F6080000}"/>
    <cellStyle name="货币 2 10 3 5 2" xfId="6289" xr:uid="{00000000-0005-0000-0000-0000C1180000}"/>
    <cellStyle name="货币 2 10 3 5 3" xfId="6307" xr:uid="{00000000-0005-0000-0000-0000D3180000}"/>
    <cellStyle name="货币 2 10 3 5 4" xfId="6324" xr:uid="{00000000-0005-0000-0000-0000E4180000}"/>
    <cellStyle name="货币 2 10 3 5 5" xfId="3975" xr:uid="{00000000-0005-0000-0000-0000B70F0000}"/>
    <cellStyle name="货币 2 10 3 5 6" xfId="3995" xr:uid="{00000000-0005-0000-0000-0000CB0F0000}"/>
    <cellStyle name="货币 2 10 3 6" xfId="14714" xr:uid="{00000000-0005-0000-0000-0000AA390000}"/>
    <cellStyle name="货币 2 10 3 6 2" xfId="12652" xr:uid="{00000000-0005-0000-0000-00009C310000}"/>
    <cellStyle name="货币 2 10 3 6 3" xfId="12658" xr:uid="{00000000-0005-0000-0000-0000A2310000}"/>
    <cellStyle name="货币 2 10 3 6 4" xfId="12663" xr:uid="{00000000-0005-0000-0000-0000A7310000}"/>
    <cellStyle name="货币 2 10 3 6 5" xfId="330" xr:uid="{00000000-0005-0000-0000-000060010000}"/>
    <cellStyle name="货币 2 10 3 6 6" xfId="12672" xr:uid="{00000000-0005-0000-0000-0000B0310000}"/>
    <cellStyle name="货币 2 10 3 7" xfId="32823" xr:uid="{00000000-0005-0000-0000-000067800000}"/>
    <cellStyle name="货币 2 10 3 8" xfId="32825" xr:uid="{00000000-0005-0000-0000-000069800000}"/>
    <cellStyle name="货币 2 10 3 9" xfId="32826" xr:uid="{00000000-0005-0000-0000-00006A800000}"/>
    <cellStyle name="货币 2 10 4" xfId="22922" xr:uid="{00000000-0005-0000-0000-0000BA590000}"/>
    <cellStyle name="货币 2 10 4 10" xfId="32827" xr:uid="{00000000-0005-0000-0000-00006B800000}"/>
    <cellStyle name="货币 2 10 4 11" xfId="5313" xr:uid="{00000000-0005-0000-0000-0000F1140000}"/>
    <cellStyle name="货币 2 10 4 12" xfId="2694" xr:uid="{00000000-0005-0000-0000-0000B60A0000}"/>
    <cellStyle name="货币 2 10 4 13" xfId="2830" xr:uid="{00000000-0005-0000-0000-00003E0B0000}"/>
    <cellStyle name="货币 2 10 4 14" xfId="32828" xr:uid="{00000000-0005-0000-0000-00006C800000}"/>
    <cellStyle name="货币 2 10 4 15" xfId="32829" xr:uid="{00000000-0005-0000-0000-00006D800000}"/>
    <cellStyle name="货币 2 10 4 2" xfId="14737" xr:uid="{00000000-0005-0000-0000-0000C1390000}"/>
    <cellStyle name="货币 2 10 4 2 2" xfId="9539" xr:uid="{00000000-0005-0000-0000-000073250000}"/>
    <cellStyle name="货币 2 10 4 2 2 2" xfId="32832" xr:uid="{00000000-0005-0000-0000-000070800000}"/>
    <cellStyle name="货币 2 10 4 2 3" xfId="23790" xr:uid="{00000000-0005-0000-0000-00001E5D0000}"/>
    <cellStyle name="货币 2 10 4 2 4" xfId="23794" xr:uid="{00000000-0005-0000-0000-0000225D0000}"/>
    <cellStyle name="货币 2 10 4 2 5" xfId="23798" xr:uid="{00000000-0005-0000-0000-0000265D0000}"/>
    <cellStyle name="货币 2 10 4 2 6" xfId="23804" xr:uid="{00000000-0005-0000-0000-00002C5D0000}"/>
    <cellStyle name="货币 2 10 4 2 7" xfId="6107" xr:uid="{00000000-0005-0000-0000-00000B180000}"/>
    <cellStyle name="货币 2 10 4 2 8" xfId="9170" xr:uid="{00000000-0005-0000-0000-000002240000}"/>
    <cellStyle name="货币 2 10 4 2 9" xfId="9177" xr:uid="{00000000-0005-0000-0000-000009240000}"/>
    <cellStyle name="货币 2 10 4 3" xfId="14742" xr:uid="{00000000-0005-0000-0000-0000C6390000}"/>
    <cellStyle name="货币 2 10 4 3 2" xfId="24106" xr:uid="{00000000-0005-0000-0000-00005A5E0000}"/>
    <cellStyle name="货币 2 10 4 3 3" xfId="24110" xr:uid="{00000000-0005-0000-0000-00005E5E0000}"/>
    <cellStyle name="货币 2 10 4 3 4" xfId="24112" xr:uid="{00000000-0005-0000-0000-0000605E0000}"/>
    <cellStyle name="货币 2 10 4 3 5" xfId="24114" xr:uid="{00000000-0005-0000-0000-0000625E0000}"/>
    <cellStyle name="货币 2 10 4 3 6" xfId="24116" xr:uid="{00000000-0005-0000-0000-0000645E0000}"/>
    <cellStyle name="货币 2 10 4 4" xfId="14751" xr:uid="{00000000-0005-0000-0000-0000CF390000}"/>
    <cellStyle name="货币 2 10 4 4 2" xfId="24126" xr:uid="{00000000-0005-0000-0000-00006E5E0000}"/>
    <cellStyle name="货币 2 10 4 5" xfId="14758" xr:uid="{00000000-0005-0000-0000-0000D6390000}"/>
    <cellStyle name="货币 2 10 4 6" xfId="14762" xr:uid="{00000000-0005-0000-0000-0000DA390000}"/>
    <cellStyle name="货币 2 10 4 7" xfId="31398" xr:uid="{00000000-0005-0000-0000-0000D67A0000}"/>
    <cellStyle name="货币 2 10 4 8" xfId="32833" xr:uid="{00000000-0005-0000-0000-000071800000}"/>
    <cellStyle name="货币 2 10 4 9" xfId="11455" xr:uid="{00000000-0005-0000-0000-0000EF2C0000}"/>
    <cellStyle name="货币 2 10 5" xfId="22924" xr:uid="{00000000-0005-0000-0000-0000BC590000}"/>
    <cellStyle name="货币 2 10 5 10" xfId="32836" xr:uid="{00000000-0005-0000-0000-000074800000}"/>
    <cellStyle name="货币 2 10 5 11" xfId="32838" xr:uid="{00000000-0005-0000-0000-000076800000}"/>
    <cellStyle name="货币 2 10 5 12" xfId="420" xr:uid="{00000000-0005-0000-0000-0000BF010000}"/>
    <cellStyle name="货币 2 10 5 13" xfId="5004" xr:uid="{00000000-0005-0000-0000-0000BC130000}"/>
    <cellStyle name="货币 2 10 5 2" xfId="29622" xr:uid="{00000000-0005-0000-0000-0000E6730000}"/>
    <cellStyle name="货币 2 10 5 2 2" xfId="24219" xr:uid="{00000000-0005-0000-0000-0000CB5E0000}"/>
    <cellStyle name="货币 2 10 5 2 2 2" xfId="32841" xr:uid="{00000000-0005-0000-0000-000079800000}"/>
    <cellStyle name="货币 2 10 5 2 3" xfId="24223" xr:uid="{00000000-0005-0000-0000-0000CF5E0000}"/>
    <cellStyle name="货币 2 10 5 2 4" xfId="3867" xr:uid="{00000000-0005-0000-0000-00004B0F0000}"/>
    <cellStyle name="货币 2 10 5 2 5" xfId="10427" xr:uid="{00000000-0005-0000-0000-0000EB280000}"/>
    <cellStyle name="货币 2 10 5 2 6" xfId="10432" xr:uid="{00000000-0005-0000-0000-0000F0280000}"/>
    <cellStyle name="货币 2 10 5 2 7" xfId="356" xr:uid="{00000000-0005-0000-0000-00007C010000}"/>
    <cellStyle name="货币 2 10 5 2 8" xfId="10846" xr:uid="{00000000-0005-0000-0000-00008E2A0000}"/>
    <cellStyle name="货币 2 10 5 2 9" xfId="10862" xr:uid="{00000000-0005-0000-0000-00009E2A0000}"/>
    <cellStyle name="货币 2 10 5 3" xfId="29628" xr:uid="{00000000-0005-0000-0000-0000EC730000}"/>
    <cellStyle name="货币 2 10 5 3 2" xfId="24230" xr:uid="{00000000-0005-0000-0000-0000D65E0000}"/>
    <cellStyle name="货币 2 10 5 3 3" xfId="93" xr:uid="{00000000-0005-0000-0000-000064000000}"/>
    <cellStyle name="货币 2 10 5 3 4" xfId="3877" xr:uid="{00000000-0005-0000-0000-0000550F0000}"/>
    <cellStyle name="货币 2 10 5 3 5" xfId="10891" xr:uid="{00000000-0005-0000-0000-0000BB2A0000}"/>
    <cellStyle name="货币 2 10 5 3 6" xfId="10924" xr:uid="{00000000-0005-0000-0000-0000DC2A0000}"/>
    <cellStyle name="货币 2 10 5 4" xfId="32842" xr:uid="{00000000-0005-0000-0000-00007A800000}"/>
    <cellStyle name="货币 2 10 5 4 2" xfId="25452" xr:uid="{00000000-0005-0000-0000-00009C630000}"/>
    <cellStyle name="货币 2 10 5 5" xfId="32843" xr:uid="{00000000-0005-0000-0000-00007B800000}"/>
    <cellStyle name="货币 2 10 5 6" xfId="31401" xr:uid="{00000000-0005-0000-0000-0000D97A0000}"/>
    <cellStyle name="货币 2 10 5 7" xfId="32844" xr:uid="{00000000-0005-0000-0000-00007C800000}"/>
    <cellStyle name="货币 2 10 5 8" xfId="32845" xr:uid="{00000000-0005-0000-0000-00007D800000}"/>
    <cellStyle name="货币 2 10 5 9" xfId="6764" xr:uid="{00000000-0005-0000-0000-00009C1A0000}"/>
    <cellStyle name="货币 2 10 6" xfId="22927" xr:uid="{00000000-0005-0000-0000-0000BF590000}"/>
    <cellStyle name="货币 2 10 6 10" xfId="32846" xr:uid="{00000000-0005-0000-0000-00007E800000}"/>
    <cellStyle name="货币 2 10 6 11" xfId="32848" xr:uid="{00000000-0005-0000-0000-000080800000}"/>
    <cellStyle name="货币 2 10 6 12" xfId="5543" xr:uid="{00000000-0005-0000-0000-0000D7150000}"/>
    <cellStyle name="货币 2 10 6 2" xfId="32849" xr:uid="{00000000-0005-0000-0000-000081800000}"/>
    <cellStyle name="货币 2 10 6 2 2" xfId="24265" xr:uid="{00000000-0005-0000-0000-0000F95E0000}"/>
    <cellStyle name="货币 2 10 6 2 2 2" xfId="32850" xr:uid="{00000000-0005-0000-0000-000082800000}"/>
    <cellStyle name="货币 2 10 6 2 3" xfId="24269" xr:uid="{00000000-0005-0000-0000-0000FD5E0000}"/>
    <cellStyle name="货币 2 10 6 2 4" xfId="11426" xr:uid="{00000000-0005-0000-0000-0000D22C0000}"/>
    <cellStyle name="货币 2 10 6 2 5" xfId="11429" xr:uid="{00000000-0005-0000-0000-0000D52C0000}"/>
    <cellStyle name="货币 2 10 6 2 6" xfId="11433" xr:uid="{00000000-0005-0000-0000-0000D92C0000}"/>
    <cellStyle name="货币 2 10 6 2 7" xfId="7572" xr:uid="{00000000-0005-0000-0000-0000C41D0000}"/>
    <cellStyle name="货币 2 10 6 2 8" xfId="11436" xr:uid="{00000000-0005-0000-0000-0000DC2C0000}"/>
    <cellStyle name="货币 2 10 6 2 9" xfId="11439" xr:uid="{00000000-0005-0000-0000-0000DF2C0000}"/>
    <cellStyle name="货币 2 10 6 3" xfId="32326" xr:uid="{00000000-0005-0000-0000-0000767E0000}"/>
    <cellStyle name="货币 2 10 6 3 2" xfId="24279" xr:uid="{00000000-0005-0000-0000-0000075F0000}"/>
    <cellStyle name="货币 2 10 6 3 3" xfId="24281" xr:uid="{00000000-0005-0000-0000-0000095F0000}"/>
    <cellStyle name="货币 2 10 6 3 4" xfId="4945" xr:uid="{00000000-0005-0000-0000-000081130000}"/>
    <cellStyle name="货币 2 10 6 3 5" xfId="4950" xr:uid="{00000000-0005-0000-0000-000086130000}"/>
    <cellStyle name="货币 2 10 6 3 6" xfId="2778" xr:uid="{00000000-0005-0000-0000-00000A0B0000}"/>
    <cellStyle name="货币 2 10 6 4" xfId="32851" xr:uid="{00000000-0005-0000-0000-000083800000}"/>
    <cellStyle name="货币 2 10 6 4 2" xfId="32852" xr:uid="{00000000-0005-0000-0000-000084800000}"/>
    <cellStyle name="货币 2 10 6 5" xfId="32853" xr:uid="{00000000-0005-0000-0000-000085800000}"/>
    <cellStyle name="货币 2 10 6 6" xfId="32854" xr:uid="{00000000-0005-0000-0000-000086800000}"/>
    <cellStyle name="货币 2 10 6 7" xfId="32855" xr:uid="{00000000-0005-0000-0000-000087800000}"/>
    <cellStyle name="货币 2 10 6 8" xfId="32856" xr:uid="{00000000-0005-0000-0000-000088800000}"/>
    <cellStyle name="货币 2 10 6 9" xfId="9158" xr:uid="{00000000-0005-0000-0000-0000F6230000}"/>
    <cellStyle name="货币 2 10 7" xfId="22929" xr:uid="{00000000-0005-0000-0000-0000C1590000}"/>
    <cellStyle name="货币 2 10 7 2" xfId="29765" xr:uid="{00000000-0005-0000-0000-000075740000}"/>
    <cellStyle name="货币 2 10 7 2 2" xfId="1448" xr:uid="{00000000-0005-0000-0000-0000D8050000}"/>
    <cellStyle name="货币 2 10 7 3" xfId="29769" xr:uid="{00000000-0005-0000-0000-000079740000}"/>
    <cellStyle name="货币 2 10 7 4" xfId="14828" xr:uid="{00000000-0005-0000-0000-00001C3A0000}"/>
    <cellStyle name="货币 2 10 7 5" xfId="24001" xr:uid="{00000000-0005-0000-0000-0000F15D0000}"/>
    <cellStyle name="货币 2 10 7 6" xfId="19390" xr:uid="{00000000-0005-0000-0000-0000EE4B0000}"/>
    <cellStyle name="货币 2 10 7 7" xfId="19402" xr:uid="{00000000-0005-0000-0000-0000FA4B0000}"/>
    <cellStyle name="货币 2 10 7 8" xfId="19423" xr:uid="{00000000-0005-0000-0000-00000F4C0000}"/>
    <cellStyle name="货币 2 10 7 9" xfId="3804" xr:uid="{00000000-0005-0000-0000-00000C0F0000}"/>
    <cellStyle name="货币 2 10 8" xfId="29774" xr:uid="{00000000-0005-0000-0000-00007E740000}"/>
    <cellStyle name="货币 2 10 8 2" xfId="28629" xr:uid="{00000000-0005-0000-0000-000005700000}"/>
    <cellStyle name="货币 2 10 8 3" xfId="28632" xr:uid="{00000000-0005-0000-0000-000008700000}"/>
    <cellStyle name="货币 2 10 8 4" xfId="24177" xr:uid="{00000000-0005-0000-0000-0000A15E0000}"/>
    <cellStyle name="货币 2 10 8 5" xfId="24182" xr:uid="{00000000-0005-0000-0000-0000A65E0000}"/>
    <cellStyle name="货币 2 10 8 6" xfId="19438" xr:uid="{00000000-0005-0000-0000-00001E4C0000}"/>
    <cellStyle name="货币 2 10 9" xfId="29777" xr:uid="{00000000-0005-0000-0000-000081740000}"/>
    <cellStyle name="货币 2 10 9 2" xfId="28657" xr:uid="{00000000-0005-0000-0000-000021700000}"/>
    <cellStyle name="货币 2 10 9 3" xfId="28659" xr:uid="{00000000-0005-0000-0000-000023700000}"/>
    <cellStyle name="货币 2 10 9 4" xfId="24191" xr:uid="{00000000-0005-0000-0000-0000AF5E0000}"/>
    <cellStyle name="货币 2 10 9 5" xfId="24195" xr:uid="{00000000-0005-0000-0000-0000B35E0000}"/>
    <cellStyle name="货币 2 10 9 6" xfId="24198" xr:uid="{00000000-0005-0000-0000-0000B65E0000}"/>
    <cellStyle name="货币 2 11" xfId="32858" xr:uid="{00000000-0005-0000-0000-00008A800000}"/>
    <cellStyle name="货币 2 11 10" xfId="32859" xr:uid="{00000000-0005-0000-0000-00008B800000}"/>
    <cellStyle name="货币 2 11 10 2" xfId="974" xr:uid="{00000000-0005-0000-0000-0000FE030000}"/>
    <cellStyle name="货币 2 11 10 3" xfId="8739" xr:uid="{00000000-0005-0000-0000-000053220000}"/>
    <cellStyle name="货币 2 11 10 4" xfId="13520" xr:uid="{00000000-0005-0000-0000-000000350000}"/>
    <cellStyle name="货币 2 11 10 5" xfId="13524" xr:uid="{00000000-0005-0000-0000-000004350000}"/>
    <cellStyle name="货币 2 11 10 6" xfId="32860" xr:uid="{00000000-0005-0000-0000-00008C800000}"/>
    <cellStyle name="货币 2 11 11" xfId="32861" xr:uid="{00000000-0005-0000-0000-00008D800000}"/>
    <cellStyle name="货币 2 11 11 2" xfId="7336" xr:uid="{00000000-0005-0000-0000-0000D81C0000}"/>
    <cellStyle name="货币 2 11 11 3" xfId="8768" xr:uid="{00000000-0005-0000-0000-000070220000}"/>
    <cellStyle name="货币 2 11 11 4" xfId="13536" xr:uid="{00000000-0005-0000-0000-000010350000}"/>
    <cellStyle name="货币 2 11 11 5" xfId="13541" xr:uid="{00000000-0005-0000-0000-000015350000}"/>
    <cellStyle name="货币 2 11 11 6" xfId="32863" xr:uid="{00000000-0005-0000-0000-00008F800000}"/>
    <cellStyle name="货币 2 11 12" xfId="32867" xr:uid="{00000000-0005-0000-0000-000093800000}"/>
    <cellStyle name="货币 2 11 13" xfId="32870" xr:uid="{00000000-0005-0000-0000-000096800000}"/>
    <cellStyle name="货币 2 11 14" xfId="32873" xr:uid="{00000000-0005-0000-0000-000099800000}"/>
    <cellStyle name="货币 2 11 15" xfId="32876" xr:uid="{00000000-0005-0000-0000-00009C800000}"/>
    <cellStyle name="货币 2 11 16" xfId="32881" xr:uid="{00000000-0005-0000-0000-0000A1800000}"/>
    <cellStyle name="货币 2 11 17" xfId="23643" xr:uid="{00000000-0005-0000-0000-00008B5C0000}"/>
    <cellStyle name="货币 2 11 18" xfId="23653" xr:uid="{00000000-0005-0000-0000-0000955C0000}"/>
    <cellStyle name="货币 2 11 19" xfId="23660" xr:uid="{00000000-0005-0000-0000-00009C5C0000}"/>
    <cellStyle name="货币 2 11 2" xfId="22946" xr:uid="{00000000-0005-0000-0000-0000D2590000}"/>
    <cellStyle name="货币 2 11 2 10" xfId="32883" xr:uid="{00000000-0005-0000-0000-0000A3800000}"/>
    <cellStyle name="货币 2 11 2 11" xfId="32886" xr:uid="{00000000-0005-0000-0000-0000A6800000}"/>
    <cellStyle name="货币 2 11 2 12" xfId="32888" xr:uid="{00000000-0005-0000-0000-0000A8800000}"/>
    <cellStyle name="货币 2 11 2 13" xfId="21511" xr:uid="{00000000-0005-0000-0000-000037540000}"/>
    <cellStyle name="货币 2 11 2 14" xfId="21516" xr:uid="{00000000-0005-0000-0000-00003C540000}"/>
    <cellStyle name="货币 2 11 2 15" xfId="1519" xr:uid="{00000000-0005-0000-0000-00001F060000}"/>
    <cellStyle name="货币 2 11 2 16" xfId="9639" xr:uid="{00000000-0005-0000-0000-0000D7250000}"/>
    <cellStyle name="货币 2 11 2 17" xfId="9642" xr:uid="{00000000-0005-0000-0000-0000DA250000}"/>
    <cellStyle name="货币 2 11 2 18" xfId="3797" xr:uid="{00000000-0005-0000-0000-0000050F0000}"/>
    <cellStyle name="货币 2 11 2 2" xfId="10330" xr:uid="{00000000-0005-0000-0000-00008A280000}"/>
    <cellStyle name="货币 2 11 2 2 10" xfId="32889" xr:uid="{00000000-0005-0000-0000-0000A9800000}"/>
    <cellStyle name="货币 2 11 2 2 11" xfId="24031" xr:uid="{00000000-0005-0000-0000-00000F5E0000}"/>
    <cellStyle name="货币 2 11 2 2 12" xfId="32890" xr:uid="{00000000-0005-0000-0000-0000AA800000}"/>
    <cellStyle name="货币 2 11 2 2 2" xfId="15121" xr:uid="{00000000-0005-0000-0000-0000413B0000}"/>
    <cellStyle name="货币 2 11 2 2 2 2" xfId="32892" xr:uid="{00000000-0005-0000-0000-0000AC800000}"/>
    <cellStyle name="货币 2 11 2 2 2 2 2" xfId="6312" xr:uid="{00000000-0005-0000-0000-0000D8180000}"/>
    <cellStyle name="货币 2 11 2 2 2 3" xfId="32894" xr:uid="{00000000-0005-0000-0000-0000AE800000}"/>
    <cellStyle name="货币 2 11 2 2 2 4" xfId="32896" xr:uid="{00000000-0005-0000-0000-0000B0800000}"/>
    <cellStyle name="货币 2 11 2 2 2 5" xfId="32897" xr:uid="{00000000-0005-0000-0000-0000B1800000}"/>
    <cellStyle name="货币 2 11 2 2 3" xfId="21057" xr:uid="{00000000-0005-0000-0000-000071520000}"/>
    <cellStyle name="货币 2 11 2 2 3 2" xfId="32899" xr:uid="{00000000-0005-0000-0000-0000B3800000}"/>
    <cellStyle name="货币 2 11 2 2 4" xfId="21071" xr:uid="{00000000-0005-0000-0000-00007F520000}"/>
    <cellStyle name="货币 2 11 2 2 5" xfId="18410" xr:uid="{00000000-0005-0000-0000-00001A480000}"/>
    <cellStyle name="货币 2 11 2 2 6" xfId="21078" xr:uid="{00000000-0005-0000-0000-000086520000}"/>
    <cellStyle name="货币 2 11 2 2 7" xfId="32901" xr:uid="{00000000-0005-0000-0000-0000B5800000}"/>
    <cellStyle name="货币 2 11 2 2 8" xfId="32903" xr:uid="{00000000-0005-0000-0000-0000B7800000}"/>
    <cellStyle name="货币 2 11 2 2 9" xfId="32905" xr:uid="{00000000-0005-0000-0000-0000B9800000}"/>
    <cellStyle name="货币 2 11 2 3" xfId="3407" xr:uid="{00000000-0005-0000-0000-00007F0D0000}"/>
    <cellStyle name="货币 2 11 2 3 10" xfId="26530" xr:uid="{00000000-0005-0000-0000-0000D2670000}"/>
    <cellStyle name="货币 2 11 2 3 11" xfId="26532" xr:uid="{00000000-0005-0000-0000-0000D4670000}"/>
    <cellStyle name="货币 2 11 2 3 12" xfId="26534" xr:uid="{00000000-0005-0000-0000-0000D6670000}"/>
    <cellStyle name="货币 2 11 2 3 2" xfId="18565" xr:uid="{00000000-0005-0000-0000-0000B5480000}"/>
    <cellStyle name="货币 2 11 2 3 2 2" xfId="32906" xr:uid="{00000000-0005-0000-0000-0000BA800000}"/>
    <cellStyle name="货币 2 11 2 3 2 2 2" xfId="32907" xr:uid="{00000000-0005-0000-0000-0000BB800000}"/>
    <cellStyle name="货币 2 11 2 3 2 3" xfId="32908" xr:uid="{00000000-0005-0000-0000-0000BC800000}"/>
    <cellStyle name="货币 2 11 2 3 2 4" xfId="32909" xr:uid="{00000000-0005-0000-0000-0000BD800000}"/>
    <cellStyle name="货币 2 11 2 3 2 5" xfId="32910" xr:uid="{00000000-0005-0000-0000-0000BE800000}"/>
    <cellStyle name="货币 2 11 2 3 3" xfId="21163" xr:uid="{00000000-0005-0000-0000-0000DB520000}"/>
    <cellStyle name="货币 2 11 2 3 3 2" xfId="32911" xr:uid="{00000000-0005-0000-0000-0000BF800000}"/>
    <cellStyle name="货币 2 11 2 3 4" xfId="21175" xr:uid="{00000000-0005-0000-0000-0000E7520000}"/>
    <cellStyle name="货币 2 11 2 3 5" xfId="21180" xr:uid="{00000000-0005-0000-0000-0000EC520000}"/>
    <cellStyle name="货币 2 11 2 3 6" xfId="21186" xr:uid="{00000000-0005-0000-0000-0000F2520000}"/>
    <cellStyle name="货币 2 11 2 3 7" xfId="32913" xr:uid="{00000000-0005-0000-0000-0000C1800000}"/>
    <cellStyle name="货币 2 11 2 3 8" xfId="32915" xr:uid="{00000000-0005-0000-0000-0000C3800000}"/>
    <cellStyle name="货币 2 11 2 3 9" xfId="32917" xr:uid="{00000000-0005-0000-0000-0000C5800000}"/>
    <cellStyle name="货币 2 11 2 4" xfId="32918" xr:uid="{00000000-0005-0000-0000-0000C6800000}"/>
    <cellStyle name="货币 2 11 2 4 10" xfId="32919" xr:uid="{00000000-0005-0000-0000-0000C7800000}"/>
    <cellStyle name="货币 2 11 2 4 2" xfId="32920" xr:uid="{00000000-0005-0000-0000-0000C8800000}"/>
    <cellStyle name="货币 2 11 2 4 2 2" xfId="17227" xr:uid="{00000000-0005-0000-0000-00007B430000}"/>
    <cellStyle name="货币 2 11 2 4 2 2 2" xfId="32922" xr:uid="{00000000-0005-0000-0000-0000CA800000}"/>
    <cellStyle name="货币 2 11 2 4 2 3" xfId="17230" xr:uid="{00000000-0005-0000-0000-00007E430000}"/>
    <cellStyle name="货币 2 11 2 4 2 4" xfId="17233" xr:uid="{00000000-0005-0000-0000-000081430000}"/>
    <cellStyle name="货币 2 11 2 4 2 5" xfId="17236" xr:uid="{00000000-0005-0000-0000-000084430000}"/>
    <cellStyle name="货币 2 11 2 4 3" xfId="32923" xr:uid="{00000000-0005-0000-0000-0000CB800000}"/>
    <cellStyle name="货币 2 11 2 4 3 2" xfId="32925" xr:uid="{00000000-0005-0000-0000-0000CD800000}"/>
    <cellStyle name="货币 2 11 2 4 4" xfId="32926" xr:uid="{00000000-0005-0000-0000-0000CE800000}"/>
    <cellStyle name="货币 2 11 2 4 5" xfId="32929" xr:uid="{00000000-0005-0000-0000-0000D1800000}"/>
    <cellStyle name="货币 2 11 2 4 6" xfId="32932" xr:uid="{00000000-0005-0000-0000-0000D4800000}"/>
    <cellStyle name="货币 2 11 2 4 7" xfId="32937" xr:uid="{00000000-0005-0000-0000-0000D9800000}"/>
    <cellStyle name="货币 2 11 2 4 8" xfId="32940" xr:uid="{00000000-0005-0000-0000-0000DC800000}"/>
    <cellStyle name="货币 2 11 2 4 9" xfId="32943" xr:uid="{00000000-0005-0000-0000-0000DF800000}"/>
    <cellStyle name="货币 2 11 2 5" xfId="32944" xr:uid="{00000000-0005-0000-0000-0000E0800000}"/>
    <cellStyle name="货币 2 11 2 5 10" xfId="32945" xr:uid="{00000000-0005-0000-0000-0000E1800000}"/>
    <cellStyle name="货币 2 11 2 5 2" xfId="32946" xr:uid="{00000000-0005-0000-0000-0000E2800000}"/>
    <cellStyle name="货币 2 11 2 5 2 2" xfId="32948" xr:uid="{00000000-0005-0000-0000-0000E4800000}"/>
    <cellStyle name="货币 2 11 2 5 2 2 2" xfId="31168" xr:uid="{00000000-0005-0000-0000-0000F0790000}"/>
    <cellStyle name="货币 2 11 2 5 2 3" xfId="32949" xr:uid="{00000000-0005-0000-0000-0000E5800000}"/>
    <cellStyle name="货币 2 11 2 5 2 4" xfId="32950" xr:uid="{00000000-0005-0000-0000-0000E6800000}"/>
    <cellStyle name="货币 2 11 2 5 2 5" xfId="24046" xr:uid="{00000000-0005-0000-0000-00001E5E0000}"/>
    <cellStyle name="货币 2 11 2 5 3" xfId="28833" xr:uid="{00000000-0005-0000-0000-0000D1700000}"/>
    <cellStyle name="货币 2 11 2 5 3 2" xfId="32951" xr:uid="{00000000-0005-0000-0000-0000E7800000}"/>
    <cellStyle name="货币 2 11 2 5 4" xfId="28836" xr:uid="{00000000-0005-0000-0000-0000D4700000}"/>
    <cellStyle name="货币 2 11 2 5 5" xfId="32952" xr:uid="{00000000-0005-0000-0000-0000E8800000}"/>
    <cellStyle name="货币 2 11 2 5 6" xfId="32954" xr:uid="{00000000-0005-0000-0000-0000EA800000}"/>
    <cellStyle name="货币 2 11 2 5 7" xfId="32955" xr:uid="{00000000-0005-0000-0000-0000EB800000}"/>
    <cellStyle name="货币 2 11 2 5 8" xfId="32958" xr:uid="{00000000-0005-0000-0000-0000EE800000}"/>
    <cellStyle name="货币 2 11 2 5 9" xfId="32961" xr:uid="{00000000-0005-0000-0000-0000F1800000}"/>
    <cellStyle name="货币 2 11 2 6" xfId="32964" xr:uid="{00000000-0005-0000-0000-0000F4800000}"/>
    <cellStyle name="货币 2 11 2 6 2" xfId="32965" xr:uid="{00000000-0005-0000-0000-0000F5800000}"/>
    <cellStyle name="货币 2 11 2 6 2 2" xfId="19641" xr:uid="{00000000-0005-0000-0000-0000E94C0000}"/>
    <cellStyle name="货币 2 11 2 6 3" xfId="32967" xr:uid="{00000000-0005-0000-0000-0000F7800000}"/>
    <cellStyle name="货币 2 11 2 6 4" xfId="32969" xr:uid="{00000000-0005-0000-0000-0000F9800000}"/>
    <cellStyle name="货币 2 11 2 6 5" xfId="32970" xr:uid="{00000000-0005-0000-0000-0000FA800000}"/>
    <cellStyle name="货币 2 11 2 6 6" xfId="32973" xr:uid="{00000000-0005-0000-0000-0000FD800000}"/>
    <cellStyle name="货币 2 11 2 6 7" xfId="32976" xr:uid="{00000000-0005-0000-0000-000000810000}"/>
    <cellStyle name="货币 2 11 2 6 8" xfId="32979" xr:uid="{00000000-0005-0000-0000-000003810000}"/>
    <cellStyle name="货币 2 11 2 6 9" xfId="32982" xr:uid="{00000000-0005-0000-0000-000006810000}"/>
    <cellStyle name="货币 2 11 2 7" xfId="32983" xr:uid="{00000000-0005-0000-0000-000007810000}"/>
    <cellStyle name="货币 2 11 2 7 2" xfId="32984" xr:uid="{00000000-0005-0000-0000-000008810000}"/>
    <cellStyle name="货币 2 11 2 8" xfId="32986" xr:uid="{00000000-0005-0000-0000-00000A810000}"/>
    <cellStyle name="货币 2 11 2 9" xfId="32987" xr:uid="{00000000-0005-0000-0000-00000B810000}"/>
    <cellStyle name="货币 2 11 20" xfId="32877" xr:uid="{00000000-0005-0000-0000-00009D800000}"/>
    <cellStyle name="货币 2 11 21" xfId="32882" xr:uid="{00000000-0005-0000-0000-0000A2800000}"/>
    <cellStyle name="货币 2 11 22" xfId="23644" xr:uid="{00000000-0005-0000-0000-00008C5C0000}"/>
    <cellStyle name="货币 2 11 23" xfId="23654" xr:uid="{00000000-0005-0000-0000-0000965C0000}"/>
    <cellStyle name="货币 2 11 3" xfId="22952" xr:uid="{00000000-0005-0000-0000-0000D8590000}"/>
    <cellStyle name="货币 2 11 3 10" xfId="32989" xr:uid="{00000000-0005-0000-0000-00000D810000}"/>
    <cellStyle name="货币 2 11 3 11" xfId="32992" xr:uid="{00000000-0005-0000-0000-000010810000}"/>
    <cellStyle name="货币 2 11 3 12" xfId="32995" xr:uid="{00000000-0005-0000-0000-000013810000}"/>
    <cellStyle name="货币 2 11 3 13" xfId="32998" xr:uid="{00000000-0005-0000-0000-000016810000}"/>
    <cellStyle name="货币 2 11 3 14" xfId="33001" xr:uid="{00000000-0005-0000-0000-000019810000}"/>
    <cellStyle name="货币 2 11 3 15" xfId="33004" xr:uid="{00000000-0005-0000-0000-00001C810000}"/>
    <cellStyle name="货币 2 11 3 16" xfId="33007" xr:uid="{00000000-0005-0000-0000-00001F810000}"/>
    <cellStyle name="货币 2 11 3 17" xfId="33010" xr:uid="{00000000-0005-0000-0000-000022810000}"/>
    <cellStyle name="货币 2 11 3 18" xfId="3885" xr:uid="{00000000-0005-0000-0000-00005D0F0000}"/>
    <cellStyle name="货币 2 11 3 2" xfId="33011" xr:uid="{00000000-0005-0000-0000-000023810000}"/>
    <cellStyle name="货币 2 11 3 2 10" xfId="33013" xr:uid="{00000000-0005-0000-0000-000025810000}"/>
    <cellStyle name="货币 2 11 3 2 2" xfId="10075" xr:uid="{00000000-0005-0000-0000-00008B270000}"/>
    <cellStyle name="货币 2 11 3 2 2 2" xfId="33016" xr:uid="{00000000-0005-0000-0000-000028810000}"/>
    <cellStyle name="货币 2 11 3 2 3" xfId="24464" xr:uid="{00000000-0005-0000-0000-0000C05F0000}"/>
    <cellStyle name="货币 2 11 3 2 4" xfId="33018" xr:uid="{00000000-0005-0000-0000-00002A810000}"/>
    <cellStyle name="货币 2 11 3 2 5" xfId="33020" xr:uid="{00000000-0005-0000-0000-00002C810000}"/>
    <cellStyle name="货币 2 11 3 2 6" xfId="33022" xr:uid="{00000000-0005-0000-0000-00002E810000}"/>
    <cellStyle name="货币 2 11 3 2 7" xfId="33024" xr:uid="{00000000-0005-0000-0000-000030810000}"/>
    <cellStyle name="货币 2 11 3 2 8" xfId="20471" xr:uid="{00000000-0005-0000-0000-000027500000}"/>
    <cellStyle name="货币 2 11 3 2 9" xfId="11866" xr:uid="{00000000-0005-0000-0000-00008A2E0000}"/>
    <cellStyle name="货币 2 11 3 3" xfId="3418" xr:uid="{00000000-0005-0000-0000-00008A0D0000}"/>
    <cellStyle name="货币 2 11 3 3 2" xfId="24472" xr:uid="{00000000-0005-0000-0000-0000C85F0000}"/>
    <cellStyle name="货币 2 11 3 3 3" xfId="24476" xr:uid="{00000000-0005-0000-0000-0000CC5F0000}"/>
    <cellStyle name="货币 2 11 3 3 4" xfId="33026" xr:uid="{00000000-0005-0000-0000-000032810000}"/>
    <cellStyle name="货币 2 11 3 3 5" xfId="33028" xr:uid="{00000000-0005-0000-0000-000034810000}"/>
    <cellStyle name="货币 2 11 3 3 6" xfId="33030" xr:uid="{00000000-0005-0000-0000-000036810000}"/>
    <cellStyle name="货币 2 11 3 4" xfId="33031" xr:uid="{00000000-0005-0000-0000-000037810000}"/>
    <cellStyle name="货币 2 11 3 4 2" xfId="33034" xr:uid="{00000000-0005-0000-0000-00003A810000}"/>
    <cellStyle name="货币 2 11 3 4 3" xfId="33037" xr:uid="{00000000-0005-0000-0000-00003D810000}"/>
    <cellStyle name="货币 2 11 3 4 4" xfId="33039" xr:uid="{00000000-0005-0000-0000-00003F810000}"/>
    <cellStyle name="货币 2 11 3 4 5" xfId="33041" xr:uid="{00000000-0005-0000-0000-000041810000}"/>
    <cellStyle name="货币 2 11 3 4 6" xfId="33043" xr:uid="{00000000-0005-0000-0000-000043810000}"/>
    <cellStyle name="货币 2 11 3 5" xfId="33044" xr:uid="{00000000-0005-0000-0000-000044810000}"/>
    <cellStyle name="货币 2 11 3 5 2" xfId="20282" xr:uid="{00000000-0005-0000-0000-00006A4F0000}"/>
    <cellStyle name="货币 2 11 3 5 3" xfId="20287" xr:uid="{00000000-0005-0000-0000-00006F4F0000}"/>
    <cellStyle name="货币 2 11 3 5 4" xfId="20292" xr:uid="{00000000-0005-0000-0000-0000744F0000}"/>
    <cellStyle name="货币 2 11 3 5 5" xfId="33047" xr:uid="{00000000-0005-0000-0000-000047810000}"/>
    <cellStyle name="货币 2 11 3 5 6" xfId="33049" xr:uid="{00000000-0005-0000-0000-000049810000}"/>
    <cellStyle name="货币 2 11 3 6" xfId="33052" xr:uid="{00000000-0005-0000-0000-00004C810000}"/>
    <cellStyle name="货币 2 11 3 6 2" xfId="19732" xr:uid="{00000000-0005-0000-0000-0000444D0000}"/>
    <cellStyle name="货币 2 11 3 6 3" xfId="11114" xr:uid="{00000000-0005-0000-0000-00009A2B0000}"/>
    <cellStyle name="货币 2 11 3 6 4" xfId="19738" xr:uid="{00000000-0005-0000-0000-00004A4D0000}"/>
    <cellStyle name="货币 2 11 3 6 5" xfId="33053" xr:uid="{00000000-0005-0000-0000-00004D810000}"/>
    <cellStyle name="货币 2 11 3 6 6" xfId="19744" xr:uid="{00000000-0005-0000-0000-0000504D0000}"/>
    <cellStyle name="货币 2 11 3 7" xfId="33054" xr:uid="{00000000-0005-0000-0000-00004E810000}"/>
    <cellStyle name="货币 2 11 3 8" xfId="33055" xr:uid="{00000000-0005-0000-0000-00004F810000}"/>
    <cellStyle name="货币 2 11 3 9" xfId="33056" xr:uid="{00000000-0005-0000-0000-000050810000}"/>
    <cellStyle name="货币 2 11 4" xfId="22955" xr:uid="{00000000-0005-0000-0000-0000DB590000}"/>
    <cellStyle name="货币 2 11 4 10" xfId="27058" xr:uid="{00000000-0005-0000-0000-0000E2690000}"/>
    <cellStyle name="货币 2 11 4 11" xfId="27061" xr:uid="{00000000-0005-0000-0000-0000E5690000}"/>
    <cellStyle name="货币 2 11 4 12" xfId="27064" xr:uid="{00000000-0005-0000-0000-0000E8690000}"/>
    <cellStyle name="货币 2 11 4 13" xfId="33057" xr:uid="{00000000-0005-0000-0000-000051810000}"/>
    <cellStyle name="货币 2 11 4 14" xfId="33058" xr:uid="{00000000-0005-0000-0000-000052810000}"/>
    <cellStyle name="货币 2 11 4 15" xfId="33059" xr:uid="{00000000-0005-0000-0000-000053810000}"/>
    <cellStyle name="货币 2 11 4 2" xfId="33060" xr:uid="{00000000-0005-0000-0000-000054810000}"/>
    <cellStyle name="货币 2 11 4 2 2" xfId="33062" xr:uid="{00000000-0005-0000-0000-000056810000}"/>
    <cellStyle name="货币 2 11 4 2 2 2" xfId="33064" xr:uid="{00000000-0005-0000-0000-000058810000}"/>
    <cellStyle name="货币 2 11 4 2 3" xfId="33065" xr:uid="{00000000-0005-0000-0000-000059810000}"/>
    <cellStyle name="货币 2 11 4 2 4" xfId="33066" xr:uid="{00000000-0005-0000-0000-00005A810000}"/>
    <cellStyle name="货币 2 11 4 2 5" xfId="33067" xr:uid="{00000000-0005-0000-0000-00005B810000}"/>
    <cellStyle name="货币 2 11 4 2 6" xfId="33069" xr:uid="{00000000-0005-0000-0000-00005D810000}"/>
    <cellStyle name="货币 2 11 4 2 7" xfId="33072" xr:uid="{00000000-0005-0000-0000-000060810000}"/>
    <cellStyle name="货币 2 11 4 2 8" xfId="33075" xr:uid="{00000000-0005-0000-0000-000063810000}"/>
    <cellStyle name="货币 2 11 4 2 9" xfId="11925" xr:uid="{00000000-0005-0000-0000-0000C52E0000}"/>
    <cellStyle name="货币 2 11 4 3" xfId="3431" xr:uid="{00000000-0005-0000-0000-0000970D0000}"/>
    <cellStyle name="货币 2 11 4 3 2" xfId="33079" xr:uid="{00000000-0005-0000-0000-000067810000}"/>
    <cellStyle name="货币 2 11 4 3 3" xfId="33080" xr:uid="{00000000-0005-0000-0000-000068810000}"/>
    <cellStyle name="货币 2 11 4 3 4" xfId="33081" xr:uid="{00000000-0005-0000-0000-000069810000}"/>
    <cellStyle name="货币 2 11 4 3 5" xfId="33082" xr:uid="{00000000-0005-0000-0000-00006A810000}"/>
    <cellStyle name="货币 2 11 4 3 6" xfId="33084" xr:uid="{00000000-0005-0000-0000-00006C810000}"/>
    <cellStyle name="货币 2 11 4 4" xfId="33085" xr:uid="{00000000-0005-0000-0000-00006D810000}"/>
    <cellStyle name="货币 2 11 4 4 2" xfId="33087" xr:uid="{00000000-0005-0000-0000-00006F810000}"/>
    <cellStyle name="货币 2 11 4 5" xfId="33088" xr:uid="{00000000-0005-0000-0000-000070810000}"/>
    <cellStyle name="货币 2 11 4 6" xfId="33089" xr:uid="{00000000-0005-0000-0000-000071810000}"/>
    <cellStyle name="货币 2 11 4 7" xfId="33090" xr:uid="{00000000-0005-0000-0000-000072810000}"/>
    <cellStyle name="货币 2 11 4 8" xfId="33091" xr:uid="{00000000-0005-0000-0000-000073810000}"/>
    <cellStyle name="货币 2 11 4 9" xfId="11822" xr:uid="{00000000-0005-0000-0000-00005E2E0000}"/>
    <cellStyle name="货币 2 11 5" xfId="22958" xr:uid="{00000000-0005-0000-0000-0000DE590000}"/>
    <cellStyle name="货币 2 11 5 10" xfId="33092" xr:uid="{00000000-0005-0000-0000-000074810000}"/>
    <cellStyle name="货币 2 11 5 11" xfId="33093" xr:uid="{00000000-0005-0000-0000-000075810000}"/>
    <cellStyle name="货币 2 11 5 12" xfId="33094" xr:uid="{00000000-0005-0000-0000-000076810000}"/>
    <cellStyle name="货币 2 11 5 13" xfId="33095" xr:uid="{00000000-0005-0000-0000-000077810000}"/>
    <cellStyle name="货币 2 11 5 2" xfId="33096" xr:uid="{00000000-0005-0000-0000-000078810000}"/>
    <cellStyle name="货币 2 11 5 2 2" xfId="33098" xr:uid="{00000000-0005-0000-0000-00007A810000}"/>
    <cellStyle name="货币 2 11 5 2 2 2" xfId="33100" xr:uid="{00000000-0005-0000-0000-00007C810000}"/>
    <cellStyle name="货币 2 11 5 2 3" xfId="22391" xr:uid="{00000000-0005-0000-0000-0000A7570000}"/>
    <cellStyle name="货币 2 11 5 2 4" xfId="14230" xr:uid="{00000000-0005-0000-0000-0000C6370000}"/>
    <cellStyle name="货币 2 11 5 2 5" xfId="14238" xr:uid="{00000000-0005-0000-0000-0000CE370000}"/>
    <cellStyle name="货币 2 11 5 2 6" xfId="14252" xr:uid="{00000000-0005-0000-0000-0000DC370000}"/>
    <cellStyle name="货币 2 11 5 2 7" xfId="14282" xr:uid="{00000000-0005-0000-0000-0000FA370000}"/>
    <cellStyle name="货币 2 11 5 2 8" xfId="14299" xr:uid="{00000000-0005-0000-0000-00000B380000}"/>
    <cellStyle name="货币 2 11 5 2 9" xfId="14309" xr:uid="{00000000-0005-0000-0000-000015380000}"/>
    <cellStyle name="货币 2 11 5 3" xfId="38" xr:uid="{00000000-0005-0000-0000-000029000000}"/>
    <cellStyle name="货币 2 11 5 3 2" xfId="33101" xr:uid="{00000000-0005-0000-0000-00007D810000}"/>
    <cellStyle name="货币 2 11 5 3 3" xfId="33102" xr:uid="{00000000-0005-0000-0000-00007E810000}"/>
    <cellStyle name="货币 2 11 5 3 4" xfId="14332" xr:uid="{00000000-0005-0000-0000-00002C380000}"/>
    <cellStyle name="货币 2 11 5 3 5" xfId="14337" xr:uid="{00000000-0005-0000-0000-000031380000}"/>
    <cellStyle name="货币 2 11 5 3 6" xfId="14345" xr:uid="{00000000-0005-0000-0000-000039380000}"/>
    <cellStyle name="货币 2 11 5 4" xfId="33103" xr:uid="{00000000-0005-0000-0000-00007F810000}"/>
    <cellStyle name="货币 2 11 5 4 2" xfId="33104" xr:uid="{00000000-0005-0000-0000-000080810000}"/>
    <cellStyle name="货币 2 11 5 5" xfId="3598" xr:uid="{00000000-0005-0000-0000-00003E0E0000}"/>
    <cellStyle name="货币 2 11 5 6" xfId="3652" xr:uid="{00000000-0005-0000-0000-0000740E0000}"/>
    <cellStyle name="货币 2 11 5 7" xfId="7489" xr:uid="{00000000-0005-0000-0000-0000711D0000}"/>
    <cellStyle name="货币 2 11 5 8" xfId="7494" xr:uid="{00000000-0005-0000-0000-0000761D0000}"/>
    <cellStyle name="货币 2 11 5 9" xfId="7704" xr:uid="{00000000-0005-0000-0000-0000481E0000}"/>
    <cellStyle name="货币 2 11 6" xfId="22961" xr:uid="{00000000-0005-0000-0000-0000E1590000}"/>
    <cellStyle name="货币 2 11 6 10" xfId="33105" xr:uid="{00000000-0005-0000-0000-000081810000}"/>
    <cellStyle name="货币 2 11 6 11" xfId="33106" xr:uid="{00000000-0005-0000-0000-000082810000}"/>
    <cellStyle name="货币 2 11 6 12" xfId="33107" xr:uid="{00000000-0005-0000-0000-000083810000}"/>
    <cellStyle name="货币 2 11 6 2" xfId="33108" xr:uid="{00000000-0005-0000-0000-000084810000}"/>
    <cellStyle name="货币 2 11 6 2 2" xfId="33110" xr:uid="{00000000-0005-0000-0000-000086810000}"/>
    <cellStyle name="货币 2 11 6 2 2 2" xfId="19355" xr:uid="{00000000-0005-0000-0000-0000CB4B0000}"/>
    <cellStyle name="货币 2 11 6 2 3" xfId="33111" xr:uid="{00000000-0005-0000-0000-000087810000}"/>
    <cellStyle name="货币 2 11 6 2 4" xfId="14771" xr:uid="{00000000-0005-0000-0000-0000E3390000}"/>
    <cellStyle name="货币 2 11 6 2 5" xfId="14773" xr:uid="{00000000-0005-0000-0000-0000E5390000}"/>
    <cellStyle name="货币 2 11 6 2 6" xfId="14778" xr:uid="{00000000-0005-0000-0000-0000EA390000}"/>
    <cellStyle name="货币 2 11 6 2 7" xfId="14785" xr:uid="{00000000-0005-0000-0000-0000F1390000}"/>
    <cellStyle name="货币 2 11 6 2 8" xfId="14790" xr:uid="{00000000-0005-0000-0000-0000F6390000}"/>
    <cellStyle name="货币 2 11 6 2 9" xfId="14795" xr:uid="{00000000-0005-0000-0000-0000FB390000}"/>
    <cellStyle name="货币 2 11 6 3" xfId="33112" xr:uid="{00000000-0005-0000-0000-000088810000}"/>
    <cellStyle name="货币 2 11 6 3 2" xfId="33113" xr:uid="{00000000-0005-0000-0000-000089810000}"/>
    <cellStyle name="货币 2 11 6 3 3" xfId="33114" xr:uid="{00000000-0005-0000-0000-00008A810000}"/>
    <cellStyle name="货币 2 11 6 3 4" xfId="14803" xr:uid="{00000000-0005-0000-0000-0000033A0000}"/>
    <cellStyle name="货币 2 11 6 3 5" xfId="14806" xr:uid="{00000000-0005-0000-0000-0000063A0000}"/>
    <cellStyle name="货币 2 11 6 3 6" xfId="14812" xr:uid="{00000000-0005-0000-0000-00000C3A0000}"/>
    <cellStyle name="货币 2 11 6 4" xfId="33115" xr:uid="{00000000-0005-0000-0000-00008B810000}"/>
    <cellStyle name="货币 2 11 6 4 2" xfId="33116" xr:uid="{00000000-0005-0000-0000-00008C810000}"/>
    <cellStyle name="货币 2 11 6 5" xfId="2351" xr:uid="{00000000-0005-0000-0000-00005F090000}"/>
    <cellStyle name="货币 2 11 6 6" xfId="2366" xr:uid="{00000000-0005-0000-0000-00006E090000}"/>
    <cellStyle name="货币 2 11 6 7" xfId="7501" xr:uid="{00000000-0005-0000-0000-00007D1D0000}"/>
    <cellStyle name="货币 2 11 6 8" xfId="7508" xr:uid="{00000000-0005-0000-0000-0000841D0000}"/>
    <cellStyle name="货币 2 11 6 9" xfId="7720" xr:uid="{00000000-0005-0000-0000-0000581E0000}"/>
    <cellStyle name="货币 2 11 7" xfId="22964" xr:uid="{00000000-0005-0000-0000-0000E4590000}"/>
    <cellStyle name="货币 2 11 7 2" xfId="15176" xr:uid="{00000000-0005-0000-0000-0000783B0000}"/>
    <cellStyle name="货币 2 11 7 2 2" xfId="33118" xr:uid="{00000000-0005-0000-0000-00008E810000}"/>
    <cellStyle name="货币 2 11 7 3" xfId="10999" xr:uid="{00000000-0005-0000-0000-0000272B0000}"/>
    <cellStyle name="货币 2 11 7 4" xfId="11004" xr:uid="{00000000-0005-0000-0000-00002C2B0000}"/>
    <cellStyle name="货币 2 11 7 5" xfId="2478" xr:uid="{00000000-0005-0000-0000-0000DE090000}"/>
    <cellStyle name="货币 2 11 7 6" xfId="2487" xr:uid="{00000000-0005-0000-0000-0000E7090000}"/>
    <cellStyle name="货币 2 11 7 7" xfId="796" xr:uid="{00000000-0005-0000-0000-00004C030000}"/>
    <cellStyle name="货币 2 11 7 8" xfId="992" xr:uid="{00000000-0005-0000-0000-000010040000}"/>
    <cellStyle name="货币 2 11 7 9" xfId="1026" xr:uid="{00000000-0005-0000-0000-000032040000}"/>
    <cellStyle name="货币 2 11 8" xfId="29782" xr:uid="{00000000-0005-0000-0000-000086740000}"/>
    <cellStyle name="货币 2 11 8 2" xfId="33119" xr:uid="{00000000-0005-0000-0000-00008F810000}"/>
    <cellStyle name="货币 2 11 8 3" xfId="33120" xr:uid="{00000000-0005-0000-0000-000090810000}"/>
    <cellStyle name="货币 2 11 8 4" xfId="24245" xr:uid="{00000000-0005-0000-0000-0000E55E0000}"/>
    <cellStyle name="货币 2 11 8 5" xfId="7732" xr:uid="{00000000-0005-0000-0000-0000641E0000}"/>
    <cellStyle name="货币 2 11 8 6" xfId="3982" xr:uid="{00000000-0005-0000-0000-0000BE0F0000}"/>
    <cellStyle name="货币 2 11 9" xfId="29786" xr:uid="{00000000-0005-0000-0000-00008A740000}"/>
    <cellStyle name="货币 2 11 9 2" xfId="33122" xr:uid="{00000000-0005-0000-0000-000092810000}"/>
    <cellStyle name="货币 2 11 9 3" xfId="33123" xr:uid="{00000000-0005-0000-0000-000093810000}"/>
    <cellStyle name="货币 2 11 9 4" xfId="24254" xr:uid="{00000000-0005-0000-0000-0000EE5E0000}"/>
    <cellStyle name="货币 2 11 9 5" xfId="7750" xr:uid="{00000000-0005-0000-0000-0000761E0000}"/>
    <cellStyle name="货币 2 11 9 6" xfId="4011" xr:uid="{00000000-0005-0000-0000-0000DB0F0000}"/>
    <cellStyle name="货币 2 12" xfId="28903" xr:uid="{00000000-0005-0000-0000-000017710000}"/>
    <cellStyle name="货币 2 12 10" xfId="33124" xr:uid="{00000000-0005-0000-0000-000094810000}"/>
    <cellStyle name="货币 2 12 10 2" xfId="16166" xr:uid="{00000000-0005-0000-0000-0000563F0000}"/>
    <cellStyle name="货币 2 12 10 3" xfId="16173" xr:uid="{00000000-0005-0000-0000-00005D3F0000}"/>
    <cellStyle name="货币 2 12 10 4" xfId="16180" xr:uid="{00000000-0005-0000-0000-0000643F0000}"/>
    <cellStyle name="货币 2 12 10 5" xfId="16186" xr:uid="{00000000-0005-0000-0000-00006A3F0000}"/>
    <cellStyle name="货币 2 12 10 6" xfId="3104" xr:uid="{00000000-0005-0000-0000-0000500C0000}"/>
    <cellStyle name="货币 2 12 11" xfId="33125" xr:uid="{00000000-0005-0000-0000-000095810000}"/>
    <cellStyle name="货币 2 12 11 2" xfId="16228" xr:uid="{00000000-0005-0000-0000-0000943F0000}"/>
    <cellStyle name="货币 2 12 11 3" xfId="16241" xr:uid="{00000000-0005-0000-0000-0000A13F0000}"/>
    <cellStyle name="货币 2 12 11 4" xfId="16249" xr:uid="{00000000-0005-0000-0000-0000A93F0000}"/>
    <cellStyle name="货币 2 12 11 5" xfId="7522" xr:uid="{00000000-0005-0000-0000-0000921D0000}"/>
    <cellStyle name="货币 2 12 11 6" xfId="3126" xr:uid="{00000000-0005-0000-0000-0000660C0000}"/>
    <cellStyle name="货币 2 12 12" xfId="33128" xr:uid="{00000000-0005-0000-0000-000098810000}"/>
    <cellStyle name="货币 2 12 13" xfId="33129" xr:uid="{00000000-0005-0000-0000-000099810000}"/>
    <cellStyle name="货币 2 12 14" xfId="33130" xr:uid="{00000000-0005-0000-0000-00009A810000}"/>
    <cellStyle name="货币 2 12 15" xfId="33131" xr:uid="{00000000-0005-0000-0000-00009B810000}"/>
    <cellStyle name="货币 2 12 16" xfId="33133" xr:uid="{00000000-0005-0000-0000-00009D810000}"/>
    <cellStyle name="货币 2 12 17" xfId="33135" xr:uid="{00000000-0005-0000-0000-00009F810000}"/>
    <cellStyle name="货币 2 12 18" xfId="33137" xr:uid="{00000000-0005-0000-0000-0000A1810000}"/>
    <cellStyle name="货币 2 12 19" xfId="33139" xr:uid="{00000000-0005-0000-0000-0000A3810000}"/>
    <cellStyle name="货币 2 12 2" xfId="22985" xr:uid="{00000000-0005-0000-0000-0000F9590000}"/>
    <cellStyle name="货币 2 12 2 10" xfId="33140" xr:uid="{00000000-0005-0000-0000-0000A4810000}"/>
    <cellStyle name="货币 2 12 2 11" xfId="33141" xr:uid="{00000000-0005-0000-0000-0000A5810000}"/>
    <cellStyle name="货币 2 12 2 12" xfId="33142" xr:uid="{00000000-0005-0000-0000-0000A6810000}"/>
    <cellStyle name="货币 2 12 2 13" xfId="33143" xr:uid="{00000000-0005-0000-0000-0000A7810000}"/>
    <cellStyle name="货币 2 12 2 14" xfId="33144" xr:uid="{00000000-0005-0000-0000-0000A8810000}"/>
    <cellStyle name="货币 2 12 2 15" xfId="33145" xr:uid="{00000000-0005-0000-0000-0000A9810000}"/>
    <cellStyle name="货币 2 12 2 16" xfId="33146" xr:uid="{00000000-0005-0000-0000-0000AA810000}"/>
    <cellStyle name="货币 2 12 2 17" xfId="33147" xr:uid="{00000000-0005-0000-0000-0000AB810000}"/>
    <cellStyle name="货币 2 12 2 18" xfId="33148" xr:uid="{00000000-0005-0000-0000-0000AC810000}"/>
    <cellStyle name="货币 2 12 2 2" xfId="15560" xr:uid="{00000000-0005-0000-0000-0000F83C0000}"/>
    <cellStyle name="货币 2 12 2 2 10" xfId="28942" xr:uid="{00000000-0005-0000-0000-00003E710000}"/>
    <cellStyle name="货币 2 12 2 2 11" xfId="33150" xr:uid="{00000000-0005-0000-0000-0000AE810000}"/>
    <cellStyle name="货币 2 12 2 2 12" xfId="33152" xr:uid="{00000000-0005-0000-0000-0000B0810000}"/>
    <cellStyle name="货币 2 12 2 2 2" xfId="15562" xr:uid="{00000000-0005-0000-0000-0000FA3C0000}"/>
    <cellStyle name="货币 2 12 2 2 2 2" xfId="33154" xr:uid="{00000000-0005-0000-0000-0000B2810000}"/>
    <cellStyle name="货币 2 12 2 2 2 2 2" xfId="33155" xr:uid="{00000000-0005-0000-0000-0000B3810000}"/>
    <cellStyle name="货币 2 12 2 2 2 3" xfId="33157" xr:uid="{00000000-0005-0000-0000-0000B5810000}"/>
    <cellStyle name="货币 2 12 2 2 2 4" xfId="33159" xr:uid="{00000000-0005-0000-0000-0000B7810000}"/>
    <cellStyle name="货币 2 12 2 2 2 5" xfId="33160" xr:uid="{00000000-0005-0000-0000-0000B8810000}"/>
    <cellStyle name="货币 2 12 2 2 3" xfId="22936" xr:uid="{00000000-0005-0000-0000-0000C8590000}"/>
    <cellStyle name="货币 2 12 2 2 3 2" xfId="14925" xr:uid="{00000000-0005-0000-0000-00007D3A0000}"/>
    <cellStyle name="货币 2 12 2 2 4" xfId="22940" xr:uid="{00000000-0005-0000-0000-0000CC590000}"/>
    <cellStyle name="货币 2 12 2 2 5" xfId="22943" xr:uid="{00000000-0005-0000-0000-0000CF590000}"/>
    <cellStyle name="货币 2 12 2 2 6" xfId="22949" xr:uid="{00000000-0005-0000-0000-0000D5590000}"/>
    <cellStyle name="货币 2 12 2 2 7" xfId="33162" xr:uid="{00000000-0005-0000-0000-0000BA810000}"/>
    <cellStyle name="货币 2 12 2 2 8" xfId="33164" xr:uid="{00000000-0005-0000-0000-0000BC810000}"/>
    <cellStyle name="货币 2 12 2 2 9" xfId="33166" xr:uid="{00000000-0005-0000-0000-0000BE810000}"/>
    <cellStyle name="货币 2 12 2 3" xfId="3181" xr:uid="{00000000-0005-0000-0000-00009D0C0000}"/>
    <cellStyle name="货币 2 12 2 3 10" xfId="33167" xr:uid="{00000000-0005-0000-0000-0000BF810000}"/>
    <cellStyle name="货币 2 12 2 3 11" xfId="33168" xr:uid="{00000000-0005-0000-0000-0000C0810000}"/>
    <cellStyle name="货币 2 12 2 3 12" xfId="33169" xr:uid="{00000000-0005-0000-0000-0000C1810000}"/>
    <cellStyle name="货币 2 12 2 3 2" xfId="24634" xr:uid="{00000000-0005-0000-0000-00006A600000}"/>
    <cellStyle name="货币 2 12 2 3 2 2" xfId="26072" xr:uid="{00000000-0005-0000-0000-000008660000}"/>
    <cellStyle name="货币 2 12 2 3 2 2 2" xfId="3978" xr:uid="{00000000-0005-0000-0000-0000BA0F0000}"/>
    <cellStyle name="货币 2 12 2 3 2 3" xfId="3488" xr:uid="{00000000-0005-0000-0000-0000D00D0000}"/>
    <cellStyle name="货币 2 12 2 3 2 4" xfId="33170" xr:uid="{00000000-0005-0000-0000-0000C2810000}"/>
    <cellStyle name="货币 2 12 2 3 2 5" xfId="33171" xr:uid="{00000000-0005-0000-0000-0000C3810000}"/>
    <cellStyle name="货币 2 12 2 3 3" xfId="22973" xr:uid="{00000000-0005-0000-0000-0000ED590000}"/>
    <cellStyle name="货币 2 12 2 3 3 2" xfId="15336" xr:uid="{00000000-0005-0000-0000-0000183C0000}"/>
    <cellStyle name="货币 2 12 2 3 4" xfId="22979" xr:uid="{00000000-0005-0000-0000-0000F3590000}"/>
    <cellStyle name="货币 2 12 2 3 5" xfId="22982" xr:uid="{00000000-0005-0000-0000-0000F6590000}"/>
    <cellStyle name="货币 2 12 2 3 6" xfId="22988" xr:uid="{00000000-0005-0000-0000-0000FC590000}"/>
    <cellStyle name="货币 2 12 2 3 7" xfId="33173" xr:uid="{00000000-0005-0000-0000-0000C5810000}"/>
    <cellStyle name="货币 2 12 2 3 8" xfId="33175" xr:uid="{00000000-0005-0000-0000-0000C7810000}"/>
    <cellStyle name="货币 2 12 2 3 9" xfId="33177" xr:uid="{00000000-0005-0000-0000-0000C9810000}"/>
    <cellStyle name="货币 2 12 2 4" xfId="33178" xr:uid="{00000000-0005-0000-0000-0000CA810000}"/>
    <cellStyle name="货币 2 12 2 4 10" xfId="33181" xr:uid="{00000000-0005-0000-0000-0000CD810000}"/>
    <cellStyle name="货币 2 12 2 4 2" xfId="31284" xr:uid="{00000000-0005-0000-0000-0000647A0000}"/>
    <cellStyle name="货币 2 12 2 4 2 2" xfId="33183" xr:uid="{00000000-0005-0000-0000-0000CF810000}"/>
    <cellStyle name="货币 2 12 2 4 2 2 2" xfId="33184" xr:uid="{00000000-0005-0000-0000-0000D0810000}"/>
    <cellStyle name="货币 2 12 2 4 2 3" xfId="33185" xr:uid="{00000000-0005-0000-0000-0000D1810000}"/>
    <cellStyle name="货币 2 12 2 4 2 4" xfId="33186" xr:uid="{00000000-0005-0000-0000-0000D2810000}"/>
    <cellStyle name="货币 2 12 2 4 2 5" xfId="33187" xr:uid="{00000000-0005-0000-0000-0000D3810000}"/>
    <cellStyle name="货币 2 12 2 4 3" xfId="33189" xr:uid="{00000000-0005-0000-0000-0000D5810000}"/>
    <cellStyle name="货币 2 12 2 4 3 2" xfId="15774" xr:uid="{00000000-0005-0000-0000-0000CE3D0000}"/>
    <cellStyle name="货币 2 12 2 4 4" xfId="33191" xr:uid="{00000000-0005-0000-0000-0000D7810000}"/>
    <cellStyle name="货币 2 12 2 4 5" xfId="33192" xr:uid="{00000000-0005-0000-0000-0000D8810000}"/>
    <cellStyle name="货币 2 12 2 4 6" xfId="33194" xr:uid="{00000000-0005-0000-0000-0000DA810000}"/>
    <cellStyle name="货币 2 12 2 4 7" xfId="33196" xr:uid="{00000000-0005-0000-0000-0000DC810000}"/>
    <cellStyle name="货币 2 12 2 4 8" xfId="33198" xr:uid="{00000000-0005-0000-0000-0000DE810000}"/>
    <cellStyle name="货币 2 12 2 4 9" xfId="33200" xr:uid="{00000000-0005-0000-0000-0000E0810000}"/>
    <cellStyle name="货币 2 12 2 5" xfId="33201" xr:uid="{00000000-0005-0000-0000-0000E1810000}"/>
    <cellStyle name="货币 2 12 2 5 10" xfId="33203" xr:uid="{00000000-0005-0000-0000-0000E3810000}"/>
    <cellStyle name="货币 2 12 2 5 2" xfId="33204" xr:uid="{00000000-0005-0000-0000-0000E4810000}"/>
    <cellStyle name="货币 2 12 2 5 2 2" xfId="33205" xr:uid="{00000000-0005-0000-0000-0000E5810000}"/>
    <cellStyle name="货币 2 12 2 5 2 2 2" xfId="33206" xr:uid="{00000000-0005-0000-0000-0000E6810000}"/>
    <cellStyle name="货币 2 12 2 5 2 3" xfId="33207" xr:uid="{00000000-0005-0000-0000-0000E7810000}"/>
    <cellStyle name="货币 2 12 2 5 2 4" xfId="33208" xr:uid="{00000000-0005-0000-0000-0000E8810000}"/>
    <cellStyle name="货币 2 12 2 5 2 5" xfId="24180" xr:uid="{00000000-0005-0000-0000-0000A45E0000}"/>
    <cellStyle name="货币 2 12 2 5 3" xfId="33210" xr:uid="{00000000-0005-0000-0000-0000EA810000}"/>
    <cellStyle name="货币 2 12 2 5 3 2" xfId="5722" xr:uid="{00000000-0005-0000-0000-00008A160000}"/>
    <cellStyle name="货币 2 12 2 5 4" xfId="33212" xr:uid="{00000000-0005-0000-0000-0000EC810000}"/>
    <cellStyle name="货币 2 12 2 5 5" xfId="33214" xr:uid="{00000000-0005-0000-0000-0000EE810000}"/>
    <cellStyle name="货币 2 12 2 5 6" xfId="33217" xr:uid="{00000000-0005-0000-0000-0000F1810000}"/>
    <cellStyle name="货币 2 12 2 5 7" xfId="33219" xr:uid="{00000000-0005-0000-0000-0000F3810000}"/>
    <cellStyle name="货币 2 12 2 5 8" xfId="33221" xr:uid="{00000000-0005-0000-0000-0000F5810000}"/>
    <cellStyle name="货币 2 12 2 5 9" xfId="33223" xr:uid="{00000000-0005-0000-0000-0000F7810000}"/>
    <cellStyle name="货币 2 12 2 6" xfId="33226" xr:uid="{00000000-0005-0000-0000-0000FA810000}"/>
    <cellStyle name="货币 2 12 2 6 2" xfId="20067" xr:uid="{00000000-0005-0000-0000-0000934E0000}"/>
    <cellStyle name="货币 2 12 2 6 2 2" xfId="20075" xr:uid="{00000000-0005-0000-0000-00009B4E0000}"/>
    <cellStyle name="货币 2 12 2 6 3" xfId="20078" xr:uid="{00000000-0005-0000-0000-00009E4E0000}"/>
    <cellStyle name="货币 2 12 2 6 4" xfId="20083" xr:uid="{00000000-0005-0000-0000-0000A34E0000}"/>
    <cellStyle name="货币 2 12 2 6 5" xfId="20088" xr:uid="{00000000-0005-0000-0000-0000A84E0000}"/>
    <cellStyle name="货币 2 12 2 6 6" xfId="20096" xr:uid="{00000000-0005-0000-0000-0000B04E0000}"/>
    <cellStyle name="货币 2 12 2 6 7" xfId="20104" xr:uid="{00000000-0005-0000-0000-0000B84E0000}"/>
    <cellStyle name="货币 2 12 2 6 8" xfId="20112" xr:uid="{00000000-0005-0000-0000-0000C04E0000}"/>
    <cellStyle name="货币 2 12 2 6 9" xfId="32278" xr:uid="{00000000-0005-0000-0000-0000467E0000}"/>
    <cellStyle name="货币 2 12 2 7" xfId="33229" xr:uid="{00000000-0005-0000-0000-0000FD810000}"/>
    <cellStyle name="货币 2 12 2 7 2" xfId="20123" xr:uid="{00000000-0005-0000-0000-0000CB4E0000}"/>
    <cellStyle name="货币 2 12 2 8" xfId="33232" xr:uid="{00000000-0005-0000-0000-000000820000}"/>
    <cellStyle name="货币 2 12 2 9" xfId="33235" xr:uid="{00000000-0005-0000-0000-000003820000}"/>
    <cellStyle name="货币 2 12 20" xfId="33132" xr:uid="{00000000-0005-0000-0000-00009C810000}"/>
    <cellStyle name="货币 2 12 21" xfId="33134" xr:uid="{00000000-0005-0000-0000-00009E810000}"/>
    <cellStyle name="货币 2 12 22" xfId="33136" xr:uid="{00000000-0005-0000-0000-0000A0810000}"/>
    <cellStyle name="货币 2 12 23" xfId="33138" xr:uid="{00000000-0005-0000-0000-0000A2810000}"/>
    <cellStyle name="货币 2 12 3" xfId="22991" xr:uid="{00000000-0005-0000-0000-0000FF590000}"/>
    <cellStyle name="货币 2 12 3 10" xfId="33236" xr:uid="{00000000-0005-0000-0000-000004820000}"/>
    <cellStyle name="货币 2 12 3 11" xfId="33237" xr:uid="{00000000-0005-0000-0000-000005820000}"/>
    <cellStyle name="货币 2 12 3 12" xfId="33238" xr:uid="{00000000-0005-0000-0000-000006820000}"/>
    <cellStyle name="货币 2 12 3 13" xfId="33239" xr:uid="{00000000-0005-0000-0000-000007820000}"/>
    <cellStyle name="货币 2 12 3 14" xfId="27255" xr:uid="{00000000-0005-0000-0000-0000A76A0000}"/>
    <cellStyle name="货币 2 12 3 15" xfId="27263" xr:uid="{00000000-0005-0000-0000-0000AF6A0000}"/>
    <cellStyle name="货币 2 12 3 16" xfId="27268" xr:uid="{00000000-0005-0000-0000-0000B46A0000}"/>
    <cellStyle name="货币 2 12 3 17" xfId="7803" xr:uid="{00000000-0005-0000-0000-0000AB1E0000}"/>
    <cellStyle name="货币 2 12 3 18" xfId="873" xr:uid="{00000000-0005-0000-0000-000099030000}"/>
    <cellStyle name="货币 2 12 3 2" xfId="33240" xr:uid="{00000000-0005-0000-0000-000008820000}"/>
    <cellStyle name="货币 2 12 3 2 10" xfId="33242" xr:uid="{00000000-0005-0000-0000-00000A820000}"/>
    <cellStyle name="货币 2 12 3 2 2" xfId="15589" xr:uid="{00000000-0005-0000-0000-0000153D0000}"/>
    <cellStyle name="货币 2 12 3 2 2 2" xfId="30704" xr:uid="{00000000-0005-0000-0000-000020780000}"/>
    <cellStyle name="货币 2 12 3 2 3" xfId="23117" xr:uid="{00000000-0005-0000-0000-00007D5A0000}"/>
    <cellStyle name="货币 2 12 3 2 4" xfId="33244" xr:uid="{00000000-0005-0000-0000-00000C820000}"/>
    <cellStyle name="货币 2 12 3 2 5" xfId="33246" xr:uid="{00000000-0005-0000-0000-00000E820000}"/>
    <cellStyle name="货币 2 12 3 2 6" xfId="33248" xr:uid="{00000000-0005-0000-0000-000010820000}"/>
    <cellStyle name="货币 2 12 3 2 7" xfId="33250" xr:uid="{00000000-0005-0000-0000-000012820000}"/>
    <cellStyle name="货币 2 12 3 2 8" xfId="33252" xr:uid="{00000000-0005-0000-0000-000014820000}"/>
    <cellStyle name="货币 2 12 3 2 9" xfId="33254" xr:uid="{00000000-0005-0000-0000-000016820000}"/>
    <cellStyle name="货币 2 12 3 3" xfId="2717" xr:uid="{00000000-0005-0000-0000-0000CD0A0000}"/>
    <cellStyle name="货币 2 12 3 3 2" xfId="6063" xr:uid="{00000000-0005-0000-0000-0000DF170000}"/>
    <cellStyle name="货币 2 12 3 3 3" xfId="23138" xr:uid="{00000000-0005-0000-0000-0000925A0000}"/>
    <cellStyle name="货币 2 12 3 3 4" xfId="33256" xr:uid="{00000000-0005-0000-0000-000018820000}"/>
    <cellStyle name="货币 2 12 3 3 5" xfId="33258" xr:uid="{00000000-0005-0000-0000-00001A820000}"/>
    <cellStyle name="货币 2 12 3 3 6" xfId="12095" xr:uid="{00000000-0005-0000-0000-00006F2F0000}"/>
    <cellStyle name="货币 2 12 3 4" xfId="6075" xr:uid="{00000000-0005-0000-0000-0000EB170000}"/>
    <cellStyle name="货币 2 12 3 4 2" xfId="33260" xr:uid="{00000000-0005-0000-0000-00001C820000}"/>
    <cellStyle name="货币 2 12 3 4 3" xfId="33262" xr:uid="{00000000-0005-0000-0000-00001E820000}"/>
    <cellStyle name="货币 2 12 3 4 4" xfId="33264" xr:uid="{00000000-0005-0000-0000-000020820000}"/>
    <cellStyle name="货币 2 12 3 4 5" xfId="33266" xr:uid="{00000000-0005-0000-0000-000022820000}"/>
    <cellStyle name="货币 2 12 3 4 6" xfId="33268" xr:uid="{00000000-0005-0000-0000-000024820000}"/>
    <cellStyle name="货币 2 12 3 5" xfId="6082" xr:uid="{00000000-0005-0000-0000-0000F2170000}"/>
    <cellStyle name="货币 2 12 3 5 2" xfId="6085" xr:uid="{00000000-0005-0000-0000-0000F5170000}"/>
    <cellStyle name="货币 2 12 3 5 3" xfId="13572" xr:uid="{00000000-0005-0000-0000-000034350000}"/>
    <cellStyle name="货币 2 12 3 5 4" xfId="33270" xr:uid="{00000000-0005-0000-0000-000026820000}"/>
    <cellStyle name="货币 2 12 3 5 5" xfId="33272" xr:uid="{00000000-0005-0000-0000-000028820000}"/>
    <cellStyle name="货币 2 12 3 5 6" xfId="33274" xr:uid="{00000000-0005-0000-0000-00002A820000}"/>
    <cellStyle name="货币 2 12 3 6" xfId="6102" xr:uid="{00000000-0005-0000-0000-000006180000}"/>
    <cellStyle name="货币 2 12 3 6 2" xfId="6113" xr:uid="{00000000-0005-0000-0000-000011180000}"/>
    <cellStyle name="货币 2 12 3 6 3" xfId="20163" xr:uid="{00000000-0005-0000-0000-0000F34E0000}"/>
    <cellStyle name="货币 2 12 3 6 4" xfId="20168" xr:uid="{00000000-0005-0000-0000-0000F84E0000}"/>
    <cellStyle name="货币 2 12 3 6 5" xfId="20173" xr:uid="{00000000-0005-0000-0000-0000FD4E0000}"/>
    <cellStyle name="货币 2 12 3 6 6" xfId="20178" xr:uid="{00000000-0005-0000-0000-0000024F0000}"/>
    <cellStyle name="货币 2 12 3 7" xfId="33277" xr:uid="{00000000-0005-0000-0000-00002D820000}"/>
    <cellStyle name="货币 2 12 3 8" xfId="33280" xr:uid="{00000000-0005-0000-0000-000030820000}"/>
    <cellStyle name="货币 2 12 3 9" xfId="33282" xr:uid="{00000000-0005-0000-0000-000032820000}"/>
    <cellStyle name="货币 2 12 4" xfId="22994" xr:uid="{00000000-0005-0000-0000-0000025A0000}"/>
    <cellStyle name="货币 2 12 4 10" xfId="33284" xr:uid="{00000000-0005-0000-0000-000034820000}"/>
    <cellStyle name="货币 2 12 4 11" xfId="33285" xr:uid="{00000000-0005-0000-0000-000035820000}"/>
    <cellStyle name="货币 2 12 4 12" xfId="33287" xr:uid="{00000000-0005-0000-0000-000037820000}"/>
    <cellStyle name="货币 2 12 4 13" xfId="33288" xr:uid="{00000000-0005-0000-0000-000038820000}"/>
    <cellStyle name="货币 2 12 4 14" xfId="33289" xr:uid="{00000000-0005-0000-0000-000039820000}"/>
    <cellStyle name="货币 2 12 4 15" xfId="33290" xr:uid="{00000000-0005-0000-0000-00003A820000}"/>
    <cellStyle name="货币 2 12 4 2" xfId="33291" xr:uid="{00000000-0005-0000-0000-00003B820000}"/>
    <cellStyle name="货币 2 12 4 2 2" xfId="33293" xr:uid="{00000000-0005-0000-0000-00003D820000}"/>
    <cellStyle name="货币 2 12 4 2 2 2" xfId="33294" xr:uid="{00000000-0005-0000-0000-00003E820000}"/>
    <cellStyle name="货币 2 12 4 2 3" xfId="33295" xr:uid="{00000000-0005-0000-0000-00003F820000}"/>
    <cellStyle name="货币 2 12 4 2 4" xfId="33296" xr:uid="{00000000-0005-0000-0000-000040820000}"/>
    <cellStyle name="货币 2 12 4 2 5" xfId="33297" xr:uid="{00000000-0005-0000-0000-000041820000}"/>
    <cellStyle name="货币 2 12 4 2 6" xfId="33299" xr:uid="{00000000-0005-0000-0000-000043820000}"/>
    <cellStyle name="货币 2 12 4 2 7" xfId="33301" xr:uid="{00000000-0005-0000-0000-000045820000}"/>
    <cellStyle name="货币 2 12 4 2 8" xfId="33303" xr:uid="{00000000-0005-0000-0000-000047820000}"/>
    <cellStyle name="货币 2 12 4 2 9" xfId="33305" xr:uid="{00000000-0005-0000-0000-000049820000}"/>
    <cellStyle name="货币 2 12 4 3" xfId="33306" xr:uid="{00000000-0005-0000-0000-00004A820000}"/>
    <cellStyle name="货币 2 12 4 3 2" xfId="33308" xr:uid="{00000000-0005-0000-0000-00004C820000}"/>
    <cellStyle name="货币 2 12 4 3 3" xfId="33309" xr:uid="{00000000-0005-0000-0000-00004D820000}"/>
    <cellStyle name="货币 2 12 4 3 4" xfId="33310" xr:uid="{00000000-0005-0000-0000-00004E820000}"/>
    <cellStyle name="货币 2 12 4 3 5" xfId="33311" xr:uid="{00000000-0005-0000-0000-00004F820000}"/>
    <cellStyle name="货币 2 12 4 3 6" xfId="33313" xr:uid="{00000000-0005-0000-0000-000051820000}"/>
    <cellStyle name="货币 2 12 4 4" xfId="33314" xr:uid="{00000000-0005-0000-0000-000052820000}"/>
    <cellStyle name="货币 2 12 4 4 2" xfId="33316" xr:uid="{00000000-0005-0000-0000-000054820000}"/>
    <cellStyle name="货币 2 12 4 5" xfId="33317" xr:uid="{00000000-0005-0000-0000-000055820000}"/>
    <cellStyle name="货币 2 12 4 6" xfId="33319" xr:uid="{00000000-0005-0000-0000-000057820000}"/>
    <cellStyle name="货币 2 12 4 7" xfId="33321" xr:uid="{00000000-0005-0000-0000-000059820000}"/>
    <cellStyle name="货币 2 12 4 8" xfId="33323" xr:uid="{00000000-0005-0000-0000-00005B820000}"/>
    <cellStyle name="货币 2 12 4 9" xfId="10223" xr:uid="{00000000-0005-0000-0000-00001F280000}"/>
    <cellStyle name="货币 2 12 5" xfId="22997" xr:uid="{00000000-0005-0000-0000-0000055A0000}"/>
    <cellStyle name="货币 2 12 5 10" xfId="24502" xr:uid="{00000000-0005-0000-0000-0000E65F0000}"/>
    <cellStyle name="货币 2 12 5 11" xfId="24504" xr:uid="{00000000-0005-0000-0000-0000E85F0000}"/>
    <cellStyle name="货币 2 12 5 12" xfId="24506" xr:uid="{00000000-0005-0000-0000-0000EA5F0000}"/>
    <cellStyle name="货币 2 12 5 13" xfId="24510" xr:uid="{00000000-0005-0000-0000-0000EE5F0000}"/>
    <cellStyle name="货币 2 12 5 2" xfId="15670" xr:uid="{00000000-0005-0000-0000-0000663D0000}"/>
    <cellStyle name="货币 2 12 5 2 2" xfId="24390" xr:uid="{00000000-0005-0000-0000-0000765F0000}"/>
    <cellStyle name="货币 2 12 5 2 2 2" xfId="20290" xr:uid="{00000000-0005-0000-0000-0000724F0000}"/>
    <cellStyle name="货币 2 12 5 2 3" xfId="23253" xr:uid="{00000000-0005-0000-0000-0000055B0000}"/>
    <cellStyle name="货币 2 12 5 2 4" xfId="16629" xr:uid="{00000000-0005-0000-0000-000025410000}"/>
    <cellStyle name="货币 2 12 5 2 5" xfId="16638" xr:uid="{00000000-0005-0000-0000-00002E410000}"/>
    <cellStyle name="货币 2 12 5 2 6" xfId="16643" xr:uid="{00000000-0005-0000-0000-000033410000}"/>
    <cellStyle name="货币 2 12 5 2 7" xfId="5810" xr:uid="{00000000-0005-0000-0000-0000E2160000}"/>
    <cellStyle name="货币 2 12 5 2 8" xfId="16648" xr:uid="{00000000-0005-0000-0000-000038410000}"/>
    <cellStyle name="货币 2 12 5 2 9" xfId="16651" xr:uid="{00000000-0005-0000-0000-00003B410000}"/>
    <cellStyle name="货币 2 12 5 3" xfId="2636" xr:uid="{00000000-0005-0000-0000-00007C0A0000}"/>
    <cellStyle name="货币 2 12 5 3 2" xfId="33324" xr:uid="{00000000-0005-0000-0000-00005C820000}"/>
    <cellStyle name="货币 2 12 5 3 3" xfId="33325" xr:uid="{00000000-0005-0000-0000-00005D820000}"/>
    <cellStyle name="货币 2 12 5 3 4" xfId="16658" xr:uid="{00000000-0005-0000-0000-000042410000}"/>
    <cellStyle name="货币 2 12 5 3 5" xfId="16662" xr:uid="{00000000-0005-0000-0000-000046410000}"/>
    <cellStyle name="货币 2 12 5 3 6" xfId="16666" xr:uid="{00000000-0005-0000-0000-00004A410000}"/>
    <cellStyle name="货币 2 12 5 4" xfId="15673" xr:uid="{00000000-0005-0000-0000-0000693D0000}"/>
    <cellStyle name="货币 2 12 5 4 2" xfId="33327" xr:uid="{00000000-0005-0000-0000-00005F820000}"/>
    <cellStyle name="货币 2 12 5 5" xfId="7783" xr:uid="{00000000-0005-0000-0000-0000971E0000}"/>
    <cellStyle name="货币 2 12 5 6" xfId="7559" xr:uid="{00000000-0005-0000-0000-0000B71D0000}"/>
    <cellStyle name="货币 2 12 5 7" xfId="7577" xr:uid="{00000000-0005-0000-0000-0000C91D0000}"/>
    <cellStyle name="货币 2 12 5 8" xfId="7591" xr:uid="{00000000-0005-0000-0000-0000D71D0000}"/>
    <cellStyle name="货币 2 12 5 9" xfId="7796" xr:uid="{00000000-0005-0000-0000-0000A41E0000}"/>
    <cellStyle name="货币 2 12 6" xfId="7098" xr:uid="{00000000-0005-0000-0000-0000EA1B0000}"/>
    <cellStyle name="货币 2 12 6 10" xfId="13862" xr:uid="{00000000-0005-0000-0000-000056360000}"/>
    <cellStyle name="货币 2 12 6 11" xfId="13868" xr:uid="{00000000-0005-0000-0000-00005C360000}"/>
    <cellStyle name="货币 2 12 6 12" xfId="13871" xr:uid="{00000000-0005-0000-0000-00005F360000}"/>
    <cellStyle name="货币 2 12 6 2" xfId="33328" xr:uid="{00000000-0005-0000-0000-000060820000}"/>
    <cellStyle name="货币 2 12 6 2 2" xfId="28758" xr:uid="{00000000-0005-0000-0000-000086700000}"/>
    <cellStyle name="货币 2 12 6 2 2 2" xfId="13578" xr:uid="{00000000-0005-0000-0000-00003A350000}"/>
    <cellStyle name="货币 2 12 6 2 3" xfId="28760" xr:uid="{00000000-0005-0000-0000-000088700000}"/>
    <cellStyle name="货币 2 12 6 2 4" xfId="17091" xr:uid="{00000000-0005-0000-0000-0000F3420000}"/>
    <cellStyle name="货币 2 12 6 2 5" xfId="17099" xr:uid="{00000000-0005-0000-0000-0000FB420000}"/>
    <cellStyle name="货币 2 12 6 2 6" xfId="17103" xr:uid="{00000000-0005-0000-0000-0000FF420000}"/>
    <cellStyle name="货币 2 12 6 2 7" xfId="17111" xr:uid="{00000000-0005-0000-0000-000007430000}"/>
    <cellStyle name="货币 2 12 6 2 8" xfId="17114" xr:uid="{00000000-0005-0000-0000-00000A430000}"/>
    <cellStyle name="货币 2 12 6 2 9" xfId="17119" xr:uid="{00000000-0005-0000-0000-00000F430000}"/>
    <cellStyle name="货币 2 12 6 3" xfId="33329" xr:uid="{00000000-0005-0000-0000-000061820000}"/>
    <cellStyle name="货币 2 12 6 3 2" xfId="15698" xr:uid="{00000000-0005-0000-0000-0000823D0000}"/>
    <cellStyle name="货币 2 12 6 3 3" xfId="15702" xr:uid="{00000000-0005-0000-0000-0000863D0000}"/>
    <cellStyle name="货币 2 12 6 3 4" xfId="15707" xr:uid="{00000000-0005-0000-0000-00008B3D0000}"/>
    <cellStyle name="货币 2 12 6 3 5" xfId="15712" xr:uid="{00000000-0005-0000-0000-0000903D0000}"/>
    <cellStyle name="货币 2 12 6 3 6" xfId="15718" xr:uid="{00000000-0005-0000-0000-0000963D0000}"/>
    <cellStyle name="货币 2 12 6 4" xfId="33330" xr:uid="{00000000-0005-0000-0000-000062820000}"/>
    <cellStyle name="货币 2 12 6 4 2" xfId="33331" xr:uid="{00000000-0005-0000-0000-000063820000}"/>
    <cellStyle name="货币 2 12 6 5" xfId="2950" xr:uid="{00000000-0005-0000-0000-0000B60B0000}"/>
    <cellStyle name="货币 2 12 6 6" xfId="2976" xr:uid="{00000000-0005-0000-0000-0000D00B0000}"/>
    <cellStyle name="货币 2 12 6 7" xfId="170" xr:uid="{00000000-0005-0000-0000-0000B6000000}"/>
    <cellStyle name="货币 2 12 6 8" xfId="7604" xr:uid="{00000000-0005-0000-0000-0000E41D0000}"/>
    <cellStyle name="货币 2 12 6 9" xfId="7821" xr:uid="{00000000-0005-0000-0000-0000BD1E0000}"/>
    <cellStyle name="货币 2 12 7" xfId="22999" xr:uid="{00000000-0005-0000-0000-0000075A0000}"/>
    <cellStyle name="货币 2 12 7 2" xfId="29789" xr:uid="{00000000-0005-0000-0000-00008D740000}"/>
    <cellStyle name="货币 2 12 7 2 2" xfId="33333" xr:uid="{00000000-0005-0000-0000-000065820000}"/>
    <cellStyle name="货币 2 12 7 3" xfId="33334" xr:uid="{00000000-0005-0000-0000-000066820000}"/>
    <cellStyle name="货币 2 12 7 4" xfId="15689" xr:uid="{00000000-0005-0000-0000-0000793D0000}"/>
    <cellStyle name="货币 2 12 7 5" xfId="3052" xr:uid="{00000000-0005-0000-0000-00001C0C0000}"/>
    <cellStyle name="货币 2 12 7 6" xfId="3070" xr:uid="{00000000-0005-0000-0000-00002E0C0000}"/>
    <cellStyle name="货币 2 12 7 7" xfId="1360" xr:uid="{00000000-0005-0000-0000-000080050000}"/>
    <cellStyle name="货币 2 12 7 8" xfId="7620" xr:uid="{00000000-0005-0000-0000-0000F41D0000}"/>
    <cellStyle name="货币 2 12 7 9" xfId="7833" xr:uid="{00000000-0005-0000-0000-0000C91E0000}"/>
    <cellStyle name="货币 2 12 8" xfId="29791" xr:uid="{00000000-0005-0000-0000-00008F740000}"/>
    <cellStyle name="货币 2 12 8 2" xfId="33336" xr:uid="{00000000-0005-0000-0000-000068820000}"/>
    <cellStyle name="货币 2 12 8 3" xfId="33337" xr:uid="{00000000-0005-0000-0000-000069820000}"/>
    <cellStyle name="货币 2 12 8 4" xfId="24324" xr:uid="{00000000-0005-0000-0000-0000345F0000}"/>
    <cellStyle name="货币 2 12 8 5" xfId="4673" xr:uid="{00000000-0005-0000-0000-000071120000}"/>
    <cellStyle name="货币 2 12 8 6" xfId="4696" xr:uid="{00000000-0005-0000-0000-000088120000}"/>
    <cellStyle name="货币 2 12 9" xfId="29794" xr:uid="{00000000-0005-0000-0000-000092740000}"/>
    <cellStyle name="货币 2 12 9 2" xfId="33339" xr:uid="{00000000-0005-0000-0000-00006B820000}"/>
    <cellStyle name="货币 2 12 9 3" xfId="33340" xr:uid="{00000000-0005-0000-0000-00006C820000}"/>
    <cellStyle name="货币 2 12 9 4" xfId="9204" xr:uid="{00000000-0005-0000-0000-000024240000}"/>
    <cellStyle name="货币 2 12 9 5" xfId="7857" xr:uid="{00000000-0005-0000-0000-0000E11E0000}"/>
    <cellStyle name="货币 2 12 9 6" xfId="7634" xr:uid="{00000000-0005-0000-0000-0000021E0000}"/>
    <cellStyle name="货币 2 13" xfId="33342" xr:uid="{00000000-0005-0000-0000-00006E820000}"/>
    <cellStyle name="货币 2 13 10" xfId="33344" xr:uid="{00000000-0005-0000-0000-000070820000}"/>
    <cellStyle name="货币 2 13 11" xfId="33345" xr:uid="{00000000-0005-0000-0000-000071820000}"/>
    <cellStyle name="货币 2 13 12" xfId="33346" xr:uid="{00000000-0005-0000-0000-000072820000}"/>
    <cellStyle name="货币 2 13 13" xfId="33347" xr:uid="{00000000-0005-0000-0000-000073820000}"/>
    <cellStyle name="货币 2 13 14" xfId="33348" xr:uid="{00000000-0005-0000-0000-000074820000}"/>
    <cellStyle name="货币 2 13 15" xfId="33349" xr:uid="{00000000-0005-0000-0000-000075820000}"/>
    <cellStyle name="货币 2 13 16" xfId="33350" xr:uid="{00000000-0005-0000-0000-000076820000}"/>
    <cellStyle name="货币 2 13 17" xfId="33351" xr:uid="{00000000-0005-0000-0000-000077820000}"/>
    <cellStyle name="货币 2 13 18" xfId="33352" xr:uid="{00000000-0005-0000-0000-000078820000}"/>
    <cellStyle name="货币 2 13 19" xfId="33354" xr:uid="{00000000-0005-0000-0000-00007A820000}"/>
    <cellStyle name="货币 2 13 2" xfId="23013" xr:uid="{00000000-0005-0000-0000-0000155A0000}"/>
    <cellStyle name="货币 2 13 2 10" xfId="33356" xr:uid="{00000000-0005-0000-0000-00007C820000}"/>
    <cellStyle name="货币 2 13 2 11" xfId="31236" xr:uid="{00000000-0005-0000-0000-0000347A0000}"/>
    <cellStyle name="货币 2 13 2 12" xfId="33357" xr:uid="{00000000-0005-0000-0000-00007D820000}"/>
    <cellStyle name="货币 2 13 2 13" xfId="33358" xr:uid="{00000000-0005-0000-0000-00007E820000}"/>
    <cellStyle name="货币 2 13 2 14" xfId="10478" xr:uid="{00000000-0005-0000-0000-00001E290000}"/>
    <cellStyle name="货币 2 13 2 15" xfId="20226" xr:uid="{00000000-0005-0000-0000-0000324F0000}"/>
    <cellStyle name="货币 2 13 2 16" xfId="20229" xr:uid="{00000000-0005-0000-0000-0000354F0000}"/>
    <cellStyle name="货币 2 13 2 17" xfId="20232" xr:uid="{00000000-0005-0000-0000-0000384F0000}"/>
    <cellStyle name="货币 2 13 2 18" xfId="20235" xr:uid="{00000000-0005-0000-0000-00003B4F0000}"/>
    <cellStyle name="货币 2 13 2 2" xfId="5575" xr:uid="{00000000-0005-0000-0000-0000F7150000}"/>
    <cellStyle name="货币 2 13 2 2 10" xfId="33359" xr:uid="{00000000-0005-0000-0000-00007F820000}"/>
    <cellStyle name="货币 2 13 2 2 2" xfId="24873" xr:uid="{00000000-0005-0000-0000-000059610000}"/>
    <cellStyle name="货币 2 13 2 2 2 2" xfId="18241" xr:uid="{00000000-0005-0000-0000-000071470000}"/>
    <cellStyle name="货币 2 13 2 2 3" xfId="24683" xr:uid="{00000000-0005-0000-0000-00009B600000}"/>
    <cellStyle name="货币 2 13 2 2 4" xfId="24704" xr:uid="{00000000-0005-0000-0000-0000B0600000}"/>
    <cellStyle name="货币 2 13 2 2 5" xfId="24712" xr:uid="{00000000-0005-0000-0000-0000B8600000}"/>
    <cellStyle name="货币 2 13 2 2 6" xfId="24717" xr:uid="{00000000-0005-0000-0000-0000BD600000}"/>
    <cellStyle name="货币 2 13 2 2 7" xfId="33361" xr:uid="{00000000-0005-0000-0000-000081820000}"/>
    <cellStyle name="货币 2 13 2 2 8" xfId="33363" xr:uid="{00000000-0005-0000-0000-000083820000}"/>
    <cellStyle name="货币 2 13 2 2 9" xfId="33365" xr:uid="{00000000-0005-0000-0000-000085820000}"/>
    <cellStyle name="货币 2 13 2 3" xfId="32340" xr:uid="{00000000-0005-0000-0000-0000847E0000}"/>
    <cellStyle name="货币 2 13 2 3 2" xfId="24880" xr:uid="{00000000-0005-0000-0000-000060610000}"/>
    <cellStyle name="货币 2 13 2 3 3" xfId="24732" xr:uid="{00000000-0005-0000-0000-0000CC600000}"/>
    <cellStyle name="货币 2 13 2 3 4" xfId="24745" xr:uid="{00000000-0005-0000-0000-0000D9600000}"/>
    <cellStyle name="货币 2 13 2 3 5" xfId="11840" xr:uid="{00000000-0005-0000-0000-0000702E0000}"/>
    <cellStyle name="货币 2 13 2 3 6" xfId="24762" xr:uid="{00000000-0005-0000-0000-0000EA600000}"/>
    <cellStyle name="货币 2 13 2 4" xfId="33366" xr:uid="{00000000-0005-0000-0000-000086820000}"/>
    <cellStyle name="货币 2 13 2 4 2" xfId="33367" xr:uid="{00000000-0005-0000-0000-000087820000}"/>
    <cellStyle name="货币 2 13 2 4 3" xfId="33368" xr:uid="{00000000-0005-0000-0000-000088820000}"/>
    <cellStyle name="货币 2 13 2 4 4" xfId="33369" xr:uid="{00000000-0005-0000-0000-000089820000}"/>
    <cellStyle name="货币 2 13 2 4 5" xfId="33370" xr:uid="{00000000-0005-0000-0000-00008A820000}"/>
    <cellStyle name="货币 2 13 2 4 6" xfId="33372" xr:uid="{00000000-0005-0000-0000-00008C820000}"/>
    <cellStyle name="货币 2 13 2 5" xfId="33373" xr:uid="{00000000-0005-0000-0000-00008D820000}"/>
    <cellStyle name="货币 2 13 2 5 2" xfId="33374" xr:uid="{00000000-0005-0000-0000-00008E820000}"/>
    <cellStyle name="货币 2 13 2 5 3" xfId="33375" xr:uid="{00000000-0005-0000-0000-00008F820000}"/>
    <cellStyle name="货币 2 13 2 5 4" xfId="33376" xr:uid="{00000000-0005-0000-0000-000090820000}"/>
    <cellStyle name="货币 2 13 2 5 5" xfId="33377" xr:uid="{00000000-0005-0000-0000-000091820000}"/>
    <cellStyle name="货币 2 13 2 5 6" xfId="33379" xr:uid="{00000000-0005-0000-0000-000093820000}"/>
    <cellStyle name="货币 2 13 2 6" xfId="33382" xr:uid="{00000000-0005-0000-0000-000096820000}"/>
    <cellStyle name="货币 2 13 2 6 2" xfId="20474" xr:uid="{00000000-0005-0000-0000-00002A500000}"/>
    <cellStyle name="货币 2 13 2 6 3" xfId="20480" xr:uid="{00000000-0005-0000-0000-000030500000}"/>
    <cellStyle name="货币 2 13 2 6 4" xfId="20487" xr:uid="{00000000-0005-0000-0000-000037500000}"/>
    <cellStyle name="货币 2 13 2 6 5" xfId="8204" xr:uid="{00000000-0005-0000-0000-00003C200000}"/>
    <cellStyle name="货币 2 13 2 6 6" xfId="20495" xr:uid="{00000000-0005-0000-0000-00003F500000}"/>
    <cellStyle name="货币 2 13 2 7" xfId="33385" xr:uid="{00000000-0005-0000-0000-000099820000}"/>
    <cellStyle name="货币 2 13 2 8" xfId="33388" xr:uid="{00000000-0005-0000-0000-00009C820000}"/>
    <cellStyle name="货币 2 13 2 9" xfId="33392" xr:uid="{00000000-0005-0000-0000-0000A0820000}"/>
    <cellStyle name="货币 2 13 3" xfId="23015" xr:uid="{00000000-0005-0000-0000-0000175A0000}"/>
    <cellStyle name="货币 2 13 3 10" xfId="14653" xr:uid="{00000000-0005-0000-0000-00006D390000}"/>
    <cellStyle name="货币 2 13 3 11" xfId="14657" xr:uid="{00000000-0005-0000-0000-000071390000}"/>
    <cellStyle name="货币 2 13 3 12" xfId="14662" xr:uid="{00000000-0005-0000-0000-000076390000}"/>
    <cellStyle name="货币 2 13 3 2" xfId="33393" xr:uid="{00000000-0005-0000-0000-0000A1820000}"/>
    <cellStyle name="货币 2 13 3 2 2" xfId="24947" xr:uid="{00000000-0005-0000-0000-0000A3610000}"/>
    <cellStyle name="货币 2 13 3 2 2 2" xfId="18311" xr:uid="{00000000-0005-0000-0000-0000B7470000}"/>
    <cellStyle name="货币 2 13 3 2 3" xfId="24953" xr:uid="{00000000-0005-0000-0000-0000A9610000}"/>
    <cellStyle name="货币 2 13 3 2 4" xfId="33396" xr:uid="{00000000-0005-0000-0000-0000A4820000}"/>
    <cellStyle name="货币 2 13 3 2 5" xfId="33398" xr:uid="{00000000-0005-0000-0000-0000A6820000}"/>
    <cellStyle name="货币 2 13 3 3" xfId="4619" xr:uid="{00000000-0005-0000-0000-00003B120000}"/>
    <cellStyle name="货币 2 13 3 3 2" xfId="23603" xr:uid="{00000000-0005-0000-0000-0000635C0000}"/>
    <cellStyle name="货币 2 13 3 4" xfId="6634" xr:uid="{00000000-0005-0000-0000-00001A1A0000}"/>
    <cellStyle name="货币 2 13 3 5" xfId="6641" xr:uid="{00000000-0005-0000-0000-0000211A0000}"/>
    <cellStyle name="货币 2 13 3 6" xfId="6652" xr:uid="{00000000-0005-0000-0000-00002C1A0000}"/>
    <cellStyle name="货币 2 13 3 7" xfId="33401" xr:uid="{00000000-0005-0000-0000-0000A9820000}"/>
    <cellStyle name="货币 2 13 3 8" xfId="33404" xr:uid="{00000000-0005-0000-0000-0000AC820000}"/>
    <cellStyle name="货币 2 13 3 9" xfId="33406" xr:uid="{00000000-0005-0000-0000-0000AE820000}"/>
    <cellStyle name="货币 2 13 4" xfId="23017" xr:uid="{00000000-0005-0000-0000-0000195A0000}"/>
    <cellStyle name="货币 2 13 4 10" xfId="18371" xr:uid="{00000000-0005-0000-0000-0000F3470000}"/>
    <cellStyle name="货币 2 13 4 11" xfId="1497" xr:uid="{00000000-0005-0000-0000-000009060000}"/>
    <cellStyle name="货币 2 13 4 2" xfId="33407" xr:uid="{00000000-0005-0000-0000-0000AF820000}"/>
    <cellStyle name="货币 2 13 4 2 2" xfId="33409" xr:uid="{00000000-0005-0000-0000-0000B1820000}"/>
    <cellStyle name="货币 2 13 4 2 2 2" xfId="29583" xr:uid="{00000000-0005-0000-0000-0000BF730000}"/>
    <cellStyle name="货币 2 13 4 2 3" xfId="33410" xr:uid="{00000000-0005-0000-0000-0000B2820000}"/>
    <cellStyle name="货币 2 13 4 2 4" xfId="33411" xr:uid="{00000000-0005-0000-0000-0000B3820000}"/>
    <cellStyle name="货币 2 13 4 2 5" xfId="33412" xr:uid="{00000000-0005-0000-0000-0000B4820000}"/>
    <cellStyle name="货币 2 13 4 3" xfId="33413" xr:uid="{00000000-0005-0000-0000-0000B5820000}"/>
    <cellStyle name="货币 2 13 4 3 2" xfId="33415" xr:uid="{00000000-0005-0000-0000-0000B7820000}"/>
    <cellStyle name="货币 2 13 4 4" xfId="33416" xr:uid="{00000000-0005-0000-0000-0000B8820000}"/>
    <cellStyle name="货币 2 13 4 5" xfId="33417" xr:uid="{00000000-0005-0000-0000-0000B9820000}"/>
    <cellStyle name="货币 2 13 4 6" xfId="33420" xr:uid="{00000000-0005-0000-0000-0000BC820000}"/>
    <cellStyle name="货币 2 13 4 7" xfId="33422" xr:uid="{00000000-0005-0000-0000-0000BE820000}"/>
    <cellStyle name="货币 2 13 4 8" xfId="13349" xr:uid="{00000000-0005-0000-0000-000055340000}"/>
    <cellStyle name="货币 2 13 4 9" xfId="11848" xr:uid="{00000000-0005-0000-0000-0000782E0000}"/>
    <cellStyle name="货币 2 13 5" xfId="23019" xr:uid="{00000000-0005-0000-0000-00001B5A0000}"/>
    <cellStyle name="货币 2 13 5 10" xfId="18712" xr:uid="{00000000-0005-0000-0000-000048490000}"/>
    <cellStyle name="货币 2 13 5 2" xfId="25253" xr:uid="{00000000-0005-0000-0000-0000D5620000}"/>
    <cellStyle name="货币 2 13 5 2 2" xfId="25901" xr:uid="{00000000-0005-0000-0000-00005D650000}"/>
    <cellStyle name="货币 2 13 5 2 2 2" xfId="33423" xr:uid="{00000000-0005-0000-0000-0000BF820000}"/>
    <cellStyle name="货币 2 13 5 2 3" xfId="25222" xr:uid="{00000000-0005-0000-0000-0000B6620000}"/>
    <cellStyle name="货币 2 13 5 2 4" xfId="18188" xr:uid="{00000000-0005-0000-0000-00003C470000}"/>
    <cellStyle name="货币 2 13 5 2 5" xfId="18194" xr:uid="{00000000-0005-0000-0000-000042470000}"/>
    <cellStyle name="货币 2 13 5 3" xfId="3174" xr:uid="{00000000-0005-0000-0000-0000960C0000}"/>
    <cellStyle name="货币 2 13 5 3 2" xfId="33424" xr:uid="{00000000-0005-0000-0000-0000C0820000}"/>
    <cellStyle name="货币 2 13 5 4" xfId="25258" xr:uid="{00000000-0005-0000-0000-0000DA620000}"/>
    <cellStyle name="货币 2 13 5 5" xfId="7907" xr:uid="{00000000-0005-0000-0000-0000131F0000}"/>
    <cellStyle name="货币 2 13 5 6" xfId="7916" xr:uid="{00000000-0005-0000-0000-00001C1F0000}"/>
    <cellStyle name="货币 2 13 5 7" xfId="7929" xr:uid="{00000000-0005-0000-0000-0000291F0000}"/>
    <cellStyle name="货币 2 13 5 8" xfId="7933" xr:uid="{00000000-0005-0000-0000-00002D1F0000}"/>
    <cellStyle name="货币 2 13 5 9" xfId="7942" xr:uid="{00000000-0005-0000-0000-0000361F0000}"/>
    <cellStyle name="货币 2 13 6" xfId="23021" xr:uid="{00000000-0005-0000-0000-00001D5A0000}"/>
    <cellStyle name="货币 2 13 6 2" xfId="33425" xr:uid="{00000000-0005-0000-0000-0000C1820000}"/>
    <cellStyle name="货币 2 13 6 2 2" xfId="33427" xr:uid="{00000000-0005-0000-0000-0000C3820000}"/>
    <cellStyle name="货币 2 13 6 3" xfId="33428" xr:uid="{00000000-0005-0000-0000-0000C4820000}"/>
    <cellStyle name="货币 2 13 6 4" xfId="33429" xr:uid="{00000000-0005-0000-0000-0000C5820000}"/>
    <cellStyle name="货币 2 13 6 5" xfId="3423" xr:uid="{00000000-0005-0000-0000-00008F0D0000}"/>
    <cellStyle name="货币 2 13 6 6" xfId="3435" xr:uid="{00000000-0005-0000-0000-00009B0D0000}"/>
    <cellStyle name="货币 2 13 6 7" xfId="7952" xr:uid="{00000000-0005-0000-0000-0000401F0000}"/>
    <cellStyle name="货币 2 13 6 8" xfId="7956" xr:uid="{00000000-0005-0000-0000-0000441F0000}"/>
    <cellStyle name="货币 2 13 6 9" xfId="7959" xr:uid="{00000000-0005-0000-0000-0000471F0000}"/>
    <cellStyle name="货币 2 13 7" xfId="23023" xr:uid="{00000000-0005-0000-0000-00001F5A0000}"/>
    <cellStyle name="货币 2 13 7 2" xfId="12764" xr:uid="{00000000-0005-0000-0000-00000C320000}"/>
    <cellStyle name="货币 2 13 7 3" xfId="3512" xr:uid="{00000000-0005-0000-0000-0000E80D0000}"/>
    <cellStyle name="货币 2 13 7 4" xfId="12766" xr:uid="{00000000-0005-0000-0000-00000E320000}"/>
    <cellStyle name="货币 2 13 7 5" xfId="3519" xr:uid="{00000000-0005-0000-0000-0000EF0D0000}"/>
    <cellStyle name="货币 2 13 7 6" xfId="9853" xr:uid="{00000000-0005-0000-0000-0000AD260000}"/>
    <cellStyle name="货币 2 13 8" xfId="33430" xr:uid="{00000000-0005-0000-0000-0000C6820000}"/>
    <cellStyle name="货币 2 13 9" xfId="33431" xr:uid="{00000000-0005-0000-0000-0000C7820000}"/>
    <cellStyle name="货币 2 14" xfId="33432" xr:uid="{00000000-0005-0000-0000-0000C8820000}"/>
    <cellStyle name="货币 2 14 10" xfId="28745" xr:uid="{00000000-0005-0000-0000-000079700000}"/>
    <cellStyle name="货币 2 14 11" xfId="31024" xr:uid="{00000000-0005-0000-0000-000060790000}"/>
    <cellStyle name="货币 2 14 12" xfId="31888" xr:uid="{00000000-0005-0000-0000-0000C07C0000}"/>
    <cellStyle name="货币 2 14 13" xfId="31890" xr:uid="{00000000-0005-0000-0000-0000C27C0000}"/>
    <cellStyle name="货币 2 14 14" xfId="33433" xr:uid="{00000000-0005-0000-0000-0000C9820000}"/>
    <cellStyle name="货币 2 14 15" xfId="33435" xr:uid="{00000000-0005-0000-0000-0000CB820000}"/>
    <cellStyle name="货币 2 14 16" xfId="33436" xr:uid="{00000000-0005-0000-0000-0000CC820000}"/>
    <cellStyle name="货币 2 14 17" xfId="33437" xr:uid="{00000000-0005-0000-0000-0000CD820000}"/>
    <cellStyle name="货币 2 14 18" xfId="33438" xr:uid="{00000000-0005-0000-0000-0000CE820000}"/>
    <cellStyle name="货币 2 14 2" xfId="23031" xr:uid="{00000000-0005-0000-0000-0000275A0000}"/>
    <cellStyle name="货币 2 14 2 10" xfId="10221" xr:uid="{00000000-0005-0000-0000-00001D280000}"/>
    <cellStyle name="货币 2 14 2 11" xfId="10229" xr:uid="{00000000-0005-0000-0000-000025280000}"/>
    <cellStyle name="货币 2 14 2 12" xfId="1923" xr:uid="{00000000-0005-0000-0000-0000B3070000}"/>
    <cellStyle name="货币 2 14 2 2" xfId="33439" xr:uid="{00000000-0005-0000-0000-0000CF820000}"/>
    <cellStyle name="货币 2 14 2 2 2" xfId="33441" xr:uid="{00000000-0005-0000-0000-0000D1820000}"/>
    <cellStyle name="货币 2 14 2 2 2 2" xfId="33442" xr:uid="{00000000-0005-0000-0000-0000D2820000}"/>
    <cellStyle name="货币 2 14 2 2 3" xfId="33443" xr:uid="{00000000-0005-0000-0000-0000D3820000}"/>
    <cellStyle name="货币 2 14 2 2 4" xfId="33444" xr:uid="{00000000-0005-0000-0000-0000D4820000}"/>
    <cellStyle name="货币 2 14 2 2 5" xfId="33445" xr:uid="{00000000-0005-0000-0000-0000D5820000}"/>
    <cellStyle name="货币 2 14 2 3" xfId="32344" xr:uid="{00000000-0005-0000-0000-0000887E0000}"/>
    <cellStyle name="货币 2 14 2 3 2" xfId="33446" xr:uid="{00000000-0005-0000-0000-0000D6820000}"/>
    <cellStyle name="货币 2 14 2 4" xfId="33447" xr:uid="{00000000-0005-0000-0000-0000D7820000}"/>
    <cellStyle name="货币 2 14 2 5" xfId="33450" xr:uid="{00000000-0005-0000-0000-0000DA820000}"/>
    <cellStyle name="货币 2 14 2 6" xfId="33455" xr:uid="{00000000-0005-0000-0000-0000DF820000}"/>
    <cellStyle name="货币 2 14 2 7" xfId="33459" xr:uid="{00000000-0005-0000-0000-0000E3820000}"/>
    <cellStyle name="货币 2 14 2 8" xfId="32455" xr:uid="{00000000-0005-0000-0000-0000F77E0000}"/>
    <cellStyle name="货币 2 14 2 9" xfId="33462" xr:uid="{00000000-0005-0000-0000-0000E6820000}"/>
    <cellStyle name="货币 2 14 3" xfId="23033" xr:uid="{00000000-0005-0000-0000-0000295A0000}"/>
    <cellStyle name="货币 2 14 3 10" xfId="7871" xr:uid="{00000000-0005-0000-0000-0000EF1E0000}"/>
    <cellStyle name="货币 2 14 3 11" xfId="11743" xr:uid="{00000000-0005-0000-0000-00000F2E0000}"/>
    <cellStyle name="货币 2 14 3 2" xfId="33463" xr:uid="{00000000-0005-0000-0000-0000E7820000}"/>
    <cellStyle name="货币 2 14 3 2 2" xfId="33466" xr:uid="{00000000-0005-0000-0000-0000EA820000}"/>
    <cellStyle name="货币 2 14 3 3" xfId="6657" xr:uid="{00000000-0005-0000-0000-0000311A0000}"/>
    <cellStyle name="货币 2 14 3 4" xfId="6661" xr:uid="{00000000-0005-0000-0000-0000351A0000}"/>
    <cellStyle name="货币 2 14 3 5" xfId="6665" xr:uid="{00000000-0005-0000-0000-0000391A0000}"/>
    <cellStyle name="货币 2 14 3 6" xfId="1507" xr:uid="{00000000-0005-0000-0000-000013060000}"/>
    <cellStyle name="货币 2 14 3 7" xfId="33467" xr:uid="{00000000-0005-0000-0000-0000EB820000}"/>
    <cellStyle name="货币 2 14 3 8" xfId="32457" xr:uid="{00000000-0005-0000-0000-0000F97E0000}"/>
    <cellStyle name="货币 2 14 3 9" xfId="33469" xr:uid="{00000000-0005-0000-0000-0000ED820000}"/>
    <cellStyle name="货币 2 14 4" xfId="23035" xr:uid="{00000000-0005-0000-0000-00002B5A0000}"/>
    <cellStyle name="货币 2 14 4 2" xfId="33471" xr:uid="{00000000-0005-0000-0000-0000EF820000}"/>
    <cellStyle name="货币 2 14 4 3" xfId="33472" xr:uid="{00000000-0005-0000-0000-0000F0820000}"/>
    <cellStyle name="货币 2 14 4 4" xfId="33473" xr:uid="{00000000-0005-0000-0000-0000F1820000}"/>
    <cellStyle name="货币 2 14 4 5" xfId="33474" xr:uid="{00000000-0005-0000-0000-0000F2820000}"/>
    <cellStyle name="货币 2 14 4 6" xfId="33475" xr:uid="{00000000-0005-0000-0000-0000F3820000}"/>
    <cellStyle name="货币 2 14 5" xfId="23037" xr:uid="{00000000-0005-0000-0000-00002D5A0000}"/>
    <cellStyle name="货币 2 14 5 2" xfId="33476" xr:uid="{00000000-0005-0000-0000-0000F4820000}"/>
    <cellStyle name="货币 2 14 5 3" xfId="33477" xr:uid="{00000000-0005-0000-0000-0000F5820000}"/>
    <cellStyle name="货币 2 14 5 4" xfId="33478" xr:uid="{00000000-0005-0000-0000-0000F6820000}"/>
    <cellStyle name="货币 2 14 5 5" xfId="3270" xr:uid="{00000000-0005-0000-0000-0000F60C0000}"/>
    <cellStyle name="货币 2 14 5 6" xfId="3282" xr:uid="{00000000-0005-0000-0000-0000020D0000}"/>
    <cellStyle name="货币 2 14 6" xfId="23039" xr:uid="{00000000-0005-0000-0000-00002F5A0000}"/>
    <cellStyle name="货币 2 14 6 2" xfId="33479" xr:uid="{00000000-0005-0000-0000-0000F7820000}"/>
    <cellStyle name="货币 2 14 6 3" xfId="33481" xr:uid="{00000000-0005-0000-0000-0000F9820000}"/>
    <cellStyle name="货币 2 14 6 4" xfId="33483" xr:uid="{00000000-0005-0000-0000-0000FB820000}"/>
    <cellStyle name="货币 2 14 6 5" xfId="3356" xr:uid="{00000000-0005-0000-0000-00004C0D0000}"/>
    <cellStyle name="货币 2 14 6 6" xfId="250" xr:uid="{00000000-0005-0000-0000-00000B010000}"/>
    <cellStyle name="货币 2 14 7" xfId="16883" xr:uid="{00000000-0005-0000-0000-000023420000}"/>
    <cellStyle name="货币 2 14 8" xfId="33484" xr:uid="{00000000-0005-0000-0000-0000FC820000}"/>
    <cellStyle name="货币 2 14 9" xfId="33487" xr:uid="{00000000-0005-0000-0000-0000FF820000}"/>
    <cellStyle name="货币 2 15" xfId="33489" xr:uid="{00000000-0005-0000-0000-000001830000}"/>
    <cellStyle name="货币 2 15 10" xfId="27993" xr:uid="{00000000-0005-0000-0000-0000896D0000}"/>
    <cellStyle name="货币 2 15 11" xfId="31906" xr:uid="{00000000-0005-0000-0000-0000D27C0000}"/>
    <cellStyle name="货币 2 15 12" xfId="33491" xr:uid="{00000000-0005-0000-0000-000003830000}"/>
    <cellStyle name="货币 2 15 13" xfId="28566" xr:uid="{00000000-0005-0000-0000-0000C66F0000}"/>
    <cellStyle name="货币 2 15 14" xfId="28569" xr:uid="{00000000-0005-0000-0000-0000C96F0000}"/>
    <cellStyle name="货币 2 15 15" xfId="28571" xr:uid="{00000000-0005-0000-0000-0000CB6F0000}"/>
    <cellStyle name="货币 2 15 16" xfId="13331" xr:uid="{00000000-0005-0000-0000-000043340000}"/>
    <cellStyle name="货币 2 15 17" xfId="33492" xr:uid="{00000000-0005-0000-0000-000004830000}"/>
    <cellStyle name="货币 2 15 18" xfId="33493" xr:uid="{00000000-0005-0000-0000-000005830000}"/>
    <cellStyle name="货币 2 15 2" xfId="20091" xr:uid="{00000000-0005-0000-0000-0000AB4E0000}"/>
    <cellStyle name="货币 2 15 2 10" xfId="33494" xr:uid="{00000000-0005-0000-0000-000006830000}"/>
    <cellStyle name="货币 2 15 2 2" xfId="4307" xr:uid="{00000000-0005-0000-0000-000003110000}"/>
    <cellStyle name="货币 2 15 2 2 2" xfId="30585" xr:uid="{00000000-0005-0000-0000-0000A9770000}"/>
    <cellStyle name="货币 2 15 2 3" xfId="6300" xr:uid="{00000000-0005-0000-0000-0000CC180000}"/>
    <cellStyle name="货币 2 15 2 4" xfId="6318" xr:uid="{00000000-0005-0000-0000-0000DE180000}"/>
    <cellStyle name="货币 2 15 2 5" xfId="21598" xr:uid="{00000000-0005-0000-0000-00008E540000}"/>
    <cellStyle name="货币 2 15 2 6" xfId="23835" xr:uid="{00000000-0005-0000-0000-00004B5D0000}"/>
    <cellStyle name="货币 2 15 2 7" xfId="4001" xr:uid="{00000000-0005-0000-0000-0000D10F0000}"/>
    <cellStyle name="货币 2 15 2 8" xfId="33496" xr:uid="{00000000-0005-0000-0000-000008830000}"/>
    <cellStyle name="货币 2 15 2 9" xfId="33498" xr:uid="{00000000-0005-0000-0000-00000A830000}"/>
    <cellStyle name="货币 2 15 3" xfId="20099" xr:uid="{00000000-0005-0000-0000-0000B34E0000}"/>
    <cellStyle name="货币 2 15 3 2" xfId="33499" xr:uid="{00000000-0005-0000-0000-00000B830000}"/>
    <cellStyle name="货币 2 15 3 3" xfId="313" xr:uid="{00000000-0005-0000-0000-00004E010000}"/>
    <cellStyle name="货币 2 15 3 4" xfId="177" xr:uid="{00000000-0005-0000-0000-0000BE000000}"/>
    <cellStyle name="货币 2 15 3 5" xfId="104" xr:uid="{00000000-0005-0000-0000-000071000000}"/>
    <cellStyle name="货币 2 15 3 6" xfId="340" xr:uid="{00000000-0005-0000-0000-00006B010000}"/>
    <cellStyle name="货币 2 15 4" xfId="20107" xr:uid="{00000000-0005-0000-0000-0000BB4E0000}"/>
    <cellStyle name="货币 2 15 4 2" xfId="33500" xr:uid="{00000000-0005-0000-0000-00000C830000}"/>
    <cellStyle name="货币 2 15 4 3" xfId="33502" xr:uid="{00000000-0005-0000-0000-00000E830000}"/>
    <cellStyle name="货币 2 15 4 4" xfId="33504" xr:uid="{00000000-0005-0000-0000-000010830000}"/>
    <cellStyle name="货币 2 15 4 5" xfId="33506" xr:uid="{00000000-0005-0000-0000-000012830000}"/>
    <cellStyle name="货币 2 15 4 6" xfId="33508" xr:uid="{00000000-0005-0000-0000-000014830000}"/>
    <cellStyle name="货币 2 15 5" xfId="20114" xr:uid="{00000000-0005-0000-0000-0000C24E0000}"/>
    <cellStyle name="货币 2 15 5 2" xfId="33510" xr:uid="{00000000-0005-0000-0000-000016830000}"/>
    <cellStyle name="货币 2 15 5 3" xfId="33511" xr:uid="{00000000-0005-0000-0000-000017830000}"/>
    <cellStyle name="货币 2 15 5 4" xfId="33512" xr:uid="{00000000-0005-0000-0000-000018830000}"/>
    <cellStyle name="货币 2 15 5 5" xfId="8032" xr:uid="{00000000-0005-0000-0000-0000901F0000}"/>
    <cellStyle name="货币 2 15 5 6" xfId="3793" xr:uid="{00000000-0005-0000-0000-0000010F0000}"/>
    <cellStyle name="货币 2 15 6" xfId="20118" xr:uid="{00000000-0005-0000-0000-0000C64E0000}"/>
    <cellStyle name="货币 2 15 6 2" xfId="33513" xr:uid="{00000000-0005-0000-0000-000019830000}"/>
    <cellStyle name="货币 2 15 6 3" xfId="33514" xr:uid="{00000000-0005-0000-0000-00001A830000}"/>
    <cellStyle name="货币 2 15 6 4" xfId="33515" xr:uid="{00000000-0005-0000-0000-00001B830000}"/>
    <cellStyle name="货币 2 15 6 5" xfId="3832" xr:uid="{00000000-0005-0000-0000-0000280F0000}"/>
    <cellStyle name="货币 2 15 6 6" xfId="33516" xr:uid="{00000000-0005-0000-0000-00001C830000}"/>
    <cellStyle name="货币 2 15 7" xfId="33518" xr:uid="{00000000-0005-0000-0000-00001E830000}"/>
    <cellStyle name="货币 2 15 8" xfId="33520" xr:uid="{00000000-0005-0000-0000-000020830000}"/>
    <cellStyle name="货币 2 15 9" xfId="33522" xr:uid="{00000000-0005-0000-0000-000022830000}"/>
    <cellStyle name="货币 2 16" xfId="33525" xr:uid="{00000000-0005-0000-0000-000025830000}"/>
    <cellStyle name="货币 2 16 10" xfId="32422" xr:uid="{00000000-0005-0000-0000-0000D67E0000}"/>
    <cellStyle name="货币 2 16 11" xfId="32424" xr:uid="{00000000-0005-0000-0000-0000D87E0000}"/>
    <cellStyle name="货币 2 16 12" xfId="32428" xr:uid="{00000000-0005-0000-0000-0000DC7E0000}"/>
    <cellStyle name="货币 2 16 13" xfId="28587" xr:uid="{00000000-0005-0000-0000-0000DB6F0000}"/>
    <cellStyle name="货币 2 16 14" xfId="28591" xr:uid="{00000000-0005-0000-0000-0000DF6F0000}"/>
    <cellStyle name="货币 2 16 15" xfId="28595" xr:uid="{00000000-0005-0000-0000-0000E36F0000}"/>
    <cellStyle name="货币 2 16 2" xfId="17015" xr:uid="{00000000-0005-0000-0000-0000A7420000}"/>
    <cellStyle name="货币 2 16 2 2" xfId="21655" xr:uid="{00000000-0005-0000-0000-0000C7540000}"/>
    <cellStyle name="货币 2 16 2 2 2" xfId="33526" xr:uid="{00000000-0005-0000-0000-000026830000}"/>
    <cellStyle name="货币 2 16 2 3" xfId="23853" xr:uid="{00000000-0005-0000-0000-00005D5D0000}"/>
    <cellStyle name="货币 2 16 2 4" xfId="23855" xr:uid="{00000000-0005-0000-0000-00005F5D0000}"/>
    <cellStyle name="货币 2 16 2 5" xfId="33527" xr:uid="{00000000-0005-0000-0000-000027830000}"/>
    <cellStyle name="货币 2 16 2 6" xfId="33530" xr:uid="{00000000-0005-0000-0000-00002A830000}"/>
    <cellStyle name="货币 2 16 2 7" xfId="33533" xr:uid="{00000000-0005-0000-0000-00002D830000}"/>
    <cellStyle name="货币 2 16 2 8" xfId="33537" xr:uid="{00000000-0005-0000-0000-000031830000}"/>
    <cellStyle name="货币 2 16 2 9" xfId="33540" xr:uid="{00000000-0005-0000-0000-000034830000}"/>
    <cellStyle name="货币 2 16 3" xfId="17022" xr:uid="{00000000-0005-0000-0000-0000AE420000}"/>
    <cellStyle name="货币 2 16 3 2" xfId="33541" xr:uid="{00000000-0005-0000-0000-000035830000}"/>
    <cellStyle name="货币 2 16 3 3" xfId="3649" xr:uid="{00000000-0005-0000-0000-0000710E0000}"/>
    <cellStyle name="货币 2 16 3 4" xfId="4498" xr:uid="{00000000-0005-0000-0000-0000C2110000}"/>
    <cellStyle name="货币 2 16 3 5" xfId="4507" xr:uid="{00000000-0005-0000-0000-0000CB110000}"/>
    <cellStyle name="货币 2 16 3 6" xfId="4108" xr:uid="{00000000-0005-0000-0000-00003C100000}"/>
    <cellStyle name="货币 2 16 4" xfId="17029" xr:uid="{00000000-0005-0000-0000-0000B5420000}"/>
    <cellStyle name="货币 2 16 4 2" xfId="33542" xr:uid="{00000000-0005-0000-0000-000036830000}"/>
    <cellStyle name="货币 2 16 5" xfId="17034" xr:uid="{00000000-0005-0000-0000-0000BA420000}"/>
    <cellStyle name="货币 2 16 6" xfId="17039" xr:uid="{00000000-0005-0000-0000-0000BF420000}"/>
    <cellStyle name="货币 2 16 7" xfId="17043" xr:uid="{00000000-0005-0000-0000-0000C3420000}"/>
    <cellStyle name="货币 2 16 8" xfId="15082" xr:uid="{00000000-0005-0000-0000-00001A3B0000}"/>
    <cellStyle name="货币 2 16 9" xfId="33544" xr:uid="{00000000-0005-0000-0000-000038830000}"/>
    <cellStyle name="货币 2 17" xfId="33546" xr:uid="{00000000-0005-0000-0000-00003A830000}"/>
    <cellStyle name="货币 2 17 10" xfId="19503" xr:uid="{00000000-0005-0000-0000-00005F4C0000}"/>
    <cellStyle name="货币 2 17 11" xfId="19505" xr:uid="{00000000-0005-0000-0000-0000614C0000}"/>
    <cellStyle name="货币 2 17 12" xfId="5206" xr:uid="{00000000-0005-0000-0000-000086140000}"/>
    <cellStyle name="货币 2 17 13" xfId="19509" xr:uid="{00000000-0005-0000-0000-0000654C0000}"/>
    <cellStyle name="货币 2 17 14" xfId="28639" xr:uid="{00000000-0005-0000-0000-00000F700000}"/>
    <cellStyle name="货币 2 17 2" xfId="9705" xr:uid="{00000000-0005-0000-0000-000019260000}"/>
    <cellStyle name="货币 2 17 2 2" xfId="33547" xr:uid="{00000000-0005-0000-0000-00003B830000}"/>
    <cellStyle name="货币 2 17 2 2 2" xfId="33548" xr:uid="{00000000-0005-0000-0000-00003C830000}"/>
    <cellStyle name="货币 2 17 2 3" xfId="33549" xr:uid="{00000000-0005-0000-0000-00003D830000}"/>
    <cellStyle name="货币 2 17 2 4" xfId="28730" xr:uid="{00000000-0005-0000-0000-00006A700000}"/>
    <cellStyle name="货币 2 17 2 5" xfId="33550" xr:uid="{00000000-0005-0000-0000-00003E830000}"/>
    <cellStyle name="货币 2 17 2 6" xfId="33551" xr:uid="{00000000-0005-0000-0000-00003F830000}"/>
    <cellStyle name="货币 2 17 2 7" xfId="33552" xr:uid="{00000000-0005-0000-0000-000040830000}"/>
    <cellStyle name="货币 2 17 2 8" xfId="33553" xr:uid="{00000000-0005-0000-0000-000041830000}"/>
    <cellStyle name="货币 2 17 2 9" xfId="33554" xr:uid="{00000000-0005-0000-0000-000042830000}"/>
    <cellStyle name="货币 2 17 3" xfId="17053" xr:uid="{00000000-0005-0000-0000-0000CD420000}"/>
    <cellStyle name="货币 2 17 3 2" xfId="33555" xr:uid="{00000000-0005-0000-0000-000043830000}"/>
    <cellStyle name="货币 2 17 3 3" xfId="6683" xr:uid="{00000000-0005-0000-0000-00004B1A0000}"/>
    <cellStyle name="货币 2 17 3 4" xfId="6685" xr:uid="{00000000-0005-0000-0000-00004D1A0000}"/>
    <cellStyle name="货币 2 17 3 5" xfId="6687" xr:uid="{00000000-0005-0000-0000-00004F1A0000}"/>
    <cellStyle name="货币 2 17 3 6" xfId="5230" xr:uid="{00000000-0005-0000-0000-00009E140000}"/>
    <cellStyle name="货币 2 17 4" xfId="17060" xr:uid="{00000000-0005-0000-0000-0000D4420000}"/>
    <cellStyle name="货币 2 17 4 2" xfId="33556" xr:uid="{00000000-0005-0000-0000-000044830000}"/>
    <cellStyle name="货币 2 17 5" xfId="17065" xr:uid="{00000000-0005-0000-0000-0000D9420000}"/>
    <cellStyle name="货币 2 17 6" xfId="33558" xr:uid="{00000000-0005-0000-0000-000046830000}"/>
    <cellStyle name="货币 2 17 7" xfId="33559" xr:uid="{00000000-0005-0000-0000-000047830000}"/>
    <cellStyle name="货币 2 17 8" xfId="33560" xr:uid="{00000000-0005-0000-0000-000048830000}"/>
    <cellStyle name="货币 2 17 9" xfId="33561" xr:uid="{00000000-0005-0000-0000-000049830000}"/>
    <cellStyle name="货币 2 18" xfId="33563" xr:uid="{00000000-0005-0000-0000-00004B830000}"/>
    <cellStyle name="货币 2 18 10" xfId="33564" xr:uid="{00000000-0005-0000-0000-00004C830000}"/>
    <cellStyle name="货币 2 18 2" xfId="20136" xr:uid="{00000000-0005-0000-0000-0000D84E0000}"/>
    <cellStyle name="货币 2 18 2 2" xfId="33565" xr:uid="{00000000-0005-0000-0000-00004D830000}"/>
    <cellStyle name="货币 2 18 2 2 2" xfId="12928" xr:uid="{00000000-0005-0000-0000-0000B0320000}"/>
    <cellStyle name="货币 2 18 2 3" xfId="33567" xr:uid="{00000000-0005-0000-0000-00004F830000}"/>
    <cellStyle name="货币 2 18 2 4" xfId="33568" xr:uid="{00000000-0005-0000-0000-000050830000}"/>
    <cellStyle name="货币 2 18 2 5" xfId="33569" xr:uid="{00000000-0005-0000-0000-000051830000}"/>
    <cellStyle name="货币 2 18 3" xfId="20138" xr:uid="{00000000-0005-0000-0000-0000DA4E0000}"/>
    <cellStyle name="货币 2 18 3 2" xfId="33570" xr:uid="{00000000-0005-0000-0000-000052830000}"/>
    <cellStyle name="货币 2 18 4" xfId="33571" xr:uid="{00000000-0005-0000-0000-000053830000}"/>
    <cellStyle name="货币 2 18 5" xfId="33572" xr:uid="{00000000-0005-0000-0000-000054830000}"/>
    <cellStyle name="货币 2 18 6" xfId="33573" xr:uid="{00000000-0005-0000-0000-000055830000}"/>
    <cellStyle name="货币 2 18 7" xfId="33574" xr:uid="{00000000-0005-0000-0000-000056830000}"/>
    <cellStyle name="货币 2 18 8" xfId="33575" xr:uid="{00000000-0005-0000-0000-000057830000}"/>
    <cellStyle name="货币 2 18 9" xfId="33576" xr:uid="{00000000-0005-0000-0000-000058830000}"/>
    <cellStyle name="货币 2 19" xfId="33578" xr:uid="{00000000-0005-0000-0000-00005A830000}"/>
    <cellStyle name="货币 2 19 2" xfId="20148" xr:uid="{00000000-0005-0000-0000-0000E44E0000}"/>
    <cellStyle name="货币 2 19 2 2" xfId="31633" xr:uid="{00000000-0005-0000-0000-0000C17B0000}"/>
    <cellStyle name="货币 2 19 3" xfId="20149" xr:uid="{00000000-0005-0000-0000-0000E54E0000}"/>
    <cellStyle name="货币 2 19 4" xfId="33580" xr:uid="{00000000-0005-0000-0000-00005C830000}"/>
    <cellStyle name="货币 2 19 5" xfId="33582" xr:uid="{00000000-0005-0000-0000-00005E830000}"/>
    <cellStyle name="货币 2 19 6" xfId="33584" xr:uid="{00000000-0005-0000-0000-000060830000}"/>
    <cellStyle name="货币 2 19 7" xfId="33586" xr:uid="{00000000-0005-0000-0000-000062830000}"/>
    <cellStyle name="货币 2 19 8" xfId="33588" xr:uid="{00000000-0005-0000-0000-000064830000}"/>
    <cellStyle name="货币 2 19 9" xfId="33589" xr:uid="{00000000-0005-0000-0000-000065830000}"/>
    <cellStyle name="货币 2 2" xfId="33591" xr:uid="{00000000-0005-0000-0000-000067830000}"/>
    <cellStyle name="货币 2 2 10" xfId="26153" xr:uid="{00000000-0005-0000-0000-000059660000}"/>
    <cellStyle name="货币 2 2 10 10" xfId="21080" xr:uid="{00000000-0005-0000-0000-000088520000}"/>
    <cellStyle name="货币 2 2 10 10 2" xfId="33592" xr:uid="{00000000-0005-0000-0000-000068830000}"/>
    <cellStyle name="货币 2 2 10 10 3" xfId="22046" xr:uid="{00000000-0005-0000-0000-00004E560000}"/>
    <cellStyle name="货币 2 2 10 10 4" xfId="33593" xr:uid="{00000000-0005-0000-0000-000069830000}"/>
    <cellStyle name="货币 2 2 10 10 5" xfId="22589" xr:uid="{00000000-0005-0000-0000-00006D580000}"/>
    <cellStyle name="货币 2 2 10 10 6" xfId="33594" xr:uid="{00000000-0005-0000-0000-00006A830000}"/>
    <cellStyle name="货币 2 2 10 11" xfId="33595" xr:uid="{00000000-0005-0000-0000-00006B830000}"/>
    <cellStyle name="货币 2 2 10 11 2" xfId="33596" xr:uid="{00000000-0005-0000-0000-00006C830000}"/>
    <cellStyle name="货币 2 2 10 11 3" xfId="33597" xr:uid="{00000000-0005-0000-0000-00006D830000}"/>
    <cellStyle name="货币 2 2 10 11 4" xfId="33598" xr:uid="{00000000-0005-0000-0000-00006E830000}"/>
    <cellStyle name="货币 2 2 10 11 5" xfId="33599" xr:uid="{00000000-0005-0000-0000-00006F830000}"/>
    <cellStyle name="货币 2 2 10 11 6" xfId="33600" xr:uid="{00000000-0005-0000-0000-000070830000}"/>
    <cellStyle name="货币 2 2 10 12" xfId="33601" xr:uid="{00000000-0005-0000-0000-000071830000}"/>
    <cellStyle name="货币 2 2 10 13" xfId="33602" xr:uid="{00000000-0005-0000-0000-000072830000}"/>
    <cellStyle name="货币 2 2 10 14" xfId="33603" xr:uid="{00000000-0005-0000-0000-000073830000}"/>
    <cellStyle name="货币 2 2 10 15" xfId="29370" xr:uid="{00000000-0005-0000-0000-0000EA720000}"/>
    <cellStyle name="货币 2 2 10 16" xfId="26501" xr:uid="{00000000-0005-0000-0000-0000B5670000}"/>
    <cellStyle name="货币 2 2 10 17" xfId="29377" xr:uid="{00000000-0005-0000-0000-0000F1720000}"/>
    <cellStyle name="货币 2 2 10 18" xfId="31213" xr:uid="{00000000-0005-0000-0000-00001D7A0000}"/>
    <cellStyle name="货币 2 2 10 19" xfId="33604" xr:uid="{00000000-0005-0000-0000-000074830000}"/>
    <cellStyle name="货币 2 2 10 2" xfId="13405" xr:uid="{00000000-0005-0000-0000-00008D340000}"/>
    <cellStyle name="货币 2 2 10 2 10" xfId="21552" xr:uid="{00000000-0005-0000-0000-000060540000}"/>
    <cellStyle name="货币 2 2 10 2 11" xfId="20070" xr:uid="{00000000-0005-0000-0000-0000964E0000}"/>
    <cellStyle name="货币 2 2 10 2 12" xfId="21556" xr:uid="{00000000-0005-0000-0000-000064540000}"/>
    <cellStyle name="货币 2 2 10 2 13" xfId="21560" xr:uid="{00000000-0005-0000-0000-000068540000}"/>
    <cellStyle name="货币 2 2 10 2 14" xfId="21565" xr:uid="{00000000-0005-0000-0000-00006D540000}"/>
    <cellStyle name="货币 2 2 10 2 15" xfId="23830" xr:uid="{00000000-0005-0000-0000-0000465D0000}"/>
    <cellStyle name="货币 2 2 10 2 16" xfId="5079" xr:uid="{00000000-0005-0000-0000-000007140000}"/>
    <cellStyle name="货币 2 2 10 2 17" xfId="14908" xr:uid="{00000000-0005-0000-0000-00006C3A0000}"/>
    <cellStyle name="货币 2 2 10 2 18" xfId="14910" xr:uid="{00000000-0005-0000-0000-00006E3A0000}"/>
    <cellStyle name="货币 2 2 10 2 2" xfId="33605" xr:uid="{00000000-0005-0000-0000-000075830000}"/>
    <cellStyle name="货币 2 2 10 2 2 10" xfId="33606" xr:uid="{00000000-0005-0000-0000-000076830000}"/>
    <cellStyle name="货币 2 2 10 2 2 11" xfId="33607" xr:uid="{00000000-0005-0000-0000-000077830000}"/>
    <cellStyle name="货币 2 2 10 2 2 12" xfId="33608" xr:uid="{00000000-0005-0000-0000-000078830000}"/>
    <cellStyle name="货币 2 2 10 2 2 2" xfId="32331" xr:uid="{00000000-0005-0000-0000-00007B7E0000}"/>
    <cellStyle name="货币 2 2 10 2 2 2 2" xfId="29770" xr:uid="{00000000-0005-0000-0000-00007A740000}"/>
    <cellStyle name="货币 2 2 10 2 2 2 2 2" xfId="1473" xr:uid="{00000000-0005-0000-0000-0000F1050000}"/>
    <cellStyle name="货币 2 2 10 2 2 2 3" xfId="14829" xr:uid="{00000000-0005-0000-0000-00001D3A0000}"/>
    <cellStyle name="货币 2 2 10 2 2 2 4" xfId="24002" xr:uid="{00000000-0005-0000-0000-0000F25D0000}"/>
    <cellStyle name="货币 2 2 10 2 2 2 5" xfId="19391" xr:uid="{00000000-0005-0000-0000-0000EF4B0000}"/>
    <cellStyle name="货币 2 2 10 2 2 3" xfId="22466" xr:uid="{00000000-0005-0000-0000-0000F2570000}"/>
    <cellStyle name="货币 2 2 10 2 2 3 2" xfId="28633" xr:uid="{00000000-0005-0000-0000-000009700000}"/>
    <cellStyle name="货币 2 2 10 2 2 4" xfId="32334" xr:uid="{00000000-0005-0000-0000-00007E7E0000}"/>
    <cellStyle name="货币 2 2 10 2 2 5" xfId="31960" xr:uid="{00000000-0005-0000-0000-0000087D0000}"/>
    <cellStyle name="货币 2 2 10 2 2 6" xfId="31963" xr:uid="{00000000-0005-0000-0000-00000B7D0000}"/>
    <cellStyle name="货币 2 2 10 2 2 7" xfId="31965" xr:uid="{00000000-0005-0000-0000-00000D7D0000}"/>
    <cellStyle name="货币 2 2 10 2 2 8" xfId="33609" xr:uid="{00000000-0005-0000-0000-000079830000}"/>
    <cellStyle name="货币 2 2 10 2 2 9" xfId="33610" xr:uid="{00000000-0005-0000-0000-00007A830000}"/>
    <cellStyle name="货币 2 2 10 2 3" xfId="33611" xr:uid="{00000000-0005-0000-0000-00007B830000}"/>
    <cellStyle name="货币 2 2 10 2 3 10" xfId="9750" xr:uid="{00000000-0005-0000-0000-000046260000}"/>
    <cellStyle name="货币 2 2 10 2 3 11" xfId="9758" xr:uid="{00000000-0005-0000-0000-00004E260000}"/>
    <cellStyle name="货币 2 2 10 2 3 12" xfId="11332" xr:uid="{00000000-0005-0000-0000-0000742C0000}"/>
    <cellStyle name="货币 2 2 10 2 3 2" xfId="33612" xr:uid="{00000000-0005-0000-0000-00007C830000}"/>
    <cellStyle name="货币 2 2 10 2 3 2 2" xfId="11000" xr:uid="{00000000-0005-0000-0000-0000282B0000}"/>
    <cellStyle name="货币 2 2 10 2 3 2 2 2" xfId="33614" xr:uid="{00000000-0005-0000-0000-00007E830000}"/>
    <cellStyle name="货币 2 2 10 2 3 2 3" xfId="11005" xr:uid="{00000000-0005-0000-0000-00002D2B0000}"/>
    <cellStyle name="货币 2 2 10 2 3 2 4" xfId="2479" xr:uid="{00000000-0005-0000-0000-0000DF090000}"/>
    <cellStyle name="货币 2 2 10 2 3 2 5" xfId="2488" xr:uid="{00000000-0005-0000-0000-0000E8090000}"/>
    <cellStyle name="货币 2 2 10 2 3 3" xfId="33616" xr:uid="{00000000-0005-0000-0000-000080830000}"/>
    <cellStyle name="货币 2 2 10 2 3 3 2" xfId="33121" xr:uid="{00000000-0005-0000-0000-000091810000}"/>
    <cellStyle name="货币 2 2 10 2 3 4" xfId="33617" xr:uid="{00000000-0005-0000-0000-000081830000}"/>
    <cellStyle name="货币 2 2 10 2 3 5" xfId="31967" xr:uid="{00000000-0005-0000-0000-00000F7D0000}"/>
    <cellStyle name="货币 2 2 10 2 3 6" xfId="31970" xr:uid="{00000000-0005-0000-0000-0000127D0000}"/>
    <cellStyle name="货币 2 2 10 2 3 7" xfId="571" xr:uid="{00000000-0005-0000-0000-000062020000}"/>
    <cellStyle name="货币 2 2 10 2 3 8" xfId="619" xr:uid="{00000000-0005-0000-0000-000095020000}"/>
    <cellStyle name="货币 2 2 10 2 3 9" xfId="645" xr:uid="{00000000-0005-0000-0000-0000B2020000}"/>
    <cellStyle name="货币 2 2 10 2 4" xfId="33618" xr:uid="{00000000-0005-0000-0000-000082830000}"/>
    <cellStyle name="货币 2 2 10 2 4 10" xfId="27267" xr:uid="{00000000-0005-0000-0000-0000B36A0000}"/>
    <cellStyle name="货币 2 2 10 2 4 2" xfId="33619" xr:uid="{00000000-0005-0000-0000-000083830000}"/>
    <cellStyle name="货币 2 2 10 2 4 2 2" xfId="33335" xr:uid="{00000000-0005-0000-0000-000067820000}"/>
    <cellStyle name="货币 2 2 10 2 4 2 2 2" xfId="33621" xr:uid="{00000000-0005-0000-0000-000085830000}"/>
    <cellStyle name="货币 2 2 10 2 4 2 3" xfId="15690" xr:uid="{00000000-0005-0000-0000-00007A3D0000}"/>
    <cellStyle name="货币 2 2 10 2 4 2 4" xfId="3053" xr:uid="{00000000-0005-0000-0000-00001D0C0000}"/>
    <cellStyle name="货币 2 2 10 2 4 2 5" xfId="3071" xr:uid="{00000000-0005-0000-0000-00002F0C0000}"/>
    <cellStyle name="货币 2 2 10 2 4 3" xfId="33622" xr:uid="{00000000-0005-0000-0000-000086830000}"/>
    <cellStyle name="货币 2 2 10 2 4 3 2" xfId="33338" xr:uid="{00000000-0005-0000-0000-00006A820000}"/>
    <cellStyle name="货币 2 2 10 2 4 4" xfId="33623" xr:uid="{00000000-0005-0000-0000-000087830000}"/>
    <cellStyle name="货币 2 2 10 2 4 5" xfId="31972" xr:uid="{00000000-0005-0000-0000-0000147D0000}"/>
    <cellStyle name="货币 2 2 10 2 4 6" xfId="33624" xr:uid="{00000000-0005-0000-0000-000088830000}"/>
    <cellStyle name="货币 2 2 10 2 4 7" xfId="14916" xr:uid="{00000000-0005-0000-0000-0000743A0000}"/>
    <cellStyle name="货币 2 2 10 2 4 8" xfId="33625" xr:uid="{00000000-0005-0000-0000-000089830000}"/>
    <cellStyle name="货币 2 2 10 2 4 9" xfId="33626" xr:uid="{00000000-0005-0000-0000-00008A830000}"/>
    <cellStyle name="货币 2 2 10 2 5" xfId="33627" xr:uid="{00000000-0005-0000-0000-00008B830000}"/>
    <cellStyle name="货币 2 2 10 2 5 10" xfId="33629" xr:uid="{00000000-0005-0000-0000-00008D830000}"/>
    <cellStyle name="货币 2 2 10 2 5 2" xfId="33630" xr:uid="{00000000-0005-0000-0000-00008E830000}"/>
    <cellStyle name="货币 2 2 10 2 5 2 2" xfId="3513" xr:uid="{00000000-0005-0000-0000-0000E90D0000}"/>
    <cellStyle name="货币 2 2 10 2 5 2 2 2" xfId="33633" xr:uid="{00000000-0005-0000-0000-000091830000}"/>
    <cellStyle name="货币 2 2 10 2 5 2 3" xfId="12767" xr:uid="{00000000-0005-0000-0000-00000F320000}"/>
    <cellStyle name="货币 2 2 10 2 5 2 4" xfId="3520" xr:uid="{00000000-0005-0000-0000-0000F00D0000}"/>
    <cellStyle name="货币 2 2 10 2 5 2 5" xfId="9854" xr:uid="{00000000-0005-0000-0000-0000AE260000}"/>
    <cellStyle name="货币 2 2 10 2 5 3" xfId="33634" xr:uid="{00000000-0005-0000-0000-000092830000}"/>
    <cellStyle name="货币 2 2 10 2 5 3 2" xfId="4570" xr:uid="{00000000-0005-0000-0000-00000A120000}"/>
    <cellStyle name="货币 2 2 10 2 5 4" xfId="33635" xr:uid="{00000000-0005-0000-0000-000093830000}"/>
    <cellStyle name="货币 2 2 10 2 5 5" xfId="31974" xr:uid="{00000000-0005-0000-0000-0000167D0000}"/>
    <cellStyle name="货币 2 2 10 2 5 6" xfId="31551" xr:uid="{00000000-0005-0000-0000-00006F7B0000}"/>
    <cellStyle name="货币 2 2 10 2 5 7" xfId="31553" xr:uid="{00000000-0005-0000-0000-0000717B0000}"/>
    <cellStyle name="货币 2 2 10 2 5 8" xfId="31556" xr:uid="{00000000-0005-0000-0000-0000747B0000}"/>
    <cellStyle name="货币 2 2 10 2 5 9" xfId="31558" xr:uid="{00000000-0005-0000-0000-0000767B0000}"/>
    <cellStyle name="货币 2 2 10 2 6" xfId="33636" xr:uid="{00000000-0005-0000-0000-000094830000}"/>
    <cellStyle name="货币 2 2 10 2 6 2" xfId="33637" xr:uid="{00000000-0005-0000-0000-000095830000}"/>
    <cellStyle name="货币 2 2 10 2 6 2 2" xfId="33639" xr:uid="{00000000-0005-0000-0000-000097830000}"/>
    <cellStyle name="货币 2 2 10 2 6 3" xfId="33642" xr:uid="{00000000-0005-0000-0000-00009A830000}"/>
    <cellStyle name="货币 2 2 10 2 6 4" xfId="33643" xr:uid="{00000000-0005-0000-0000-00009B830000}"/>
    <cellStyle name="货币 2 2 10 2 6 5" xfId="33644" xr:uid="{00000000-0005-0000-0000-00009C830000}"/>
    <cellStyle name="货币 2 2 10 2 6 6" xfId="31567" xr:uid="{00000000-0005-0000-0000-00007F7B0000}"/>
    <cellStyle name="货币 2 2 10 2 6 7" xfId="31570" xr:uid="{00000000-0005-0000-0000-0000827B0000}"/>
    <cellStyle name="货币 2 2 10 2 6 8" xfId="31572" xr:uid="{00000000-0005-0000-0000-0000847B0000}"/>
    <cellStyle name="货币 2 2 10 2 6 9" xfId="33645" xr:uid="{00000000-0005-0000-0000-00009D830000}"/>
    <cellStyle name="货币 2 2 10 2 7" xfId="33646" xr:uid="{00000000-0005-0000-0000-00009E830000}"/>
    <cellStyle name="货币 2 2 10 2 7 2" xfId="33647" xr:uid="{00000000-0005-0000-0000-00009F830000}"/>
    <cellStyle name="货币 2 2 10 2 8" xfId="33648" xr:uid="{00000000-0005-0000-0000-0000A0830000}"/>
    <cellStyle name="货币 2 2 10 2 9" xfId="33649" xr:uid="{00000000-0005-0000-0000-0000A1830000}"/>
    <cellStyle name="货币 2 2 10 20" xfId="29371" xr:uid="{00000000-0005-0000-0000-0000EB720000}"/>
    <cellStyle name="货币 2 2 10 21" xfId="26502" xr:uid="{00000000-0005-0000-0000-0000B6670000}"/>
    <cellStyle name="货币 2 2 10 22" xfId="29378" xr:uid="{00000000-0005-0000-0000-0000F2720000}"/>
    <cellStyle name="货币 2 2 10 23" xfId="31214" xr:uid="{00000000-0005-0000-0000-00001E7A0000}"/>
    <cellStyle name="货币 2 2 10 3" xfId="13412" xr:uid="{00000000-0005-0000-0000-000094340000}"/>
    <cellStyle name="货币 2 2 10 3 10" xfId="33650" xr:uid="{00000000-0005-0000-0000-0000A2830000}"/>
    <cellStyle name="货币 2 2 10 3 11" xfId="33501" xr:uid="{00000000-0005-0000-0000-00000D830000}"/>
    <cellStyle name="货币 2 2 10 3 12" xfId="33503" xr:uid="{00000000-0005-0000-0000-00000F830000}"/>
    <cellStyle name="货币 2 2 10 3 13" xfId="33505" xr:uid="{00000000-0005-0000-0000-000011830000}"/>
    <cellStyle name="货币 2 2 10 3 14" xfId="33507" xr:uid="{00000000-0005-0000-0000-000013830000}"/>
    <cellStyle name="货币 2 2 10 3 15" xfId="33509" xr:uid="{00000000-0005-0000-0000-000015830000}"/>
    <cellStyle name="货币 2 2 10 3 16" xfId="14927" xr:uid="{00000000-0005-0000-0000-00007F3A0000}"/>
    <cellStyle name="货币 2 2 10 3 17" xfId="33651" xr:uid="{00000000-0005-0000-0000-0000A3830000}"/>
    <cellStyle name="货币 2 2 10 3 18" xfId="33652" xr:uid="{00000000-0005-0000-0000-0000A4830000}"/>
    <cellStyle name="货币 2 2 10 3 2" xfId="33653" xr:uid="{00000000-0005-0000-0000-0000A5830000}"/>
    <cellStyle name="货币 2 2 10 3 2 10" xfId="15360" xr:uid="{00000000-0005-0000-0000-0000303C0000}"/>
    <cellStyle name="货币 2 2 10 3 2 2" xfId="33655" xr:uid="{00000000-0005-0000-0000-0000A7830000}"/>
    <cellStyle name="货币 2 2 10 3 2 2 2" xfId="2118" xr:uid="{00000000-0005-0000-0000-000076080000}"/>
    <cellStyle name="货币 2 2 10 3 2 3" xfId="33659" xr:uid="{00000000-0005-0000-0000-0000AB830000}"/>
    <cellStyle name="货币 2 2 10 3 2 4" xfId="33664" xr:uid="{00000000-0005-0000-0000-0000B0830000}"/>
    <cellStyle name="货币 2 2 10 3 2 5" xfId="33669" xr:uid="{00000000-0005-0000-0000-0000B5830000}"/>
    <cellStyle name="货币 2 2 10 3 2 6" xfId="33676" xr:uid="{00000000-0005-0000-0000-0000BC830000}"/>
    <cellStyle name="货币 2 2 10 3 2 7" xfId="33680" xr:uid="{00000000-0005-0000-0000-0000C0830000}"/>
    <cellStyle name="货币 2 2 10 3 2 8" xfId="33682" xr:uid="{00000000-0005-0000-0000-0000C2830000}"/>
    <cellStyle name="货币 2 2 10 3 2 9" xfId="17302" xr:uid="{00000000-0005-0000-0000-0000C6430000}"/>
    <cellStyle name="货币 2 2 10 3 3" xfId="33683" xr:uid="{00000000-0005-0000-0000-0000C3830000}"/>
    <cellStyle name="货币 2 2 10 3 3 2" xfId="33684" xr:uid="{00000000-0005-0000-0000-0000C4830000}"/>
    <cellStyle name="货币 2 2 10 3 3 3" xfId="33690" xr:uid="{00000000-0005-0000-0000-0000CA830000}"/>
    <cellStyle name="货币 2 2 10 3 3 4" xfId="33694" xr:uid="{00000000-0005-0000-0000-0000CE830000}"/>
    <cellStyle name="货币 2 2 10 3 3 5" xfId="33698" xr:uid="{00000000-0005-0000-0000-0000D2830000}"/>
    <cellStyle name="货币 2 2 10 3 3 6" xfId="33701" xr:uid="{00000000-0005-0000-0000-0000D5830000}"/>
    <cellStyle name="货币 2 2 10 3 4" xfId="23831" xr:uid="{00000000-0005-0000-0000-0000475D0000}"/>
    <cellStyle name="货币 2 2 10 3 4 2" xfId="33705" xr:uid="{00000000-0005-0000-0000-0000D9830000}"/>
    <cellStyle name="货币 2 2 10 3 4 3" xfId="33708" xr:uid="{00000000-0005-0000-0000-0000DC830000}"/>
    <cellStyle name="货币 2 2 10 3 4 4" xfId="33712" xr:uid="{00000000-0005-0000-0000-0000E0830000}"/>
    <cellStyle name="货币 2 2 10 3 4 5" xfId="33716" xr:uid="{00000000-0005-0000-0000-0000E4830000}"/>
    <cellStyle name="货币 2 2 10 3 4 6" xfId="33719" xr:uid="{00000000-0005-0000-0000-0000E7830000}"/>
    <cellStyle name="货币 2 2 10 3 5" xfId="33720" xr:uid="{00000000-0005-0000-0000-0000E8830000}"/>
    <cellStyle name="货币 2 2 10 3 5 2" xfId="25992" xr:uid="{00000000-0005-0000-0000-0000B8650000}"/>
    <cellStyle name="货币 2 2 10 3 5 3" xfId="25995" xr:uid="{00000000-0005-0000-0000-0000BB650000}"/>
    <cellStyle name="货币 2 2 10 3 5 4" xfId="25999" xr:uid="{00000000-0005-0000-0000-0000BF650000}"/>
    <cellStyle name="货币 2 2 10 3 5 5" xfId="26003" xr:uid="{00000000-0005-0000-0000-0000C3650000}"/>
    <cellStyle name="货币 2 2 10 3 5 6" xfId="33723" xr:uid="{00000000-0005-0000-0000-0000EB830000}"/>
    <cellStyle name="货币 2 2 10 3 6" xfId="33724" xr:uid="{00000000-0005-0000-0000-0000EC830000}"/>
    <cellStyle name="货币 2 2 10 3 6 2" xfId="33727" xr:uid="{00000000-0005-0000-0000-0000EF830000}"/>
    <cellStyle name="货币 2 2 10 3 6 3" xfId="33729" xr:uid="{00000000-0005-0000-0000-0000F1830000}"/>
    <cellStyle name="货币 2 2 10 3 6 4" xfId="33732" xr:uid="{00000000-0005-0000-0000-0000F4830000}"/>
    <cellStyle name="货币 2 2 10 3 6 5" xfId="33734" xr:uid="{00000000-0005-0000-0000-0000F6830000}"/>
    <cellStyle name="货币 2 2 10 3 6 6" xfId="33736" xr:uid="{00000000-0005-0000-0000-0000F8830000}"/>
    <cellStyle name="货币 2 2 10 3 7" xfId="33737" xr:uid="{00000000-0005-0000-0000-0000F9830000}"/>
    <cellStyle name="货币 2 2 10 3 8" xfId="33738" xr:uid="{00000000-0005-0000-0000-0000FA830000}"/>
    <cellStyle name="货币 2 2 10 3 9" xfId="33739" xr:uid="{00000000-0005-0000-0000-0000FB830000}"/>
    <cellStyle name="货币 2 2 10 4" xfId="5320" xr:uid="{00000000-0005-0000-0000-0000F8140000}"/>
    <cellStyle name="货币 2 2 10 4 10" xfId="32354" xr:uid="{00000000-0005-0000-0000-0000927E0000}"/>
    <cellStyle name="货币 2 2 10 4 11" xfId="32356" xr:uid="{00000000-0005-0000-0000-0000947E0000}"/>
    <cellStyle name="货币 2 2 10 4 12" xfId="33740" xr:uid="{00000000-0005-0000-0000-0000FC830000}"/>
    <cellStyle name="货币 2 2 10 4 13" xfId="33741" xr:uid="{00000000-0005-0000-0000-0000FD830000}"/>
    <cellStyle name="货币 2 2 10 4 14" xfId="33742" xr:uid="{00000000-0005-0000-0000-0000FE830000}"/>
    <cellStyle name="货币 2 2 10 4 15" xfId="33743" xr:uid="{00000000-0005-0000-0000-0000FF830000}"/>
    <cellStyle name="货币 2 2 10 4 2" xfId="33744" xr:uid="{00000000-0005-0000-0000-000000840000}"/>
    <cellStyle name="货币 2 2 10 4 2 2" xfId="32373" xr:uid="{00000000-0005-0000-0000-0000A57E0000}"/>
    <cellStyle name="货币 2 2 10 4 2 2 2" xfId="12600" xr:uid="{00000000-0005-0000-0000-000068310000}"/>
    <cellStyle name="货币 2 2 10 4 2 3" xfId="32377" xr:uid="{00000000-0005-0000-0000-0000A97E0000}"/>
    <cellStyle name="货币 2 2 10 4 2 4" xfId="32382" xr:uid="{00000000-0005-0000-0000-0000AE7E0000}"/>
    <cellStyle name="货币 2 2 10 4 2 5" xfId="32015" xr:uid="{00000000-0005-0000-0000-00003F7D0000}"/>
    <cellStyle name="货币 2 2 10 4 2 6" xfId="33747" xr:uid="{00000000-0005-0000-0000-000003840000}"/>
    <cellStyle name="货币 2 2 10 4 2 7" xfId="33750" xr:uid="{00000000-0005-0000-0000-000006840000}"/>
    <cellStyle name="货币 2 2 10 4 2 8" xfId="33754" xr:uid="{00000000-0005-0000-0000-00000A840000}"/>
    <cellStyle name="货币 2 2 10 4 2 9" xfId="33757" xr:uid="{00000000-0005-0000-0000-00000D840000}"/>
    <cellStyle name="货币 2 2 10 4 3" xfId="33758" xr:uid="{00000000-0005-0000-0000-00000E840000}"/>
    <cellStyle name="货币 2 2 10 4 3 2" xfId="9893" xr:uid="{00000000-0005-0000-0000-0000D5260000}"/>
    <cellStyle name="货币 2 2 10 4 3 3" xfId="1812" xr:uid="{00000000-0005-0000-0000-000044070000}"/>
    <cellStyle name="货币 2 2 10 4 3 4" xfId="10139" xr:uid="{00000000-0005-0000-0000-0000CB270000}"/>
    <cellStyle name="货币 2 2 10 4 3 5" xfId="10148" xr:uid="{00000000-0005-0000-0000-0000D4270000}"/>
    <cellStyle name="货币 2 2 10 4 3 6" xfId="17790" xr:uid="{00000000-0005-0000-0000-0000AE450000}"/>
    <cellStyle name="货币 2 2 10 4 4" xfId="30323" xr:uid="{00000000-0005-0000-0000-0000A3760000}"/>
    <cellStyle name="货币 2 2 10 4 4 2" xfId="14506" xr:uid="{00000000-0005-0000-0000-0000DA380000}"/>
    <cellStyle name="货币 2 2 10 4 5" xfId="33759" xr:uid="{00000000-0005-0000-0000-00000F840000}"/>
    <cellStyle name="货币 2 2 10 4 6" xfId="33760" xr:uid="{00000000-0005-0000-0000-000010840000}"/>
    <cellStyle name="货币 2 2 10 4 7" xfId="33761" xr:uid="{00000000-0005-0000-0000-000011840000}"/>
    <cellStyle name="货币 2 2 10 4 8" xfId="33762" xr:uid="{00000000-0005-0000-0000-000012840000}"/>
    <cellStyle name="货币 2 2 10 4 9" xfId="33764" xr:uid="{00000000-0005-0000-0000-000014840000}"/>
    <cellStyle name="货币 2 2 10 5" xfId="2700" xr:uid="{00000000-0005-0000-0000-0000BC0A0000}"/>
    <cellStyle name="货币 2 2 10 5 10" xfId="2707" xr:uid="{00000000-0005-0000-0000-0000C30A0000}"/>
    <cellStyle name="货币 2 2 10 5 11" xfId="1974" xr:uid="{00000000-0005-0000-0000-0000E6070000}"/>
    <cellStyle name="货币 2 2 10 5 12" xfId="3061" xr:uid="{00000000-0005-0000-0000-0000250C0000}"/>
    <cellStyle name="货币 2 2 10 5 13" xfId="3081" xr:uid="{00000000-0005-0000-0000-0000390C0000}"/>
    <cellStyle name="货币 2 2 10 5 2" xfId="33765" xr:uid="{00000000-0005-0000-0000-000015840000}"/>
    <cellStyle name="货币 2 2 10 5 2 2" xfId="33766" xr:uid="{00000000-0005-0000-0000-000016840000}"/>
    <cellStyle name="货币 2 2 10 5 2 2 2" xfId="33768" xr:uid="{00000000-0005-0000-0000-000018840000}"/>
    <cellStyle name="货币 2 2 10 5 2 3" xfId="33769" xr:uid="{00000000-0005-0000-0000-000019840000}"/>
    <cellStyle name="货币 2 2 10 5 2 4" xfId="33772" xr:uid="{00000000-0005-0000-0000-00001C840000}"/>
    <cellStyle name="货币 2 2 10 5 2 5" xfId="32053" xr:uid="{00000000-0005-0000-0000-0000657D0000}"/>
    <cellStyle name="货币 2 2 10 5 2 6" xfId="33776" xr:uid="{00000000-0005-0000-0000-000020840000}"/>
    <cellStyle name="货币 2 2 10 5 2 7" xfId="33779" xr:uid="{00000000-0005-0000-0000-000023840000}"/>
    <cellStyle name="货币 2 2 10 5 2 8" xfId="33182" xr:uid="{00000000-0005-0000-0000-0000CE810000}"/>
    <cellStyle name="货币 2 2 10 5 2 9" xfId="33782" xr:uid="{00000000-0005-0000-0000-000026840000}"/>
    <cellStyle name="货币 2 2 10 5 3" xfId="33783" xr:uid="{00000000-0005-0000-0000-000027840000}"/>
    <cellStyle name="货币 2 2 10 5 3 2" xfId="33784" xr:uid="{00000000-0005-0000-0000-000028840000}"/>
    <cellStyle name="货币 2 2 10 5 3 3" xfId="33787" xr:uid="{00000000-0005-0000-0000-00002B840000}"/>
    <cellStyle name="货币 2 2 10 5 3 4" xfId="33789" xr:uid="{00000000-0005-0000-0000-00002D840000}"/>
    <cellStyle name="货币 2 2 10 5 3 5" xfId="32058" xr:uid="{00000000-0005-0000-0000-00006A7D0000}"/>
    <cellStyle name="货币 2 2 10 5 3 6" xfId="33792" xr:uid="{00000000-0005-0000-0000-000030840000}"/>
    <cellStyle name="货币 2 2 10 5 4" xfId="30325" xr:uid="{00000000-0005-0000-0000-0000A5760000}"/>
    <cellStyle name="货币 2 2 10 5 4 2" xfId="33793" xr:uid="{00000000-0005-0000-0000-000031840000}"/>
    <cellStyle name="货币 2 2 10 5 5" xfId="33794" xr:uid="{00000000-0005-0000-0000-000032840000}"/>
    <cellStyle name="货币 2 2 10 5 6" xfId="33795" xr:uid="{00000000-0005-0000-0000-000033840000}"/>
    <cellStyle name="货币 2 2 10 5 7" xfId="2791" xr:uid="{00000000-0005-0000-0000-0000170B0000}"/>
    <cellStyle name="货币 2 2 10 5 8" xfId="2810" xr:uid="{00000000-0005-0000-0000-00002A0B0000}"/>
    <cellStyle name="货币 2 2 10 5 9" xfId="1133" xr:uid="{00000000-0005-0000-0000-00009D040000}"/>
    <cellStyle name="货币 2 2 10 6" xfId="2837" xr:uid="{00000000-0005-0000-0000-0000450B0000}"/>
    <cellStyle name="货币 2 2 10 6 10" xfId="33796" xr:uid="{00000000-0005-0000-0000-000034840000}"/>
    <cellStyle name="货币 2 2 10 6 11" xfId="33797" xr:uid="{00000000-0005-0000-0000-000035840000}"/>
    <cellStyle name="货币 2 2 10 6 12" xfId="33798" xr:uid="{00000000-0005-0000-0000-000036840000}"/>
    <cellStyle name="货币 2 2 10 6 2" xfId="33801" xr:uid="{00000000-0005-0000-0000-000039840000}"/>
    <cellStyle name="货币 2 2 10 6 2 2" xfId="33803" xr:uid="{00000000-0005-0000-0000-00003B840000}"/>
    <cellStyle name="货币 2 2 10 6 2 2 2" xfId="10151" xr:uid="{00000000-0005-0000-0000-0000D7270000}"/>
    <cellStyle name="货币 2 2 10 6 2 3" xfId="33805" xr:uid="{00000000-0005-0000-0000-00003D840000}"/>
    <cellStyle name="货币 2 2 10 6 2 4" xfId="33808" xr:uid="{00000000-0005-0000-0000-000040840000}"/>
    <cellStyle name="货币 2 2 10 6 2 5" xfId="33811" xr:uid="{00000000-0005-0000-0000-000043840000}"/>
    <cellStyle name="货币 2 2 10 6 2 6" xfId="33814" xr:uid="{00000000-0005-0000-0000-000046840000}"/>
    <cellStyle name="货币 2 2 10 6 2 7" xfId="33817" xr:uid="{00000000-0005-0000-0000-000049840000}"/>
    <cellStyle name="货币 2 2 10 6 2 8" xfId="33820" xr:uid="{00000000-0005-0000-0000-00004C840000}"/>
    <cellStyle name="货币 2 2 10 6 2 9" xfId="33823" xr:uid="{00000000-0005-0000-0000-00004F840000}"/>
    <cellStyle name="货币 2 2 10 6 3" xfId="33827" xr:uid="{00000000-0005-0000-0000-000053840000}"/>
    <cellStyle name="货币 2 2 10 6 3 2" xfId="33828" xr:uid="{00000000-0005-0000-0000-000054840000}"/>
    <cellStyle name="货币 2 2 10 6 3 3" xfId="33829" xr:uid="{00000000-0005-0000-0000-000055840000}"/>
    <cellStyle name="货币 2 2 10 6 3 4" xfId="33831" xr:uid="{00000000-0005-0000-0000-000057840000}"/>
    <cellStyle name="货币 2 2 10 6 3 5" xfId="33833" xr:uid="{00000000-0005-0000-0000-000059840000}"/>
    <cellStyle name="货币 2 2 10 6 3 6" xfId="33835" xr:uid="{00000000-0005-0000-0000-00005B840000}"/>
    <cellStyle name="货币 2 2 10 6 4" xfId="30330" xr:uid="{00000000-0005-0000-0000-0000AA760000}"/>
    <cellStyle name="货币 2 2 10 6 4 2" xfId="33836" xr:uid="{00000000-0005-0000-0000-00005C840000}"/>
    <cellStyle name="货币 2 2 10 6 5" xfId="33837" xr:uid="{00000000-0005-0000-0000-00005D840000}"/>
    <cellStyle name="货币 2 2 10 6 6" xfId="33838" xr:uid="{00000000-0005-0000-0000-00005E840000}"/>
    <cellStyle name="货币 2 2 10 6 7" xfId="2869" xr:uid="{00000000-0005-0000-0000-0000650B0000}"/>
    <cellStyle name="货币 2 2 10 6 8" xfId="2878" xr:uid="{00000000-0005-0000-0000-00006E0B0000}"/>
    <cellStyle name="货币 2 2 10 6 9" xfId="522" xr:uid="{00000000-0005-0000-0000-00002D020000}"/>
    <cellStyle name="货币 2 2 10 7" xfId="2884" xr:uid="{00000000-0005-0000-0000-0000740B0000}"/>
    <cellStyle name="货币 2 2 10 7 2" xfId="33839" xr:uid="{00000000-0005-0000-0000-00005F840000}"/>
    <cellStyle name="货币 2 2 10 7 2 2" xfId="11560" xr:uid="{00000000-0005-0000-0000-0000582D0000}"/>
    <cellStyle name="货币 2 2 10 7 3" xfId="33840" xr:uid="{00000000-0005-0000-0000-000060840000}"/>
    <cellStyle name="货币 2 2 10 7 4" xfId="30331" xr:uid="{00000000-0005-0000-0000-0000AB760000}"/>
    <cellStyle name="货币 2 2 10 7 5" xfId="33841" xr:uid="{00000000-0005-0000-0000-000061840000}"/>
    <cellStyle name="货币 2 2 10 7 6" xfId="33842" xr:uid="{00000000-0005-0000-0000-000062840000}"/>
    <cellStyle name="货币 2 2 10 7 7" xfId="18594" xr:uid="{00000000-0005-0000-0000-0000D2480000}"/>
    <cellStyle name="货币 2 2 10 7 8" xfId="33843" xr:uid="{00000000-0005-0000-0000-000063840000}"/>
    <cellStyle name="货币 2 2 10 7 9" xfId="33844" xr:uid="{00000000-0005-0000-0000-000064840000}"/>
    <cellStyle name="货币 2 2 10 8" xfId="33845" xr:uid="{00000000-0005-0000-0000-000065840000}"/>
    <cellStyle name="货币 2 2 10 8 2" xfId="33846" xr:uid="{00000000-0005-0000-0000-000066840000}"/>
    <cellStyle name="货币 2 2 10 8 3" xfId="33847" xr:uid="{00000000-0005-0000-0000-000067840000}"/>
    <cellStyle name="货币 2 2 10 8 4" xfId="30334" xr:uid="{00000000-0005-0000-0000-0000AE760000}"/>
    <cellStyle name="货币 2 2 10 8 5" xfId="33848" xr:uid="{00000000-0005-0000-0000-000068840000}"/>
    <cellStyle name="货币 2 2 10 8 6" xfId="33849" xr:uid="{00000000-0005-0000-0000-000069840000}"/>
    <cellStyle name="货币 2 2 10 9" xfId="33850" xr:uid="{00000000-0005-0000-0000-00006A840000}"/>
    <cellStyle name="货币 2 2 10 9 2" xfId="2915" xr:uid="{00000000-0005-0000-0000-0000930B0000}"/>
    <cellStyle name="货币 2 2 10 9 3" xfId="9823" xr:uid="{00000000-0005-0000-0000-00008F260000}"/>
    <cellStyle name="货币 2 2 10 9 4" xfId="11698" xr:uid="{00000000-0005-0000-0000-0000E22D0000}"/>
    <cellStyle name="货币 2 2 10 9 5" xfId="5964" xr:uid="{00000000-0005-0000-0000-00007C170000}"/>
    <cellStyle name="货币 2 2 10 9 6" xfId="33851" xr:uid="{00000000-0005-0000-0000-00006B840000}"/>
    <cellStyle name="货币 2 2 11" xfId="26155" xr:uid="{00000000-0005-0000-0000-00005B660000}"/>
    <cellStyle name="货币 2 2 11 10" xfId="16549" xr:uid="{00000000-0005-0000-0000-0000D5400000}"/>
    <cellStyle name="货币 2 2 11 11" xfId="1668" xr:uid="{00000000-0005-0000-0000-0000B4060000}"/>
    <cellStyle name="货币 2 2 11 12" xfId="6574" xr:uid="{00000000-0005-0000-0000-0000DE190000}"/>
    <cellStyle name="货币 2 2 11 13" xfId="6597" xr:uid="{00000000-0005-0000-0000-0000F5190000}"/>
    <cellStyle name="货币 2 2 11 14" xfId="8263" xr:uid="{00000000-0005-0000-0000-000077200000}"/>
    <cellStyle name="货币 2 2 11 15" xfId="4550" xr:uid="{00000000-0005-0000-0000-0000F6110000}"/>
    <cellStyle name="货币 2 2 11 16" xfId="29411" xr:uid="{00000000-0005-0000-0000-000013730000}"/>
    <cellStyle name="货币 2 2 11 17" xfId="29418" xr:uid="{00000000-0005-0000-0000-00001A730000}"/>
    <cellStyle name="货币 2 2 11 18" xfId="14595" xr:uid="{00000000-0005-0000-0000-000033390000}"/>
    <cellStyle name="货币 2 2 11 19" xfId="29716" xr:uid="{00000000-0005-0000-0000-000044740000}"/>
    <cellStyle name="货币 2 2 11 2" xfId="16121" xr:uid="{00000000-0005-0000-0000-0000293F0000}"/>
    <cellStyle name="货币 2 2 11 2 10" xfId="33852" xr:uid="{00000000-0005-0000-0000-00006C840000}"/>
    <cellStyle name="货币 2 2 11 2 11" xfId="33853" xr:uid="{00000000-0005-0000-0000-00006D840000}"/>
    <cellStyle name="货币 2 2 11 2 12" xfId="33854" xr:uid="{00000000-0005-0000-0000-00006E840000}"/>
    <cellStyle name="货币 2 2 11 2 13" xfId="33855" xr:uid="{00000000-0005-0000-0000-00006F840000}"/>
    <cellStyle name="货币 2 2 11 2 14" xfId="33856" xr:uid="{00000000-0005-0000-0000-000070840000}"/>
    <cellStyle name="货币 2 2 11 2 15" xfId="33857" xr:uid="{00000000-0005-0000-0000-000071840000}"/>
    <cellStyle name="货币 2 2 11 2 16" xfId="33858" xr:uid="{00000000-0005-0000-0000-000072840000}"/>
    <cellStyle name="货币 2 2 11 2 17" xfId="7613" xr:uid="{00000000-0005-0000-0000-0000ED1D0000}"/>
    <cellStyle name="货币 2 2 11 2 18" xfId="18831" xr:uid="{00000000-0005-0000-0000-0000BF490000}"/>
    <cellStyle name="货币 2 2 11 2 2" xfId="33859" xr:uid="{00000000-0005-0000-0000-000073840000}"/>
    <cellStyle name="货币 2 2 11 2 2 10" xfId="23616" xr:uid="{00000000-0005-0000-0000-0000705C0000}"/>
    <cellStyle name="货币 2 2 11 2 2 2" xfId="33860" xr:uid="{00000000-0005-0000-0000-000074840000}"/>
    <cellStyle name="货币 2 2 11 2 2 2 2" xfId="4194" xr:uid="{00000000-0005-0000-0000-000092100000}"/>
    <cellStyle name="货币 2 2 11 2 2 3" xfId="33861" xr:uid="{00000000-0005-0000-0000-000075840000}"/>
    <cellStyle name="货币 2 2 11 2 2 4" xfId="33862" xr:uid="{00000000-0005-0000-0000-000076840000}"/>
    <cellStyle name="货币 2 2 11 2 2 5" xfId="33863" xr:uid="{00000000-0005-0000-0000-000077840000}"/>
    <cellStyle name="货币 2 2 11 2 2 6" xfId="33864" xr:uid="{00000000-0005-0000-0000-000078840000}"/>
    <cellStyle name="货币 2 2 11 2 2 7" xfId="33865" xr:uid="{00000000-0005-0000-0000-000079840000}"/>
    <cellStyle name="货币 2 2 11 2 2 8" xfId="33866" xr:uid="{00000000-0005-0000-0000-00007A840000}"/>
    <cellStyle name="货币 2 2 11 2 2 9" xfId="24044" xr:uid="{00000000-0005-0000-0000-00001C5E0000}"/>
    <cellStyle name="货币 2 2 11 2 3" xfId="33867" xr:uid="{00000000-0005-0000-0000-00007B840000}"/>
    <cellStyle name="货币 2 2 11 2 3 2" xfId="33868" xr:uid="{00000000-0005-0000-0000-00007C840000}"/>
    <cellStyle name="货币 2 2 11 2 3 3" xfId="33870" xr:uid="{00000000-0005-0000-0000-00007E840000}"/>
    <cellStyle name="货币 2 2 11 2 3 4" xfId="33872" xr:uid="{00000000-0005-0000-0000-000080840000}"/>
    <cellStyle name="货币 2 2 11 2 3 5" xfId="33873" xr:uid="{00000000-0005-0000-0000-000081840000}"/>
    <cellStyle name="货币 2 2 11 2 3 6" xfId="33874" xr:uid="{00000000-0005-0000-0000-000082840000}"/>
    <cellStyle name="货币 2 2 11 2 4" xfId="33875" xr:uid="{00000000-0005-0000-0000-000083840000}"/>
    <cellStyle name="货币 2 2 11 2 4 2" xfId="33876" xr:uid="{00000000-0005-0000-0000-000084840000}"/>
    <cellStyle name="货币 2 2 11 2 4 3" xfId="33878" xr:uid="{00000000-0005-0000-0000-000086840000}"/>
    <cellStyle name="货币 2 2 11 2 4 4" xfId="33880" xr:uid="{00000000-0005-0000-0000-000088840000}"/>
    <cellStyle name="货币 2 2 11 2 4 5" xfId="33881" xr:uid="{00000000-0005-0000-0000-000089840000}"/>
    <cellStyle name="货币 2 2 11 2 4 6" xfId="33882" xr:uid="{00000000-0005-0000-0000-00008A840000}"/>
    <cellStyle name="货币 2 2 11 2 5" xfId="33883" xr:uid="{00000000-0005-0000-0000-00008B840000}"/>
    <cellStyle name="货币 2 2 11 2 5 2" xfId="33884" xr:uid="{00000000-0005-0000-0000-00008C840000}"/>
    <cellStyle name="货币 2 2 11 2 5 3" xfId="33885" xr:uid="{00000000-0005-0000-0000-00008D840000}"/>
    <cellStyle name="货币 2 2 11 2 5 4" xfId="33886" xr:uid="{00000000-0005-0000-0000-00008E840000}"/>
    <cellStyle name="货币 2 2 11 2 5 5" xfId="33887" xr:uid="{00000000-0005-0000-0000-00008F840000}"/>
    <cellStyle name="货币 2 2 11 2 5 6" xfId="33888" xr:uid="{00000000-0005-0000-0000-000090840000}"/>
    <cellStyle name="货币 2 2 11 2 6" xfId="33889" xr:uid="{00000000-0005-0000-0000-000091840000}"/>
    <cellStyle name="货币 2 2 11 2 6 2" xfId="33890" xr:uid="{00000000-0005-0000-0000-000092840000}"/>
    <cellStyle name="货币 2 2 11 2 6 3" xfId="33891" xr:uid="{00000000-0005-0000-0000-000093840000}"/>
    <cellStyle name="货币 2 2 11 2 6 4" xfId="33892" xr:uid="{00000000-0005-0000-0000-000094840000}"/>
    <cellStyle name="货币 2 2 11 2 6 5" xfId="33893" xr:uid="{00000000-0005-0000-0000-000095840000}"/>
    <cellStyle name="货币 2 2 11 2 6 6" xfId="33894" xr:uid="{00000000-0005-0000-0000-000096840000}"/>
    <cellStyle name="货币 2 2 11 2 7" xfId="33895" xr:uid="{00000000-0005-0000-0000-000097840000}"/>
    <cellStyle name="货币 2 2 11 2 8" xfId="33896" xr:uid="{00000000-0005-0000-0000-000098840000}"/>
    <cellStyle name="货币 2 2 11 2 9" xfId="33897" xr:uid="{00000000-0005-0000-0000-000099840000}"/>
    <cellStyle name="货币 2 2 11 3" xfId="16127" xr:uid="{00000000-0005-0000-0000-00002F3F0000}"/>
    <cellStyle name="货币 2 2 11 3 10" xfId="676" xr:uid="{00000000-0005-0000-0000-0000D4020000}"/>
    <cellStyle name="货币 2 2 11 3 11" xfId="3842" xr:uid="{00000000-0005-0000-0000-0000320F0000}"/>
    <cellStyle name="货币 2 2 11 3 12" xfId="3828" xr:uid="{00000000-0005-0000-0000-0000240F0000}"/>
    <cellStyle name="货币 2 2 11 3 2" xfId="33898" xr:uid="{00000000-0005-0000-0000-00009A840000}"/>
    <cellStyle name="货币 2 2 11 3 2 2" xfId="2532" xr:uid="{00000000-0005-0000-0000-0000140A0000}"/>
    <cellStyle name="货币 2 2 11 3 2 2 2" xfId="2553" xr:uid="{00000000-0005-0000-0000-0000290A0000}"/>
    <cellStyle name="货币 2 2 11 3 2 3" xfId="5344" xr:uid="{00000000-0005-0000-0000-000010150000}"/>
    <cellStyle name="货币 2 2 11 3 2 4" xfId="5354" xr:uid="{00000000-0005-0000-0000-00001A150000}"/>
    <cellStyle name="货币 2 2 11 3 2 5" xfId="5360" xr:uid="{00000000-0005-0000-0000-000020150000}"/>
    <cellStyle name="货币 2 2 11 3 3" xfId="33899" xr:uid="{00000000-0005-0000-0000-00009B840000}"/>
    <cellStyle name="货币 2 2 11 3 3 2" xfId="33900" xr:uid="{00000000-0005-0000-0000-00009C840000}"/>
    <cellStyle name="货币 2 2 11 3 4" xfId="33901" xr:uid="{00000000-0005-0000-0000-00009D840000}"/>
    <cellStyle name="货币 2 2 11 3 5" xfId="33902" xr:uid="{00000000-0005-0000-0000-00009E840000}"/>
    <cellStyle name="货币 2 2 11 3 6" xfId="33903" xr:uid="{00000000-0005-0000-0000-00009F840000}"/>
    <cellStyle name="货币 2 2 11 3 7" xfId="33904" xr:uid="{00000000-0005-0000-0000-0000A0840000}"/>
    <cellStyle name="货币 2 2 11 3 8" xfId="33905" xr:uid="{00000000-0005-0000-0000-0000A1840000}"/>
    <cellStyle name="货币 2 2 11 3 9" xfId="33906" xr:uid="{00000000-0005-0000-0000-0000A2840000}"/>
    <cellStyle name="货币 2 2 11 4" xfId="5329" xr:uid="{00000000-0005-0000-0000-000001150000}"/>
    <cellStyle name="货币 2 2 11 4 10" xfId="33908" xr:uid="{00000000-0005-0000-0000-0000A4840000}"/>
    <cellStyle name="货币 2 2 11 4 11" xfId="33909" xr:uid="{00000000-0005-0000-0000-0000A5840000}"/>
    <cellStyle name="货币 2 2 11 4 2" xfId="33910" xr:uid="{00000000-0005-0000-0000-0000A6840000}"/>
    <cellStyle name="货币 2 2 11 4 2 2" xfId="33911" xr:uid="{00000000-0005-0000-0000-0000A7840000}"/>
    <cellStyle name="货币 2 2 11 4 2 2 2" xfId="33913" xr:uid="{00000000-0005-0000-0000-0000A9840000}"/>
    <cellStyle name="货币 2 2 11 4 2 3" xfId="33914" xr:uid="{00000000-0005-0000-0000-0000AA840000}"/>
    <cellStyle name="货币 2 2 11 4 2 4" xfId="33916" xr:uid="{00000000-0005-0000-0000-0000AC840000}"/>
    <cellStyle name="货币 2 2 11 4 2 5" xfId="33920" xr:uid="{00000000-0005-0000-0000-0000B0840000}"/>
    <cellStyle name="货币 2 2 11 4 3" xfId="33921" xr:uid="{00000000-0005-0000-0000-0000B1840000}"/>
    <cellStyle name="货币 2 2 11 4 3 2" xfId="33923" xr:uid="{00000000-0005-0000-0000-0000B3840000}"/>
    <cellStyle name="货币 2 2 11 4 4" xfId="33924" xr:uid="{00000000-0005-0000-0000-0000B4840000}"/>
    <cellStyle name="货币 2 2 11 4 5" xfId="33925" xr:uid="{00000000-0005-0000-0000-0000B5840000}"/>
    <cellStyle name="货币 2 2 11 4 6" xfId="33926" xr:uid="{00000000-0005-0000-0000-0000B6840000}"/>
    <cellStyle name="货币 2 2 11 4 7" xfId="33927" xr:uid="{00000000-0005-0000-0000-0000B7840000}"/>
    <cellStyle name="货币 2 2 11 4 8" xfId="33929" xr:uid="{00000000-0005-0000-0000-0000B9840000}"/>
    <cellStyle name="货币 2 2 11 4 9" xfId="33931" xr:uid="{00000000-0005-0000-0000-0000BB840000}"/>
    <cellStyle name="货币 2 2 11 5" xfId="713" xr:uid="{00000000-0005-0000-0000-0000F9020000}"/>
    <cellStyle name="货币 2 2 11 5 10" xfId="33932" xr:uid="{00000000-0005-0000-0000-0000BC840000}"/>
    <cellStyle name="货币 2 2 11 5 2" xfId="33933" xr:uid="{00000000-0005-0000-0000-0000BD840000}"/>
    <cellStyle name="货币 2 2 11 5 2 2" xfId="33934" xr:uid="{00000000-0005-0000-0000-0000BE840000}"/>
    <cellStyle name="货币 2 2 11 5 2 2 2" xfId="33936" xr:uid="{00000000-0005-0000-0000-0000C0840000}"/>
    <cellStyle name="货币 2 2 11 5 2 3" xfId="33937" xr:uid="{00000000-0005-0000-0000-0000C1840000}"/>
    <cellStyle name="货币 2 2 11 5 2 4" xfId="29609" xr:uid="{00000000-0005-0000-0000-0000D9730000}"/>
    <cellStyle name="货币 2 2 11 5 2 5" xfId="29646" xr:uid="{00000000-0005-0000-0000-0000FE730000}"/>
    <cellStyle name="货币 2 2 11 5 3" xfId="33938" xr:uid="{00000000-0005-0000-0000-0000C2840000}"/>
    <cellStyle name="货币 2 2 11 5 3 2" xfId="33941" xr:uid="{00000000-0005-0000-0000-0000C5840000}"/>
    <cellStyle name="货币 2 2 11 5 4" xfId="33942" xr:uid="{00000000-0005-0000-0000-0000C6840000}"/>
    <cellStyle name="货币 2 2 11 5 5" xfId="33943" xr:uid="{00000000-0005-0000-0000-0000C7840000}"/>
    <cellStyle name="货币 2 2 11 5 6" xfId="33944" xr:uid="{00000000-0005-0000-0000-0000C8840000}"/>
    <cellStyle name="货币 2 2 11 5 7" xfId="3343" xr:uid="{00000000-0005-0000-0000-00003F0D0000}"/>
    <cellStyle name="货币 2 2 11 5 8" xfId="3765" xr:uid="{00000000-0005-0000-0000-0000E50E0000}"/>
    <cellStyle name="货币 2 2 11 5 9" xfId="4078" xr:uid="{00000000-0005-0000-0000-00001E100000}"/>
    <cellStyle name="货币 2 2 11 6" xfId="2995" xr:uid="{00000000-0005-0000-0000-0000E30B0000}"/>
    <cellStyle name="货币 2 2 11 6 2" xfId="33946" xr:uid="{00000000-0005-0000-0000-0000CA840000}"/>
    <cellStyle name="货币 2 2 11 6 2 2" xfId="33949" xr:uid="{00000000-0005-0000-0000-0000CD840000}"/>
    <cellStyle name="货币 2 2 11 6 3" xfId="33951" xr:uid="{00000000-0005-0000-0000-0000CF840000}"/>
    <cellStyle name="货币 2 2 11 6 4" xfId="33954" xr:uid="{00000000-0005-0000-0000-0000D2840000}"/>
    <cellStyle name="货币 2 2 11 6 5" xfId="33956" xr:uid="{00000000-0005-0000-0000-0000D4840000}"/>
    <cellStyle name="货币 2 2 11 6 6" xfId="33958" xr:uid="{00000000-0005-0000-0000-0000D6840000}"/>
    <cellStyle name="货币 2 2 11 6 7" xfId="13372" xr:uid="{00000000-0005-0000-0000-00006C340000}"/>
    <cellStyle name="货币 2 2 11 6 8" xfId="18626" xr:uid="{00000000-0005-0000-0000-0000F2480000}"/>
    <cellStyle name="货币 2 2 11 6 9" xfId="18628" xr:uid="{00000000-0005-0000-0000-0000F4480000}"/>
    <cellStyle name="货币 2 2 11 7" xfId="3012" xr:uid="{00000000-0005-0000-0000-0000F40B0000}"/>
    <cellStyle name="货币 2 2 11 7 2" xfId="33959" xr:uid="{00000000-0005-0000-0000-0000D7840000}"/>
    <cellStyle name="货币 2 2 11 7 3" xfId="33960" xr:uid="{00000000-0005-0000-0000-0000D8840000}"/>
    <cellStyle name="货币 2 2 11 7 4" xfId="6962" xr:uid="{00000000-0005-0000-0000-0000621B0000}"/>
    <cellStyle name="货币 2 2 11 7 5" xfId="6978" xr:uid="{00000000-0005-0000-0000-0000721B0000}"/>
    <cellStyle name="货币 2 2 11 7 6" xfId="6989" xr:uid="{00000000-0005-0000-0000-00007D1B0000}"/>
    <cellStyle name="货币 2 2 11 8" xfId="33961" xr:uid="{00000000-0005-0000-0000-0000D9840000}"/>
    <cellStyle name="货币 2 2 11 9" xfId="33962" xr:uid="{00000000-0005-0000-0000-0000DA840000}"/>
    <cellStyle name="货币 2 2 12" xfId="24900" xr:uid="{00000000-0005-0000-0000-000074610000}"/>
    <cellStyle name="货币 2 2 12 10" xfId="33963" xr:uid="{00000000-0005-0000-0000-0000DB840000}"/>
    <cellStyle name="货币 2 2 12 11" xfId="33964" xr:uid="{00000000-0005-0000-0000-0000DC840000}"/>
    <cellStyle name="货币 2 2 12 12" xfId="33965" xr:uid="{00000000-0005-0000-0000-0000DD840000}"/>
    <cellStyle name="货币 2 2 12 13" xfId="33966" xr:uid="{00000000-0005-0000-0000-0000DE840000}"/>
    <cellStyle name="货币 2 2 12 14" xfId="33967" xr:uid="{00000000-0005-0000-0000-0000DF840000}"/>
    <cellStyle name="货币 2 2 12 15" xfId="33968" xr:uid="{00000000-0005-0000-0000-0000E0840000}"/>
    <cellStyle name="货币 2 2 12 16" xfId="33969" xr:uid="{00000000-0005-0000-0000-0000E1840000}"/>
    <cellStyle name="货币 2 2 12 17" xfId="17996" xr:uid="{00000000-0005-0000-0000-00007C460000}"/>
    <cellStyle name="货币 2 2 12 18" xfId="14447" xr:uid="{00000000-0005-0000-0000-00009F380000}"/>
    <cellStyle name="货币 2 2 12 2" xfId="16171" xr:uid="{00000000-0005-0000-0000-00005B3F0000}"/>
    <cellStyle name="货币 2 2 12 2 10" xfId="32438" xr:uid="{00000000-0005-0000-0000-0000E67E0000}"/>
    <cellStyle name="货币 2 2 12 2 11" xfId="32441" xr:uid="{00000000-0005-0000-0000-0000E97E0000}"/>
    <cellStyle name="货币 2 2 12 2 12" xfId="32444" xr:uid="{00000000-0005-0000-0000-0000EC7E0000}"/>
    <cellStyle name="货币 2 2 12 2 2" xfId="12998" xr:uid="{00000000-0005-0000-0000-0000F6320000}"/>
    <cellStyle name="货币 2 2 12 2 2 2" xfId="33971" xr:uid="{00000000-0005-0000-0000-0000E3840000}"/>
    <cellStyle name="货币 2 2 12 2 2 2 2" xfId="33972" xr:uid="{00000000-0005-0000-0000-0000E4840000}"/>
    <cellStyle name="货币 2 2 12 2 2 3" xfId="33974" xr:uid="{00000000-0005-0000-0000-0000E6840000}"/>
    <cellStyle name="货币 2 2 12 2 2 4" xfId="33975" xr:uid="{00000000-0005-0000-0000-0000E7840000}"/>
    <cellStyle name="货币 2 2 12 2 2 5" xfId="32109" xr:uid="{00000000-0005-0000-0000-00009D7D0000}"/>
    <cellStyle name="货币 2 2 12 2 3" xfId="13002" xr:uid="{00000000-0005-0000-0000-0000FA320000}"/>
    <cellStyle name="货币 2 2 12 2 3 2" xfId="33976" xr:uid="{00000000-0005-0000-0000-0000E8840000}"/>
    <cellStyle name="货币 2 2 12 2 4" xfId="33977" xr:uid="{00000000-0005-0000-0000-0000E9840000}"/>
    <cellStyle name="货币 2 2 12 2 5" xfId="33978" xr:uid="{00000000-0005-0000-0000-0000EA840000}"/>
    <cellStyle name="货币 2 2 12 2 6" xfId="33979" xr:uid="{00000000-0005-0000-0000-0000EB840000}"/>
    <cellStyle name="货币 2 2 12 2 7" xfId="33980" xr:uid="{00000000-0005-0000-0000-0000EC840000}"/>
    <cellStyle name="货币 2 2 12 2 8" xfId="33981" xr:uid="{00000000-0005-0000-0000-0000ED840000}"/>
    <cellStyle name="货币 2 2 12 2 9" xfId="33983" xr:uid="{00000000-0005-0000-0000-0000EF840000}"/>
    <cellStyle name="货币 2 2 12 3" xfId="16178" xr:uid="{00000000-0005-0000-0000-0000623F0000}"/>
    <cellStyle name="货币 2 2 12 3 10" xfId="26816" xr:uid="{00000000-0005-0000-0000-0000F0680000}"/>
    <cellStyle name="货币 2 2 12 3 11" xfId="33984" xr:uid="{00000000-0005-0000-0000-0000F0840000}"/>
    <cellStyle name="货币 2 2 12 3 2" xfId="33985" xr:uid="{00000000-0005-0000-0000-0000F1840000}"/>
    <cellStyle name="货币 2 2 12 3 2 2" xfId="33989" xr:uid="{00000000-0005-0000-0000-0000F5840000}"/>
    <cellStyle name="货币 2 2 12 3 3" xfId="33990" xr:uid="{00000000-0005-0000-0000-0000F6840000}"/>
    <cellStyle name="货币 2 2 12 3 4" xfId="33991" xr:uid="{00000000-0005-0000-0000-0000F7840000}"/>
    <cellStyle name="货币 2 2 12 3 5" xfId="33992" xr:uid="{00000000-0005-0000-0000-0000F8840000}"/>
    <cellStyle name="货币 2 2 12 3 6" xfId="33993" xr:uid="{00000000-0005-0000-0000-0000F9840000}"/>
    <cellStyle name="货币 2 2 12 3 7" xfId="33994" xr:uid="{00000000-0005-0000-0000-0000FA840000}"/>
    <cellStyle name="货币 2 2 12 3 8" xfId="33995" xr:uid="{00000000-0005-0000-0000-0000FB840000}"/>
    <cellStyle name="货币 2 2 12 3 9" xfId="33996" xr:uid="{00000000-0005-0000-0000-0000FC840000}"/>
    <cellStyle name="货币 2 2 12 4" xfId="16184" xr:uid="{00000000-0005-0000-0000-0000683F0000}"/>
    <cellStyle name="货币 2 2 12 4 2" xfId="27734" xr:uid="{00000000-0005-0000-0000-0000866C0000}"/>
    <cellStyle name="货币 2 2 12 4 3" xfId="27736" xr:uid="{00000000-0005-0000-0000-0000886C0000}"/>
    <cellStyle name="货币 2 2 12 4 4" xfId="27738" xr:uid="{00000000-0005-0000-0000-00008A6C0000}"/>
    <cellStyle name="货币 2 2 12 4 5" xfId="27740" xr:uid="{00000000-0005-0000-0000-00008C6C0000}"/>
    <cellStyle name="货币 2 2 12 4 6" xfId="27742" xr:uid="{00000000-0005-0000-0000-00008E6C0000}"/>
    <cellStyle name="货币 2 2 12 5" xfId="3102" xr:uid="{00000000-0005-0000-0000-00004E0C0000}"/>
    <cellStyle name="货币 2 2 12 5 2" xfId="33997" xr:uid="{00000000-0005-0000-0000-0000FD840000}"/>
    <cellStyle name="货币 2 2 12 5 3" xfId="33998" xr:uid="{00000000-0005-0000-0000-0000FE840000}"/>
    <cellStyle name="货币 2 2 12 5 4" xfId="33999" xr:uid="{00000000-0005-0000-0000-0000FF840000}"/>
    <cellStyle name="货币 2 2 12 5 5" xfId="34000" xr:uid="{00000000-0005-0000-0000-000000850000}"/>
    <cellStyle name="货币 2 2 12 5 6" xfId="34001" xr:uid="{00000000-0005-0000-0000-000001850000}"/>
    <cellStyle name="货币 2 2 12 6" xfId="4965" xr:uid="{00000000-0005-0000-0000-000095130000}"/>
    <cellStyle name="货币 2 2 12 6 2" xfId="34004" xr:uid="{00000000-0005-0000-0000-000004850000}"/>
    <cellStyle name="货币 2 2 12 6 3" xfId="34007" xr:uid="{00000000-0005-0000-0000-000007850000}"/>
    <cellStyle name="货币 2 2 12 6 4" xfId="34011" xr:uid="{00000000-0005-0000-0000-00000B850000}"/>
    <cellStyle name="货币 2 2 12 6 5" xfId="29563" xr:uid="{00000000-0005-0000-0000-0000AB730000}"/>
    <cellStyle name="货币 2 2 12 6 6" xfId="29566" xr:uid="{00000000-0005-0000-0000-0000AE730000}"/>
    <cellStyle name="货币 2 2 12 7" xfId="16187" xr:uid="{00000000-0005-0000-0000-00006B3F0000}"/>
    <cellStyle name="货币 2 2 12 8" xfId="4640" xr:uid="{00000000-0005-0000-0000-000050120000}"/>
    <cellStyle name="货币 2 2 12 9" xfId="4650" xr:uid="{00000000-0005-0000-0000-00005A120000}"/>
    <cellStyle name="货币 2 2 13" xfId="24902" xr:uid="{00000000-0005-0000-0000-000076610000}"/>
    <cellStyle name="货币 2 2 13 10" xfId="34012" xr:uid="{00000000-0005-0000-0000-00000C850000}"/>
    <cellStyle name="货币 2 2 13 11" xfId="34013" xr:uid="{00000000-0005-0000-0000-00000D850000}"/>
    <cellStyle name="货币 2 2 13 12" xfId="34014" xr:uid="{00000000-0005-0000-0000-00000E850000}"/>
    <cellStyle name="货币 2 2 13 13" xfId="34015" xr:uid="{00000000-0005-0000-0000-00000F850000}"/>
    <cellStyle name="货币 2 2 13 14" xfId="25230" xr:uid="{00000000-0005-0000-0000-0000BE620000}"/>
    <cellStyle name="货币 2 2 13 15" xfId="18215" xr:uid="{00000000-0005-0000-0000-000057470000}"/>
    <cellStyle name="货币 2 2 13 16" xfId="18222" xr:uid="{00000000-0005-0000-0000-00005E470000}"/>
    <cellStyle name="货币 2 2 13 17" xfId="18228" xr:uid="{00000000-0005-0000-0000-000064470000}"/>
    <cellStyle name="货币 2 2 13 18" xfId="18234" xr:uid="{00000000-0005-0000-0000-00006A470000}"/>
    <cellStyle name="货币 2 2 13 2" xfId="16243" xr:uid="{00000000-0005-0000-0000-0000A33F0000}"/>
    <cellStyle name="货币 2 2 13 2 10" xfId="5420" xr:uid="{00000000-0005-0000-0000-00005C150000}"/>
    <cellStyle name="货币 2 2 13 2 2" xfId="25618" xr:uid="{00000000-0005-0000-0000-000042640000}"/>
    <cellStyle name="货币 2 2 13 2 2 2" xfId="34017" xr:uid="{00000000-0005-0000-0000-000011850000}"/>
    <cellStyle name="货币 2 2 13 2 3" xfId="25621" xr:uid="{00000000-0005-0000-0000-000045640000}"/>
    <cellStyle name="货币 2 2 13 2 4" xfId="25625" xr:uid="{00000000-0005-0000-0000-000049640000}"/>
    <cellStyle name="货币 2 2 13 2 5" xfId="25628" xr:uid="{00000000-0005-0000-0000-00004C640000}"/>
    <cellStyle name="货币 2 2 13 2 6" xfId="29534" xr:uid="{00000000-0005-0000-0000-00008E730000}"/>
    <cellStyle name="货币 2 2 13 2 7" xfId="29536" xr:uid="{00000000-0005-0000-0000-000090730000}"/>
    <cellStyle name="货币 2 2 13 2 8" xfId="29539" xr:uid="{00000000-0005-0000-0000-000093730000}"/>
    <cellStyle name="货币 2 2 13 2 9" xfId="34018" xr:uid="{00000000-0005-0000-0000-000012850000}"/>
    <cellStyle name="货币 2 2 13 3" xfId="16251" xr:uid="{00000000-0005-0000-0000-0000AB3F0000}"/>
    <cellStyle name="货币 2 2 13 3 2" xfId="34020" xr:uid="{00000000-0005-0000-0000-000014850000}"/>
    <cellStyle name="货币 2 2 13 3 3" xfId="34021" xr:uid="{00000000-0005-0000-0000-000015850000}"/>
    <cellStyle name="货币 2 2 13 3 4" xfId="34022" xr:uid="{00000000-0005-0000-0000-000016850000}"/>
    <cellStyle name="货币 2 2 13 3 5" xfId="34023" xr:uid="{00000000-0005-0000-0000-000017850000}"/>
    <cellStyle name="货币 2 2 13 3 6" xfId="15437" xr:uid="{00000000-0005-0000-0000-00007D3C0000}"/>
    <cellStyle name="货币 2 2 13 4" xfId="7524" xr:uid="{00000000-0005-0000-0000-0000941D0000}"/>
    <cellStyle name="货币 2 2 13 4 2" xfId="34024" xr:uid="{00000000-0005-0000-0000-000018850000}"/>
    <cellStyle name="货币 2 2 13 4 3" xfId="34025" xr:uid="{00000000-0005-0000-0000-000019850000}"/>
    <cellStyle name="货币 2 2 13 4 4" xfId="34026" xr:uid="{00000000-0005-0000-0000-00001A850000}"/>
    <cellStyle name="货币 2 2 13 4 5" xfId="34027" xr:uid="{00000000-0005-0000-0000-00001B850000}"/>
    <cellStyle name="货币 2 2 13 4 6" xfId="34028" xr:uid="{00000000-0005-0000-0000-00001C850000}"/>
    <cellStyle name="货币 2 2 13 5" xfId="3128" xr:uid="{00000000-0005-0000-0000-0000680C0000}"/>
    <cellStyle name="货币 2 2 13 5 2" xfId="34029" xr:uid="{00000000-0005-0000-0000-00001D850000}"/>
    <cellStyle name="货币 2 2 13 5 3" xfId="7036" xr:uid="{00000000-0005-0000-0000-0000AC1B0000}"/>
    <cellStyle name="货币 2 2 13 5 4" xfId="34030" xr:uid="{00000000-0005-0000-0000-00001E850000}"/>
    <cellStyle name="货币 2 2 13 5 5" xfId="34032" xr:uid="{00000000-0005-0000-0000-000020850000}"/>
    <cellStyle name="货币 2 2 13 5 6" xfId="34033" xr:uid="{00000000-0005-0000-0000-000021850000}"/>
    <cellStyle name="货币 2 2 13 6" xfId="4985" xr:uid="{00000000-0005-0000-0000-0000A9130000}"/>
    <cellStyle name="货币 2 2 13 6 2" xfId="15200" xr:uid="{00000000-0005-0000-0000-0000903B0000}"/>
    <cellStyle name="货币 2 2 13 6 3" xfId="7047" xr:uid="{00000000-0005-0000-0000-0000B71B0000}"/>
    <cellStyle name="货币 2 2 13 6 4" xfId="30082" xr:uid="{00000000-0005-0000-0000-0000B2750000}"/>
    <cellStyle name="货币 2 2 13 6 5" xfId="34035" xr:uid="{00000000-0005-0000-0000-000023850000}"/>
    <cellStyle name="货币 2 2 13 6 6" xfId="29124" xr:uid="{00000000-0005-0000-0000-0000F4710000}"/>
    <cellStyle name="货币 2 2 13 7" xfId="16254" xr:uid="{00000000-0005-0000-0000-0000AE3F0000}"/>
    <cellStyle name="货币 2 2 13 8" xfId="109" xr:uid="{00000000-0005-0000-0000-000076000000}"/>
    <cellStyle name="货币 2 2 13 9" xfId="34036" xr:uid="{00000000-0005-0000-0000-000024850000}"/>
    <cellStyle name="货币 2 2 14" xfId="24904" xr:uid="{00000000-0005-0000-0000-000078610000}"/>
    <cellStyle name="货币 2 2 14 10" xfId="21473" xr:uid="{00000000-0005-0000-0000-000011540000}"/>
    <cellStyle name="货币 2 2 14 11" xfId="21475" xr:uid="{00000000-0005-0000-0000-000013540000}"/>
    <cellStyle name="货币 2 2 14 12" xfId="20326" xr:uid="{00000000-0005-0000-0000-0000964F0000}"/>
    <cellStyle name="货币 2 2 14 13" xfId="20331" xr:uid="{00000000-0005-0000-0000-00009B4F0000}"/>
    <cellStyle name="货币 2 2 14 14" xfId="20335" xr:uid="{00000000-0005-0000-0000-00009F4F0000}"/>
    <cellStyle name="货币 2 2 14 15" xfId="20339" xr:uid="{00000000-0005-0000-0000-0000A34F0000}"/>
    <cellStyle name="货币 2 2 14 2" xfId="16261" xr:uid="{00000000-0005-0000-0000-0000B53F0000}"/>
    <cellStyle name="货币 2 2 14 2 2" xfId="15279" xr:uid="{00000000-0005-0000-0000-0000DF3B0000}"/>
    <cellStyle name="货币 2 2 14 2 2 2" xfId="14281" xr:uid="{00000000-0005-0000-0000-0000F9370000}"/>
    <cellStyle name="货币 2 2 14 2 3" xfId="15282" xr:uid="{00000000-0005-0000-0000-0000E23B0000}"/>
    <cellStyle name="货币 2 2 14 2 4" xfId="6410" xr:uid="{00000000-0005-0000-0000-00003A190000}"/>
    <cellStyle name="货币 2 2 14 2 5" xfId="34038" xr:uid="{00000000-0005-0000-0000-000026850000}"/>
    <cellStyle name="货币 2 2 14 2 6" xfId="34040" xr:uid="{00000000-0005-0000-0000-000028850000}"/>
    <cellStyle name="货币 2 2 14 2 7" xfId="34043" xr:uid="{00000000-0005-0000-0000-00002B850000}"/>
    <cellStyle name="货币 2 2 14 2 8" xfId="34045" xr:uid="{00000000-0005-0000-0000-00002D850000}"/>
    <cellStyle name="货币 2 2 14 2 9" xfId="34046" xr:uid="{00000000-0005-0000-0000-00002E850000}"/>
    <cellStyle name="货币 2 2 14 3" xfId="16268" xr:uid="{00000000-0005-0000-0000-0000BC3F0000}"/>
    <cellStyle name="货币 2 2 14 3 2" xfId="15327" xr:uid="{00000000-0005-0000-0000-00000F3C0000}"/>
    <cellStyle name="货币 2 2 14 3 3" xfId="15332" xr:uid="{00000000-0005-0000-0000-0000143C0000}"/>
    <cellStyle name="货币 2 2 14 3 4" xfId="6421" xr:uid="{00000000-0005-0000-0000-000045190000}"/>
    <cellStyle name="货币 2 2 14 3 5" xfId="34048" xr:uid="{00000000-0005-0000-0000-000030850000}"/>
    <cellStyle name="货币 2 2 14 3 6" xfId="34050" xr:uid="{00000000-0005-0000-0000-000032850000}"/>
    <cellStyle name="货币 2 2 14 4" xfId="1175" xr:uid="{00000000-0005-0000-0000-0000C7040000}"/>
    <cellStyle name="货币 2 2 14 4 2" xfId="15361" xr:uid="{00000000-0005-0000-0000-0000313C0000}"/>
    <cellStyle name="货币 2 2 14 5" xfId="838" xr:uid="{00000000-0005-0000-0000-000076030000}"/>
    <cellStyle name="货币 2 2 14 6" xfId="4996" xr:uid="{00000000-0005-0000-0000-0000B4130000}"/>
    <cellStyle name="货币 2 2 14 7" xfId="16269" xr:uid="{00000000-0005-0000-0000-0000BD3F0000}"/>
    <cellStyle name="货币 2 2 14 8" xfId="4761" xr:uid="{00000000-0005-0000-0000-0000C9120000}"/>
    <cellStyle name="货币 2 2 14 9" xfId="33283" xr:uid="{00000000-0005-0000-0000-000033820000}"/>
    <cellStyle name="货币 2 2 15" xfId="24906" xr:uid="{00000000-0005-0000-0000-00007A610000}"/>
    <cellStyle name="货币 2 2 15 10" xfId="22768" xr:uid="{00000000-0005-0000-0000-000020590000}"/>
    <cellStyle name="货币 2 2 15 11" xfId="22770" xr:uid="{00000000-0005-0000-0000-000022590000}"/>
    <cellStyle name="货币 2 2 15 12" xfId="20468" xr:uid="{00000000-0005-0000-0000-000024500000}"/>
    <cellStyle name="货币 2 2 15 13" xfId="11861" xr:uid="{00000000-0005-0000-0000-0000852E0000}"/>
    <cellStyle name="货币 2 2 15 14" xfId="11873" xr:uid="{00000000-0005-0000-0000-0000912E0000}"/>
    <cellStyle name="货币 2 2 15 2" xfId="34052" xr:uid="{00000000-0005-0000-0000-000034850000}"/>
    <cellStyle name="货币 2 2 15 2 2" xfId="15462" xr:uid="{00000000-0005-0000-0000-0000963C0000}"/>
    <cellStyle name="货币 2 2 15 2 2 2" xfId="10436" xr:uid="{00000000-0005-0000-0000-0000F4280000}"/>
    <cellStyle name="货币 2 2 15 2 3" xfId="15465" xr:uid="{00000000-0005-0000-0000-0000993C0000}"/>
    <cellStyle name="货币 2 2 15 2 4" xfId="22793" xr:uid="{00000000-0005-0000-0000-000039590000}"/>
    <cellStyle name="货币 2 2 15 2 5" xfId="34054" xr:uid="{00000000-0005-0000-0000-000036850000}"/>
    <cellStyle name="货币 2 2 15 2 6" xfId="34055" xr:uid="{00000000-0005-0000-0000-000037850000}"/>
    <cellStyle name="货币 2 2 15 2 7" xfId="34056" xr:uid="{00000000-0005-0000-0000-000038850000}"/>
    <cellStyle name="货币 2 2 15 2 8" xfId="34057" xr:uid="{00000000-0005-0000-0000-000039850000}"/>
    <cellStyle name="货币 2 2 15 2 9" xfId="34058" xr:uid="{00000000-0005-0000-0000-00003A850000}"/>
    <cellStyle name="货币 2 2 15 3" xfId="34060" xr:uid="{00000000-0005-0000-0000-00003C850000}"/>
    <cellStyle name="货币 2 2 15 3 2" xfId="22808" xr:uid="{00000000-0005-0000-0000-000048590000}"/>
    <cellStyle name="货币 2 2 15 3 3" xfId="22810" xr:uid="{00000000-0005-0000-0000-00004A590000}"/>
    <cellStyle name="货币 2 2 15 3 4" xfId="22812" xr:uid="{00000000-0005-0000-0000-00004C590000}"/>
    <cellStyle name="货币 2 2 15 3 5" xfId="34062" xr:uid="{00000000-0005-0000-0000-00003E850000}"/>
    <cellStyle name="货币 2 2 15 3 6" xfId="34063" xr:uid="{00000000-0005-0000-0000-00003F850000}"/>
    <cellStyle name="货币 2 2 15 4" xfId="34065" xr:uid="{00000000-0005-0000-0000-000041850000}"/>
    <cellStyle name="货币 2 2 15 4 2" xfId="7033" xr:uid="{00000000-0005-0000-0000-0000A91B0000}"/>
    <cellStyle name="货币 2 2 15 5" xfId="34068" xr:uid="{00000000-0005-0000-0000-000044850000}"/>
    <cellStyle name="货币 2 2 15 6" xfId="34070" xr:uid="{00000000-0005-0000-0000-000046850000}"/>
    <cellStyle name="货币 2 2 15 7" xfId="34072" xr:uid="{00000000-0005-0000-0000-000048850000}"/>
    <cellStyle name="货币 2 2 15 8" xfId="4768" xr:uid="{00000000-0005-0000-0000-0000D0120000}"/>
    <cellStyle name="货币 2 2 15 9" xfId="34074" xr:uid="{00000000-0005-0000-0000-00004A850000}"/>
    <cellStyle name="货币 2 2 16" xfId="24909" xr:uid="{00000000-0005-0000-0000-00007D610000}"/>
    <cellStyle name="货币 2 2 16 10" xfId="19768" xr:uid="{00000000-0005-0000-0000-0000684D0000}"/>
    <cellStyle name="货币 2 2 16 2" xfId="23479" xr:uid="{00000000-0005-0000-0000-0000E75B0000}"/>
    <cellStyle name="货币 2 2 16 2 2" xfId="15536" xr:uid="{00000000-0005-0000-0000-0000E03C0000}"/>
    <cellStyle name="货币 2 2 16 2 2 2" xfId="14251" xr:uid="{00000000-0005-0000-0000-0000DB370000}"/>
    <cellStyle name="货币 2 2 16 2 3" xfId="15539" xr:uid="{00000000-0005-0000-0000-0000E33C0000}"/>
    <cellStyle name="货币 2 2 16 2 4" xfId="22908" xr:uid="{00000000-0005-0000-0000-0000AC590000}"/>
    <cellStyle name="货币 2 2 16 2 5" xfId="29763" xr:uid="{00000000-0005-0000-0000-000073740000}"/>
    <cellStyle name="货币 2 2 16 3" xfId="23484" xr:uid="{00000000-0005-0000-0000-0000EC5B0000}"/>
    <cellStyle name="货币 2 2 16 3 2" xfId="22925" xr:uid="{00000000-0005-0000-0000-0000BD590000}"/>
    <cellStyle name="货币 2 2 16 4" xfId="23489" xr:uid="{00000000-0005-0000-0000-0000F15B0000}"/>
    <cellStyle name="货币 2 2 16 5" xfId="23490" xr:uid="{00000000-0005-0000-0000-0000F25B0000}"/>
    <cellStyle name="货币 2 2 16 6" xfId="23493" xr:uid="{00000000-0005-0000-0000-0000F55B0000}"/>
    <cellStyle name="货币 2 2 16 7" xfId="34075" xr:uid="{00000000-0005-0000-0000-00004B850000}"/>
    <cellStyle name="货币 2 2 16 8" xfId="4776" xr:uid="{00000000-0005-0000-0000-0000D8120000}"/>
    <cellStyle name="货币 2 2 16 9" xfId="34076" xr:uid="{00000000-0005-0000-0000-00004C850000}"/>
    <cellStyle name="货币 2 2 17" xfId="24913" xr:uid="{00000000-0005-0000-0000-000081610000}"/>
    <cellStyle name="货币 2 2 17 2" xfId="34078" xr:uid="{00000000-0005-0000-0000-00004E850000}"/>
    <cellStyle name="货币 2 2 17 2 2" xfId="13492" xr:uid="{00000000-0005-0000-0000-0000E4340000}"/>
    <cellStyle name="货币 2 2 17 3" xfId="34080" xr:uid="{00000000-0005-0000-0000-000050850000}"/>
    <cellStyle name="货币 2 2 17 4" xfId="34082" xr:uid="{00000000-0005-0000-0000-000052850000}"/>
    <cellStyle name="货币 2 2 17 5" xfId="15816" xr:uid="{00000000-0005-0000-0000-0000F83D0000}"/>
    <cellStyle name="货币 2 2 17 6" xfId="15823" xr:uid="{00000000-0005-0000-0000-0000FF3D0000}"/>
    <cellStyle name="货币 2 2 17 7" xfId="15826" xr:uid="{00000000-0005-0000-0000-0000023E0000}"/>
    <cellStyle name="货币 2 2 17 8" xfId="4794" xr:uid="{00000000-0005-0000-0000-0000EA120000}"/>
    <cellStyle name="货币 2 2 17 9" xfId="20963" xr:uid="{00000000-0005-0000-0000-000013520000}"/>
    <cellStyle name="货币 2 2 18" xfId="24916" xr:uid="{00000000-0005-0000-0000-000084610000}"/>
    <cellStyle name="货币 2 2 18 2" xfId="25931" xr:uid="{00000000-0005-0000-0000-00007B650000}"/>
    <cellStyle name="货币 2 2 18 2 2" xfId="15643" xr:uid="{00000000-0005-0000-0000-00004B3D0000}"/>
    <cellStyle name="货币 2 2 18 3" xfId="34083" xr:uid="{00000000-0005-0000-0000-000053850000}"/>
    <cellStyle name="货币 2 2 18 4" xfId="34085" xr:uid="{00000000-0005-0000-0000-000055850000}"/>
    <cellStyle name="货币 2 2 18 5" xfId="15829" xr:uid="{00000000-0005-0000-0000-0000053E0000}"/>
    <cellStyle name="货币 2 2 18 6" xfId="24443" xr:uid="{00000000-0005-0000-0000-0000AB5F0000}"/>
    <cellStyle name="货币 2 2 18 7" xfId="24450" xr:uid="{00000000-0005-0000-0000-0000B25F0000}"/>
    <cellStyle name="货币 2 2 18 8" xfId="297" xr:uid="{00000000-0005-0000-0000-00003D010000}"/>
    <cellStyle name="货币 2 2 18 9" xfId="24455" xr:uid="{00000000-0005-0000-0000-0000B75F0000}"/>
    <cellStyle name="货币 2 2 19" xfId="24920" xr:uid="{00000000-0005-0000-0000-000088610000}"/>
    <cellStyle name="货币 2 2 19 2" xfId="34087" xr:uid="{00000000-0005-0000-0000-000057850000}"/>
    <cellStyle name="货币 2 2 19 3" xfId="34088" xr:uid="{00000000-0005-0000-0000-000058850000}"/>
    <cellStyle name="货币 2 2 19 4" xfId="34089" xr:uid="{00000000-0005-0000-0000-000059850000}"/>
    <cellStyle name="货币 2 2 19 5" xfId="34090" xr:uid="{00000000-0005-0000-0000-00005A850000}"/>
    <cellStyle name="货币 2 2 19 6" xfId="24482" xr:uid="{00000000-0005-0000-0000-0000D25F0000}"/>
    <cellStyle name="货币 2 2 2" xfId="3191" xr:uid="{00000000-0005-0000-0000-0000A70C0000}"/>
    <cellStyle name="货币 2 2 2 10" xfId="34091" xr:uid="{00000000-0005-0000-0000-00005B850000}"/>
    <cellStyle name="货币 2 2 2 10 10" xfId="34093" xr:uid="{00000000-0005-0000-0000-00005D850000}"/>
    <cellStyle name="货币 2 2 2 10 11" xfId="34095" xr:uid="{00000000-0005-0000-0000-00005F850000}"/>
    <cellStyle name="货币 2 2 2 10 12" xfId="34098" xr:uid="{00000000-0005-0000-0000-000062850000}"/>
    <cellStyle name="货币 2 2 2 10 13" xfId="24513" xr:uid="{00000000-0005-0000-0000-0000F15F0000}"/>
    <cellStyle name="货币 2 2 2 10 14" xfId="34099" xr:uid="{00000000-0005-0000-0000-000063850000}"/>
    <cellStyle name="货币 2 2 2 10 15" xfId="34100" xr:uid="{00000000-0005-0000-0000-000064850000}"/>
    <cellStyle name="货币 2 2 2 10 2" xfId="34102" xr:uid="{00000000-0005-0000-0000-000066850000}"/>
    <cellStyle name="货币 2 2 2 10 2 2" xfId="5808" xr:uid="{00000000-0005-0000-0000-0000E0160000}"/>
    <cellStyle name="货币 2 2 2 10 2 2 2" xfId="26299" xr:uid="{00000000-0005-0000-0000-0000EB660000}"/>
    <cellStyle name="货币 2 2 2 10 2 3" xfId="34105" xr:uid="{00000000-0005-0000-0000-000069850000}"/>
    <cellStyle name="货币 2 2 2 10 2 4" xfId="34108" xr:uid="{00000000-0005-0000-0000-00006C850000}"/>
    <cellStyle name="货币 2 2 2 10 2 5" xfId="34110" xr:uid="{00000000-0005-0000-0000-00006E850000}"/>
    <cellStyle name="货币 2 2 2 10 2 6" xfId="34112" xr:uid="{00000000-0005-0000-0000-000070850000}"/>
    <cellStyle name="货币 2 2 2 10 2 7" xfId="34114" xr:uid="{00000000-0005-0000-0000-000072850000}"/>
    <cellStyle name="货币 2 2 2 10 2 8" xfId="34115" xr:uid="{00000000-0005-0000-0000-000073850000}"/>
    <cellStyle name="货币 2 2 2 10 2 9" xfId="34117" xr:uid="{00000000-0005-0000-0000-000075850000}"/>
    <cellStyle name="货币 2 2 2 10 3" xfId="34119" xr:uid="{00000000-0005-0000-0000-000077850000}"/>
    <cellStyle name="货币 2 2 2 10 3 2" xfId="11892" xr:uid="{00000000-0005-0000-0000-0000A42E0000}"/>
    <cellStyle name="货币 2 2 2 10 3 3" xfId="34122" xr:uid="{00000000-0005-0000-0000-00007A850000}"/>
    <cellStyle name="货币 2 2 2 10 3 4" xfId="34125" xr:uid="{00000000-0005-0000-0000-00007D850000}"/>
    <cellStyle name="货币 2 2 2 10 3 5" xfId="34127" xr:uid="{00000000-0005-0000-0000-00007F850000}"/>
    <cellStyle name="货币 2 2 2 10 3 6" xfId="34129" xr:uid="{00000000-0005-0000-0000-000081850000}"/>
    <cellStyle name="货币 2 2 2 10 4" xfId="34131" xr:uid="{00000000-0005-0000-0000-000083850000}"/>
    <cellStyle name="货币 2 2 2 10 4 2" xfId="16684" xr:uid="{00000000-0005-0000-0000-00005C410000}"/>
    <cellStyle name="货币 2 2 2 10 5" xfId="34133" xr:uid="{00000000-0005-0000-0000-000085850000}"/>
    <cellStyle name="货币 2 2 2 10 6" xfId="34135" xr:uid="{00000000-0005-0000-0000-000087850000}"/>
    <cellStyle name="货币 2 2 2 10 7" xfId="34137" xr:uid="{00000000-0005-0000-0000-000089850000}"/>
    <cellStyle name="货币 2 2 2 10 8" xfId="34138" xr:uid="{00000000-0005-0000-0000-00008A850000}"/>
    <cellStyle name="货币 2 2 2 10 9" xfId="34139" xr:uid="{00000000-0005-0000-0000-00008B850000}"/>
    <cellStyle name="货币 2 2 2 11" xfId="34140" xr:uid="{00000000-0005-0000-0000-00008C850000}"/>
    <cellStyle name="货币 2 2 2 11 10" xfId="13870" xr:uid="{00000000-0005-0000-0000-00005E360000}"/>
    <cellStyle name="货币 2 2 2 11 11" xfId="13875" xr:uid="{00000000-0005-0000-0000-000063360000}"/>
    <cellStyle name="货币 2 2 2 11 12" xfId="34141" xr:uid="{00000000-0005-0000-0000-00008D850000}"/>
    <cellStyle name="货币 2 2 2 11 13" xfId="34142" xr:uid="{00000000-0005-0000-0000-00008E850000}"/>
    <cellStyle name="货币 2 2 2 11 14" xfId="15344" xr:uid="{00000000-0005-0000-0000-0000203C0000}"/>
    <cellStyle name="货币 2 2 2 11 2" xfId="34146" xr:uid="{00000000-0005-0000-0000-000092850000}"/>
    <cellStyle name="货币 2 2 2 11 2 2" xfId="17108" xr:uid="{00000000-0005-0000-0000-000004430000}"/>
    <cellStyle name="货币 2 2 2 11 2 2 2" xfId="27440" xr:uid="{00000000-0005-0000-0000-0000606B0000}"/>
    <cellStyle name="货币 2 2 2 11 2 3" xfId="34149" xr:uid="{00000000-0005-0000-0000-000095850000}"/>
    <cellStyle name="货币 2 2 2 11 2 4" xfId="34153" xr:uid="{00000000-0005-0000-0000-000099850000}"/>
    <cellStyle name="货币 2 2 2 11 2 5" xfId="34155" xr:uid="{00000000-0005-0000-0000-00009B850000}"/>
    <cellStyle name="货币 2 2 2 11 2 6" xfId="34156" xr:uid="{00000000-0005-0000-0000-00009C850000}"/>
    <cellStyle name="货币 2 2 2 11 2 7" xfId="34157" xr:uid="{00000000-0005-0000-0000-00009D850000}"/>
    <cellStyle name="货币 2 2 2 11 2 8" xfId="12880" xr:uid="{00000000-0005-0000-0000-000080320000}"/>
    <cellStyle name="货币 2 2 2 11 2 9" xfId="12993" xr:uid="{00000000-0005-0000-0000-0000F1320000}"/>
    <cellStyle name="货币 2 2 2 11 3" xfId="34161" xr:uid="{00000000-0005-0000-0000-0000A1850000}"/>
    <cellStyle name="货币 2 2 2 11 3 2" xfId="15724" xr:uid="{00000000-0005-0000-0000-00009C3D0000}"/>
    <cellStyle name="货币 2 2 2 11 3 3" xfId="34164" xr:uid="{00000000-0005-0000-0000-0000A4850000}"/>
    <cellStyle name="货币 2 2 2 11 3 4" xfId="34167" xr:uid="{00000000-0005-0000-0000-0000A7850000}"/>
    <cellStyle name="货币 2 2 2 11 3 5" xfId="34169" xr:uid="{00000000-0005-0000-0000-0000A9850000}"/>
    <cellStyle name="货币 2 2 2 11 3 6" xfId="34170" xr:uid="{00000000-0005-0000-0000-0000AA850000}"/>
    <cellStyle name="货币 2 2 2 11 4" xfId="33658" xr:uid="{00000000-0005-0000-0000-0000AA830000}"/>
    <cellStyle name="货币 2 2 2 11 4 2" xfId="2115" xr:uid="{00000000-0005-0000-0000-000073080000}"/>
    <cellStyle name="货币 2 2 2 11 5" xfId="33662" xr:uid="{00000000-0005-0000-0000-0000AE830000}"/>
    <cellStyle name="货币 2 2 2 11 6" xfId="33667" xr:uid="{00000000-0005-0000-0000-0000B3830000}"/>
    <cellStyle name="货币 2 2 2 11 7" xfId="33672" xr:uid="{00000000-0005-0000-0000-0000B8830000}"/>
    <cellStyle name="货币 2 2 2 11 8" xfId="33674" xr:uid="{00000000-0005-0000-0000-0000BA830000}"/>
    <cellStyle name="货币 2 2 2 11 9" xfId="33678" xr:uid="{00000000-0005-0000-0000-0000BE830000}"/>
    <cellStyle name="货币 2 2 2 12" xfId="34171" xr:uid="{00000000-0005-0000-0000-0000AB850000}"/>
    <cellStyle name="货币 2 2 2 12 10" xfId="34172" xr:uid="{00000000-0005-0000-0000-0000AC850000}"/>
    <cellStyle name="货币 2 2 2 12 2" xfId="257" xr:uid="{00000000-0005-0000-0000-000012010000}"/>
    <cellStyle name="货币 2 2 2 12 2 2" xfId="732" xr:uid="{00000000-0005-0000-0000-00000C030000}"/>
    <cellStyle name="货币 2 2 2 12 2 2 2" xfId="34173" xr:uid="{00000000-0005-0000-0000-0000AD850000}"/>
    <cellStyle name="货币 2 2 2 12 2 3" xfId="34174" xr:uid="{00000000-0005-0000-0000-0000AE850000}"/>
    <cellStyle name="货币 2 2 2 12 2 4" xfId="34175" xr:uid="{00000000-0005-0000-0000-0000AF850000}"/>
    <cellStyle name="货币 2 2 2 12 2 5" xfId="34176" xr:uid="{00000000-0005-0000-0000-0000B0850000}"/>
    <cellStyle name="货币 2 2 2 12 3" xfId="34179" xr:uid="{00000000-0005-0000-0000-0000B3850000}"/>
    <cellStyle name="货币 2 2 2 12 3 2" xfId="34180" xr:uid="{00000000-0005-0000-0000-0000B4850000}"/>
    <cellStyle name="货币 2 2 2 12 4" xfId="33687" xr:uid="{00000000-0005-0000-0000-0000C7830000}"/>
    <cellStyle name="货币 2 2 2 12 5" xfId="33689" xr:uid="{00000000-0005-0000-0000-0000C9830000}"/>
    <cellStyle name="货币 2 2 2 12 6" xfId="33692" xr:uid="{00000000-0005-0000-0000-0000CC830000}"/>
    <cellStyle name="货币 2 2 2 12 7" xfId="33696" xr:uid="{00000000-0005-0000-0000-0000D0830000}"/>
    <cellStyle name="货币 2 2 2 12 8" xfId="33699" xr:uid="{00000000-0005-0000-0000-0000D3830000}"/>
    <cellStyle name="货币 2 2 2 12 9" xfId="12381" xr:uid="{00000000-0005-0000-0000-00008D300000}"/>
    <cellStyle name="货币 2 2 2 13" xfId="34181" xr:uid="{00000000-0005-0000-0000-0000B5850000}"/>
    <cellStyle name="货币 2 2 2 13 2" xfId="3725" xr:uid="{00000000-0005-0000-0000-0000BD0E0000}"/>
    <cellStyle name="货币 2 2 2 13 2 2" xfId="28276" xr:uid="{00000000-0005-0000-0000-0000A46E0000}"/>
    <cellStyle name="货币 2 2 2 13 3" xfId="34184" xr:uid="{00000000-0005-0000-0000-0000B8850000}"/>
    <cellStyle name="货币 2 2 2 13 4" xfId="33704" xr:uid="{00000000-0005-0000-0000-0000D8830000}"/>
    <cellStyle name="货币 2 2 2 13 5" xfId="33707" xr:uid="{00000000-0005-0000-0000-0000DB830000}"/>
    <cellStyle name="货币 2 2 2 13 6" xfId="33710" xr:uid="{00000000-0005-0000-0000-0000DE830000}"/>
    <cellStyle name="货币 2 2 2 13 7" xfId="33714" xr:uid="{00000000-0005-0000-0000-0000E2830000}"/>
    <cellStyle name="货币 2 2 2 13 8" xfId="33717" xr:uid="{00000000-0005-0000-0000-0000E5830000}"/>
    <cellStyle name="货币 2 2 2 13 9" xfId="14941" xr:uid="{00000000-0005-0000-0000-00008D3A0000}"/>
    <cellStyle name="货币 2 2 2 14" xfId="34185" xr:uid="{00000000-0005-0000-0000-0000B9850000}"/>
    <cellStyle name="货币 2 2 2 14 2" xfId="25985" xr:uid="{00000000-0005-0000-0000-0000B1650000}"/>
    <cellStyle name="货币 2 2 2 14 2 2" xfId="24412" xr:uid="{00000000-0005-0000-0000-00008C5F0000}"/>
    <cellStyle name="货币 2 2 2 14 3" xfId="25988" xr:uid="{00000000-0005-0000-0000-0000B4650000}"/>
    <cellStyle name="货币 2 2 2 14 4" xfId="25991" xr:uid="{00000000-0005-0000-0000-0000B7650000}"/>
    <cellStyle name="货币 2 2 2 14 5" xfId="25994" xr:uid="{00000000-0005-0000-0000-0000BA650000}"/>
    <cellStyle name="货币 2 2 2 14 6" xfId="25997" xr:uid="{00000000-0005-0000-0000-0000BD650000}"/>
    <cellStyle name="货币 2 2 2 14 7" xfId="26001" xr:uid="{00000000-0005-0000-0000-0000C1650000}"/>
    <cellStyle name="货币 2 2 2 14 8" xfId="33721" xr:uid="{00000000-0005-0000-0000-0000E9830000}"/>
    <cellStyle name="货币 2 2 2 14 9" xfId="34186" xr:uid="{00000000-0005-0000-0000-0000BA850000}"/>
    <cellStyle name="货币 2 2 2 15" xfId="34187" xr:uid="{00000000-0005-0000-0000-0000BB850000}"/>
    <cellStyle name="货币 2 2 2 15 2" xfId="24827" xr:uid="{00000000-0005-0000-0000-00002B610000}"/>
    <cellStyle name="货币 2 2 2 15 3" xfId="24830" xr:uid="{00000000-0005-0000-0000-00002E610000}"/>
    <cellStyle name="货币 2 2 2 15 4" xfId="33726" xr:uid="{00000000-0005-0000-0000-0000EE830000}"/>
    <cellStyle name="货币 2 2 2 15 5" xfId="33728" xr:uid="{00000000-0005-0000-0000-0000F0830000}"/>
    <cellStyle name="货币 2 2 2 15 6" xfId="33730" xr:uid="{00000000-0005-0000-0000-0000F2830000}"/>
    <cellStyle name="货币 2 2 2 16" xfId="34189" xr:uid="{00000000-0005-0000-0000-0000BD850000}"/>
    <cellStyle name="货币 2 2 2 16 2" xfId="34191" xr:uid="{00000000-0005-0000-0000-0000BF850000}"/>
    <cellStyle name="货币 2 2 2 16 3" xfId="34192" xr:uid="{00000000-0005-0000-0000-0000C0850000}"/>
    <cellStyle name="货币 2 2 2 16 4" xfId="34193" xr:uid="{00000000-0005-0000-0000-0000C1850000}"/>
    <cellStyle name="货币 2 2 2 16 5" xfId="10945" xr:uid="{00000000-0005-0000-0000-0000F12A0000}"/>
    <cellStyle name="货币 2 2 2 16 6" xfId="2577" xr:uid="{00000000-0005-0000-0000-0000410A0000}"/>
    <cellStyle name="货币 2 2 2 17" xfId="34194" xr:uid="{00000000-0005-0000-0000-0000C2850000}"/>
    <cellStyle name="货币 2 2 2 18" xfId="34196" xr:uid="{00000000-0005-0000-0000-0000C4850000}"/>
    <cellStyle name="货币 2 2 2 19" xfId="34199" xr:uid="{00000000-0005-0000-0000-0000C7850000}"/>
    <cellStyle name="货币 2 2 2 2" xfId="5800" xr:uid="{00000000-0005-0000-0000-0000D8160000}"/>
    <cellStyle name="货币 2 2 2 2 10" xfId="34202" xr:uid="{00000000-0005-0000-0000-0000CA850000}"/>
    <cellStyle name="货币 2 2 2 2 10 10" xfId="28243" xr:uid="{00000000-0005-0000-0000-0000836E0000}"/>
    <cellStyle name="货币 2 2 2 2 10 11" xfId="21588" xr:uid="{00000000-0005-0000-0000-000084540000}"/>
    <cellStyle name="货币 2 2 2 2 10 12" xfId="28249" xr:uid="{00000000-0005-0000-0000-0000896E0000}"/>
    <cellStyle name="货币 2 2 2 2 10 13" xfId="28252" xr:uid="{00000000-0005-0000-0000-00008C6E0000}"/>
    <cellStyle name="货币 2 2 2 2 10 14" xfId="12630" xr:uid="{00000000-0005-0000-0000-000086310000}"/>
    <cellStyle name="货币 2 2 2 2 10 2" xfId="34203" xr:uid="{00000000-0005-0000-0000-0000CB850000}"/>
    <cellStyle name="货币 2 2 2 2 10 2 2" xfId="34205" xr:uid="{00000000-0005-0000-0000-0000CD850000}"/>
    <cellStyle name="货币 2 2 2 2 10 2 2 2" xfId="34207" xr:uid="{00000000-0005-0000-0000-0000CF850000}"/>
    <cellStyle name="货币 2 2 2 2 10 2 3" xfId="34209" xr:uid="{00000000-0005-0000-0000-0000D1850000}"/>
    <cellStyle name="货币 2 2 2 2 10 2 4" xfId="29187" xr:uid="{00000000-0005-0000-0000-000033720000}"/>
    <cellStyle name="货币 2 2 2 2 10 2 5" xfId="34210" xr:uid="{00000000-0005-0000-0000-0000D2850000}"/>
    <cellStyle name="货币 2 2 2 2 10 2 6" xfId="34211" xr:uid="{00000000-0005-0000-0000-0000D3850000}"/>
    <cellStyle name="货币 2 2 2 2 10 2 7" xfId="34212" xr:uid="{00000000-0005-0000-0000-0000D4850000}"/>
    <cellStyle name="货币 2 2 2 2 10 2 8" xfId="34213" xr:uid="{00000000-0005-0000-0000-0000D5850000}"/>
    <cellStyle name="货币 2 2 2 2 10 2 9" xfId="34215" xr:uid="{00000000-0005-0000-0000-0000D7850000}"/>
    <cellStyle name="货币 2 2 2 2 10 3" xfId="34216" xr:uid="{00000000-0005-0000-0000-0000D8850000}"/>
    <cellStyle name="货币 2 2 2 2 10 3 2" xfId="34218" xr:uid="{00000000-0005-0000-0000-0000DA850000}"/>
    <cellStyle name="货币 2 2 2 2 10 3 3" xfId="34219" xr:uid="{00000000-0005-0000-0000-0000DB850000}"/>
    <cellStyle name="货币 2 2 2 2 10 3 4" xfId="34220" xr:uid="{00000000-0005-0000-0000-0000DC850000}"/>
    <cellStyle name="货币 2 2 2 2 10 3 5" xfId="34221" xr:uid="{00000000-0005-0000-0000-0000DD850000}"/>
    <cellStyle name="货币 2 2 2 2 10 3 6" xfId="34222" xr:uid="{00000000-0005-0000-0000-0000DE850000}"/>
    <cellStyle name="货币 2 2 2 2 10 4" xfId="34223" xr:uid="{00000000-0005-0000-0000-0000DF850000}"/>
    <cellStyle name="货币 2 2 2 2 10 4 2" xfId="34226" xr:uid="{00000000-0005-0000-0000-0000E2850000}"/>
    <cellStyle name="货币 2 2 2 2 10 5" xfId="7811" xr:uid="{00000000-0005-0000-0000-0000B31E0000}"/>
    <cellStyle name="货币 2 2 2 2 10 6" xfId="7823" xr:uid="{00000000-0005-0000-0000-0000BF1E0000}"/>
    <cellStyle name="货币 2 2 2 2 10 7" xfId="7839" xr:uid="{00000000-0005-0000-0000-0000CF1E0000}"/>
    <cellStyle name="货币 2 2 2 2 10 8" xfId="26445" xr:uid="{00000000-0005-0000-0000-00007D670000}"/>
    <cellStyle name="货币 2 2 2 2 10 9" xfId="26539" xr:uid="{00000000-0005-0000-0000-0000DB670000}"/>
    <cellStyle name="货币 2 2 2 2 11" xfId="34227" xr:uid="{00000000-0005-0000-0000-0000E3850000}"/>
    <cellStyle name="货币 2 2 2 2 11 2" xfId="34229" xr:uid="{00000000-0005-0000-0000-0000E5850000}"/>
    <cellStyle name="货币 2 2 2 2 11 2 2" xfId="6637" xr:uid="{00000000-0005-0000-0000-00001D1A0000}"/>
    <cellStyle name="货币 2 2 2 2 11 3" xfId="34232" xr:uid="{00000000-0005-0000-0000-0000E8850000}"/>
    <cellStyle name="货币 2 2 2 2 11 4" xfId="34235" xr:uid="{00000000-0005-0000-0000-0000EB850000}"/>
    <cellStyle name="货币 2 2 2 2 11 5" xfId="34237" xr:uid="{00000000-0005-0000-0000-0000ED850000}"/>
    <cellStyle name="货币 2 2 2 2 11 6" xfId="34238" xr:uid="{00000000-0005-0000-0000-0000EE850000}"/>
    <cellStyle name="货币 2 2 2 2 11 7" xfId="34239" xr:uid="{00000000-0005-0000-0000-0000EF850000}"/>
    <cellStyle name="货币 2 2 2 2 11 8" xfId="26696" xr:uid="{00000000-0005-0000-0000-000078680000}"/>
    <cellStyle name="货币 2 2 2 2 11 9" xfId="26771" xr:uid="{00000000-0005-0000-0000-0000C3680000}"/>
    <cellStyle name="货币 2 2 2 2 12" xfId="34240" xr:uid="{00000000-0005-0000-0000-0000F0850000}"/>
    <cellStyle name="货币 2 2 2 2 12 2" xfId="34242" xr:uid="{00000000-0005-0000-0000-0000F2850000}"/>
    <cellStyle name="货币 2 2 2 2 12 3" xfId="34243" xr:uid="{00000000-0005-0000-0000-0000F3850000}"/>
    <cellStyle name="货币 2 2 2 2 12 4" xfId="34244" xr:uid="{00000000-0005-0000-0000-0000F4850000}"/>
    <cellStyle name="货币 2 2 2 2 12 5" xfId="34245" xr:uid="{00000000-0005-0000-0000-0000F5850000}"/>
    <cellStyle name="货币 2 2 2 2 12 6" xfId="8004" xr:uid="{00000000-0005-0000-0000-0000741F0000}"/>
    <cellStyle name="货币 2 2 2 2 13" xfId="30422" xr:uid="{00000000-0005-0000-0000-000006770000}"/>
    <cellStyle name="货币 2 2 2 2 13 2" xfId="30427" xr:uid="{00000000-0005-0000-0000-00000B770000}"/>
    <cellStyle name="货币 2 2 2 2 13 3" xfId="34246" xr:uid="{00000000-0005-0000-0000-0000F6850000}"/>
    <cellStyle name="货币 2 2 2 2 13 4" xfId="34247" xr:uid="{00000000-0005-0000-0000-0000F7850000}"/>
    <cellStyle name="货币 2 2 2 2 13 5" xfId="34248" xr:uid="{00000000-0005-0000-0000-0000F8850000}"/>
    <cellStyle name="货币 2 2 2 2 13 6" xfId="8045" xr:uid="{00000000-0005-0000-0000-00009D1F0000}"/>
    <cellStyle name="货币 2 2 2 2 14" xfId="30429" xr:uid="{00000000-0005-0000-0000-00000D770000}"/>
    <cellStyle name="货币 2 2 2 2 14 2" xfId="34250" xr:uid="{00000000-0005-0000-0000-0000FA850000}"/>
    <cellStyle name="货币 2 2 2 2 14 3" xfId="1784" xr:uid="{00000000-0005-0000-0000-000028070000}"/>
    <cellStyle name="货币 2 2 2 2 14 4" xfId="5705" xr:uid="{00000000-0005-0000-0000-000079160000}"/>
    <cellStyle name="货币 2 2 2 2 14 5" xfId="25428" xr:uid="{00000000-0005-0000-0000-000084630000}"/>
    <cellStyle name="货币 2 2 2 2 14 6" xfId="8099" xr:uid="{00000000-0005-0000-0000-0000D31F0000}"/>
    <cellStyle name="货币 2 2 2 2 15" xfId="34251" xr:uid="{00000000-0005-0000-0000-0000FB850000}"/>
    <cellStyle name="货币 2 2 2 2 15 2" xfId="34254" xr:uid="{00000000-0005-0000-0000-0000FE850000}"/>
    <cellStyle name="货币 2 2 2 2 15 3" xfId="34255" xr:uid="{00000000-0005-0000-0000-0000FF850000}"/>
    <cellStyle name="货币 2 2 2 2 15 4" xfId="32724" xr:uid="{00000000-0005-0000-0000-000004800000}"/>
    <cellStyle name="货币 2 2 2 2 15 5" xfId="6836" xr:uid="{00000000-0005-0000-0000-0000E41A0000}"/>
    <cellStyle name="货币 2 2 2 2 15 6" xfId="25506" xr:uid="{00000000-0005-0000-0000-0000D2630000}"/>
    <cellStyle name="货币 2 2 2 2 16" xfId="34256" xr:uid="{00000000-0005-0000-0000-000000860000}"/>
    <cellStyle name="货币 2 2 2 2 17" xfId="34258" xr:uid="{00000000-0005-0000-0000-000002860000}"/>
    <cellStyle name="货币 2 2 2 2 18" xfId="34260" xr:uid="{00000000-0005-0000-0000-000004860000}"/>
    <cellStyle name="货币 2 2 2 2 19" xfId="34262" xr:uid="{00000000-0005-0000-0000-000006860000}"/>
    <cellStyle name="货币 2 2 2 2 2" xfId="34264" xr:uid="{00000000-0005-0000-0000-000008860000}"/>
    <cellStyle name="货币 2 2 2 2 2 10" xfId="33930" xr:uid="{00000000-0005-0000-0000-0000BA840000}"/>
    <cellStyle name="货币 2 2 2 2 2 10 2" xfId="34265" xr:uid="{00000000-0005-0000-0000-000009860000}"/>
    <cellStyle name="货币 2 2 2 2 2 10 3" xfId="34267" xr:uid="{00000000-0005-0000-0000-00000B860000}"/>
    <cellStyle name="货币 2 2 2 2 2 10 4" xfId="34269" xr:uid="{00000000-0005-0000-0000-00000D860000}"/>
    <cellStyle name="货币 2 2 2 2 2 10 5" xfId="34271" xr:uid="{00000000-0005-0000-0000-00000F860000}"/>
    <cellStyle name="货币 2 2 2 2 2 10 6" xfId="34273" xr:uid="{00000000-0005-0000-0000-000011860000}"/>
    <cellStyle name="货币 2 2 2 2 2 11" xfId="34275" xr:uid="{00000000-0005-0000-0000-000013860000}"/>
    <cellStyle name="货币 2 2 2 2 2 11 2" xfId="34277" xr:uid="{00000000-0005-0000-0000-000015860000}"/>
    <cellStyle name="货币 2 2 2 2 2 11 3" xfId="34279" xr:uid="{00000000-0005-0000-0000-000017860000}"/>
    <cellStyle name="货币 2 2 2 2 2 11 4" xfId="34281" xr:uid="{00000000-0005-0000-0000-000019860000}"/>
    <cellStyle name="货币 2 2 2 2 2 11 5" xfId="34283" xr:uid="{00000000-0005-0000-0000-00001B860000}"/>
    <cellStyle name="货币 2 2 2 2 2 11 6" xfId="34285" xr:uid="{00000000-0005-0000-0000-00001D860000}"/>
    <cellStyle name="货币 2 2 2 2 2 12" xfId="34286" xr:uid="{00000000-0005-0000-0000-00001E860000}"/>
    <cellStyle name="货币 2 2 2 2 2 13" xfId="34287" xr:uid="{00000000-0005-0000-0000-00001F860000}"/>
    <cellStyle name="货币 2 2 2 2 2 14" xfId="34288" xr:uid="{00000000-0005-0000-0000-000020860000}"/>
    <cellStyle name="货币 2 2 2 2 2 15" xfId="34289" xr:uid="{00000000-0005-0000-0000-000021860000}"/>
    <cellStyle name="货币 2 2 2 2 2 16" xfId="34291" xr:uid="{00000000-0005-0000-0000-000023860000}"/>
    <cellStyle name="货币 2 2 2 2 2 17" xfId="4397" xr:uid="{00000000-0005-0000-0000-00005D110000}"/>
    <cellStyle name="货币 2 2 2 2 2 18" xfId="34294" xr:uid="{00000000-0005-0000-0000-000026860000}"/>
    <cellStyle name="货币 2 2 2 2 2 19" xfId="34299" xr:uid="{00000000-0005-0000-0000-00002B860000}"/>
    <cellStyle name="货币 2 2 2 2 2 2" xfId="34300" xr:uid="{00000000-0005-0000-0000-00002C860000}"/>
    <cellStyle name="货币 2 2 2 2 2 2 10" xfId="17149" xr:uid="{00000000-0005-0000-0000-00002D430000}"/>
    <cellStyle name="货币 2 2 2 2 2 2 11" xfId="17151" xr:uid="{00000000-0005-0000-0000-00002F430000}"/>
    <cellStyle name="货币 2 2 2 2 2 2 12" xfId="8585" xr:uid="{00000000-0005-0000-0000-0000B9210000}"/>
    <cellStyle name="货币 2 2 2 2 2 2 13" xfId="17153" xr:uid="{00000000-0005-0000-0000-000031430000}"/>
    <cellStyle name="货币 2 2 2 2 2 2 14" xfId="12520" xr:uid="{00000000-0005-0000-0000-000018310000}"/>
    <cellStyle name="货币 2 2 2 2 2 2 15" xfId="12524" xr:uid="{00000000-0005-0000-0000-00001C310000}"/>
    <cellStyle name="货币 2 2 2 2 2 2 16" xfId="12528" xr:uid="{00000000-0005-0000-0000-000020310000}"/>
    <cellStyle name="货币 2 2 2 2 2 2 17" xfId="12531" xr:uid="{00000000-0005-0000-0000-000023310000}"/>
    <cellStyle name="货币 2 2 2 2 2 2 18" xfId="12534" xr:uid="{00000000-0005-0000-0000-000026310000}"/>
    <cellStyle name="货币 2 2 2 2 2 2 2" xfId="34301" xr:uid="{00000000-0005-0000-0000-00002D860000}"/>
    <cellStyle name="货币 2 2 2 2 2 2 2 10" xfId="25932" xr:uid="{00000000-0005-0000-0000-00007C650000}"/>
    <cellStyle name="货币 2 2 2 2 2 2 2 11" xfId="34084" xr:uid="{00000000-0005-0000-0000-000054850000}"/>
    <cellStyle name="货币 2 2 2 2 2 2 2 12" xfId="34086" xr:uid="{00000000-0005-0000-0000-000056850000}"/>
    <cellStyle name="货币 2 2 2 2 2 2 2 2" xfId="34302" xr:uid="{00000000-0005-0000-0000-00002E860000}"/>
    <cellStyle name="货币 2 2 2 2 2 2 2 2 2" xfId="34304" xr:uid="{00000000-0005-0000-0000-000030860000}"/>
    <cellStyle name="货币 2 2 2 2 2 2 2 2 2 2" xfId="34305" xr:uid="{00000000-0005-0000-0000-000031860000}"/>
    <cellStyle name="货币 2 2 2 2 2 2 2 2 3" xfId="34307" xr:uid="{00000000-0005-0000-0000-000033860000}"/>
    <cellStyle name="货币 2 2 2 2 2 2 2 2 4" xfId="25266" xr:uid="{00000000-0005-0000-0000-0000E2620000}"/>
    <cellStyle name="货币 2 2 2 2 2 2 2 2 5" xfId="18657" xr:uid="{00000000-0005-0000-0000-000011490000}"/>
    <cellStyle name="货币 2 2 2 2 2 2 2 3" xfId="34308" xr:uid="{00000000-0005-0000-0000-000034860000}"/>
    <cellStyle name="货币 2 2 2 2 2 2 2 3 2" xfId="34310" xr:uid="{00000000-0005-0000-0000-000036860000}"/>
    <cellStyle name="货币 2 2 2 2 2 2 2 4" xfId="34311" xr:uid="{00000000-0005-0000-0000-000037860000}"/>
    <cellStyle name="货币 2 2 2 2 2 2 2 5" xfId="25906" xr:uid="{00000000-0005-0000-0000-000062650000}"/>
    <cellStyle name="货币 2 2 2 2 2 2 2 6" xfId="20762" xr:uid="{00000000-0005-0000-0000-00004A510000}"/>
    <cellStyle name="货币 2 2 2 2 2 2 2 7" xfId="20767" xr:uid="{00000000-0005-0000-0000-00004F510000}"/>
    <cellStyle name="货币 2 2 2 2 2 2 2 8" xfId="20772" xr:uid="{00000000-0005-0000-0000-000054510000}"/>
    <cellStyle name="货币 2 2 2 2 2 2 2 9" xfId="20778" xr:uid="{00000000-0005-0000-0000-00005A510000}"/>
    <cellStyle name="货币 2 2 2 2 2 2 3" xfId="10093" xr:uid="{00000000-0005-0000-0000-00009D270000}"/>
    <cellStyle name="货币 2 2 2 2 2 2 3 10" xfId="34313" xr:uid="{00000000-0005-0000-0000-000039860000}"/>
    <cellStyle name="货币 2 2 2 2 2 2 3 11" xfId="34317" xr:uid="{00000000-0005-0000-0000-00003D860000}"/>
    <cellStyle name="货币 2 2 2 2 2 2 3 12" xfId="34321" xr:uid="{00000000-0005-0000-0000-000041860000}"/>
    <cellStyle name="货币 2 2 2 2 2 2 3 2" xfId="9230" xr:uid="{00000000-0005-0000-0000-00003E240000}"/>
    <cellStyle name="货币 2 2 2 2 2 2 3 2 2" xfId="34324" xr:uid="{00000000-0005-0000-0000-000044860000}"/>
    <cellStyle name="货币 2 2 2 2 2 2 3 2 2 2" xfId="34325" xr:uid="{00000000-0005-0000-0000-000045860000}"/>
    <cellStyle name="货币 2 2 2 2 2 2 3 2 3" xfId="8808" xr:uid="{00000000-0005-0000-0000-000098220000}"/>
    <cellStyle name="货币 2 2 2 2 2 2 3 2 4" xfId="8812" xr:uid="{00000000-0005-0000-0000-00009C220000}"/>
    <cellStyle name="货币 2 2 2 2 2 2 3 2 5" xfId="12745" xr:uid="{00000000-0005-0000-0000-0000F9310000}"/>
    <cellStyle name="货币 2 2 2 2 2 2 3 3" xfId="34326" xr:uid="{00000000-0005-0000-0000-000046860000}"/>
    <cellStyle name="货币 2 2 2 2 2 2 3 3 2" xfId="34327" xr:uid="{00000000-0005-0000-0000-000047860000}"/>
    <cellStyle name="货币 2 2 2 2 2 2 3 4" xfId="34328" xr:uid="{00000000-0005-0000-0000-000048860000}"/>
    <cellStyle name="货币 2 2 2 2 2 2 3 5" xfId="25908" xr:uid="{00000000-0005-0000-0000-000064650000}"/>
    <cellStyle name="货币 2 2 2 2 2 2 3 6" xfId="20801" xr:uid="{00000000-0005-0000-0000-000071510000}"/>
    <cellStyle name="货币 2 2 2 2 2 2 3 7" xfId="20805" xr:uid="{00000000-0005-0000-0000-000075510000}"/>
    <cellStyle name="货币 2 2 2 2 2 2 3 8" xfId="17571" xr:uid="{00000000-0005-0000-0000-0000D3440000}"/>
    <cellStyle name="货币 2 2 2 2 2 2 3 9" xfId="15209" xr:uid="{00000000-0005-0000-0000-0000993B0000}"/>
    <cellStyle name="货币 2 2 2 2 2 2 4" xfId="10096" xr:uid="{00000000-0005-0000-0000-0000A0270000}"/>
    <cellStyle name="货币 2 2 2 2 2 2 4 10" xfId="29014" xr:uid="{00000000-0005-0000-0000-000086710000}"/>
    <cellStyle name="货币 2 2 2 2 2 2 4 2" xfId="34330" xr:uid="{00000000-0005-0000-0000-00004A860000}"/>
    <cellStyle name="货币 2 2 2 2 2 2 4 2 2" xfId="34331" xr:uid="{00000000-0005-0000-0000-00004B860000}"/>
    <cellStyle name="货币 2 2 2 2 2 2 4 2 2 2" xfId="28127" xr:uid="{00000000-0005-0000-0000-00000F6E0000}"/>
    <cellStyle name="货币 2 2 2 2 2 2 4 2 3" xfId="34332" xr:uid="{00000000-0005-0000-0000-00004C860000}"/>
    <cellStyle name="货币 2 2 2 2 2 2 4 2 4" xfId="34333" xr:uid="{00000000-0005-0000-0000-00004D860000}"/>
    <cellStyle name="货币 2 2 2 2 2 2 4 2 5" xfId="34334" xr:uid="{00000000-0005-0000-0000-00004E860000}"/>
    <cellStyle name="货币 2 2 2 2 2 2 4 3" xfId="34336" xr:uid="{00000000-0005-0000-0000-000050860000}"/>
    <cellStyle name="货币 2 2 2 2 2 2 4 3 2" xfId="34337" xr:uid="{00000000-0005-0000-0000-000051860000}"/>
    <cellStyle name="货币 2 2 2 2 2 2 4 4" xfId="34338" xr:uid="{00000000-0005-0000-0000-000052860000}"/>
    <cellStyle name="货币 2 2 2 2 2 2 4 5" xfId="25914" xr:uid="{00000000-0005-0000-0000-00006A650000}"/>
    <cellStyle name="货币 2 2 2 2 2 2 4 6" xfId="20811" xr:uid="{00000000-0005-0000-0000-00007B510000}"/>
    <cellStyle name="货币 2 2 2 2 2 2 4 7" xfId="20815" xr:uid="{00000000-0005-0000-0000-00007F510000}"/>
    <cellStyle name="货币 2 2 2 2 2 2 4 8" xfId="17579" xr:uid="{00000000-0005-0000-0000-0000DB440000}"/>
    <cellStyle name="货币 2 2 2 2 2 2 4 9" xfId="20819" xr:uid="{00000000-0005-0000-0000-000083510000}"/>
    <cellStyle name="货币 2 2 2 2 2 2 5" xfId="10099" xr:uid="{00000000-0005-0000-0000-0000A3270000}"/>
    <cellStyle name="货币 2 2 2 2 2 2 5 10" xfId="34341" xr:uid="{00000000-0005-0000-0000-000055860000}"/>
    <cellStyle name="货币 2 2 2 2 2 2 5 2" xfId="34342" xr:uid="{00000000-0005-0000-0000-000056860000}"/>
    <cellStyle name="货币 2 2 2 2 2 2 5 2 2" xfId="34343" xr:uid="{00000000-0005-0000-0000-000057860000}"/>
    <cellStyle name="货币 2 2 2 2 2 2 5 2 2 2" xfId="29827" xr:uid="{00000000-0005-0000-0000-0000B3740000}"/>
    <cellStyle name="货币 2 2 2 2 2 2 5 2 3" xfId="34344" xr:uid="{00000000-0005-0000-0000-000058860000}"/>
    <cellStyle name="货币 2 2 2 2 2 2 5 2 4" xfId="34345" xr:uid="{00000000-0005-0000-0000-000059860000}"/>
    <cellStyle name="货币 2 2 2 2 2 2 5 2 5" xfId="8667" xr:uid="{00000000-0005-0000-0000-00000B220000}"/>
    <cellStyle name="货币 2 2 2 2 2 2 5 3" xfId="34346" xr:uid="{00000000-0005-0000-0000-00005A860000}"/>
    <cellStyle name="货币 2 2 2 2 2 2 5 3 2" xfId="34347" xr:uid="{00000000-0005-0000-0000-00005B860000}"/>
    <cellStyle name="货币 2 2 2 2 2 2 5 4" xfId="34348" xr:uid="{00000000-0005-0000-0000-00005C860000}"/>
    <cellStyle name="货币 2 2 2 2 2 2 5 5" xfId="16196" xr:uid="{00000000-0005-0000-0000-0000743F0000}"/>
    <cellStyle name="货币 2 2 2 2 2 2 5 6" xfId="16206" xr:uid="{00000000-0005-0000-0000-00007E3F0000}"/>
    <cellStyle name="货币 2 2 2 2 2 2 5 7" xfId="16214" xr:uid="{00000000-0005-0000-0000-0000863F0000}"/>
    <cellStyle name="货币 2 2 2 2 2 2 5 8" xfId="16219" xr:uid="{00000000-0005-0000-0000-00008B3F0000}"/>
    <cellStyle name="货币 2 2 2 2 2 2 5 9" xfId="25917" xr:uid="{00000000-0005-0000-0000-00006D650000}"/>
    <cellStyle name="货币 2 2 2 2 2 2 6" xfId="10102" xr:uid="{00000000-0005-0000-0000-0000A6270000}"/>
    <cellStyle name="货币 2 2 2 2 2 2 6 2" xfId="34349" xr:uid="{00000000-0005-0000-0000-00005D860000}"/>
    <cellStyle name="货币 2 2 2 2 2 2 6 2 2" xfId="34350" xr:uid="{00000000-0005-0000-0000-00005E860000}"/>
    <cellStyle name="货币 2 2 2 2 2 2 6 3" xfId="34351" xr:uid="{00000000-0005-0000-0000-00005F860000}"/>
    <cellStyle name="货币 2 2 2 2 2 2 6 4" xfId="34352" xr:uid="{00000000-0005-0000-0000-000060860000}"/>
    <cellStyle name="货币 2 2 2 2 2 2 6 5" xfId="16231" xr:uid="{00000000-0005-0000-0000-0000973F0000}"/>
    <cellStyle name="货币 2 2 2 2 2 2 6 6" xfId="25600" xr:uid="{00000000-0005-0000-0000-000030640000}"/>
    <cellStyle name="货币 2 2 2 2 2 2 6 7" xfId="25605" xr:uid="{00000000-0005-0000-0000-000035640000}"/>
    <cellStyle name="货币 2 2 2 2 2 2 6 8" xfId="25609" xr:uid="{00000000-0005-0000-0000-000039640000}"/>
    <cellStyle name="货币 2 2 2 2 2 2 6 9" xfId="25919" xr:uid="{00000000-0005-0000-0000-00006F650000}"/>
    <cellStyle name="货币 2 2 2 2 2 2 7" xfId="10106" xr:uid="{00000000-0005-0000-0000-0000AA270000}"/>
    <cellStyle name="货币 2 2 2 2 2 2 7 2" xfId="34353" xr:uid="{00000000-0005-0000-0000-000061860000}"/>
    <cellStyle name="货币 2 2 2 2 2 2 8" xfId="10109" xr:uid="{00000000-0005-0000-0000-0000AD270000}"/>
    <cellStyle name="货币 2 2 2 2 2 2 9" xfId="10119" xr:uid="{00000000-0005-0000-0000-0000B7270000}"/>
    <cellStyle name="货币 2 2 2 2 2 20" xfId="34290" xr:uid="{00000000-0005-0000-0000-000022860000}"/>
    <cellStyle name="货币 2 2 2 2 2 21" xfId="34292" xr:uid="{00000000-0005-0000-0000-000024860000}"/>
    <cellStyle name="货币 2 2 2 2 2 22" xfId="4398" xr:uid="{00000000-0005-0000-0000-00005E110000}"/>
    <cellStyle name="货币 2 2 2 2 2 23" xfId="34295" xr:uid="{00000000-0005-0000-0000-000027860000}"/>
    <cellStyle name="货币 2 2 2 2 2 3" xfId="34354" xr:uid="{00000000-0005-0000-0000-000062860000}"/>
    <cellStyle name="货币 2 2 2 2 2 3 10" xfId="34356" xr:uid="{00000000-0005-0000-0000-000064860000}"/>
    <cellStyle name="货币 2 2 2 2 2 3 11" xfId="34358" xr:uid="{00000000-0005-0000-0000-000066860000}"/>
    <cellStyle name="货币 2 2 2 2 2 3 12" xfId="34360" xr:uid="{00000000-0005-0000-0000-000068860000}"/>
    <cellStyle name="货币 2 2 2 2 2 3 13" xfId="34362" xr:uid="{00000000-0005-0000-0000-00006A860000}"/>
    <cellStyle name="货币 2 2 2 2 2 3 14" xfId="34364" xr:uid="{00000000-0005-0000-0000-00006C860000}"/>
    <cellStyle name="货币 2 2 2 2 2 3 15" xfId="34365" xr:uid="{00000000-0005-0000-0000-00006D860000}"/>
    <cellStyle name="货币 2 2 2 2 2 3 16" xfId="34366" xr:uid="{00000000-0005-0000-0000-00006E860000}"/>
    <cellStyle name="货币 2 2 2 2 2 3 17" xfId="34367" xr:uid="{00000000-0005-0000-0000-00006F860000}"/>
    <cellStyle name="货币 2 2 2 2 2 3 18" xfId="34368" xr:uid="{00000000-0005-0000-0000-000070860000}"/>
    <cellStyle name="货币 2 2 2 2 2 3 2" xfId="34370" xr:uid="{00000000-0005-0000-0000-000072860000}"/>
    <cellStyle name="货币 2 2 2 2 2 3 2 10" xfId="34372" xr:uid="{00000000-0005-0000-0000-000074860000}"/>
    <cellStyle name="货币 2 2 2 2 2 3 2 2" xfId="34373" xr:uid="{00000000-0005-0000-0000-000075860000}"/>
    <cellStyle name="货币 2 2 2 2 2 3 2 2 2" xfId="34376" xr:uid="{00000000-0005-0000-0000-000078860000}"/>
    <cellStyle name="货币 2 2 2 2 2 3 2 3" xfId="34378" xr:uid="{00000000-0005-0000-0000-00007A860000}"/>
    <cellStyle name="货币 2 2 2 2 2 3 2 4" xfId="34381" xr:uid="{00000000-0005-0000-0000-00007D860000}"/>
    <cellStyle name="货币 2 2 2 2 2 3 2 5" xfId="23316" xr:uid="{00000000-0005-0000-0000-0000445B0000}"/>
    <cellStyle name="货币 2 2 2 2 2 3 2 6" xfId="20835" xr:uid="{00000000-0005-0000-0000-000093510000}"/>
    <cellStyle name="货币 2 2 2 2 2 3 2 7" xfId="20846" xr:uid="{00000000-0005-0000-0000-00009E510000}"/>
    <cellStyle name="货币 2 2 2 2 2 3 2 8" xfId="20853" xr:uid="{00000000-0005-0000-0000-0000A5510000}"/>
    <cellStyle name="货币 2 2 2 2 2 3 2 9" xfId="20858" xr:uid="{00000000-0005-0000-0000-0000AA510000}"/>
    <cellStyle name="货币 2 2 2 2 2 3 3" xfId="10135" xr:uid="{00000000-0005-0000-0000-0000C7270000}"/>
    <cellStyle name="货币 2 2 2 2 2 3 3 2" xfId="25904" xr:uid="{00000000-0005-0000-0000-000060650000}"/>
    <cellStyle name="货币 2 2 2 2 2 3 3 3" xfId="34384" xr:uid="{00000000-0005-0000-0000-000080860000}"/>
    <cellStyle name="货币 2 2 2 2 2 3 3 4" xfId="34385" xr:uid="{00000000-0005-0000-0000-000081860000}"/>
    <cellStyle name="货币 2 2 2 2 2 3 3 5" xfId="25935" xr:uid="{00000000-0005-0000-0000-00007F650000}"/>
    <cellStyle name="货币 2 2 2 2 2 3 3 6" xfId="20861" xr:uid="{00000000-0005-0000-0000-0000AD510000}"/>
    <cellStyle name="货币 2 2 2 2 2 3 4" xfId="34387" xr:uid="{00000000-0005-0000-0000-000083860000}"/>
    <cellStyle name="货币 2 2 2 2 2 3 4 2" xfId="34388" xr:uid="{00000000-0005-0000-0000-000084860000}"/>
    <cellStyle name="货币 2 2 2 2 2 3 4 3" xfId="34389" xr:uid="{00000000-0005-0000-0000-000085860000}"/>
    <cellStyle name="货币 2 2 2 2 2 3 4 4" xfId="34390" xr:uid="{00000000-0005-0000-0000-000086860000}"/>
    <cellStyle name="货币 2 2 2 2 2 3 4 5" xfId="25939" xr:uid="{00000000-0005-0000-0000-000083650000}"/>
    <cellStyle name="货币 2 2 2 2 2 3 4 6" xfId="34391" xr:uid="{00000000-0005-0000-0000-000087860000}"/>
    <cellStyle name="货币 2 2 2 2 2 3 5" xfId="34393" xr:uid="{00000000-0005-0000-0000-000089860000}"/>
    <cellStyle name="货币 2 2 2 2 2 3 5 2" xfId="34394" xr:uid="{00000000-0005-0000-0000-00008A860000}"/>
    <cellStyle name="货币 2 2 2 2 2 3 5 3" xfId="34395" xr:uid="{00000000-0005-0000-0000-00008B860000}"/>
    <cellStyle name="货币 2 2 2 2 2 3 5 4" xfId="11512" xr:uid="{00000000-0005-0000-0000-0000282D0000}"/>
    <cellStyle name="货币 2 2 2 2 2 3 5 5" xfId="11515" xr:uid="{00000000-0005-0000-0000-00002B2D0000}"/>
    <cellStyle name="货币 2 2 2 2 2 3 5 6" xfId="11520" xr:uid="{00000000-0005-0000-0000-0000302D0000}"/>
    <cellStyle name="货币 2 2 2 2 2 3 6" xfId="34396" xr:uid="{00000000-0005-0000-0000-00008C860000}"/>
    <cellStyle name="货币 2 2 2 2 2 3 6 2" xfId="34397" xr:uid="{00000000-0005-0000-0000-00008D860000}"/>
    <cellStyle name="货币 2 2 2 2 2 3 6 3" xfId="34398" xr:uid="{00000000-0005-0000-0000-00008E860000}"/>
    <cellStyle name="货币 2 2 2 2 2 3 6 4" xfId="34400" xr:uid="{00000000-0005-0000-0000-000090860000}"/>
    <cellStyle name="货币 2 2 2 2 2 3 6 5" xfId="34401" xr:uid="{00000000-0005-0000-0000-000091860000}"/>
    <cellStyle name="货币 2 2 2 2 2 3 6 6" xfId="34402" xr:uid="{00000000-0005-0000-0000-000092860000}"/>
    <cellStyle name="货币 2 2 2 2 2 3 7" xfId="34403" xr:uid="{00000000-0005-0000-0000-000093860000}"/>
    <cellStyle name="货币 2 2 2 2 2 3 8" xfId="34404" xr:uid="{00000000-0005-0000-0000-000094860000}"/>
    <cellStyle name="货币 2 2 2 2 2 3 9" xfId="34405" xr:uid="{00000000-0005-0000-0000-000095860000}"/>
    <cellStyle name="货币 2 2 2 2 2 4" xfId="34406" xr:uid="{00000000-0005-0000-0000-000096860000}"/>
    <cellStyle name="货币 2 2 2 2 2 4 10" xfId="34408" xr:uid="{00000000-0005-0000-0000-000098860000}"/>
    <cellStyle name="货币 2 2 2 2 2 4 11" xfId="34409" xr:uid="{00000000-0005-0000-0000-000099860000}"/>
    <cellStyle name="货币 2 2 2 2 2 4 12" xfId="34410" xr:uid="{00000000-0005-0000-0000-00009A860000}"/>
    <cellStyle name="货币 2 2 2 2 2 4 13" xfId="34411" xr:uid="{00000000-0005-0000-0000-00009B860000}"/>
    <cellStyle name="货币 2 2 2 2 2 4 14" xfId="34412" xr:uid="{00000000-0005-0000-0000-00009C860000}"/>
    <cellStyle name="货币 2 2 2 2 2 4 15" xfId="34413" xr:uid="{00000000-0005-0000-0000-00009D860000}"/>
    <cellStyle name="货币 2 2 2 2 2 4 2" xfId="34416" xr:uid="{00000000-0005-0000-0000-0000A0860000}"/>
    <cellStyle name="货币 2 2 2 2 2 4 2 2" xfId="34417" xr:uid="{00000000-0005-0000-0000-0000A1860000}"/>
    <cellStyle name="货币 2 2 2 2 2 4 2 2 2" xfId="34418" xr:uid="{00000000-0005-0000-0000-0000A2860000}"/>
    <cellStyle name="货币 2 2 2 2 2 4 2 3" xfId="34419" xr:uid="{00000000-0005-0000-0000-0000A3860000}"/>
    <cellStyle name="货币 2 2 2 2 2 4 2 4" xfId="33912" xr:uid="{00000000-0005-0000-0000-0000A8840000}"/>
    <cellStyle name="货币 2 2 2 2 2 4 2 5" xfId="25950" xr:uid="{00000000-0005-0000-0000-00008E650000}"/>
    <cellStyle name="货币 2 2 2 2 2 4 2 6" xfId="20873" xr:uid="{00000000-0005-0000-0000-0000B9510000}"/>
    <cellStyle name="货币 2 2 2 2 2 4 2 7" xfId="20878" xr:uid="{00000000-0005-0000-0000-0000BE510000}"/>
    <cellStyle name="货币 2 2 2 2 2 4 2 8" xfId="20883" xr:uid="{00000000-0005-0000-0000-0000C3510000}"/>
    <cellStyle name="货币 2 2 2 2 2 4 2 9" xfId="20888" xr:uid="{00000000-0005-0000-0000-0000C8510000}"/>
    <cellStyle name="货币 2 2 2 2 2 4 3" xfId="31319" xr:uid="{00000000-0005-0000-0000-0000877A0000}"/>
    <cellStyle name="货币 2 2 2 2 2 4 3 2" xfId="34421" xr:uid="{00000000-0005-0000-0000-0000A5860000}"/>
    <cellStyle name="货币 2 2 2 2 2 4 3 3" xfId="34423" xr:uid="{00000000-0005-0000-0000-0000A7860000}"/>
    <cellStyle name="货币 2 2 2 2 2 4 3 4" xfId="34425" xr:uid="{00000000-0005-0000-0000-0000A9860000}"/>
    <cellStyle name="货币 2 2 2 2 2 4 3 5" xfId="25960" xr:uid="{00000000-0005-0000-0000-000098650000}"/>
    <cellStyle name="货币 2 2 2 2 2 4 3 6" xfId="20894" xr:uid="{00000000-0005-0000-0000-0000CE510000}"/>
    <cellStyle name="货币 2 2 2 2 2 4 4" xfId="34427" xr:uid="{00000000-0005-0000-0000-0000AB860000}"/>
    <cellStyle name="货币 2 2 2 2 2 4 4 2" xfId="34428" xr:uid="{00000000-0005-0000-0000-0000AC860000}"/>
    <cellStyle name="货币 2 2 2 2 2 4 5" xfId="34429" xr:uid="{00000000-0005-0000-0000-0000AD860000}"/>
    <cellStyle name="货币 2 2 2 2 2 4 6" xfId="34430" xr:uid="{00000000-0005-0000-0000-0000AE860000}"/>
    <cellStyle name="货币 2 2 2 2 2 4 7" xfId="34431" xr:uid="{00000000-0005-0000-0000-0000AF860000}"/>
    <cellStyle name="货币 2 2 2 2 2 4 8" xfId="34432" xr:uid="{00000000-0005-0000-0000-0000B0860000}"/>
    <cellStyle name="货币 2 2 2 2 2 4 9" xfId="34433" xr:uid="{00000000-0005-0000-0000-0000B1860000}"/>
    <cellStyle name="货币 2 2 2 2 2 5" xfId="34434" xr:uid="{00000000-0005-0000-0000-0000B2860000}"/>
    <cellStyle name="货币 2 2 2 2 2 5 10" xfId="34436" xr:uid="{00000000-0005-0000-0000-0000B4860000}"/>
    <cellStyle name="货币 2 2 2 2 2 5 11" xfId="34438" xr:uid="{00000000-0005-0000-0000-0000B6860000}"/>
    <cellStyle name="货币 2 2 2 2 2 5 12" xfId="34439" xr:uid="{00000000-0005-0000-0000-0000B7860000}"/>
    <cellStyle name="货币 2 2 2 2 2 5 13" xfId="34440" xr:uid="{00000000-0005-0000-0000-0000B8860000}"/>
    <cellStyle name="货币 2 2 2 2 2 5 2" xfId="34442" xr:uid="{00000000-0005-0000-0000-0000BA860000}"/>
    <cellStyle name="货币 2 2 2 2 2 5 2 2" xfId="34443" xr:uid="{00000000-0005-0000-0000-0000BB860000}"/>
    <cellStyle name="货币 2 2 2 2 2 5 2 2 2" xfId="34444" xr:uid="{00000000-0005-0000-0000-0000BC860000}"/>
    <cellStyle name="货币 2 2 2 2 2 5 2 3" xfId="34445" xr:uid="{00000000-0005-0000-0000-0000BD860000}"/>
    <cellStyle name="货币 2 2 2 2 2 5 2 4" xfId="34446" xr:uid="{00000000-0005-0000-0000-0000BE860000}"/>
    <cellStyle name="货币 2 2 2 2 2 5 2 5" xfId="23442" xr:uid="{00000000-0005-0000-0000-0000C25B0000}"/>
    <cellStyle name="货币 2 2 2 2 2 5 2 6" xfId="20909" xr:uid="{00000000-0005-0000-0000-0000DD510000}"/>
    <cellStyle name="货币 2 2 2 2 2 5 2 7" xfId="20916" xr:uid="{00000000-0005-0000-0000-0000E4510000}"/>
    <cellStyle name="货币 2 2 2 2 2 5 2 8" xfId="20923" xr:uid="{00000000-0005-0000-0000-0000EB510000}"/>
    <cellStyle name="货币 2 2 2 2 2 5 2 9" xfId="20931" xr:uid="{00000000-0005-0000-0000-0000F3510000}"/>
    <cellStyle name="货币 2 2 2 2 2 5 3" xfId="31322" xr:uid="{00000000-0005-0000-0000-00008A7A0000}"/>
    <cellStyle name="货币 2 2 2 2 2 5 3 2" xfId="34448" xr:uid="{00000000-0005-0000-0000-0000C0860000}"/>
    <cellStyle name="货币 2 2 2 2 2 5 3 3" xfId="34449" xr:uid="{00000000-0005-0000-0000-0000C1860000}"/>
    <cellStyle name="货币 2 2 2 2 2 5 3 4" xfId="34450" xr:uid="{00000000-0005-0000-0000-0000C2860000}"/>
    <cellStyle name="货币 2 2 2 2 2 5 3 5" xfId="23450" xr:uid="{00000000-0005-0000-0000-0000CA5B0000}"/>
    <cellStyle name="货币 2 2 2 2 2 5 3 6" xfId="20940" xr:uid="{00000000-0005-0000-0000-0000FC510000}"/>
    <cellStyle name="货币 2 2 2 2 2 5 4" xfId="34453" xr:uid="{00000000-0005-0000-0000-0000C5860000}"/>
    <cellStyle name="货币 2 2 2 2 2 5 4 2" xfId="34454" xr:uid="{00000000-0005-0000-0000-0000C6860000}"/>
    <cellStyle name="货币 2 2 2 2 2 5 5" xfId="11117" xr:uid="{00000000-0005-0000-0000-00009D2B0000}"/>
    <cellStyle name="货币 2 2 2 2 2 5 6" xfId="11124" xr:uid="{00000000-0005-0000-0000-0000A42B0000}"/>
    <cellStyle name="货币 2 2 2 2 2 5 7" xfId="11127" xr:uid="{00000000-0005-0000-0000-0000A72B0000}"/>
    <cellStyle name="货币 2 2 2 2 2 5 8" xfId="11132" xr:uid="{00000000-0005-0000-0000-0000AC2B0000}"/>
    <cellStyle name="货币 2 2 2 2 2 5 9" xfId="34455" xr:uid="{00000000-0005-0000-0000-0000C7860000}"/>
    <cellStyle name="货币 2 2 2 2 2 6" xfId="34456" xr:uid="{00000000-0005-0000-0000-0000C8860000}"/>
    <cellStyle name="货币 2 2 2 2 2 6 10" xfId="34458" xr:uid="{00000000-0005-0000-0000-0000CA860000}"/>
    <cellStyle name="货币 2 2 2 2 2 6 11" xfId="34459" xr:uid="{00000000-0005-0000-0000-0000CB860000}"/>
    <cellStyle name="货币 2 2 2 2 2 6 12" xfId="34461" xr:uid="{00000000-0005-0000-0000-0000CD860000}"/>
    <cellStyle name="货币 2 2 2 2 2 6 2" xfId="33824" xr:uid="{00000000-0005-0000-0000-000050840000}"/>
    <cellStyle name="货币 2 2 2 2 2 6 2 2" xfId="34462" xr:uid="{00000000-0005-0000-0000-0000CE860000}"/>
    <cellStyle name="货币 2 2 2 2 2 6 2 2 2" xfId="34399" xr:uid="{00000000-0005-0000-0000-00008F860000}"/>
    <cellStyle name="货币 2 2 2 2 2 6 2 3" xfId="34463" xr:uid="{00000000-0005-0000-0000-0000CF860000}"/>
    <cellStyle name="货币 2 2 2 2 2 6 2 4" xfId="34464" xr:uid="{00000000-0005-0000-0000-0000D0860000}"/>
    <cellStyle name="货币 2 2 2 2 2 6 2 5" xfId="13390" xr:uid="{00000000-0005-0000-0000-00007E340000}"/>
    <cellStyle name="货币 2 2 2 2 2 6 2 6" xfId="34466" xr:uid="{00000000-0005-0000-0000-0000D2860000}"/>
    <cellStyle name="货币 2 2 2 2 2 6 2 7" xfId="34468" xr:uid="{00000000-0005-0000-0000-0000D4860000}"/>
    <cellStyle name="货币 2 2 2 2 2 6 2 8" xfId="34470" xr:uid="{00000000-0005-0000-0000-0000D6860000}"/>
    <cellStyle name="货币 2 2 2 2 2 6 2 9" xfId="34472" xr:uid="{00000000-0005-0000-0000-0000D8860000}"/>
    <cellStyle name="货币 2 2 2 2 2 6 3" xfId="34476" xr:uid="{00000000-0005-0000-0000-0000DC860000}"/>
    <cellStyle name="货币 2 2 2 2 2 6 3 2" xfId="34477" xr:uid="{00000000-0005-0000-0000-0000DD860000}"/>
    <cellStyle name="货币 2 2 2 2 2 6 3 3" xfId="34478" xr:uid="{00000000-0005-0000-0000-0000DE860000}"/>
    <cellStyle name="货币 2 2 2 2 2 6 3 4" xfId="34479" xr:uid="{00000000-0005-0000-0000-0000DF860000}"/>
    <cellStyle name="货币 2 2 2 2 2 6 3 5" xfId="34481" xr:uid="{00000000-0005-0000-0000-0000E1860000}"/>
    <cellStyle name="货币 2 2 2 2 2 6 3 6" xfId="34483" xr:uid="{00000000-0005-0000-0000-0000E3860000}"/>
    <cellStyle name="货币 2 2 2 2 2 6 4" xfId="34486" xr:uid="{00000000-0005-0000-0000-0000E6860000}"/>
    <cellStyle name="货币 2 2 2 2 2 6 4 2" xfId="34487" xr:uid="{00000000-0005-0000-0000-0000E7860000}"/>
    <cellStyle name="货币 2 2 2 2 2 6 5" xfId="11139" xr:uid="{00000000-0005-0000-0000-0000B32B0000}"/>
    <cellStyle name="货币 2 2 2 2 2 6 6" xfId="34488" xr:uid="{00000000-0005-0000-0000-0000E8860000}"/>
    <cellStyle name="货币 2 2 2 2 2 6 7" xfId="29412" xr:uid="{00000000-0005-0000-0000-000014730000}"/>
    <cellStyle name="货币 2 2 2 2 2 6 8" xfId="34489" xr:uid="{00000000-0005-0000-0000-0000E9860000}"/>
    <cellStyle name="货币 2 2 2 2 2 6 9" xfId="34490" xr:uid="{00000000-0005-0000-0000-0000EA860000}"/>
    <cellStyle name="货币 2 2 2 2 2 7" xfId="34491" xr:uid="{00000000-0005-0000-0000-0000EB860000}"/>
    <cellStyle name="货币 2 2 2 2 2 7 2" xfId="34494" xr:uid="{00000000-0005-0000-0000-0000EE860000}"/>
    <cellStyle name="货币 2 2 2 2 2 7 2 2" xfId="13277" xr:uid="{00000000-0005-0000-0000-00000D340000}"/>
    <cellStyle name="货币 2 2 2 2 2 7 3" xfId="34496" xr:uid="{00000000-0005-0000-0000-0000F0860000}"/>
    <cellStyle name="货币 2 2 2 2 2 7 4" xfId="34498" xr:uid="{00000000-0005-0000-0000-0000F2860000}"/>
    <cellStyle name="货币 2 2 2 2 2 7 5" xfId="34499" xr:uid="{00000000-0005-0000-0000-0000F3860000}"/>
    <cellStyle name="货币 2 2 2 2 2 7 6" xfId="34500" xr:uid="{00000000-0005-0000-0000-0000F4860000}"/>
    <cellStyle name="货币 2 2 2 2 2 7 7" xfId="34501" xr:uid="{00000000-0005-0000-0000-0000F5860000}"/>
    <cellStyle name="货币 2 2 2 2 2 7 8" xfId="34502" xr:uid="{00000000-0005-0000-0000-0000F6860000}"/>
    <cellStyle name="货币 2 2 2 2 2 7 9" xfId="34503" xr:uid="{00000000-0005-0000-0000-0000F7860000}"/>
    <cellStyle name="货币 2 2 2 2 2 8" xfId="34504" xr:uid="{00000000-0005-0000-0000-0000F8860000}"/>
    <cellStyle name="货币 2 2 2 2 2 8 2" xfId="34507" xr:uid="{00000000-0005-0000-0000-0000FB860000}"/>
    <cellStyle name="货币 2 2 2 2 2 8 3" xfId="34509" xr:uid="{00000000-0005-0000-0000-0000FD860000}"/>
    <cellStyle name="货币 2 2 2 2 2 8 4" xfId="34511" xr:uid="{00000000-0005-0000-0000-0000FF860000}"/>
    <cellStyle name="货币 2 2 2 2 2 8 5" xfId="34512" xr:uid="{00000000-0005-0000-0000-000000870000}"/>
    <cellStyle name="货币 2 2 2 2 2 8 6" xfId="34513" xr:uid="{00000000-0005-0000-0000-000001870000}"/>
    <cellStyle name="货币 2 2 2 2 2 9" xfId="34514" xr:uid="{00000000-0005-0000-0000-000002870000}"/>
    <cellStyle name="货币 2 2 2 2 2 9 2" xfId="34515" xr:uid="{00000000-0005-0000-0000-000003870000}"/>
    <cellStyle name="货币 2 2 2 2 2 9 3" xfId="34516" xr:uid="{00000000-0005-0000-0000-000004870000}"/>
    <cellStyle name="货币 2 2 2 2 2 9 4" xfId="34517" xr:uid="{00000000-0005-0000-0000-000005870000}"/>
    <cellStyle name="货币 2 2 2 2 2 9 5" xfId="34518" xr:uid="{00000000-0005-0000-0000-000006870000}"/>
    <cellStyle name="货币 2 2 2 2 2 9 6" xfId="34519" xr:uid="{00000000-0005-0000-0000-000007870000}"/>
    <cellStyle name="货币 2 2 2 2 20" xfId="34252" xr:uid="{00000000-0005-0000-0000-0000FC850000}"/>
    <cellStyle name="货币 2 2 2 2 21" xfId="34257" xr:uid="{00000000-0005-0000-0000-000001860000}"/>
    <cellStyle name="货币 2 2 2 2 22" xfId="34259" xr:uid="{00000000-0005-0000-0000-000003860000}"/>
    <cellStyle name="货币 2 2 2 2 23" xfId="34261" xr:uid="{00000000-0005-0000-0000-000005860000}"/>
    <cellStyle name="货币 2 2 2 2 24" xfId="34263" xr:uid="{00000000-0005-0000-0000-000007860000}"/>
    <cellStyle name="货币 2 2 2 2 25" xfId="34520" xr:uid="{00000000-0005-0000-0000-000008870000}"/>
    <cellStyle name="货币 2 2 2 2 26" xfId="34521" xr:uid="{00000000-0005-0000-0000-000009870000}"/>
    <cellStyle name="货币 2 2 2 2 27" xfId="34522" xr:uid="{00000000-0005-0000-0000-00000A870000}"/>
    <cellStyle name="货币 2 2 2 2 3" xfId="34523" xr:uid="{00000000-0005-0000-0000-00000B870000}"/>
    <cellStyle name="货币 2 2 2 2 3 10" xfId="34524" xr:uid="{00000000-0005-0000-0000-00000C870000}"/>
    <cellStyle name="货币 2 2 2 2 3 10 2" xfId="34526" xr:uid="{00000000-0005-0000-0000-00000E870000}"/>
    <cellStyle name="货币 2 2 2 2 3 10 3" xfId="9273" xr:uid="{00000000-0005-0000-0000-000069240000}"/>
    <cellStyle name="货币 2 2 2 2 3 10 4" xfId="9284" xr:uid="{00000000-0005-0000-0000-000074240000}"/>
    <cellStyle name="货币 2 2 2 2 3 10 5" xfId="9561" xr:uid="{00000000-0005-0000-0000-000089250000}"/>
    <cellStyle name="货币 2 2 2 2 3 10 6" xfId="9567" xr:uid="{00000000-0005-0000-0000-00008F250000}"/>
    <cellStyle name="货币 2 2 2 2 3 11" xfId="34527" xr:uid="{00000000-0005-0000-0000-00000F870000}"/>
    <cellStyle name="货币 2 2 2 2 3 11 2" xfId="34530" xr:uid="{00000000-0005-0000-0000-000012870000}"/>
    <cellStyle name="货币 2 2 2 2 3 11 3" xfId="3227" xr:uid="{00000000-0005-0000-0000-0000CB0C0000}"/>
    <cellStyle name="货币 2 2 2 2 3 11 4" xfId="34533" xr:uid="{00000000-0005-0000-0000-000015870000}"/>
    <cellStyle name="货币 2 2 2 2 3 11 5" xfId="34536" xr:uid="{00000000-0005-0000-0000-000018870000}"/>
    <cellStyle name="货币 2 2 2 2 3 11 6" xfId="34538" xr:uid="{00000000-0005-0000-0000-00001A870000}"/>
    <cellStyle name="货币 2 2 2 2 3 12" xfId="34539" xr:uid="{00000000-0005-0000-0000-00001B870000}"/>
    <cellStyle name="货币 2 2 2 2 3 13" xfId="34541" xr:uid="{00000000-0005-0000-0000-00001D870000}"/>
    <cellStyle name="货币 2 2 2 2 3 14" xfId="34543" xr:uid="{00000000-0005-0000-0000-00001F870000}"/>
    <cellStyle name="货币 2 2 2 2 3 15" xfId="34545" xr:uid="{00000000-0005-0000-0000-000021870000}"/>
    <cellStyle name="货币 2 2 2 2 3 16" xfId="34548" xr:uid="{00000000-0005-0000-0000-000024870000}"/>
    <cellStyle name="货币 2 2 2 2 3 17" xfId="34552" xr:uid="{00000000-0005-0000-0000-000028870000}"/>
    <cellStyle name="货币 2 2 2 2 3 18" xfId="29476" xr:uid="{00000000-0005-0000-0000-000054730000}"/>
    <cellStyle name="货币 2 2 2 2 3 19" xfId="29483" xr:uid="{00000000-0005-0000-0000-00005B730000}"/>
    <cellStyle name="货币 2 2 2 2 3 2" xfId="34554" xr:uid="{00000000-0005-0000-0000-00002A870000}"/>
    <cellStyle name="货币 2 2 2 2 3 2 10" xfId="22015" xr:uid="{00000000-0005-0000-0000-00002F560000}"/>
    <cellStyle name="货币 2 2 2 2 3 2 11" xfId="22017" xr:uid="{00000000-0005-0000-0000-000031560000}"/>
    <cellStyle name="货币 2 2 2 2 3 2 12" xfId="22019" xr:uid="{00000000-0005-0000-0000-000033560000}"/>
    <cellStyle name="货币 2 2 2 2 3 2 13" xfId="22021" xr:uid="{00000000-0005-0000-0000-000035560000}"/>
    <cellStyle name="货币 2 2 2 2 3 2 14" xfId="32804" xr:uid="{00000000-0005-0000-0000-000054800000}"/>
    <cellStyle name="货币 2 2 2 2 3 2 15" xfId="32807" xr:uid="{00000000-0005-0000-0000-000057800000}"/>
    <cellStyle name="货币 2 2 2 2 3 2 16" xfId="32809" xr:uid="{00000000-0005-0000-0000-000059800000}"/>
    <cellStyle name="货币 2 2 2 2 3 2 17" xfId="23843" xr:uid="{00000000-0005-0000-0000-0000535D0000}"/>
    <cellStyle name="货币 2 2 2 2 3 2 18" xfId="34556" xr:uid="{00000000-0005-0000-0000-00002C870000}"/>
    <cellStyle name="货币 2 2 2 2 3 2 2" xfId="34557" xr:uid="{00000000-0005-0000-0000-00002D870000}"/>
    <cellStyle name="货币 2 2 2 2 3 2 2 10" xfId="19222" xr:uid="{00000000-0005-0000-0000-0000464B0000}"/>
    <cellStyle name="货币 2 2 2 2 3 2 2 11" xfId="34558" xr:uid="{00000000-0005-0000-0000-00002E870000}"/>
    <cellStyle name="货币 2 2 2 2 3 2 2 12" xfId="34560" xr:uid="{00000000-0005-0000-0000-000030870000}"/>
    <cellStyle name="货币 2 2 2 2 3 2 2 2" xfId="34561" xr:uid="{00000000-0005-0000-0000-000031870000}"/>
    <cellStyle name="货币 2 2 2 2 3 2 2 2 2" xfId="34562" xr:uid="{00000000-0005-0000-0000-000032870000}"/>
    <cellStyle name="货币 2 2 2 2 3 2 2 2 2 2" xfId="34563" xr:uid="{00000000-0005-0000-0000-000033870000}"/>
    <cellStyle name="货币 2 2 2 2 3 2 2 2 3" xfId="34564" xr:uid="{00000000-0005-0000-0000-000034870000}"/>
    <cellStyle name="货币 2 2 2 2 3 2 2 2 4" xfId="34566" xr:uid="{00000000-0005-0000-0000-000036870000}"/>
    <cellStyle name="货币 2 2 2 2 3 2 2 2 5" xfId="34567" xr:uid="{00000000-0005-0000-0000-000037870000}"/>
    <cellStyle name="货币 2 2 2 2 3 2 2 3" xfId="464" xr:uid="{00000000-0005-0000-0000-0000EE010000}"/>
    <cellStyle name="货币 2 2 2 2 3 2 2 3 2" xfId="11460" xr:uid="{00000000-0005-0000-0000-0000F42C0000}"/>
    <cellStyle name="货币 2 2 2 2 3 2 2 4" xfId="29900" xr:uid="{00000000-0005-0000-0000-0000FC740000}"/>
    <cellStyle name="货币 2 2 2 2 3 2 2 5" xfId="26047" xr:uid="{00000000-0005-0000-0000-0000EF650000}"/>
    <cellStyle name="货币 2 2 2 2 3 2 2 6" xfId="26053" xr:uid="{00000000-0005-0000-0000-0000F5650000}"/>
    <cellStyle name="货币 2 2 2 2 3 2 2 7" xfId="26059" xr:uid="{00000000-0005-0000-0000-0000FB650000}"/>
    <cellStyle name="货币 2 2 2 2 3 2 2 8" xfId="26066" xr:uid="{00000000-0005-0000-0000-000002660000}"/>
    <cellStyle name="货币 2 2 2 2 3 2 2 9" xfId="29902" xr:uid="{00000000-0005-0000-0000-0000FE740000}"/>
    <cellStyle name="货币 2 2 2 2 3 2 3" xfId="10189" xr:uid="{00000000-0005-0000-0000-0000FD270000}"/>
    <cellStyle name="货币 2 2 2 2 3 2 3 10" xfId="34568" xr:uid="{00000000-0005-0000-0000-000038870000}"/>
    <cellStyle name="货币 2 2 2 2 3 2 3 11" xfId="34569" xr:uid="{00000000-0005-0000-0000-000039870000}"/>
    <cellStyle name="货币 2 2 2 2 3 2 3 12" xfId="34571" xr:uid="{00000000-0005-0000-0000-00003B870000}"/>
    <cellStyle name="货币 2 2 2 2 3 2 3 2" xfId="34572" xr:uid="{00000000-0005-0000-0000-00003C870000}"/>
    <cellStyle name="货币 2 2 2 2 3 2 3 2 2" xfId="34573" xr:uid="{00000000-0005-0000-0000-00003D870000}"/>
    <cellStyle name="货币 2 2 2 2 3 2 3 2 2 2" xfId="33982" xr:uid="{00000000-0005-0000-0000-0000EE840000}"/>
    <cellStyle name="货币 2 2 2 2 3 2 3 2 3" xfId="34574" xr:uid="{00000000-0005-0000-0000-00003E870000}"/>
    <cellStyle name="货币 2 2 2 2 3 2 3 2 4" xfId="34575" xr:uid="{00000000-0005-0000-0000-00003F870000}"/>
    <cellStyle name="货币 2 2 2 2 3 2 3 2 5" xfId="34576" xr:uid="{00000000-0005-0000-0000-000040870000}"/>
    <cellStyle name="货币 2 2 2 2 3 2 3 3" xfId="29924" xr:uid="{00000000-0005-0000-0000-000014750000}"/>
    <cellStyle name="货币 2 2 2 2 3 2 3 3 2" xfId="12479" xr:uid="{00000000-0005-0000-0000-0000EF300000}"/>
    <cellStyle name="货币 2 2 2 2 3 2 3 4" xfId="29926" xr:uid="{00000000-0005-0000-0000-000016750000}"/>
    <cellStyle name="货币 2 2 2 2 3 2 3 5" xfId="26070" xr:uid="{00000000-0005-0000-0000-000006660000}"/>
    <cellStyle name="货币 2 2 2 2 3 2 3 6" xfId="29928" xr:uid="{00000000-0005-0000-0000-000018750000}"/>
    <cellStyle name="货币 2 2 2 2 3 2 3 7" xfId="29930" xr:uid="{00000000-0005-0000-0000-00001A750000}"/>
    <cellStyle name="货币 2 2 2 2 3 2 3 8" xfId="29932" xr:uid="{00000000-0005-0000-0000-00001C750000}"/>
    <cellStyle name="货币 2 2 2 2 3 2 3 9" xfId="29934" xr:uid="{00000000-0005-0000-0000-00001E750000}"/>
    <cellStyle name="货币 2 2 2 2 3 2 4" xfId="10195" xr:uid="{00000000-0005-0000-0000-000003280000}"/>
    <cellStyle name="货币 2 2 2 2 3 2 4 10" xfId="18331" xr:uid="{00000000-0005-0000-0000-0000CB470000}"/>
    <cellStyle name="货币 2 2 2 2 3 2 4 2" xfId="34577" xr:uid="{00000000-0005-0000-0000-000041870000}"/>
    <cellStyle name="货币 2 2 2 2 3 2 4 2 2" xfId="32583" xr:uid="{00000000-0005-0000-0000-0000777F0000}"/>
    <cellStyle name="货币 2 2 2 2 3 2 4 2 2 2" xfId="34578" xr:uid="{00000000-0005-0000-0000-000042870000}"/>
    <cellStyle name="货币 2 2 2 2 3 2 4 2 3" xfId="32585" xr:uid="{00000000-0005-0000-0000-0000797F0000}"/>
    <cellStyle name="货币 2 2 2 2 3 2 4 2 4" xfId="34579" xr:uid="{00000000-0005-0000-0000-000043870000}"/>
    <cellStyle name="货币 2 2 2 2 3 2 4 2 5" xfId="34580" xr:uid="{00000000-0005-0000-0000-000044870000}"/>
    <cellStyle name="货币 2 2 2 2 3 2 4 3" xfId="34581" xr:uid="{00000000-0005-0000-0000-000045870000}"/>
    <cellStyle name="货币 2 2 2 2 3 2 4 3 2" xfId="10226" xr:uid="{00000000-0005-0000-0000-000022280000}"/>
    <cellStyle name="货币 2 2 2 2 3 2 4 4" xfId="34582" xr:uid="{00000000-0005-0000-0000-000046870000}"/>
    <cellStyle name="货币 2 2 2 2 3 2 4 5" xfId="34583" xr:uid="{00000000-0005-0000-0000-000047870000}"/>
    <cellStyle name="货币 2 2 2 2 3 2 4 6" xfId="34584" xr:uid="{00000000-0005-0000-0000-000048870000}"/>
    <cellStyle name="货币 2 2 2 2 3 2 4 7" xfId="34585" xr:uid="{00000000-0005-0000-0000-000049870000}"/>
    <cellStyle name="货币 2 2 2 2 3 2 4 8" xfId="34587" xr:uid="{00000000-0005-0000-0000-00004B870000}"/>
    <cellStyle name="货币 2 2 2 2 3 2 4 9" xfId="34588" xr:uid="{00000000-0005-0000-0000-00004C870000}"/>
    <cellStyle name="货币 2 2 2 2 3 2 5" xfId="10201" xr:uid="{00000000-0005-0000-0000-000009280000}"/>
    <cellStyle name="货币 2 2 2 2 3 2 5 10" xfId="34591" xr:uid="{00000000-0005-0000-0000-00004F870000}"/>
    <cellStyle name="货币 2 2 2 2 3 2 5 2" xfId="34594" xr:uid="{00000000-0005-0000-0000-000052870000}"/>
    <cellStyle name="货币 2 2 2 2 3 2 5 2 2" xfId="14438" xr:uid="{00000000-0005-0000-0000-000096380000}"/>
    <cellStyle name="货币 2 2 2 2 3 2 5 2 2 2" xfId="30582" xr:uid="{00000000-0005-0000-0000-0000A6770000}"/>
    <cellStyle name="货币 2 2 2 2 3 2 5 2 3" xfId="2797" xr:uid="{00000000-0005-0000-0000-00001D0B0000}"/>
    <cellStyle name="货币 2 2 2 2 3 2 5 2 4" xfId="12582" xr:uid="{00000000-0005-0000-0000-000056310000}"/>
    <cellStyle name="货币 2 2 2 2 3 2 5 2 5" xfId="13004" xr:uid="{00000000-0005-0000-0000-0000FC320000}"/>
    <cellStyle name="货币 2 2 2 2 3 2 5 3" xfId="9599" xr:uid="{00000000-0005-0000-0000-0000AF250000}"/>
    <cellStyle name="货币 2 2 2 2 3 2 5 3 2" xfId="13217" xr:uid="{00000000-0005-0000-0000-0000D1330000}"/>
    <cellStyle name="货币 2 2 2 2 3 2 5 4" xfId="9610" xr:uid="{00000000-0005-0000-0000-0000BA250000}"/>
    <cellStyle name="货币 2 2 2 2 3 2 5 5" xfId="9623" xr:uid="{00000000-0005-0000-0000-0000C7250000}"/>
    <cellStyle name="货币 2 2 2 2 3 2 5 6" xfId="3952" xr:uid="{00000000-0005-0000-0000-0000A00F0000}"/>
    <cellStyle name="货币 2 2 2 2 3 2 5 7" xfId="9632" xr:uid="{00000000-0005-0000-0000-0000D0250000}"/>
    <cellStyle name="货币 2 2 2 2 3 2 5 8" xfId="89" xr:uid="{00000000-0005-0000-0000-00005F000000}"/>
    <cellStyle name="货币 2 2 2 2 3 2 5 9" xfId="10442" xr:uid="{00000000-0005-0000-0000-0000FA280000}"/>
    <cellStyle name="货币 2 2 2 2 3 2 6" xfId="1045" xr:uid="{00000000-0005-0000-0000-000045040000}"/>
    <cellStyle name="货币 2 2 2 2 3 2 6 2" xfId="34596" xr:uid="{00000000-0005-0000-0000-000054870000}"/>
    <cellStyle name="货币 2 2 2 2 3 2 6 2 2" xfId="32819" xr:uid="{00000000-0005-0000-0000-000063800000}"/>
    <cellStyle name="货币 2 2 2 2 3 2 6 3" xfId="13228" xr:uid="{00000000-0005-0000-0000-0000DC330000}"/>
    <cellStyle name="货币 2 2 2 2 3 2 6 4" xfId="13232" xr:uid="{00000000-0005-0000-0000-0000E0330000}"/>
    <cellStyle name="货币 2 2 2 2 3 2 6 5" xfId="13235" xr:uid="{00000000-0005-0000-0000-0000E3330000}"/>
    <cellStyle name="货币 2 2 2 2 3 2 6 6" xfId="13238" xr:uid="{00000000-0005-0000-0000-0000E6330000}"/>
    <cellStyle name="货币 2 2 2 2 3 2 6 7" xfId="13241" xr:uid="{00000000-0005-0000-0000-0000E9330000}"/>
    <cellStyle name="货币 2 2 2 2 3 2 6 8" xfId="30410" xr:uid="{00000000-0005-0000-0000-0000FA760000}"/>
    <cellStyle name="货币 2 2 2 2 3 2 6 9" xfId="30412" xr:uid="{00000000-0005-0000-0000-0000FC760000}"/>
    <cellStyle name="货币 2 2 2 2 3 2 7" xfId="10203" xr:uid="{00000000-0005-0000-0000-00000B280000}"/>
    <cellStyle name="货币 2 2 2 2 3 2 7 2" xfId="34597" xr:uid="{00000000-0005-0000-0000-000055870000}"/>
    <cellStyle name="货币 2 2 2 2 3 2 8" xfId="34598" xr:uid="{00000000-0005-0000-0000-000056870000}"/>
    <cellStyle name="货币 2 2 2 2 3 2 9" xfId="34600" xr:uid="{00000000-0005-0000-0000-000058870000}"/>
    <cellStyle name="货币 2 2 2 2 3 20" xfId="34546" xr:uid="{00000000-0005-0000-0000-000022870000}"/>
    <cellStyle name="货币 2 2 2 2 3 21" xfId="34549" xr:uid="{00000000-0005-0000-0000-000025870000}"/>
    <cellStyle name="货币 2 2 2 2 3 22" xfId="34553" xr:uid="{00000000-0005-0000-0000-000029870000}"/>
    <cellStyle name="货币 2 2 2 2 3 23" xfId="29477" xr:uid="{00000000-0005-0000-0000-000055730000}"/>
    <cellStyle name="货币 2 2 2 2 3 3" xfId="34601" xr:uid="{00000000-0005-0000-0000-000059870000}"/>
    <cellStyle name="货币 2 2 2 2 3 3 10" xfId="34603" xr:uid="{00000000-0005-0000-0000-00005B870000}"/>
    <cellStyle name="货币 2 2 2 2 3 3 11" xfId="34604" xr:uid="{00000000-0005-0000-0000-00005C870000}"/>
    <cellStyle name="货币 2 2 2 2 3 3 12" xfId="34605" xr:uid="{00000000-0005-0000-0000-00005D870000}"/>
    <cellStyle name="货币 2 2 2 2 3 3 13" xfId="34606" xr:uid="{00000000-0005-0000-0000-00005E870000}"/>
    <cellStyle name="货币 2 2 2 2 3 3 14" xfId="34607" xr:uid="{00000000-0005-0000-0000-00005F870000}"/>
    <cellStyle name="货币 2 2 2 2 3 3 15" xfId="34608" xr:uid="{00000000-0005-0000-0000-000060870000}"/>
    <cellStyle name="货币 2 2 2 2 3 3 16" xfId="34609" xr:uid="{00000000-0005-0000-0000-000061870000}"/>
    <cellStyle name="货币 2 2 2 2 3 3 17" xfId="34610" xr:uid="{00000000-0005-0000-0000-000062870000}"/>
    <cellStyle name="货币 2 2 2 2 3 3 18" xfId="4850" xr:uid="{00000000-0005-0000-0000-000022130000}"/>
    <cellStyle name="货币 2 2 2 2 3 3 2" xfId="34612" xr:uid="{00000000-0005-0000-0000-000064870000}"/>
    <cellStyle name="货币 2 2 2 2 3 3 2 10" xfId="28532" xr:uid="{00000000-0005-0000-0000-0000A46F0000}"/>
    <cellStyle name="货币 2 2 2 2 3 3 2 2" xfId="34614" xr:uid="{00000000-0005-0000-0000-000066870000}"/>
    <cellStyle name="货币 2 2 2 2 3 3 2 2 2" xfId="631" xr:uid="{00000000-0005-0000-0000-0000A3020000}"/>
    <cellStyle name="货币 2 2 2 2 3 3 2 3" xfId="34616" xr:uid="{00000000-0005-0000-0000-000068870000}"/>
    <cellStyle name="货币 2 2 2 2 3 3 2 4" xfId="34617" xr:uid="{00000000-0005-0000-0000-000069870000}"/>
    <cellStyle name="货币 2 2 2 2 3 3 2 5" xfId="26077" xr:uid="{00000000-0005-0000-0000-00000D660000}"/>
    <cellStyle name="货币 2 2 2 2 3 3 2 6" xfId="26079" xr:uid="{00000000-0005-0000-0000-00000F660000}"/>
    <cellStyle name="货币 2 2 2 2 3 3 2 7" xfId="1150" xr:uid="{00000000-0005-0000-0000-0000AE040000}"/>
    <cellStyle name="货币 2 2 2 2 3 3 2 8" xfId="1190" xr:uid="{00000000-0005-0000-0000-0000D6040000}"/>
    <cellStyle name="货币 2 2 2 2 3 3 2 9" xfId="1213" xr:uid="{00000000-0005-0000-0000-0000ED040000}"/>
    <cellStyle name="货币 2 2 2 2 3 3 3" xfId="34619" xr:uid="{00000000-0005-0000-0000-00006B870000}"/>
    <cellStyle name="货币 2 2 2 2 3 3 3 2" xfId="34620" xr:uid="{00000000-0005-0000-0000-00006C870000}"/>
    <cellStyle name="货币 2 2 2 2 3 3 3 3" xfId="34623" xr:uid="{00000000-0005-0000-0000-00006F870000}"/>
    <cellStyle name="货币 2 2 2 2 3 3 3 4" xfId="34625" xr:uid="{00000000-0005-0000-0000-000071870000}"/>
    <cellStyle name="货币 2 2 2 2 3 3 3 5" xfId="26082" xr:uid="{00000000-0005-0000-0000-000012660000}"/>
    <cellStyle name="货币 2 2 2 2 3 3 3 6" xfId="34627" xr:uid="{00000000-0005-0000-0000-000073870000}"/>
    <cellStyle name="货币 2 2 2 2 3 3 4" xfId="34630" xr:uid="{00000000-0005-0000-0000-000076870000}"/>
    <cellStyle name="货币 2 2 2 2 3 3 4 2" xfId="127" xr:uid="{00000000-0005-0000-0000-000089000000}"/>
    <cellStyle name="货币 2 2 2 2 3 3 4 3" xfId="938" xr:uid="{00000000-0005-0000-0000-0000DA030000}"/>
    <cellStyle name="货币 2 2 2 2 3 3 4 4" xfId="963" xr:uid="{00000000-0005-0000-0000-0000F3030000}"/>
    <cellStyle name="货币 2 2 2 2 3 3 4 5" xfId="34631" xr:uid="{00000000-0005-0000-0000-000077870000}"/>
    <cellStyle name="货币 2 2 2 2 3 3 4 6" xfId="34632" xr:uid="{00000000-0005-0000-0000-000078870000}"/>
    <cellStyle name="货币 2 2 2 2 3 3 5" xfId="34634" xr:uid="{00000000-0005-0000-0000-00007A870000}"/>
    <cellStyle name="货币 2 2 2 2 3 3 5 2" xfId="34635" xr:uid="{00000000-0005-0000-0000-00007B870000}"/>
    <cellStyle name="货币 2 2 2 2 3 3 5 3" xfId="6354" xr:uid="{00000000-0005-0000-0000-000002190000}"/>
    <cellStyle name="货币 2 2 2 2 3 3 5 4" xfId="6371" xr:uid="{00000000-0005-0000-0000-000013190000}"/>
    <cellStyle name="货币 2 2 2 2 3 3 5 5" xfId="13271" xr:uid="{00000000-0005-0000-0000-000007340000}"/>
    <cellStyle name="货币 2 2 2 2 3 3 5 6" xfId="13273" xr:uid="{00000000-0005-0000-0000-000009340000}"/>
    <cellStyle name="货币 2 2 2 2 3 3 6" xfId="34636" xr:uid="{00000000-0005-0000-0000-00007C870000}"/>
    <cellStyle name="货币 2 2 2 2 3 3 6 2" xfId="34637" xr:uid="{00000000-0005-0000-0000-00007D870000}"/>
    <cellStyle name="货币 2 2 2 2 3 3 6 3" xfId="13280" xr:uid="{00000000-0005-0000-0000-000010340000}"/>
    <cellStyle name="货币 2 2 2 2 3 3 6 4" xfId="13282" xr:uid="{00000000-0005-0000-0000-000012340000}"/>
    <cellStyle name="货币 2 2 2 2 3 3 6 5" xfId="13284" xr:uid="{00000000-0005-0000-0000-000014340000}"/>
    <cellStyle name="货币 2 2 2 2 3 3 6 6" xfId="13286" xr:uid="{00000000-0005-0000-0000-000016340000}"/>
    <cellStyle name="货币 2 2 2 2 3 3 7" xfId="34638" xr:uid="{00000000-0005-0000-0000-00007E870000}"/>
    <cellStyle name="货币 2 2 2 2 3 3 8" xfId="34639" xr:uid="{00000000-0005-0000-0000-00007F870000}"/>
    <cellStyle name="货币 2 2 2 2 3 3 9" xfId="34640" xr:uid="{00000000-0005-0000-0000-000080870000}"/>
    <cellStyle name="货币 2 2 2 2 3 4" xfId="34641" xr:uid="{00000000-0005-0000-0000-000081870000}"/>
    <cellStyle name="货币 2 2 2 2 3 4 10" xfId="34644" xr:uid="{00000000-0005-0000-0000-000084870000}"/>
    <cellStyle name="货币 2 2 2 2 3 4 11" xfId="34645" xr:uid="{00000000-0005-0000-0000-000085870000}"/>
    <cellStyle name="货币 2 2 2 2 3 4 12" xfId="34646" xr:uid="{00000000-0005-0000-0000-000086870000}"/>
    <cellStyle name="货币 2 2 2 2 3 4 13" xfId="34647" xr:uid="{00000000-0005-0000-0000-000087870000}"/>
    <cellStyle name="货币 2 2 2 2 3 4 14" xfId="8439" xr:uid="{00000000-0005-0000-0000-000027210000}"/>
    <cellStyle name="货币 2 2 2 2 3 4 15" xfId="7238" xr:uid="{00000000-0005-0000-0000-0000761C0000}"/>
    <cellStyle name="货币 2 2 2 2 3 4 2" xfId="34650" xr:uid="{00000000-0005-0000-0000-00008A870000}"/>
    <cellStyle name="货币 2 2 2 2 3 4 2 2" xfId="34651" xr:uid="{00000000-0005-0000-0000-00008B870000}"/>
    <cellStyle name="货币 2 2 2 2 3 4 2 2 2" xfId="34653" xr:uid="{00000000-0005-0000-0000-00008D870000}"/>
    <cellStyle name="货币 2 2 2 2 3 4 2 3" xfId="34654" xr:uid="{00000000-0005-0000-0000-00008E870000}"/>
    <cellStyle name="货币 2 2 2 2 3 4 2 4" xfId="33935" xr:uid="{00000000-0005-0000-0000-0000BF840000}"/>
    <cellStyle name="货币 2 2 2 2 3 4 2 5" xfId="4682" xr:uid="{00000000-0005-0000-0000-00007A120000}"/>
    <cellStyle name="货币 2 2 2 2 3 4 2 6" xfId="4711" xr:uid="{00000000-0005-0000-0000-000097120000}"/>
    <cellStyle name="货币 2 2 2 2 3 4 2 7" xfId="1398" xr:uid="{00000000-0005-0000-0000-0000A6050000}"/>
    <cellStyle name="货币 2 2 2 2 3 4 2 8" xfId="4735" xr:uid="{00000000-0005-0000-0000-0000AF120000}"/>
    <cellStyle name="货币 2 2 2 2 3 4 2 9" xfId="34655" xr:uid="{00000000-0005-0000-0000-00008F870000}"/>
    <cellStyle name="货币 2 2 2 2 3 4 3" xfId="31341" xr:uid="{00000000-0005-0000-0000-00009D7A0000}"/>
    <cellStyle name="货币 2 2 2 2 3 4 3 2" xfId="34656" xr:uid="{00000000-0005-0000-0000-000090870000}"/>
    <cellStyle name="货币 2 2 2 2 3 4 3 3" xfId="34657" xr:uid="{00000000-0005-0000-0000-000091870000}"/>
    <cellStyle name="货币 2 2 2 2 3 4 3 4" xfId="34658" xr:uid="{00000000-0005-0000-0000-000092870000}"/>
    <cellStyle name="货币 2 2 2 2 3 4 3 5" xfId="26089" xr:uid="{00000000-0005-0000-0000-000019660000}"/>
    <cellStyle name="货币 2 2 2 2 3 4 3 6" xfId="34659" xr:uid="{00000000-0005-0000-0000-000093870000}"/>
    <cellStyle name="货币 2 2 2 2 3 4 4" xfId="34661" xr:uid="{00000000-0005-0000-0000-000095870000}"/>
    <cellStyle name="货币 2 2 2 2 3 4 4 2" xfId="34662" xr:uid="{00000000-0005-0000-0000-000096870000}"/>
    <cellStyle name="货币 2 2 2 2 3 4 5" xfId="34663" xr:uid="{00000000-0005-0000-0000-000097870000}"/>
    <cellStyle name="货币 2 2 2 2 3 4 6" xfId="34665" xr:uid="{00000000-0005-0000-0000-000099870000}"/>
    <cellStyle name="货币 2 2 2 2 3 4 7" xfId="34666" xr:uid="{00000000-0005-0000-0000-00009A870000}"/>
    <cellStyle name="货币 2 2 2 2 3 4 8" xfId="34667" xr:uid="{00000000-0005-0000-0000-00009B870000}"/>
    <cellStyle name="货币 2 2 2 2 3 4 9" xfId="34668" xr:uid="{00000000-0005-0000-0000-00009C870000}"/>
    <cellStyle name="货币 2 2 2 2 3 5" xfId="34669" xr:uid="{00000000-0005-0000-0000-00009D870000}"/>
    <cellStyle name="货币 2 2 2 2 3 5 10" xfId="34672" xr:uid="{00000000-0005-0000-0000-0000A0870000}"/>
    <cellStyle name="货币 2 2 2 2 3 5 11" xfId="34674" xr:uid="{00000000-0005-0000-0000-0000A2870000}"/>
    <cellStyle name="货币 2 2 2 2 3 5 12" xfId="34676" xr:uid="{00000000-0005-0000-0000-0000A4870000}"/>
    <cellStyle name="货币 2 2 2 2 3 5 13" xfId="34678" xr:uid="{00000000-0005-0000-0000-0000A6870000}"/>
    <cellStyle name="货币 2 2 2 2 3 5 2" xfId="34679" xr:uid="{00000000-0005-0000-0000-0000A7870000}"/>
    <cellStyle name="货币 2 2 2 2 3 5 2 2" xfId="34680" xr:uid="{00000000-0005-0000-0000-0000A8870000}"/>
    <cellStyle name="货币 2 2 2 2 3 5 2 2 2" xfId="34682" xr:uid="{00000000-0005-0000-0000-0000AA870000}"/>
    <cellStyle name="货币 2 2 2 2 3 5 2 3" xfId="29985" xr:uid="{00000000-0005-0000-0000-000051750000}"/>
    <cellStyle name="货币 2 2 2 2 3 5 2 4" xfId="29996" xr:uid="{00000000-0005-0000-0000-00005C750000}"/>
    <cellStyle name="货币 2 2 2 2 3 5 2 5" xfId="26102" xr:uid="{00000000-0005-0000-0000-000026660000}"/>
    <cellStyle name="货币 2 2 2 2 3 5 2 6" xfId="34684" xr:uid="{00000000-0005-0000-0000-0000AC870000}"/>
    <cellStyle name="货币 2 2 2 2 3 5 2 7" xfId="34686" xr:uid="{00000000-0005-0000-0000-0000AE870000}"/>
    <cellStyle name="货币 2 2 2 2 3 5 2 8" xfId="34688" xr:uid="{00000000-0005-0000-0000-0000B0870000}"/>
    <cellStyle name="货币 2 2 2 2 3 5 2 9" xfId="34690" xr:uid="{00000000-0005-0000-0000-0000B2870000}"/>
    <cellStyle name="货币 2 2 2 2 3 5 3" xfId="31343" xr:uid="{00000000-0005-0000-0000-00009F7A0000}"/>
    <cellStyle name="货币 2 2 2 2 3 5 3 2" xfId="34691" xr:uid="{00000000-0005-0000-0000-0000B3870000}"/>
    <cellStyle name="货币 2 2 2 2 3 5 3 3" xfId="30000" xr:uid="{00000000-0005-0000-0000-000060750000}"/>
    <cellStyle name="货币 2 2 2 2 3 5 3 4" xfId="30003" xr:uid="{00000000-0005-0000-0000-000063750000}"/>
    <cellStyle name="货币 2 2 2 2 3 5 3 5" xfId="34693" xr:uid="{00000000-0005-0000-0000-0000B5870000}"/>
    <cellStyle name="货币 2 2 2 2 3 5 3 6" xfId="34695" xr:uid="{00000000-0005-0000-0000-0000B7870000}"/>
    <cellStyle name="货币 2 2 2 2 3 5 4" xfId="34696" xr:uid="{00000000-0005-0000-0000-0000B8870000}"/>
    <cellStyle name="货币 2 2 2 2 3 5 4 2" xfId="34697" xr:uid="{00000000-0005-0000-0000-0000B9870000}"/>
    <cellStyle name="货币 2 2 2 2 3 5 5" xfId="4242" xr:uid="{00000000-0005-0000-0000-0000C2100000}"/>
    <cellStyle name="货币 2 2 2 2 3 5 6" xfId="1092" xr:uid="{00000000-0005-0000-0000-000074040000}"/>
    <cellStyle name="货币 2 2 2 2 3 5 7" xfId="4334" xr:uid="{00000000-0005-0000-0000-00001E110000}"/>
    <cellStyle name="货币 2 2 2 2 3 5 8" xfId="3441" xr:uid="{00000000-0005-0000-0000-0000A10D0000}"/>
    <cellStyle name="货币 2 2 2 2 3 5 9" xfId="34698" xr:uid="{00000000-0005-0000-0000-0000BA870000}"/>
    <cellStyle name="货币 2 2 2 2 3 6" xfId="34699" xr:uid="{00000000-0005-0000-0000-0000BB870000}"/>
    <cellStyle name="货币 2 2 2 2 3 6 10" xfId="18925" xr:uid="{00000000-0005-0000-0000-00001D4A0000}"/>
    <cellStyle name="货币 2 2 2 2 3 6 11" xfId="18928" xr:uid="{00000000-0005-0000-0000-0000204A0000}"/>
    <cellStyle name="货币 2 2 2 2 3 6 12" xfId="18931" xr:uid="{00000000-0005-0000-0000-0000234A0000}"/>
    <cellStyle name="货币 2 2 2 2 3 6 2" xfId="34701" xr:uid="{00000000-0005-0000-0000-0000BD870000}"/>
    <cellStyle name="货币 2 2 2 2 3 6 2 2" xfId="34702" xr:uid="{00000000-0005-0000-0000-0000BE870000}"/>
    <cellStyle name="货币 2 2 2 2 3 6 2 2 2" xfId="34704" xr:uid="{00000000-0005-0000-0000-0000C0870000}"/>
    <cellStyle name="货币 2 2 2 2 3 6 2 3" xfId="30009" xr:uid="{00000000-0005-0000-0000-000069750000}"/>
    <cellStyle name="货币 2 2 2 2 3 6 2 4" xfId="30012" xr:uid="{00000000-0005-0000-0000-00006C750000}"/>
    <cellStyle name="货币 2 2 2 2 3 6 2 5" xfId="34706" xr:uid="{00000000-0005-0000-0000-0000C2870000}"/>
    <cellStyle name="货币 2 2 2 2 3 6 2 6" xfId="34708" xr:uid="{00000000-0005-0000-0000-0000C4870000}"/>
    <cellStyle name="货币 2 2 2 2 3 6 2 7" xfId="34710" xr:uid="{00000000-0005-0000-0000-0000C6870000}"/>
    <cellStyle name="货币 2 2 2 2 3 6 2 8" xfId="29128" xr:uid="{00000000-0005-0000-0000-0000F8710000}"/>
    <cellStyle name="货币 2 2 2 2 3 6 2 9" xfId="29132" xr:uid="{00000000-0005-0000-0000-0000FC710000}"/>
    <cellStyle name="货币 2 2 2 2 3 6 3" xfId="34711" xr:uid="{00000000-0005-0000-0000-0000C7870000}"/>
    <cellStyle name="货币 2 2 2 2 3 6 3 2" xfId="34712" xr:uid="{00000000-0005-0000-0000-0000C8870000}"/>
    <cellStyle name="货币 2 2 2 2 3 6 3 3" xfId="34713" xr:uid="{00000000-0005-0000-0000-0000C9870000}"/>
    <cellStyle name="货币 2 2 2 2 3 6 3 4" xfId="34715" xr:uid="{00000000-0005-0000-0000-0000CB870000}"/>
    <cellStyle name="货币 2 2 2 2 3 6 3 5" xfId="34717" xr:uid="{00000000-0005-0000-0000-0000CD870000}"/>
    <cellStyle name="货币 2 2 2 2 3 6 3 6" xfId="34719" xr:uid="{00000000-0005-0000-0000-0000CF870000}"/>
    <cellStyle name="货币 2 2 2 2 3 6 4" xfId="34720" xr:uid="{00000000-0005-0000-0000-0000D0870000}"/>
    <cellStyle name="货币 2 2 2 2 3 6 4 2" xfId="34721" xr:uid="{00000000-0005-0000-0000-0000D1870000}"/>
    <cellStyle name="货币 2 2 2 2 3 6 5" xfId="11163" xr:uid="{00000000-0005-0000-0000-0000CB2B0000}"/>
    <cellStyle name="货币 2 2 2 2 3 6 6" xfId="34722" xr:uid="{00000000-0005-0000-0000-0000D2870000}"/>
    <cellStyle name="货币 2 2 2 2 3 6 7" xfId="29421" xr:uid="{00000000-0005-0000-0000-00001D730000}"/>
    <cellStyle name="货币 2 2 2 2 3 6 8" xfId="34723" xr:uid="{00000000-0005-0000-0000-0000D3870000}"/>
    <cellStyle name="货币 2 2 2 2 3 6 9" xfId="34724" xr:uid="{00000000-0005-0000-0000-0000D4870000}"/>
    <cellStyle name="货币 2 2 2 2 3 7" xfId="34725" xr:uid="{00000000-0005-0000-0000-0000D5870000}"/>
    <cellStyle name="货币 2 2 2 2 3 7 2" xfId="34727" xr:uid="{00000000-0005-0000-0000-0000D7870000}"/>
    <cellStyle name="货币 2 2 2 2 3 7 2 2" xfId="14522" xr:uid="{00000000-0005-0000-0000-0000EA380000}"/>
    <cellStyle name="货币 2 2 2 2 3 7 3" xfId="34728" xr:uid="{00000000-0005-0000-0000-0000D8870000}"/>
    <cellStyle name="货币 2 2 2 2 3 7 4" xfId="34729" xr:uid="{00000000-0005-0000-0000-0000D9870000}"/>
    <cellStyle name="货币 2 2 2 2 3 7 5" xfId="34730" xr:uid="{00000000-0005-0000-0000-0000DA870000}"/>
    <cellStyle name="货币 2 2 2 2 3 7 6" xfId="34731" xr:uid="{00000000-0005-0000-0000-0000DB870000}"/>
    <cellStyle name="货币 2 2 2 2 3 7 7" xfId="34732" xr:uid="{00000000-0005-0000-0000-0000DC870000}"/>
    <cellStyle name="货币 2 2 2 2 3 7 8" xfId="34733" xr:uid="{00000000-0005-0000-0000-0000DD870000}"/>
    <cellStyle name="货币 2 2 2 2 3 7 9" xfId="34734" xr:uid="{00000000-0005-0000-0000-0000DE870000}"/>
    <cellStyle name="货币 2 2 2 2 3 8" xfId="34735" xr:uid="{00000000-0005-0000-0000-0000DF870000}"/>
    <cellStyle name="货币 2 2 2 2 3 8 2" xfId="34737" xr:uid="{00000000-0005-0000-0000-0000E1870000}"/>
    <cellStyle name="货币 2 2 2 2 3 8 3" xfId="34738" xr:uid="{00000000-0005-0000-0000-0000E2870000}"/>
    <cellStyle name="货币 2 2 2 2 3 8 4" xfId="34739" xr:uid="{00000000-0005-0000-0000-0000E3870000}"/>
    <cellStyle name="货币 2 2 2 2 3 8 5" xfId="34740" xr:uid="{00000000-0005-0000-0000-0000E4870000}"/>
    <cellStyle name="货币 2 2 2 2 3 8 6" xfId="34741" xr:uid="{00000000-0005-0000-0000-0000E5870000}"/>
    <cellStyle name="货币 2 2 2 2 3 9" xfId="3394" xr:uid="{00000000-0005-0000-0000-0000720D0000}"/>
    <cellStyle name="货币 2 2 2 2 3 9 2" xfId="34743" xr:uid="{00000000-0005-0000-0000-0000E7870000}"/>
    <cellStyle name="货币 2 2 2 2 3 9 3" xfId="34744" xr:uid="{00000000-0005-0000-0000-0000E8870000}"/>
    <cellStyle name="货币 2 2 2 2 3 9 4" xfId="34746" xr:uid="{00000000-0005-0000-0000-0000EA870000}"/>
    <cellStyle name="货币 2 2 2 2 3 9 5" xfId="34747" xr:uid="{00000000-0005-0000-0000-0000EB870000}"/>
    <cellStyle name="货币 2 2 2 2 3 9 6" xfId="34748" xr:uid="{00000000-0005-0000-0000-0000EC870000}"/>
    <cellStyle name="货币 2 2 2 2 4" xfId="34749" xr:uid="{00000000-0005-0000-0000-0000ED870000}"/>
    <cellStyle name="货币 2 2 2 2 4 10" xfId="8014" xr:uid="{00000000-0005-0000-0000-00007E1F0000}"/>
    <cellStyle name="货币 2 2 2 2 4 10 2" xfId="27087" xr:uid="{00000000-0005-0000-0000-0000FF690000}"/>
    <cellStyle name="货币 2 2 2 2 4 10 3" xfId="27091" xr:uid="{00000000-0005-0000-0000-0000036A0000}"/>
    <cellStyle name="货币 2 2 2 2 4 10 4" xfId="27096" xr:uid="{00000000-0005-0000-0000-0000086A0000}"/>
    <cellStyle name="货币 2 2 2 2 4 10 5" xfId="2383" xr:uid="{00000000-0005-0000-0000-00007F090000}"/>
    <cellStyle name="货币 2 2 2 2 4 10 6" xfId="7471" xr:uid="{00000000-0005-0000-0000-00005F1D0000}"/>
    <cellStyle name="货币 2 2 2 2 4 11" xfId="8020" xr:uid="{00000000-0005-0000-0000-0000841F0000}"/>
    <cellStyle name="货币 2 2 2 2 4 11 2" xfId="27102" xr:uid="{00000000-0005-0000-0000-00000E6A0000}"/>
    <cellStyle name="货币 2 2 2 2 4 11 3" xfId="27110" xr:uid="{00000000-0005-0000-0000-0000166A0000}"/>
    <cellStyle name="货币 2 2 2 2 4 11 4" xfId="23819" xr:uid="{00000000-0005-0000-0000-00003B5D0000}"/>
    <cellStyle name="货币 2 2 2 2 4 11 5" xfId="16732" xr:uid="{00000000-0005-0000-0000-00008C410000}"/>
    <cellStyle name="货币 2 2 2 2 4 11 6" xfId="24017" xr:uid="{00000000-0005-0000-0000-0000015E0000}"/>
    <cellStyle name="货币 2 2 2 2 4 12" xfId="2317" xr:uid="{00000000-0005-0000-0000-00003D090000}"/>
    <cellStyle name="货币 2 2 2 2 4 13" xfId="763" xr:uid="{00000000-0005-0000-0000-00002B030000}"/>
    <cellStyle name="货币 2 2 2 2 4 14" xfId="382" xr:uid="{00000000-0005-0000-0000-000097010000}"/>
    <cellStyle name="货币 2 2 2 2 4 15" xfId="1256" xr:uid="{00000000-0005-0000-0000-000018050000}"/>
    <cellStyle name="货币 2 2 2 2 4 16" xfId="34750" xr:uid="{00000000-0005-0000-0000-0000EE870000}"/>
    <cellStyle name="货币 2 2 2 2 4 17" xfId="34752" xr:uid="{00000000-0005-0000-0000-0000F0870000}"/>
    <cellStyle name="货币 2 2 2 2 4 18" xfId="34754" xr:uid="{00000000-0005-0000-0000-0000F2870000}"/>
    <cellStyle name="货币 2 2 2 2 4 19" xfId="34757" xr:uid="{00000000-0005-0000-0000-0000F5870000}"/>
    <cellStyle name="货币 2 2 2 2 4 2" xfId="34759" xr:uid="{00000000-0005-0000-0000-0000F7870000}"/>
    <cellStyle name="货币 2 2 2 2 4 2 10" xfId="17980" xr:uid="{00000000-0005-0000-0000-00006C460000}"/>
    <cellStyle name="货币 2 2 2 2 4 2 11" xfId="5463" xr:uid="{00000000-0005-0000-0000-000087150000}"/>
    <cellStyle name="货币 2 2 2 2 4 2 12" xfId="7082" xr:uid="{00000000-0005-0000-0000-0000DA1B0000}"/>
    <cellStyle name="货币 2 2 2 2 4 2 13" xfId="7089" xr:uid="{00000000-0005-0000-0000-0000E11B0000}"/>
    <cellStyle name="货币 2 2 2 2 4 2 14" xfId="17984" xr:uid="{00000000-0005-0000-0000-000070460000}"/>
    <cellStyle name="货币 2 2 2 2 4 2 15" xfId="17988" xr:uid="{00000000-0005-0000-0000-000074460000}"/>
    <cellStyle name="货币 2 2 2 2 4 2 16" xfId="34760" xr:uid="{00000000-0005-0000-0000-0000F8870000}"/>
    <cellStyle name="货币 2 2 2 2 4 2 17" xfId="34761" xr:uid="{00000000-0005-0000-0000-0000F9870000}"/>
    <cellStyle name="货币 2 2 2 2 4 2 18" xfId="30405" xr:uid="{00000000-0005-0000-0000-0000F5760000}"/>
    <cellStyle name="货币 2 2 2 2 4 2 2" xfId="34763" xr:uid="{00000000-0005-0000-0000-0000FB870000}"/>
    <cellStyle name="货币 2 2 2 2 4 2 2 10" xfId="28992" xr:uid="{00000000-0005-0000-0000-000070710000}"/>
    <cellStyle name="货币 2 2 2 2 4 2 2 11" xfId="28995" xr:uid="{00000000-0005-0000-0000-000073710000}"/>
    <cellStyle name="货币 2 2 2 2 4 2 2 12" xfId="28997" xr:uid="{00000000-0005-0000-0000-000075710000}"/>
    <cellStyle name="货币 2 2 2 2 4 2 2 2" xfId="34765" xr:uid="{00000000-0005-0000-0000-0000FD870000}"/>
    <cellStyle name="货币 2 2 2 2 4 2 2 2 2" xfId="34766" xr:uid="{00000000-0005-0000-0000-0000FE870000}"/>
    <cellStyle name="货币 2 2 2 2 4 2 2 2 2 2" xfId="34767" xr:uid="{00000000-0005-0000-0000-0000FF870000}"/>
    <cellStyle name="货币 2 2 2 2 4 2 2 2 3" xfId="34768" xr:uid="{00000000-0005-0000-0000-000000880000}"/>
    <cellStyle name="货币 2 2 2 2 4 2 2 2 4" xfId="34771" xr:uid="{00000000-0005-0000-0000-000003880000}"/>
    <cellStyle name="货币 2 2 2 2 4 2 2 2 5" xfId="8954" xr:uid="{00000000-0005-0000-0000-00002A230000}"/>
    <cellStyle name="货币 2 2 2 2 4 2 2 3" xfId="34773" xr:uid="{00000000-0005-0000-0000-000005880000}"/>
    <cellStyle name="货币 2 2 2 2 4 2 2 3 2" xfId="34774" xr:uid="{00000000-0005-0000-0000-000006880000}"/>
    <cellStyle name="货币 2 2 2 2 4 2 2 4" xfId="34776" xr:uid="{00000000-0005-0000-0000-000008880000}"/>
    <cellStyle name="货币 2 2 2 2 4 2 2 5" xfId="34778" xr:uid="{00000000-0005-0000-0000-00000A880000}"/>
    <cellStyle name="货币 2 2 2 2 4 2 2 6" xfId="34781" xr:uid="{00000000-0005-0000-0000-00000D880000}"/>
    <cellStyle name="货币 2 2 2 2 4 2 2 7" xfId="34782" xr:uid="{00000000-0005-0000-0000-00000E880000}"/>
    <cellStyle name="货币 2 2 2 2 4 2 2 8" xfId="34783" xr:uid="{00000000-0005-0000-0000-00000F880000}"/>
    <cellStyle name="货币 2 2 2 2 4 2 2 9" xfId="34785" xr:uid="{00000000-0005-0000-0000-000011880000}"/>
    <cellStyle name="货币 2 2 2 2 4 2 3" xfId="34787" xr:uid="{00000000-0005-0000-0000-000013880000}"/>
    <cellStyle name="货币 2 2 2 2 4 2 3 10" xfId="31452" xr:uid="{00000000-0005-0000-0000-00000C7B0000}"/>
    <cellStyle name="货币 2 2 2 2 4 2 3 11" xfId="34788" xr:uid="{00000000-0005-0000-0000-000014880000}"/>
    <cellStyle name="货币 2 2 2 2 4 2 3 12" xfId="21214" xr:uid="{00000000-0005-0000-0000-00000E530000}"/>
    <cellStyle name="货币 2 2 2 2 4 2 3 2" xfId="21657" xr:uid="{00000000-0005-0000-0000-0000C9540000}"/>
    <cellStyle name="货币 2 2 2 2 4 2 3 2 2" xfId="34789" xr:uid="{00000000-0005-0000-0000-000015880000}"/>
    <cellStyle name="货币 2 2 2 2 4 2 3 2 2 2" xfId="34791" xr:uid="{00000000-0005-0000-0000-000017880000}"/>
    <cellStyle name="货币 2 2 2 2 4 2 3 2 3" xfId="34792" xr:uid="{00000000-0005-0000-0000-000018880000}"/>
    <cellStyle name="货币 2 2 2 2 4 2 3 2 4" xfId="34794" xr:uid="{00000000-0005-0000-0000-00001A880000}"/>
    <cellStyle name="货币 2 2 2 2 4 2 3 2 5" xfId="8059" xr:uid="{00000000-0005-0000-0000-0000AB1F0000}"/>
    <cellStyle name="货币 2 2 2 2 4 2 3 3" xfId="21661" xr:uid="{00000000-0005-0000-0000-0000CD540000}"/>
    <cellStyle name="货币 2 2 2 2 4 2 3 3 2" xfId="34795" xr:uid="{00000000-0005-0000-0000-00001B880000}"/>
    <cellStyle name="货币 2 2 2 2 4 2 3 4" xfId="21665" xr:uid="{00000000-0005-0000-0000-0000D1540000}"/>
    <cellStyle name="货币 2 2 2 2 4 2 3 5" xfId="21670" xr:uid="{00000000-0005-0000-0000-0000D6540000}"/>
    <cellStyle name="货币 2 2 2 2 4 2 3 6" xfId="21675" xr:uid="{00000000-0005-0000-0000-0000DB540000}"/>
    <cellStyle name="货币 2 2 2 2 4 2 3 7" xfId="21680" xr:uid="{00000000-0005-0000-0000-0000E0540000}"/>
    <cellStyle name="货币 2 2 2 2 4 2 3 8" xfId="29295" xr:uid="{00000000-0005-0000-0000-00009F720000}"/>
    <cellStyle name="货币 2 2 2 2 4 2 3 9" xfId="34796" xr:uid="{00000000-0005-0000-0000-00001C880000}"/>
    <cellStyle name="货币 2 2 2 2 4 2 4" xfId="34799" xr:uid="{00000000-0005-0000-0000-00001F880000}"/>
    <cellStyle name="货币 2 2 2 2 4 2 4 10" xfId="34800" xr:uid="{00000000-0005-0000-0000-000020880000}"/>
    <cellStyle name="货币 2 2 2 2 4 2 4 2" xfId="34802" xr:uid="{00000000-0005-0000-0000-000022880000}"/>
    <cellStyle name="货币 2 2 2 2 4 2 4 2 2" xfId="34805" xr:uid="{00000000-0005-0000-0000-000025880000}"/>
    <cellStyle name="货币 2 2 2 2 4 2 4 2 2 2" xfId="34807" xr:uid="{00000000-0005-0000-0000-000027880000}"/>
    <cellStyle name="货币 2 2 2 2 4 2 4 2 3" xfId="34809" xr:uid="{00000000-0005-0000-0000-000029880000}"/>
    <cellStyle name="货币 2 2 2 2 4 2 4 2 4" xfId="34811" xr:uid="{00000000-0005-0000-0000-00002B880000}"/>
    <cellStyle name="货币 2 2 2 2 4 2 4 2 5" xfId="30403" xr:uid="{00000000-0005-0000-0000-0000F3760000}"/>
    <cellStyle name="货币 2 2 2 2 4 2 4 3" xfId="34813" xr:uid="{00000000-0005-0000-0000-00002D880000}"/>
    <cellStyle name="货币 2 2 2 2 4 2 4 3 2" xfId="34814" xr:uid="{00000000-0005-0000-0000-00002E880000}"/>
    <cellStyle name="货币 2 2 2 2 4 2 4 4" xfId="34816" xr:uid="{00000000-0005-0000-0000-000030880000}"/>
    <cellStyle name="货币 2 2 2 2 4 2 4 5" xfId="34818" xr:uid="{00000000-0005-0000-0000-000032880000}"/>
    <cellStyle name="货币 2 2 2 2 4 2 4 6" xfId="34819" xr:uid="{00000000-0005-0000-0000-000033880000}"/>
    <cellStyle name="货币 2 2 2 2 4 2 4 7" xfId="29300" xr:uid="{00000000-0005-0000-0000-0000A4720000}"/>
    <cellStyle name="货币 2 2 2 2 4 2 4 8" xfId="34820" xr:uid="{00000000-0005-0000-0000-000034880000}"/>
    <cellStyle name="货币 2 2 2 2 4 2 4 9" xfId="34821" xr:uid="{00000000-0005-0000-0000-000035880000}"/>
    <cellStyle name="货币 2 2 2 2 4 2 5" xfId="34824" xr:uid="{00000000-0005-0000-0000-000038880000}"/>
    <cellStyle name="货币 2 2 2 2 4 2 5 10" xfId="915" xr:uid="{00000000-0005-0000-0000-0000C3030000}"/>
    <cellStyle name="货币 2 2 2 2 4 2 5 2" xfId="34826" xr:uid="{00000000-0005-0000-0000-00003A880000}"/>
    <cellStyle name="货币 2 2 2 2 4 2 5 2 2" xfId="25089" xr:uid="{00000000-0005-0000-0000-000031620000}"/>
    <cellStyle name="货币 2 2 2 2 4 2 5 2 2 2" xfId="34828" xr:uid="{00000000-0005-0000-0000-00003C880000}"/>
    <cellStyle name="货币 2 2 2 2 4 2 5 2 3" xfId="3286" xr:uid="{00000000-0005-0000-0000-0000060D0000}"/>
    <cellStyle name="货币 2 2 2 2 4 2 5 2 4" xfId="25092" xr:uid="{00000000-0005-0000-0000-000034620000}"/>
    <cellStyle name="货币 2 2 2 2 4 2 5 2 5" xfId="16103" xr:uid="{00000000-0005-0000-0000-0000173F0000}"/>
    <cellStyle name="货币 2 2 2 2 4 2 5 3" xfId="8920" xr:uid="{00000000-0005-0000-0000-000008230000}"/>
    <cellStyle name="货币 2 2 2 2 4 2 5 3 2" xfId="13646" xr:uid="{00000000-0005-0000-0000-00007E350000}"/>
    <cellStyle name="货币 2 2 2 2 4 2 5 4" xfId="7407" xr:uid="{00000000-0005-0000-0000-00001F1D0000}"/>
    <cellStyle name="货币 2 2 2 2 4 2 5 5" xfId="8926" xr:uid="{00000000-0005-0000-0000-00000E230000}"/>
    <cellStyle name="货币 2 2 2 2 4 2 5 6" xfId="8932" xr:uid="{00000000-0005-0000-0000-000014230000}"/>
    <cellStyle name="货币 2 2 2 2 4 2 5 7" xfId="8938" xr:uid="{00000000-0005-0000-0000-00001A230000}"/>
    <cellStyle name="货币 2 2 2 2 4 2 5 8" xfId="8944" xr:uid="{00000000-0005-0000-0000-000020230000}"/>
    <cellStyle name="货币 2 2 2 2 4 2 5 9" xfId="11360" xr:uid="{00000000-0005-0000-0000-0000902C0000}"/>
    <cellStyle name="货币 2 2 2 2 4 2 6" xfId="34833" xr:uid="{00000000-0005-0000-0000-000041880000}"/>
    <cellStyle name="货币 2 2 2 2 4 2 6 2" xfId="34769" xr:uid="{00000000-0005-0000-0000-000001880000}"/>
    <cellStyle name="货币 2 2 2 2 4 2 6 2 2" xfId="11019" xr:uid="{00000000-0005-0000-0000-00003B2B0000}"/>
    <cellStyle name="货币 2 2 2 2 4 2 6 3" xfId="8952" xr:uid="{00000000-0005-0000-0000-000028230000}"/>
    <cellStyle name="货币 2 2 2 2 4 2 6 4" xfId="8959" xr:uid="{00000000-0005-0000-0000-00002F230000}"/>
    <cellStyle name="货币 2 2 2 2 4 2 6 5" xfId="8967" xr:uid="{00000000-0005-0000-0000-000037230000}"/>
    <cellStyle name="货币 2 2 2 2 4 2 6 6" xfId="13657" xr:uid="{00000000-0005-0000-0000-000089350000}"/>
    <cellStyle name="货币 2 2 2 2 4 2 6 7" xfId="13664" xr:uid="{00000000-0005-0000-0000-000090350000}"/>
    <cellStyle name="货币 2 2 2 2 4 2 6 8" xfId="34834" xr:uid="{00000000-0005-0000-0000-000042880000}"/>
    <cellStyle name="货币 2 2 2 2 4 2 6 9" xfId="34835" xr:uid="{00000000-0005-0000-0000-000043880000}"/>
    <cellStyle name="货币 2 2 2 2 4 2 7" xfId="26347" xr:uid="{00000000-0005-0000-0000-00001B670000}"/>
    <cellStyle name="货币 2 2 2 2 4 2 7 2" xfId="34836" xr:uid="{00000000-0005-0000-0000-000044880000}"/>
    <cellStyle name="货币 2 2 2 2 4 2 8" xfId="26354" xr:uid="{00000000-0005-0000-0000-000022670000}"/>
    <cellStyle name="货币 2 2 2 2 4 2 9" xfId="26361" xr:uid="{00000000-0005-0000-0000-000029670000}"/>
    <cellStyle name="货币 2 2 2 2 4 20" xfId="1257" xr:uid="{00000000-0005-0000-0000-000019050000}"/>
    <cellStyle name="货币 2 2 2 2 4 21" xfId="34751" xr:uid="{00000000-0005-0000-0000-0000EF870000}"/>
    <cellStyle name="货币 2 2 2 2 4 22" xfId="34753" xr:uid="{00000000-0005-0000-0000-0000F1870000}"/>
    <cellStyle name="货币 2 2 2 2 4 23" xfId="34755" xr:uid="{00000000-0005-0000-0000-0000F3870000}"/>
    <cellStyle name="货币 2 2 2 2 4 3" xfId="34837" xr:uid="{00000000-0005-0000-0000-000045880000}"/>
    <cellStyle name="货币 2 2 2 2 4 3 10" xfId="12221" xr:uid="{00000000-0005-0000-0000-0000ED2F0000}"/>
    <cellStyle name="货币 2 2 2 2 4 3 11" xfId="12231" xr:uid="{00000000-0005-0000-0000-0000F72F0000}"/>
    <cellStyle name="货币 2 2 2 2 4 3 12" xfId="12238" xr:uid="{00000000-0005-0000-0000-0000FE2F0000}"/>
    <cellStyle name="货币 2 2 2 2 4 3 13" xfId="34838" xr:uid="{00000000-0005-0000-0000-000046880000}"/>
    <cellStyle name="货币 2 2 2 2 4 3 14" xfId="34839" xr:uid="{00000000-0005-0000-0000-000047880000}"/>
    <cellStyle name="货币 2 2 2 2 4 3 15" xfId="34840" xr:uid="{00000000-0005-0000-0000-000048880000}"/>
    <cellStyle name="货币 2 2 2 2 4 3 16" xfId="34841" xr:uid="{00000000-0005-0000-0000-000049880000}"/>
    <cellStyle name="货币 2 2 2 2 4 3 17" xfId="34842" xr:uid="{00000000-0005-0000-0000-00004A880000}"/>
    <cellStyle name="货币 2 2 2 2 4 3 18" xfId="2407" xr:uid="{00000000-0005-0000-0000-000097090000}"/>
    <cellStyle name="货币 2 2 2 2 4 3 2" xfId="34844" xr:uid="{00000000-0005-0000-0000-00004C880000}"/>
    <cellStyle name="货币 2 2 2 2 4 3 2 10" xfId="34847" xr:uid="{00000000-0005-0000-0000-00004F880000}"/>
    <cellStyle name="货币 2 2 2 2 4 3 2 2" xfId="34848" xr:uid="{00000000-0005-0000-0000-000050880000}"/>
    <cellStyle name="货币 2 2 2 2 4 3 2 2 2" xfId="34849" xr:uid="{00000000-0005-0000-0000-000051880000}"/>
    <cellStyle name="货币 2 2 2 2 4 3 2 3" xfId="30283" xr:uid="{00000000-0005-0000-0000-00007B760000}"/>
    <cellStyle name="货币 2 2 2 2 4 3 2 4" xfId="30299" xr:uid="{00000000-0005-0000-0000-00008B760000}"/>
    <cellStyle name="货币 2 2 2 2 4 3 2 5" xfId="30305" xr:uid="{00000000-0005-0000-0000-000091760000}"/>
    <cellStyle name="货币 2 2 2 2 4 3 2 6" xfId="30309" xr:uid="{00000000-0005-0000-0000-000095760000}"/>
    <cellStyle name="货币 2 2 2 2 4 3 2 7" xfId="2111" xr:uid="{00000000-0005-0000-0000-00006F080000}"/>
    <cellStyle name="货币 2 2 2 2 4 3 2 8" xfId="30313" xr:uid="{00000000-0005-0000-0000-000099760000}"/>
    <cellStyle name="货币 2 2 2 2 4 3 2 9" xfId="30286" xr:uid="{00000000-0005-0000-0000-00007E760000}"/>
    <cellStyle name="货币 2 2 2 2 4 3 3" xfId="34851" xr:uid="{00000000-0005-0000-0000-000053880000}"/>
    <cellStyle name="货币 2 2 2 2 4 3 3 2" xfId="34852" xr:uid="{00000000-0005-0000-0000-000054880000}"/>
    <cellStyle name="货币 2 2 2 2 4 3 3 3" xfId="30322" xr:uid="{00000000-0005-0000-0000-0000A2760000}"/>
    <cellStyle name="货币 2 2 2 2 4 3 3 4" xfId="30339" xr:uid="{00000000-0005-0000-0000-0000B3760000}"/>
    <cellStyle name="货币 2 2 2 2 4 3 3 5" xfId="30343" xr:uid="{00000000-0005-0000-0000-0000B7760000}"/>
    <cellStyle name="货币 2 2 2 2 4 3 3 6" xfId="30346" xr:uid="{00000000-0005-0000-0000-0000BA760000}"/>
    <cellStyle name="货币 2 2 2 2 4 3 4" xfId="34855" xr:uid="{00000000-0005-0000-0000-000057880000}"/>
    <cellStyle name="货币 2 2 2 2 4 3 4 2" xfId="34857" xr:uid="{00000000-0005-0000-0000-000059880000}"/>
    <cellStyle name="货币 2 2 2 2 4 3 4 3" xfId="30355" xr:uid="{00000000-0005-0000-0000-0000C3760000}"/>
    <cellStyle name="货币 2 2 2 2 4 3 4 4" xfId="30359" xr:uid="{00000000-0005-0000-0000-0000C7760000}"/>
    <cellStyle name="货币 2 2 2 2 4 3 4 5" xfId="30363" xr:uid="{00000000-0005-0000-0000-0000CB760000}"/>
    <cellStyle name="货币 2 2 2 2 4 3 4 6" xfId="30366" xr:uid="{00000000-0005-0000-0000-0000CE760000}"/>
    <cellStyle name="货币 2 2 2 2 4 3 5" xfId="34860" xr:uid="{00000000-0005-0000-0000-00005C880000}"/>
    <cellStyle name="货币 2 2 2 2 4 3 5 2" xfId="34862" xr:uid="{00000000-0005-0000-0000-00005E880000}"/>
    <cellStyle name="货币 2 2 2 2 4 3 5 3" xfId="8010" xr:uid="{00000000-0005-0000-0000-00007A1F0000}"/>
    <cellStyle name="货币 2 2 2 2 4 3 5 4" xfId="7434" xr:uid="{00000000-0005-0000-0000-00003A1D0000}"/>
    <cellStyle name="货币 2 2 2 2 4 3 5 5" xfId="8016" xr:uid="{00000000-0005-0000-0000-0000801F0000}"/>
    <cellStyle name="货币 2 2 2 2 4 3 5 6" xfId="8022" xr:uid="{00000000-0005-0000-0000-0000861F0000}"/>
    <cellStyle name="货币 2 2 2 2 4 3 6" xfId="34864" xr:uid="{00000000-0005-0000-0000-000060880000}"/>
    <cellStyle name="货币 2 2 2 2 4 3 6 2" xfId="34793" xr:uid="{00000000-0005-0000-0000-000019880000}"/>
    <cellStyle name="货币 2 2 2 2 4 3 6 3" xfId="8057" xr:uid="{00000000-0005-0000-0000-0000A91F0000}"/>
    <cellStyle name="货币 2 2 2 2 4 3 6 4" xfId="8065" xr:uid="{00000000-0005-0000-0000-0000B11F0000}"/>
    <cellStyle name="货币 2 2 2 2 4 3 6 5" xfId="8072" xr:uid="{00000000-0005-0000-0000-0000B81F0000}"/>
    <cellStyle name="货币 2 2 2 2 4 3 6 6" xfId="8081" xr:uid="{00000000-0005-0000-0000-0000C11F0000}"/>
    <cellStyle name="货币 2 2 2 2 4 3 7" xfId="26369" xr:uid="{00000000-0005-0000-0000-000031670000}"/>
    <cellStyle name="货币 2 2 2 2 4 3 8" xfId="26373" xr:uid="{00000000-0005-0000-0000-000035670000}"/>
    <cellStyle name="货币 2 2 2 2 4 3 9" xfId="275" xr:uid="{00000000-0005-0000-0000-000025010000}"/>
    <cellStyle name="货币 2 2 2 2 4 4" xfId="34865" xr:uid="{00000000-0005-0000-0000-000061880000}"/>
    <cellStyle name="货币 2 2 2 2 4 4 10" xfId="18065" xr:uid="{00000000-0005-0000-0000-0000C1460000}"/>
    <cellStyle name="货币 2 2 2 2 4 4 11" xfId="34803" xr:uid="{00000000-0005-0000-0000-000023880000}"/>
    <cellStyle name="货币 2 2 2 2 4 4 12" xfId="34808" xr:uid="{00000000-0005-0000-0000-000028880000}"/>
    <cellStyle name="货币 2 2 2 2 4 4 13" xfId="34810" xr:uid="{00000000-0005-0000-0000-00002A880000}"/>
    <cellStyle name="货币 2 2 2 2 4 4 14" xfId="30402" xr:uid="{00000000-0005-0000-0000-0000F2760000}"/>
    <cellStyle name="货币 2 2 2 2 4 4 15" xfId="30407" xr:uid="{00000000-0005-0000-0000-0000F7760000}"/>
    <cellStyle name="货币 2 2 2 2 4 4 2" xfId="34868" xr:uid="{00000000-0005-0000-0000-000064880000}"/>
    <cellStyle name="货币 2 2 2 2 4 4 2 2" xfId="29668" xr:uid="{00000000-0005-0000-0000-000014740000}"/>
    <cellStyle name="货币 2 2 2 2 4 4 2 2 2" xfId="34869" xr:uid="{00000000-0005-0000-0000-000065880000}"/>
    <cellStyle name="货币 2 2 2 2 4 4 2 3" xfId="29671" xr:uid="{00000000-0005-0000-0000-000017740000}"/>
    <cellStyle name="货币 2 2 2 2 4 4 2 4" xfId="29674" xr:uid="{00000000-0005-0000-0000-00001A740000}"/>
    <cellStyle name="货币 2 2 2 2 4 4 2 5" xfId="30383" xr:uid="{00000000-0005-0000-0000-0000DF760000}"/>
    <cellStyle name="货币 2 2 2 2 4 4 2 6" xfId="34870" xr:uid="{00000000-0005-0000-0000-000066880000}"/>
    <cellStyle name="货币 2 2 2 2 4 4 2 7" xfId="2425" xr:uid="{00000000-0005-0000-0000-0000A9090000}"/>
    <cellStyle name="货币 2 2 2 2 4 4 2 8" xfId="34871" xr:uid="{00000000-0005-0000-0000-000067880000}"/>
    <cellStyle name="货币 2 2 2 2 4 4 2 9" xfId="34872" xr:uid="{00000000-0005-0000-0000-000068880000}"/>
    <cellStyle name="货币 2 2 2 2 4 4 3" xfId="31358" xr:uid="{00000000-0005-0000-0000-0000AE7A0000}"/>
    <cellStyle name="货币 2 2 2 2 4 4 3 2" xfId="34873" xr:uid="{00000000-0005-0000-0000-000069880000}"/>
    <cellStyle name="货币 2 2 2 2 4 4 3 3" xfId="30386" xr:uid="{00000000-0005-0000-0000-0000E2760000}"/>
    <cellStyle name="货币 2 2 2 2 4 4 3 4" xfId="30389" xr:uid="{00000000-0005-0000-0000-0000E5760000}"/>
    <cellStyle name="货币 2 2 2 2 4 4 3 5" xfId="30391" xr:uid="{00000000-0005-0000-0000-0000E7760000}"/>
    <cellStyle name="货币 2 2 2 2 4 4 3 6" xfId="34874" xr:uid="{00000000-0005-0000-0000-00006A880000}"/>
    <cellStyle name="货币 2 2 2 2 4 4 4" xfId="34877" xr:uid="{00000000-0005-0000-0000-00006D880000}"/>
    <cellStyle name="货币 2 2 2 2 4 4 4 2" xfId="34879" xr:uid="{00000000-0005-0000-0000-00006F880000}"/>
    <cellStyle name="货币 2 2 2 2 4 4 5" xfId="34881" xr:uid="{00000000-0005-0000-0000-000071880000}"/>
    <cellStyle name="货币 2 2 2 2 4 4 6" xfId="34883" xr:uid="{00000000-0005-0000-0000-000073880000}"/>
    <cellStyle name="货币 2 2 2 2 4 4 7" xfId="26378" xr:uid="{00000000-0005-0000-0000-00003A670000}"/>
    <cellStyle name="货币 2 2 2 2 4 4 8" xfId="23506" xr:uid="{00000000-0005-0000-0000-0000025C0000}"/>
    <cellStyle name="货币 2 2 2 2 4 4 9" xfId="23512" xr:uid="{00000000-0005-0000-0000-0000085C0000}"/>
    <cellStyle name="货币 2 2 2 2 4 5" xfId="34884" xr:uid="{00000000-0005-0000-0000-000074880000}"/>
    <cellStyle name="货币 2 2 2 2 4 5 10" xfId="34885" xr:uid="{00000000-0005-0000-0000-000075880000}"/>
    <cellStyle name="货币 2 2 2 2 4 5 11" xfId="34886" xr:uid="{00000000-0005-0000-0000-000076880000}"/>
    <cellStyle name="货币 2 2 2 2 4 5 12" xfId="34887" xr:uid="{00000000-0005-0000-0000-000077880000}"/>
    <cellStyle name="货币 2 2 2 2 4 5 13" xfId="34888" xr:uid="{00000000-0005-0000-0000-000078880000}"/>
    <cellStyle name="货币 2 2 2 2 4 5 2" xfId="34889" xr:uid="{00000000-0005-0000-0000-000079880000}"/>
    <cellStyle name="货币 2 2 2 2 4 5 2 2" xfId="34890" xr:uid="{00000000-0005-0000-0000-00007A880000}"/>
    <cellStyle name="货币 2 2 2 2 4 5 2 2 2" xfId="26425" xr:uid="{00000000-0005-0000-0000-000069670000}"/>
    <cellStyle name="货币 2 2 2 2 4 5 2 3" xfId="34891" xr:uid="{00000000-0005-0000-0000-00007B880000}"/>
    <cellStyle name="货币 2 2 2 2 4 5 2 4" xfId="34893" xr:uid="{00000000-0005-0000-0000-00007D880000}"/>
    <cellStyle name="货币 2 2 2 2 4 5 2 5" xfId="34895" xr:uid="{00000000-0005-0000-0000-00007F880000}"/>
    <cellStyle name="货币 2 2 2 2 4 5 2 6" xfId="34897" xr:uid="{00000000-0005-0000-0000-000081880000}"/>
    <cellStyle name="货币 2 2 2 2 4 5 2 7" xfId="1057" xr:uid="{00000000-0005-0000-0000-000051040000}"/>
    <cellStyle name="货币 2 2 2 2 4 5 2 8" xfId="34899" xr:uid="{00000000-0005-0000-0000-000083880000}"/>
    <cellStyle name="货币 2 2 2 2 4 5 2 9" xfId="34901" xr:uid="{00000000-0005-0000-0000-000085880000}"/>
    <cellStyle name="货币 2 2 2 2 4 5 3" xfId="31360" xr:uid="{00000000-0005-0000-0000-0000B07A0000}"/>
    <cellStyle name="货币 2 2 2 2 4 5 3 2" xfId="34902" xr:uid="{00000000-0005-0000-0000-000086880000}"/>
    <cellStyle name="货币 2 2 2 2 4 5 3 3" xfId="34903" xr:uid="{00000000-0005-0000-0000-000087880000}"/>
    <cellStyle name="货币 2 2 2 2 4 5 3 4" xfId="34906" xr:uid="{00000000-0005-0000-0000-00008A880000}"/>
    <cellStyle name="货币 2 2 2 2 4 5 3 5" xfId="34909" xr:uid="{00000000-0005-0000-0000-00008D880000}"/>
    <cellStyle name="货币 2 2 2 2 4 5 3 6" xfId="34912" xr:uid="{00000000-0005-0000-0000-000090880000}"/>
    <cellStyle name="货币 2 2 2 2 4 5 4" xfId="30758" xr:uid="{00000000-0005-0000-0000-000056780000}"/>
    <cellStyle name="货币 2 2 2 2 4 5 4 2" xfId="34914" xr:uid="{00000000-0005-0000-0000-000092880000}"/>
    <cellStyle name="货币 2 2 2 2 4 5 5" xfId="11179" xr:uid="{00000000-0005-0000-0000-0000DB2B0000}"/>
    <cellStyle name="货币 2 2 2 2 4 5 6" xfId="30761" xr:uid="{00000000-0005-0000-0000-000059780000}"/>
    <cellStyle name="货币 2 2 2 2 4 5 7" xfId="26382" xr:uid="{00000000-0005-0000-0000-00003E670000}"/>
    <cellStyle name="货币 2 2 2 2 4 5 8" xfId="26387" xr:uid="{00000000-0005-0000-0000-000043670000}"/>
    <cellStyle name="货币 2 2 2 2 4 5 9" xfId="26392" xr:uid="{00000000-0005-0000-0000-000048670000}"/>
    <cellStyle name="货币 2 2 2 2 4 6" xfId="34915" xr:uid="{00000000-0005-0000-0000-000093880000}"/>
    <cellStyle name="货币 2 2 2 2 4 6 10" xfId="16204" xr:uid="{00000000-0005-0000-0000-00007C3F0000}"/>
    <cellStyle name="货币 2 2 2 2 4 6 11" xfId="16211" xr:uid="{00000000-0005-0000-0000-0000833F0000}"/>
    <cellStyle name="货币 2 2 2 2 4 6 12" xfId="16217" xr:uid="{00000000-0005-0000-0000-0000893F0000}"/>
    <cellStyle name="货币 2 2 2 2 4 6 2" xfId="34916" xr:uid="{00000000-0005-0000-0000-000094880000}"/>
    <cellStyle name="货币 2 2 2 2 4 6 2 2" xfId="34917" xr:uid="{00000000-0005-0000-0000-000095880000}"/>
    <cellStyle name="货币 2 2 2 2 4 6 2 2 2" xfId="34918" xr:uid="{00000000-0005-0000-0000-000096880000}"/>
    <cellStyle name="货币 2 2 2 2 4 6 2 3" xfId="34919" xr:uid="{00000000-0005-0000-0000-000097880000}"/>
    <cellStyle name="货币 2 2 2 2 4 6 2 4" xfId="34921" xr:uid="{00000000-0005-0000-0000-000099880000}"/>
    <cellStyle name="货币 2 2 2 2 4 6 2 5" xfId="34923" xr:uid="{00000000-0005-0000-0000-00009B880000}"/>
    <cellStyle name="货币 2 2 2 2 4 6 2 6" xfId="34925" xr:uid="{00000000-0005-0000-0000-00009D880000}"/>
    <cellStyle name="货币 2 2 2 2 4 6 2 7" xfId="2564" xr:uid="{00000000-0005-0000-0000-0000340A0000}"/>
    <cellStyle name="货币 2 2 2 2 4 6 2 8" xfId="3754" xr:uid="{00000000-0005-0000-0000-0000DA0E0000}"/>
    <cellStyle name="货币 2 2 2 2 4 6 2 9" xfId="6896" xr:uid="{00000000-0005-0000-0000-0000201B0000}"/>
    <cellStyle name="货币 2 2 2 2 4 6 3" xfId="34926" xr:uid="{00000000-0005-0000-0000-00009E880000}"/>
    <cellStyle name="货币 2 2 2 2 4 6 3 2" xfId="34927" xr:uid="{00000000-0005-0000-0000-00009F880000}"/>
    <cellStyle name="货币 2 2 2 2 4 6 3 3" xfId="34928" xr:uid="{00000000-0005-0000-0000-0000A0880000}"/>
    <cellStyle name="货币 2 2 2 2 4 6 3 4" xfId="34930" xr:uid="{00000000-0005-0000-0000-0000A2880000}"/>
    <cellStyle name="货币 2 2 2 2 4 6 3 5" xfId="34340" xr:uid="{00000000-0005-0000-0000-000054860000}"/>
    <cellStyle name="货币 2 2 2 2 4 6 3 6" xfId="34932" xr:uid="{00000000-0005-0000-0000-0000A4880000}"/>
    <cellStyle name="货币 2 2 2 2 4 6 4" xfId="34934" xr:uid="{00000000-0005-0000-0000-0000A6880000}"/>
    <cellStyle name="货币 2 2 2 2 4 6 4 2" xfId="34935" xr:uid="{00000000-0005-0000-0000-0000A7880000}"/>
    <cellStyle name="货币 2 2 2 2 4 6 5" xfId="34936" xr:uid="{00000000-0005-0000-0000-0000A8880000}"/>
    <cellStyle name="货币 2 2 2 2 4 6 6" xfId="34937" xr:uid="{00000000-0005-0000-0000-0000A9880000}"/>
    <cellStyle name="货币 2 2 2 2 4 6 7" xfId="29426" xr:uid="{00000000-0005-0000-0000-000022730000}"/>
    <cellStyle name="货币 2 2 2 2 4 6 8" xfId="34938" xr:uid="{00000000-0005-0000-0000-0000AA880000}"/>
    <cellStyle name="货币 2 2 2 2 4 6 9" xfId="34939" xr:uid="{00000000-0005-0000-0000-0000AB880000}"/>
    <cellStyle name="货币 2 2 2 2 4 7" xfId="34940" xr:uid="{00000000-0005-0000-0000-0000AC880000}"/>
    <cellStyle name="货币 2 2 2 2 4 7 2" xfId="34942" xr:uid="{00000000-0005-0000-0000-0000AE880000}"/>
    <cellStyle name="货币 2 2 2 2 4 7 2 2" xfId="15002" xr:uid="{00000000-0005-0000-0000-0000CA3A0000}"/>
    <cellStyle name="货币 2 2 2 2 4 7 3" xfId="17682" xr:uid="{00000000-0005-0000-0000-000042450000}"/>
    <cellStyle name="货币 2 2 2 2 4 7 4" xfId="34944" xr:uid="{00000000-0005-0000-0000-0000B0880000}"/>
    <cellStyle name="货币 2 2 2 2 4 7 5" xfId="34946" xr:uid="{00000000-0005-0000-0000-0000B2880000}"/>
    <cellStyle name="货币 2 2 2 2 4 7 6" xfId="34949" xr:uid="{00000000-0005-0000-0000-0000B5880000}"/>
    <cellStyle name="货币 2 2 2 2 4 7 7" xfId="34953" xr:uid="{00000000-0005-0000-0000-0000B9880000}"/>
    <cellStyle name="货币 2 2 2 2 4 7 8" xfId="34956" xr:uid="{00000000-0005-0000-0000-0000BC880000}"/>
    <cellStyle name="货币 2 2 2 2 4 7 9" xfId="34959" xr:uid="{00000000-0005-0000-0000-0000BF880000}"/>
    <cellStyle name="货币 2 2 2 2 4 8" xfId="34960" xr:uid="{00000000-0005-0000-0000-0000C0880000}"/>
    <cellStyle name="货币 2 2 2 2 4 8 2" xfId="34961" xr:uid="{00000000-0005-0000-0000-0000C1880000}"/>
    <cellStyle name="货币 2 2 2 2 4 8 3" xfId="34962" xr:uid="{00000000-0005-0000-0000-0000C2880000}"/>
    <cellStyle name="货币 2 2 2 2 4 8 4" xfId="34963" xr:uid="{00000000-0005-0000-0000-0000C3880000}"/>
    <cellStyle name="货币 2 2 2 2 4 8 5" xfId="34964" xr:uid="{00000000-0005-0000-0000-0000C4880000}"/>
    <cellStyle name="货币 2 2 2 2 4 8 6" xfId="34965" xr:uid="{00000000-0005-0000-0000-0000C5880000}"/>
    <cellStyle name="货币 2 2 2 2 4 9" xfId="34967" xr:uid="{00000000-0005-0000-0000-0000C7880000}"/>
    <cellStyle name="货币 2 2 2 2 4 9 2" xfId="4874" xr:uid="{00000000-0005-0000-0000-00003A130000}"/>
    <cellStyle name="货币 2 2 2 2 4 9 3" xfId="7205" xr:uid="{00000000-0005-0000-0000-0000551C0000}"/>
    <cellStyle name="货币 2 2 2 2 4 9 4" xfId="34968" xr:uid="{00000000-0005-0000-0000-0000C8880000}"/>
    <cellStyle name="货币 2 2 2 2 4 9 5" xfId="34969" xr:uid="{00000000-0005-0000-0000-0000C9880000}"/>
    <cellStyle name="货币 2 2 2 2 4 9 6" xfId="34970" xr:uid="{00000000-0005-0000-0000-0000CA880000}"/>
    <cellStyle name="货币 2 2 2 2 5" xfId="34971" xr:uid="{00000000-0005-0000-0000-0000CB880000}"/>
    <cellStyle name="货币 2 2 2 2 5 10" xfId="25542" xr:uid="{00000000-0005-0000-0000-0000F6630000}"/>
    <cellStyle name="货币 2 2 2 2 5 10 2" xfId="27443" xr:uid="{00000000-0005-0000-0000-0000636B0000}"/>
    <cellStyle name="货币 2 2 2 2 5 10 3" xfId="34972" xr:uid="{00000000-0005-0000-0000-0000CC880000}"/>
    <cellStyle name="货币 2 2 2 2 5 10 4" xfId="34974" xr:uid="{00000000-0005-0000-0000-0000CE880000}"/>
    <cellStyle name="货币 2 2 2 2 5 10 5" xfId="34975" xr:uid="{00000000-0005-0000-0000-0000CF880000}"/>
    <cellStyle name="货币 2 2 2 2 5 10 6" xfId="34976" xr:uid="{00000000-0005-0000-0000-0000D0880000}"/>
    <cellStyle name="货币 2 2 2 2 5 11" xfId="22343" xr:uid="{00000000-0005-0000-0000-000077570000}"/>
    <cellStyle name="货币 2 2 2 2 5 11 2" xfId="34977" xr:uid="{00000000-0005-0000-0000-0000D1880000}"/>
    <cellStyle name="货币 2 2 2 2 5 11 3" xfId="34978" xr:uid="{00000000-0005-0000-0000-0000D2880000}"/>
    <cellStyle name="货币 2 2 2 2 5 11 4" xfId="34979" xr:uid="{00000000-0005-0000-0000-0000D3880000}"/>
    <cellStyle name="货币 2 2 2 2 5 11 5" xfId="34980" xr:uid="{00000000-0005-0000-0000-0000D4880000}"/>
    <cellStyle name="货币 2 2 2 2 5 11 6" xfId="1115" xr:uid="{00000000-0005-0000-0000-00008B040000}"/>
    <cellStyle name="货币 2 2 2 2 5 12" xfId="25550" xr:uid="{00000000-0005-0000-0000-0000FE630000}"/>
    <cellStyle name="货币 2 2 2 2 5 13" xfId="27446" xr:uid="{00000000-0005-0000-0000-0000666B0000}"/>
    <cellStyle name="货币 2 2 2 2 5 14" xfId="27449" xr:uid="{00000000-0005-0000-0000-0000696B0000}"/>
    <cellStyle name="货币 2 2 2 2 5 15" xfId="27452" xr:uid="{00000000-0005-0000-0000-00006C6B0000}"/>
    <cellStyle name="货币 2 2 2 2 5 16" xfId="34592" xr:uid="{00000000-0005-0000-0000-000050870000}"/>
    <cellStyle name="货币 2 2 2 2 5 17" xfId="9596" xr:uid="{00000000-0005-0000-0000-0000AC250000}"/>
    <cellStyle name="货币 2 2 2 2 5 18" xfId="9607" xr:uid="{00000000-0005-0000-0000-0000B7250000}"/>
    <cellStyle name="货币 2 2 2 2 5 19" xfId="9621" xr:uid="{00000000-0005-0000-0000-0000C5250000}"/>
    <cellStyle name="货币 2 2 2 2 5 2" xfId="29849" xr:uid="{00000000-0005-0000-0000-0000C9740000}"/>
    <cellStyle name="货币 2 2 2 2 5 2 10" xfId="7124" xr:uid="{00000000-0005-0000-0000-0000041C0000}"/>
    <cellStyle name="货币 2 2 2 2 5 2 11" xfId="18462" xr:uid="{00000000-0005-0000-0000-00004E480000}"/>
    <cellStyle name="货币 2 2 2 2 5 2 12" xfId="18464" xr:uid="{00000000-0005-0000-0000-000050480000}"/>
    <cellStyle name="货币 2 2 2 2 5 2 13" xfId="137" xr:uid="{00000000-0005-0000-0000-000094000000}"/>
    <cellStyle name="货币 2 2 2 2 5 2 14" xfId="3641" xr:uid="{00000000-0005-0000-0000-0000690E0000}"/>
    <cellStyle name="货币 2 2 2 2 5 2 15" xfId="8407" xr:uid="{00000000-0005-0000-0000-000007210000}"/>
    <cellStyle name="货币 2 2 2 2 5 2 16" xfId="1241" xr:uid="{00000000-0005-0000-0000-000009050000}"/>
    <cellStyle name="货币 2 2 2 2 5 2 17" xfId="5541" xr:uid="{00000000-0005-0000-0000-0000D5150000}"/>
    <cellStyle name="货币 2 2 2 2 5 2 18" xfId="34981" xr:uid="{00000000-0005-0000-0000-0000D5880000}"/>
    <cellStyle name="货币 2 2 2 2 5 2 2" xfId="18395" xr:uid="{00000000-0005-0000-0000-00000B480000}"/>
    <cellStyle name="货币 2 2 2 2 5 2 2 10" xfId="34983" xr:uid="{00000000-0005-0000-0000-0000D7880000}"/>
    <cellStyle name="货币 2 2 2 2 5 2 2 11" xfId="12893" xr:uid="{00000000-0005-0000-0000-00008D320000}"/>
    <cellStyle name="货币 2 2 2 2 5 2 2 12" xfId="34984" xr:uid="{00000000-0005-0000-0000-0000D8880000}"/>
    <cellStyle name="货币 2 2 2 2 5 2 2 2" xfId="30810" xr:uid="{00000000-0005-0000-0000-00008A780000}"/>
    <cellStyle name="货币 2 2 2 2 5 2 2 2 2" xfId="34986" xr:uid="{00000000-0005-0000-0000-0000DA880000}"/>
    <cellStyle name="货币 2 2 2 2 5 2 2 2 2 2" xfId="34987" xr:uid="{00000000-0005-0000-0000-0000DB880000}"/>
    <cellStyle name="货币 2 2 2 2 5 2 2 2 3" xfId="34989" xr:uid="{00000000-0005-0000-0000-0000DD880000}"/>
    <cellStyle name="货币 2 2 2 2 5 2 2 2 4" xfId="34993" xr:uid="{00000000-0005-0000-0000-0000E1880000}"/>
    <cellStyle name="货币 2 2 2 2 5 2 2 2 5" xfId="34995" xr:uid="{00000000-0005-0000-0000-0000E3880000}"/>
    <cellStyle name="货币 2 2 2 2 5 2 2 3" xfId="30510" xr:uid="{00000000-0005-0000-0000-00005E770000}"/>
    <cellStyle name="货币 2 2 2 2 5 2 2 3 2" xfId="34996" xr:uid="{00000000-0005-0000-0000-0000E4880000}"/>
    <cellStyle name="货币 2 2 2 2 5 2 2 4" xfId="30516" xr:uid="{00000000-0005-0000-0000-000064770000}"/>
    <cellStyle name="货币 2 2 2 2 5 2 2 5" xfId="30523" xr:uid="{00000000-0005-0000-0000-00006B770000}"/>
    <cellStyle name="货币 2 2 2 2 5 2 2 6" xfId="30815" xr:uid="{00000000-0005-0000-0000-00008F780000}"/>
    <cellStyle name="货币 2 2 2 2 5 2 2 7" xfId="30820" xr:uid="{00000000-0005-0000-0000-000094780000}"/>
    <cellStyle name="货币 2 2 2 2 5 2 2 8" xfId="30822" xr:uid="{00000000-0005-0000-0000-000096780000}"/>
    <cellStyle name="货币 2 2 2 2 5 2 2 9" xfId="30871" xr:uid="{00000000-0005-0000-0000-0000C7780000}"/>
    <cellStyle name="货币 2 2 2 2 5 2 3" xfId="18399" xr:uid="{00000000-0005-0000-0000-00000F480000}"/>
    <cellStyle name="货币 2 2 2 2 5 2 3 10" xfId="34998" xr:uid="{00000000-0005-0000-0000-0000E6880000}"/>
    <cellStyle name="货币 2 2 2 2 5 2 3 11" xfId="35000" xr:uid="{00000000-0005-0000-0000-0000E8880000}"/>
    <cellStyle name="货币 2 2 2 2 5 2 3 12" xfId="300" xr:uid="{00000000-0005-0000-0000-000040010000}"/>
    <cellStyle name="货币 2 2 2 2 5 2 3 2" xfId="30957" xr:uid="{00000000-0005-0000-0000-00001D790000}"/>
    <cellStyle name="货币 2 2 2 2 5 2 3 2 2" xfId="35001" xr:uid="{00000000-0005-0000-0000-0000E9880000}"/>
    <cellStyle name="货币 2 2 2 2 5 2 3 2 2 2" xfId="35002" xr:uid="{00000000-0005-0000-0000-0000EA880000}"/>
    <cellStyle name="货币 2 2 2 2 5 2 3 2 3" xfId="26917" xr:uid="{00000000-0005-0000-0000-000055690000}"/>
    <cellStyle name="货币 2 2 2 2 5 2 3 2 4" xfId="26919" xr:uid="{00000000-0005-0000-0000-000057690000}"/>
    <cellStyle name="货币 2 2 2 2 5 2 3 2 5" xfId="26921" xr:uid="{00000000-0005-0000-0000-000059690000}"/>
    <cellStyle name="货币 2 2 2 2 5 2 3 3" xfId="30961" xr:uid="{00000000-0005-0000-0000-000021790000}"/>
    <cellStyle name="货币 2 2 2 2 5 2 3 3 2" xfId="13820" xr:uid="{00000000-0005-0000-0000-00002C360000}"/>
    <cellStyle name="货币 2 2 2 2 5 2 3 4" xfId="30969" xr:uid="{00000000-0005-0000-0000-000029790000}"/>
    <cellStyle name="货币 2 2 2 2 5 2 3 5" xfId="30974" xr:uid="{00000000-0005-0000-0000-00002E790000}"/>
    <cellStyle name="货币 2 2 2 2 5 2 3 6" xfId="30977" xr:uid="{00000000-0005-0000-0000-000031790000}"/>
    <cellStyle name="货币 2 2 2 2 5 2 3 7" xfId="30980" xr:uid="{00000000-0005-0000-0000-000034790000}"/>
    <cellStyle name="货币 2 2 2 2 5 2 3 8" xfId="30983" xr:uid="{00000000-0005-0000-0000-000037790000}"/>
    <cellStyle name="货币 2 2 2 2 5 2 3 9" xfId="30988" xr:uid="{00000000-0005-0000-0000-00003C790000}"/>
    <cellStyle name="货币 2 2 2 2 5 2 4" xfId="18404" xr:uid="{00000000-0005-0000-0000-000014480000}"/>
    <cellStyle name="货币 2 2 2 2 5 2 4 10" xfId="35004" xr:uid="{00000000-0005-0000-0000-0000EC880000}"/>
    <cellStyle name="货币 2 2 2 2 5 2 4 2" xfId="35006" xr:uid="{00000000-0005-0000-0000-0000EE880000}"/>
    <cellStyle name="货币 2 2 2 2 5 2 4 2 2" xfId="35007" xr:uid="{00000000-0005-0000-0000-0000EF880000}"/>
    <cellStyle name="货币 2 2 2 2 5 2 4 2 2 2" xfId="35008" xr:uid="{00000000-0005-0000-0000-0000F0880000}"/>
    <cellStyle name="货币 2 2 2 2 5 2 4 2 3" xfId="35009" xr:uid="{00000000-0005-0000-0000-0000F1880000}"/>
    <cellStyle name="货币 2 2 2 2 5 2 4 2 4" xfId="35010" xr:uid="{00000000-0005-0000-0000-0000F2880000}"/>
    <cellStyle name="货币 2 2 2 2 5 2 4 2 5" xfId="35011" xr:uid="{00000000-0005-0000-0000-0000F3880000}"/>
    <cellStyle name="货币 2 2 2 2 5 2 4 3" xfId="35013" xr:uid="{00000000-0005-0000-0000-0000F5880000}"/>
    <cellStyle name="货币 2 2 2 2 5 2 4 3 2" xfId="35014" xr:uid="{00000000-0005-0000-0000-0000F6880000}"/>
    <cellStyle name="货币 2 2 2 2 5 2 4 4" xfId="35016" xr:uid="{00000000-0005-0000-0000-0000F8880000}"/>
    <cellStyle name="货币 2 2 2 2 5 2 4 5" xfId="35018" xr:uid="{00000000-0005-0000-0000-0000FA880000}"/>
    <cellStyle name="货币 2 2 2 2 5 2 4 6" xfId="35019" xr:uid="{00000000-0005-0000-0000-0000FB880000}"/>
    <cellStyle name="货币 2 2 2 2 5 2 4 7" xfId="35020" xr:uid="{00000000-0005-0000-0000-0000FC880000}"/>
    <cellStyle name="货币 2 2 2 2 5 2 4 8" xfId="35021" xr:uid="{00000000-0005-0000-0000-0000FD880000}"/>
    <cellStyle name="货币 2 2 2 2 5 2 4 9" xfId="35022" xr:uid="{00000000-0005-0000-0000-0000FE880000}"/>
    <cellStyle name="货币 2 2 2 2 5 2 5" xfId="18409" xr:uid="{00000000-0005-0000-0000-000019480000}"/>
    <cellStyle name="货币 2 2 2 2 5 2 5 10" xfId="31017" xr:uid="{00000000-0005-0000-0000-000059790000}"/>
    <cellStyle name="货币 2 2 2 2 5 2 5 2" xfId="35024" xr:uid="{00000000-0005-0000-0000-000000890000}"/>
    <cellStyle name="货币 2 2 2 2 5 2 5 2 2" xfId="35025" xr:uid="{00000000-0005-0000-0000-000001890000}"/>
    <cellStyle name="货币 2 2 2 2 5 2 5 2 2 2" xfId="35026" xr:uid="{00000000-0005-0000-0000-000002890000}"/>
    <cellStyle name="货币 2 2 2 2 5 2 5 2 3" xfId="35028" xr:uid="{00000000-0005-0000-0000-000004890000}"/>
    <cellStyle name="货币 2 2 2 2 5 2 5 2 4" xfId="23149" xr:uid="{00000000-0005-0000-0000-00009D5A0000}"/>
    <cellStyle name="货币 2 2 2 2 5 2 5 2 5" xfId="17882" xr:uid="{00000000-0005-0000-0000-00000A460000}"/>
    <cellStyle name="货币 2 2 2 2 5 2 5 3" xfId="990" xr:uid="{00000000-0005-0000-0000-00000E040000}"/>
    <cellStyle name="货币 2 2 2 2 5 2 5 3 2" xfId="14047" xr:uid="{00000000-0005-0000-0000-00000F370000}"/>
    <cellStyle name="货币 2 2 2 2 5 2 5 4" xfId="1023" xr:uid="{00000000-0005-0000-0000-00002F040000}"/>
    <cellStyle name="货币 2 2 2 2 5 2 5 5" xfId="9732" xr:uid="{00000000-0005-0000-0000-000034260000}"/>
    <cellStyle name="货币 2 2 2 2 5 2 5 6" xfId="9740" xr:uid="{00000000-0005-0000-0000-00003C260000}"/>
    <cellStyle name="货币 2 2 2 2 5 2 5 7" xfId="9748" xr:uid="{00000000-0005-0000-0000-000044260000}"/>
    <cellStyle name="货币 2 2 2 2 5 2 5 8" xfId="9756" xr:uid="{00000000-0005-0000-0000-00004C260000}"/>
    <cellStyle name="货币 2 2 2 2 5 2 5 9" xfId="11330" xr:uid="{00000000-0005-0000-0000-0000722C0000}"/>
    <cellStyle name="货币 2 2 2 2 5 2 6" xfId="35033" xr:uid="{00000000-0005-0000-0000-000009890000}"/>
    <cellStyle name="货币 2 2 2 2 5 2 6 2" xfId="35035" xr:uid="{00000000-0005-0000-0000-00000B890000}"/>
    <cellStyle name="货币 2 2 2 2 5 2 6 2 2" xfId="34784" xr:uid="{00000000-0005-0000-0000-000010880000}"/>
    <cellStyle name="货币 2 2 2 2 5 2 6 3" xfId="1179" xr:uid="{00000000-0005-0000-0000-0000CB040000}"/>
    <cellStyle name="货币 2 2 2 2 5 2 6 4" xfId="1203" xr:uid="{00000000-0005-0000-0000-0000E3040000}"/>
    <cellStyle name="货币 2 2 2 2 5 2 6 5" xfId="9767" xr:uid="{00000000-0005-0000-0000-000057260000}"/>
    <cellStyle name="货币 2 2 2 2 5 2 6 6" xfId="11261" xr:uid="{00000000-0005-0000-0000-00002D2C0000}"/>
    <cellStyle name="货币 2 2 2 2 5 2 6 7" xfId="11269" xr:uid="{00000000-0005-0000-0000-0000352C0000}"/>
    <cellStyle name="货币 2 2 2 2 5 2 6 8" xfId="35036" xr:uid="{00000000-0005-0000-0000-00000C890000}"/>
    <cellStyle name="货币 2 2 2 2 5 2 6 9" xfId="35037" xr:uid="{00000000-0005-0000-0000-00000D890000}"/>
    <cellStyle name="货币 2 2 2 2 5 2 7" xfId="35041" xr:uid="{00000000-0005-0000-0000-000011890000}"/>
    <cellStyle name="货币 2 2 2 2 5 2 7 2" xfId="532" xr:uid="{00000000-0005-0000-0000-000038020000}"/>
    <cellStyle name="货币 2 2 2 2 5 2 8" xfId="35045" xr:uid="{00000000-0005-0000-0000-000015890000}"/>
    <cellStyle name="货币 2 2 2 2 5 2 9" xfId="35050" xr:uid="{00000000-0005-0000-0000-00001A890000}"/>
    <cellStyle name="货币 2 2 2 2 5 20" xfId="27453" xr:uid="{00000000-0005-0000-0000-00006D6B0000}"/>
    <cellStyle name="货币 2 2 2 2 5 21" xfId="34593" xr:uid="{00000000-0005-0000-0000-000051870000}"/>
    <cellStyle name="货币 2 2 2 2 5 22" xfId="9597" xr:uid="{00000000-0005-0000-0000-0000AD250000}"/>
    <cellStyle name="货币 2 2 2 2 5 23" xfId="9608" xr:uid="{00000000-0005-0000-0000-0000B8250000}"/>
    <cellStyle name="货币 2 2 2 2 5 3" xfId="29851" xr:uid="{00000000-0005-0000-0000-0000CB740000}"/>
    <cellStyle name="货币 2 2 2 2 5 3 10" xfId="18557" xr:uid="{00000000-0005-0000-0000-0000AD480000}"/>
    <cellStyle name="货币 2 2 2 2 5 3 11" xfId="18563" xr:uid="{00000000-0005-0000-0000-0000B3480000}"/>
    <cellStyle name="货币 2 2 2 2 5 3 12" xfId="18569" xr:uid="{00000000-0005-0000-0000-0000B9480000}"/>
    <cellStyle name="货币 2 2 2 2 5 3 13" xfId="21166" xr:uid="{00000000-0005-0000-0000-0000DE520000}"/>
    <cellStyle name="货币 2 2 2 2 5 3 14" xfId="21178" xr:uid="{00000000-0005-0000-0000-0000EA520000}"/>
    <cellStyle name="货币 2 2 2 2 5 3 15" xfId="21184" xr:uid="{00000000-0005-0000-0000-0000F0520000}"/>
    <cellStyle name="货币 2 2 2 2 5 3 16" xfId="21191" xr:uid="{00000000-0005-0000-0000-0000F7520000}"/>
    <cellStyle name="货币 2 2 2 2 5 3 17" xfId="35052" xr:uid="{00000000-0005-0000-0000-00001C890000}"/>
    <cellStyle name="货币 2 2 2 2 5 3 18" xfId="35054" xr:uid="{00000000-0005-0000-0000-00001E890000}"/>
    <cellStyle name="货币 2 2 2 2 5 3 2" xfId="11677" xr:uid="{00000000-0005-0000-0000-0000CD2D0000}"/>
    <cellStyle name="货币 2 2 2 2 5 3 2 10" xfId="35055" xr:uid="{00000000-0005-0000-0000-00001F890000}"/>
    <cellStyle name="货币 2 2 2 2 5 3 2 2" xfId="35057" xr:uid="{00000000-0005-0000-0000-000021890000}"/>
    <cellStyle name="货币 2 2 2 2 5 3 2 2 2" xfId="35059" xr:uid="{00000000-0005-0000-0000-000023890000}"/>
    <cellStyle name="货币 2 2 2 2 5 3 2 3" xfId="35061" xr:uid="{00000000-0005-0000-0000-000025890000}"/>
    <cellStyle name="货币 2 2 2 2 5 3 2 4" xfId="35063" xr:uid="{00000000-0005-0000-0000-000027890000}"/>
    <cellStyle name="货币 2 2 2 2 5 3 2 5" xfId="35066" xr:uid="{00000000-0005-0000-0000-00002A890000}"/>
    <cellStyle name="货币 2 2 2 2 5 3 2 6" xfId="35068" xr:uid="{00000000-0005-0000-0000-00002C890000}"/>
    <cellStyle name="货币 2 2 2 2 5 3 2 7" xfId="33800" xr:uid="{00000000-0005-0000-0000-000038840000}"/>
    <cellStyle name="货币 2 2 2 2 5 3 2 8" xfId="33826" xr:uid="{00000000-0005-0000-0000-000052840000}"/>
    <cellStyle name="货币 2 2 2 2 5 3 2 9" xfId="30329" xr:uid="{00000000-0005-0000-0000-0000A9760000}"/>
    <cellStyle name="货币 2 2 2 2 5 3 3" xfId="18426" xr:uid="{00000000-0005-0000-0000-00002A480000}"/>
    <cellStyle name="货币 2 2 2 2 5 3 3 2" xfId="35070" xr:uid="{00000000-0005-0000-0000-00002E890000}"/>
    <cellStyle name="货币 2 2 2 2 5 3 3 3" xfId="35072" xr:uid="{00000000-0005-0000-0000-000030890000}"/>
    <cellStyle name="货币 2 2 2 2 5 3 3 4" xfId="35074" xr:uid="{00000000-0005-0000-0000-000032890000}"/>
    <cellStyle name="货币 2 2 2 2 5 3 3 5" xfId="35077" xr:uid="{00000000-0005-0000-0000-000035890000}"/>
    <cellStyle name="货币 2 2 2 2 5 3 3 6" xfId="35078" xr:uid="{00000000-0005-0000-0000-000036890000}"/>
    <cellStyle name="货币 2 2 2 2 5 3 4" xfId="18429" xr:uid="{00000000-0005-0000-0000-00002D480000}"/>
    <cellStyle name="货币 2 2 2 2 5 3 4 2" xfId="21112" xr:uid="{00000000-0005-0000-0000-0000A8520000}"/>
    <cellStyle name="货币 2 2 2 2 5 3 4 3" xfId="21115" xr:uid="{00000000-0005-0000-0000-0000AB520000}"/>
    <cellStyle name="货币 2 2 2 2 5 3 4 4" xfId="35080" xr:uid="{00000000-0005-0000-0000-000038890000}"/>
    <cellStyle name="货币 2 2 2 2 5 3 4 5" xfId="35082" xr:uid="{00000000-0005-0000-0000-00003A890000}"/>
    <cellStyle name="货币 2 2 2 2 5 3 4 6" xfId="35083" xr:uid="{00000000-0005-0000-0000-00003B890000}"/>
    <cellStyle name="货币 2 2 2 2 5 3 5" xfId="18432" xr:uid="{00000000-0005-0000-0000-000030480000}"/>
    <cellStyle name="货币 2 2 2 2 5 3 5 2" xfId="35086" xr:uid="{00000000-0005-0000-0000-00003E890000}"/>
    <cellStyle name="货币 2 2 2 2 5 3 5 3" xfId="7618" xr:uid="{00000000-0005-0000-0000-0000F21D0000}"/>
    <cellStyle name="货币 2 2 2 2 5 3 5 4" xfId="7831" xr:uid="{00000000-0005-0000-0000-0000C71E0000}"/>
    <cellStyle name="货币 2 2 2 2 5 3 5 5" xfId="9803" xr:uid="{00000000-0005-0000-0000-00007B260000}"/>
    <cellStyle name="货币 2 2 2 2 5 3 5 6" xfId="9811" xr:uid="{00000000-0005-0000-0000-000083260000}"/>
    <cellStyle name="货币 2 2 2 2 5 3 6" xfId="35088" xr:uid="{00000000-0005-0000-0000-000040890000}"/>
    <cellStyle name="货币 2 2 2 2 5 3 6 2" xfId="35090" xr:uid="{00000000-0005-0000-0000-000042890000}"/>
    <cellStyle name="货币 2 2 2 2 5 3 6 3" xfId="4725" xr:uid="{00000000-0005-0000-0000-0000A5120000}"/>
    <cellStyle name="货币 2 2 2 2 5 3 6 4" xfId="4746" xr:uid="{00000000-0005-0000-0000-0000BA120000}"/>
    <cellStyle name="货币 2 2 2 2 5 3 6 5" xfId="9828" xr:uid="{00000000-0005-0000-0000-000094260000}"/>
    <cellStyle name="货币 2 2 2 2 5 3 6 6" xfId="11716" xr:uid="{00000000-0005-0000-0000-0000F42D0000}"/>
    <cellStyle name="货币 2 2 2 2 5 3 7" xfId="35092" xr:uid="{00000000-0005-0000-0000-000044890000}"/>
    <cellStyle name="货币 2 2 2 2 5 3 8" xfId="35094" xr:uid="{00000000-0005-0000-0000-000046890000}"/>
    <cellStyle name="货币 2 2 2 2 5 3 9" xfId="35096" xr:uid="{00000000-0005-0000-0000-000048890000}"/>
    <cellStyle name="货币 2 2 2 2 5 4" xfId="29857" xr:uid="{00000000-0005-0000-0000-0000D1740000}"/>
    <cellStyle name="货币 2 2 2 2 5 4 10" xfId="18613" xr:uid="{00000000-0005-0000-0000-0000E5480000}"/>
    <cellStyle name="货币 2 2 2 2 5 4 11" xfId="21321" xr:uid="{00000000-0005-0000-0000-000079530000}"/>
    <cellStyle name="货币 2 2 2 2 5 4 12" xfId="19670" xr:uid="{00000000-0005-0000-0000-0000064D0000}"/>
    <cellStyle name="货币 2 2 2 2 5 4 13" xfId="19673" xr:uid="{00000000-0005-0000-0000-0000094D0000}"/>
    <cellStyle name="货币 2 2 2 2 5 4 14" xfId="16562" xr:uid="{00000000-0005-0000-0000-0000E2400000}"/>
    <cellStyle name="货币 2 2 2 2 5 4 15" xfId="16566" xr:uid="{00000000-0005-0000-0000-0000E6400000}"/>
    <cellStyle name="货币 2 2 2 2 5 4 2" xfId="18440" xr:uid="{00000000-0005-0000-0000-000038480000}"/>
    <cellStyle name="货币 2 2 2 2 5 4 2 2" xfId="35098" xr:uid="{00000000-0005-0000-0000-00004A890000}"/>
    <cellStyle name="货币 2 2 2 2 5 4 2 2 2" xfId="35100" xr:uid="{00000000-0005-0000-0000-00004C890000}"/>
    <cellStyle name="货币 2 2 2 2 5 4 2 3" xfId="30535" xr:uid="{00000000-0005-0000-0000-000077770000}"/>
    <cellStyle name="货币 2 2 2 2 5 4 2 4" xfId="30538" xr:uid="{00000000-0005-0000-0000-00007A770000}"/>
    <cellStyle name="货币 2 2 2 2 5 4 2 5" xfId="30542" xr:uid="{00000000-0005-0000-0000-00007E770000}"/>
    <cellStyle name="货币 2 2 2 2 5 4 2 6" xfId="35101" xr:uid="{00000000-0005-0000-0000-00004D890000}"/>
    <cellStyle name="货币 2 2 2 2 5 4 2 7" xfId="33945" xr:uid="{00000000-0005-0000-0000-0000C9840000}"/>
    <cellStyle name="货币 2 2 2 2 5 4 2 8" xfId="33950" xr:uid="{00000000-0005-0000-0000-0000CE840000}"/>
    <cellStyle name="货币 2 2 2 2 5 4 2 9" xfId="33953" xr:uid="{00000000-0005-0000-0000-0000D1840000}"/>
    <cellStyle name="货币 2 2 2 2 5 4 3" xfId="18444" xr:uid="{00000000-0005-0000-0000-00003C480000}"/>
    <cellStyle name="货币 2 2 2 2 5 4 3 2" xfId="35103" xr:uid="{00000000-0005-0000-0000-00004F890000}"/>
    <cellStyle name="货币 2 2 2 2 5 4 3 3" xfId="35105" xr:uid="{00000000-0005-0000-0000-000051890000}"/>
    <cellStyle name="货币 2 2 2 2 5 4 3 4" xfId="35107" xr:uid="{00000000-0005-0000-0000-000053890000}"/>
    <cellStyle name="货币 2 2 2 2 5 4 3 5" xfId="35109" xr:uid="{00000000-0005-0000-0000-000055890000}"/>
    <cellStyle name="货币 2 2 2 2 5 4 3 6" xfId="35110" xr:uid="{00000000-0005-0000-0000-000056890000}"/>
    <cellStyle name="货币 2 2 2 2 5 4 4" xfId="18449" xr:uid="{00000000-0005-0000-0000-000041480000}"/>
    <cellStyle name="货币 2 2 2 2 5 4 4 2" xfId="35112" xr:uid="{00000000-0005-0000-0000-000058890000}"/>
    <cellStyle name="货币 2 2 2 2 5 4 5" xfId="18453" xr:uid="{00000000-0005-0000-0000-000045480000}"/>
    <cellStyle name="货币 2 2 2 2 5 4 6" xfId="19621" xr:uid="{00000000-0005-0000-0000-0000D54C0000}"/>
    <cellStyle name="货币 2 2 2 2 5 4 7" xfId="19624" xr:uid="{00000000-0005-0000-0000-0000D84C0000}"/>
    <cellStyle name="货币 2 2 2 2 5 4 8" xfId="19627" xr:uid="{00000000-0005-0000-0000-0000DB4C0000}"/>
    <cellStyle name="货币 2 2 2 2 5 4 9" xfId="19632" xr:uid="{00000000-0005-0000-0000-0000E04C0000}"/>
    <cellStyle name="货币 2 2 2 2 5 5" xfId="29862" xr:uid="{00000000-0005-0000-0000-0000D6740000}"/>
    <cellStyle name="货币 2 2 2 2 5 5 10" xfId="13179" xr:uid="{00000000-0005-0000-0000-0000AB330000}"/>
    <cellStyle name="货币 2 2 2 2 5 5 11" xfId="13184" xr:uid="{00000000-0005-0000-0000-0000B0330000}"/>
    <cellStyle name="货币 2 2 2 2 5 5 12" xfId="13188" xr:uid="{00000000-0005-0000-0000-0000B4330000}"/>
    <cellStyle name="货币 2 2 2 2 5 5 13" xfId="4379" xr:uid="{00000000-0005-0000-0000-00004B110000}"/>
    <cellStyle name="货币 2 2 2 2 5 5 2" xfId="35113" xr:uid="{00000000-0005-0000-0000-000059890000}"/>
    <cellStyle name="货币 2 2 2 2 5 5 2 2" xfId="35115" xr:uid="{00000000-0005-0000-0000-00005B890000}"/>
    <cellStyle name="货币 2 2 2 2 5 5 2 2 2" xfId="35118" xr:uid="{00000000-0005-0000-0000-00005E890000}"/>
    <cellStyle name="货币 2 2 2 2 5 5 2 3" xfId="35120" xr:uid="{00000000-0005-0000-0000-000060890000}"/>
    <cellStyle name="货币 2 2 2 2 5 5 2 4" xfId="35123" xr:uid="{00000000-0005-0000-0000-000063890000}"/>
    <cellStyle name="货币 2 2 2 2 5 5 2 5" xfId="35126" xr:uid="{00000000-0005-0000-0000-000066890000}"/>
    <cellStyle name="货币 2 2 2 2 5 5 2 6" xfId="35128" xr:uid="{00000000-0005-0000-0000-000068890000}"/>
    <cellStyle name="货币 2 2 2 2 5 5 2 7" xfId="34003" xr:uid="{00000000-0005-0000-0000-000003850000}"/>
    <cellStyle name="货币 2 2 2 2 5 5 2 8" xfId="34006" xr:uid="{00000000-0005-0000-0000-000006850000}"/>
    <cellStyle name="货币 2 2 2 2 5 5 2 9" xfId="34009" xr:uid="{00000000-0005-0000-0000-000009850000}"/>
    <cellStyle name="货币 2 2 2 2 5 5 3" xfId="35129" xr:uid="{00000000-0005-0000-0000-000069890000}"/>
    <cellStyle name="货币 2 2 2 2 5 5 3 2" xfId="3291" xr:uid="{00000000-0005-0000-0000-00000B0D0000}"/>
    <cellStyle name="货币 2 2 2 2 5 5 3 3" xfId="2097" xr:uid="{00000000-0005-0000-0000-000061080000}"/>
    <cellStyle name="货币 2 2 2 2 5 5 3 4" xfId="7979" xr:uid="{00000000-0005-0000-0000-00005B1F0000}"/>
    <cellStyle name="货币 2 2 2 2 5 5 3 5" xfId="7986" xr:uid="{00000000-0005-0000-0000-0000621F0000}"/>
    <cellStyle name="货币 2 2 2 2 5 5 3 6" xfId="35131" xr:uid="{00000000-0005-0000-0000-00006B890000}"/>
    <cellStyle name="货币 2 2 2 2 5 5 4" xfId="35133" xr:uid="{00000000-0005-0000-0000-00006D890000}"/>
    <cellStyle name="货币 2 2 2 2 5 5 4 2" xfId="35135" xr:uid="{00000000-0005-0000-0000-00006F890000}"/>
    <cellStyle name="货币 2 2 2 2 5 5 5" xfId="34590" xr:uid="{00000000-0005-0000-0000-00004E870000}"/>
    <cellStyle name="货币 2 2 2 2 5 5 6" xfId="35137" xr:uid="{00000000-0005-0000-0000-000071890000}"/>
    <cellStyle name="货币 2 2 2 2 5 5 7" xfId="29432" xr:uid="{00000000-0005-0000-0000-000028730000}"/>
    <cellStyle name="货币 2 2 2 2 5 5 8" xfId="29436" xr:uid="{00000000-0005-0000-0000-00002C730000}"/>
    <cellStyle name="货币 2 2 2 2 5 5 9" xfId="35139" xr:uid="{00000000-0005-0000-0000-000073890000}"/>
    <cellStyle name="货币 2 2 2 2 5 6" xfId="29867" xr:uid="{00000000-0005-0000-0000-0000DB740000}"/>
    <cellStyle name="货币 2 2 2 2 5 6 10" xfId="7737" xr:uid="{00000000-0005-0000-0000-0000691E0000}"/>
    <cellStyle name="货币 2 2 2 2 5 6 11" xfId="7765" xr:uid="{00000000-0005-0000-0000-0000851E0000}"/>
    <cellStyle name="货币 2 2 2 2 5 6 12" xfId="7770" xr:uid="{00000000-0005-0000-0000-00008A1E0000}"/>
    <cellStyle name="货币 2 2 2 2 5 6 2" xfId="29946" xr:uid="{00000000-0005-0000-0000-00002A750000}"/>
    <cellStyle name="货币 2 2 2 2 5 6 2 2" xfId="35141" xr:uid="{00000000-0005-0000-0000-000075890000}"/>
    <cellStyle name="货币 2 2 2 2 5 6 2 2 2" xfId="35142" xr:uid="{00000000-0005-0000-0000-000076890000}"/>
    <cellStyle name="货币 2 2 2 2 5 6 2 3" xfId="15184" xr:uid="{00000000-0005-0000-0000-0000803B0000}"/>
    <cellStyle name="货币 2 2 2 2 5 6 2 4" xfId="15188" xr:uid="{00000000-0005-0000-0000-0000843B0000}"/>
    <cellStyle name="货币 2 2 2 2 5 6 2 5" xfId="15192" xr:uid="{00000000-0005-0000-0000-0000883B0000}"/>
    <cellStyle name="货币 2 2 2 2 5 6 2 6" xfId="15195" xr:uid="{00000000-0005-0000-0000-00008B3B0000}"/>
    <cellStyle name="货币 2 2 2 2 5 6 2 7" xfId="15198" xr:uid="{00000000-0005-0000-0000-00008E3B0000}"/>
    <cellStyle name="货币 2 2 2 2 5 6 2 8" xfId="7045" xr:uid="{00000000-0005-0000-0000-0000B51B0000}"/>
    <cellStyle name="货币 2 2 2 2 5 6 2 9" xfId="30080" xr:uid="{00000000-0005-0000-0000-0000B0750000}"/>
    <cellStyle name="货币 2 2 2 2 5 6 3" xfId="29951" xr:uid="{00000000-0005-0000-0000-00002F750000}"/>
    <cellStyle name="货币 2 2 2 2 5 6 3 2" xfId="35144" xr:uid="{00000000-0005-0000-0000-000078890000}"/>
    <cellStyle name="货币 2 2 2 2 5 6 3 3" xfId="8039" xr:uid="{00000000-0005-0000-0000-0000971F0000}"/>
    <cellStyle name="货币 2 2 2 2 5 6 3 4" xfId="10668" xr:uid="{00000000-0005-0000-0000-0000DC290000}"/>
    <cellStyle name="货币 2 2 2 2 5 6 3 5" xfId="7657" xr:uid="{00000000-0005-0000-0000-0000191E0000}"/>
    <cellStyle name="货币 2 2 2 2 5 6 3 6" xfId="7664" xr:uid="{00000000-0005-0000-0000-0000201E0000}"/>
    <cellStyle name="货币 2 2 2 2 5 6 4" xfId="29955" xr:uid="{00000000-0005-0000-0000-000033750000}"/>
    <cellStyle name="货币 2 2 2 2 5 6 4 2" xfId="35146" xr:uid="{00000000-0005-0000-0000-00007A890000}"/>
    <cellStyle name="货币 2 2 2 2 5 6 5" xfId="29962" xr:uid="{00000000-0005-0000-0000-00003A750000}"/>
    <cellStyle name="货币 2 2 2 2 5 6 6" xfId="29964" xr:uid="{00000000-0005-0000-0000-00003C750000}"/>
    <cellStyle name="货币 2 2 2 2 5 6 7" xfId="29441" xr:uid="{00000000-0005-0000-0000-000031730000}"/>
    <cellStyle name="货币 2 2 2 2 5 6 8" xfId="29966" xr:uid="{00000000-0005-0000-0000-00003E750000}"/>
    <cellStyle name="货币 2 2 2 2 5 6 9" xfId="29970" xr:uid="{00000000-0005-0000-0000-000042750000}"/>
    <cellStyle name="货币 2 2 2 2 5 7" xfId="29872" xr:uid="{00000000-0005-0000-0000-0000E0740000}"/>
    <cellStyle name="货币 2 2 2 2 5 7 2" xfId="22605" xr:uid="{00000000-0005-0000-0000-00007D580000}"/>
    <cellStyle name="货币 2 2 2 2 5 7 2 2" xfId="15398" xr:uid="{00000000-0005-0000-0000-0000563C0000}"/>
    <cellStyle name="货币 2 2 2 2 5 7 3" xfId="22648" xr:uid="{00000000-0005-0000-0000-0000A8580000}"/>
    <cellStyle name="货币 2 2 2 2 5 7 4" xfId="22699" xr:uid="{00000000-0005-0000-0000-0000DB580000}"/>
    <cellStyle name="货币 2 2 2 2 5 7 5" xfId="22736" xr:uid="{00000000-0005-0000-0000-000000590000}"/>
    <cellStyle name="货币 2 2 2 2 5 7 6" xfId="35148" xr:uid="{00000000-0005-0000-0000-00007C890000}"/>
    <cellStyle name="货币 2 2 2 2 5 7 7" xfId="35150" xr:uid="{00000000-0005-0000-0000-00007E890000}"/>
    <cellStyle name="货币 2 2 2 2 5 7 8" xfId="35152" xr:uid="{00000000-0005-0000-0000-000080890000}"/>
    <cellStyle name="货币 2 2 2 2 5 7 9" xfId="35155" xr:uid="{00000000-0005-0000-0000-000083890000}"/>
    <cellStyle name="货币 2 2 2 2 5 8" xfId="29904" xr:uid="{00000000-0005-0000-0000-000000750000}"/>
    <cellStyle name="货币 2 2 2 2 5 8 2" xfId="22841" xr:uid="{00000000-0005-0000-0000-000069590000}"/>
    <cellStyle name="货币 2 2 2 2 5 8 3" xfId="22852" xr:uid="{00000000-0005-0000-0000-000074590000}"/>
    <cellStyle name="货币 2 2 2 2 5 8 4" xfId="22863" xr:uid="{00000000-0005-0000-0000-00007F590000}"/>
    <cellStyle name="货币 2 2 2 2 5 8 5" xfId="22865" xr:uid="{00000000-0005-0000-0000-000081590000}"/>
    <cellStyle name="货币 2 2 2 2 5 8 6" xfId="28539" xr:uid="{00000000-0005-0000-0000-0000AB6F0000}"/>
    <cellStyle name="货币 2 2 2 2 5 9" xfId="29909" xr:uid="{00000000-0005-0000-0000-000005750000}"/>
    <cellStyle name="货币 2 2 2 2 5 9 2" xfId="8692" xr:uid="{00000000-0005-0000-0000-000024220000}"/>
    <cellStyle name="货币 2 2 2 2 5 9 3" xfId="8699" xr:uid="{00000000-0005-0000-0000-00002B220000}"/>
    <cellStyle name="货币 2 2 2 2 5 9 4" xfId="11224" xr:uid="{00000000-0005-0000-0000-0000082C0000}"/>
    <cellStyle name="货币 2 2 2 2 5 9 5" xfId="6581" xr:uid="{00000000-0005-0000-0000-0000E5190000}"/>
    <cellStyle name="货币 2 2 2 2 5 9 6" xfId="19727" xr:uid="{00000000-0005-0000-0000-00003F4D0000}"/>
    <cellStyle name="货币 2 2 2 2 6" xfId="35156" xr:uid="{00000000-0005-0000-0000-000084890000}"/>
    <cellStyle name="货币 2 2 2 2 6 10" xfId="35157" xr:uid="{00000000-0005-0000-0000-000085890000}"/>
    <cellStyle name="货币 2 2 2 2 6 11" xfId="35158" xr:uid="{00000000-0005-0000-0000-000086890000}"/>
    <cellStyle name="货币 2 2 2 2 6 12" xfId="35159" xr:uid="{00000000-0005-0000-0000-000087890000}"/>
    <cellStyle name="货币 2 2 2 2 6 13" xfId="35160" xr:uid="{00000000-0005-0000-0000-000088890000}"/>
    <cellStyle name="货币 2 2 2 2 6 14" xfId="35161" xr:uid="{00000000-0005-0000-0000-000089890000}"/>
    <cellStyle name="货币 2 2 2 2 6 15" xfId="35162" xr:uid="{00000000-0005-0000-0000-00008A890000}"/>
    <cellStyle name="货币 2 2 2 2 6 16" xfId="35163" xr:uid="{00000000-0005-0000-0000-00008B890000}"/>
    <cellStyle name="货币 2 2 2 2 6 17" xfId="31009" xr:uid="{00000000-0005-0000-0000-000051790000}"/>
    <cellStyle name="货币 2 2 2 2 6 18" xfId="31056" xr:uid="{00000000-0005-0000-0000-000080790000}"/>
    <cellStyle name="货币 2 2 2 2 6 19" xfId="31095" xr:uid="{00000000-0005-0000-0000-0000A7790000}"/>
    <cellStyle name="货币 2 2 2 2 6 2" xfId="27547" xr:uid="{00000000-0005-0000-0000-0000CB6B0000}"/>
    <cellStyle name="货币 2 2 2 2 6 2 10" xfId="18906" xr:uid="{00000000-0005-0000-0000-00000A4A0000}"/>
    <cellStyle name="货币 2 2 2 2 6 2 11" xfId="18909" xr:uid="{00000000-0005-0000-0000-00000D4A0000}"/>
    <cellStyle name="货币 2 2 2 2 6 2 12" xfId="18911" xr:uid="{00000000-0005-0000-0000-00000F4A0000}"/>
    <cellStyle name="货币 2 2 2 2 6 2 13" xfId="18913" xr:uid="{00000000-0005-0000-0000-0000114A0000}"/>
    <cellStyle name="货币 2 2 2 2 6 2 14" xfId="15031" xr:uid="{00000000-0005-0000-0000-0000E73A0000}"/>
    <cellStyle name="货币 2 2 2 2 6 2 15" xfId="15070" xr:uid="{00000000-0005-0000-0000-00000E3B0000}"/>
    <cellStyle name="货币 2 2 2 2 6 2 16" xfId="15077" xr:uid="{00000000-0005-0000-0000-0000153B0000}"/>
    <cellStyle name="货币 2 2 2 2 6 2 17" xfId="3388" xr:uid="{00000000-0005-0000-0000-00006C0D0000}"/>
    <cellStyle name="货币 2 2 2 2 6 2 18" xfId="15095" xr:uid="{00000000-0005-0000-0000-0000273B0000}"/>
    <cellStyle name="货币 2 2 2 2 6 2 2" xfId="18517" xr:uid="{00000000-0005-0000-0000-000085480000}"/>
    <cellStyle name="货币 2 2 2 2 6 2 2 10" xfId="24911" xr:uid="{00000000-0005-0000-0000-00007F610000}"/>
    <cellStyle name="货币 2 2 2 2 6 2 2 2" xfId="27552" xr:uid="{00000000-0005-0000-0000-0000D06B0000}"/>
    <cellStyle name="货币 2 2 2 2 6 2 2 2 2" xfId="27562" xr:uid="{00000000-0005-0000-0000-0000DA6B0000}"/>
    <cellStyle name="货币 2 2 2 2 6 2 2 3" xfId="27565" xr:uid="{00000000-0005-0000-0000-0000DD6B0000}"/>
    <cellStyle name="货币 2 2 2 2 6 2 2 4" xfId="27573" xr:uid="{00000000-0005-0000-0000-0000E56B0000}"/>
    <cellStyle name="货币 2 2 2 2 6 2 2 5" xfId="27580" xr:uid="{00000000-0005-0000-0000-0000EC6B0000}"/>
    <cellStyle name="货币 2 2 2 2 6 2 2 6" xfId="35164" xr:uid="{00000000-0005-0000-0000-00008C890000}"/>
    <cellStyle name="货币 2 2 2 2 6 2 2 7" xfId="35166" xr:uid="{00000000-0005-0000-0000-00008E890000}"/>
    <cellStyle name="货币 2 2 2 2 6 2 2 8" xfId="35167" xr:uid="{00000000-0005-0000-0000-00008F890000}"/>
    <cellStyle name="货币 2 2 2 2 6 2 2 9" xfId="35168" xr:uid="{00000000-0005-0000-0000-000090890000}"/>
    <cellStyle name="货币 2 2 2 2 6 2 3" xfId="27583" xr:uid="{00000000-0005-0000-0000-0000EF6B0000}"/>
    <cellStyle name="货币 2 2 2 2 6 2 3 2" xfId="27591" xr:uid="{00000000-0005-0000-0000-0000F76B0000}"/>
    <cellStyle name="货币 2 2 2 2 6 2 3 3" xfId="29657" xr:uid="{00000000-0005-0000-0000-000009740000}"/>
    <cellStyle name="货币 2 2 2 2 6 2 3 4" xfId="29663" xr:uid="{00000000-0005-0000-0000-00000F740000}"/>
    <cellStyle name="货币 2 2 2 2 6 2 3 5" xfId="35170" xr:uid="{00000000-0005-0000-0000-000092890000}"/>
    <cellStyle name="货币 2 2 2 2 6 2 3 6" xfId="35171" xr:uid="{00000000-0005-0000-0000-000093890000}"/>
    <cellStyle name="货币 2 2 2 2 6 2 4" xfId="27596" xr:uid="{00000000-0005-0000-0000-0000FC6B0000}"/>
    <cellStyle name="货币 2 2 2 2 6 2 4 2" xfId="13910" xr:uid="{00000000-0005-0000-0000-000086360000}"/>
    <cellStyle name="货币 2 2 2 2 6 2 4 3" xfId="30239" xr:uid="{00000000-0005-0000-0000-00004F760000}"/>
    <cellStyle name="货币 2 2 2 2 6 2 4 4" xfId="30243" xr:uid="{00000000-0005-0000-0000-000053760000}"/>
    <cellStyle name="货币 2 2 2 2 6 2 4 5" xfId="35173" xr:uid="{00000000-0005-0000-0000-000095890000}"/>
    <cellStyle name="货币 2 2 2 2 6 2 4 6" xfId="35174" xr:uid="{00000000-0005-0000-0000-000096890000}"/>
    <cellStyle name="货币 2 2 2 2 6 2 5" xfId="342" xr:uid="{00000000-0005-0000-0000-00006D010000}"/>
    <cellStyle name="货币 2 2 2 2 6 2 5 2" xfId="35176" xr:uid="{00000000-0005-0000-0000-000098890000}"/>
    <cellStyle name="货币 2 2 2 2 6 2 5 3" xfId="10287" xr:uid="{00000000-0005-0000-0000-00005F280000}"/>
    <cellStyle name="货币 2 2 2 2 6 2 5 4" xfId="10293" xr:uid="{00000000-0005-0000-0000-000065280000}"/>
    <cellStyle name="货币 2 2 2 2 6 2 5 5" xfId="497" xr:uid="{00000000-0005-0000-0000-000011020000}"/>
    <cellStyle name="货币 2 2 2 2 6 2 5 6" xfId="398" xr:uid="{00000000-0005-0000-0000-0000A8010000}"/>
    <cellStyle name="货币 2 2 2 2 6 2 6" xfId="27603" xr:uid="{00000000-0005-0000-0000-0000036C0000}"/>
    <cellStyle name="货币 2 2 2 2 6 2 6 2" xfId="35178" xr:uid="{00000000-0005-0000-0000-00009A890000}"/>
    <cellStyle name="货币 2 2 2 2 6 2 6 3" xfId="10304" xr:uid="{00000000-0005-0000-0000-000070280000}"/>
    <cellStyle name="货币 2 2 2 2 6 2 6 4" xfId="35180" xr:uid="{00000000-0005-0000-0000-00009C890000}"/>
    <cellStyle name="货币 2 2 2 2 6 2 6 5" xfId="35182" xr:uid="{00000000-0005-0000-0000-00009E890000}"/>
    <cellStyle name="货币 2 2 2 2 6 2 6 6" xfId="35183" xr:uid="{00000000-0005-0000-0000-00009F890000}"/>
    <cellStyle name="货币 2 2 2 2 6 2 7" xfId="27608" xr:uid="{00000000-0005-0000-0000-0000086C0000}"/>
    <cellStyle name="货币 2 2 2 2 6 2 8" xfId="27613" xr:uid="{00000000-0005-0000-0000-00000D6C0000}"/>
    <cellStyle name="货币 2 2 2 2 6 2 9" xfId="27618" xr:uid="{00000000-0005-0000-0000-0000126C0000}"/>
    <cellStyle name="货币 2 2 2 2 6 3" xfId="27626" xr:uid="{00000000-0005-0000-0000-00001A6C0000}"/>
    <cellStyle name="货币 2 2 2 2 6 3 10" xfId="18981" xr:uid="{00000000-0005-0000-0000-0000554A0000}"/>
    <cellStyle name="货币 2 2 2 2 6 3 11" xfId="18984" xr:uid="{00000000-0005-0000-0000-0000584A0000}"/>
    <cellStyle name="货币 2 2 2 2 6 3 12" xfId="18986" xr:uid="{00000000-0005-0000-0000-00005A4A0000}"/>
    <cellStyle name="货币 2 2 2 2 6 3 2" xfId="5870" xr:uid="{00000000-0005-0000-0000-00001E170000}"/>
    <cellStyle name="货币 2 2 2 2 6 3 2 2" xfId="27628" xr:uid="{00000000-0005-0000-0000-00001C6C0000}"/>
    <cellStyle name="货币 2 2 2 2 6 3 2 2 2" xfId="27632" xr:uid="{00000000-0005-0000-0000-0000206C0000}"/>
    <cellStyle name="货币 2 2 2 2 6 3 2 3" xfId="27639" xr:uid="{00000000-0005-0000-0000-0000276C0000}"/>
    <cellStyle name="货币 2 2 2 2 6 3 2 4" xfId="27646" xr:uid="{00000000-0005-0000-0000-00002E6C0000}"/>
    <cellStyle name="货币 2 2 2 2 6 3 2 5" xfId="27653" xr:uid="{00000000-0005-0000-0000-0000356C0000}"/>
    <cellStyle name="货币 2 2 2 2 6 3 3" xfId="27659" xr:uid="{00000000-0005-0000-0000-00003B6C0000}"/>
    <cellStyle name="货币 2 2 2 2 6 3 3 2" xfId="27661" xr:uid="{00000000-0005-0000-0000-00003D6C0000}"/>
    <cellStyle name="货币 2 2 2 2 6 3 4" xfId="21545" xr:uid="{00000000-0005-0000-0000-000059540000}"/>
    <cellStyle name="货币 2 2 2 2 6 3 5" xfId="1833" xr:uid="{00000000-0005-0000-0000-000059070000}"/>
    <cellStyle name="货币 2 2 2 2 6 3 6" xfId="27667" xr:uid="{00000000-0005-0000-0000-0000436C0000}"/>
    <cellStyle name="货币 2 2 2 2 6 3 7" xfId="27668" xr:uid="{00000000-0005-0000-0000-0000446C0000}"/>
    <cellStyle name="货币 2 2 2 2 6 3 8" xfId="22366" xr:uid="{00000000-0005-0000-0000-00008E570000}"/>
    <cellStyle name="货币 2 2 2 2 6 3 9" xfId="27672" xr:uid="{00000000-0005-0000-0000-0000486C0000}"/>
    <cellStyle name="货币 2 2 2 2 6 4" xfId="27679" xr:uid="{00000000-0005-0000-0000-00004F6C0000}"/>
    <cellStyle name="货币 2 2 2 2 6 4 10" xfId="19033" xr:uid="{00000000-0005-0000-0000-0000894A0000}"/>
    <cellStyle name="货币 2 2 2 2 6 4 11" xfId="21568" xr:uid="{00000000-0005-0000-0000-000070540000}"/>
    <cellStyle name="货币 2 2 2 2 6 4 2" xfId="18537" xr:uid="{00000000-0005-0000-0000-000099480000}"/>
    <cellStyle name="货币 2 2 2 2 6 4 2 2" xfId="27681" xr:uid="{00000000-0005-0000-0000-0000516C0000}"/>
    <cellStyle name="货币 2 2 2 2 6 4 2 2 2" xfId="30549" xr:uid="{00000000-0005-0000-0000-000085770000}"/>
    <cellStyle name="货币 2 2 2 2 6 4 2 3" xfId="30553" xr:uid="{00000000-0005-0000-0000-000089770000}"/>
    <cellStyle name="货币 2 2 2 2 6 4 2 4" xfId="30636" xr:uid="{00000000-0005-0000-0000-0000DC770000}"/>
    <cellStyle name="货币 2 2 2 2 6 4 2 5" xfId="30640" xr:uid="{00000000-0005-0000-0000-0000E0770000}"/>
    <cellStyle name="货币 2 2 2 2 6 4 3" xfId="27688" xr:uid="{00000000-0005-0000-0000-0000586C0000}"/>
    <cellStyle name="货币 2 2 2 2 6 4 3 2" xfId="28182" xr:uid="{00000000-0005-0000-0000-0000466E0000}"/>
    <cellStyle name="货币 2 2 2 2 6 4 4" xfId="27693" xr:uid="{00000000-0005-0000-0000-00005D6C0000}"/>
    <cellStyle name="货币 2 2 2 2 6 4 5" xfId="1604" xr:uid="{00000000-0005-0000-0000-000074060000}"/>
    <cellStyle name="货币 2 2 2 2 6 4 6" xfId="27697" xr:uid="{00000000-0005-0000-0000-0000616C0000}"/>
    <cellStyle name="货币 2 2 2 2 6 4 7" xfId="27698" xr:uid="{00000000-0005-0000-0000-0000626C0000}"/>
    <cellStyle name="货币 2 2 2 2 6 4 8" xfId="27700" xr:uid="{00000000-0005-0000-0000-0000646C0000}"/>
    <cellStyle name="货币 2 2 2 2 6 4 9" xfId="27705" xr:uid="{00000000-0005-0000-0000-0000696C0000}"/>
    <cellStyle name="货币 2 2 2 2 6 5" xfId="27713" xr:uid="{00000000-0005-0000-0000-0000716C0000}"/>
    <cellStyle name="货币 2 2 2 2 6 5 10" xfId="4434" xr:uid="{00000000-0005-0000-0000-000082110000}"/>
    <cellStyle name="货币 2 2 2 2 6 5 2" xfId="27715" xr:uid="{00000000-0005-0000-0000-0000736C0000}"/>
    <cellStyle name="货币 2 2 2 2 6 5 2 2" xfId="1615" xr:uid="{00000000-0005-0000-0000-00007F060000}"/>
    <cellStyle name="货币 2 2 2 2 6 5 2 2 2" xfId="1640" xr:uid="{00000000-0005-0000-0000-000098060000}"/>
    <cellStyle name="货币 2 2 2 2 6 5 2 3" xfId="1664" xr:uid="{00000000-0005-0000-0000-0000B0060000}"/>
    <cellStyle name="货币 2 2 2 2 6 5 2 4" xfId="30454" xr:uid="{00000000-0005-0000-0000-000026770000}"/>
    <cellStyle name="货币 2 2 2 2 6 5 2 5" xfId="35186" xr:uid="{00000000-0005-0000-0000-0000A2890000}"/>
    <cellStyle name="货币 2 2 2 2 6 5 3" xfId="30458" xr:uid="{00000000-0005-0000-0000-00002A770000}"/>
    <cellStyle name="货币 2 2 2 2 6 5 3 2" xfId="1903" xr:uid="{00000000-0005-0000-0000-00009F070000}"/>
    <cellStyle name="货币 2 2 2 2 6 5 4" xfId="9726" xr:uid="{00000000-0005-0000-0000-00002E260000}"/>
    <cellStyle name="货币 2 2 2 2 6 5 5" xfId="1906" xr:uid="{00000000-0005-0000-0000-0000A2070000}"/>
    <cellStyle name="货币 2 2 2 2 6 5 6" xfId="35188" xr:uid="{00000000-0005-0000-0000-0000A4890000}"/>
    <cellStyle name="货币 2 2 2 2 6 5 7" xfId="35189" xr:uid="{00000000-0005-0000-0000-0000A5890000}"/>
    <cellStyle name="货币 2 2 2 2 6 5 8" xfId="29456" xr:uid="{00000000-0005-0000-0000-000040730000}"/>
    <cellStyle name="货币 2 2 2 2 6 5 9" xfId="35191" xr:uid="{00000000-0005-0000-0000-0000A7890000}"/>
    <cellStyle name="货币 2 2 2 2 6 6" xfId="27723" xr:uid="{00000000-0005-0000-0000-00007B6C0000}"/>
    <cellStyle name="货币 2 2 2 2 6 6 2" xfId="30466" xr:uid="{00000000-0005-0000-0000-000032770000}"/>
    <cellStyle name="货币 2 2 2 2 6 6 2 2" xfId="30471" xr:uid="{00000000-0005-0000-0000-000037770000}"/>
    <cellStyle name="货币 2 2 2 2 6 6 3" xfId="30487" xr:uid="{00000000-0005-0000-0000-000047770000}"/>
    <cellStyle name="货币 2 2 2 2 6 6 4" xfId="30491" xr:uid="{00000000-0005-0000-0000-00004B770000}"/>
    <cellStyle name="货币 2 2 2 2 6 6 5" xfId="864" xr:uid="{00000000-0005-0000-0000-000090030000}"/>
    <cellStyle name="货币 2 2 2 2 6 6 6" xfId="31102" xr:uid="{00000000-0005-0000-0000-0000AE790000}"/>
    <cellStyle name="货币 2 2 2 2 6 6 7" xfId="31105" xr:uid="{00000000-0005-0000-0000-0000B1790000}"/>
    <cellStyle name="货币 2 2 2 2 6 6 8" xfId="31108" xr:uid="{00000000-0005-0000-0000-0000B4790000}"/>
    <cellStyle name="货币 2 2 2 2 6 6 9" xfId="31112" xr:uid="{00000000-0005-0000-0000-0000B8790000}"/>
    <cellStyle name="货币 2 2 2 2 6 7" xfId="27728" xr:uid="{00000000-0005-0000-0000-0000806C0000}"/>
    <cellStyle name="货币 2 2 2 2 6 7 2" xfId="24233" xr:uid="{00000000-0005-0000-0000-0000D95E0000}"/>
    <cellStyle name="货币 2 2 2 2 6 7 3" xfId="24292" xr:uid="{00000000-0005-0000-0000-0000145F0000}"/>
    <cellStyle name="货币 2 2 2 2 6 7 4" xfId="14042" xr:uid="{00000000-0005-0000-0000-00000A370000}"/>
    <cellStyle name="货币 2 2 2 2 6 7 5" xfId="2517" xr:uid="{00000000-0005-0000-0000-0000050A0000}"/>
    <cellStyle name="货币 2 2 2 2 6 7 6" xfId="31165" xr:uid="{00000000-0005-0000-0000-0000ED790000}"/>
    <cellStyle name="货币 2 2 2 2 6 8" xfId="30561" xr:uid="{00000000-0005-0000-0000-000091770000}"/>
    <cellStyle name="货币 2 2 2 2 6 9" xfId="30567" xr:uid="{00000000-0005-0000-0000-000097770000}"/>
    <cellStyle name="货币 2 2 2 2 7" xfId="35192" xr:uid="{00000000-0005-0000-0000-0000A8890000}"/>
    <cellStyle name="货币 2 2 2 2 7 10" xfId="35193" xr:uid="{00000000-0005-0000-0000-0000A9890000}"/>
    <cellStyle name="货币 2 2 2 2 7 11" xfId="35194" xr:uid="{00000000-0005-0000-0000-0000AA890000}"/>
    <cellStyle name="货币 2 2 2 2 7 12" xfId="35195" xr:uid="{00000000-0005-0000-0000-0000AB890000}"/>
    <cellStyle name="货币 2 2 2 2 7 13" xfId="12818" xr:uid="{00000000-0005-0000-0000-000042320000}"/>
    <cellStyle name="货币 2 2 2 2 7 14" xfId="12820" xr:uid="{00000000-0005-0000-0000-000044320000}"/>
    <cellStyle name="货币 2 2 2 2 7 15" xfId="12822" xr:uid="{00000000-0005-0000-0000-000046320000}"/>
    <cellStyle name="货币 2 2 2 2 7 16" xfId="12826" xr:uid="{00000000-0005-0000-0000-00004A320000}"/>
    <cellStyle name="货币 2 2 2 2 7 17" xfId="9785" xr:uid="{00000000-0005-0000-0000-000069260000}"/>
    <cellStyle name="货币 2 2 2 2 7 18" xfId="35197" xr:uid="{00000000-0005-0000-0000-0000AD890000}"/>
    <cellStyle name="货币 2 2 2 2 7 2" xfId="27756" xr:uid="{00000000-0005-0000-0000-00009C6C0000}"/>
    <cellStyle name="货币 2 2 2 2 7 2 10" xfId="21146" xr:uid="{00000000-0005-0000-0000-0000CA520000}"/>
    <cellStyle name="货币 2 2 2 2 7 2 2" xfId="27759" xr:uid="{00000000-0005-0000-0000-00009F6C0000}"/>
    <cellStyle name="货币 2 2 2 2 7 2 2 2" xfId="35199" xr:uid="{00000000-0005-0000-0000-0000AF890000}"/>
    <cellStyle name="货币 2 2 2 2 7 2 3" xfId="27763" xr:uid="{00000000-0005-0000-0000-0000A36C0000}"/>
    <cellStyle name="货币 2 2 2 2 7 2 4" xfId="27768" xr:uid="{00000000-0005-0000-0000-0000A86C0000}"/>
    <cellStyle name="货币 2 2 2 2 7 2 5" xfId="2690" xr:uid="{00000000-0005-0000-0000-0000B20A0000}"/>
    <cellStyle name="货币 2 2 2 2 7 2 6" xfId="21089" xr:uid="{00000000-0005-0000-0000-000091520000}"/>
    <cellStyle name="货币 2 2 2 2 7 2 7" xfId="21097" xr:uid="{00000000-0005-0000-0000-000099520000}"/>
    <cellStyle name="货币 2 2 2 2 7 2 8" xfId="21102" xr:uid="{00000000-0005-0000-0000-00009E520000}"/>
    <cellStyle name="货币 2 2 2 2 7 2 9" xfId="21106" xr:uid="{00000000-0005-0000-0000-0000A2520000}"/>
    <cellStyle name="货币 2 2 2 2 7 3" xfId="27770" xr:uid="{00000000-0005-0000-0000-0000AA6C0000}"/>
    <cellStyle name="货币 2 2 2 2 7 3 2" xfId="27772" xr:uid="{00000000-0005-0000-0000-0000AC6C0000}"/>
    <cellStyle name="货币 2 2 2 2 7 3 3" xfId="27774" xr:uid="{00000000-0005-0000-0000-0000AE6C0000}"/>
    <cellStyle name="货币 2 2 2 2 7 3 4" xfId="27777" xr:uid="{00000000-0005-0000-0000-0000B16C0000}"/>
    <cellStyle name="货币 2 2 2 2 7 3 5" xfId="710" xr:uid="{00000000-0005-0000-0000-0000F6020000}"/>
    <cellStyle name="货币 2 2 2 2 7 3 6" xfId="27779" xr:uid="{00000000-0005-0000-0000-0000B36C0000}"/>
    <cellStyle name="货币 2 2 2 2 7 4" xfId="27781" xr:uid="{00000000-0005-0000-0000-0000B56C0000}"/>
    <cellStyle name="货币 2 2 2 2 7 4 2" xfId="27783" xr:uid="{00000000-0005-0000-0000-0000B76C0000}"/>
    <cellStyle name="货币 2 2 2 2 7 4 3" xfId="27785" xr:uid="{00000000-0005-0000-0000-0000B96C0000}"/>
    <cellStyle name="货币 2 2 2 2 7 4 4" xfId="27787" xr:uid="{00000000-0005-0000-0000-0000BB6C0000}"/>
    <cellStyle name="货币 2 2 2 2 7 4 5" xfId="3095" xr:uid="{00000000-0005-0000-0000-0000470C0000}"/>
    <cellStyle name="货币 2 2 2 2 7 4 6" xfId="27790" xr:uid="{00000000-0005-0000-0000-0000BE6C0000}"/>
    <cellStyle name="货币 2 2 2 2 7 5" xfId="27792" xr:uid="{00000000-0005-0000-0000-0000C06C0000}"/>
    <cellStyle name="货币 2 2 2 2 7 5 2" xfId="35200" xr:uid="{00000000-0005-0000-0000-0000B0890000}"/>
    <cellStyle name="货币 2 2 2 2 7 5 3" xfId="35201" xr:uid="{00000000-0005-0000-0000-0000B1890000}"/>
    <cellStyle name="货币 2 2 2 2 7 5 4" xfId="35202" xr:uid="{00000000-0005-0000-0000-0000B2890000}"/>
    <cellStyle name="货币 2 2 2 2 7 5 5" xfId="3117" xr:uid="{00000000-0005-0000-0000-00005D0C0000}"/>
    <cellStyle name="货币 2 2 2 2 7 5 6" xfId="35203" xr:uid="{00000000-0005-0000-0000-0000B3890000}"/>
    <cellStyle name="货币 2 2 2 2 7 6" xfId="27794" xr:uid="{00000000-0005-0000-0000-0000C26C0000}"/>
    <cellStyle name="货币 2 2 2 2 7 6 2" xfId="35205" xr:uid="{00000000-0005-0000-0000-0000B5890000}"/>
    <cellStyle name="货币 2 2 2 2 7 6 3" xfId="35208" xr:uid="{00000000-0005-0000-0000-0000B8890000}"/>
    <cellStyle name="货币 2 2 2 2 7 6 4" xfId="35210" xr:uid="{00000000-0005-0000-0000-0000BA890000}"/>
    <cellStyle name="货币 2 2 2 2 7 6 5" xfId="843" xr:uid="{00000000-0005-0000-0000-00007B030000}"/>
    <cellStyle name="货币 2 2 2 2 7 6 6" xfId="35212" xr:uid="{00000000-0005-0000-0000-0000BC890000}"/>
    <cellStyle name="货币 2 2 2 2 7 7" xfId="27796" xr:uid="{00000000-0005-0000-0000-0000C46C0000}"/>
    <cellStyle name="货币 2 2 2 2 7 8" xfId="35214" xr:uid="{00000000-0005-0000-0000-0000BE890000}"/>
    <cellStyle name="货币 2 2 2 2 7 9" xfId="35215" xr:uid="{00000000-0005-0000-0000-0000BF890000}"/>
    <cellStyle name="货币 2 2 2 2 8" xfId="35217" xr:uid="{00000000-0005-0000-0000-0000C1890000}"/>
    <cellStyle name="货币 2 2 2 2 8 10" xfId="34555" xr:uid="{00000000-0005-0000-0000-00002B870000}"/>
    <cellStyle name="货币 2 2 2 2 8 11" xfId="34602" xr:uid="{00000000-0005-0000-0000-00005A870000}"/>
    <cellStyle name="货币 2 2 2 2 8 12" xfId="34642" xr:uid="{00000000-0005-0000-0000-000082870000}"/>
    <cellStyle name="货币 2 2 2 2 8 13" xfId="34670" xr:uid="{00000000-0005-0000-0000-00009E870000}"/>
    <cellStyle name="货币 2 2 2 2 8 14" xfId="34700" xr:uid="{00000000-0005-0000-0000-0000BC870000}"/>
    <cellStyle name="货币 2 2 2 2 8 15" xfId="34726" xr:uid="{00000000-0005-0000-0000-0000D6870000}"/>
    <cellStyle name="货币 2 2 2 2 8 16" xfId="34736" xr:uid="{00000000-0005-0000-0000-0000E0870000}"/>
    <cellStyle name="货币 2 2 2 2 8 17" xfId="3395" xr:uid="{00000000-0005-0000-0000-0000730D0000}"/>
    <cellStyle name="货币 2 2 2 2 8 18" xfId="29493" xr:uid="{00000000-0005-0000-0000-000065730000}"/>
    <cellStyle name="货币 2 2 2 2 8 2" xfId="27807" xr:uid="{00000000-0005-0000-0000-0000CF6C0000}"/>
    <cellStyle name="货币 2 2 2 2 8 2 10" xfId="32270" xr:uid="{00000000-0005-0000-0000-00003E7E0000}"/>
    <cellStyle name="货币 2 2 2 2 8 2 2" xfId="27811" xr:uid="{00000000-0005-0000-0000-0000D36C0000}"/>
    <cellStyle name="货币 2 2 2 2 8 2 2 2" xfId="35220" xr:uid="{00000000-0005-0000-0000-0000C4890000}"/>
    <cellStyle name="货币 2 2 2 2 8 2 3" xfId="35222" xr:uid="{00000000-0005-0000-0000-0000C6890000}"/>
    <cellStyle name="货币 2 2 2 2 8 2 4" xfId="18849" xr:uid="{00000000-0005-0000-0000-0000D1490000}"/>
    <cellStyle name="货币 2 2 2 2 8 2 5" xfId="35225" xr:uid="{00000000-0005-0000-0000-0000C9890000}"/>
    <cellStyle name="货币 2 2 2 2 8 2 6" xfId="35227" xr:uid="{00000000-0005-0000-0000-0000CB890000}"/>
    <cellStyle name="货币 2 2 2 2 8 2 7" xfId="2647" xr:uid="{00000000-0005-0000-0000-0000870A0000}"/>
    <cellStyle name="货币 2 2 2 2 8 2 8" xfId="35229" xr:uid="{00000000-0005-0000-0000-0000CD890000}"/>
    <cellStyle name="货币 2 2 2 2 8 2 9" xfId="35231" xr:uid="{00000000-0005-0000-0000-0000CF890000}"/>
    <cellStyle name="货币 2 2 2 2 8 3" xfId="4235" xr:uid="{00000000-0005-0000-0000-0000BB100000}"/>
    <cellStyle name="货币 2 2 2 2 8 3 2" xfId="4249" xr:uid="{00000000-0005-0000-0000-0000C9100000}"/>
    <cellStyle name="货币 2 2 2 2 8 3 3" xfId="35232" xr:uid="{00000000-0005-0000-0000-0000D0890000}"/>
    <cellStyle name="货币 2 2 2 2 8 3 4" xfId="35234" xr:uid="{00000000-0005-0000-0000-0000D2890000}"/>
    <cellStyle name="货币 2 2 2 2 8 3 5" xfId="35235" xr:uid="{00000000-0005-0000-0000-0000D3890000}"/>
    <cellStyle name="货币 2 2 2 2 8 3 6" xfId="3480" xr:uid="{00000000-0005-0000-0000-0000C80D0000}"/>
    <cellStyle name="货币 2 2 2 2 8 4" xfId="2457" xr:uid="{00000000-0005-0000-0000-0000C9090000}"/>
    <cellStyle name="货币 2 2 2 2 8 4 2" xfId="34540" xr:uid="{00000000-0005-0000-0000-00001C870000}"/>
    <cellStyle name="货币 2 2 2 2 8 4 3" xfId="34542" xr:uid="{00000000-0005-0000-0000-00001E870000}"/>
    <cellStyle name="货币 2 2 2 2 8 4 4" xfId="34544" xr:uid="{00000000-0005-0000-0000-000020870000}"/>
    <cellStyle name="货币 2 2 2 2 8 4 5" xfId="34547" xr:uid="{00000000-0005-0000-0000-000023870000}"/>
    <cellStyle name="货币 2 2 2 2 8 4 6" xfId="34550" xr:uid="{00000000-0005-0000-0000-000026870000}"/>
    <cellStyle name="货币 2 2 2 2 8 5" xfId="352" xr:uid="{00000000-0005-0000-0000-000078010000}"/>
    <cellStyle name="货币 2 2 2 2 8 5 2" xfId="35236" xr:uid="{00000000-0005-0000-0000-0000D4890000}"/>
    <cellStyle name="货币 2 2 2 2 8 5 3" xfId="35237" xr:uid="{00000000-0005-0000-0000-0000D5890000}"/>
    <cellStyle name="货币 2 2 2 2 8 5 4" xfId="35238" xr:uid="{00000000-0005-0000-0000-0000D6890000}"/>
    <cellStyle name="货币 2 2 2 2 8 5 5" xfId="35239" xr:uid="{00000000-0005-0000-0000-0000D7890000}"/>
    <cellStyle name="货币 2 2 2 2 8 5 6" xfId="35240" xr:uid="{00000000-0005-0000-0000-0000D8890000}"/>
    <cellStyle name="货币 2 2 2 2 8 6" xfId="2083" xr:uid="{00000000-0005-0000-0000-000053080000}"/>
    <cellStyle name="货币 2 2 2 2 8 6 2" xfId="35241" xr:uid="{00000000-0005-0000-0000-0000D9890000}"/>
    <cellStyle name="货币 2 2 2 2 8 6 3" xfId="35243" xr:uid="{00000000-0005-0000-0000-0000DB890000}"/>
    <cellStyle name="货币 2 2 2 2 8 6 4" xfId="35244" xr:uid="{00000000-0005-0000-0000-0000DC890000}"/>
    <cellStyle name="货币 2 2 2 2 8 6 5" xfId="35245" xr:uid="{00000000-0005-0000-0000-0000DD890000}"/>
    <cellStyle name="货币 2 2 2 2 8 6 6" xfId="35246" xr:uid="{00000000-0005-0000-0000-0000DE890000}"/>
    <cellStyle name="货币 2 2 2 2 8 7" xfId="2264" xr:uid="{00000000-0005-0000-0000-000008090000}"/>
    <cellStyle name="货币 2 2 2 2 8 8" xfId="35247" xr:uid="{00000000-0005-0000-0000-0000DF890000}"/>
    <cellStyle name="货币 2 2 2 2 8 9" xfId="35248" xr:uid="{00000000-0005-0000-0000-0000E0890000}"/>
    <cellStyle name="货币 2 2 2 2 9" xfId="35249" xr:uid="{00000000-0005-0000-0000-0000E1890000}"/>
    <cellStyle name="货币 2 2 2 2 9 10" xfId="27808" xr:uid="{00000000-0005-0000-0000-0000D06C0000}"/>
    <cellStyle name="货币 2 2 2 2 9 11" xfId="4236" xr:uid="{00000000-0005-0000-0000-0000BC100000}"/>
    <cellStyle name="货币 2 2 2 2 9 12" xfId="2458" xr:uid="{00000000-0005-0000-0000-0000CA090000}"/>
    <cellStyle name="货币 2 2 2 2 9 13" xfId="353" xr:uid="{00000000-0005-0000-0000-000079010000}"/>
    <cellStyle name="货币 2 2 2 2 9 14" xfId="2084" xr:uid="{00000000-0005-0000-0000-000054080000}"/>
    <cellStyle name="货币 2 2 2 2 9 15" xfId="2265" xr:uid="{00000000-0005-0000-0000-000009090000}"/>
    <cellStyle name="货币 2 2 2 2 9 2" xfId="27835" xr:uid="{00000000-0005-0000-0000-0000EB6C0000}"/>
    <cellStyle name="货币 2 2 2 2 9 2 2" xfId="27839" xr:uid="{00000000-0005-0000-0000-0000EF6C0000}"/>
    <cellStyle name="货币 2 2 2 2 9 2 2 2" xfId="19375" xr:uid="{00000000-0005-0000-0000-0000DF4B0000}"/>
    <cellStyle name="货币 2 2 2 2 9 2 3" xfId="35251" xr:uid="{00000000-0005-0000-0000-0000E3890000}"/>
    <cellStyle name="货币 2 2 2 2 9 2 4" xfId="35253" xr:uid="{00000000-0005-0000-0000-0000E5890000}"/>
    <cellStyle name="货币 2 2 2 2 9 2 5" xfId="35255" xr:uid="{00000000-0005-0000-0000-0000E7890000}"/>
    <cellStyle name="货币 2 2 2 2 9 2 6" xfId="35258" xr:uid="{00000000-0005-0000-0000-0000EA890000}"/>
    <cellStyle name="货币 2 2 2 2 9 2 7" xfId="27468" xr:uid="{00000000-0005-0000-0000-00007C6B0000}"/>
    <cellStyle name="货币 2 2 2 2 9 2 8" xfId="27472" xr:uid="{00000000-0005-0000-0000-0000806B0000}"/>
    <cellStyle name="货币 2 2 2 2 9 2 9" xfId="27477" xr:uid="{00000000-0005-0000-0000-0000856B0000}"/>
    <cellStyle name="货币 2 2 2 2 9 3" xfId="4592" xr:uid="{00000000-0005-0000-0000-000020120000}"/>
    <cellStyle name="货币 2 2 2 2 9 3 2" xfId="34407" xr:uid="{00000000-0005-0000-0000-000097860000}"/>
    <cellStyle name="货币 2 2 2 2 9 3 3" xfId="34435" xr:uid="{00000000-0005-0000-0000-0000B3860000}"/>
    <cellStyle name="货币 2 2 2 2 9 3 4" xfId="34457" xr:uid="{00000000-0005-0000-0000-0000C9860000}"/>
    <cellStyle name="货币 2 2 2 2 9 3 5" xfId="34492" xr:uid="{00000000-0005-0000-0000-0000EC860000}"/>
    <cellStyle name="货币 2 2 2 2 9 3 6" xfId="34505" xr:uid="{00000000-0005-0000-0000-0000F9860000}"/>
    <cellStyle name="货币 2 2 2 2 9 4" xfId="27840" xr:uid="{00000000-0005-0000-0000-0000F06C0000}"/>
    <cellStyle name="货币 2 2 2 2 9 4 2" xfId="34643" xr:uid="{00000000-0005-0000-0000-000083870000}"/>
    <cellStyle name="货币 2 2 2 2 9 5" xfId="27842" xr:uid="{00000000-0005-0000-0000-0000F26C0000}"/>
    <cellStyle name="货币 2 2 2 2 9 6" xfId="27844" xr:uid="{00000000-0005-0000-0000-0000F46C0000}"/>
    <cellStyle name="货币 2 2 2 2 9 7" xfId="27846" xr:uid="{00000000-0005-0000-0000-0000F66C0000}"/>
    <cellStyle name="货币 2 2 2 2 9 8" xfId="35259" xr:uid="{00000000-0005-0000-0000-0000EB890000}"/>
    <cellStyle name="货币 2 2 2 2 9 9" xfId="35260" xr:uid="{00000000-0005-0000-0000-0000EC890000}"/>
    <cellStyle name="货币 2 2 2 20" xfId="34188" xr:uid="{00000000-0005-0000-0000-0000BC850000}"/>
    <cellStyle name="货币 2 2 2 21" xfId="34190" xr:uid="{00000000-0005-0000-0000-0000BE850000}"/>
    <cellStyle name="货币 2 2 2 22" xfId="34195" xr:uid="{00000000-0005-0000-0000-0000C3850000}"/>
    <cellStyle name="货币 2 2 2 23" xfId="34197" xr:uid="{00000000-0005-0000-0000-0000C5850000}"/>
    <cellStyle name="货币 2 2 2 24" xfId="34200" xr:uid="{00000000-0005-0000-0000-0000C8850000}"/>
    <cellStyle name="货币 2 2 2 25" xfId="35261" xr:uid="{00000000-0005-0000-0000-0000ED890000}"/>
    <cellStyle name="货币 2 2 2 26" xfId="35263" xr:uid="{00000000-0005-0000-0000-0000EF890000}"/>
    <cellStyle name="货币 2 2 2 27" xfId="35265" xr:uid="{00000000-0005-0000-0000-0000F1890000}"/>
    <cellStyle name="货币 2 2 2 28" xfId="35267" xr:uid="{00000000-0005-0000-0000-0000F3890000}"/>
    <cellStyle name="货币 2 2 2 3" xfId="35269" xr:uid="{00000000-0005-0000-0000-0000F5890000}"/>
    <cellStyle name="货币 2 2 2 3 10" xfId="35270" xr:uid="{00000000-0005-0000-0000-0000F6890000}"/>
    <cellStyle name="货币 2 2 2 3 10 2" xfId="33579" xr:uid="{00000000-0005-0000-0000-00005B830000}"/>
    <cellStyle name="货币 2 2 2 3 10 3" xfId="33581" xr:uid="{00000000-0005-0000-0000-00005D830000}"/>
    <cellStyle name="货币 2 2 2 3 10 4" xfId="33583" xr:uid="{00000000-0005-0000-0000-00005F830000}"/>
    <cellStyle name="货币 2 2 2 3 10 5" xfId="33585" xr:uid="{00000000-0005-0000-0000-000061830000}"/>
    <cellStyle name="货币 2 2 2 3 10 6" xfId="33587" xr:uid="{00000000-0005-0000-0000-000063830000}"/>
    <cellStyle name="货币 2 2 2 3 11" xfId="35271" xr:uid="{00000000-0005-0000-0000-0000F7890000}"/>
    <cellStyle name="货币 2 2 2 3 11 2" xfId="35272" xr:uid="{00000000-0005-0000-0000-0000F8890000}"/>
    <cellStyle name="货币 2 2 2 3 11 3" xfId="35273" xr:uid="{00000000-0005-0000-0000-0000F9890000}"/>
    <cellStyle name="货币 2 2 2 3 11 4" xfId="35274" xr:uid="{00000000-0005-0000-0000-0000FA890000}"/>
    <cellStyle name="货币 2 2 2 3 11 5" xfId="35275" xr:uid="{00000000-0005-0000-0000-0000FB890000}"/>
    <cellStyle name="货币 2 2 2 3 11 6" xfId="35276" xr:uid="{00000000-0005-0000-0000-0000FC890000}"/>
    <cellStyle name="货币 2 2 2 3 12" xfId="35277" xr:uid="{00000000-0005-0000-0000-0000FD890000}"/>
    <cellStyle name="货币 2 2 2 3 13" xfId="35278" xr:uid="{00000000-0005-0000-0000-0000FE890000}"/>
    <cellStyle name="货币 2 2 2 3 14" xfId="35279" xr:uid="{00000000-0005-0000-0000-0000FF890000}"/>
    <cellStyle name="货币 2 2 2 3 15" xfId="35280" xr:uid="{00000000-0005-0000-0000-0000008A0000}"/>
    <cellStyle name="货币 2 2 2 3 16" xfId="25340" xr:uid="{00000000-0005-0000-0000-00002C630000}"/>
    <cellStyle name="货币 2 2 2 3 17" xfId="5829" xr:uid="{00000000-0005-0000-0000-0000F5160000}"/>
    <cellStyle name="货币 2 2 2 3 18" xfId="25345" xr:uid="{00000000-0005-0000-0000-000031630000}"/>
    <cellStyle name="货币 2 2 2 3 19" xfId="432" xr:uid="{00000000-0005-0000-0000-0000CB010000}"/>
    <cellStyle name="货币 2 2 2 3 2" xfId="35282" xr:uid="{00000000-0005-0000-0000-0000028A0000}"/>
    <cellStyle name="货币 2 2 2 3 2 10" xfId="35283" xr:uid="{00000000-0005-0000-0000-0000038A0000}"/>
    <cellStyle name="货币 2 2 2 3 2 11" xfId="5762" xr:uid="{00000000-0005-0000-0000-0000B2160000}"/>
    <cellStyle name="货币 2 2 2 3 2 12" xfId="23635" xr:uid="{00000000-0005-0000-0000-0000835C0000}"/>
    <cellStyle name="货币 2 2 2 3 2 13" xfId="20609" xr:uid="{00000000-0005-0000-0000-0000B1500000}"/>
    <cellStyle name="货币 2 2 2 3 2 14" xfId="23637" xr:uid="{00000000-0005-0000-0000-0000855C0000}"/>
    <cellStyle name="货币 2 2 2 3 2 15" xfId="35284" xr:uid="{00000000-0005-0000-0000-0000048A0000}"/>
    <cellStyle name="货币 2 2 2 3 2 16" xfId="13929" xr:uid="{00000000-0005-0000-0000-000099360000}"/>
    <cellStyle name="货币 2 2 2 3 2 17" xfId="35285" xr:uid="{00000000-0005-0000-0000-0000058A0000}"/>
    <cellStyle name="货币 2 2 2 3 2 18" xfId="35286" xr:uid="{00000000-0005-0000-0000-0000068A0000}"/>
    <cellStyle name="货币 2 2 2 3 2 2" xfId="15511" xr:uid="{00000000-0005-0000-0000-0000C73C0000}"/>
    <cellStyle name="货币 2 2 2 3 2 2 10" xfId="11834" xr:uid="{00000000-0005-0000-0000-00006A2E0000}"/>
    <cellStyle name="货币 2 2 2 3 2 2 11" xfId="10966" xr:uid="{00000000-0005-0000-0000-0000062B0000}"/>
    <cellStyle name="货币 2 2 2 3 2 2 12" xfId="2616" xr:uid="{00000000-0005-0000-0000-0000680A0000}"/>
    <cellStyle name="货币 2 2 2 3 2 2 2" xfId="32866" xr:uid="{00000000-0005-0000-0000-000092800000}"/>
    <cellStyle name="货币 2 2 2 3 2 2 2 2" xfId="7352" xr:uid="{00000000-0005-0000-0000-0000E81C0000}"/>
    <cellStyle name="货币 2 2 2 3 2 2 2 2 2" xfId="35289" xr:uid="{00000000-0005-0000-0000-0000098A0000}"/>
    <cellStyle name="货币 2 2 2 3 2 2 2 3" xfId="8799" xr:uid="{00000000-0005-0000-0000-00008F220000}"/>
    <cellStyle name="货币 2 2 2 3 2 2 2 4" xfId="13555" xr:uid="{00000000-0005-0000-0000-000023350000}"/>
    <cellStyle name="货币 2 2 2 3 2 2 2 5" xfId="13560" xr:uid="{00000000-0005-0000-0000-000028350000}"/>
    <cellStyle name="货币 2 2 2 3 2 2 3" xfId="32869" xr:uid="{00000000-0005-0000-0000-000095800000}"/>
    <cellStyle name="货币 2 2 2 3 2 2 3 2" xfId="35292" xr:uid="{00000000-0005-0000-0000-00000C8A0000}"/>
    <cellStyle name="货币 2 2 2 3 2 2 4" xfId="32872" xr:uid="{00000000-0005-0000-0000-000098800000}"/>
    <cellStyle name="货币 2 2 2 3 2 2 5" xfId="32875" xr:uid="{00000000-0005-0000-0000-00009B800000}"/>
    <cellStyle name="货币 2 2 2 3 2 2 6" xfId="32879" xr:uid="{00000000-0005-0000-0000-00009F800000}"/>
    <cellStyle name="货币 2 2 2 3 2 2 7" xfId="23640" xr:uid="{00000000-0005-0000-0000-0000885C0000}"/>
    <cellStyle name="货币 2 2 2 3 2 2 8" xfId="23650" xr:uid="{00000000-0005-0000-0000-0000925C0000}"/>
    <cellStyle name="货币 2 2 2 3 2 2 9" xfId="23656" xr:uid="{00000000-0005-0000-0000-0000985C0000}"/>
    <cellStyle name="货币 2 2 2 3 2 3" xfId="15514" xr:uid="{00000000-0005-0000-0000-0000CA3C0000}"/>
    <cellStyle name="货币 2 2 2 3 2 3 10" xfId="11404" xr:uid="{00000000-0005-0000-0000-0000BC2C0000}"/>
    <cellStyle name="货币 2 2 2 3 2 3 11" xfId="8672" xr:uid="{00000000-0005-0000-0000-000010220000}"/>
    <cellStyle name="货币 2 2 2 3 2 3 12" xfId="11410" xr:uid="{00000000-0005-0000-0000-0000C22C0000}"/>
    <cellStyle name="货币 2 2 2 3 2 3 2" xfId="35294" xr:uid="{00000000-0005-0000-0000-00000E8A0000}"/>
    <cellStyle name="货币 2 2 2 3 2 3 2 2" xfId="35296" xr:uid="{00000000-0005-0000-0000-0000108A0000}"/>
    <cellStyle name="货币 2 2 2 3 2 3 2 2 2" xfId="35299" xr:uid="{00000000-0005-0000-0000-0000138A0000}"/>
    <cellStyle name="货币 2 2 2 3 2 3 2 3" xfId="35301" xr:uid="{00000000-0005-0000-0000-0000158A0000}"/>
    <cellStyle name="货币 2 2 2 3 2 3 2 4" xfId="35304" xr:uid="{00000000-0005-0000-0000-0000188A0000}"/>
    <cellStyle name="货币 2 2 2 3 2 3 2 5" xfId="25279" xr:uid="{00000000-0005-0000-0000-0000EF620000}"/>
    <cellStyle name="货币 2 2 2 3 2 3 3" xfId="35306" xr:uid="{00000000-0005-0000-0000-00001A8A0000}"/>
    <cellStyle name="货币 2 2 2 3 2 3 3 2" xfId="35308" xr:uid="{00000000-0005-0000-0000-00001C8A0000}"/>
    <cellStyle name="货币 2 2 2 3 2 3 4" xfId="35310" xr:uid="{00000000-0005-0000-0000-00001E8A0000}"/>
    <cellStyle name="货币 2 2 2 3 2 3 5" xfId="35312" xr:uid="{00000000-0005-0000-0000-0000208A0000}"/>
    <cellStyle name="货币 2 2 2 3 2 3 6" xfId="35313" xr:uid="{00000000-0005-0000-0000-0000218A0000}"/>
    <cellStyle name="货币 2 2 2 3 2 3 7" xfId="23668" xr:uid="{00000000-0005-0000-0000-0000A45C0000}"/>
    <cellStyle name="货币 2 2 2 3 2 3 8" xfId="23671" xr:uid="{00000000-0005-0000-0000-0000A75C0000}"/>
    <cellStyle name="货币 2 2 2 3 2 3 9" xfId="19981" xr:uid="{00000000-0005-0000-0000-00003D4E0000}"/>
    <cellStyle name="货币 2 2 2 3 2 4" xfId="1558" xr:uid="{00000000-0005-0000-0000-000046060000}"/>
    <cellStyle name="货币 2 2 2 3 2 4 10" xfId="5292" xr:uid="{00000000-0005-0000-0000-0000DC140000}"/>
    <cellStyle name="货币 2 2 2 3 2 4 2" xfId="35316" xr:uid="{00000000-0005-0000-0000-0000248A0000}"/>
    <cellStyle name="货币 2 2 2 3 2 4 2 2" xfId="35318" xr:uid="{00000000-0005-0000-0000-0000268A0000}"/>
    <cellStyle name="货币 2 2 2 3 2 4 2 2 2" xfId="21341" xr:uid="{00000000-0005-0000-0000-00008D530000}"/>
    <cellStyle name="货币 2 2 2 3 2 4 2 3" xfId="35320" xr:uid="{00000000-0005-0000-0000-0000288A0000}"/>
    <cellStyle name="货币 2 2 2 3 2 4 2 4" xfId="35323" xr:uid="{00000000-0005-0000-0000-00002B8A0000}"/>
    <cellStyle name="货币 2 2 2 3 2 4 2 5" xfId="26241" xr:uid="{00000000-0005-0000-0000-0000B1660000}"/>
    <cellStyle name="货币 2 2 2 3 2 4 3" xfId="35325" xr:uid="{00000000-0005-0000-0000-00002D8A0000}"/>
    <cellStyle name="货币 2 2 2 3 2 4 3 2" xfId="35327" xr:uid="{00000000-0005-0000-0000-00002F8A0000}"/>
    <cellStyle name="货币 2 2 2 3 2 4 4" xfId="34208" xr:uid="{00000000-0005-0000-0000-0000D0850000}"/>
    <cellStyle name="货币 2 2 2 3 2 4 5" xfId="35328" xr:uid="{00000000-0005-0000-0000-0000308A0000}"/>
    <cellStyle name="货币 2 2 2 3 2 4 6" xfId="35329" xr:uid="{00000000-0005-0000-0000-0000318A0000}"/>
    <cellStyle name="货币 2 2 2 3 2 4 7" xfId="23673" xr:uid="{00000000-0005-0000-0000-0000A95C0000}"/>
    <cellStyle name="货币 2 2 2 3 2 4 8" xfId="35330" xr:uid="{00000000-0005-0000-0000-0000328A0000}"/>
    <cellStyle name="货币 2 2 2 3 2 4 9" xfId="20000" xr:uid="{00000000-0005-0000-0000-0000504E0000}"/>
    <cellStyle name="货币 2 2 2 3 2 5" xfId="4187" xr:uid="{00000000-0005-0000-0000-00008B100000}"/>
    <cellStyle name="货币 2 2 2 3 2 5 10" xfId="9691" xr:uid="{00000000-0005-0000-0000-00000B260000}"/>
    <cellStyle name="货币 2 2 2 3 2 5 2" xfId="4197" xr:uid="{00000000-0005-0000-0000-000095100000}"/>
    <cellStyle name="货币 2 2 2 3 2 5 2 2" xfId="9066" xr:uid="{00000000-0005-0000-0000-00009A230000}"/>
    <cellStyle name="货币 2 2 2 3 2 5 2 2 2" xfId="35332" xr:uid="{00000000-0005-0000-0000-0000348A0000}"/>
    <cellStyle name="货币 2 2 2 3 2 5 2 3" xfId="9078" xr:uid="{00000000-0005-0000-0000-0000A6230000}"/>
    <cellStyle name="货币 2 2 2 3 2 5 2 4" xfId="9092" xr:uid="{00000000-0005-0000-0000-0000B4230000}"/>
    <cellStyle name="货币 2 2 2 3 2 5 2 5" xfId="9107" xr:uid="{00000000-0005-0000-0000-0000C3230000}"/>
    <cellStyle name="货币 2 2 2 3 2 5 3" xfId="5181" xr:uid="{00000000-0005-0000-0000-00006D140000}"/>
    <cellStyle name="货币 2 2 2 3 2 5 3 2" xfId="21955" xr:uid="{00000000-0005-0000-0000-0000F3550000}"/>
    <cellStyle name="货币 2 2 2 3 2 5 4" xfId="6118" xr:uid="{00000000-0005-0000-0000-000016180000}"/>
    <cellStyle name="货币 2 2 2 3 2 5 5" xfId="9115" xr:uid="{00000000-0005-0000-0000-0000CB230000}"/>
    <cellStyle name="货币 2 2 2 3 2 5 6" xfId="9121" xr:uid="{00000000-0005-0000-0000-0000D1230000}"/>
    <cellStyle name="货币 2 2 2 3 2 5 7" xfId="9132" xr:uid="{00000000-0005-0000-0000-0000DC230000}"/>
    <cellStyle name="货币 2 2 2 3 2 5 8" xfId="9143" xr:uid="{00000000-0005-0000-0000-0000E7230000}"/>
    <cellStyle name="货币 2 2 2 3 2 5 9" xfId="9149" xr:uid="{00000000-0005-0000-0000-0000ED230000}"/>
    <cellStyle name="货币 2 2 2 3 2 6" xfId="35333" xr:uid="{00000000-0005-0000-0000-0000358A0000}"/>
    <cellStyle name="货币 2 2 2 3 2 6 2" xfId="35334" xr:uid="{00000000-0005-0000-0000-0000368A0000}"/>
    <cellStyle name="货币 2 2 2 3 2 6 2 2" xfId="35336" xr:uid="{00000000-0005-0000-0000-0000388A0000}"/>
    <cellStyle name="货币 2 2 2 3 2 6 3" xfId="21957" xr:uid="{00000000-0005-0000-0000-0000F5550000}"/>
    <cellStyle name="货币 2 2 2 3 2 6 4" xfId="35338" xr:uid="{00000000-0005-0000-0000-00003A8A0000}"/>
    <cellStyle name="货币 2 2 2 3 2 6 5" xfId="35339" xr:uid="{00000000-0005-0000-0000-00003B8A0000}"/>
    <cellStyle name="货币 2 2 2 3 2 6 6" xfId="35340" xr:uid="{00000000-0005-0000-0000-00003C8A0000}"/>
    <cellStyle name="货币 2 2 2 3 2 6 7" xfId="32778" xr:uid="{00000000-0005-0000-0000-00003A800000}"/>
    <cellStyle name="货币 2 2 2 3 2 6 8" xfId="35341" xr:uid="{00000000-0005-0000-0000-00003D8A0000}"/>
    <cellStyle name="货币 2 2 2 3 2 6 9" xfId="35342" xr:uid="{00000000-0005-0000-0000-00003E8A0000}"/>
    <cellStyle name="货币 2 2 2 3 2 7" xfId="35343" xr:uid="{00000000-0005-0000-0000-00003F8A0000}"/>
    <cellStyle name="货币 2 2 2 3 2 7 2" xfId="33127" xr:uid="{00000000-0005-0000-0000-000097810000}"/>
    <cellStyle name="货币 2 2 2 3 2 8" xfId="35344" xr:uid="{00000000-0005-0000-0000-0000408A0000}"/>
    <cellStyle name="货币 2 2 2 3 2 9" xfId="35345" xr:uid="{00000000-0005-0000-0000-0000418A0000}"/>
    <cellStyle name="货币 2 2 2 3 20" xfId="35281" xr:uid="{00000000-0005-0000-0000-0000018A0000}"/>
    <cellStyle name="货币 2 2 2 3 21" xfId="25341" xr:uid="{00000000-0005-0000-0000-00002D630000}"/>
    <cellStyle name="货币 2 2 2 3 22" xfId="5830" xr:uid="{00000000-0005-0000-0000-0000F6160000}"/>
    <cellStyle name="货币 2 2 2 3 23" xfId="25346" xr:uid="{00000000-0005-0000-0000-000032630000}"/>
    <cellStyle name="货币 2 2 2 3 3" xfId="35346" xr:uid="{00000000-0005-0000-0000-0000428A0000}"/>
    <cellStyle name="货币 2 2 2 3 3 10" xfId="35347" xr:uid="{00000000-0005-0000-0000-0000438A0000}"/>
    <cellStyle name="货币 2 2 2 3 3 11" xfId="23677" xr:uid="{00000000-0005-0000-0000-0000AD5C0000}"/>
    <cellStyle name="货币 2 2 2 3 3 12" xfId="6050" xr:uid="{00000000-0005-0000-0000-0000D2170000}"/>
    <cellStyle name="货币 2 2 2 3 3 13" xfId="6200" xr:uid="{00000000-0005-0000-0000-000068180000}"/>
    <cellStyle name="货币 2 2 2 3 3 14" xfId="35349" xr:uid="{00000000-0005-0000-0000-0000458A0000}"/>
    <cellStyle name="货币 2 2 2 3 3 15" xfId="35351" xr:uid="{00000000-0005-0000-0000-0000478A0000}"/>
    <cellStyle name="货币 2 2 2 3 3 16" xfId="35353" xr:uid="{00000000-0005-0000-0000-0000498A0000}"/>
    <cellStyle name="货币 2 2 2 3 3 17" xfId="35355" xr:uid="{00000000-0005-0000-0000-00004B8A0000}"/>
    <cellStyle name="货币 2 2 2 3 3 18" xfId="35357" xr:uid="{00000000-0005-0000-0000-00004D8A0000}"/>
    <cellStyle name="货币 2 2 2 3 3 2" xfId="35358" xr:uid="{00000000-0005-0000-0000-00004E8A0000}"/>
    <cellStyle name="货币 2 2 2 3 3 2 10" xfId="35359" xr:uid="{00000000-0005-0000-0000-00004F8A0000}"/>
    <cellStyle name="货币 2 2 2 3 3 2 2" xfId="32427" xr:uid="{00000000-0005-0000-0000-0000DB7E0000}"/>
    <cellStyle name="货币 2 2 2 3 3 2 2 2" xfId="9573" xr:uid="{00000000-0005-0000-0000-000095250000}"/>
    <cellStyle name="货币 2 2 2 3 3 2 3" xfId="28584" xr:uid="{00000000-0005-0000-0000-0000D86F0000}"/>
    <cellStyle name="货币 2 2 2 3 3 2 4" xfId="28588" xr:uid="{00000000-0005-0000-0000-0000DC6F0000}"/>
    <cellStyle name="货币 2 2 2 3 3 2 5" xfId="28592" xr:uid="{00000000-0005-0000-0000-0000E06F0000}"/>
    <cellStyle name="货币 2 2 2 3 3 2 6" xfId="35360" xr:uid="{00000000-0005-0000-0000-0000508A0000}"/>
    <cellStyle name="货币 2 2 2 3 3 2 7" xfId="23683" xr:uid="{00000000-0005-0000-0000-0000B35C0000}"/>
    <cellStyle name="货币 2 2 2 3 3 2 8" xfId="23686" xr:uid="{00000000-0005-0000-0000-0000B65C0000}"/>
    <cellStyle name="货币 2 2 2 3 3 2 9" xfId="23689" xr:uid="{00000000-0005-0000-0000-0000B95C0000}"/>
    <cellStyle name="货币 2 2 2 3 3 3" xfId="35361" xr:uid="{00000000-0005-0000-0000-0000518A0000}"/>
    <cellStyle name="货币 2 2 2 3 3 3 2" xfId="35363" xr:uid="{00000000-0005-0000-0000-0000538A0000}"/>
    <cellStyle name="货币 2 2 2 3 3 3 3" xfId="28597" xr:uid="{00000000-0005-0000-0000-0000E56F0000}"/>
    <cellStyle name="货币 2 2 2 3 3 3 4" xfId="28601" xr:uid="{00000000-0005-0000-0000-0000E96F0000}"/>
    <cellStyle name="货币 2 2 2 3 3 3 5" xfId="28605" xr:uid="{00000000-0005-0000-0000-0000ED6F0000}"/>
    <cellStyle name="货币 2 2 2 3 3 3 6" xfId="35364" xr:uid="{00000000-0005-0000-0000-0000548A0000}"/>
    <cellStyle name="货币 2 2 2 3 3 4" xfId="1581" xr:uid="{00000000-0005-0000-0000-00005D060000}"/>
    <cellStyle name="货币 2 2 2 3 3 4 2" xfId="35367" xr:uid="{00000000-0005-0000-0000-0000578A0000}"/>
    <cellStyle name="货币 2 2 2 3 3 4 3" xfId="28609" xr:uid="{00000000-0005-0000-0000-0000F16F0000}"/>
    <cellStyle name="货币 2 2 2 3 3 4 4" xfId="28614" xr:uid="{00000000-0005-0000-0000-0000F66F0000}"/>
    <cellStyle name="货币 2 2 2 3 3 4 5" xfId="28618" xr:uid="{00000000-0005-0000-0000-0000FA6F0000}"/>
    <cellStyle name="货币 2 2 2 3 3 4 6" xfId="35370" xr:uid="{00000000-0005-0000-0000-00005A8A0000}"/>
    <cellStyle name="货币 2 2 2 3 3 5" xfId="4206" xr:uid="{00000000-0005-0000-0000-00009E100000}"/>
    <cellStyle name="货币 2 2 2 3 3 5 2" xfId="4213" xr:uid="{00000000-0005-0000-0000-0000A5100000}"/>
    <cellStyle name="货币 2 2 2 3 3 5 3" xfId="5117" xr:uid="{00000000-0005-0000-0000-00002D140000}"/>
    <cellStyle name="货币 2 2 2 3 3 5 4" xfId="361" xr:uid="{00000000-0005-0000-0000-000081010000}"/>
    <cellStyle name="货币 2 2 2 3 3 5 5" xfId="5139" xr:uid="{00000000-0005-0000-0000-000043140000}"/>
    <cellStyle name="货币 2 2 2 3 3 5 6" xfId="5149" xr:uid="{00000000-0005-0000-0000-00004D140000}"/>
    <cellStyle name="货币 2 2 2 3 3 6" xfId="5192" xr:uid="{00000000-0005-0000-0000-000078140000}"/>
    <cellStyle name="货币 2 2 2 3 3 6 2" xfId="35372" xr:uid="{00000000-0005-0000-0000-00005C8A0000}"/>
    <cellStyle name="货币 2 2 2 3 3 6 3" xfId="21983" xr:uid="{00000000-0005-0000-0000-00000F560000}"/>
    <cellStyle name="货币 2 2 2 3 3 6 4" xfId="28634" xr:uid="{00000000-0005-0000-0000-00000A700000}"/>
    <cellStyle name="货币 2 2 2 3 3 6 5" xfId="28636" xr:uid="{00000000-0005-0000-0000-00000C700000}"/>
    <cellStyle name="货币 2 2 2 3 3 6 6" xfId="35373" xr:uid="{00000000-0005-0000-0000-00005D8A0000}"/>
    <cellStyle name="货币 2 2 2 3 3 7" xfId="4123" xr:uid="{00000000-0005-0000-0000-00004B100000}"/>
    <cellStyle name="货币 2 2 2 3 3 8" xfId="5221" xr:uid="{00000000-0005-0000-0000-000095140000}"/>
    <cellStyle name="货币 2 2 2 3 3 9" xfId="3504" xr:uid="{00000000-0005-0000-0000-0000E00D0000}"/>
    <cellStyle name="货币 2 2 2 3 4" xfId="35374" xr:uid="{00000000-0005-0000-0000-00005E8A0000}"/>
    <cellStyle name="货币 2 2 2 3 4 10" xfId="35375" xr:uid="{00000000-0005-0000-0000-00005F8A0000}"/>
    <cellStyle name="货币 2 2 2 3 4 11" xfId="16459" xr:uid="{00000000-0005-0000-0000-00007B400000}"/>
    <cellStyle name="货币 2 2 2 3 4 12" xfId="6363" xr:uid="{00000000-0005-0000-0000-00000B190000}"/>
    <cellStyle name="货币 2 2 2 3 4 13" xfId="35377" xr:uid="{00000000-0005-0000-0000-0000618A0000}"/>
    <cellStyle name="货币 2 2 2 3 4 14" xfId="35379" xr:uid="{00000000-0005-0000-0000-0000638A0000}"/>
    <cellStyle name="货币 2 2 2 3 4 15" xfId="3486" xr:uid="{00000000-0005-0000-0000-0000CE0D0000}"/>
    <cellStyle name="货币 2 2 2 3 4 2" xfId="3254" xr:uid="{00000000-0005-0000-0000-0000E60C0000}"/>
    <cellStyle name="货币 2 2 2 3 4 2 2" xfId="1040" xr:uid="{00000000-0005-0000-0000-000040040000}"/>
    <cellStyle name="货币 2 2 2 3 4 2 2 2" xfId="35384" xr:uid="{00000000-0005-0000-0000-0000688A0000}"/>
    <cellStyle name="货币 2 2 2 3 4 2 3" xfId="35386" xr:uid="{00000000-0005-0000-0000-00006A8A0000}"/>
    <cellStyle name="货币 2 2 2 3 4 2 4" xfId="35388" xr:uid="{00000000-0005-0000-0000-00006C8A0000}"/>
    <cellStyle name="货币 2 2 2 3 4 2 5" xfId="35390" xr:uid="{00000000-0005-0000-0000-00006E8A0000}"/>
    <cellStyle name="货币 2 2 2 3 4 2 6" xfId="35393" xr:uid="{00000000-0005-0000-0000-0000718A0000}"/>
    <cellStyle name="货币 2 2 2 3 4 2 7" xfId="23729" xr:uid="{00000000-0005-0000-0000-0000E15C0000}"/>
    <cellStyle name="货币 2 2 2 3 4 2 8" xfId="35397" xr:uid="{00000000-0005-0000-0000-0000758A0000}"/>
    <cellStyle name="货币 2 2 2 3 4 2 9" xfId="35401" xr:uid="{00000000-0005-0000-0000-0000798A0000}"/>
    <cellStyle name="货币 2 2 2 3 4 3" xfId="3247" xr:uid="{00000000-0005-0000-0000-0000DF0C0000}"/>
    <cellStyle name="货币 2 2 2 3 4 3 2" xfId="1222" xr:uid="{00000000-0005-0000-0000-0000F6040000}"/>
    <cellStyle name="货币 2 2 2 3 4 3 3" xfId="35403" xr:uid="{00000000-0005-0000-0000-00007B8A0000}"/>
    <cellStyle name="货币 2 2 2 3 4 3 4" xfId="35405" xr:uid="{00000000-0005-0000-0000-00007D8A0000}"/>
    <cellStyle name="货币 2 2 2 3 4 3 5" xfId="35407" xr:uid="{00000000-0005-0000-0000-00007F8A0000}"/>
    <cellStyle name="货币 2 2 2 3 4 3 6" xfId="35408" xr:uid="{00000000-0005-0000-0000-0000808A0000}"/>
    <cellStyle name="货币 2 2 2 3 4 4" xfId="1629" xr:uid="{00000000-0005-0000-0000-00008D060000}"/>
    <cellStyle name="货币 2 2 2 3 4 4 2" xfId="605" xr:uid="{00000000-0005-0000-0000-000086020000}"/>
    <cellStyle name="货币 2 2 2 3 4 5" xfId="3258" xr:uid="{00000000-0005-0000-0000-0000EA0C0000}"/>
    <cellStyle name="货币 2 2 2 3 4 6" xfId="35409" xr:uid="{00000000-0005-0000-0000-0000818A0000}"/>
    <cellStyle name="货币 2 2 2 3 4 7" xfId="35410" xr:uid="{00000000-0005-0000-0000-0000828A0000}"/>
    <cellStyle name="货币 2 2 2 3 4 8" xfId="35411" xr:uid="{00000000-0005-0000-0000-0000838A0000}"/>
    <cellStyle name="货币 2 2 2 3 4 9" xfId="35413" xr:uid="{00000000-0005-0000-0000-0000858A0000}"/>
    <cellStyle name="货币 2 2 2 3 5" xfId="35414" xr:uid="{00000000-0005-0000-0000-0000868A0000}"/>
    <cellStyle name="货币 2 2 2 3 5 10" xfId="35416" xr:uid="{00000000-0005-0000-0000-0000888A0000}"/>
    <cellStyle name="货币 2 2 2 3 5 11" xfId="35418" xr:uid="{00000000-0005-0000-0000-00008A8A0000}"/>
    <cellStyle name="货币 2 2 2 3 5 12" xfId="35420" xr:uid="{00000000-0005-0000-0000-00008C8A0000}"/>
    <cellStyle name="货币 2 2 2 3 5 13" xfId="35421" xr:uid="{00000000-0005-0000-0000-00008D8A0000}"/>
    <cellStyle name="货币 2 2 2 3 5 2" xfId="30029" xr:uid="{00000000-0005-0000-0000-00007D750000}"/>
    <cellStyle name="货币 2 2 2 3 5 2 2" xfId="18839" xr:uid="{00000000-0005-0000-0000-0000C7490000}"/>
    <cellStyle name="货币 2 2 2 3 5 2 2 2" xfId="35425" xr:uid="{00000000-0005-0000-0000-0000918A0000}"/>
    <cellStyle name="货币 2 2 2 3 5 2 3" xfId="18841" xr:uid="{00000000-0005-0000-0000-0000C9490000}"/>
    <cellStyle name="货币 2 2 2 3 5 2 4" xfId="18843" xr:uid="{00000000-0005-0000-0000-0000CB490000}"/>
    <cellStyle name="货币 2 2 2 3 5 2 5" xfId="18845" xr:uid="{00000000-0005-0000-0000-0000CD490000}"/>
    <cellStyle name="货币 2 2 2 3 5 2 6" xfId="35426" xr:uid="{00000000-0005-0000-0000-0000928A0000}"/>
    <cellStyle name="货币 2 2 2 3 5 2 7" xfId="35427" xr:uid="{00000000-0005-0000-0000-0000938A0000}"/>
    <cellStyle name="货币 2 2 2 3 5 2 8" xfId="35428" xr:uid="{00000000-0005-0000-0000-0000948A0000}"/>
    <cellStyle name="货币 2 2 2 3 5 2 9" xfId="35430" xr:uid="{00000000-0005-0000-0000-0000968A0000}"/>
    <cellStyle name="货币 2 2 2 3 5 3" xfId="30033" xr:uid="{00000000-0005-0000-0000-000081750000}"/>
    <cellStyle name="货币 2 2 2 3 5 3 2" xfId="18866" xr:uid="{00000000-0005-0000-0000-0000E2490000}"/>
    <cellStyle name="货币 2 2 2 3 5 3 3" xfId="18868" xr:uid="{00000000-0005-0000-0000-0000E4490000}"/>
    <cellStyle name="货币 2 2 2 3 5 3 4" xfId="18870" xr:uid="{00000000-0005-0000-0000-0000E6490000}"/>
    <cellStyle name="货币 2 2 2 3 5 3 5" xfId="18872" xr:uid="{00000000-0005-0000-0000-0000E8490000}"/>
    <cellStyle name="货币 2 2 2 3 5 3 6" xfId="35431" xr:uid="{00000000-0005-0000-0000-0000978A0000}"/>
    <cellStyle name="货币 2 2 2 3 5 4" xfId="30038" xr:uid="{00000000-0005-0000-0000-000086750000}"/>
    <cellStyle name="货币 2 2 2 3 5 4 2" xfId="18887" xr:uid="{00000000-0005-0000-0000-0000F7490000}"/>
    <cellStyle name="货币 2 2 2 3 5 5" xfId="30043" xr:uid="{00000000-0005-0000-0000-00008B750000}"/>
    <cellStyle name="货币 2 2 2 3 5 6" xfId="30047" xr:uid="{00000000-0005-0000-0000-00008F750000}"/>
    <cellStyle name="货币 2 2 2 3 5 7" xfId="30050" xr:uid="{00000000-0005-0000-0000-000092750000}"/>
    <cellStyle name="货币 2 2 2 3 5 8" xfId="30053" xr:uid="{00000000-0005-0000-0000-000095750000}"/>
    <cellStyle name="货币 2 2 2 3 5 9" xfId="30057" xr:uid="{00000000-0005-0000-0000-000099750000}"/>
    <cellStyle name="货币 2 2 2 3 6" xfId="35432" xr:uid="{00000000-0005-0000-0000-0000988A0000}"/>
    <cellStyle name="货币 2 2 2 3 6 10" xfId="35434" xr:uid="{00000000-0005-0000-0000-00009A8A0000}"/>
    <cellStyle name="货币 2 2 2 3 6 11" xfId="35436" xr:uid="{00000000-0005-0000-0000-00009C8A0000}"/>
    <cellStyle name="货币 2 2 2 3 6 12" xfId="35438" xr:uid="{00000000-0005-0000-0000-00009E8A0000}"/>
    <cellStyle name="货币 2 2 2 3 6 2" xfId="27954" xr:uid="{00000000-0005-0000-0000-0000626D0000}"/>
    <cellStyle name="货币 2 2 2 3 6 2 2" xfId="18955" xr:uid="{00000000-0005-0000-0000-00003B4A0000}"/>
    <cellStyle name="货币 2 2 2 3 6 2 2 2" xfId="21814" xr:uid="{00000000-0005-0000-0000-000066550000}"/>
    <cellStyle name="货币 2 2 2 3 6 2 3" xfId="27959" xr:uid="{00000000-0005-0000-0000-0000676D0000}"/>
    <cellStyle name="货币 2 2 2 3 6 2 4" xfId="27961" xr:uid="{00000000-0005-0000-0000-0000696D0000}"/>
    <cellStyle name="货币 2 2 2 3 6 2 5" xfId="27963" xr:uid="{00000000-0005-0000-0000-00006B6D0000}"/>
    <cellStyle name="货币 2 2 2 3 6 2 6" xfId="27965" xr:uid="{00000000-0005-0000-0000-00006D6D0000}"/>
    <cellStyle name="货币 2 2 2 3 6 2 7" xfId="27968" xr:uid="{00000000-0005-0000-0000-0000706D0000}"/>
    <cellStyle name="货币 2 2 2 3 6 2 8" xfId="27971" xr:uid="{00000000-0005-0000-0000-0000736D0000}"/>
    <cellStyle name="货币 2 2 2 3 6 2 9" xfId="27974" xr:uid="{00000000-0005-0000-0000-0000766D0000}"/>
    <cellStyle name="货币 2 2 2 3 6 3" xfId="27978" xr:uid="{00000000-0005-0000-0000-00007A6D0000}"/>
    <cellStyle name="货币 2 2 2 3 6 3 2" xfId="18962" xr:uid="{00000000-0005-0000-0000-0000424A0000}"/>
    <cellStyle name="货币 2 2 2 3 6 3 3" xfId="27995" xr:uid="{00000000-0005-0000-0000-00008B6D0000}"/>
    <cellStyle name="货币 2 2 2 3 6 3 4" xfId="21576" xr:uid="{00000000-0005-0000-0000-000078540000}"/>
    <cellStyle name="货币 2 2 2 3 6 3 5" xfId="28000" xr:uid="{00000000-0005-0000-0000-0000906D0000}"/>
    <cellStyle name="货币 2 2 2 3 6 3 6" xfId="28002" xr:uid="{00000000-0005-0000-0000-0000926D0000}"/>
    <cellStyle name="货币 2 2 2 3 6 4" xfId="28009" xr:uid="{00000000-0005-0000-0000-0000996D0000}"/>
    <cellStyle name="货币 2 2 2 3 6 4 2" xfId="18972" xr:uid="{00000000-0005-0000-0000-00004C4A0000}"/>
    <cellStyle name="货币 2 2 2 3 6 5" xfId="28022" xr:uid="{00000000-0005-0000-0000-0000A66D0000}"/>
    <cellStyle name="货币 2 2 2 3 6 6" xfId="28026" xr:uid="{00000000-0005-0000-0000-0000AA6D0000}"/>
    <cellStyle name="货币 2 2 2 3 6 7" xfId="28029" xr:uid="{00000000-0005-0000-0000-0000AD6D0000}"/>
    <cellStyle name="货币 2 2 2 3 6 8" xfId="35439" xr:uid="{00000000-0005-0000-0000-00009F8A0000}"/>
    <cellStyle name="货币 2 2 2 3 6 9" xfId="35440" xr:uid="{00000000-0005-0000-0000-0000A08A0000}"/>
    <cellStyle name="货币 2 2 2 3 7" xfId="35441" xr:uid="{00000000-0005-0000-0000-0000A18A0000}"/>
    <cellStyle name="货币 2 2 2 3 7 2" xfId="15580" xr:uid="{00000000-0005-0000-0000-00000C3D0000}"/>
    <cellStyle name="货币 2 2 2 3 7 2 2" xfId="28039" xr:uid="{00000000-0005-0000-0000-0000B76D0000}"/>
    <cellStyle name="货币 2 2 2 3 7 3" xfId="25771" xr:uid="{00000000-0005-0000-0000-0000DB640000}"/>
    <cellStyle name="货币 2 2 2 3 7 4" xfId="629" xr:uid="{00000000-0005-0000-0000-0000A1020000}"/>
    <cellStyle name="货币 2 2 2 3 7 5" xfId="28055" xr:uid="{00000000-0005-0000-0000-0000C76D0000}"/>
    <cellStyle name="货币 2 2 2 3 7 6" xfId="2596" xr:uid="{00000000-0005-0000-0000-0000540A0000}"/>
    <cellStyle name="货币 2 2 2 3 7 7" xfId="28057" xr:uid="{00000000-0005-0000-0000-0000C96D0000}"/>
    <cellStyle name="货币 2 2 2 3 7 8" xfId="35442" xr:uid="{00000000-0005-0000-0000-0000A28A0000}"/>
    <cellStyle name="货币 2 2 2 3 7 9" xfId="35443" xr:uid="{00000000-0005-0000-0000-0000A38A0000}"/>
    <cellStyle name="货币 2 2 2 3 8" xfId="35444" xr:uid="{00000000-0005-0000-0000-0000A48A0000}"/>
    <cellStyle name="货币 2 2 2 3 8 2" xfId="13403" xr:uid="{00000000-0005-0000-0000-00008B340000}"/>
    <cellStyle name="货币 2 2 2 3 8 3" xfId="13409" xr:uid="{00000000-0005-0000-0000-000091340000}"/>
    <cellStyle name="货币 2 2 2 3 8 4" xfId="5317" xr:uid="{00000000-0005-0000-0000-0000F5140000}"/>
    <cellStyle name="货币 2 2 2 3 8 5" xfId="2697" xr:uid="{00000000-0005-0000-0000-0000B90A0000}"/>
    <cellStyle name="货币 2 2 2 3 8 6" xfId="2833" xr:uid="{00000000-0005-0000-0000-0000410B0000}"/>
    <cellStyle name="货币 2 2 2 3 9" xfId="35445" xr:uid="{00000000-0005-0000-0000-0000A58A0000}"/>
    <cellStyle name="货币 2 2 2 3 9 2" xfId="28089" xr:uid="{00000000-0005-0000-0000-0000E96D0000}"/>
    <cellStyle name="货币 2 2 2 3 9 3" xfId="16124" xr:uid="{00000000-0005-0000-0000-00002C3F0000}"/>
    <cellStyle name="货币 2 2 2 3 9 4" xfId="28093" xr:uid="{00000000-0005-0000-0000-0000ED6D0000}"/>
    <cellStyle name="货币 2 2 2 3 9 5" xfId="28095" xr:uid="{00000000-0005-0000-0000-0000EF6D0000}"/>
    <cellStyle name="货币 2 2 2 3 9 6" xfId="2992" xr:uid="{00000000-0005-0000-0000-0000E00B0000}"/>
    <cellStyle name="货币 2 2 2 4" xfId="830" xr:uid="{00000000-0005-0000-0000-00006E030000}"/>
    <cellStyle name="货币 2 2 2 4 10" xfId="5748" xr:uid="{00000000-0005-0000-0000-0000A4160000}"/>
    <cellStyle name="货币 2 2 2 4 10 2" xfId="35446" xr:uid="{00000000-0005-0000-0000-0000A68A0000}"/>
    <cellStyle name="货币 2 2 2 4 10 3" xfId="30113" xr:uid="{00000000-0005-0000-0000-0000D1750000}"/>
    <cellStyle name="货币 2 2 2 4 10 4" xfId="35447" xr:uid="{00000000-0005-0000-0000-0000A78A0000}"/>
    <cellStyle name="货币 2 2 2 4 10 5" xfId="35448" xr:uid="{00000000-0005-0000-0000-0000A88A0000}"/>
    <cellStyle name="货币 2 2 2 4 10 6" xfId="35449" xr:uid="{00000000-0005-0000-0000-0000A98A0000}"/>
    <cellStyle name="货币 2 2 2 4 11" xfId="12387" xr:uid="{00000000-0005-0000-0000-000093300000}"/>
    <cellStyle name="货币 2 2 2 4 11 2" xfId="35450" xr:uid="{00000000-0005-0000-0000-0000AA8A0000}"/>
    <cellStyle name="货币 2 2 2 4 11 3" xfId="35451" xr:uid="{00000000-0005-0000-0000-0000AB8A0000}"/>
    <cellStyle name="货币 2 2 2 4 11 4" xfId="35452" xr:uid="{00000000-0005-0000-0000-0000AC8A0000}"/>
    <cellStyle name="货币 2 2 2 4 11 5" xfId="35453" xr:uid="{00000000-0005-0000-0000-0000AD8A0000}"/>
    <cellStyle name="货币 2 2 2 4 11 6" xfId="35454" xr:uid="{00000000-0005-0000-0000-0000AE8A0000}"/>
    <cellStyle name="货币 2 2 2 4 12" xfId="14933" xr:uid="{00000000-0005-0000-0000-0000853A0000}"/>
    <cellStyle name="货币 2 2 2 4 13" xfId="35455" xr:uid="{00000000-0005-0000-0000-0000AF8A0000}"/>
    <cellStyle name="货币 2 2 2 4 14" xfId="35456" xr:uid="{00000000-0005-0000-0000-0000B08A0000}"/>
    <cellStyle name="货币 2 2 2 4 15" xfId="35457" xr:uid="{00000000-0005-0000-0000-0000B18A0000}"/>
    <cellStyle name="货币 2 2 2 4 16" xfId="35459" xr:uid="{00000000-0005-0000-0000-0000B38A0000}"/>
    <cellStyle name="货币 2 2 2 4 17" xfId="35461" xr:uid="{00000000-0005-0000-0000-0000B58A0000}"/>
    <cellStyle name="货币 2 2 2 4 18" xfId="35463" xr:uid="{00000000-0005-0000-0000-0000B78A0000}"/>
    <cellStyle name="货币 2 2 2 4 19" xfId="35465" xr:uid="{00000000-0005-0000-0000-0000B98A0000}"/>
    <cellStyle name="货币 2 2 2 4 2" xfId="35466" xr:uid="{00000000-0005-0000-0000-0000BA8A0000}"/>
    <cellStyle name="货币 2 2 2 4 2 10" xfId="14491" xr:uid="{00000000-0005-0000-0000-0000CB380000}"/>
    <cellStyle name="货币 2 2 2 4 2 11" xfId="3148" xr:uid="{00000000-0005-0000-0000-00007C0C0000}"/>
    <cellStyle name="货币 2 2 2 4 2 12" xfId="14510" xr:uid="{00000000-0005-0000-0000-0000DE380000}"/>
    <cellStyle name="货币 2 2 2 4 2 13" xfId="14539" xr:uid="{00000000-0005-0000-0000-0000FB380000}"/>
    <cellStyle name="货币 2 2 2 4 2 14" xfId="14544" xr:uid="{00000000-0005-0000-0000-000000390000}"/>
    <cellStyle name="货币 2 2 2 4 2 15" xfId="14549" xr:uid="{00000000-0005-0000-0000-000005390000}"/>
    <cellStyle name="货币 2 2 2 4 2 16" xfId="35467" xr:uid="{00000000-0005-0000-0000-0000BB8A0000}"/>
    <cellStyle name="货币 2 2 2 4 2 17" xfId="35468" xr:uid="{00000000-0005-0000-0000-0000BC8A0000}"/>
    <cellStyle name="货币 2 2 2 4 2 18" xfId="35469" xr:uid="{00000000-0005-0000-0000-0000BD8A0000}"/>
    <cellStyle name="货币 2 2 2 4 2 2" xfId="35470" xr:uid="{00000000-0005-0000-0000-0000BE8A0000}"/>
    <cellStyle name="货币 2 2 2 4 2 2 10" xfId="23024" xr:uid="{00000000-0005-0000-0000-0000205A0000}"/>
    <cellStyle name="货币 2 2 2 4 2 2 11" xfId="23026" xr:uid="{00000000-0005-0000-0000-0000225A0000}"/>
    <cellStyle name="货币 2 2 2 4 2 2 12" xfId="23029" xr:uid="{00000000-0005-0000-0000-0000255A0000}"/>
    <cellStyle name="货币 2 2 2 4 2 2 2" xfId="35471" xr:uid="{00000000-0005-0000-0000-0000BF8A0000}"/>
    <cellStyle name="货币 2 2 2 4 2 2 2 2" xfId="35473" xr:uid="{00000000-0005-0000-0000-0000C18A0000}"/>
    <cellStyle name="货币 2 2 2 4 2 2 2 2 2" xfId="35474" xr:uid="{00000000-0005-0000-0000-0000C28A0000}"/>
    <cellStyle name="货币 2 2 2 4 2 2 2 3" xfId="29611" xr:uid="{00000000-0005-0000-0000-0000DB730000}"/>
    <cellStyle name="货币 2 2 2 4 2 2 2 4" xfId="29635" xr:uid="{00000000-0005-0000-0000-0000F3730000}"/>
    <cellStyle name="货币 2 2 2 4 2 2 2 5" xfId="29638" xr:uid="{00000000-0005-0000-0000-0000F6730000}"/>
    <cellStyle name="货币 2 2 2 4 2 2 3" xfId="35475" xr:uid="{00000000-0005-0000-0000-0000C38A0000}"/>
    <cellStyle name="货币 2 2 2 4 2 2 3 2" xfId="35477" xr:uid="{00000000-0005-0000-0000-0000C58A0000}"/>
    <cellStyle name="货币 2 2 2 4 2 2 4" xfId="35478" xr:uid="{00000000-0005-0000-0000-0000C68A0000}"/>
    <cellStyle name="货币 2 2 2 4 2 2 5" xfId="35479" xr:uid="{00000000-0005-0000-0000-0000C78A0000}"/>
    <cellStyle name="货币 2 2 2 4 2 2 6" xfId="35480" xr:uid="{00000000-0005-0000-0000-0000C88A0000}"/>
    <cellStyle name="货币 2 2 2 4 2 2 7" xfId="21739" xr:uid="{00000000-0005-0000-0000-00001B550000}"/>
    <cellStyle name="货币 2 2 2 4 2 2 8" xfId="21746" xr:uid="{00000000-0005-0000-0000-000022550000}"/>
    <cellStyle name="货币 2 2 2 4 2 2 9" xfId="21753" xr:uid="{00000000-0005-0000-0000-000029550000}"/>
    <cellStyle name="货币 2 2 2 4 2 3" xfId="35481" xr:uid="{00000000-0005-0000-0000-0000C98A0000}"/>
    <cellStyle name="货币 2 2 2 4 2 3 10" xfId="20143" xr:uid="{00000000-0005-0000-0000-0000DF4E0000}"/>
    <cellStyle name="货币 2 2 2 4 2 3 11" xfId="20145" xr:uid="{00000000-0005-0000-0000-0000E14E0000}"/>
    <cellStyle name="货币 2 2 2 4 2 3 12" xfId="20147" xr:uid="{00000000-0005-0000-0000-0000E34E0000}"/>
    <cellStyle name="货币 2 2 2 4 2 3 2" xfId="35483" xr:uid="{00000000-0005-0000-0000-0000CB8A0000}"/>
    <cellStyle name="货币 2 2 2 4 2 3 2 2" xfId="35486" xr:uid="{00000000-0005-0000-0000-0000CE8A0000}"/>
    <cellStyle name="货币 2 2 2 4 2 3 2 2 2" xfId="17046" xr:uid="{00000000-0005-0000-0000-0000C6420000}"/>
    <cellStyle name="货币 2 2 2 4 2 3 2 3" xfId="35487" xr:uid="{00000000-0005-0000-0000-0000CF8A0000}"/>
    <cellStyle name="货币 2 2 2 4 2 3 2 4" xfId="35488" xr:uid="{00000000-0005-0000-0000-0000D08A0000}"/>
    <cellStyle name="货币 2 2 2 4 2 3 2 5" xfId="35218" xr:uid="{00000000-0005-0000-0000-0000C2890000}"/>
    <cellStyle name="货币 2 2 2 4 2 3 3" xfId="35490" xr:uid="{00000000-0005-0000-0000-0000D28A0000}"/>
    <cellStyle name="货币 2 2 2 4 2 3 3 2" xfId="35492" xr:uid="{00000000-0005-0000-0000-0000D48A0000}"/>
    <cellStyle name="货币 2 2 2 4 2 3 4" xfId="35494" xr:uid="{00000000-0005-0000-0000-0000D68A0000}"/>
    <cellStyle name="货币 2 2 2 4 2 3 5" xfId="35496" xr:uid="{00000000-0005-0000-0000-0000D88A0000}"/>
    <cellStyle name="货币 2 2 2 4 2 3 6" xfId="35497" xr:uid="{00000000-0005-0000-0000-0000D98A0000}"/>
    <cellStyle name="货币 2 2 2 4 2 3 7" xfId="21774" xr:uid="{00000000-0005-0000-0000-00003E550000}"/>
    <cellStyle name="货币 2 2 2 4 2 3 8" xfId="21778" xr:uid="{00000000-0005-0000-0000-000042550000}"/>
    <cellStyle name="货币 2 2 2 4 2 3 9" xfId="21782" xr:uid="{00000000-0005-0000-0000-000046550000}"/>
    <cellStyle name="货币 2 2 2 4 2 4" xfId="35498" xr:uid="{00000000-0005-0000-0000-0000DA8A0000}"/>
    <cellStyle name="货币 2 2 2 4 2 4 10" xfId="29165" xr:uid="{00000000-0005-0000-0000-00001D720000}"/>
    <cellStyle name="货币 2 2 2 4 2 4 2" xfId="2512" xr:uid="{00000000-0005-0000-0000-0000000A0000}"/>
    <cellStyle name="货币 2 2 2 4 2 4 2 2" xfId="3552" xr:uid="{00000000-0005-0000-0000-0000100E0000}"/>
    <cellStyle name="货币 2 2 2 4 2 4 2 2 2" xfId="18669" xr:uid="{00000000-0005-0000-0000-00001D490000}"/>
    <cellStyle name="货币 2 2 2 4 2 4 2 3" xfId="8660" xr:uid="{00000000-0005-0000-0000-000004220000}"/>
    <cellStyle name="货币 2 2 2 4 2 4 2 4" xfId="1804" xr:uid="{00000000-0005-0000-0000-00003C070000}"/>
    <cellStyle name="货币 2 2 2 4 2 4 2 5" xfId="4271" xr:uid="{00000000-0005-0000-0000-0000DF100000}"/>
    <cellStyle name="货币 2 2 2 4 2 4 3" xfId="2894" xr:uid="{00000000-0005-0000-0000-00007E0B0000}"/>
    <cellStyle name="货币 2 2 2 4 2 4 3 2" xfId="35499" xr:uid="{00000000-0005-0000-0000-0000DB8A0000}"/>
    <cellStyle name="货币 2 2 2 4 2 4 4" xfId="21269" xr:uid="{00000000-0005-0000-0000-000045530000}"/>
    <cellStyle name="货币 2 2 2 4 2 4 5" xfId="21275" xr:uid="{00000000-0005-0000-0000-00004B530000}"/>
    <cellStyle name="货币 2 2 2 4 2 4 6" xfId="21278" xr:uid="{00000000-0005-0000-0000-00004E530000}"/>
    <cellStyle name="货币 2 2 2 4 2 4 7" xfId="21282" xr:uid="{00000000-0005-0000-0000-000052530000}"/>
    <cellStyle name="货币 2 2 2 4 2 4 8" xfId="26162" xr:uid="{00000000-0005-0000-0000-000062660000}"/>
    <cellStyle name="货币 2 2 2 4 2 4 9" xfId="26165" xr:uid="{00000000-0005-0000-0000-000065660000}"/>
    <cellStyle name="货币 2 2 2 4 2 5" xfId="35500" xr:uid="{00000000-0005-0000-0000-0000DC8A0000}"/>
    <cellStyle name="货币 2 2 2 4 2 5 10" xfId="13385" xr:uid="{00000000-0005-0000-0000-000079340000}"/>
    <cellStyle name="货币 2 2 2 4 2 5 2" xfId="2555" xr:uid="{00000000-0005-0000-0000-00002B0A0000}"/>
    <cellStyle name="货币 2 2 2 4 2 5 2 2" xfId="23544" xr:uid="{00000000-0005-0000-0000-0000285C0000}"/>
    <cellStyle name="货币 2 2 2 4 2 5 2 2 2" xfId="19706" xr:uid="{00000000-0005-0000-0000-00002A4D0000}"/>
    <cellStyle name="货币 2 2 2 4 2 5 2 3" xfId="23547" xr:uid="{00000000-0005-0000-0000-00002B5C0000}"/>
    <cellStyle name="货币 2 2 2 4 2 5 2 4" xfId="23550" xr:uid="{00000000-0005-0000-0000-00002E5C0000}"/>
    <cellStyle name="货币 2 2 2 4 2 5 2 5" xfId="35501" xr:uid="{00000000-0005-0000-0000-0000DD8A0000}"/>
    <cellStyle name="货币 2 2 2 4 2 5 3" xfId="21290" xr:uid="{00000000-0005-0000-0000-00005A530000}"/>
    <cellStyle name="货币 2 2 2 4 2 5 3 2" xfId="35502" xr:uid="{00000000-0005-0000-0000-0000DE8A0000}"/>
    <cellStyle name="货币 2 2 2 4 2 5 4" xfId="21292" xr:uid="{00000000-0005-0000-0000-00005C530000}"/>
    <cellStyle name="货币 2 2 2 4 2 5 5" xfId="24958" xr:uid="{00000000-0005-0000-0000-0000AE610000}"/>
    <cellStyle name="货币 2 2 2 4 2 5 6" xfId="24960" xr:uid="{00000000-0005-0000-0000-0000B0610000}"/>
    <cellStyle name="货币 2 2 2 4 2 5 7" xfId="24964" xr:uid="{00000000-0005-0000-0000-0000B4610000}"/>
    <cellStyle name="货币 2 2 2 4 2 5 8" xfId="24967" xr:uid="{00000000-0005-0000-0000-0000B7610000}"/>
    <cellStyle name="货币 2 2 2 4 2 5 9" xfId="24969" xr:uid="{00000000-0005-0000-0000-0000B9610000}"/>
    <cellStyle name="货币 2 2 2 4 2 6" xfId="35503" xr:uid="{00000000-0005-0000-0000-0000DF8A0000}"/>
    <cellStyle name="货币 2 2 2 4 2 6 2" xfId="35504" xr:uid="{00000000-0005-0000-0000-0000E08A0000}"/>
    <cellStyle name="货币 2 2 2 4 2 6 2 2" xfId="35506" xr:uid="{00000000-0005-0000-0000-0000E28A0000}"/>
    <cellStyle name="货币 2 2 2 4 2 6 3" xfId="35507" xr:uid="{00000000-0005-0000-0000-0000E38A0000}"/>
    <cellStyle name="货币 2 2 2 4 2 6 4" xfId="35508" xr:uid="{00000000-0005-0000-0000-0000E48A0000}"/>
    <cellStyle name="货币 2 2 2 4 2 6 5" xfId="35509" xr:uid="{00000000-0005-0000-0000-0000E58A0000}"/>
    <cellStyle name="货币 2 2 2 4 2 6 6" xfId="35510" xr:uid="{00000000-0005-0000-0000-0000E68A0000}"/>
    <cellStyle name="货币 2 2 2 4 2 6 7" xfId="35511" xr:uid="{00000000-0005-0000-0000-0000E78A0000}"/>
    <cellStyle name="货币 2 2 2 4 2 6 8" xfId="35512" xr:uid="{00000000-0005-0000-0000-0000E88A0000}"/>
    <cellStyle name="货币 2 2 2 4 2 6 9" xfId="33566" xr:uid="{00000000-0005-0000-0000-00004E830000}"/>
    <cellStyle name="货币 2 2 2 4 2 7" xfId="35513" xr:uid="{00000000-0005-0000-0000-0000E98A0000}"/>
    <cellStyle name="货币 2 2 2 4 2 7 2" xfId="35514" xr:uid="{00000000-0005-0000-0000-0000EA8A0000}"/>
    <cellStyle name="货币 2 2 2 4 2 8" xfId="35515" xr:uid="{00000000-0005-0000-0000-0000EB8A0000}"/>
    <cellStyle name="货币 2 2 2 4 2 9" xfId="35516" xr:uid="{00000000-0005-0000-0000-0000EC8A0000}"/>
    <cellStyle name="货币 2 2 2 4 20" xfId="35458" xr:uid="{00000000-0005-0000-0000-0000B28A0000}"/>
    <cellStyle name="货币 2 2 2 4 21" xfId="35460" xr:uid="{00000000-0005-0000-0000-0000B48A0000}"/>
    <cellStyle name="货币 2 2 2 4 22" xfId="35462" xr:uid="{00000000-0005-0000-0000-0000B68A0000}"/>
    <cellStyle name="货币 2 2 2 4 23" xfId="35464" xr:uid="{00000000-0005-0000-0000-0000B88A0000}"/>
    <cellStyle name="货币 2 2 2 4 3" xfId="35517" xr:uid="{00000000-0005-0000-0000-0000ED8A0000}"/>
    <cellStyle name="货币 2 2 2 4 3 10" xfId="14776" xr:uid="{00000000-0005-0000-0000-0000E8390000}"/>
    <cellStyle name="货币 2 2 2 4 3 11" xfId="14781" xr:uid="{00000000-0005-0000-0000-0000ED390000}"/>
    <cellStyle name="货币 2 2 2 4 3 12" xfId="14788" xr:uid="{00000000-0005-0000-0000-0000F4390000}"/>
    <cellStyle name="货币 2 2 2 4 3 13" xfId="14793" xr:uid="{00000000-0005-0000-0000-0000F9390000}"/>
    <cellStyle name="货币 2 2 2 4 3 14" xfId="14797" xr:uid="{00000000-0005-0000-0000-0000FD390000}"/>
    <cellStyle name="货币 2 2 2 4 3 15" xfId="14801" xr:uid="{00000000-0005-0000-0000-0000013A0000}"/>
    <cellStyle name="货币 2 2 2 4 3 16" xfId="19323" xr:uid="{00000000-0005-0000-0000-0000AB4B0000}"/>
    <cellStyle name="货币 2 2 2 4 3 17" xfId="6761" xr:uid="{00000000-0005-0000-0000-0000991A0000}"/>
    <cellStyle name="货币 2 2 2 4 3 18" xfId="6791" xr:uid="{00000000-0005-0000-0000-0000B71A0000}"/>
    <cellStyle name="货币 2 2 2 4 3 2" xfId="35518" xr:uid="{00000000-0005-0000-0000-0000EE8A0000}"/>
    <cellStyle name="货币 2 2 2 4 3 2 10" xfId="35519" xr:uid="{00000000-0005-0000-0000-0000EF8A0000}"/>
    <cellStyle name="货币 2 2 2 4 3 2 2" xfId="35520" xr:uid="{00000000-0005-0000-0000-0000F08A0000}"/>
    <cellStyle name="货币 2 2 2 4 3 2 2 2" xfId="32001" xr:uid="{00000000-0005-0000-0000-0000317D0000}"/>
    <cellStyle name="货币 2 2 2 4 3 2 3" xfId="35521" xr:uid="{00000000-0005-0000-0000-0000F18A0000}"/>
    <cellStyle name="货币 2 2 2 4 3 2 4" xfId="35522" xr:uid="{00000000-0005-0000-0000-0000F28A0000}"/>
    <cellStyle name="货币 2 2 2 4 3 2 5" xfId="35523" xr:uid="{00000000-0005-0000-0000-0000F38A0000}"/>
    <cellStyle name="货币 2 2 2 4 3 2 6" xfId="21816" xr:uid="{00000000-0005-0000-0000-000068550000}"/>
    <cellStyle name="货币 2 2 2 4 3 2 7" xfId="21818" xr:uid="{00000000-0005-0000-0000-00006A550000}"/>
    <cellStyle name="货币 2 2 2 4 3 2 8" xfId="21827" xr:uid="{00000000-0005-0000-0000-000073550000}"/>
    <cellStyle name="货币 2 2 2 4 3 2 9" xfId="21835" xr:uid="{00000000-0005-0000-0000-00007B550000}"/>
    <cellStyle name="货币 2 2 2 4 3 3" xfId="25673" xr:uid="{00000000-0005-0000-0000-000079640000}"/>
    <cellStyle name="货币 2 2 2 4 3 3 2" xfId="35525" xr:uid="{00000000-0005-0000-0000-0000F58A0000}"/>
    <cellStyle name="货币 2 2 2 4 3 3 3" xfId="35527" xr:uid="{00000000-0005-0000-0000-0000F78A0000}"/>
    <cellStyle name="货币 2 2 2 4 3 3 4" xfId="35529" xr:uid="{00000000-0005-0000-0000-0000F98A0000}"/>
    <cellStyle name="货币 2 2 2 4 3 3 5" xfId="35531" xr:uid="{00000000-0005-0000-0000-0000FB8A0000}"/>
    <cellStyle name="货币 2 2 2 4 3 3 6" xfId="35532" xr:uid="{00000000-0005-0000-0000-0000FC8A0000}"/>
    <cellStyle name="货币 2 2 2 4 3 4" xfId="35533" xr:uid="{00000000-0005-0000-0000-0000FD8A0000}"/>
    <cellStyle name="货币 2 2 2 4 3 4 2" xfId="416" xr:uid="{00000000-0005-0000-0000-0000BB010000}"/>
    <cellStyle name="货币 2 2 2 4 3 4 3" xfId="5003" xr:uid="{00000000-0005-0000-0000-0000BB130000}"/>
    <cellStyle name="货币 2 2 2 4 3 4 4" xfId="35535" xr:uid="{00000000-0005-0000-0000-0000FF8A0000}"/>
    <cellStyle name="货币 2 2 2 4 3 4 5" xfId="35536" xr:uid="{00000000-0005-0000-0000-0000008B0000}"/>
    <cellStyle name="货币 2 2 2 4 3 4 6" xfId="35538" xr:uid="{00000000-0005-0000-0000-0000028B0000}"/>
    <cellStyle name="货币 2 2 2 4 3 5" xfId="35539" xr:uid="{00000000-0005-0000-0000-0000038B0000}"/>
    <cellStyle name="货币 2 2 2 4 3 5 2" xfId="906" xr:uid="{00000000-0005-0000-0000-0000BA030000}"/>
    <cellStyle name="货币 2 2 2 4 3 5 3" xfId="5472" xr:uid="{00000000-0005-0000-0000-000090150000}"/>
    <cellStyle name="货币 2 2 2 4 3 5 4" xfId="35540" xr:uid="{00000000-0005-0000-0000-0000048B0000}"/>
    <cellStyle name="货币 2 2 2 4 3 5 5" xfId="35541" xr:uid="{00000000-0005-0000-0000-0000058B0000}"/>
    <cellStyle name="货币 2 2 2 4 3 5 6" xfId="35542" xr:uid="{00000000-0005-0000-0000-0000068B0000}"/>
    <cellStyle name="货币 2 2 2 4 3 6" xfId="35543" xr:uid="{00000000-0005-0000-0000-0000078B0000}"/>
    <cellStyle name="货币 2 2 2 4 3 6 2" xfId="35544" xr:uid="{00000000-0005-0000-0000-0000088B0000}"/>
    <cellStyle name="货币 2 2 2 4 3 6 3" xfId="35545" xr:uid="{00000000-0005-0000-0000-0000098B0000}"/>
    <cellStyle name="货币 2 2 2 4 3 6 4" xfId="24615" xr:uid="{00000000-0005-0000-0000-000057600000}"/>
    <cellStyle name="货币 2 2 2 4 3 6 5" xfId="35547" xr:uid="{00000000-0005-0000-0000-00000B8B0000}"/>
    <cellStyle name="货币 2 2 2 4 3 6 6" xfId="35549" xr:uid="{00000000-0005-0000-0000-00000D8B0000}"/>
    <cellStyle name="货币 2 2 2 4 3 7" xfId="35551" xr:uid="{00000000-0005-0000-0000-00000F8B0000}"/>
    <cellStyle name="货币 2 2 2 4 3 8" xfId="35552" xr:uid="{00000000-0005-0000-0000-0000108B0000}"/>
    <cellStyle name="货币 2 2 2 4 3 9" xfId="35554" xr:uid="{00000000-0005-0000-0000-0000128B0000}"/>
    <cellStyle name="货币 2 2 2 4 4" xfId="35555" xr:uid="{00000000-0005-0000-0000-0000138B0000}"/>
    <cellStyle name="货币 2 2 2 4 4 10" xfId="35556" xr:uid="{00000000-0005-0000-0000-0000148B0000}"/>
    <cellStyle name="货币 2 2 2 4 4 11" xfId="35558" xr:uid="{00000000-0005-0000-0000-0000168B0000}"/>
    <cellStyle name="货币 2 2 2 4 4 12" xfId="35560" xr:uid="{00000000-0005-0000-0000-0000188B0000}"/>
    <cellStyle name="货币 2 2 2 4 4 13" xfId="35563" xr:uid="{00000000-0005-0000-0000-00001B8B0000}"/>
    <cellStyle name="货币 2 2 2 4 4 14" xfId="35565" xr:uid="{00000000-0005-0000-0000-00001D8B0000}"/>
    <cellStyle name="货币 2 2 2 4 4 15" xfId="35567" xr:uid="{00000000-0005-0000-0000-00001F8B0000}"/>
    <cellStyle name="货币 2 2 2 4 4 2" xfId="35568" xr:uid="{00000000-0005-0000-0000-0000208B0000}"/>
    <cellStyle name="货币 2 2 2 4 4 2 2" xfId="35569" xr:uid="{00000000-0005-0000-0000-0000218B0000}"/>
    <cellStyle name="货币 2 2 2 4 4 2 2 2" xfId="35570" xr:uid="{00000000-0005-0000-0000-0000228B0000}"/>
    <cellStyle name="货币 2 2 2 4 4 2 3" xfId="35571" xr:uid="{00000000-0005-0000-0000-0000238B0000}"/>
    <cellStyle name="货币 2 2 2 4 4 2 4" xfId="35572" xr:uid="{00000000-0005-0000-0000-0000248B0000}"/>
    <cellStyle name="货币 2 2 2 4 4 2 5" xfId="35573" xr:uid="{00000000-0005-0000-0000-0000258B0000}"/>
    <cellStyle name="货币 2 2 2 4 4 2 6" xfId="35574" xr:uid="{00000000-0005-0000-0000-0000268B0000}"/>
    <cellStyle name="货币 2 2 2 4 4 2 7" xfId="23952" xr:uid="{00000000-0005-0000-0000-0000C05D0000}"/>
    <cellStyle name="货币 2 2 2 4 4 2 8" xfId="35575" xr:uid="{00000000-0005-0000-0000-0000278B0000}"/>
    <cellStyle name="货币 2 2 2 4 4 2 9" xfId="35576" xr:uid="{00000000-0005-0000-0000-0000288B0000}"/>
    <cellStyle name="货币 2 2 2 4 4 3" xfId="35577" xr:uid="{00000000-0005-0000-0000-0000298B0000}"/>
    <cellStyle name="货币 2 2 2 4 4 3 2" xfId="35579" xr:uid="{00000000-0005-0000-0000-00002B8B0000}"/>
    <cellStyle name="货币 2 2 2 4 4 3 3" xfId="35581" xr:uid="{00000000-0005-0000-0000-00002D8B0000}"/>
    <cellStyle name="货币 2 2 2 4 4 3 4" xfId="35583" xr:uid="{00000000-0005-0000-0000-00002F8B0000}"/>
    <cellStyle name="货币 2 2 2 4 4 3 5" xfId="35585" xr:uid="{00000000-0005-0000-0000-0000318B0000}"/>
    <cellStyle name="货币 2 2 2 4 4 3 6" xfId="35586" xr:uid="{00000000-0005-0000-0000-0000328B0000}"/>
    <cellStyle name="货币 2 2 2 4 4 4" xfId="35588" xr:uid="{00000000-0005-0000-0000-0000348B0000}"/>
    <cellStyle name="货币 2 2 2 4 4 4 2" xfId="35590" xr:uid="{00000000-0005-0000-0000-0000368B0000}"/>
    <cellStyle name="货币 2 2 2 4 4 5" xfId="35591" xr:uid="{00000000-0005-0000-0000-0000378B0000}"/>
    <cellStyle name="货币 2 2 2 4 4 6" xfId="35592" xr:uid="{00000000-0005-0000-0000-0000388B0000}"/>
    <cellStyle name="货币 2 2 2 4 4 7" xfId="35593" xr:uid="{00000000-0005-0000-0000-0000398B0000}"/>
    <cellStyle name="货币 2 2 2 4 4 8" xfId="35594" xr:uid="{00000000-0005-0000-0000-00003A8B0000}"/>
    <cellStyle name="货币 2 2 2 4 4 9" xfId="35596" xr:uid="{00000000-0005-0000-0000-00003C8B0000}"/>
    <cellStyle name="货币 2 2 2 4 5" xfId="35597" xr:uid="{00000000-0005-0000-0000-00003D8B0000}"/>
    <cellStyle name="货币 2 2 2 4 5 10" xfId="11248" xr:uid="{00000000-0005-0000-0000-0000202C0000}"/>
    <cellStyle name="货币 2 2 2 4 5 11" xfId="35598" xr:uid="{00000000-0005-0000-0000-00003E8B0000}"/>
    <cellStyle name="货币 2 2 2 4 5 12" xfId="35600" xr:uid="{00000000-0005-0000-0000-0000408B0000}"/>
    <cellStyle name="货币 2 2 2 4 5 13" xfId="1957" xr:uid="{00000000-0005-0000-0000-0000D5070000}"/>
    <cellStyle name="货币 2 2 2 4 5 2" xfId="35601" xr:uid="{00000000-0005-0000-0000-0000418B0000}"/>
    <cellStyle name="货币 2 2 2 4 5 2 2" xfId="35602" xr:uid="{00000000-0005-0000-0000-0000428B0000}"/>
    <cellStyle name="货币 2 2 2 4 5 2 2 2" xfId="35604" xr:uid="{00000000-0005-0000-0000-0000448B0000}"/>
    <cellStyle name="货币 2 2 2 4 5 2 3" xfId="35605" xr:uid="{00000000-0005-0000-0000-0000458B0000}"/>
    <cellStyle name="货币 2 2 2 4 5 2 4" xfId="35606" xr:uid="{00000000-0005-0000-0000-0000468B0000}"/>
    <cellStyle name="货币 2 2 2 4 5 2 5" xfId="35607" xr:uid="{00000000-0005-0000-0000-0000478B0000}"/>
    <cellStyle name="货币 2 2 2 4 5 2 6" xfId="35608" xr:uid="{00000000-0005-0000-0000-0000488B0000}"/>
    <cellStyle name="货币 2 2 2 4 5 2 7" xfId="31688" xr:uid="{00000000-0005-0000-0000-0000F87B0000}"/>
    <cellStyle name="货币 2 2 2 4 5 2 8" xfId="31692" xr:uid="{00000000-0005-0000-0000-0000FC7B0000}"/>
    <cellStyle name="货币 2 2 2 4 5 2 9" xfId="31695" xr:uid="{00000000-0005-0000-0000-0000FF7B0000}"/>
    <cellStyle name="货币 2 2 2 4 5 3" xfId="35609" xr:uid="{00000000-0005-0000-0000-0000498B0000}"/>
    <cellStyle name="货币 2 2 2 4 5 3 2" xfId="35610" xr:uid="{00000000-0005-0000-0000-00004A8B0000}"/>
    <cellStyle name="货币 2 2 2 4 5 3 3" xfId="35611" xr:uid="{00000000-0005-0000-0000-00004B8B0000}"/>
    <cellStyle name="货币 2 2 2 4 5 3 4" xfId="35612" xr:uid="{00000000-0005-0000-0000-00004C8B0000}"/>
    <cellStyle name="货币 2 2 2 4 5 3 5" xfId="35613" xr:uid="{00000000-0005-0000-0000-00004D8B0000}"/>
    <cellStyle name="货币 2 2 2 4 5 3 6" xfId="35614" xr:uid="{00000000-0005-0000-0000-00004E8B0000}"/>
    <cellStyle name="货币 2 2 2 4 5 4" xfId="35615" xr:uid="{00000000-0005-0000-0000-00004F8B0000}"/>
    <cellStyle name="货币 2 2 2 4 5 4 2" xfId="35616" xr:uid="{00000000-0005-0000-0000-0000508B0000}"/>
    <cellStyle name="货币 2 2 2 4 5 5" xfId="32266" xr:uid="{00000000-0005-0000-0000-00003A7E0000}"/>
    <cellStyle name="货币 2 2 2 4 5 6" xfId="32275" xr:uid="{00000000-0005-0000-0000-0000437E0000}"/>
    <cellStyle name="货币 2 2 2 4 5 7" xfId="35617" xr:uid="{00000000-0005-0000-0000-0000518B0000}"/>
    <cellStyle name="货币 2 2 2 4 5 8" xfId="35618" xr:uid="{00000000-0005-0000-0000-0000528B0000}"/>
    <cellStyle name="货币 2 2 2 4 5 9" xfId="35619" xr:uid="{00000000-0005-0000-0000-0000538B0000}"/>
    <cellStyle name="货币 2 2 2 4 6" xfId="35620" xr:uid="{00000000-0005-0000-0000-0000548B0000}"/>
    <cellStyle name="货币 2 2 2 4 6 10" xfId="35621" xr:uid="{00000000-0005-0000-0000-0000558B0000}"/>
    <cellStyle name="货币 2 2 2 4 6 11" xfId="35622" xr:uid="{00000000-0005-0000-0000-0000568B0000}"/>
    <cellStyle name="货币 2 2 2 4 6 12" xfId="35625" xr:uid="{00000000-0005-0000-0000-0000598B0000}"/>
    <cellStyle name="货币 2 2 2 4 6 2" xfId="28179" xr:uid="{00000000-0005-0000-0000-0000436E0000}"/>
    <cellStyle name="货币 2 2 2 4 6 2 2" xfId="28185" xr:uid="{00000000-0005-0000-0000-0000496E0000}"/>
    <cellStyle name="货币 2 2 2 4 6 2 2 2" xfId="28188" xr:uid="{00000000-0005-0000-0000-00004C6E0000}"/>
    <cellStyle name="货币 2 2 2 4 6 2 3" xfId="28204" xr:uid="{00000000-0005-0000-0000-00005C6E0000}"/>
    <cellStyle name="货币 2 2 2 4 6 2 4" xfId="28206" xr:uid="{00000000-0005-0000-0000-00005E6E0000}"/>
    <cellStyle name="货币 2 2 2 4 6 2 5" xfId="28208" xr:uid="{00000000-0005-0000-0000-0000606E0000}"/>
    <cellStyle name="货币 2 2 2 4 6 2 6" xfId="28210" xr:uid="{00000000-0005-0000-0000-0000626E0000}"/>
    <cellStyle name="货币 2 2 2 4 6 2 7" xfId="28212" xr:uid="{00000000-0005-0000-0000-0000646E0000}"/>
    <cellStyle name="货币 2 2 2 4 6 2 8" xfId="28215" xr:uid="{00000000-0005-0000-0000-0000676E0000}"/>
    <cellStyle name="货币 2 2 2 4 6 2 9" xfId="28219" xr:uid="{00000000-0005-0000-0000-00006B6E0000}"/>
    <cellStyle name="货币 2 2 2 4 6 3" xfId="28222" xr:uid="{00000000-0005-0000-0000-00006E6E0000}"/>
    <cellStyle name="货币 2 2 2 4 6 3 2" xfId="28227" xr:uid="{00000000-0005-0000-0000-0000736E0000}"/>
    <cellStyle name="货币 2 2 2 4 6 3 3" xfId="28241" xr:uid="{00000000-0005-0000-0000-0000816E0000}"/>
    <cellStyle name="货币 2 2 2 4 6 3 4" xfId="21585" xr:uid="{00000000-0005-0000-0000-000081540000}"/>
    <cellStyle name="货币 2 2 2 4 6 3 5" xfId="28247" xr:uid="{00000000-0005-0000-0000-0000876E0000}"/>
    <cellStyle name="货币 2 2 2 4 6 3 6" xfId="28250" xr:uid="{00000000-0005-0000-0000-00008A6E0000}"/>
    <cellStyle name="货币 2 2 2 4 6 4" xfId="28253" xr:uid="{00000000-0005-0000-0000-00008D6E0000}"/>
    <cellStyle name="货币 2 2 2 4 6 4 2" xfId="28255" xr:uid="{00000000-0005-0000-0000-00008F6E0000}"/>
    <cellStyle name="货币 2 2 2 4 6 5" xfId="28264" xr:uid="{00000000-0005-0000-0000-0000986E0000}"/>
    <cellStyle name="货币 2 2 2 4 6 6" xfId="28267" xr:uid="{00000000-0005-0000-0000-00009B6E0000}"/>
    <cellStyle name="货币 2 2 2 4 6 7" xfId="28269" xr:uid="{00000000-0005-0000-0000-00009D6E0000}"/>
    <cellStyle name="货币 2 2 2 4 6 8" xfId="35626" xr:uid="{00000000-0005-0000-0000-00005A8B0000}"/>
    <cellStyle name="货币 2 2 2 4 6 9" xfId="35627" xr:uid="{00000000-0005-0000-0000-00005B8B0000}"/>
    <cellStyle name="货币 2 2 2 4 7" xfId="35628" xr:uid="{00000000-0005-0000-0000-00005C8B0000}"/>
    <cellStyle name="货币 2 2 2 4 7 2" xfId="28305" xr:uid="{00000000-0005-0000-0000-0000C16E0000}"/>
    <cellStyle name="货币 2 2 2 4 7 2 2" xfId="28307" xr:uid="{00000000-0005-0000-0000-0000C36E0000}"/>
    <cellStyle name="货币 2 2 2 4 7 3" xfId="28312" xr:uid="{00000000-0005-0000-0000-0000C86E0000}"/>
    <cellStyle name="货币 2 2 2 4 7 4" xfId="28321" xr:uid="{00000000-0005-0000-0000-0000D16E0000}"/>
    <cellStyle name="货币 2 2 2 4 7 5" xfId="28328" xr:uid="{00000000-0005-0000-0000-0000D86E0000}"/>
    <cellStyle name="货币 2 2 2 4 7 6" xfId="28330" xr:uid="{00000000-0005-0000-0000-0000DA6E0000}"/>
    <cellStyle name="货币 2 2 2 4 7 7" xfId="28332" xr:uid="{00000000-0005-0000-0000-0000DC6E0000}"/>
    <cellStyle name="货币 2 2 2 4 7 8" xfId="35629" xr:uid="{00000000-0005-0000-0000-00005D8B0000}"/>
    <cellStyle name="货币 2 2 2 4 7 9" xfId="35630" xr:uid="{00000000-0005-0000-0000-00005E8B0000}"/>
    <cellStyle name="货币 2 2 2 4 8" xfId="35631" xr:uid="{00000000-0005-0000-0000-00005F8B0000}"/>
    <cellStyle name="货币 2 2 2 4 8 2" xfId="28358" xr:uid="{00000000-0005-0000-0000-0000F66E0000}"/>
    <cellStyle name="货币 2 2 2 4 8 3" xfId="12401" xr:uid="{00000000-0005-0000-0000-0000A1300000}"/>
    <cellStyle name="货币 2 2 2 4 8 4" xfId="5622" xr:uid="{00000000-0005-0000-0000-000026160000}"/>
    <cellStyle name="货币 2 2 2 4 8 5" xfId="227" xr:uid="{00000000-0005-0000-0000-0000F4000000}"/>
    <cellStyle name="货币 2 2 2 4 8 6" xfId="3310" xr:uid="{00000000-0005-0000-0000-00001E0D0000}"/>
    <cellStyle name="货币 2 2 2 4 9" xfId="35632" xr:uid="{00000000-0005-0000-0000-0000608B0000}"/>
    <cellStyle name="货币 2 2 2 4 9 2" xfId="28380" xr:uid="{00000000-0005-0000-0000-00000C6F0000}"/>
    <cellStyle name="货币 2 2 2 4 9 3" xfId="16301" xr:uid="{00000000-0005-0000-0000-0000DD3F0000}"/>
    <cellStyle name="货币 2 2 2 4 9 4" xfId="28382" xr:uid="{00000000-0005-0000-0000-00000E6F0000}"/>
    <cellStyle name="货币 2 2 2 4 9 5" xfId="28384" xr:uid="{00000000-0005-0000-0000-0000106F0000}"/>
    <cellStyle name="货币 2 2 2 4 9 6" xfId="28386" xr:uid="{00000000-0005-0000-0000-0000126F0000}"/>
    <cellStyle name="货币 2 2 2 5" xfId="33922" xr:uid="{00000000-0005-0000-0000-0000B2840000}"/>
    <cellStyle name="货币 2 2 2 5 10" xfId="35634" xr:uid="{00000000-0005-0000-0000-0000628B0000}"/>
    <cellStyle name="货币 2 2 2 5 10 2" xfId="35635" xr:uid="{00000000-0005-0000-0000-0000638B0000}"/>
    <cellStyle name="货币 2 2 2 5 10 3" xfId="35636" xr:uid="{00000000-0005-0000-0000-0000648B0000}"/>
    <cellStyle name="货币 2 2 2 5 10 4" xfId="35637" xr:uid="{00000000-0005-0000-0000-0000658B0000}"/>
    <cellStyle name="货币 2 2 2 5 10 5" xfId="33869" xr:uid="{00000000-0005-0000-0000-00007D840000}"/>
    <cellStyle name="货币 2 2 2 5 10 6" xfId="33871" xr:uid="{00000000-0005-0000-0000-00007F840000}"/>
    <cellStyle name="货币 2 2 2 5 11" xfId="35639" xr:uid="{00000000-0005-0000-0000-0000678B0000}"/>
    <cellStyle name="货币 2 2 2 5 11 2" xfId="35640" xr:uid="{00000000-0005-0000-0000-0000688B0000}"/>
    <cellStyle name="货币 2 2 2 5 11 3" xfId="35641" xr:uid="{00000000-0005-0000-0000-0000698B0000}"/>
    <cellStyle name="货币 2 2 2 5 11 4" xfId="35642" xr:uid="{00000000-0005-0000-0000-00006A8B0000}"/>
    <cellStyle name="货币 2 2 2 5 11 5" xfId="33877" xr:uid="{00000000-0005-0000-0000-000085840000}"/>
    <cellStyle name="货币 2 2 2 5 11 6" xfId="33879" xr:uid="{00000000-0005-0000-0000-000087840000}"/>
    <cellStyle name="货币 2 2 2 5 12" xfId="22217" xr:uid="{00000000-0005-0000-0000-0000F9560000}"/>
    <cellStyle name="货币 2 2 2 5 13" xfId="22220" xr:uid="{00000000-0005-0000-0000-0000FC560000}"/>
    <cellStyle name="货币 2 2 2 5 14" xfId="22224" xr:uid="{00000000-0005-0000-0000-000000570000}"/>
    <cellStyle name="货币 2 2 2 5 15" xfId="22228" xr:uid="{00000000-0005-0000-0000-000004570000}"/>
    <cellStyle name="货币 2 2 2 5 16" xfId="22233" xr:uid="{00000000-0005-0000-0000-000009570000}"/>
    <cellStyle name="货币 2 2 2 5 17" xfId="35643" xr:uid="{00000000-0005-0000-0000-00006B8B0000}"/>
    <cellStyle name="货币 2 2 2 5 18" xfId="35645" xr:uid="{00000000-0005-0000-0000-00006D8B0000}"/>
    <cellStyle name="货币 2 2 2 5 19" xfId="1710" xr:uid="{00000000-0005-0000-0000-0000DE060000}"/>
    <cellStyle name="货币 2 2 2 5 2" xfId="34447" xr:uid="{00000000-0005-0000-0000-0000BF860000}"/>
    <cellStyle name="货币 2 2 2 5 2 10" xfId="6028" xr:uid="{00000000-0005-0000-0000-0000BC170000}"/>
    <cellStyle name="货币 2 2 2 5 2 11" xfId="2217" xr:uid="{00000000-0005-0000-0000-0000D9080000}"/>
    <cellStyle name="货币 2 2 2 5 2 12" xfId="7163" xr:uid="{00000000-0005-0000-0000-00002B1C0000}"/>
    <cellStyle name="货币 2 2 2 5 2 13" xfId="7289" xr:uid="{00000000-0005-0000-0000-0000A91C0000}"/>
    <cellStyle name="货币 2 2 2 5 2 14" xfId="7372" xr:uid="{00000000-0005-0000-0000-0000FC1C0000}"/>
    <cellStyle name="货币 2 2 2 5 2 15" xfId="5098" xr:uid="{00000000-0005-0000-0000-00001A140000}"/>
    <cellStyle name="货币 2 2 2 5 2 16" xfId="35647" xr:uid="{00000000-0005-0000-0000-00006F8B0000}"/>
    <cellStyle name="货币 2 2 2 5 2 17" xfId="35649" xr:uid="{00000000-0005-0000-0000-0000718B0000}"/>
    <cellStyle name="货币 2 2 2 5 2 18" xfId="35651" xr:uid="{00000000-0005-0000-0000-0000738B0000}"/>
    <cellStyle name="货币 2 2 2 5 2 2" xfId="35652" xr:uid="{00000000-0005-0000-0000-0000748B0000}"/>
    <cellStyle name="货币 2 2 2 5 2 2 10" xfId="34214" xr:uid="{00000000-0005-0000-0000-0000D6850000}"/>
    <cellStyle name="货币 2 2 2 5 2 2 11" xfId="35653" xr:uid="{00000000-0005-0000-0000-0000758B0000}"/>
    <cellStyle name="货币 2 2 2 5 2 2 12" xfId="26463" xr:uid="{00000000-0005-0000-0000-00008F670000}"/>
    <cellStyle name="货币 2 2 2 5 2 2 2" xfId="10869" xr:uid="{00000000-0005-0000-0000-0000A52A0000}"/>
    <cellStyle name="货币 2 2 2 5 2 2 2 2" xfId="35654" xr:uid="{00000000-0005-0000-0000-0000768B0000}"/>
    <cellStyle name="货币 2 2 2 5 2 2 2 2 2" xfId="11412" xr:uid="{00000000-0005-0000-0000-0000C42C0000}"/>
    <cellStyle name="货币 2 2 2 5 2 2 2 3" xfId="7565" xr:uid="{00000000-0005-0000-0000-0000BD1D0000}"/>
    <cellStyle name="货币 2 2 2 5 2 2 2 4" xfId="7582" xr:uid="{00000000-0005-0000-0000-0000CE1D0000}"/>
    <cellStyle name="货币 2 2 2 5 2 2 2 5" xfId="7595" xr:uid="{00000000-0005-0000-0000-0000DB1D0000}"/>
    <cellStyle name="货币 2 2 2 5 2 2 3" xfId="10873" xr:uid="{00000000-0005-0000-0000-0000A92A0000}"/>
    <cellStyle name="货币 2 2 2 5 2 2 3 2" xfId="35655" xr:uid="{00000000-0005-0000-0000-0000778B0000}"/>
    <cellStyle name="货币 2 2 2 5 2 2 4" xfId="10878" xr:uid="{00000000-0005-0000-0000-0000AE2A0000}"/>
    <cellStyle name="货币 2 2 2 5 2 2 5" xfId="10890" xr:uid="{00000000-0005-0000-0000-0000BA2A0000}"/>
    <cellStyle name="货币 2 2 2 5 2 2 6" xfId="21379" xr:uid="{00000000-0005-0000-0000-0000B3530000}"/>
    <cellStyle name="货币 2 2 2 5 2 2 7" xfId="21384" xr:uid="{00000000-0005-0000-0000-0000B8530000}"/>
    <cellStyle name="货币 2 2 2 5 2 2 8" xfId="22131" xr:uid="{00000000-0005-0000-0000-0000A3560000}"/>
    <cellStyle name="货币 2 2 2 5 2 2 9" xfId="22136" xr:uid="{00000000-0005-0000-0000-0000A8560000}"/>
    <cellStyle name="货币 2 2 2 5 2 3" xfId="35656" xr:uid="{00000000-0005-0000-0000-0000788B0000}"/>
    <cellStyle name="货币 2 2 2 5 2 3 10" xfId="2921" xr:uid="{00000000-0005-0000-0000-0000990B0000}"/>
    <cellStyle name="货币 2 2 2 5 2 3 11" xfId="35657" xr:uid="{00000000-0005-0000-0000-0000798B0000}"/>
    <cellStyle name="货币 2 2 2 5 2 3 12" xfId="35658" xr:uid="{00000000-0005-0000-0000-00007A8B0000}"/>
    <cellStyle name="货币 2 2 2 5 2 3 2" xfId="10917" xr:uid="{00000000-0005-0000-0000-0000D52A0000}"/>
    <cellStyle name="货币 2 2 2 5 2 3 2 2" xfId="35659" xr:uid="{00000000-0005-0000-0000-00007B8B0000}"/>
    <cellStyle name="货币 2 2 2 5 2 3 2 2 2" xfId="14749" xr:uid="{00000000-0005-0000-0000-0000CD390000}"/>
    <cellStyle name="货币 2 2 2 5 2 3 2 3" xfId="35661" xr:uid="{00000000-0005-0000-0000-00007D8B0000}"/>
    <cellStyle name="货币 2 2 2 5 2 3 2 4" xfId="22458" xr:uid="{00000000-0005-0000-0000-0000EA570000}"/>
    <cellStyle name="货币 2 2 2 5 2 3 2 5" xfId="22462" xr:uid="{00000000-0005-0000-0000-0000EE570000}"/>
    <cellStyle name="货币 2 2 2 5 2 3 3" xfId="21393" xr:uid="{00000000-0005-0000-0000-0000C1530000}"/>
    <cellStyle name="货币 2 2 2 5 2 3 3 2" xfId="35664" xr:uid="{00000000-0005-0000-0000-0000808B0000}"/>
    <cellStyle name="货币 2 2 2 5 2 3 4" xfId="21398" xr:uid="{00000000-0005-0000-0000-0000C6530000}"/>
    <cellStyle name="货币 2 2 2 5 2 3 5" xfId="21574" xr:uid="{00000000-0005-0000-0000-000076540000}"/>
    <cellStyle name="货币 2 2 2 5 2 3 6" xfId="35665" xr:uid="{00000000-0005-0000-0000-0000818B0000}"/>
    <cellStyle name="货币 2 2 2 5 2 3 7" xfId="22154" xr:uid="{00000000-0005-0000-0000-0000BA560000}"/>
    <cellStyle name="货币 2 2 2 5 2 3 8" xfId="22160" xr:uid="{00000000-0005-0000-0000-0000C0560000}"/>
    <cellStyle name="货币 2 2 2 5 2 3 9" xfId="22164" xr:uid="{00000000-0005-0000-0000-0000C4560000}"/>
    <cellStyle name="货币 2 2 2 5 2 4" xfId="35666" xr:uid="{00000000-0005-0000-0000-0000828B0000}"/>
    <cellStyle name="货币 2 2 2 5 2 4 10" xfId="26668" xr:uid="{00000000-0005-0000-0000-00005C680000}"/>
    <cellStyle name="货币 2 2 2 5 2 4 2" xfId="35670" xr:uid="{00000000-0005-0000-0000-0000868B0000}"/>
    <cellStyle name="货币 2 2 2 5 2 4 2 2" xfId="35671" xr:uid="{00000000-0005-0000-0000-0000878B0000}"/>
    <cellStyle name="货币 2 2 2 5 2 4 2 2 2" xfId="17075" xr:uid="{00000000-0005-0000-0000-0000E3420000}"/>
    <cellStyle name="货币 2 2 2 5 2 4 2 3" xfId="35673" xr:uid="{00000000-0005-0000-0000-0000898B0000}"/>
    <cellStyle name="货币 2 2 2 5 2 4 2 4" xfId="22501" xr:uid="{00000000-0005-0000-0000-000015580000}"/>
    <cellStyle name="货币 2 2 2 5 2 4 2 5" xfId="35675" xr:uid="{00000000-0005-0000-0000-00008B8B0000}"/>
    <cellStyle name="货币 2 2 2 5 2 4 3" xfId="31512" xr:uid="{00000000-0005-0000-0000-0000487B0000}"/>
    <cellStyle name="货币 2 2 2 5 2 4 3 2" xfId="35676" xr:uid="{00000000-0005-0000-0000-00008C8B0000}"/>
    <cellStyle name="货币 2 2 2 5 2 4 4" xfId="35678" xr:uid="{00000000-0005-0000-0000-00008E8B0000}"/>
    <cellStyle name="货币 2 2 2 5 2 4 5" xfId="35679" xr:uid="{00000000-0005-0000-0000-00008F8B0000}"/>
    <cellStyle name="货币 2 2 2 5 2 4 6" xfId="35680" xr:uid="{00000000-0005-0000-0000-0000908B0000}"/>
    <cellStyle name="货币 2 2 2 5 2 4 7" xfId="24077" xr:uid="{00000000-0005-0000-0000-00003D5E0000}"/>
    <cellStyle name="货币 2 2 2 5 2 4 8" xfId="35681" xr:uid="{00000000-0005-0000-0000-0000918B0000}"/>
    <cellStyle name="货币 2 2 2 5 2 4 9" xfId="35682" xr:uid="{00000000-0005-0000-0000-0000928B0000}"/>
    <cellStyle name="货币 2 2 2 5 2 5" xfId="35683" xr:uid="{00000000-0005-0000-0000-0000938B0000}"/>
    <cellStyle name="货币 2 2 2 5 2 5 10" xfId="35684" xr:uid="{00000000-0005-0000-0000-0000948B0000}"/>
    <cellStyle name="货币 2 2 2 5 2 5 2" xfId="35685" xr:uid="{00000000-0005-0000-0000-0000958B0000}"/>
    <cellStyle name="货币 2 2 2 5 2 5 2 2" xfId="35686" xr:uid="{00000000-0005-0000-0000-0000968B0000}"/>
    <cellStyle name="货币 2 2 2 5 2 5 2 2 2" xfId="14408" xr:uid="{00000000-0005-0000-0000-000078380000}"/>
    <cellStyle name="货币 2 2 2 5 2 5 2 3" xfId="35688" xr:uid="{00000000-0005-0000-0000-0000988B0000}"/>
    <cellStyle name="货币 2 2 2 5 2 5 2 4" xfId="35690" xr:uid="{00000000-0005-0000-0000-00009A8B0000}"/>
    <cellStyle name="货币 2 2 2 5 2 5 2 5" xfId="35692" xr:uid="{00000000-0005-0000-0000-00009C8B0000}"/>
    <cellStyle name="货币 2 2 2 5 2 5 3" xfId="22092" xr:uid="{00000000-0005-0000-0000-00007C560000}"/>
    <cellStyle name="货币 2 2 2 5 2 5 3 2" xfId="35693" xr:uid="{00000000-0005-0000-0000-00009D8B0000}"/>
    <cellStyle name="货币 2 2 2 5 2 5 4" xfId="35694" xr:uid="{00000000-0005-0000-0000-00009E8B0000}"/>
    <cellStyle name="货币 2 2 2 5 2 5 5" xfId="35695" xr:uid="{00000000-0005-0000-0000-00009F8B0000}"/>
    <cellStyle name="货币 2 2 2 5 2 5 6" xfId="35697" xr:uid="{00000000-0005-0000-0000-0000A18B0000}"/>
    <cellStyle name="货币 2 2 2 5 2 5 7" xfId="32831" xr:uid="{00000000-0005-0000-0000-00006F800000}"/>
    <cellStyle name="货币 2 2 2 5 2 5 8" xfId="35699" xr:uid="{00000000-0005-0000-0000-0000A38B0000}"/>
    <cellStyle name="货币 2 2 2 5 2 5 9" xfId="35700" xr:uid="{00000000-0005-0000-0000-0000A48B0000}"/>
    <cellStyle name="货币 2 2 2 5 2 6" xfId="35701" xr:uid="{00000000-0005-0000-0000-0000A58B0000}"/>
    <cellStyle name="货币 2 2 2 5 2 6 2" xfId="35702" xr:uid="{00000000-0005-0000-0000-0000A68B0000}"/>
    <cellStyle name="货币 2 2 2 5 2 6 2 2" xfId="35703" xr:uid="{00000000-0005-0000-0000-0000A78B0000}"/>
    <cellStyle name="货币 2 2 2 5 2 6 3" xfId="31514" xr:uid="{00000000-0005-0000-0000-00004A7B0000}"/>
    <cellStyle name="货币 2 2 2 5 2 6 4" xfId="35704" xr:uid="{00000000-0005-0000-0000-0000A88B0000}"/>
    <cellStyle name="货币 2 2 2 5 2 6 5" xfId="35705" xr:uid="{00000000-0005-0000-0000-0000A98B0000}"/>
    <cellStyle name="货币 2 2 2 5 2 6 6" xfId="35707" xr:uid="{00000000-0005-0000-0000-0000AB8B0000}"/>
    <cellStyle name="货币 2 2 2 5 2 6 7" xfId="31871" xr:uid="{00000000-0005-0000-0000-0000AF7C0000}"/>
    <cellStyle name="货币 2 2 2 5 2 6 8" xfId="31885" xr:uid="{00000000-0005-0000-0000-0000BD7C0000}"/>
    <cellStyle name="货币 2 2 2 5 2 6 9" xfId="31892" xr:uid="{00000000-0005-0000-0000-0000C47C0000}"/>
    <cellStyle name="货币 2 2 2 5 2 7" xfId="35709" xr:uid="{00000000-0005-0000-0000-0000AD8B0000}"/>
    <cellStyle name="货币 2 2 2 5 2 7 2" xfId="35710" xr:uid="{00000000-0005-0000-0000-0000AE8B0000}"/>
    <cellStyle name="货币 2 2 2 5 2 8" xfId="35711" xr:uid="{00000000-0005-0000-0000-0000AF8B0000}"/>
    <cellStyle name="货币 2 2 2 5 2 9" xfId="35712" xr:uid="{00000000-0005-0000-0000-0000B08B0000}"/>
    <cellStyle name="货币 2 2 2 5 20" xfId="22229" xr:uid="{00000000-0005-0000-0000-000005570000}"/>
    <cellStyle name="货币 2 2 2 5 21" xfId="22234" xr:uid="{00000000-0005-0000-0000-00000A570000}"/>
    <cellStyle name="货币 2 2 2 5 22" xfId="35644" xr:uid="{00000000-0005-0000-0000-00006C8B0000}"/>
    <cellStyle name="货币 2 2 2 5 23" xfId="35646" xr:uid="{00000000-0005-0000-0000-00006E8B0000}"/>
    <cellStyle name="货币 2 2 2 5 3" xfId="23443" xr:uid="{00000000-0005-0000-0000-0000C35B0000}"/>
    <cellStyle name="货币 2 2 2 5 3 10" xfId="35713" xr:uid="{00000000-0005-0000-0000-0000B18B0000}"/>
    <cellStyle name="货币 2 2 2 5 3 11" xfId="24084" xr:uid="{00000000-0005-0000-0000-0000445E0000}"/>
    <cellStyle name="货币 2 2 2 5 3 12" xfId="24087" xr:uid="{00000000-0005-0000-0000-0000475E0000}"/>
    <cellStyle name="货币 2 2 2 5 3 13" xfId="8031" xr:uid="{00000000-0005-0000-0000-00008F1F0000}"/>
    <cellStyle name="货币 2 2 2 5 3 14" xfId="3792" xr:uid="{00000000-0005-0000-0000-0000000F0000}"/>
    <cellStyle name="货币 2 2 2 5 3 15" xfId="8036" xr:uid="{00000000-0005-0000-0000-0000941F0000}"/>
    <cellStyle name="货币 2 2 2 5 3 16" xfId="35714" xr:uid="{00000000-0005-0000-0000-0000B28B0000}"/>
    <cellStyle name="货币 2 2 2 5 3 17" xfId="35715" xr:uid="{00000000-0005-0000-0000-0000B38B0000}"/>
    <cellStyle name="货币 2 2 2 5 3 18" xfId="35716" xr:uid="{00000000-0005-0000-0000-0000B48B0000}"/>
    <cellStyle name="货币 2 2 2 5 3 2" xfId="5798" xr:uid="{00000000-0005-0000-0000-0000D6160000}"/>
    <cellStyle name="货币 2 2 2 5 3 2 10" xfId="8726" xr:uid="{00000000-0005-0000-0000-000046220000}"/>
    <cellStyle name="货币 2 2 2 5 3 2 2" xfId="7298" xr:uid="{00000000-0005-0000-0000-0000B21C0000}"/>
    <cellStyle name="货币 2 2 2 5 3 2 2 2" xfId="35717" xr:uid="{00000000-0005-0000-0000-0000B58B0000}"/>
    <cellStyle name="货币 2 2 2 5 3 2 3" xfId="7304" xr:uid="{00000000-0005-0000-0000-0000B81C0000}"/>
    <cellStyle name="货币 2 2 2 5 3 2 4" xfId="10959" xr:uid="{00000000-0005-0000-0000-0000FF2A0000}"/>
    <cellStyle name="货币 2 2 2 5 3 2 5" xfId="8403" xr:uid="{00000000-0005-0000-0000-000003210000}"/>
    <cellStyle name="货币 2 2 2 5 3 2 6" xfId="17350" xr:uid="{00000000-0005-0000-0000-0000F6430000}"/>
    <cellStyle name="货币 2 2 2 5 3 2 7" xfId="22191" xr:uid="{00000000-0005-0000-0000-0000DF560000}"/>
    <cellStyle name="货币 2 2 2 5 3 2 8" xfId="22197" xr:uid="{00000000-0005-0000-0000-0000E5560000}"/>
    <cellStyle name="货币 2 2 2 5 3 2 9" xfId="22202" xr:uid="{00000000-0005-0000-0000-0000EA560000}"/>
    <cellStyle name="货币 2 2 2 5 3 3" xfId="35718" xr:uid="{00000000-0005-0000-0000-0000B68B0000}"/>
    <cellStyle name="货币 2 2 2 5 3 3 2" xfId="35720" xr:uid="{00000000-0005-0000-0000-0000B88B0000}"/>
    <cellStyle name="货币 2 2 2 5 3 3 3" xfId="31525" xr:uid="{00000000-0005-0000-0000-0000557B0000}"/>
    <cellStyle name="货币 2 2 2 5 3 3 4" xfId="30100" xr:uid="{00000000-0005-0000-0000-0000C4750000}"/>
    <cellStyle name="货币 2 2 2 5 3 3 5" xfId="35723" xr:uid="{00000000-0005-0000-0000-0000BB8B0000}"/>
    <cellStyle name="货币 2 2 2 5 3 3 6" xfId="35724" xr:uid="{00000000-0005-0000-0000-0000BC8B0000}"/>
    <cellStyle name="货币 2 2 2 5 3 4" xfId="35725" xr:uid="{00000000-0005-0000-0000-0000BD8B0000}"/>
    <cellStyle name="货币 2 2 2 5 3 4 2" xfId="35728" xr:uid="{00000000-0005-0000-0000-0000C08B0000}"/>
    <cellStyle name="货币 2 2 2 5 3 4 3" xfId="31529" xr:uid="{00000000-0005-0000-0000-0000597B0000}"/>
    <cellStyle name="货币 2 2 2 5 3 4 4" xfId="35730" xr:uid="{00000000-0005-0000-0000-0000C28B0000}"/>
    <cellStyle name="货币 2 2 2 5 3 4 5" xfId="35731" xr:uid="{00000000-0005-0000-0000-0000C38B0000}"/>
    <cellStyle name="货币 2 2 2 5 3 4 6" xfId="35732" xr:uid="{00000000-0005-0000-0000-0000C48B0000}"/>
    <cellStyle name="货币 2 2 2 5 3 5" xfId="35733" xr:uid="{00000000-0005-0000-0000-0000C58B0000}"/>
    <cellStyle name="货币 2 2 2 5 3 5 2" xfId="35734" xr:uid="{00000000-0005-0000-0000-0000C68B0000}"/>
    <cellStyle name="货币 2 2 2 5 3 5 3" xfId="31531" xr:uid="{00000000-0005-0000-0000-00005B7B0000}"/>
    <cellStyle name="货币 2 2 2 5 3 5 4" xfId="35735" xr:uid="{00000000-0005-0000-0000-0000C78B0000}"/>
    <cellStyle name="货币 2 2 2 5 3 5 5" xfId="35736" xr:uid="{00000000-0005-0000-0000-0000C88B0000}"/>
    <cellStyle name="货币 2 2 2 5 3 5 6" xfId="35737" xr:uid="{00000000-0005-0000-0000-0000C98B0000}"/>
    <cellStyle name="货币 2 2 2 5 3 6" xfId="35738" xr:uid="{00000000-0005-0000-0000-0000CA8B0000}"/>
    <cellStyle name="货币 2 2 2 5 3 6 2" xfId="35739" xr:uid="{00000000-0005-0000-0000-0000CB8B0000}"/>
    <cellStyle name="货币 2 2 2 5 3 6 3" xfId="31533" xr:uid="{00000000-0005-0000-0000-00005D7B0000}"/>
    <cellStyle name="货币 2 2 2 5 3 6 4" xfId="35740" xr:uid="{00000000-0005-0000-0000-0000CC8B0000}"/>
    <cellStyle name="货币 2 2 2 5 3 6 5" xfId="35741" xr:uid="{00000000-0005-0000-0000-0000CD8B0000}"/>
    <cellStyle name="货币 2 2 2 5 3 6 6" xfId="35742" xr:uid="{00000000-0005-0000-0000-0000CE8B0000}"/>
    <cellStyle name="货币 2 2 2 5 3 7" xfId="35743" xr:uid="{00000000-0005-0000-0000-0000CF8B0000}"/>
    <cellStyle name="货币 2 2 2 5 3 8" xfId="35744" xr:uid="{00000000-0005-0000-0000-0000D08B0000}"/>
    <cellStyle name="货币 2 2 2 5 3 9" xfId="35746" xr:uid="{00000000-0005-0000-0000-0000D28B0000}"/>
    <cellStyle name="货币 2 2 2 5 4" xfId="20910" xr:uid="{00000000-0005-0000-0000-0000DE510000}"/>
    <cellStyle name="货币 2 2 2 5 4 10" xfId="35747" xr:uid="{00000000-0005-0000-0000-0000D38B0000}"/>
    <cellStyle name="货币 2 2 2 5 4 11" xfId="21373" xr:uid="{00000000-0005-0000-0000-0000AD530000}"/>
    <cellStyle name="货币 2 2 2 5 4 12" xfId="6093" xr:uid="{00000000-0005-0000-0000-0000FD170000}"/>
    <cellStyle name="货币 2 2 2 5 4 13" xfId="6123" xr:uid="{00000000-0005-0000-0000-00001B180000}"/>
    <cellStyle name="货币 2 2 2 5 4 14" xfId="6146" xr:uid="{00000000-0005-0000-0000-000032180000}"/>
    <cellStyle name="货币 2 2 2 5 4 15" xfId="6162" xr:uid="{00000000-0005-0000-0000-000042180000}"/>
    <cellStyle name="货币 2 2 2 5 4 2" xfId="35748" xr:uid="{00000000-0005-0000-0000-0000D48B0000}"/>
    <cellStyle name="货币 2 2 2 5 4 2 2" xfId="32734" xr:uid="{00000000-0005-0000-0000-00000E800000}"/>
    <cellStyle name="货币 2 2 2 5 4 2 2 2" xfId="20440" xr:uid="{00000000-0005-0000-0000-000008500000}"/>
    <cellStyle name="货币 2 2 2 5 4 2 3" xfId="32736" xr:uid="{00000000-0005-0000-0000-000010800000}"/>
    <cellStyle name="货币 2 2 2 5 4 2 4" xfId="32738" xr:uid="{00000000-0005-0000-0000-000012800000}"/>
    <cellStyle name="货币 2 2 2 5 4 2 5" xfId="32741" xr:uid="{00000000-0005-0000-0000-000015800000}"/>
    <cellStyle name="货币 2 2 2 5 4 2 6" xfId="35750" xr:uid="{00000000-0005-0000-0000-0000D68B0000}"/>
    <cellStyle name="货币 2 2 2 5 4 2 7" xfId="24123" xr:uid="{00000000-0005-0000-0000-00006B5E0000}"/>
    <cellStyle name="货币 2 2 2 5 4 2 8" xfId="22881" xr:uid="{00000000-0005-0000-0000-000091590000}"/>
    <cellStyle name="货币 2 2 2 5 4 2 9" xfId="22884" xr:uid="{00000000-0005-0000-0000-000094590000}"/>
    <cellStyle name="货币 2 2 2 5 4 3" xfId="35751" xr:uid="{00000000-0005-0000-0000-0000D78B0000}"/>
    <cellStyle name="货币 2 2 2 5 4 3 2" xfId="32746" xr:uid="{00000000-0005-0000-0000-00001A800000}"/>
    <cellStyle name="货币 2 2 2 5 4 3 3" xfId="32749" xr:uid="{00000000-0005-0000-0000-00001D800000}"/>
    <cellStyle name="货币 2 2 2 5 4 3 4" xfId="30107" xr:uid="{00000000-0005-0000-0000-0000CB750000}"/>
    <cellStyle name="货币 2 2 2 5 4 3 5" xfId="32753" xr:uid="{00000000-0005-0000-0000-000021800000}"/>
    <cellStyle name="货币 2 2 2 5 4 3 6" xfId="35752" xr:uid="{00000000-0005-0000-0000-0000D88B0000}"/>
    <cellStyle name="货币 2 2 2 5 4 4" xfId="35753" xr:uid="{00000000-0005-0000-0000-0000D98B0000}"/>
    <cellStyle name="货币 2 2 2 5 4 4 2" xfId="35755" xr:uid="{00000000-0005-0000-0000-0000DB8B0000}"/>
    <cellStyle name="货币 2 2 2 5 4 5" xfId="35756" xr:uid="{00000000-0005-0000-0000-0000DC8B0000}"/>
    <cellStyle name="货币 2 2 2 5 4 6" xfId="35757" xr:uid="{00000000-0005-0000-0000-0000DD8B0000}"/>
    <cellStyle name="货币 2 2 2 5 4 7" xfId="35758" xr:uid="{00000000-0005-0000-0000-0000DE8B0000}"/>
    <cellStyle name="货币 2 2 2 5 4 8" xfId="35759" xr:uid="{00000000-0005-0000-0000-0000DF8B0000}"/>
    <cellStyle name="货币 2 2 2 5 4 9" xfId="35760" xr:uid="{00000000-0005-0000-0000-0000E08B0000}"/>
    <cellStyle name="货币 2 2 2 5 5" xfId="20917" xr:uid="{00000000-0005-0000-0000-0000E5510000}"/>
    <cellStyle name="货币 2 2 2 5 5 10" xfId="1983" xr:uid="{00000000-0005-0000-0000-0000EF070000}"/>
    <cellStyle name="货币 2 2 2 5 5 11" xfId="35763" xr:uid="{00000000-0005-0000-0000-0000E38B0000}"/>
    <cellStyle name="货币 2 2 2 5 5 12" xfId="4707" xr:uid="{00000000-0005-0000-0000-000093120000}"/>
    <cellStyle name="货币 2 2 2 5 5 13" xfId="1392" xr:uid="{00000000-0005-0000-0000-0000A0050000}"/>
    <cellStyle name="货币 2 2 2 5 5 2" xfId="35765" xr:uid="{00000000-0005-0000-0000-0000E58B0000}"/>
    <cellStyle name="货币 2 2 2 5 5 2 2" xfId="35766" xr:uid="{00000000-0005-0000-0000-0000E68B0000}"/>
    <cellStyle name="货币 2 2 2 5 5 2 2 2" xfId="35768" xr:uid="{00000000-0005-0000-0000-0000E88B0000}"/>
    <cellStyle name="货币 2 2 2 5 5 2 3" xfId="35769" xr:uid="{00000000-0005-0000-0000-0000E98B0000}"/>
    <cellStyle name="货币 2 2 2 5 5 2 4" xfId="35770" xr:uid="{00000000-0005-0000-0000-0000EA8B0000}"/>
    <cellStyle name="货币 2 2 2 5 5 2 5" xfId="35772" xr:uid="{00000000-0005-0000-0000-0000EC8B0000}"/>
    <cellStyle name="货币 2 2 2 5 5 2 6" xfId="35774" xr:uid="{00000000-0005-0000-0000-0000EE8B0000}"/>
    <cellStyle name="货币 2 2 2 5 5 2 7" xfId="35776" xr:uid="{00000000-0005-0000-0000-0000F08B0000}"/>
    <cellStyle name="货币 2 2 2 5 5 2 8" xfId="35778" xr:uid="{00000000-0005-0000-0000-0000F28B0000}"/>
    <cellStyle name="货币 2 2 2 5 5 2 9" xfId="35780" xr:uid="{00000000-0005-0000-0000-0000F48B0000}"/>
    <cellStyle name="货币 2 2 2 5 5 3" xfId="35782" xr:uid="{00000000-0005-0000-0000-0000F68B0000}"/>
    <cellStyle name="货币 2 2 2 5 5 3 2" xfId="35783" xr:uid="{00000000-0005-0000-0000-0000F78B0000}"/>
    <cellStyle name="货币 2 2 2 5 5 3 3" xfId="35784" xr:uid="{00000000-0005-0000-0000-0000F88B0000}"/>
    <cellStyle name="货币 2 2 2 5 5 3 4" xfId="35785" xr:uid="{00000000-0005-0000-0000-0000F98B0000}"/>
    <cellStyle name="货币 2 2 2 5 5 3 5" xfId="35787" xr:uid="{00000000-0005-0000-0000-0000FB8B0000}"/>
    <cellStyle name="货币 2 2 2 5 5 3 6" xfId="31656" xr:uid="{00000000-0005-0000-0000-0000D87B0000}"/>
    <cellStyle name="货币 2 2 2 5 5 4" xfId="35789" xr:uid="{00000000-0005-0000-0000-0000FD8B0000}"/>
    <cellStyle name="货币 2 2 2 5 5 4 2" xfId="35790" xr:uid="{00000000-0005-0000-0000-0000FE8B0000}"/>
    <cellStyle name="货币 2 2 2 5 5 5" xfId="35792" xr:uid="{00000000-0005-0000-0000-0000008C0000}"/>
    <cellStyle name="货币 2 2 2 5 5 6" xfId="35793" xr:uid="{00000000-0005-0000-0000-0000018C0000}"/>
    <cellStyle name="货币 2 2 2 5 5 7" xfId="35794" xr:uid="{00000000-0005-0000-0000-0000028C0000}"/>
    <cellStyle name="货币 2 2 2 5 5 8" xfId="35795" xr:uid="{00000000-0005-0000-0000-0000038C0000}"/>
    <cellStyle name="货币 2 2 2 5 5 9" xfId="35796" xr:uid="{00000000-0005-0000-0000-0000048C0000}"/>
    <cellStyle name="货币 2 2 2 5 6" xfId="20924" xr:uid="{00000000-0005-0000-0000-0000EC510000}"/>
    <cellStyle name="货币 2 2 2 5 6 10" xfId="28953" xr:uid="{00000000-0005-0000-0000-000049710000}"/>
    <cellStyle name="货币 2 2 2 5 6 11" xfId="35797" xr:uid="{00000000-0005-0000-0000-0000058C0000}"/>
    <cellStyle name="货币 2 2 2 5 6 12" xfId="35799" xr:uid="{00000000-0005-0000-0000-0000078C0000}"/>
    <cellStyle name="货币 2 2 2 5 6 2" xfId="28443" xr:uid="{00000000-0005-0000-0000-00004B6F0000}"/>
    <cellStyle name="货币 2 2 2 5 6 2 2" xfId="28445" xr:uid="{00000000-0005-0000-0000-00004D6F0000}"/>
    <cellStyle name="货币 2 2 2 5 6 2 2 2" xfId="31913" xr:uid="{00000000-0005-0000-0000-0000D97C0000}"/>
    <cellStyle name="货币 2 2 2 5 6 2 3" xfId="28447" xr:uid="{00000000-0005-0000-0000-00004F6F0000}"/>
    <cellStyle name="货币 2 2 2 5 6 2 4" xfId="13563" xr:uid="{00000000-0005-0000-0000-00002B350000}"/>
    <cellStyle name="货币 2 2 2 5 6 2 5" xfId="28451" xr:uid="{00000000-0005-0000-0000-0000536F0000}"/>
    <cellStyle name="货币 2 2 2 5 6 2 6" xfId="35800" xr:uid="{00000000-0005-0000-0000-0000088C0000}"/>
    <cellStyle name="货币 2 2 2 5 6 2 7" xfId="35801" xr:uid="{00000000-0005-0000-0000-0000098C0000}"/>
    <cellStyle name="货币 2 2 2 5 6 2 8" xfId="35802" xr:uid="{00000000-0005-0000-0000-00000A8C0000}"/>
    <cellStyle name="货币 2 2 2 5 6 2 9" xfId="35804" xr:uid="{00000000-0005-0000-0000-00000C8C0000}"/>
    <cellStyle name="货币 2 2 2 5 6 3" xfId="28453" xr:uid="{00000000-0005-0000-0000-0000556F0000}"/>
    <cellStyle name="货币 2 2 2 5 6 3 2" xfId="35805" xr:uid="{00000000-0005-0000-0000-00000D8C0000}"/>
    <cellStyle name="货币 2 2 2 5 6 3 3" xfId="35806" xr:uid="{00000000-0005-0000-0000-00000E8C0000}"/>
    <cellStyle name="货币 2 2 2 5 6 3 4" xfId="35807" xr:uid="{00000000-0005-0000-0000-00000F8C0000}"/>
    <cellStyle name="货币 2 2 2 5 6 3 5" xfId="35808" xr:uid="{00000000-0005-0000-0000-0000108C0000}"/>
    <cellStyle name="货币 2 2 2 5 6 3 6" xfId="35809" xr:uid="{00000000-0005-0000-0000-0000118C0000}"/>
    <cellStyle name="货币 2 2 2 5 6 4" xfId="28456" xr:uid="{00000000-0005-0000-0000-0000586F0000}"/>
    <cellStyle name="货币 2 2 2 5 6 4 2" xfId="35810" xr:uid="{00000000-0005-0000-0000-0000128C0000}"/>
    <cellStyle name="货币 2 2 2 5 6 5" xfId="28459" xr:uid="{00000000-0005-0000-0000-00005B6F0000}"/>
    <cellStyle name="货币 2 2 2 5 6 6" xfId="28462" xr:uid="{00000000-0005-0000-0000-00005E6F0000}"/>
    <cellStyle name="货币 2 2 2 5 6 7" xfId="28465" xr:uid="{00000000-0005-0000-0000-0000616F0000}"/>
    <cellStyle name="货币 2 2 2 5 6 8" xfId="35811" xr:uid="{00000000-0005-0000-0000-0000138C0000}"/>
    <cellStyle name="货币 2 2 2 5 6 9" xfId="35812" xr:uid="{00000000-0005-0000-0000-0000148C0000}"/>
    <cellStyle name="货币 2 2 2 5 7" xfId="20932" xr:uid="{00000000-0005-0000-0000-0000F4510000}"/>
    <cellStyle name="货币 2 2 2 5 7 2" xfId="28480" xr:uid="{00000000-0005-0000-0000-0000706F0000}"/>
    <cellStyle name="货币 2 2 2 5 7 2 2" xfId="35813" xr:uid="{00000000-0005-0000-0000-0000158C0000}"/>
    <cellStyle name="货币 2 2 2 5 7 3" xfId="28483" xr:uid="{00000000-0005-0000-0000-0000736F0000}"/>
    <cellStyle name="货币 2 2 2 5 7 4" xfId="28486" xr:uid="{00000000-0005-0000-0000-0000766F0000}"/>
    <cellStyle name="货币 2 2 2 5 7 5" xfId="28489" xr:uid="{00000000-0005-0000-0000-0000796F0000}"/>
    <cellStyle name="货币 2 2 2 5 7 6" xfId="28492" xr:uid="{00000000-0005-0000-0000-00007C6F0000}"/>
    <cellStyle name="货币 2 2 2 5 7 7" xfId="28494" xr:uid="{00000000-0005-0000-0000-00007E6F0000}"/>
    <cellStyle name="货币 2 2 2 5 7 8" xfId="35814" xr:uid="{00000000-0005-0000-0000-0000168C0000}"/>
    <cellStyle name="货币 2 2 2 5 7 9" xfId="35815" xr:uid="{00000000-0005-0000-0000-0000178C0000}"/>
    <cellStyle name="货币 2 2 2 5 8" xfId="22183" xr:uid="{00000000-0005-0000-0000-0000D7560000}"/>
    <cellStyle name="货币 2 2 2 5 8 2" xfId="28501" xr:uid="{00000000-0005-0000-0000-0000856F0000}"/>
    <cellStyle name="货币 2 2 2 5 8 3" xfId="16391" xr:uid="{00000000-0005-0000-0000-000037400000}"/>
    <cellStyle name="货币 2 2 2 5 8 4" xfId="944" xr:uid="{00000000-0005-0000-0000-0000E0030000}"/>
    <cellStyle name="货币 2 2 2 5 8 5" xfId="3610" xr:uid="{00000000-0005-0000-0000-00004A0E0000}"/>
    <cellStyle name="货币 2 2 2 5 8 6" xfId="3662" xr:uid="{00000000-0005-0000-0000-00007E0E0000}"/>
    <cellStyle name="货币 2 2 2 5 9" xfId="22186" xr:uid="{00000000-0005-0000-0000-0000DA560000}"/>
    <cellStyle name="货币 2 2 2 5 9 2" xfId="28508" xr:uid="{00000000-0005-0000-0000-00008C6F0000}"/>
    <cellStyle name="货币 2 2 2 5 9 3" xfId="16404" xr:uid="{00000000-0005-0000-0000-000044400000}"/>
    <cellStyle name="货币 2 2 2 5 9 4" xfId="28510" xr:uid="{00000000-0005-0000-0000-00008E6F0000}"/>
    <cellStyle name="货币 2 2 2 5 9 5" xfId="28512" xr:uid="{00000000-0005-0000-0000-0000906F0000}"/>
    <cellStyle name="货币 2 2 2 5 9 6" xfId="28514" xr:uid="{00000000-0005-0000-0000-0000926F0000}"/>
    <cellStyle name="货币 2 2 2 6" xfId="35816" xr:uid="{00000000-0005-0000-0000-0000188C0000}"/>
    <cellStyle name="货币 2 2 2 6 10" xfId="35817" xr:uid="{00000000-0005-0000-0000-0000198C0000}"/>
    <cellStyle name="货币 2 2 2 6 10 2" xfId="35818" xr:uid="{00000000-0005-0000-0000-00001A8C0000}"/>
    <cellStyle name="货币 2 2 2 6 10 3" xfId="35819" xr:uid="{00000000-0005-0000-0000-00001B8C0000}"/>
    <cellStyle name="货币 2 2 2 6 10 4" xfId="28889" xr:uid="{00000000-0005-0000-0000-000009710000}"/>
    <cellStyle name="货币 2 2 2 6 10 5" xfId="35820" xr:uid="{00000000-0005-0000-0000-00001C8C0000}"/>
    <cellStyle name="货币 2 2 2 6 10 6" xfId="35821" xr:uid="{00000000-0005-0000-0000-00001D8C0000}"/>
    <cellStyle name="货币 2 2 2 6 11" xfId="35822" xr:uid="{00000000-0005-0000-0000-00001E8C0000}"/>
    <cellStyle name="货币 2 2 2 6 11 2" xfId="35824" xr:uid="{00000000-0005-0000-0000-0000208C0000}"/>
    <cellStyle name="货币 2 2 2 6 11 3" xfId="10114" xr:uid="{00000000-0005-0000-0000-0000B2270000}"/>
    <cellStyle name="货币 2 2 2 6 11 4" xfId="10126" xr:uid="{00000000-0005-0000-0000-0000BE270000}"/>
    <cellStyle name="货币 2 2 2 6 11 5" xfId="25460" xr:uid="{00000000-0005-0000-0000-0000A4630000}"/>
    <cellStyle name="货币 2 2 2 6 11 6" xfId="11207" xr:uid="{00000000-0005-0000-0000-0000F72B0000}"/>
    <cellStyle name="货币 2 2 2 6 12" xfId="24789" xr:uid="{00000000-0005-0000-0000-000005610000}"/>
    <cellStyle name="货币 2 2 2 6 13" xfId="24793" xr:uid="{00000000-0005-0000-0000-000009610000}"/>
    <cellStyle name="货币 2 2 2 6 14" xfId="24799" xr:uid="{00000000-0005-0000-0000-00000F610000}"/>
    <cellStyle name="货币 2 2 2 6 15" xfId="24804" xr:uid="{00000000-0005-0000-0000-000014610000}"/>
    <cellStyle name="货币 2 2 2 6 16" xfId="24810" xr:uid="{00000000-0005-0000-0000-00001A610000}"/>
    <cellStyle name="货币 2 2 2 6 17" xfId="35827" xr:uid="{00000000-0005-0000-0000-0000238C0000}"/>
    <cellStyle name="货币 2 2 2 6 18" xfId="35484" xr:uid="{00000000-0005-0000-0000-0000CC8A0000}"/>
    <cellStyle name="货币 2 2 2 6 19" xfId="35491" xr:uid="{00000000-0005-0000-0000-0000D38A0000}"/>
    <cellStyle name="货币 2 2 2 6 2" xfId="34451" xr:uid="{00000000-0005-0000-0000-0000C3860000}"/>
    <cellStyle name="货币 2 2 2 6 2 10" xfId="32396" xr:uid="{00000000-0005-0000-0000-0000BC7E0000}"/>
    <cellStyle name="货币 2 2 2 6 2 11" xfId="24207" xr:uid="{00000000-0005-0000-0000-0000BF5E0000}"/>
    <cellStyle name="货币 2 2 2 6 2 12" xfId="32403" xr:uid="{00000000-0005-0000-0000-0000C37E0000}"/>
    <cellStyle name="货币 2 2 2 6 2 13" xfId="10474" xr:uid="{00000000-0005-0000-0000-00001A290000}"/>
    <cellStyle name="货币 2 2 2 6 2 14" xfId="28573" xr:uid="{00000000-0005-0000-0000-0000CD6F0000}"/>
    <cellStyle name="货币 2 2 2 6 2 15" xfId="28576" xr:uid="{00000000-0005-0000-0000-0000D06F0000}"/>
    <cellStyle name="货币 2 2 2 6 2 16" xfId="32409" xr:uid="{00000000-0005-0000-0000-0000C97E0000}"/>
    <cellStyle name="货币 2 2 2 6 2 17" xfId="32411" xr:uid="{00000000-0005-0000-0000-0000CB7E0000}"/>
    <cellStyle name="货币 2 2 2 6 2 18" xfId="35829" xr:uid="{00000000-0005-0000-0000-0000258C0000}"/>
    <cellStyle name="货币 2 2 2 6 2 2" xfId="35830" xr:uid="{00000000-0005-0000-0000-0000268C0000}"/>
    <cellStyle name="货币 2 2 2 6 2 2 10" xfId="35832" xr:uid="{00000000-0005-0000-0000-0000288C0000}"/>
    <cellStyle name="货币 2 2 2 6 2 2 11" xfId="35834" xr:uid="{00000000-0005-0000-0000-00002A8C0000}"/>
    <cellStyle name="货币 2 2 2 6 2 2 12" xfId="35836" xr:uid="{00000000-0005-0000-0000-00002C8C0000}"/>
    <cellStyle name="货币 2 2 2 6 2 2 2" xfId="35837" xr:uid="{00000000-0005-0000-0000-00002D8C0000}"/>
    <cellStyle name="货币 2 2 2 6 2 2 2 2" xfId="11272" xr:uid="{00000000-0005-0000-0000-0000382C0000}"/>
    <cellStyle name="货币 2 2 2 6 2 2 2 2 2" xfId="22238" xr:uid="{00000000-0005-0000-0000-00000E570000}"/>
    <cellStyle name="货币 2 2 2 6 2 2 2 3" xfId="11279" xr:uid="{00000000-0005-0000-0000-00003F2C0000}"/>
    <cellStyle name="货币 2 2 2 6 2 2 2 4" xfId="11286" xr:uid="{00000000-0005-0000-0000-0000462C0000}"/>
    <cellStyle name="货币 2 2 2 6 2 2 2 5" xfId="5896" xr:uid="{00000000-0005-0000-0000-000038170000}"/>
    <cellStyle name="货币 2 2 2 6 2 2 3" xfId="35839" xr:uid="{00000000-0005-0000-0000-00002F8C0000}"/>
    <cellStyle name="货币 2 2 2 6 2 2 3 2" xfId="11407" xr:uid="{00000000-0005-0000-0000-0000BF2C0000}"/>
    <cellStyle name="货币 2 2 2 6 2 2 4" xfId="35841" xr:uid="{00000000-0005-0000-0000-0000318C0000}"/>
    <cellStyle name="货币 2 2 2 6 2 2 5" xfId="35844" xr:uid="{00000000-0005-0000-0000-0000348C0000}"/>
    <cellStyle name="货币 2 2 2 6 2 2 6" xfId="35847" xr:uid="{00000000-0005-0000-0000-0000378C0000}"/>
    <cellStyle name="货币 2 2 2 6 2 2 7" xfId="22424" xr:uid="{00000000-0005-0000-0000-0000C8570000}"/>
    <cellStyle name="货币 2 2 2 6 2 2 8" xfId="22434" xr:uid="{00000000-0005-0000-0000-0000D2570000}"/>
    <cellStyle name="货币 2 2 2 6 2 2 9" xfId="22440" xr:uid="{00000000-0005-0000-0000-0000D8570000}"/>
    <cellStyle name="货币 2 2 2 6 2 3" xfId="35848" xr:uid="{00000000-0005-0000-0000-0000388C0000}"/>
    <cellStyle name="货币 2 2 2 6 2 3 10" xfId="32032" xr:uid="{00000000-0005-0000-0000-0000507D0000}"/>
    <cellStyle name="货币 2 2 2 6 2 3 11" xfId="32035" xr:uid="{00000000-0005-0000-0000-0000537D0000}"/>
    <cellStyle name="货币 2 2 2 6 2 3 12" xfId="35849" xr:uid="{00000000-0005-0000-0000-0000398C0000}"/>
    <cellStyle name="货币 2 2 2 6 2 3 2" xfId="1964" xr:uid="{00000000-0005-0000-0000-0000DC070000}"/>
    <cellStyle name="货币 2 2 2 6 2 3 2 2" xfId="2927" xr:uid="{00000000-0005-0000-0000-00009F0B0000}"/>
    <cellStyle name="货币 2 2 2 6 2 3 2 2 2" xfId="11416" xr:uid="{00000000-0005-0000-0000-0000C82C0000}"/>
    <cellStyle name="货币 2 2 2 6 2 3 2 3" xfId="35851" xr:uid="{00000000-0005-0000-0000-00003B8C0000}"/>
    <cellStyle name="货币 2 2 2 6 2 3 2 4" xfId="35853" xr:uid="{00000000-0005-0000-0000-00003D8C0000}"/>
    <cellStyle name="货币 2 2 2 6 2 3 2 5" xfId="29183" xr:uid="{00000000-0005-0000-0000-00002F720000}"/>
    <cellStyle name="货币 2 2 2 6 2 3 3" xfId="2955" xr:uid="{00000000-0005-0000-0000-0000BB0B0000}"/>
    <cellStyle name="货币 2 2 2 6 2 3 3 2" xfId="2968" xr:uid="{00000000-0005-0000-0000-0000C80B0000}"/>
    <cellStyle name="货币 2 2 2 6 2 3 4" xfId="2978" xr:uid="{00000000-0005-0000-0000-0000D20B0000}"/>
    <cellStyle name="货币 2 2 2 6 2 3 5" xfId="35854" xr:uid="{00000000-0005-0000-0000-00003E8C0000}"/>
    <cellStyle name="货币 2 2 2 6 2 3 6" xfId="35855" xr:uid="{00000000-0005-0000-0000-00003F8C0000}"/>
    <cellStyle name="货币 2 2 2 6 2 3 7" xfId="22449" xr:uid="{00000000-0005-0000-0000-0000E1570000}"/>
    <cellStyle name="货币 2 2 2 6 2 3 8" xfId="35856" xr:uid="{00000000-0005-0000-0000-0000408C0000}"/>
    <cellStyle name="货币 2 2 2 6 2 3 9" xfId="35857" xr:uid="{00000000-0005-0000-0000-0000418C0000}"/>
    <cellStyle name="货币 2 2 2 6 2 4" xfId="35858" xr:uid="{00000000-0005-0000-0000-0000428C0000}"/>
    <cellStyle name="货币 2 2 2 6 2 4 10" xfId="30197" xr:uid="{00000000-0005-0000-0000-000025760000}"/>
    <cellStyle name="货币 2 2 2 6 2 4 2" xfId="1973" xr:uid="{00000000-0005-0000-0000-0000E5070000}"/>
    <cellStyle name="货币 2 2 2 6 2 4 2 2" xfId="3039" xr:uid="{00000000-0005-0000-0000-00000F0C0000}"/>
    <cellStyle name="货币 2 2 2 6 2 4 2 2 2" xfId="14756" xr:uid="{00000000-0005-0000-0000-0000D4390000}"/>
    <cellStyle name="货币 2 2 2 6 2 4 2 3" xfId="35860" xr:uid="{00000000-0005-0000-0000-0000448C0000}"/>
    <cellStyle name="货币 2 2 2 6 2 4 2 4" xfId="35862" xr:uid="{00000000-0005-0000-0000-0000468C0000}"/>
    <cellStyle name="货币 2 2 2 6 2 4 2 5" xfId="35864" xr:uid="{00000000-0005-0000-0000-0000488C0000}"/>
    <cellStyle name="货币 2 2 2 6 2 4 3" xfId="3059" xr:uid="{00000000-0005-0000-0000-0000230C0000}"/>
    <cellStyle name="货币 2 2 2 6 2 4 3 2" xfId="35865" xr:uid="{00000000-0005-0000-0000-0000498C0000}"/>
    <cellStyle name="货币 2 2 2 6 2 4 4" xfId="3079" xr:uid="{00000000-0005-0000-0000-0000370C0000}"/>
    <cellStyle name="货币 2 2 2 6 2 4 5" xfId="35866" xr:uid="{00000000-0005-0000-0000-00004A8C0000}"/>
    <cellStyle name="货币 2 2 2 6 2 4 6" xfId="35867" xr:uid="{00000000-0005-0000-0000-00004B8C0000}"/>
    <cellStyle name="货币 2 2 2 6 2 4 7" xfId="35868" xr:uid="{00000000-0005-0000-0000-00004C8C0000}"/>
    <cellStyle name="货币 2 2 2 6 2 4 8" xfId="35869" xr:uid="{00000000-0005-0000-0000-00004D8C0000}"/>
    <cellStyle name="货币 2 2 2 6 2 4 9" xfId="35870" xr:uid="{00000000-0005-0000-0000-00004E8C0000}"/>
    <cellStyle name="货币 2 2 2 6 2 5" xfId="35871" xr:uid="{00000000-0005-0000-0000-00004F8C0000}"/>
    <cellStyle name="货币 2 2 2 6 2 5 10" xfId="35872" xr:uid="{00000000-0005-0000-0000-0000508C0000}"/>
    <cellStyle name="货币 2 2 2 6 2 5 2" xfId="35873" xr:uid="{00000000-0005-0000-0000-0000518C0000}"/>
    <cellStyle name="货币 2 2 2 6 2 5 2 2" xfId="35874" xr:uid="{00000000-0005-0000-0000-0000528C0000}"/>
    <cellStyle name="货币 2 2 2 6 2 5 2 2 2" xfId="17082" xr:uid="{00000000-0005-0000-0000-0000EA420000}"/>
    <cellStyle name="货币 2 2 2 6 2 5 2 3" xfId="35876" xr:uid="{00000000-0005-0000-0000-0000548C0000}"/>
    <cellStyle name="货币 2 2 2 6 2 5 2 4" xfId="35878" xr:uid="{00000000-0005-0000-0000-0000568C0000}"/>
    <cellStyle name="货币 2 2 2 6 2 5 2 5" xfId="35880" xr:uid="{00000000-0005-0000-0000-0000588C0000}"/>
    <cellStyle name="货币 2 2 2 6 2 5 3" xfId="22126" xr:uid="{00000000-0005-0000-0000-00009E560000}"/>
    <cellStyle name="货币 2 2 2 6 2 5 3 2" xfId="35881" xr:uid="{00000000-0005-0000-0000-0000598C0000}"/>
    <cellStyle name="货币 2 2 2 6 2 5 4" xfId="35882" xr:uid="{00000000-0005-0000-0000-00005A8C0000}"/>
    <cellStyle name="货币 2 2 2 6 2 5 5" xfId="35883" xr:uid="{00000000-0005-0000-0000-00005B8C0000}"/>
    <cellStyle name="货币 2 2 2 6 2 5 6" xfId="35885" xr:uid="{00000000-0005-0000-0000-00005D8C0000}"/>
    <cellStyle name="货币 2 2 2 6 2 5 7" xfId="32840" xr:uid="{00000000-0005-0000-0000-000078800000}"/>
    <cellStyle name="货币 2 2 2 6 2 5 8" xfId="35886" xr:uid="{00000000-0005-0000-0000-00005E8C0000}"/>
    <cellStyle name="货币 2 2 2 6 2 5 9" xfId="35887" xr:uid="{00000000-0005-0000-0000-00005F8C0000}"/>
    <cellStyle name="货币 2 2 2 6 2 6" xfId="35888" xr:uid="{00000000-0005-0000-0000-0000608C0000}"/>
    <cellStyle name="货币 2 2 2 6 2 6 2" xfId="35889" xr:uid="{00000000-0005-0000-0000-0000618C0000}"/>
    <cellStyle name="货币 2 2 2 6 2 6 2 2" xfId="35890" xr:uid="{00000000-0005-0000-0000-0000628C0000}"/>
    <cellStyle name="货币 2 2 2 6 2 6 3" xfId="35891" xr:uid="{00000000-0005-0000-0000-0000638C0000}"/>
    <cellStyle name="货币 2 2 2 6 2 6 4" xfId="35892" xr:uid="{00000000-0005-0000-0000-0000648C0000}"/>
    <cellStyle name="货币 2 2 2 6 2 6 5" xfId="35893" xr:uid="{00000000-0005-0000-0000-0000658C0000}"/>
    <cellStyle name="货币 2 2 2 6 2 6 6" xfId="35894" xr:uid="{00000000-0005-0000-0000-0000668C0000}"/>
    <cellStyle name="货币 2 2 2 6 2 6 7" xfId="35895" xr:uid="{00000000-0005-0000-0000-0000678C0000}"/>
    <cellStyle name="货币 2 2 2 6 2 6 8" xfId="35897" xr:uid="{00000000-0005-0000-0000-0000698C0000}"/>
    <cellStyle name="货币 2 2 2 6 2 6 9" xfId="35899" xr:uid="{00000000-0005-0000-0000-00006B8C0000}"/>
    <cellStyle name="货币 2 2 2 6 2 7" xfId="35900" xr:uid="{00000000-0005-0000-0000-00006C8C0000}"/>
    <cellStyle name="货币 2 2 2 6 2 7 2" xfId="35901" xr:uid="{00000000-0005-0000-0000-00006D8C0000}"/>
    <cellStyle name="货币 2 2 2 6 2 8" xfId="35902" xr:uid="{00000000-0005-0000-0000-00006E8C0000}"/>
    <cellStyle name="货币 2 2 2 6 2 9" xfId="35903" xr:uid="{00000000-0005-0000-0000-00006F8C0000}"/>
    <cellStyle name="货币 2 2 2 6 20" xfId="24805" xr:uid="{00000000-0005-0000-0000-000015610000}"/>
    <cellStyle name="货币 2 2 2 6 21" xfId="24811" xr:uid="{00000000-0005-0000-0000-00001B610000}"/>
    <cellStyle name="货币 2 2 2 6 22" xfId="35828" xr:uid="{00000000-0005-0000-0000-0000248C0000}"/>
    <cellStyle name="货币 2 2 2 6 23" xfId="35485" xr:uid="{00000000-0005-0000-0000-0000CD8A0000}"/>
    <cellStyle name="货币 2 2 2 6 3" xfId="23451" xr:uid="{00000000-0005-0000-0000-0000CB5B0000}"/>
    <cellStyle name="货币 2 2 2 6 3 10" xfId="35906" xr:uid="{00000000-0005-0000-0000-0000728C0000}"/>
    <cellStyle name="货币 2 2 2 6 3 11" xfId="35909" xr:uid="{00000000-0005-0000-0000-0000758C0000}"/>
    <cellStyle name="货币 2 2 2 6 3 12" xfId="35368" xr:uid="{00000000-0005-0000-0000-0000588A0000}"/>
    <cellStyle name="货币 2 2 2 6 3 13" xfId="28610" xr:uid="{00000000-0005-0000-0000-0000F26F0000}"/>
    <cellStyle name="货币 2 2 2 6 3 14" xfId="28615" xr:uid="{00000000-0005-0000-0000-0000F76F0000}"/>
    <cellStyle name="货币 2 2 2 6 3 15" xfId="28619" xr:uid="{00000000-0005-0000-0000-0000FB6F0000}"/>
    <cellStyle name="货币 2 2 2 6 3 16" xfId="35371" xr:uid="{00000000-0005-0000-0000-00005B8A0000}"/>
    <cellStyle name="货币 2 2 2 6 3 17" xfId="5046" xr:uid="{00000000-0005-0000-0000-0000E6130000}"/>
    <cellStyle name="货币 2 2 2 6 3 18" xfId="35910" xr:uid="{00000000-0005-0000-0000-0000768C0000}"/>
    <cellStyle name="货币 2 2 2 6 3 2" xfId="35348" xr:uid="{00000000-0005-0000-0000-0000448A0000}"/>
    <cellStyle name="货币 2 2 2 6 3 2 10" xfId="35911" xr:uid="{00000000-0005-0000-0000-0000778C0000}"/>
    <cellStyle name="货币 2 2 2 6 3 2 2" xfId="32315" xr:uid="{00000000-0005-0000-0000-00006B7E0000}"/>
    <cellStyle name="货币 2 2 2 6 3 2 2 2" xfId="14702" xr:uid="{00000000-0005-0000-0000-00009E390000}"/>
    <cellStyle name="货币 2 2 2 6 3 2 3" xfId="32318" xr:uid="{00000000-0005-0000-0000-00006E7E0000}"/>
    <cellStyle name="货币 2 2 2 6 3 2 4" xfId="32321" xr:uid="{00000000-0005-0000-0000-0000717E0000}"/>
    <cellStyle name="货币 2 2 2 6 3 2 5" xfId="32324" xr:uid="{00000000-0005-0000-0000-0000747E0000}"/>
    <cellStyle name="货币 2 2 2 6 3 2 6" xfId="32332" xr:uid="{00000000-0005-0000-0000-00007C7E0000}"/>
    <cellStyle name="货币 2 2 2 6 3 2 7" xfId="22467" xr:uid="{00000000-0005-0000-0000-0000F3570000}"/>
    <cellStyle name="货币 2 2 2 6 3 2 8" xfId="32335" xr:uid="{00000000-0005-0000-0000-00007F7E0000}"/>
    <cellStyle name="货币 2 2 2 6 3 2 9" xfId="31961" xr:uid="{00000000-0005-0000-0000-0000097D0000}"/>
    <cellStyle name="货币 2 2 2 6 3 3" xfId="23678" xr:uid="{00000000-0005-0000-0000-0000AE5C0000}"/>
    <cellStyle name="货币 2 2 2 6 3 3 2" xfId="2142" xr:uid="{00000000-0005-0000-0000-00008E080000}"/>
    <cellStyle name="货币 2 2 2 6 3 3 3" xfId="3428" xr:uid="{00000000-0005-0000-0000-0000940D0000}"/>
    <cellStyle name="货币 2 2 2 6 3 3 4" xfId="3438" xr:uid="{00000000-0005-0000-0000-00009E0D0000}"/>
    <cellStyle name="货币 2 2 2 6 3 3 5" xfId="35912" xr:uid="{00000000-0005-0000-0000-0000788C0000}"/>
    <cellStyle name="货币 2 2 2 6 3 3 6" xfId="33613" xr:uid="{00000000-0005-0000-0000-00007D830000}"/>
    <cellStyle name="货币 2 2 2 6 3 4" xfId="6051" xr:uid="{00000000-0005-0000-0000-0000D3170000}"/>
    <cellStyle name="货币 2 2 2 6 3 4 2" xfId="2169" xr:uid="{00000000-0005-0000-0000-0000A9080000}"/>
    <cellStyle name="货币 2 2 2 6 3 4 3" xfId="3529" xr:uid="{00000000-0005-0000-0000-0000F90D0000}"/>
    <cellStyle name="货币 2 2 2 6 3 4 4" xfId="3536" xr:uid="{00000000-0005-0000-0000-0000000E0000}"/>
    <cellStyle name="货币 2 2 2 6 3 4 5" xfId="35913" xr:uid="{00000000-0005-0000-0000-0000798C0000}"/>
    <cellStyle name="货币 2 2 2 6 3 4 6" xfId="33620" xr:uid="{00000000-0005-0000-0000-000084830000}"/>
    <cellStyle name="货币 2 2 2 6 3 5" xfId="6201" xr:uid="{00000000-0005-0000-0000-000069180000}"/>
    <cellStyle name="货币 2 2 2 6 3 5 2" xfId="2182" xr:uid="{00000000-0005-0000-0000-0000B6080000}"/>
    <cellStyle name="货币 2 2 2 6 3 5 3" xfId="4629" xr:uid="{00000000-0005-0000-0000-000045120000}"/>
    <cellStyle name="货币 2 2 2 6 3 5 4" xfId="35914" xr:uid="{00000000-0005-0000-0000-00007A8C0000}"/>
    <cellStyle name="货币 2 2 2 6 3 5 5" xfId="35915" xr:uid="{00000000-0005-0000-0000-00007B8C0000}"/>
    <cellStyle name="货币 2 2 2 6 3 5 6" xfId="33631" xr:uid="{00000000-0005-0000-0000-00008F830000}"/>
    <cellStyle name="货币 2 2 2 6 3 6" xfId="35350" xr:uid="{00000000-0005-0000-0000-0000468A0000}"/>
    <cellStyle name="货币 2 2 2 6 3 6 2" xfId="6240" xr:uid="{00000000-0005-0000-0000-000090180000}"/>
    <cellStyle name="货币 2 2 2 6 3 6 3" xfId="6675" xr:uid="{00000000-0005-0000-0000-0000431A0000}"/>
    <cellStyle name="货币 2 2 2 6 3 6 4" xfId="35916" xr:uid="{00000000-0005-0000-0000-00007C8C0000}"/>
    <cellStyle name="货币 2 2 2 6 3 6 5" xfId="35917" xr:uid="{00000000-0005-0000-0000-00007D8C0000}"/>
    <cellStyle name="货币 2 2 2 6 3 6 6" xfId="33638" xr:uid="{00000000-0005-0000-0000-000096830000}"/>
    <cellStyle name="货币 2 2 2 6 3 7" xfId="35352" xr:uid="{00000000-0005-0000-0000-0000488A0000}"/>
    <cellStyle name="货币 2 2 2 6 3 8" xfId="35354" xr:uid="{00000000-0005-0000-0000-00004A8A0000}"/>
    <cellStyle name="货币 2 2 2 6 3 9" xfId="35356" xr:uid="{00000000-0005-0000-0000-00004C8A0000}"/>
    <cellStyle name="货币 2 2 2 6 4" xfId="20941" xr:uid="{00000000-0005-0000-0000-0000FD510000}"/>
    <cellStyle name="货币 2 2 2 6 4 10" xfId="35918" xr:uid="{00000000-0005-0000-0000-00007E8C0000}"/>
    <cellStyle name="货币 2 2 2 6 4 11" xfId="35920" xr:uid="{00000000-0005-0000-0000-0000808C0000}"/>
    <cellStyle name="货币 2 2 2 6 4 12" xfId="35922" xr:uid="{00000000-0005-0000-0000-0000828C0000}"/>
    <cellStyle name="货币 2 2 2 6 4 13" xfId="28644" xr:uid="{00000000-0005-0000-0000-000014700000}"/>
    <cellStyle name="货币 2 2 2 6 4 14" xfId="28648" xr:uid="{00000000-0005-0000-0000-000018700000}"/>
    <cellStyle name="货币 2 2 2 6 4 15" xfId="28649" xr:uid="{00000000-0005-0000-0000-000019700000}"/>
    <cellStyle name="货币 2 2 2 6 4 2" xfId="35923" xr:uid="{00000000-0005-0000-0000-0000838C0000}"/>
    <cellStyle name="货币 2 2 2 6 4 2 2" xfId="35924" xr:uid="{00000000-0005-0000-0000-0000848C0000}"/>
    <cellStyle name="货币 2 2 2 6 4 2 2 2" xfId="16976" xr:uid="{00000000-0005-0000-0000-000080420000}"/>
    <cellStyle name="货币 2 2 2 6 4 2 3" xfId="3276" xr:uid="{00000000-0005-0000-0000-0000FC0C0000}"/>
    <cellStyle name="货币 2 2 2 6 4 2 4" xfId="34144" xr:uid="{00000000-0005-0000-0000-000090850000}"/>
    <cellStyle name="货币 2 2 2 6 4 2 5" xfId="34159" xr:uid="{00000000-0005-0000-0000-00009F850000}"/>
    <cellStyle name="货币 2 2 2 6 4 2 6" xfId="33656" xr:uid="{00000000-0005-0000-0000-0000A8830000}"/>
    <cellStyle name="货币 2 2 2 6 4 2 7" xfId="33660" xr:uid="{00000000-0005-0000-0000-0000AC830000}"/>
    <cellStyle name="货币 2 2 2 6 4 2 8" xfId="33665" xr:uid="{00000000-0005-0000-0000-0000B1830000}"/>
    <cellStyle name="货币 2 2 2 6 4 2 9" xfId="33670" xr:uid="{00000000-0005-0000-0000-0000B6830000}"/>
    <cellStyle name="货币 2 2 2 6 4 3" xfId="35925" xr:uid="{00000000-0005-0000-0000-0000858C0000}"/>
    <cellStyle name="货币 2 2 2 6 4 3 2" xfId="3346" xr:uid="{00000000-0005-0000-0000-0000420D0000}"/>
    <cellStyle name="货币 2 2 2 6 4 3 3" xfId="3362" xr:uid="{00000000-0005-0000-0000-0000520D0000}"/>
    <cellStyle name="货币 2 2 2 6 4 3 4" xfId="255" xr:uid="{00000000-0005-0000-0000-000010010000}"/>
    <cellStyle name="货币 2 2 2 6 4 3 5" xfId="34177" xr:uid="{00000000-0005-0000-0000-0000B1850000}"/>
    <cellStyle name="货币 2 2 2 6 4 3 6" xfId="33685" xr:uid="{00000000-0005-0000-0000-0000C5830000}"/>
    <cellStyle name="货币 2 2 2 6 4 4" xfId="35926" xr:uid="{00000000-0005-0000-0000-0000868C0000}"/>
    <cellStyle name="货币 2 2 2 6 4 4 2" xfId="3708" xr:uid="{00000000-0005-0000-0000-0000AC0E0000}"/>
    <cellStyle name="货币 2 2 2 6 4 5" xfId="35927" xr:uid="{00000000-0005-0000-0000-0000878C0000}"/>
    <cellStyle name="货币 2 2 2 6 4 6" xfId="35928" xr:uid="{00000000-0005-0000-0000-0000888C0000}"/>
    <cellStyle name="货币 2 2 2 6 4 7" xfId="35929" xr:uid="{00000000-0005-0000-0000-0000898C0000}"/>
    <cellStyle name="货币 2 2 2 6 4 8" xfId="35930" xr:uid="{00000000-0005-0000-0000-00008A8C0000}"/>
    <cellStyle name="货币 2 2 2 6 4 9" xfId="35931" xr:uid="{00000000-0005-0000-0000-00008B8C0000}"/>
    <cellStyle name="货币 2 2 2 6 5" xfId="23455" xr:uid="{00000000-0005-0000-0000-0000CF5B0000}"/>
    <cellStyle name="货币 2 2 2 6 5 10" xfId="35932" xr:uid="{00000000-0005-0000-0000-00008C8C0000}"/>
    <cellStyle name="货币 2 2 2 6 5 11" xfId="35933" xr:uid="{00000000-0005-0000-0000-00008D8C0000}"/>
    <cellStyle name="货币 2 2 2 6 5 12" xfId="35934" xr:uid="{00000000-0005-0000-0000-00008E8C0000}"/>
    <cellStyle name="货币 2 2 2 6 5 13" xfId="35935" xr:uid="{00000000-0005-0000-0000-00008F8C0000}"/>
    <cellStyle name="货币 2 2 2 6 5 2" xfId="35936" xr:uid="{00000000-0005-0000-0000-0000908C0000}"/>
    <cellStyle name="货币 2 2 2 6 5 2 2" xfId="32363" xr:uid="{00000000-0005-0000-0000-00009B7E0000}"/>
    <cellStyle name="货币 2 2 2 6 5 2 2 2" xfId="18641" xr:uid="{00000000-0005-0000-0000-000001490000}"/>
    <cellStyle name="货币 2 2 2 6 5 2 3" xfId="32366" xr:uid="{00000000-0005-0000-0000-00009E7E0000}"/>
    <cellStyle name="货币 2 2 2 6 5 2 4" xfId="32368" xr:uid="{00000000-0005-0000-0000-0000A07E0000}"/>
    <cellStyle name="货币 2 2 2 6 5 2 5" xfId="32370" xr:uid="{00000000-0005-0000-0000-0000A27E0000}"/>
    <cellStyle name="货币 2 2 2 6 5 2 6" xfId="32374" xr:uid="{00000000-0005-0000-0000-0000A67E0000}"/>
    <cellStyle name="货币 2 2 2 6 5 2 7" xfId="32378" xr:uid="{00000000-0005-0000-0000-0000AA7E0000}"/>
    <cellStyle name="货币 2 2 2 6 5 2 8" xfId="32383" xr:uid="{00000000-0005-0000-0000-0000AF7E0000}"/>
    <cellStyle name="货币 2 2 2 6 5 2 9" xfId="32016" xr:uid="{00000000-0005-0000-0000-0000407D0000}"/>
    <cellStyle name="货币 2 2 2 6 5 3" xfId="35937" xr:uid="{00000000-0005-0000-0000-0000918C0000}"/>
    <cellStyle name="货币 2 2 2 6 5 3 2" xfId="673" xr:uid="{00000000-0005-0000-0000-0000D1020000}"/>
    <cellStyle name="货币 2 2 2 6 5 3 3" xfId="3839" xr:uid="{00000000-0005-0000-0000-00002F0F0000}"/>
    <cellStyle name="货币 2 2 2 6 5 3 4" xfId="3818" xr:uid="{00000000-0005-0000-0000-00001A0F0000}"/>
    <cellStyle name="货币 2 2 2 6 5 3 5" xfId="9885" xr:uid="{00000000-0005-0000-0000-0000CD260000}"/>
    <cellStyle name="货币 2 2 2 6 5 3 6" xfId="9894" xr:uid="{00000000-0005-0000-0000-0000D6260000}"/>
    <cellStyle name="货币 2 2 2 6 5 4" xfId="35938" xr:uid="{00000000-0005-0000-0000-0000928C0000}"/>
    <cellStyle name="货币 2 2 2 6 5 4 2" xfId="206" xr:uid="{00000000-0005-0000-0000-0000DE000000}"/>
    <cellStyle name="货币 2 2 2 6 5 5" xfId="35939" xr:uid="{00000000-0005-0000-0000-0000938C0000}"/>
    <cellStyle name="货币 2 2 2 6 5 6" xfId="35940" xr:uid="{00000000-0005-0000-0000-0000948C0000}"/>
    <cellStyle name="货币 2 2 2 6 5 7" xfId="35941" xr:uid="{00000000-0005-0000-0000-0000958C0000}"/>
    <cellStyle name="货币 2 2 2 6 5 8" xfId="35942" xr:uid="{00000000-0005-0000-0000-0000968C0000}"/>
    <cellStyle name="货币 2 2 2 6 5 9" xfId="35943" xr:uid="{00000000-0005-0000-0000-0000978C0000}"/>
    <cellStyle name="货币 2 2 2 6 6" xfId="23459" xr:uid="{00000000-0005-0000-0000-0000D35B0000}"/>
    <cellStyle name="货币 2 2 2 6 6 10" xfId="35944" xr:uid="{00000000-0005-0000-0000-0000988C0000}"/>
    <cellStyle name="货币 2 2 2 6 6 11" xfId="35945" xr:uid="{00000000-0005-0000-0000-0000998C0000}"/>
    <cellStyle name="货币 2 2 2 6 6 12" xfId="35946" xr:uid="{00000000-0005-0000-0000-00009A8C0000}"/>
    <cellStyle name="货币 2 2 2 6 6 2" xfId="35947" xr:uid="{00000000-0005-0000-0000-00009B8C0000}"/>
    <cellStyle name="货币 2 2 2 6 6 2 2" xfId="32399" xr:uid="{00000000-0005-0000-0000-0000BF7E0000}"/>
    <cellStyle name="货币 2 2 2 6 6 2 2 2" xfId="19690" xr:uid="{00000000-0005-0000-0000-00001A4D0000}"/>
    <cellStyle name="货币 2 2 2 6 6 2 3" xfId="35948" xr:uid="{00000000-0005-0000-0000-00009C8C0000}"/>
    <cellStyle name="货币 2 2 2 6 6 2 4" xfId="35949" xr:uid="{00000000-0005-0000-0000-00009D8C0000}"/>
    <cellStyle name="货币 2 2 2 6 6 2 5" xfId="35950" xr:uid="{00000000-0005-0000-0000-00009E8C0000}"/>
    <cellStyle name="货币 2 2 2 6 6 2 6" xfId="33767" xr:uid="{00000000-0005-0000-0000-000017840000}"/>
    <cellStyle name="货币 2 2 2 6 6 2 7" xfId="33770" xr:uid="{00000000-0005-0000-0000-00001A840000}"/>
    <cellStyle name="货币 2 2 2 6 6 2 8" xfId="33773" xr:uid="{00000000-0005-0000-0000-00001D840000}"/>
    <cellStyle name="货币 2 2 2 6 6 2 9" xfId="32054" xr:uid="{00000000-0005-0000-0000-0000667D0000}"/>
    <cellStyle name="货币 2 2 2 6 6 3" xfId="35951" xr:uid="{00000000-0005-0000-0000-00009F8C0000}"/>
    <cellStyle name="货币 2 2 2 6 6 3 2" xfId="35952" xr:uid="{00000000-0005-0000-0000-0000A08C0000}"/>
    <cellStyle name="货币 2 2 2 6 6 3 3" xfId="35953" xr:uid="{00000000-0005-0000-0000-0000A18C0000}"/>
    <cellStyle name="货币 2 2 2 6 6 3 4" xfId="35954" xr:uid="{00000000-0005-0000-0000-0000A28C0000}"/>
    <cellStyle name="货币 2 2 2 6 6 3 5" xfId="35955" xr:uid="{00000000-0005-0000-0000-0000A38C0000}"/>
    <cellStyle name="货币 2 2 2 6 6 3 6" xfId="33785" xr:uid="{00000000-0005-0000-0000-000029840000}"/>
    <cellStyle name="货币 2 2 2 6 6 4" xfId="35956" xr:uid="{00000000-0005-0000-0000-0000A48C0000}"/>
    <cellStyle name="货币 2 2 2 6 6 4 2" xfId="35957" xr:uid="{00000000-0005-0000-0000-0000A58C0000}"/>
    <cellStyle name="货币 2 2 2 6 6 5" xfId="35958" xr:uid="{00000000-0005-0000-0000-0000A68C0000}"/>
    <cellStyle name="货币 2 2 2 6 6 6" xfId="35959" xr:uid="{00000000-0005-0000-0000-0000A78C0000}"/>
    <cellStyle name="货币 2 2 2 6 6 7" xfId="14418" xr:uid="{00000000-0005-0000-0000-000082380000}"/>
    <cellStyle name="货币 2 2 2 6 6 8" xfId="14446" xr:uid="{00000000-0005-0000-0000-00009E380000}"/>
    <cellStyle name="货币 2 2 2 6 6 9" xfId="14453" xr:uid="{00000000-0005-0000-0000-0000A5380000}"/>
    <cellStyle name="货币 2 2 2 6 7" xfId="23465" xr:uid="{00000000-0005-0000-0000-0000D95B0000}"/>
    <cellStyle name="货币 2 2 2 6 7 2" xfId="35962" xr:uid="{00000000-0005-0000-0000-0000AA8C0000}"/>
    <cellStyle name="货币 2 2 2 6 7 2 2" xfId="35963" xr:uid="{00000000-0005-0000-0000-0000AB8C0000}"/>
    <cellStyle name="货币 2 2 2 6 7 3" xfId="35964" xr:uid="{00000000-0005-0000-0000-0000AC8C0000}"/>
    <cellStyle name="货币 2 2 2 6 7 4" xfId="35965" xr:uid="{00000000-0005-0000-0000-0000AD8C0000}"/>
    <cellStyle name="货币 2 2 2 6 7 5" xfId="35966" xr:uid="{00000000-0005-0000-0000-0000AE8C0000}"/>
    <cellStyle name="货币 2 2 2 6 7 6" xfId="35967" xr:uid="{00000000-0005-0000-0000-0000AF8C0000}"/>
    <cellStyle name="货币 2 2 2 6 7 7" xfId="1487" xr:uid="{00000000-0005-0000-0000-0000FF050000}"/>
    <cellStyle name="货币 2 2 2 6 7 8" xfId="436" xr:uid="{00000000-0005-0000-0000-0000D0010000}"/>
    <cellStyle name="货币 2 2 2 6 7 9" xfId="1512" xr:uid="{00000000-0005-0000-0000-000018060000}"/>
    <cellStyle name="货币 2 2 2 6 8" xfId="31931" xr:uid="{00000000-0005-0000-0000-0000EB7C0000}"/>
    <cellStyle name="货币 2 2 2 6 8 2" xfId="35376" xr:uid="{00000000-0005-0000-0000-0000608A0000}"/>
    <cellStyle name="货币 2 2 2 6 8 3" xfId="16460" xr:uid="{00000000-0005-0000-0000-00007C400000}"/>
    <cellStyle name="货币 2 2 2 6 8 4" xfId="6364" xr:uid="{00000000-0005-0000-0000-00000C190000}"/>
    <cellStyle name="货币 2 2 2 6 8 5" xfId="35378" xr:uid="{00000000-0005-0000-0000-0000628A0000}"/>
    <cellStyle name="货币 2 2 2 6 8 6" xfId="35380" xr:uid="{00000000-0005-0000-0000-0000648A0000}"/>
    <cellStyle name="货币 2 2 2 6 9" xfId="35972" xr:uid="{00000000-0005-0000-0000-0000B48C0000}"/>
    <cellStyle name="货币 2 2 2 6 9 2" xfId="35974" xr:uid="{00000000-0005-0000-0000-0000B68C0000}"/>
    <cellStyle name="货币 2 2 2 6 9 3" xfId="35976" xr:uid="{00000000-0005-0000-0000-0000B88C0000}"/>
    <cellStyle name="货币 2 2 2 6 9 4" xfId="35978" xr:uid="{00000000-0005-0000-0000-0000BA8C0000}"/>
    <cellStyle name="货币 2 2 2 6 9 5" xfId="35979" xr:uid="{00000000-0005-0000-0000-0000BB8C0000}"/>
    <cellStyle name="货币 2 2 2 6 9 6" xfId="35980" xr:uid="{00000000-0005-0000-0000-0000BC8C0000}"/>
    <cellStyle name="货币 2 2 2 7" xfId="35981" xr:uid="{00000000-0005-0000-0000-0000BD8C0000}"/>
    <cellStyle name="货币 2 2 2 7 10" xfId="35982" xr:uid="{00000000-0005-0000-0000-0000BE8C0000}"/>
    <cellStyle name="货币 2 2 2 7 11" xfId="35983" xr:uid="{00000000-0005-0000-0000-0000BF8C0000}"/>
    <cellStyle name="货币 2 2 2 7 12" xfId="35984" xr:uid="{00000000-0005-0000-0000-0000C08C0000}"/>
    <cellStyle name="货币 2 2 2 7 13" xfId="30438" xr:uid="{00000000-0005-0000-0000-000016770000}"/>
    <cellStyle name="货币 2 2 2 7 14" xfId="30442" xr:uid="{00000000-0005-0000-0000-00001A770000}"/>
    <cellStyle name="货币 2 2 2 7 15" xfId="35985" xr:uid="{00000000-0005-0000-0000-0000C18C0000}"/>
    <cellStyle name="货币 2 2 2 7 16" xfId="35986" xr:uid="{00000000-0005-0000-0000-0000C28C0000}"/>
    <cellStyle name="货币 2 2 2 7 17" xfId="35987" xr:uid="{00000000-0005-0000-0000-0000C38C0000}"/>
    <cellStyle name="货币 2 2 2 7 18" xfId="35988" xr:uid="{00000000-0005-0000-0000-0000C48C0000}"/>
    <cellStyle name="货币 2 2 2 7 19" xfId="35989" xr:uid="{00000000-0005-0000-0000-0000C58C0000}"/>
    <cellStyle name="货币 2 2 2 7 2" xfId="35990" xr:uid="{00000000-0005-0000-0000-0000C68C0000}"/>
    <cellStyle name="货币 2 2 2 7 2 10" xfId="32574" xr:uid="{00000000-0005-0000-0000-00006E7F0000}"/>
    <cellStyle name="货币 2 2 2 7 2 11" xfId="35991" xr:uid="{00000000-0005-0000-0000-0000C78C0000}"/>
    <cellStyle name="货币 2 2 2 7 2 12" xfId="35992" xr:uid="{00000000-0005-0000-0000-0000C88C0000}"/>
    <cellStyle name="货币 2 2 2 7 2 13" xfId="35993" xr:uid="{00000000-0005-0000-0000-0000C98C0000}"/>
    <cellStyle name="货币 2 2 2 7 2 14" xfId="35994" xr:uid="{00000000-0005-0000-0000-0000CA8C0000}"/>
    <cellStyle name="货币 2 2 2 7 2 15" xfId="35995" xr:uid="{00000000-0005-0000-0000-0000CB8C0000}"/>
    <cellStyle name="货币 2 2 2 7 2 16" xfId="35996" xr:uid="{00000000-0005-0000-0000-0000CC8C0000}"/>
    <cellStyle name="货币 2 2 2 7 2 17" xfId="35998" xr:uid="{00000000-0005-0000-0000-0000CE8C0000}"/>
    <cellStyle name="货币 2 2 2 7 2 18" xfId="36001" xr:uid="{00000000-0005-0000-0000-0000D18C0000}"/>
    <cellStyle name="货币 2 2 2 7 2 2" xfId="15119" xr:uid="{00000000-0005-0000-0000-00003F3B0000}"/>
    <cellStyle name="货币 2 2 2 7 2 2 10" xfId="76" xr:uid="{00000000-0005-0000-0000-000050000000}"/>
    <cellStyle name="货币 2 2 2 7 2 2 2" xfId="36002" xr:uid="{00000000-0005-0000-0000-0000D28C0000}"/>
    <cellStyle name="货币 2 2 2 7 2 2 2 2" xfId="24459" xr:uid="{00000000-0005-0000-0000-0000BB5F0000}"/>
    <cellStyle name="货币 2 2 2 7 2 2 3" xfId="36004" xr:uid="{00000000-0005-0000-0000-0000D48C0000}"/>
    <cellStyle name="货币 2 2 2 7 2 2 4" xfId="36006" xr:uid="{00000000-0005-0000-0000-0000D68C0000}"/>
    <cellStyle name="货币 2 2 2 7 2 2 5" xfId="20269" xr:uid="{00000000-0005-0000-0000-00005D4F0000}"/>
    <cellStyle name="货币 2 2 2 7 2 2 6" xfId="20302" xr:uid="{00000000-0005-0000-0000-00007E4F0000}"/>
    <cellStyle name="货币 2 2 2 7 2 2 7" xfId="35" xr:uid="{00000000-0005-0000-0000-000026000000}"/>
    <cellStyle name="货币 2 2 2 7 2 2 8" xfId="20309" xr:uid="{00000000-0005-0000-0000-0000854F0000}"/>
    <cellStyle name="货币 2 2 2 7 2 2 9" xfId="20316" xr:uid="{00000000-0005-0000-0000-00008C4F0000}"/>
    <cellStyle name="货币 2 2 2 7 2 3" xfId="36007" xr:uid="{00000000-0005-0000-0000-0000D78C0000}"/>
    <cellStyle name="货币 2 2 2 7 2 3 2" xfId="22830" xr:uid="{00000000-0005-0000-0000-00005E590000}"/>
    <cellStyle name="货币 2 2 2 7 2 3 3" xfId="22833" xr:uid="{00000000-0005-0000-0000-000061590000}"/>
    <cellStyle name="货币 2 2 2 7 2 3 4" xfId="22835" xr:uid="{00000000-0005-0000-0000-000063590000}"/>
    <cellStyle name="货币 2 2 2 7 2 3 5" xfId="36008" xr:uid="{00000000-0005-0000-0000-0000D88C0000}"/>
    <cellStyle name="货币 2 2 2 7 2 3 6" xfId="36009" xr:uid="{00000000-0005-0000-0000-0000D98C0000}"/>
    <cellStyle name="货币 2 2 2 7 2 4" xfId="29264" xr:uid="{00000000-0005-0000-0000-000080720000}"/>
    <cellStyle name="货币 2 2 2 7 2 4 2" xfId="36010" xr:uid="{00000000-0005-0000-0000-0000DA8C0000}"/>
    <cellStyle name="货币 2 2 2 7 2 4 3" xfId="36011" xr:uid="{00000000-0005-0000-0000-0000DB8C0000}"/>
    <cellStyle name="货币 2 2 2 7 2 4 4" xfId="36012" xr:uid="{00000000-0005-0000-0000-0000DC8C0000}"/>
    <cellStyle name="货币 2 2 2 7 2 4 5" xfId="36013" xr:uid="{00000000-0005-0000-0000-0000DD8C0000}"/>
    <cellStyle name="货币 2 2 2 7 2 4 6" xfId="36014" xr:uid="{00000000-0005-0000-0000-0000DE8C0000}"/>
    <cellStyle name="货币 2 2 2 7 2 5" xfId="36015" xr:uid="{00000000-0005-0000-0000-0000DF8C0000}"/>
    <cellStyle name="货币 2 2 2 7 2 5 2" xfId="36017" xr:uid="{00000000-0005-0000-0000-0000E18C0000}"/>
    <cellStyle name="货币 2 2 2 7 2 5 3" xfId="22188" xr:uid="{00000000-0005-0000-0000-0000DC560000}"/>
    <cellStyle name="货币 2 2 2 7 2 5 4" xfId="36018" xr:uid="{00000000-0005-0000-0000-0000E28C0000}"/>
    <cellStyle name="货币 2 2 2 7 2 5 5" xfId="36019" xr:uid="{00000000-0005-0000-0000-0000E38C0000}"/>
    <cellStyle name="货币 2 2 2 7 2 5 6" xfId="36021" xr:uid="{00000000-0005-0000-0000-0000E58C0000}"/>
    <cellStyle name="货币 2 2 2 7 2 6" xfId="36022" xr:uid="{00000000-0005-0000-0000-0000E68C0000}"/>
    <cellStyle name="货币 2 2 2 7 2 6 2" xfId="17727" xr:uid="{00000000-0005-0000-0000-00006F450000}"/>
    <cellStyle name="货币 2 2 2 7 2 6 3" xfId="36024" xr:uid="{00000000-0005-0000-0000-0000E88C0000}"/>
    <cellStyle name="货币 2 2 2 7 2 6 4" xfId="36025" xr:uid="{00000000-0005-0000-0000-0000E98C0000}"/>
    <cellStyle name="货币 2 2 2 7 2 6 5" xfId="36026" xr:uid="{00000000-0005-0000-0000-0000EA8C0000}"/>
    <cellStyle name="货币 2 2 2 7 2 6 6" xfId="36027" xr:uid="{00000000-0005-0000-0000-0000EB8C0000}"/>
    <cellStyle name="货币 2 2 2 7 2 7" xfId="36028" xr:uid="{00000000-0005-0000-0000-0000EC8C0000}"/>
    <cellStyle name="货币 2 2 2 7 2 8" xfId="36029" xr:uid="{00000000-0005-0000-0000-0000ED8C0000}"/>
    <cellStyle name="货币 2 2 2 7 2 9" xfId="36030" xr:uid="{00000000-0005-0000-0000-0000EE8C0000}"/>
    <cellStyle name="货币 2 2 2 7 3" xfId="25968" xr:uid="{00000000-0005-0000-0000-0000A0650000}"/>
    <cellStyle name="货币 2 2 2 7 3 10" xfId="36031" xr:uid="{00000000-0005-0000-0000-0000EF8C0000}"/>
    <cellStyle name="货币 2 2 2 7 3 11" xfId="36032" xr:uid="{00000000-0005-0000-0000-0000F08C0000}"/>
    <cellStyle name="货币 2 2 2 7 3 12" xfId="36033" xr:uid="{00000000-0005-0000-0000-0000F18C0000}"/>
    <cellStyle name="货币 2 2 2 7 3 2" xfId="21077" xr:uid="{00000000-0005-0000-0000-000085520000}"/>
    <cellStyle name="货币 2 2 2 7 3 2 2" xfId="36034" xr:uid="{00000000-0005-0000-0000-0000F28C0000}"/>
    <cellStyle name="货币 2 2 2 7 3 2 2 2" xfId="24671" xr:uid="{00000000-0005-0000-0000-00008F600000}"/>
    <cellStyle name="货币 2 2 2 7 3 2 3" xfId="36035" xr:uid="{00000000-0005-0000-0000-0000F38C0000}"/>
    <cellStyle name="货币 2 2 2 7 3 2 4" xfId="36036" xr:uid="{00000000-0005-0000-0000-0000F48C0000}"/>
    <cellStyle name="货币 2 2 2 7 3 2 5" xfId="36037" xr:uid="{00000000-0005-0000-0000-0000F58C0000}"/>
    <cellStyle name="货币 2 2 2 7 3 3" xfId="32900" xr:uid="{00000000-0005-0000-0000-0000B4800000}"/>
    <cellStyle name="货币 2 2 2 7 3 3 2" xfId="36038" xr:uid="{00000000-0005-0000-0000-0000F68C0000}"/>
    <cellStyle name="货币 2 2 2 7 3 4" xfId="32902" xr:uid="{00000000-0005-0000-0000-0000B6800000}"/>
    <cellStyle name="货币 2 2 2 7 3 5" xfId="32904" xr:uid="{00000000-0005-0000-0000-0000B8800000}"/>
    <cellStyle name="货币 2 2 2 7 3 6" xfId="36039" xr:uid="{00000000-0005-0000-0000-0000F78C0000}"/>
    <cellStyle name="货币 2 2 2 7 3 7" xfId="36040" xr:uid="{00000000-0005-0000-0000-0000F88C0000}"/>
    <cellStyle name="货币 2 2 2 7 3 8" xfId="36041" xr:uid="{00000000-0005-0000-0000-0000F98C0000}"/>
    <cellStyle name="货币 2 2 2 7 3 9" xfId="36042" xr:uid="{00000000-0005-0000-0000-0000FA8C0000}"/>
    <cellStyle name="货币 2 2 2 7 4" xfId="36043" xr:uid="{00000000-0005-0000-0000-0000FB8C0000}"/>
    <cellStyle name="货币 2 2 2 7 4 10" xfId="9800" xr:uid="{00000000-0005-0000-0000-000078260000}"/>
    <cellStyle name="货币 2 2 2 7 4 11" xfId="9810" xr:uid="{00000000-0005-0000-0000-000082260000}"/>
    <cellStyle name="货币 2 2 2 7 4 2" xfId="21189" xr:uid="{00000000-0005-0000-0000-0000F5520000}"/>
    <cellStyle name="货币 2 2 2 7 4 2 2" xfId="36044" xr:uid="{00000000-0005-0000-0000-0000FC8C0000}"/>
    <cellStyle name="货币 2 2 2 7 4 2 2 2" xfId="24942" xr:uid="{00000000-0005-0000-0000-00009E610000}"/>
    <cellStyle name="货币 2 2 2 7 4 2 3" xfId="1872" xr:uid="{00000000-0005-0000-0000-000080070000}"/>
    <cellStyle name="货币 2 2 2 7 4 2 4" xfId="1948" xr:uid="{00000000-0005-0000-0000-0000CC070000}"/>
    <cellStyle name="货币 2 2 2 7 4 2 5" xfId="1889" xr:uid="{00000000-0005-0000-0000-000091070000}"/>
    <cellStyle name="货币 2 2 2 7 4 3" xfId="32912" xr:uid="{00000000-0005-0000-0000-0000C0800000}"/>
    <cellStyle name="货币 2 2 2 7 4 3 2" xfId="36045" xr:uid="{00000000-0005-0000-0000-0000FD8C0000}"/>
    <cellStyle name="货币 2 2 2 7 4 4" xfId="32914" xr:uid="{00000000-0005-0000-0000-0000C2800000}"/>
    <cellStyle name="货币 2 2 2 7 4 5" xfId="32916" xr:uid="{00000000-0005-0000-0000-0000C4800000}"/>
    <cellStyle name="货币 2 2 2 7 4 6" xfId="36046" xr:uid="{00000000-0005-0000-0000-0000FE8C0000}"/>
    <cellStyle name="货币 2 2 2 7 4 7" xfId="36047" xr:uid="{00000000-0005-0000-0000-0000FF8C0000}"/>
    <cellStyle name="货币 2 2 2 7 4 8" xfId="36048" xr:uid="{00000000-0005-0000-0000-0000008D0000}"/>
    <cellStyle name="货币 2 2 2 7 4 9" xfId="36049" xr:uid="{00000000-0005-0000-0000-0000018D0000}"/>
    <cellStyle name="货币 2 2 2 7 5" xfId="36050" xr:uid="{00000000-0005-0000-0000-0000028D0000}"/>
    <cellStyle name="货币 2 2 2 7 5 10" xfId="26643" xr:uid="{00000000-0005-0000-0000-000043680000}"/>
    <cellStyle name="货币 2 2 2 7 5 2" xfId="32934" xr:uid="{00000000-0005-0000-0000-0000D6800000}"/>
    <cellStyle name="货币 2 2 2 7 5 2 2" xfId="36051" xr:uid="{00000000-0005-0000-0000-0000038D0000}"/>
    <cellStyle name="货币 2 2 2 7 5 2 2 2" xfId="36052" xr:uid="{00000000-0005-0000-0000-0000048D0000}"/>
    <cellStyle name="货币 2 2 2 7 5 2 3" xfId="5796" xr:uid="{00000000-0005-0000-0000-0000D4160000}"/>
    <cellStyle name="货币 2 2 2 7 5 2 4" xfId="36053" xr:uid="{00000000-0005-0000-0000-0000058D0000}"/>
    <cellStyle name="货币 2 2 2 7 5 2 5" xfId="36054" xr:uid="{00000000-0005-0000-0000-0000068D0000}"/>
    <cellStyle name="货币 2 2 2 7 5 3" xfId="32935" xr:uid="{00000000-0005-0000-0000-0000D7800000}"/>
    <cellStyle name="货币 2 2 2 7 5 3 2" xfId="14951" xr:uid="{00000000-0005-0000-0000-0000973A0000}"/>
    <cellStyle name="货币 2 2 2 7 5 4" xfId="32938" xr:uid="{00000000-0005-0000-0000-0000DA800000}"/>
    <cellStyle name="货币 2 2 2 7 5 5" xfId="32941" xr:uid="{00000000-0005-0000-0000-0000DD800000}"/>
    <cellStyle name="货币 2 2 2 7 5 6" xfId="36055" xr:uid="{00000000-0005-0000-0000-0000078D0000}"/>
    <cellStyle name="货币 2 2 2 7 5 7" xfId="36056" xr:uid="{00000000-0005-0000-0000-0000088D0000}"/>
    <cellStyle name="货币 2 2 2 7 5 8" xfId="36057" xr:uid="{00000000-0005-0000-0000-0000098D0000}"/>
    <cellStyle name="货币 2 2 2 7 5 9" xfId="36058" xr:uid="{00000000-0005-0000-0000-00000A8D0000}"/>
    <cellStyle name="货币 2 2 2 7 6" xfId="36059" xr:uid="{00000000-0005-0000-0000-00000B8D0000}"/>
    <cellStyle name="货币 2 2 2 7 6 2" xfId="32953" xr:uid="{00000000-0005-0000-0000-0000E9800000}"/>
    <cellStyle name="货币 2 2 2 7 6 2 2" xfId="36060" xr:uid="{00000000-0005-0000-0000-00000C8D0000}"/>
    <cellStyle name="货币 2 2 2 7 6 3" xfId="32957" xr:uid="{00000000-0005-0000-0000-0000ED800000}"/>
    <cellStyle name="货币 2 2 2 7 6 4" xfId="32960" xr:uid="{00000000-0005-0000-0000-0000F0800000}"/>
    <cellStyle name="货币 2 2 2 7 6 5" xfId="32963" xr:uid="{00000000-0005-0000-0000-0000F3800000}"/>
    <cellStyle name="货币 2 2 2 7 6 6" xfId="36062" xr:uid="{00000000-0005-0000-0000-00000E8D0000}"/>
    <cellStyle name="货币 2 2 2 7 6 7" xfId="2332" xr:uid="{00000000-0005-0000-0000-00004C090000}"/>
    <cellStyle name="货币 2 2 2 7 6 8" xfId="14576" xr:uid="{00000000-0005-0000-0000-000020390000}"/>
    <cellStyle name="货币 2 2 2 7 6 9" xfId="14580" xr:uid="{00000000-0005-0000-0000-000024390000}"/>
    <cellStyle name="货币 2 2 2 7 7" xfId="36065" xr:uid="{00000000-0005-0000-0000-0000118D0000}"/>
    <cellStyle name="货币 2 2 2 7 7 2" xfId="32971" xr:uid="{00000000-0005-0000-0000-0000FB800000}"/>
    <cellStyle name="货币 2 2 2 7 7 3" xfId="32974" xr:uid="{00000000-0005-0000-0000-0000FE800000}"/>
    <cellStyle name="货币 2 2 2 7 7 4" xfId="32977" xr:uid="{00000000-0005-0000-0000-000001810000}"/>
    <cellStyle name="货币 2 2 2 7 7 5" xfId="32980" xr:uid="{00000000-0005-0000-0000-000004810000}"/>
    <cellStyle name="货币 2 2 2 7 7 6" xfId="36066" xr:uid="{00000000-0005-0000-0000-0000128D0000}"/>
    <cellStyle name="货币 2 2 2 7 8" xfId="36067" xr:uid="{00000000-0005-0000-0000-0000138D0000}"/>
    <cellStyle name="货币 2 2 2 7 9" xfId="36068" xr:uid="{00000000-0005-0000-0000-0000148D0000}"/>
    <cellStyle name="货币 2 2 2 8" xfId="36069" xr:uid="{00000000-0005-0000-0000-0000158D0000}"/>
    <cellStyle name="货币 2 2 2 8 10" xfId="36070" xr:uid="{00000000-0005-0000-0000-0000168D0000}"/>
    <cellStyle name="货币 2 2 2 8 11" xfId="36072" xr:uid="{00000000-0005-0000-0000-0000188D0000}"/>
    <cellStyle name="货币 2 2 2 8 12" xfId="36074" xr:uid="{00000000-0005-0000-0000-00001A8D0000}"/>
    <cellStyle name="货币 2 2 2 8 13" xfId="36076" xr:uid="{00000000-0005-0000-0000-00001C8D0000}"/>
    <cellStyle name="货币 2 2 2 8 14" xfId="36079" xr:uid="{00000000-0005-0000-0000-00001F8D0000}"/>
    <cellStyle name="货币 2 2 2 8 15" xfId="36081" xr:uid="{00000000-0005-0000-0000-0000218D0000}"/>
    <cellStyle name="货币 2 2 2 8 16" xfId="36082" xr:uid="{00000000-0005-0000-0000-0000228D0000}"/>
    <cellStyle name="货币 2 2 2 8 17" xfId="36083" xr:uid="{00000000-0005-0000-0000-0000238D0000}"/>
    <cellStyle name="货币 2 2 2 8 18" xfId="36084" xr:uid="{00000000-0005-0000-0000-0000248D0000}"/>
    <cellStyle name="货币 2 2 2 8 2" xfId="36085" xr:uid="{00000000-0005-0000-0000-0000258D0000}"/>
    <cellStyle name="货币 2 2 2 8 2 10" xfId="36086" xr:uid="{00000000-0005-0000-0000-0000268D0000}"/>
    <cellStyle name="货币 2 2 2 8 2 2" xfId="10042" xr:uid="{00000000-0005-0000-0000-00006A270000}"/>
    <cellStyle name="货币 2 2 2 8 2 2 2" xfId="29686" xr:uid="{00000000-0005-0000-0000-000026740000}"/>
    <cellStyle name="货币 2 2 2 8 2 3" xfId="25942" xr:uid="{00000000-0005-0000-0000-000086650000}"/>
    <cellStyle name="货币 2 2 2 8 2 4" xfId="25945" xr:uid="{00000000-0005-0000-0000-000089650000}"/>
    <cellStyle name="货币 2 2 2 8 2 5" xfId="9591" xr:uid="{00000000-0005-0000-0000-0000A7250000}"/>
    <cellStyle name="货币 2 2 2 8 2 6" xfId="9600" xr:uid="{00000000-0005-0000-0000-0000B0250000}"/>
    <cellStyle name="货币 2 2 2 8 2 7" xfId="9611" xr:uid="{00000000-0005-0000-0000-0000BB250000}"/>
    <cellStyle name="货币 2 2 2 8 2 8" xfId="3946" xr:uid="{00000000-0005-0000-0000-00009A0F0000}"/>
    <cellStyle name="货币 2 2 2 8 2 9" xfId="9624" xr:uid="{00000000-0005-0000-0000-0000C8250000}"/>
    <cellStyle name="货币 2 2 2 8 3" xfId="36087" xr:uid="{00000000-0005-0000-0000-0000278D0000}"/>
    <cellStyle name="货币 2 2 2 8 3 2" xfId="33021" xr:uid="{00000000-0005-0000-0000-00002D810000}"/>
    <cellStyle name="货币 2 2 2 8 3 3" xfId="33023" xr:uid="{00000000-0005-0000-0000-00002F810000}"/>
    <cellStyle name="货币 2 2 2 8 3 4" xfId="20470" xr:uid="{00000000-0005-0000-0000-000026500000}"/>
    <cellStyle name="货币 2 2 2 8 3 5" xfId="11863" xr:uid="{00000000-0005-0000-0000-0000872E0000}"/>
    <cellStyle name="货币 2 2 2 8 3 6" xfId="11875" xr:uid="{00000000-0005-0000-0000-0000932E0000}"/>
    <cellStyle name="货币 2 2 2 8 4" xfId="36088" xr:uid="{00000000-0005-0000-0000-0000288D0000}"/>
    <cellStyle name="货币 2 2 2 8 4 2" xfId="33029" xr:uid="{00000000-0005-0000-0000-000035810000}"/>
    <cellStyle name="货币 2 2 2 8 4 3" xfId="36089" xr:uid="{00000000-0005-0000-0000-0000298D0000}"/>
    <cellStyle name="货币 2 2 2 8 4 4" xfId="36090" xr:uid="{00000000-0005-0000-0000-00002A8D0000}"/>
    <cellStyle name="货币 2 2 2 8 4 5" xfId="6969" xr:uid="{00000000-0005-0000-0000-0000691B0000}"/>
    <cellStyle name="货币 2 2 2 8 4 6" xfId="11203" xr:uid="{00000000-0005-0000-0000-0000F32B0000}"/>
    <cellStyle name="货币 2 2 2 8 5" xfId="36091" xr:uid="{00000000-0005-0000-0000-00002B8D0000}"/>
    <cellStyle name="货币 2 2 2 8 5 2" xfId="33042" xr:uid="{00000000-0005-0000-0000-000042810000}"/>
    <cellStyle name="货币 2 2 2 8 5 3" xfId="36092" xr:uid="{00000000-0005-0000-0000-00002C8D0000}"/>
    <cellStyle name="货币 2 2 2 8 5 4" xfId="36093" xr:uid="{00000000-0005-0000-0000-00002D8D0000}"/>
    <cellStyle name="货币 2 2 2 8 5 5" xfId="36094" xr:uid="{00000000-0005-0000-0000-00002E8D0000}"/>
    <cellStyle name="货币 2 2 2 8 5 6" xfId="12396" xr:uid="{00000000-0005-0000-0000-00009C300000}"/>
    <cellStyle name="货币 2 2 2 8 6" xfId="36095" xr:uid="{00000000-0005-0000-0000-00002F8D0000}"/>
    <cellStyle name="货币 2 2 2 8 6 2" xfId="33051" xr:uid="{00000000-0005-0000-0000-00004B810000}"/>
    <cellStyle name="货币 2 2 2 8 6 3" xfId="36097" xr:uid="{00000000-0005-0000-0000-0000318D0000}"/>
    <cellStyle name="货币 2 2 2 8 6 4" xfId="36099" xr:uid="{00000000-0005-0000-0000-0000338D0000}"/>
    <cellStyle name="货币 2 2 2 8 6 5" xfId="36101" xr:uid="{00000000-0005-0000-0000-0000358D0000}"/>
    <cellStyle name="货币 2 2 2 8 6 6" xfId="12487" xr:uid="{00000000-0005-0000-0000-0000F7300000}"/>
    <cellStyle name="货币 2 2 2 8 7" xfId="36102" xr:uid="{00000000-0005-0000-0000-0000368D0000}"/>
    <cellStyle name="货币 2 2 2 8 8" xfId="36103" xr:uid="{00000000-0005-0000-0000-0000378D0000}"/>
    <cellStyle name="货币 2 2 2 8 9" xfId="36104" xr:uid="{00000000-0005-0000-0000-0000388D0000}"/>
    <cellStyle name="货币 2 2 2 9" xfId="36105" xr:uid="{00000000-0005-0000-0000-0000398D0000}"/>
    <cellStyle name="货币 2 2 2 9 10" xfId="14967" xr:uid="{00000000-0005-0000-0000-0000A73A0000}"/>
    <cellStyle name="货币 2 2 2 9 11" xfId="14972" xr:uid="{00000000-0005-0000-0000-0000AC3A0000}"/>
    <cellStyle name="货币 2 2 2 9 12" xfId="14976" xr:uid="{00000000-0005-0000-0000-0000B03A0000}"/>
    <cellStyle name="货币 2 2 2 9 13" xfId="31252" xr:uid="{00000000-0005-0000-0000-0000447A0000}"/>
    <cellStyle name="货币 2 2 2 9 14" xfId="31256" xr:uid="{00000000-0005-0000-0000-0000487A0000}"/>
    <cellStyle name="货币 2 2 2 9 15" xfId="31259" xr:uid="{00000000-0005-0000-0000-00004B7A0000}"/>
    <cellStyle name="货币 2 2 2 9 16" xfId="36106" xr:uid="{00000000-0005-0000-0000-00003A8D0000}"/>
    <cellStyle name="货币 2 2 2 9 17" xfId="36107" xr:uid="{00000000-0005-0000-0000-00003B8D0000}"/>
    <cellStyle name="货币 2 2 2 9 18" xfId="36108" xr:uid="{00000000-0005-0000-0000-00003C8D0000}"/>
    <cellStyle name="货币 2 2 2 9 2" xfId="31194" xr:uid="{00000000-0005-0000-0000-00000A7A0000}"/>
    <cellStyle name="货币 2 2 2 9 2 10" xfId="14093" xr:uid="{00000000-0005-0000-0000-00003D370000}"/>
    <cellStyle name="货币 2 2 2 9 2 2" xfId="36109" xr:uid="{00000000-0005-0000-0000-00003D8D0000}"/>
    <cellStyle name="货币 2 2 2 9 2 2 2" xfId="36111" xr:uid="{00000000-0005-0000-0000-00003F8D0000}"/>
    <cellStyle name="货币 2 2 2 9 2 3" xfId="36112" xr:uid="{00000000-0005-0000-0000-0000408D0000}"/>
    <cellStyle name="货币 2 2 2 9 2 4" xfId="36113" xr:uid="{00000000-0005-0000-0000-0000418D0000}"/>
    <cellStyle name="货币 2 2 2 9 2 5" xfId="6350" xr:uid="{00000000-0005-0000-0000-0000FE180000}"/>
    <cellStyle name="货币 2 2 2 9 2 6" xfId="6365" xr:uid="{00000000-0005-0000-0000-00000D190000}"/>
    <cellStyle name="货币 2 2 2 9 2 7" xfId="11916" xr:uid="{00000000-0005-0000-0000-0000BC2E0000}"/>
    <cellStyle name="货币 2 2 2 9 2 8" xfId="4031" xr:uid="{00000000-0005-0000-0000-0000EF0F0000}"/>
    <cellStyle name="货币 2 2 2 9 2 9" xfId="1289" xr:uid="{00000000-0005-0000-0000-000039050000}"/>
    <cellStyle name="货币 2 2 2 9 3" xfId="31198" xr:uid="{00000000-0005-0000-0000-00000E7A0000}"/>
    <cellStyle name="货币 2 2 2 9 3 2" xfId="33071" xr:uid="{00000000-0005-0000-0000-00005F810000}"/>
    <cellStyle name="货币 2 2 2 9 3 3" xfId="33074" xr:uid="{00000000-0005-0000-0000-000062810000}"/>
    <cellStyle name="货币 2 2 2 9 3 4" xfId="33077" xr:uid="{00000000-0005-0000-0000-000065810000}"/>
    <cellStyle name="货币 2 2 2 9 3 5" xfId="11927" xr:uid="{00000000-0005-0000-0000-0000C72E0000}"/>
    <cellStyle name="货币 2 2 2 9 3 6" xfId="11933" xr:uid="{00000000-0005-0000-0000-0000CD2E0000}"/>
    <cellStyle name="货币 2 2 2 9 4" xfId="31202" xr:uid="{00000000-0005-0000-0000-0000127A0000}"/>
    <cellStyle name="货币 2 2 2 9 4 2" xfId="33083" xr:uid="{00000000-0005-0000-0000-00006B810000}"/>
    <cellStyle name="货币 2 2 2 9 4 3" xfId="36114" xr:uid="{00000000-0005-0000-0000-0000428D0000}"/>
    <cellStyle name="货币 2 2 2 9 4 4" xfId="36115" xr:uid="{00000000-0005-0000-0000-0000438D0000}"/>
    <cellStyle name="货币 2 2 2 9 4 5" xfId="36116" xr:uid="{00000000-0005-0000-0000-0000448D0000}"/>
    <cellStyle name="货币 2 2 2 9 4 6" xfId="15932" xr:uid="{00000000-0005-0000-0000-00006C3E0000}"/>
    <cellStyle name="货币 2 2 2 9 5" xfId="31205" xr:uid="{00000000-0005-0000-0000-0000157A0000}"/>
    <cellStyle name="货币 2 2 2 9 5 2" xfId="36117" xr:uid="{00000000-0005-0000-0000-0000458D0000}"/>
    <cellStyle name="货币 2 2 2 9 5 3" xfId="36118" xr:uid="{00000000-0005-0000-0000-0000468D0000}"/>
    <cellStyle name="货币 2 2 2 9 5 4" xfId="36119" xr:uid="{00000000-0005-0000-0000-0000478D0000}"/>
    <cellStyle name="货币 2 2 2 9 5 5" xfId="36120" xr:uid="{00000000-0005-0000-0000-0000488D0000}"/>
    <cellStyle name="货币 2 2 2 9 5 6" xfId="9189" xr:uid="{00000000-0005-0000-0000-000015240000}"/>
    <cellStyle name="货币 2 2 2 9 6" xfId="31208" xr:uid="{00000000-0005-0000-0000-0000187A0000}"/>
    <cellStyle name="货币 2 2 2 9 6 2" xfId="36121" xr:uid="{00000000-0005-0000-0000-0000498D0000}"/>
    <cellStyle name="货币 2 2 2 9 6 3" xfId="36122" xr:uid="{00000000-0005-0000-0000-00004A8D0000}"/>
    <cellStyle name="货币 2 2 2 9 6 4" xfId="36123" xr:uid="{00000000-0005-0000-0000-00004B8D0000}"/>
    <cellStyle name="货币 2 2 2 9 6 5" xfId="36124" xr:uid="{00000000-0005-0000-0000-00004C8D0000}"/>
    <cellStyle name="货币 2 2 2 9 6 6" xfId="8373" xr:uid="{00000000-0005-0000-0000-0000E5200000}"/>
    <cellStyle name="货币 2 2 2 9 7" xfId="31217" xr:uid="{00000000-0005-0000-0000-0000217A0000}"/>
    <cellStyle name="货币 2 2 2 9 8" xfId="31221" xr:uid="{00000000-0005-0000-0000-0000257A0000}"/>
    <cellStyle name="货币 2 2 2 9 9" xfId="31225" xr:uid="{00000000-0005-0000-0000-0000297A0000}"/>
    <cellStyle name="货币 2 2 20" xfId="24907" xr:uid="{00000000-0005-0000-0000-00007B610000}"/>
    <cellStyle name="货币 2 2 20 2" xfId="34053" xr:uid="{00000000-0005-0000-0000-000035850000}"/>
    <cellStyle name="货币 2 2 20 3" xfId="34061" xr:uid="{00000000-0005-0000-0000-00003D850000}"/>
    <cellStyle name="货币 2 2 20 4" xfId="34066" xr:uid="{00000000-0005-0000-0000-000042850000}"/>
    <cellStyle name="货币 2 2 20 5" xfId="34069" xr:uid="{00000000-0005-0000-0000-000045850000}"/>
    <cellStyle name="货币 2 2 20 6" xfId="34071" xr:uid="{00000000-0005-0000-0000-000047850000}"/>
    <cellStyle name="货币 2 2 21" xfId="24910" xr:uid="{00000000-0005-0000-0000-00007E610000}"/>
    <cellStyle name="货币 2 2 22" xfId="24914" xr:uid="{00000000-0005-0000-0000-000082610000}"/>
    <cellStyle name="货币 2 2 23" xfId="24917" xr:uid="{00000000-0005-0000-0000-000085610000}"/>
    <cellStyle name="货币 2 2 24" xfId="24921" xr:uid="{00000000-0005-0000-0000-000089610000}"/>
    <cellStyle name="货币 2 2 25" xfId="30019" xr:uid="{00000000-0005-0000-0000-000073750000}"/>
    <cellStyle name="货币 2 2 26" xfId="36126" xr:uid="{00000000-0005-0000-0000-00004E8D0000}"/>
    <cellStyle name="货币 2 2 27" xfId="36129" xr:uid="{00000000-0005-0000-0000-0000518D0000}"/>
    <cellStyle name="货币 2 2 28" xfId="36132" xr:uid="{00000000-0005-0000-0000-0000548D0000}"/>
    <cellStyle name="货币 2 2 29" xfId="29154" xr:uid="{00000000-0005-0000-0000-000012720000}"/>
    <cellStyle name="货币 2 2 3" xfId="5819" xr:uid="{00000000-0005-0000-0000-0000EB160000}"/>
    <cellStyle name="货币 2 2 3 10" xfId="18170" xr:uid="{00000000-0005-0000-0000-00002A470000}"/>
    <cellStyle name="货币 2 2 3 10 10" xfId="35337" xr:uid="{00000000-0005-0000-0000-0000398A0000}"/>
    <cellStyle name="货币 2 2 3 10 11" xfId="36135" xr:uid="{00000000-0005-0000-0000-0000578D0000}"/>
    <cellStyle name="货币 2 2 3 10 12" xfId="5645" xr:uid="{00000000-0005-0000-0000-00003D160000}"/>
    <cellStyle name="货币 2 2 3 10 13" xfId="814" xr:uid="{00000000-0005-0000-0000-00005E030000}"/>
    <cellStyle name="货币 2 2 3 10 14" xfId="859" xr:uid="{00000000-0005-0000-0000-00008B030000}"/>
    <cellStyle name="货币 2 2 3 10 15" xfId="890" xr:uid="{00000000-0005-0000-0000-0000AA030000}"/>
    <cellStyle name="货币 2 2 3 10 2" xfId="13988" xr:uid="{00000000-0005-0000-0000-0000D4360000}"/>
    <cellStyle name="货币 2 2 3 10 2 2" xfId="36136" xr:uid="{00000000-0005-0000-0000-0000588D0000}"/>
    <cellStyle name="货币 2 2 3 10 2 2 2" xfId="15790" xr:uid="{00000000-0005-0000-0000-0000DE3D0000}"/>
    <cellStyle name="货币 2 2 3 10 2 3" xfId="36137" xr:uid="{00000000-0005-0000-0000-0000598D0000}"/>
    <cellStyle name="货币 2 2 3 10 2 4" xfId="36138" xr:uid="{00000000-0005-0000-0000-00005A8D0000}"/>
    <cellStyle name="货币 2 2 3 10 2 5" xfId="36140" xr:uid="{00000000-0005-0000-0000-00005C8D0000}"/>
    <cellStyle name="货币 2 2 3 10 2 6" xfId="36142" xr:uid="{00000000-0005-0000-0000-00005E8D0000}"/>
    <cellStyle name="货币 2 2 3 10 2 7" xfId="36144" xr:uid="{00000000-0005-0000-0000-0000608D0000}"/>
    <cellStyle name="货币 2 2 3 10 2 8" xfId="36146" xr:uid="{00000000-0005-0000-0000-0000628D0000}"/>
    <cellStyle name="货币 2 2 3 10 2 9" xfId="24341" xr:uid="{00000000-0005-0000-0000-0000455F0000}"/>
    <cellStyle name="货币 2 2 3 10 3" xfId="36148" xr:uid="{00000000-0005-0000-0000-0000648D0000}"/>
    <cellStyle name="货币 2 2 3 10 3 2" xfId="36149" xr:uid="{00000000-0005-0000-0000-0000658D0000}"/>
    <cellStyle name="货币 2 2 3 10 3 3" xfId="36151" xr:uid="{00000000-0005-0000-0000-0000678D0000}"/>
    <cellStyle name="货币 2 2 3 10 3 4" xfId="36153" xr:uid="{00000000-0005-0000-0000-0000698D0000}"/>
    <cellStyle name="货币 2 2 3 10 3 5" xfId="36156" xr:uid="{00000000-0005-0000-0000-00006C8D0000}"/>
    <cellStyle name="货币 2 2 3 10 3 6" xfId="36158" xr:uid="{00000000-0005-0000-0000-00006E8D0000}"/>
    <cellStyle name="货币 2 2 3 10 4" xfId="36160" xr:uid="{00000000-0005-0000-0000-0000708D0000}"/>
    <cellStyle name="货币 2 2 3 10 4 2" xfId="26618" xr:uid="{00000000-0005-0000-0000-00002A680000}"/>
    <cellStyle name="货币 2 2 3 10 5" xfId="36162" xr:uid="{00000000-0005-0000-0000-0000728D0000}"/>
    <cellStyle name="货币 2 2 3 10 6" xfId="36164" xr:uid="{00000000-0005-0000-0000-0000748D0000}"/>
    <cellStyle name="货币 2 2 3 10 7" xfId="36166" xr:uid="{00000000-0005-0000-0000-0000768D0000}"/>
    <cellStyle name="货币 2 2 3 10 8" xfId="36167" xr:uid="{00000000-0005-0000-0000-0000778D0000}"/>
    <cellStyle name="货币 2 2 3 10 9" xfId="36168" xr:uid="{00000000-0005-0000-0000-0000788D0000}"/>
    <cellStyle name="货币 2 2 3 11" xfId="18173" xr:uid="{00000000-0005-0000-0000-00002D470000}"/>
    <cellStyle name="货币 2 2 3 11 10" xfId="36169" xr:uid="{00000000-0005-0000-0000-0000798D0000}"/>
    <cellStyle name="货币 2 2 3 11 11" xfId="36170" xr:uid="{00000000-0005-0000-0000-00007A8D0000}"/>
    <cellStyle name="货币 2 2 3 11 12" xfId="36171" xr:uid="{00000000-0005-0000-0000-00007B8D0000}"/>
    <cellStyle name="货币 2 2 3 11 13" xfId="36172" xr:uid="{00000000-0005-0000-0000-00007C8D0000}"/>
    <cellStyle name="货币 2 2 3 11 14" xfId="15231" xr:uid="{00000000-0005-0000-0000-0000AF3B0000}"/>
    <cellStyle name="货币 2 2 3 11 2" xfId="13999" xr:uid="{00000000-0005-0000-0000-0000DF360000}"/>
    <cellStyle name="货币 2 2 3 11 2 2" xfId="36173" xr:uid="{00000000-0005-0000-0000-00007D8D0000}"/>
    <cellStyle name="货币 2 2 3 11 2 2 2" xfId="17645" xr:uid="{00000000-0005-0000-0000-00001D450000}"/>
    <cellStyle name="货币 2 2 3 11 2 3" xfId="36174" xr:uid="{00000000-0005-0000-0000-00007E8D0000}"/>
    <cellStyle name="货币 2 2 3 11 2 4" xfId="36175" xr:uid="{00000000-0005-0000-0000-00007F8D0000}"/>
    <cellStyle name="货币 2 2 3 11 2 5" xfId="34314" xr:uid="{00000000-0005-0000-0000-00003A860000}"/>
    <cellStyle name="货币 2 2 3 11 2 6" xfId="34318" xr:uid="{00000000-0005-0000-0000-00003E860000}"/>
    <cellStyle name="货币 2 2 3 11 2 7" xfId="34322" xr:uid="{00000000-0005-0000-0000-000042860000}"/>
    <cellStyle name="货币 2 2 3 11 2 8" xfId="20358" xr:uid="{00000000-0005-0000-0000-0000B64F0000}"/>
    <cellStyle name="货币 2 2 3 11 2 9" xfId="20369" xr:uid="{00000000-0005-0000-0000-0000C14F0000}"/>
    <cellStyle name="货币 2 2 3 11 3" xfId="28754" xr:uid="{00000000-0005-0000-0000-000082700000}"/>
    <cellStyle name="货币 2 2 3 11 3 2" xfId="28764" xr:uid="{00000000-0005-0000-0000-00008C700000}"/>
    <cellStyle name="货币 2 2 3 11 3 3" xfId="28794" xr:uid="{00000000-0005-0000-0000-0000AA700000}"/>
    <cellStyle name="货币 2 2 3 11 3 4" xfId="28797" xr:uid="{00000000-0005-0000-0000-0000AD700000}"/>
    <cellStyle name="货币 2 2 3 11 3 5" xfId="28832" xr:uid="{00000000-0005-0000-0000-0000D0700000}"/>
    <cellStyle name="货币 2 2 3 11 3 6" xfId="28863" xr:uid="{00000000-0005-0000-0000-0000EF700000}"/>
    <cellStyle name="货币 2 2 3 11 4" xfId="28880" xr:uid="{00000000-0005-0000-0000-000000710000}"/>
    <cellStyle name="货币 2 2 3 11 4 2" xfId="26650" xr:uid="{00000000-0005-0000-0000-00004A680000}"/>
    <cellStyle name="货币 2 2 3 11 5" xfId="28882" xr:uid="{00000000-0005-0000-0000-000002710000}"/>
    <cellStyle name="货币 2 2 3 11 6" xfId="28929" xr:uid="{00000000-0005-0000-0000-000031710000}"/>
    <cellStyle name="货币 2 2 3 11 7" xfId="28982" xr:uid="{00000000-0005-0000-0000-000066710000}"/>
    <cellStyle name="货币 2 2 3 11 8" xfId="29023" xr:uid="{00000000-0005-0000-0000-00008F710000}"/>
    <cellStyle name="货币 2 2 3 11 9" xfId="29045" xr:uid="{00000000-0005-0000-0000-0000A5710000}"/>
    <cellStyle name="货币 2 2 3 12" xfId="6091" xr:uid="{00000000-0005-0000-0000-0000FB170000}"/>
    <cellStyle name="货币 2 2 3 12 10" xfId="36154" xr:uid="{00000000-0005-0000-0000-00006A8D0000}"/>
    <cellStyle name="货币 2 2 3 12 2" xfId="6106" xr:uid="{00000000-0005-0000-0000-00000A180000}"/>
    <cellStyle name="货币 2 2 3 12 2 2" xfId="21935" xr:uid="{00000000-0005-0000-0000-0000DF550000}"/>
    <cellStyle name="货币 2 2 3 12 2 2 2" xfId="36176" xr:uid="{00000000-0005-0000-0000-0000808D0000}"/>
    <cellStyle name="货币 2 2 3 12 2 3" xfId="21937" xr:uid="{00000000-0005-0000-0000-0000E1550000}"/>
    <cellStyle name="货币 2 2 3 12 2 4" xfId="21939" xr:uid="{00000000-0005-0000-0000-0000E3550000}"/>
    <cellStyle name="货币 2 2 3 12 2 5" xfId="21941" xr:uid="{00000000-0005-0000-0000-0000E5550000}"/>
    <cellStyle name="货币 2 2 3 12 3" xfId="9175" xr:uid="{00000000-0005-0000-0000-000007240000}"/>
    <cellStyle name="货币 2 2 3 12 3 2" xfId="36177" xr:uid="{00000000-0005-0000-0000-0000818D0000}"/>
    <cellStyle name="货币 2 2 3 12 4" xfId="9182" xr:uid="{00000000-0005-0000-0000-00000E240000}"/>
    <cellStyle name="货币 2 2 3 12 5" xfId="9187" xr:uid="{00000000-0005-0000-0000-000013240000}"/>
    <cellStyle name="货币 2 2 3 12 6" xfId="36179" xr:uid="{00000000-0005-0000-0000-0000838D0000}"/>
    <cellStyle name="货币 2 2 3 12 7" xfId="36180" xr:uid="{00000000-0005-0000-0000-0000848D0000}"/>
    <cellStyle name="货币 2 2 3 12 8" xfId="36181" xr:uid="{00000000-0005-0000-0000-0000858D0000}"/>
    <cellStyle name="货币 2 2 3 12 9" xfId="36182" xr:uid="{00000000-0005-0000-0000-0000868D0000}"/>
    <cellStyle name="货币 2 2 3 13" xfId="6121" xr:uid="{00000000-0005-0000-0000-000019180000}"/>
    <cellStyle name="货币 2 2 3 13 2" xfId="6135" xr:uid="{00000000-0005-0000-0000-000027180000}"/>
    <cellStyle name="货币 2 2 3 13 2 2" xfId="27226" xr:uid="{00000000-0005-0000-0000-00008A6A0000}"/>
    <cellStyle name="货币 2 2 3 13 3" xfId="27233" xr:uid="{00000000-0005-0000-0000-0000916A0000}"/>
    <cellStyle name="货币 2 2 3 13 4" xfId="26526" xr:uid="{00000000-0005-0000-0000-0000CE670000}"/>
    <cellStyle name="货币 2 2 3 13 5" xfId="27237" xr:uid="{00000000-0005-0000-0000-0000956A0000}"/>
    <cellStyle name="货币 2 2 3 13 6" xfId="36184" xr:uid="{00000000-0005-0000-0000-0000888D0000}"/>
    <cellStyle name="货币 2 2 3 13 7" xfId="32698" xr:uid="{00000000-0005-0000-0000-0000EA7F0000}"/>
    <cellStyle name="货币 2 2 3 13 8" xfId="36186" xr:uid="{00000000-0005-0000-0000-00008A8D0000}"/>
    <cellStyle name="货币 2 2 3 13 9" xfId="36187" xr:uid="{00000000-0005-0000-0000-00008B8D0000}"/>
    <cellStyle name="货币 2 2 3 14" xfId="27239" xr:uid="{00000000-0005-0000-0000-0000976A0000}"/>
    <cellStyle name="货币 2 2 3 14 2" xfId="27194" xr:uid="{00000000-0005-0000-0000-00006A6A0000}"/>
    <cellStyle name="货币 2 2 3 14 2 2" xfId="12136" xr:uid="{00000000-0005-0000-0000-0000982F0000}"/>
    <cellStyle name="货币 2 2 3 14 3" xfId="27199" xr:uid="{00000000-0005-0000-0000-00006F6A0000}"/>
    <cellStyle name="货币 2 2 3 14 4" xfId="27204" xr:uid="{00000000-0005-0000-0000-0000746A0000}"/>
    <cellStyle name="货币 2 2 3 14 5" xfId="2678" xr:uid="{00000000-0005-0000-0000-0000A60A0000}"/>
    <cellStyle name="货币 2 2 3 14 6" xfId="449" xr:uid="{00000000-0005-0000-0000-0000DE010000}"/>
    <cellStyle name="货币 2 2 3 14 7" xfId="8412" xr:uid="{00000000-0005-0000-0000-00000C210000}"/>
    <cellStyle name="货币 2 2 3 14 8" xfId="6422" xr:uid="{00000000-0005-0000-0000-000046190000}"/>
    <cellStyle name="货币 2 2 3 14 9" xfId="7185" xr:uid="{00000000-0005-0000-0000-0000411C0000}"/>
    <cellStyle name="货币 2 2 3 15" xfId="27241" xr:uid="{00000000-0005-0000-0000-0000996A0000}"/>
    <cellStyle name="货币 2 2 3 15 2" xfId="4483" xr:uid="{00000000-0005-0000-0000-0000B3110000}"/>
    <cellStyle name="货币 2 2 3 15 3" xfId="2604" xr:uid="{00000000-0005-0000-0000-00005C0A0000}"/>
    <cellStyle name="货币 2 2 3 15 4" xfId="36191" xr:uid="{00000000-0005-0000-0000-00008F8D0000}"/>
    <cellStyle name="货币 2 2 3 15 5" xfId="8419" xr:uid="{00000000-0005-0000-0000-000013210000}"/>
    <cellStyle name="货币 2 2 3 15 6" xfId="8421" xr:uid="{00000000-0005-0000-0000-000015210000}"/>
    <cellStyle name="货币 2 2 3 16" xfId="6169" xr:uid="{00000000-0005-0000-0000-000049180000}"/>
    <cellStyle name="货币 2 2 3 16 2" xfId="4530" xr:uid="{00000000-0005-0000-0000-0000E2110000}"/>
    <cellStyle name="货币 2 2 3 16 3" xfId="14501" xr:uid="{00000000-0005-0000-0000-0000D5380000}"/>
    <cellStyle name="货币 2 2 3 16 4" xfId="36195" xr:uid="{00000000-0005-0000-0000-0000938D0000}"/>
    <cellStyle name="货币 2 2 3 16 5" xfId="8465" xr:uid="{00000000-0005-0000-0000-000041210000}"/>
    <cellStyle name="货币 2 2 3 16 6" xfId="8471" xr:uid="{00000000-0005-0000-0000-000047210000}"/>
    <cellStyle name="货币 2 2 3 17" xfId="1620" xr:uid="{00000000-0005-0000-0000-000084060000}"/>
    <cellStyle name="货币 2 2 3 18" xfId="1648" xr:uid="{00000000-0005-0000-0000-0000A0060000}"/>
    <cellStyle name="货币 2 2 3 19" xfId="772" xr:uid="{00000000-0005-0000-0000-000034030000}"/>
    <cellStyle name="货币 2 2 3 2" xfId="5831" xr:uid="{00000000-0005-0000-0000-0000F7160000}"/>
    <cellStyle name="货币 2 2 3 2 10" xfId="36197" xr:uid="{00000000-0005-0000-0000-0000958D0000}"/>
    <cellStyle name="货币 2 2 3 2 10 2" xfId="36198" xr:uid="{00000000-0005-0000-0000-0000968D0000}"/>
    <cellStyle name="货币 2 2 3 2 10 2 2" xfId="29138" xr:uid="{00000000-0005-0000-0000-000002720000}"/>
    <cellStyle name="货币 2 2 3 2 10 3" xfId="36199" xr:uid="{00000000-0005-0000-0000-0000978D0000}"/>
    <cellStyle name="货币 2 2 3 2 10 4" xfId="5429" xr:uid="{00000000-0005-0000-0000-000065150000}"/>
    <cellStyle name="货币 2 2 3 2 10 5" xfId="17179" xr:uid="{00000000-0005-0000-0000-00004B430000}"/>
    <cellStyle name="货币 2 2 3 2 10 6" xfId="17181" xr:uid="{00000000-0005-0000-0000-00004D430000}"/>
    <cellStyle name="货币 2 2 3 2 10 7" xfId="4608" xr:uid="{00000000-0005-0000-0000-000030120000}"/>
    <cellStyle name="货币 2 2 3 2 10 8" xfId="36200" xr:uid="{00000000-0005-0000-0000-0000988D0000}"/>
    <cellStyle name="货币 2 2 3 2 10 9" xfId="36202" xr:uid="{00000000-0005-0000-0000-00009A8D0000}"/>
    <cellStyle name="货币 2 2 3 2 11" xfId="36204" xr:uid="{00000000-0005-0000-0000-00009C8D0000}"/>
    <cellStyle name="货币 2 2 3 2 11 2" xfId="36207" xr:uid="{00000000-0005-0000-0000-00009F8D0000}"/>
    <cellStyle name="货币 2 2 3 2 11 3" xfId="36208" xr:uid="{00000000-0005-0000-0000-0000A08D0000}"/>
    <cellStyle name="货币 2 2 3 2 11 4" xfId="5433" xr:uid="{00000000-0005-0000-0000-000069150000}"/>
    <cellStyle name="货币 2 2 3 2 11 5" xfId="36209" xr:uid="{00000000-0005-0000-0000-0000A18D0000}"/>
    <cellStyle name="货币 2 2 3 2 11 6" xfId="36210" xr:uid="{00000000-0005-0000-0000-0000A28D0000}"/>
    <cellStyle name="货币 2 2 3 2 12" xfId="36211" xr:uid="{00000000-0005-0000-0000-0000A38D0000}"/>
    <cellStyle name="货币 2 2 3 2 12 2" xfId="36212" xr:uid="{00000000-0005-0000-0000-0000A48D0000}"/>
    <cellStyle name="货币 2 2 3 2 12 3" xfId="36213" xr:uid="{00000000-0005-0000-0000-0000A58D0000}"/>
    <cellStyle name="货币 2 2 3 2 12 4" xfId="5436" xr:uid="{00000000-0005-0000-0000-00006C150000}"/>
    <cellStyle name="货币 2 2 3 2 12 5" xfId="36215" xr:uid="{00000000-0005-0000-0000-0000A78D0000}"/>
    <cellStyle name="货币 2 2 3 2 12 6" xfId="36217" xr:uid="{00000000-0005-0000-0000-0000A98D0000}"/>
    <cellStyle name="货币 2 2 3 2 13" xfId="36218" xr:uid="{00000000-0005-0000-0000-0000AA8D0000}"/>
    <cellStyle name="货币 2 2 3 2 13 2" xfId="26490" xr:uid="{00000000-0005-0000-0000-0000AA670000}"/>
    <cellStyle name="货币 2 2 3 2 13 3" xfId="26492" xr:uid="{00000000-0005-0000-0000-0000AC670000}"/>
    <cellStyle name="货币 2 2 3 2 13 4" xfId="5443" xr:uid="{00000000-0005-0000-0000-000073150000}"/>
    <cellStyle name="货币 2 2 3 2 13 5" xfId="36219" xr:uid="{00000000-0005-0000-0000-0000AB8D0000}"/>
    <cellStyle name="货币 2 2 3 2 13 6" xfId="36220" xr:uid="{00000000-0005-0000-0000-0000AC8D0000}"/>
    <cellStyle name="货币 2 2 3 2 14" xfId="36222" xr:uid="{00000000-0005-0000-0000-0000AE8D0000}"/>
    <cellStyle name="货币 2 2 3 2 14 2" xfId="36223" xr:uid="{00000000-0005-0000-0000-0000AF8D0000}"/>
    <cellStyle name="货币 2 2 3 2 14 3" xfId="2656" xr:uid="{00000000-0005-0000-0000-0000900A0000}"/>
    <cellStyle name="货币 2 2 3 2 14 4" xfId="5445" xr:uid="{00000000-0005-0000-0000-000075150000}"/>
    <cellStyle name="货币 2 2 3 2 14 5" xfId="28427" xr:uid="{00000000-0005-0000-0000-00003B6F0000}"/>
    <cellStyle name="货币 2 2 3 2 14 6" xfId="28429" xr:uid="{00000000-0005-0000-0000-00003D6F0000}"/>
    <cellStyle name="货币 2 2 3 2 15" xfId="36224" xr:uid="{00000000-0005-0000-0000-0000B08D0000}"/>
    <cellStyle name="货币 2 2 3 2 16" xfId="36226" xr:uid="{00000000-0005-0000-0000-0000B28D0000}"/>
    <cellStyle name="货币 2 2 3 2 17" xfId="36229" xr:uid="{00000000-0005-0000-0000-0000B58D0000}"/>
    <cellStyle name="货币 2 2 3 2 18" xfId="36232" xr:uid="{00000000-0005-0000-0000-0000B88D0000}"/>
    <cellStyle name="货币 2 2 3 2 19" xfId="36235" xr:uid="{00000000-0005-0000-0000-0000BB8D0000}"/>
    <cellStyle name="货币 2 2 3 2 2" xfId="36237" xr:uid="{00000000-0005-0000-0000-0000BD8D0000}"/>
    <cellStyle name="货币 2 2 3 2 2 10" xfId="23697" xr:uid="{00000000-0005-0000-0000-0000C15C0000}"/>
    <cellStyle name="货币 2 2 3 2 2 10 2" xfId="30154" xr:uid="{00000000-0005-0000-0000-0000FA750000}"/>
    <cellStyle name="货币 2 2 3 2 2 10 3" xfId="36239" xr:uid="{00000000-0005-0000-0000-0000BF8D0000}"/>
    <cellStyle name="货币 2 2 3 2 2 10 4" xfId="36241" xr:uid="{00000000-0005-0000-0000-0000C18D0000}"/>
    <cellStyle name="货币 2 2 3 2 2 10 5" xfId="36243" xr:uid="{00000000-0005-0000-0000-0000C38D0000}"/>
    <cellStyle name="货币 2 2 3 2 2 10 6" xfId="36245" xr:uid="{00000000-0005-0000-0000-0000C58D0000}"/>
    <cellStyle name="货币 2 2 3 2 2 11" xfId="30158" xr:uid="{00000000-0005-0000-0000-0000FE750000}"/>
    <cellStyle name="货币 2 2 3 2 2 11 2" xfId="36246" xr:uid="{00000000-0005-0000-0000-0000C68D0000}"/>
    <cellStyle name="货币 2 2 3 2 2 11 3" xfId="36248" xr:uid="{00000000-0005-0000-0000-0000C88D0000}"/>
    <cellStyle name="货币 2 2 3 2 2 11 4" xfId="18940" xr:uid="{00000000-0005-0000-0000-00002C4A0000}"/>
    <cellStyle name="货币 2 2 3 2 2 11 5" xfId="18945" xr:uid="{00000000-0005-0000-0000-0000314A0000}"/>
    <cellStyle name="货币 2 2 3 2 2 11 6" xfId="25383" xr:uid="{00000000-0005-0000-0000-000057630000}"/>
    <cellStyle name="货币 2 2 3 2 2 12" xfId="36249" xr:uid="{00000000-0005-0000-0000-0000C98D0000}"/>
    <cellStyle name="货币 2 2 3 2 2 13" xfId="36250" xr:uid="{00000000-0005-0000-0000-0000CA8D0000}"/>
    <cellStyle name="货币 2 2 3 2 2 14" xfId="5587" xr:uid="{00000000-0005-0000-0000-000003160000}"/>
    <cellStyle name="货币 2 2 3 2 2 15" xfId="36251" xr:uid="{00000000-0005-0000-0000-0000CB8D0000}"/>
    <cellStyle name="货币 2 2 3 2 2 16" xfId="36253" xr:uid="{00000000-0005-0000-0000-0000CD8D0000}"/>
    <cellStyle name="货币 2 2 3 2 2 17" xfId="36255" xr:uid="{00000000-0005-0000-0000-0000CF8D0000}"/>
    <cellStyle name="货币 2 2 3 2 2 18" xfId="36257" xr:uid="{00000000-0005-0000-0000-0000D18D0000}"/>
    <cellStyle name="货币 2 2 3 2 2 19" xfId="36261" xr:uid="{00000000-0005-0000-0000-0000D58D0000}"/>
    <cellStyle name="货币 2 2 3 2 2 2" xfId="36262" xr:uid="{00000000-0005-0000-0000-0000D68D0000}"/>
    <cellStyle name="货币 2 2 3 2 2 2 10" xfId="8551" xr:uid="{00000000-0005-0000-0000-000097210000}"/>
    <cellStyle name="货币 2 2 3 2 2 2 11" xfId="7274" xr:uid="{00000000-0005-0000-0000-00009A1C0000}"/>
    <cellStyle name="货币 2 2 3 2 2 2 12" xfId="8562" xr:uid="{00000000-0005-0000-0000-0000A2210000}"/>
    <cellStyle name="货币 2 2 3 2 2 2 13" xfId="8567" xr:uid="{00000000-0005-0000-0000-0000A7210000}"/>
    <cellStyle name="货币 2 2 3 2 2 2 14" xfId="8573" xr:uid="{00000000-0005-0000-0000-0000AD210000}"/>
    <cellStyle name="货币 2 2 3 2 2 2 15" xfId="8579" xr:uid="{00000000-0005-0000-0000-0000B3210000}"/>
    <cellStyle name="货币 2 2 3 2 2 2 16" xfId="36263" xr:uid="{00000000-0005-0000-0000-0000D78D0000}"/>
    <cellStyle name="货币 2 2 3 2 2 2 17" xfId="36265" xr:uid="{00000000-0005-0000-0000-0000D98D0000}"/>
    <cellStyle name="货币 2 2 3 2 2 2 18" xfId="10160" xr:uid="{00000000-0005-0000-0000-0000E0270000}"/>
    <cellStyle name="货币 2 2 3 2 2 2 2" xfId="36267" xr:uid="{00000000-0005-0000-0000-0000DB8D0000}"/>
    <cellStyle name="货币 2 2 3 2 2 2 2 10" xfId="36268" xr:uid="{00000000-0005-0000-0000-0000DC8D0000}"/>
    <cellStyle name="货币 2 2 3 2 2 2 2 11" xfId="36269" xr:uid="{00000000-0005-0000-0000-0000DD8D0000}"/>
    <cellStyle name="货币 2 2 3 2 2 2 2 12" xfId="36270" xr:uid="{00000000-0005-0000-0000-0000DE8D0000}"/>
    <cellStyle name="货币 2 2 3 2 2 2 2 2" xfId="34319" xr:uid="{00000000-0005-0000-0000-00003F860000}"/>
    <cellStyle name="货币 2 2 3 2 2 2 2 2 2" xfId="36271" xr:uid="{00000000-0005-0000-0000-0000DF8D0000}"/>
    <cellStyle name="货币 2 2 3 2 2 2 2 2 2 2" xfId="36272" xr:uid="{00000000-0005-0000-0000-0000E08D0000}"/>
    <cellStyle name="货币 2 2 3 2 2 2 2 2 3" xfId="36273" xr:uid="{00000000-0005-0000-0000-0000E18D0000}"/>
    <cellStyle name="货币 2 2 3 2 2 2 2 2 4" xfId="36276" xr:uid="{00000000-0005-0000-0000-0000E48D0000}"/>
    <cellStyle name="货币 2 2 3 2 2 2 2 2 5" xfId="36278" xr:uid="{00000000-0005-0000-0000-0000E68D0000}"/>
    <cellStyle name="货币 2 2 3 2 2 2 2 3" xfId="34323" xr:uid="{00000000-0005-0000-0000-000043860000}"/>
    <cellStyle name="货币 2 2 3 2 2 2 2 3 2" xfId="24414" xr:uid="{00000000-0005-0000-0000-00008E5F0000}"/>
    <cellStyle name="货币 2 2 3 2 2 2 2 4" xfId="20359" xr:uid="{00000000-0005-0000-0000-0000B74F0000}"/>
    <cellStyle name="货币 2 2 3 2 2 2 2 5" xfId="20370" xr:uid="{00000000-0005-0000-0000-0000C24F0000}"/>
    <cellStyle name="货币 2 2 3 2 2 2 2 6" xfId="20377" xr:uid="{00000000-0005-0000-0000-0000C94F0000}"/>
    <cellStyle name="货币 2 2 3 2 2 2 2 7" xfId="9304" xr:uid="{00000000-0005-0000-0000-000088240000}"/>
    <cellStyle name="货币 2 2 3 2 2 2 2 8" xfId="20382" xr:uid="{00000000-0005-0000-0000-0000CE4F0000}"/>
    <cellStyle name="货币 2 2 3 2 2 2 2 9" xfId="20387" xr:uid="{00000000-0005-0000-0000-0000D34F0000}"/>
    <cellStyle name="货币 2 2 3 2 2 2 3" xfId="36279" xr:uid="{00000000-0005-0000-0000-0000E78D0000}"/>
    <cellStyle name="货币 2 2 3 2 2 2 3 10" xfId="13328" xr:uid="{00000000-0005-0000-0000-000040340000}"/>
    <cellStyle name="货币 2 2 3 2 2 2 3 11" xfId="22902" xr:uid="{00000000-0005-0000-0000-0000A6590000}"/>
    <cellStyle name="货币 2 2 3 2 2 2 3 12" xfId="21466" xr:uid="{00000000-0005-0000-0000-00000A540000}"/>
    <cellStyle name="货币 2 2 3 2 2 2 3 2" xfId="28864" xr:uid="{00000000-0005-0000-0000-0000F0700000}"/>
    <cellStyle name="货币 2 2 3 2 2 2 3 2 2" xfId="28866" xr:uid="{00000000-0005-0000-0000-0000F2700000}"/>
    <cellStyle name="货币 2 2 3 2 2 2 3 2 2 2" xfId="28868" xr:uid="{00000000-0005-0000-0000-0000F4700000}"/>
    <cellStyle name="货币 2 2 3 2 2 2 3 2 3" xfId="28870" xr:uid="{00000000-0005-0000-0000-0000F6700000}"/>
    <cellStyle name="货币 2 2 3 2 2 2 3 2 4" xfId="28873" xr:uid="{00000000-0005-0000-0000-0000F9700000}"/>
    <cellStyle name="货币 2 2 3 2 2 2 3 2 5" xfId="36281" xr:uid="{00000000-0005-0000-0000-0000E98D0000}"/>
    <cellStyle name="货币 2 2 3 2 2 2 3 3" xfId="28876" xr:uid="{00000000-0005-0000-0000-0000FC700000}"/>
    <cellStyle name="货币 2 2 3 2 2 2 3 3 2" xfId="22899" xr:uid="{00000000-0005-0000-0000-0000A3590000}"/>
    <cellStyle name="货币 2 2 3 2 2 2 3 4" xfId="20398" xr:uid="{00000000-0005-0000-0000-0000DE4F0000}"/>
    <cellStyle name="货币 2 2 3 2 2 2 3 5" xfId="6447" xr:uid="{00000000-0005-0000-0000-00005F190000}"/>
    <cellStyle name="货币 2 2 3 2 2 2 3 6" xfId="6459" xr:uid="{00000000-0005-0000-0000-00006B190000}"/>
    <cellStyle name="货币 2 2 3 2 2 2 3 7" xfId="13849" xr:uid="{00000000-0005-0000-0000-000049360000}"/>
    <cellStyle name="货币 2 2 3 2 2 2 3 8" xfId="13860" xr:uid="{00000000-0005-0000-0000-000054360000}"/>
    <cellStyle name="货币 2 2 3 2 2 2 3 9" xfId="13866" xr:uid="{00000000-0005-0000-0000-00005A360000}"/>
    <cellStyle name="货币 2 2 3 2 2 2 4" xfId="36282" xr:uid="{00000000-0005-0000-0000-0000EA8D0000}"/>
    <cellStyle name="货币 2 2 3 2 2 2 4 10" xfId="36283" xr:uid="{00000000-0005-0000-0000-0000EB8D0000}"/>
    <cellStyle name="货币 2 2 3 2 2 2 4 2" xfId="26658" xr:uid="{00000000-0005-0000-0000-000052680000}"/>
    <cellStyle name="货币 2 2 3 2 2 2 4 2 2" xfId="36284" xr:uid="{00000000-0005-0000-0000-0000EC8D0000}"/>
    <cellStyle name="货币 2 2 3 2 2 2 4 2 2 2" xfId="36285" xr:uid="{00000000-0005-0000-0000-0000ED8D0000}"/>
    <cellStyle name="货币 2 2 3 2 2 2 4 2 3" xfId="36286" xr:uid="{00000000-0005-0000-0000-0000EE8D0000}"/>
    <cellStyle name="货币 2 2 3 2 2 2 4 2 4" xfId="36287" xr:uid="{00000000-0005-0000-0000-0000EF8D0000}"/>
    <cellStyle name="货币 2 2 3 2 2 2 4 2 5" xfId="36288" xr:uid="{00000000-0005-0000-0000-0000F08D0000}"/>
    <cellStyle name="货币 2 2 3 2 2 2 4 3" xfId="25719" xr:uid="{00000000-0005-0000-0000-0000A7640000}"/>
    <cellStyle name="货币 2 2 3 2 2 2 4 3 2" xfId="7450" xr:uid="{00000000-0005-0000-0000-00004A1D0000}"/>
    <cellStyle name="货币 2 2 3 2 2 2 4 4" xfId="20408" xr:uid="{00000000-0005-0000-0000-0000E84F0000}"/>
    <cellStyle name="货币 2 2 3 2 2 2 4 5" xfId="6468" xr:uid="{00000000-0005-0000-0000-000074190000}"/>
    <cellStyle name="货币 2 2 3 2 2 2 4 6" xfId="6483" xr:uid="{00000000-0005-0000-0000-000083190000}"/>
    <cellStyle name="货币 2 2 3 2 2 2 4 7" xfId="13881" xr:uid="{00000000-0005-0000-0000-000069360000}"/>
    <cellStyle name="货币 2 2 3 2 2 2 4 8" xfId="17321" xr:uid="{00000000-0005-0000-0000-0000D9430000}"/>
    <cellStyle name="货币 2 2 3 2 2 2 4 9" xfId="17324" xr:uid="{00000000-0005-0000-0000-0000DC430000}"/>
    <cellStyle name="货币 2 2 3 2 2 2 5" xfId="36289" xr:uid="{00000000-0005-0000-0000-0000F18D0000}"/>
    <cellStyle name="货币 2 2 3 2 2 2 5 10" xfId="9540" xr:uid="{00000000-0005-0000-0000-000074250000}"/>
    <cellStyle name="货币 2 2 3 2 2 2 5 2" xfId="23981" xr:uid="{00000000-0005-0000-0000-0000DD5D0000}"/>
    <cellStyle name="货币 2 2 3 2 2 2 5 2 2" xfId="28923" xr:uid="{00000000-0005-0000-0000-00002B710000}"/>
    <cellStyle name="货币 2 2 3 2 2 2 5 2 2 2" xfId="28925" xr:uid="{00000000-0005-0000-0000-00002D710000}"/>
    <cellStyle name="货币 2 2 3 2 2 2 5 2 3" xfId="1122" xr:uid="{00000000-0005-0000-0000-000092040000}"/>
    <cellStyle name="货币 2 2 3 2 2 2 5 2 4" xfId="28927" xr:uid="{00000000-0005-0000-0000-00002F710000}"/>
    <cellStyle name="货币 2 2 3 2 2 2 5 2 5" xfId="21538" xr:uid="{00000000-0005-0000-0000-000052540000}"/>
    <cellStyle name="货币 2 2 3 2 2 2 5 3" xfId="23991" xr:uid="{00000000-0005-0000-0000-0000E75D0000}"/>
    <cellStyle name="货币 2 2 3 2 2 2 5 3 2" xfId="21015" xr:uid="{00000000-0005-0000-0000-000047520000}"/>
    <cellStyle name="货币 2 2 3 2 2 2 5 4" xfId="20416" xr:uid="{00000000-0005-0000-0000-0000F04F0000}"/>
    <cellStyle name="货币 2 2 3 2 2 2 5 5" xfId="6493" xr:uid="{00000000-0005-0000-0000-00008D190000}"/>
    <cellStyle name="货币 2 2 3 2 2 2 5 6" xfId="6528" xr:uid="{00000000-0005-0000-0000-0000B0190000}"/>
    <cellStyle name="货币 2 2 3 2 2 2 5 7" xfId="17944" xr:uid="{00000000-0005-0000-0000-000048460000}"/>
    <cellStyle name="货币 2 2 3 2 2 2 5 8" xfId="17947" xr:uid="{00000000-0005-0000-0000-00004B460000}"/>
    <cellStyle name="货币 2 2 3 2 2 2 5 9" xfId="20434" xr:uid="{00000000-0005-0000-0000-000002500000}"/>
    <cellStyle name="货币 2 2 3 2 2 2 6" xfId="36290" xr:uid="{00000000-0005-0000-0000-0000F28D0000}"/>
    <cellStyle name="货币 2 2 3 2 2 2 6 2" xfId="28971" xr:uid="{00000000-0005-0000-0000-00005B710000}"/>
    <cellStyle name="货币 2 2 3 2 2 2 6 2 2" xfId="28973" xr:uid="{00000000-0005-0000-0000-00005D710000}"/>
    <cellStyle name="货币 2 2 3 2 2 2 6 3" xfId="28978" xr:uid="{00000000-0005-0000-0000-000062710000}"/>
    <cellStyle name="货币 2 2 3 2 2 2 6 4" xfId="20444" xr:uid="{00000000-0005-0000-0000-00000C500000}"/>
    <cellStyle name="货币 2 2 3 2 2 2 6 5" xfId="6537" xr:uid="{00000000-0005-0000-0000-0000B9190000}"/>
    <cellStyle name="货币 2 2 3 2 2 2 6 6" xfId="6573" xr:uid="{00000000-0005-0000-0000-0000DD190000}"/>
    <cellStyle name="货币 2 2 3 2 2 2 6 7" xfId="20447" xr:uid="{00000000-0005-0000-0000-00000F500000}"/>
    <cellStyle name="货币 2 2 3 2 2 2 6 8" xfId="20450" xr:uid="{00000000-0005-0000-0000-000012500000}"/>
    <cellStyle name="货币 2 2 3 2 2 2 6 9" xfId="20452" xr:uid="{00000000-0005-0000-0000-000014500000}"/>
    <cellStyle name="货币 2 2 3 2 2 2 7" xfId="36291" xr:uid="{00000000-0005-0000-0000-0000F38D0000}"/>
    <cellStyle name="货币 2 2 3 2 2 2 7 2" xfId="29016" xr:uid="{00000000-0005-0000-0000-000088710000}"/>
    <cellStyle name="货币 2 2 3 2 2 2 8" xfId="36292" xr:uid="{00000000-0005-0000-0000-0000F48D0000}"/>
    <cellStyle name="货币 2 2 3 2 2 2 9" xfId="36293" xr:uid="{00000000-0005-0000-0000-0000F58D0000}"/>
    <cellStyle name="货币 2 2 3 2 2 20" xfId="36252" xr:uid="{00000000-0005-0000-0000-0000CC8D0000}"/>
    <cellStyle name="货币 2 2 3 2 2 21" xfId="36254" xr:uid="{00000000-0005-0000-0000-0000CE8D0000}"/>
    <cellStyle name="货币 2 2 3 2 2 22" xfId="36256" xr:uid="{00000000-0005-0000-0000-0000D08D0000}"/>
    <cellStyle name="货币 2 2 3 2 2 23" xfId="36258" xr:uid="{00000000-0005-0000-0000-0000D28D0000}"/>
    <cellStyle name="货币 2 2 3 2 2 3" xfId="36294" xr:uid="{00000000-0005-0000-0000-0000F68D0000}"/>
    <cellStyle name="货币 2 2 3 2 2 3 10" xfId="36296" xr:uid="{00000000-0005-0000-0000-0000F88D0000}"/>
    <cellStyle name="货币 2 2 3 2 2 3 11" xfId="36297" xr:uid="{00000000-0005-0000-0000-0000F98D0000}"/>
    <cellStyle name="货币 2 2 3 2 2 3 12" xfId="36298" xr:uid="{00000000-0005-0000-0000-0000FA8D0000}"/>
    <cellStyle name="货币 2 2 3 2 2 3 13" xfId="36299" xr:uid="{00000000-0005-0000-0000-0000FB8D0000}"/>
    <cellStyle name="货币 2 2 3 2 2 3 14" xfId="12255" xr:uid="{00000000-0005-0000-0000-00000F300000}"/>
    <cellStyle name="货币 2 2 3 2 2 3 15" xfId="36301" xr:uid="{00000000-0005-0000-0000-0000FD8D0000}"/>
    <cellStyle name="货币 2 2 3 2 2 3 16" xfId="36303" xr:uid="{00000000-0005-0000-0000-0000FF8D0000}"/>
    <cellStyle name="货币 2 2 3 2 2 3 17" xfId="36305" xr:uid="{00000000-0005-0000-0000-0000018E0000}"/>
    <cellStyle name="货币 2 2 3 2 2 3 18" xfId="32281" xr:uid="{00000000-0005-0000-0000-0000497E0000}"/>
    <cellStyle name="货币 2 2 3 2 2 3 2" xfId="36308" xr:uid="{00000000-0005-0000-0000-0000048E0000}"/>
    <cellStyle name="货币 2 2 3 2 2 3 2 10" xfId="10577" xr:uid="{00000000-0005-0000-0000-000081290000}"/>
    <cellStyle name="货币 2 2 3 2 2 3 2 2" xfId="21943" xr:uid="{00000000-0005-0000-0000-0000E7550000}"/>
    <cellStyle name="货币 2 2 3 2 2 3 2 2 2" xfId="8773" xr:uid="{00000000-0005-0000-0000-000075220000}"/>
    <cellStyle name="货币 2 2 3 2 2 3 2 3" xfId="21947" xr:uid="{00000000-0005-0000-0000-0000EB550000}"/>
    <cellStyle name="货币 2 2 3 2 2 3 2 4" xfId="20477" xr:uid="{00000000-0005-0000-0000-00002D500000}"/>
    <cellStyle name="货币 2 2 3 2 2 3 2 5" xfId="20483" xr:uid="{00000000-0005-0000-0000-000033500000}"/>
    <cellStyle name="货币 2 2 3 2 2 3 2 6" xfId="20490" xr:uid="{00000000-0005-0000-0000-00003A500000}"/>
    <cellStyle name="货币 2 2 3 2 2 3 2 7" xfId="8206" xr:uid="{00000000-0005-0000-0000-00003E200000}"/>
    <cellStyle name="货币 2 2 3 2 2 3 2 8" xfId="20497" xr:uid="{00000000-0005-0000-0000-000041500000}"/>
    <cellStyle name="货币 2 2 3 2 2 3 2 9" xfId="20503" xr:uid="{00000000-0005-0000-0000-000047500000}"/>
    <cellStyle name="货币 2 2 3 2 2 3 3" xfId="36310" xr:uid="{00000000-0005-0000-0000-0000068E0000}"/>
    <cellStyle name="货币 2 2 3 2 2 3 3 2" xfId="36311" xr:uid="{00000000-0005-0000-0000-0000078E0000}"/>
    <cellStyle name="货币 2 2 3 2 2 3 3 3" xfId="36312" xr:uid="{00000000-0005-0000-0000-0000088E0000}"/>
    <cellStyle name="货币 2 2 3 2 2 3 3 4" xfId="20513" xr:uid="{00000000-0005-0000-0000-000051500000}"/>
    <cellStyle name="货币 2 2 3 2 2 3 3 5" xfId="20516" xr:uid="{00000000-0005-0000-0000-000054500000}"/>
    <cellStyle name="货币 2 2 3 2 2 3 3 6" xfId="17358" xr:uid="{00000000-0005-0000-0000-0000FE430000}"/>
    <cellStyle name="货币 2 2 3 2 2 3 4" xfId="36314" xr:uid="{00000000-0005-0000-0000-00000A8E0000}"/>
    <cellStyle name="货币 2 2 3 2 2 3 4 2" xfId="36315" xr:uid="{00000000-0005-0000-0000-00000B8E0000}"/>
    <cellStyle name="货币 2 2 3 2 2 3 4 3" xfId="36316" xr:uid="{00000000-0005-0000-0000-00000C8E0000}"/>
    <cellStyle name="货币 2 2 3 2 2 3 4 4" xfId="20519" xr:uid="{00000000-0005-0000-0000-000057500000}"/>
    <cellStyle name="货币 2 2 3 2 2 3 4 5" xfId="20521" xr:uid="{00000000-0005-0000-0000-000059500000}"/>
    <cellStyle name="货币 2 2 3 2 2 3 4 6" xfId="17368" xr:uid="{00000000-0005-0000-0000-000008440000}"/>
    <cellStyle name="货币 2 2 3 2 2 3 5" xfId="36318" xr:uid="{00000000-0005-0000-0000-00000E8E0000}"/>
    <cellStyle name="货币 2 2 3 2 2 3 5 2" xfId="36319" xr:uid="{00000000-0005-0000-0000-00000F8E0000}"/>
    <cellStyle name="货币 2 2 3 2 2 3 5 3" xfId="36320" xr:uid="{00000000-0005-0000-0000-0000108E0000}"/>
    <cellStyle name="货币 2 2 3 2 2 3 5 4" xfId="20524" xr:uid="{00000000-0005-0000-0000-00005C500000}"/>
    <cellStyle name="货币 2 2 3 2 2 3 5 5" xfId="17959" xr:uid="{00000000-0005-0000-0000-000057460000}"/>
    <cellStyle name="货币 2 2 3 2 2 3 5 6" xfId="17377" xr:uid="{00000000-0005-0000-0000-000011440000}"/>
    <cellStyle name="货币 2 2 3 2 2 3 6" xfId="36321" xr:uid="{00000000-0005-0000-0000-0000118E0000}"/>
    <cellStyle name="货币 2 2 3 2 2 3 6 2" xfId="36322" xr:uid="{00000000-0005-0000-0000-0000128E0000}"/>
    <cellStyle name="货币 2 2 3 2 2 3 6 3" xfId="36323" xr:uid="{00000000-0005-0000-0000-0000138E0000}"/>
    <cellStyle name="货币 2 2 3 2 2 3 6 4" xfId="20529" xr:uid="{00000000-0005-0000-0000-000061500000}"/>
    <cellStyle name="货币 2 2 3 2 2 3 6 5" xfId="20531" xr:uid="{00000000-0005-0000-0000-000063500000}"/>
    <cellStyle name="货币 2 2 3 2 2 3 6 6" xfId="20533" xr:uid="{00000000-0005-0000-0000-000065500000}"/>
    <cellStyle name="货币 2 2 3 2 2 3 7" xfId="36324" xr:uid="{00000000-0005-0000-0000-0000148E0000}"/>
    <cellStyle name="货币 2 2 3 2 2 3 8" xfId="36325" xr:uid="{00000000-0005-0000-0000-0000158E0000}"/>
    <cellStyle name="货币 2 2 3 2 2 3 9" xfId="36326" xr:uid="{00000000-0005-0000-0000-0000168E0000}"/>
    <cellStyle name="货币 2 2 3 2 2 4" xfId="36327" xr:uid="{00000000-0005-0000-0000-0000178E0000}"/>
    <cellStyle name="货币 2 2 3 2 2 4 10" xfId="36329" xr:uid="{00000000-0005-0000-0000-0000198E0000}"/>
    <cellStyle name="货币 2 2 3 2 2 4 11" xfId="36332" xr:uid="{00000000-0005-0000-0000-00001C8E0000}"/>
    <cellStyle name="货币 2 2 3 2 2 4 12" xfId="36335" xr:uid="{00000000-0005-0000-0000-00001F8E0000}"/>
    <cellStyle name="货币 2 2 3 2 2 4 13" xfId="36338" xr:uid="{00000000-0005-0000-0000-0000228E0000}"/>
    <cellStyle name="货币 2 2 3 2 2 4 14" xfId="36341" xr:uid="{00000000-0005-0000-0000-0000258E0000}"/>
    <cellStyle name="货币 2 2 3 2 2 4 15" xfId="36343" xr:uid="{00000000-0005-0000-0000-0000278E0000}"/>
    <cellStyle name="货币 2 2 3 2 2 4 2" xfId="36347" xr:uid="{00000000-0005-0000-0000-00002B8E0000}"/>
    <cellStyle name="货币 2 2 3 2 2 4 2 2" xfId="36348" xr:uid="{00000000-0005-0000-0000-00002C8E0000}"/>
    <cellStyle name="货币 2 2 3 2 2 4 2 2 2" xfId="6436" xr:uid="{00000000-0005-0000-0000-000054190000}"/>
    <cellStyle name="货币 2 2 3 2 2 4 2 3" xfId="36349" xr:uid="{00000000-0005-0000-0000-00002D8E0000}"/>
    <cellStyle name="货币 2 2 3 2 2 4 2 4" xfId="20577" xr:uid="{00000000-0005-0000-0000-000091500000}"/>
    <cellStyle name="货币 2 2 3 2 2 4 2 5" xfId="20580" xr:uid="{00000000-0005-0000-0000-000094500000}"/>
    <cellStyle name="货币 2 2 3 2 2 4 2 6" xfId="20584" xr:uid="{00000000-0005-0000-0000-000098500000}"/>
    <cellStyle name="货币 2 2 3 2 2 4 2 7" xfId="9368" xr:uid="{00000000-0005-0000-0000-0000C8240000}"/>
    <cellStyle name="货币 2 2 3 2 2 4 2 8" xfId="20589" xr:uid="{00000000-0005-0000-0000-00009D500000}"/>
    <cellStyle name="货币 2 2 3 2 2 4 2 9" xfId="20593" xr:uid="{00000000-0005-0000-0000-0000A1500000}"/>
    <cellStyle name="货币 2 2 3 2 2 4 3" xfId="36351" xr:uid="{00000000-0005-0000-0000-00002F8E0000}"/>
    <cellStyle name="货币 2 2 3 2 2 4 3 2" xfId="36352" xr:uid="{00000000-0005-0000-0000-0000308E0000}"/>
    <cellStyle name="货币 2 2 3 2 2 4 3 3" xfId="36353" xr:uid="{00000000-0005-0000-0000-0000318E0000}"/>
    <cellStyle name="货币 2 2 3 2 2 4 3 4" xfId="20602" xr:uid="{00000000-0005-0000-0000-0000AA500000}"/>
    <cellStyle name="货币 2 2 3 2 2 4 3 5" xfId="20605" xr:uid="{00000000-0005-0000-0000-0000AD500000}"/>
    <cellStyle name="货币 2 2 3 2 2 4 3 6" xfId="17387" xr:uid="{00000000-0005-0000-0000-00001B440000}"/>
    <cellStyle name="货币 2 2 3 2 2 4 4" xfId="36355" xr:uid="{00000000-0005-0000-0000-0000338E0000}"/>
    <cellStyle name="货币 2 2 3 2 2 4 4 2" xfId="36356" xr:uid="{00000000-0005-0000-0000-0000348E0000}"/>
    <cellStyle name="货币 2 2 3 2 2 4 5" xfId="36357" xr:uid="{00000000-0005-0000-0000-0000358E0000}"/>
    <cellStyle name="货币 2 2 3 2 2 4 6" xfId="36358" xr:uid="{00000000-0005-0000-0000-0000368E0000}"/>
    <cellStyle name="货币 2 2 3 2 2 4 7" xfId="36359" xr:uid="{00000000-0005-0000-0000-0000378E0000}"/>
    <cellStyle name="货币 2 2 3 2 2 4 8" xfId="36360" xr:uid="{00000000-0005-0000-0000-0000388E0000}"/>
    <cellStyle name="货币 2 2 3 2 2 4 9" xfId="36361" xr:uid="{00000000-0005-0000-0000-0000398E0000}"/>
    <cellStyle name="货币 2 2 3 2 2 5" xfId="36362" xr:uid="{00000000-0005-0000-0000-00003A8E0000}"/>
    <cellStyle name="货币 2 2 3 2 2 5 10" xfId="18378" xr:uid="{00000000-0005-0000-0000-0000FA470000}"/>
    <cellStyle name="货币 2 2 3 2 2 5 11" xfId="18384" xr:uid="{00000000-0005-0000-0000-000000480000}"/>
    <cellStyle name="货币 2 2 3 2 2 5 12" xfId="18387" xr:uid="{00000000-0005-0000-0000-000003480000}"/>
    <cellStyle name="货币 2 2 3 2 2 5 13" xfId="18389" xr:uid="{00000000-0005-0000-0000-000005480000}"/>
    <cellStyle name="货币 2 2 3 2 2 5 2" xfId="36363" xr:uid="{00000000-0005-0000-0000-00003B8E0000}"/>
    <cellStyle name="货币 2 2 3 2 2 5 2 2" xfId="36364" xr:uid="{00000000-0005-0000-0000-00003C8E0000}"/>
    <cellStyle name="货币 2 2 3 2 2 5 2 2 2" xfId="5469" xr:uid="{00000000-0005-0000-0000-00008D150000}"/>
    <cellStyle name="货币 2 2 3 2 2 5 2 3" xfId="36365" xr:uid="{00000000-0005-0000-0000-00003D8E0000}"/>
    <cellStyle name="货币 2 2 3 2 2 5 2 4" xfId="20628" xr:uid="{00000000-0005-0000-0000-0000C4500000}"/>
    <cellStyle name="货币 2 2 3 2 2 5 2 5" xfId="20633" xr:uid="{00000000-0005-0000-0000-0000C9500000}"/>
    <cellStyle name="货币 2 2 3 2 2 5 2 6" xfId="20637" xr:uid="{00000000-0005-0000-0000-0000CD500000}"/>
    <cellStyle name="货币 2 2 3 2 2 5 2 7" xfId="20643" xr:uid="{00000000-0005-0000-0000-0000D3500000}"/>
    <cellStyle name="货币 2 2 3 2 2 5 2 8" xfId="20649" xr:uid="{00000000-0005-0000-0000-0000D9500000}"/>
    <cellStyle name="货币 2 2 3 2 2 5 2 9" xfId="20655" xr:uid="{00000000-0005-0000-0000-0000DF500000}"/>
    <cellStyle name="货币 2 2 3 2 2 5 3" xfId="36366" xr:uid="{00000000-0005-0000-0000-00003E8E0000}"/>
    <cellStyle name="货币 2 2 3 2 2 5 3 2" xfId="36367" xr:uid="{00000000-0005-0000-0000-00003F8E0000}"/>
    <cellStyle name="货币 2 2 3 2 2 5 3 3" xfId="36368" xr:uid="{00000000-0005-0000-0000-0000408E0000}"/>
    <cellStyle name="货币 2 2 3 2 2 5 3 4" xfId="20666" xr:uid="{00000000-0005-0000-0000-0000EA500000}"/>
    <cellStyle name="货币 2 2 3 2 2 5 3 5" xfId="20671" xr:uid="{00000000-0005-0000-0000-0000EF500000}"/>
    <cellStyle name="货币 2 2 3 2 2 5 3 6" xfId="20675" xr:uid="{00000000-0005-0000-0000-0000F3500000}"/>
    <cellStyle name="货币 2 2 3 2 2 5 4" xfId="36369" xr:uid="{00000000-0005-0000-0000-0000418E0000}"/>
    <cellStyle name="货币 2 2 3 2 2 5 4 2" xfId="36370" xr:uid="{00000000-0005-0000-0000-0000428E0000}"/>
    <cellStyle name="货币 2 2 3 2 2 5 5" xfId="5539" xr:uid="{00000000-0005-0000-0000-0000D3150000}"/>
    <cellStyle name="货币 2 2 3 2 2 5 6" xfId="956" xr:uid="{00000000-0005-0000-0000-0000EC030000}"/>
    <cellStyle name="货币 2 2 3 2 2 5 7" xfId="5550" xr:uid="{00000000-0005-0000-0000-0000DE150000}"/>
    <cellStyle name="货币 2 2 3 2 2 5 8" xfId="5559" xr:uid="{00000000-0005-0000-0000-0000E7150000}"/>
    <cellStyle name="货币 2 2 3 2 2 5 9" xfId="36371" xr:uid="{00000000-0005-0000-0000-0000438E0000}"/>
    <cellStyle name="货币 2 2 3 2 2 6" xfId="36372" xr:uid="{00000000-0005-0000-0000-0000448E0000}"/>
    <cellStyle name="货币 2 2 3 2 2 6 10" xfId="19457" xr:uid="{00000000-0005-0000-0000-0000314C0000}"/>
    <cellStyle name="货币 2 2 3 2 2 6 11" xfId="21925" xr:uid="{00000000-0005-0000-0000-0000D5550000}"/>
    <cellStyle name="货币 2 2 3 2 2 6 12" xfId="22301" xr:uid="{00000000-0005-0000-0000-00004D570000}"/>
    <cellStyle name="货币 2 2 3 2 2 6 2" xfId="36373" xr:uid="{00000000-0005-0000-0000-0000458E0000}"/>
    <cellStyle name="货币 2 2 3 2 2 6 2 2" xfId="36374" xr:uid="{00000000-0005-0000-0000-0000468E0000}"/>
    <cellStyle name="货币 2 2 3 2 2 6 2 2 2" xfId="210" xr:uid="{00000000-0005-0000-0000-0000E2000000}"/>
    <cellStyle name="货币 2 2 3 2 2 6 2 3" xfId="36375" xr:uid="{00000000-0005-0000-0000-0000478E0000}"/>
    <cellStyle name="货币 2 2 3 2 2 6 2 4" xfId="20693" xr:uid="{00000000-0005-0000-0000-000005510000}"/>
    <cellStyle name="货币 2 2 3 2 2 6 2 5" xfId="20696" xr:uid="{00000000-0005-0000-0000-000008510000}"/>
    <cellStyle name="货币 2 2 3 2 2 6 2 6" xfId="20698" xr:uid="{00000000-0005-0000-0000-00000A510000}"/>
    <cellStyle name="货币 2 2 3 2 2 6 2 7" xfId="20700" xr:uid="{00000000-0005-0000-0000-00000C510000}"/>
    <cellStyle name="货币 2 2 3 2 2 6 2 8" xfId="20702" xr:uid="{00000000-0005-0000-0000-00000E510000}"/>
    <cellStyle name="货币 2 2 3 2 2 6 2 9" xfId="20704" xr:uid="{00000000-0005-0000-0000-000010510000}"/>
    <cellStyle name="货币 2 2 3 2 2 6 3" xfId="36376" xr:uid="{00000000-0005-0000-0000-0000488E0000}"/>
    <cellStyle name="货币 2 2 3 2 2 6 3 2" xfId="36377" xr:uid="{00000000-0005-0000-0000-0000498E0000}"/>
    <cellStyle name="货币 2 2 3 2 2 6 3 3" xfId="36378" xr:uid="{00000000-0005-0000-0000-00004A8E0000}"/>
    <cellStyle name="货币 2 2 3 2 2 6 3 4" xfId="20710" xr:uid="{00000000-0005-0000-0000-000016510000}"/>
    <cellStyle name="货币 2 2 3 2 2 6 3 5" xfId="20713" xr:uid="{00000000-0005-0000-0000-000019510000}"/>
    <cellStyle name="货币 2 2 3 2 2 6 3 6" xfId="20716" xr:uid="{00000000-0005-0000-0000-00001C510000}"/>
    <cellStyle name="货币 2 2 3 2 2 6 4" xfId="23813" xr:uid="{00000000-0005-0000-0000-0000355D0000}"/>
    <cellStyle name="货币 2 2 3 2 2 6 4 2" xfId="21476" xr:uid="{00000000-0005-0000-0000-000014540000}"/>
    <cellStyle name="货币 2 2 3 2 2 6 5" xfId="5584" xr:uid="{00000000-0005-0000-0000-000000160000}"/>
    <cellStyle name="货币 2 2 3 2 2 6 6" xfId="23815" xr:uid="{00000000-0005-0000-0000-0000375D0000}"/>
    <cellStyle name="货币 2 2 3 2 2 6 7" xfId="36379" xr:uid="{00000000-0005-0000-0000-00004B8E0000}"/>
    <cellStyle name="货币 2 2 3 2 2 6 8" xfId="36380" xr:uid="{00000000-0005-0000-0000-00004C8E0000}"/>
    <cellStyle name="货币 2 2 3 2 2 6 9" xfId="31726" xr:uid="{00000000-0005-0000-0000-00001E7C0000}"/>
    <cellStyle name="货币 2 2 3 2 2 7" xfId="36381" xr:uid="{00000000-0005-0000-0000-00004D8E0000}"/>
    <cellStyle name="货币 2 2 3 2 2 7 2" xfId="36382" xr:uid="{00000000-0005-0000-0000-00004E8E0000}"/>
    <cellStyle name="货币 2 2 3 2 2 7 2 2" xfId="32651" xr:uid="{00000000-0005-0000-0000-0000BB7F0000}"/>
    <cellStyle name="货币 2 2 3 2 2 7 3" xfId="36383" xr:uid="{00000000-0005-0000-0000-00004F8E0000}"/>
    <cellStyle name="货币 2 2 3 2 2 7 4" xfId="36384" xr:uid="{00000000-0005-0000-0000-0000508E0000}"/>
    <cellStyle name="货币 2 2 3 2 2 7 5" xfId="36385" xr:uid="{00000000-0005-0000-0000-0000518E0000}"/>
    <cellStyle name="货币 2 2 3 2 2 7 6" xfId="36386" xr:uid="{00000000-0005-0000-0000-0000528E0000}"/>
    <cellStyle name="货币 2 2 3 2 2 7 7" xfId="36387" xr:uid="{00000000-0005-0000-0000-0000538E0000}"/>
    <cellStyle name="货币 2 2 3 2 2 7 8" xfId="36388" xr:uid="{00000000-0005-0000-0000-0000548E0000}"/>
    <cellStyle name="货币 2 2 3 2 2 7 9" xfId="36389" xr:uid="{00000000-0005-0000-0000-0000558E0000}"/>
    <cellStyle name="货币 2 2 3 2 2 8" xfId="36390" xr:uid="{00000000-0005-0000-0000-0000568E0000}"/>
    <cellStyle name="货币 2 2 3 2 2 8 2" xfId="22658" xr:uid="{00000000-0005-0000-0000-0000B2580000}"/>
    <cellStyle name="货币 2 2 3 2 2 8 3" xfId="22660" xr:uid="{00000000-0005-0000-0000-0000B4580000}"/>
    <cellStyle name="货币 2 2 3 2 2 8 4" xfId="22662" xr:uid="{00000000-0005-0000-0000-0000B6580000}"/>
    <cellStyle name="货币 2 2 3 2 2 8 5" xfId="22664" xr:uid="{00000000-0005-0000-0000-0000B8580000}"/>
    <cellStyle name="货币 2 2 3 2 2 8 6" xfId="22666" xr:uid="{00000000-0005-0000-0000-0000BA580000}"/>
    <cellStyle name="货币 2 2 3 2 2 9" xfId="2931" xr:uid="{00000000-0005-0000-0000-0000A30B0000}"/>
    <cellStyle name="货币 2 2 3 2 2 9 2" xfId="2961" xr:uid="{00000000-0005-0000-0000-0000C10B0000}"/>
    <cellStyle name="货币 2 2 3 2 2 9 3" xfId="3168" xr:uid="{00000000-0005-0000-0000-0000900C0000}"/>
    <cellStyle name="货币 2 2 3 2 2 9 4" xfId="3134" xr:uid="{00000000-0005-0000-0000-00006E0C0000}"/>
    <cellStyle name="货币 2 2 3 2 2 9 5" xfId="3161" xr:uid="{00000000-0005-0000-0000-0000890C0000}"/>
    <cellStyle name="货币 2 2 3 2 2 9 6" xfId="3178" xr:uid="{00000000-0005-0000-0000-00009A0C0000}"/>
    <cellStyle name="货币 2 2 3 2 20" xfId="36225" xr:uid="{00000000-0005-0000-0000-0000B18D0000}"/>
    <cellStyle name="货币 2 2 3 2 21" xfId="36227" xr:uid="{00000000-0005-0000-0000-0000B38D0000}"/>
    <cellStyle name="货币 2 2 3 2 22" xfId="36230" xr:uid="{00000000-0005-0000-0000-0000B68D0000}"/>
    <cellStyle name="货币 2 2 3 2 23" xfId="36233" xr:uid="{00000000-0005-0000-0000-0000B98D0000}"/>
    <cellStyle name="货币 2 2 3 2 24" xfId="36236" xr:uid="{00000000-0005-0000-0000-0000BC8D0000}"/>
    <cellStyle name="货币 2 2 3 2 25" xfId="36391" xr:uid="{00000000-0005-0000-0000-0000578E0000}"/>
    <cellStyle name="货币 2 2 3 2 26" xfId="36392" xr:uid="{00000000-0005-0000-0000-0000588E0000}"/>
    <cellStyle name="货币 2 2 3 2 3" xfId="36393" xr:uid="{00000000-0005-0000-0000-0000598E0000}"/>
    <cellStyle name="货币 2 2 3 2 3 10" xfId="36395" xr:uid="{00000000-0005-0000-0000-00005B8E0000}"/>
    <cellStyle name="货币 2 2 3 2 3 10 2" xfId="26949" xr:uid="{00000000-0005-0000-0000-000075690000}"/>
    <cellStyle name="货币 2 2 3 2 3 10 3" xfId="36396" xr:uid="{00000000-0005-0000-0000-00005C8E0000}"/>
    <cellStyle name="货币 2 2 3 2 3 10 4" xfId="36397" xr:uid="{00000000-0005-0000-0000-00005D8E0000}"/>
    <cellStyle name="货币 2 2 3 2 3 10 5" xfId="16201" xr:uid="{00000000-0005-0000-0000-0000793F0000}"/>
    <cellStyle name="货币 2 2 3 2 3 10 6" xfId="16207" xr:uid="{00000000-0005-0000-0000-00007F3F0000}"/>
    <cellStyle name="货币 2 2 3 2 3 11" xfId="36400" xr:uid="{00000000-0005-0000-0000-0000608E0000}"/>
    <cellStyle name="货币 2 2 3 2 3 11 2" xfId="36401" xr:uid="{00000000-0005-0000-0000-0000618E0000}"/>
    <cellStyle name="货币 2 2 3 2 3 11 3" xfId="36402" xr:uid="{00000000-0005-0000-0000-0000628E0000}"/>
    <cellStyle name="货币 2 2 3 2 3 11 4" xfId="25596" xr:uid="{00000000-0005-0000-0000-00002C640000}"/>
    <cellStyle name="货币 2 2 3 2 3 11 5" xfId="16232" xr:uid="{00000000-0005-0000-0000-0000983F0000}"/>
    <cellStyle name="货币 2 2 3 2 3 11 6" xfId="25601" xr:uid="{00000000-0005-0000-0000-000031640000}"/>
    <cellStyle name="货币 2 2 3 2 3 12" xfId="36404" xr:uid="{00000000-0005-0000-0000-0000648E0000}"/>
    <cellStyle name="货币 2 2 3 2 3 13" xfId="35825" xr:uid="{00000000-0005-0000-0000-0000218C0000}"/>
    <cellStyle name="货币 2 2 3 2 3 14" xfId="10115" xr:uid="{00000000-0005-0000-0000-0000B3270000}"/>
    <cellStyle name="货币 2 2 3 2 3 15" xfId="10127" xr:uid="{00000000-0005-0000-0000-0000BF270000}"/>
    <cellStyle name="货币 2 2 3 2 3 16" xfId="25461" xr:uid="{00000000-0005-0000-0000-0000A5630000}"/>
    <cellStyle name="货币 2 2 3 2 3 17" xfId="11208" xr:uid="{00000000-0005-0000-0000-0000F82B0000}"/>
    <cellStyle name="货币 2 2 3 2 3 18" xfId="36405" xr:uid="{00000000-0005-0000-0000-0000658E0000}"/>
    <cellStyle name="货币 2 2 3 2 3 19" xfId="36408" xr:uid="{00000000-0005-0000-0000-0000688E0000}"/>
    <cellStyle name="货币 2 2 3 2 3 2" xfId="36409" xr:uid="{00000000-0005-0000-0000-0000698E0000}"/>
    <cellStyle name="货币 2 2 3 2 3 2 10" xfId="25724" xr:uid="{00000000-0005-0000-0000-0000AC640000}"/>
    <cellStyle name="货币 2 2 3 2 3 2 11" xfId="25728" xr:uid="{00000000-0005-0000-0000-0000B0640000}"/>
    <cellStyle name="货币 2 2 3 2 3 2 12" xfId="25733" xr:uid="{00000000-0005-0000-0000-0000B5640000}"/>
    <cellStyle name="货币 2 2 3 2 3 2 13" xfId="1861" xr:uid="{00000000-0005-0000-0000-000075070000}"/>
    <cellStyle name="货币 2 2 3 2 3 2 14" xfId="1935" xr:uid="{00000000-0005-0000-0000-0000BF070000}"/>
    <cellStyle name="货币 2 2 3 2 3 2 15" xfId="27863" xr:uid="{00000000-0005-0000-0000-0000076D0000}"/>
    <cellStyle name="货币 2 2 3 2 3 2 16" xfId="27867" xr:uid="{00000000-0005-0000-0000-00000B6D0000}"/>
    <cellStyle name="货币 2 2 3 2 3 2 17" xfId="27870" xr:uid="{00000000-0005-0000-0000-00000E6D0000}"/>
    <cellStyle name="货币 2 2 3 2 3 2 18" xfId="34621" xr:uid="{00000000-0005-0000-0000-00006D870000}"/>
    <cellStyle name="货币 2 2 3 2 3 2 2" xfId="36410" xr:uid="{00000000-0005-0000-0000-00006A8E0000}"/>
    <cellStyle name="货币 2 2 3 2 3 2 2 10" xfId="36411" xr:uid="{00000000-0005-0000-0000-00006B8E0000}"/>
    <cellStyle name="货币 2 2 3 2 3 2 2 11" xfId="36413" xr:uid="{00000000-0005-0000-0000-00006D8E0000}"/>
    <cellStyle name="货币 2 2 3 2 3 2 2 12" xfId="36415" xr:uid="{00000000-0005-0000-0000-00006F8E0000}"/>
    <cellStyle name="货币 2 2 3 2 3 2 2 2" xfId="36417" xr:uid="{00000000-0005-0000-0000-0000718E0000}"/>
    <cellStyle name="货币 2 2 3 2 3 2 2 2 2" xfId="20678" xr:uid="{00000000-0005-0000-0000-0000F6500000}"/>
    <cellStyle name="货币 2 2 3 2 3 2 2 2 2 2" xfId="34041" xr:uid="{00000000-0005-0000-0000-000029850000}"/>
    <cellStyle name="货币 2 2 3 2 3 2 2 2 3" xfId="20682" xr:uid="{00000000-0005-0000-0000-0000FA500000}"/>
    <cellStyle name="货币 2 2 3 2 3 2 2 2 4" xfId="20691" xr:uid="{00000000-0005-0000-0000-000003510000}"/>
    <cellStyle name="货币 2 2 3 2 3 2 2 2 5" xfId="18733" xr:uid="{00000000-0005-0000-0000-00005D490000}"/>
    <cellStyle name="货币 2 2 3 2 3 2 2 3" xfId="36418" xr:uid="{00000000-0005-0000-0000-0000728E0000}"/>
    <cellStyle name="货币 2 2 3 2 3 2 2 3 2" xfId="24439" xr:uid="{00000000-0005-0000-0000-0000A75F0000}"/>
    <cellStyle name="货币 2 2 3 2 3 2 2 4" xfId="20764" xr:uid="{00000000-0005-0000-0000-00004C510000}"/>
    <cellStyle name="货币 2 2 3 2 3 2 2 5" xfId="20769" xr:uid="{00000000-0005-0000-0000-000051510000}"/>
    <cellStyle name="货币 2 2 3 2 3 2 2 6" xfId="20776" xr:uid="{00000000-0005-0000-0000-000058510000}"/>
    <cellStyle name="货币 2 2 3 2 3 2 2 7" xfId="20781" xr:uid="{00000000-0005-0000-0000-00005D510000}"/>
    <cellStyle name="货币 2 2 3 2 3 2 2 8" xfId="20785" xr:uid="{00000000-0005-0000-0000-000061510000}"/>
    <cellStyle name="货币 2 2 3 2 3 2 2 9" xfId="20790" xr:uid="{00000000-0005-0000-0000-000066510000}"/>
    <cellStyle name="货币 2 2 3 2 3 2 3" xfId="36419" xr:uid="{00000000-0005-0000-0000-0000738E0000}"/>
    <cellStyle name="货币 2 2 3 2 3 2 3 10" xfId="36420" xr:uid="{00000000-0005-0000-0000-0000748E0000}"/>
    <cellStyle name="货币 2 2 3 2 3 2 3 11" xfId="36421" xr:uid="{00000000-0005-0000-0000-0000758E0000}"/>
    <cellStyle name="货币 2 2 3 2 3 2 3 12" xfId="15293" xr:uid="{00000000-0005-0000-0000-0000ED3B0000}"/>
    <cellStyle name="货币 2 2 3 2 3 2 3 2" xfId="36422" xr:uid="{00000000-0005-0000-0000-0000768E0000}"/>
    <cellStyle name="货币 2 2 3 2 3 2 3 2 2" xfId="36423" xr:uid="{00000000-0005-0000-0000-0000778E0000}"/>
    <cellStyle name="货币 2 2 3 2 3 2 3 2 2 2" xfId="36424" xr:uid="{00000000-0005-0000-0000-0000788E0000}"/>
    <cellStyle name="货币 2 2 3 2 3 2 3 2 3" xfId="33632" xr:uid="{00000000-0005-0000-0000-000090830000}"/>
    <cellStyle name="货币 2 2 3 2 3 2 3 2 4" xfId="36425" xr:uid="{00000000-0005-0000-0000-0000798E0000}"/>
    <cellStyle name="货币 2 2 3 2 3 2 3 2 5" xfId="19110" xr:uid="{00000000-0005-0000-0000-0000D64A0000}"/>
    <cellStyle name="货币 2 2 3 2 3 2 3 3" xfId="36426" xr:uid="{00000000-0005-0000-0000-00007A8E0000}"/>
    <cellStyle name="货币 2 2 3 2 3 2 3 3 2" xfId="24598" xr:uid="{00000000-0005-0000-0000-000046600000}"/>
    <cellStyle name="货币 2 2 3 2 3 2 3 4" xfId="20803" xr:uid="{00000000-0005-0000-0000-000073510000}"/>
    <cellStyle name="货币 2 2 3 2 3 2 3 5" xfId="20807" xr:uid="{00000000-0005-0000-0000-000077510000}"/>
    <cellStyle name="货币 2 2 3 2 3 2 3 6" xfId="17574" xr:uid="{00000000-0005-0000-0000-0000D6440000}"/>
    <cellStyle name="货币 2 2 3 2 3 2 3 7" xfId="15213" xr:uid="{00000000-0005-0000-0000-00009D3B0000}"/>
    <cellStyle name="货币 2 2 3 2 3 2 3 8" xfId="15218" xr:uid="{00000000-0005-0000-0000-0000A23B0000}"/>
    <cellStyle name="货币 2 2 3 2 3 2 3 9" xfId="15222" xr:uid="{00000000-0005-0000-0000-0000A63B0000}"/>
    <cellStyle name="货币 2 2 3 2 3 2 4" xfId="36427" xr:uid="{00000000-0005-0000-0000-00007B8E0000}"/>
    <cellStyle name="货币 2 2 3 2 3 2 4 10" xfId="36428" xr:uid="{00000000-0005-0000-0000-00007C8E0000}"/>
    <cellStyle name="货币 2 2 3 2 3 2 4 2" xfId="26939" xr:uid="{00000000-0005-0000-0000-00006B690000}"/>
    <cellStyle name="货币 2 2 3 2 3 2 4 2 2" xfId="23858" xr:uid="{00000000-0005-0000-0000-0000625D0000}"/>
    <cellStyle name="货币 2 2 3 2 3 2 4 2 2 2" xfId="27322" xr:uid="{00000000-0005-0000-0000-0000EA6A0000}"/>
    <cellStyle name="货币 2 2 3 2 3 2 4 2 3" xfId="23861" xr:uid="{00000000-0005-0000-0000-0000655D0000}"/>
    <cellStyle name="货币 2 2 3 2 3 2 4 2 4" xfId="23863" xr:uid="{00000000-0005-0000-0000-0000675D0000}"/>
    <cellStyle name="货币 2 2 3 2 3 2 4 2 5" xfId="23865" xr:uid="{00000000-0005-0000-0000-0000695D0000}"/>
    <cellStyle name="货币 2 2 3 2 3 2 4 3" xfId="25911" xr:uid="{00000000-0005-0000-0000-000067650000}"/>
    <cellStyle name="货币 2 2 3 2 3 2 4 3 2" xfId="24609" xr:uid="{00000000-0005-0000-0000-000051600000}"/>
    <cellStyle name="货币 2 2 3 2 3 2 4 4" xfId="20813" xr:uid="{00000000-0005-0000-0000-00007D510000}"/>
    <cellStyle name="货币 2 2 3 2 3 2 4 5" xfId="20817" xr:uid="{00000000-0005-0000-0000-000081510000}"/>
    <cellStyle name="货币 2 2 3 2 3 2 4 6" xfId="17582" xr:uid="{00000000-0005-0000-0000-0000DE440000}"/>
    <cellStyle name="货币 2 2 3 2 3 2 4 7" xfId="20821" xr:uid="{00000000-0005-0000-0000-000085510000}"/>
    <cellStyle name="货币 2 2 3 2 3 2 4 8" xfId="36429" xr:uid="{00000000-0005-0000-0000-00007D8E0000}"/>
    <cellStyle name="货币 2 2 3 2 3 2 4 9" xfId="36430" xr:uid="{00000000-0005-0000-0000-00007E8E0000}"/>
    <cellStyle name="货币 2 2 3 2 3 2 5" xfId="36431" xr:uid="{00000000-0005-0000-0000-00007F8E0000}"/>
    <cellStyle name="货币 2 2 3 2 3 2 5 10" xfId="36432" xr:uid="{00000000-0005-0000-0000-0000808E0000}"/>
    <cellStyle name="货币 2 2 3 2 3 2 5 2" xfId="36398" xr:uid="{00000000-0005-0000-0000-00005E8E0000}"/>
    <cellStyle name="货币 2 2 3 2 3 2 5 2 2" xfId="35623" xr:uid="{00000000-0005-0000-0000-0000578B0000}"/>
    <cellStyle name="货币 2 2 3 2 3 2 5 2 2 2" xfId="36433" xr:uid="{00000000-0005-0000-0000-0000818E0000}"/>
    <cellStyle name="货币 2 2 3 2 3 2 5 2 3" xfId="2077" xr:uid="{00000000-0005-0000-0000-00004D080000}"/>
    <cellStyle name="货币 2 2 3 2 3 2 5 2 4" xfId="36434" xr:uid="{00000000-0005-0000-0000-0000828E0000}"/>
    <cellStyle name="货币 2 2 3 2 3 2 5 2 5" xfId="5381" xr:uid="{00000000-0005-0000-0000-000035150000}"/>
    <cellStyle name="货币 2 2 3 2 3 2 5 3" xfId="16202" xr:uid="{00000000-0005-0000-0000-00007A3F0000}"/>
    <cellStyle name="货币 2 2 3 2 3 2 5 3 2" xfId="12962" xr:uid="{00000000-0005-0000-0000-0000D2320000}"/>
    <cellStyle name="货币 2 2 3 2 3 2 5 4" xfId="16208" xr:uid="{00000000-0005-0000-0000-0000803F0000}"/>
    <cellStyle name="货币 2 2 3 2 3 2 5 5" xfId="16215" xr:uid="{00000000-0005-0000-0000-0000873F0000}"/>
    <cellStyle name="货币 2 2 3 2 3 2 5 6" xfId="16221" xr:uid="{00000000-0005-0000-0000-00008D3F0000}"/>
    <cellStyle name="货币 2 2 3 2 3 2 5 7" xfId="36435" xr:uid="{00000000-0005-0000-0000-0000838E0000}"/>
    <cellStyle name="货币 2 2 3 2 3 2 5 8" xfId="36436" xr:uid="{00000000-0005-0000-0000-0000848E0000}"/>
    <cellStyle name="货币 2 2 3 2 3 2 5 9" xfId="36437" xr:uid="{00000000-0005-0000-0000-0000858E0000}"/>
    <cellStyle name="货币 2 2 3 2 3 2 6" xfId="25594" xr:uid="{00000000-0005-0000-0000-00002A640000}"/>
    <cellStyle name="货币 2 2 3 2 3 2 6 2" xfId="25597" xr:uid="{00000000-0005-0000-0000-00002D640000}"/>
    <cellStyle name="货币 2 2 3 2 3 2 6 2 2" xfId="36438" xr:uid="{00000000-0005-0000-0000-0000868E0000}"/>
    <cellStyle name="货币 2 2 3 2 3 2 6 3" xfId="16233" xr:uid="{00000000-0005-0000-0000-0000993F0000}"/>
    <cellStyle name="货币 2 2 3 2 3 2 6 4" xfId="25602" xr:uid="{00000000-0005-0000-0000-000032640000}"/>
    <cellStyle name="货币 2 2 3 2 3 2 6 5" xfId="25606" xr:uid="{00000000-0005-0000-0000-000036640000}"/>
    <cellStyle name="货币 2 2 3 2 3 2 6 6" xfId="25610" xr:uid="{00000000-0005-0000-0000-00003A640000}"/>
    <cellStyle name="货币 2 2 3 2 3 2 6 7" xfId="36439" xr:uid="{00000000-0005-0000-0000-0000878E0000}"/>
    <cellStyle name="货币 2 2 3 2 3 2 6 8" xfId="36440" xr:uid="{00000000-0005-0000-0000-0000888E0000}"/>
    <cellStyle name="货币 2 2 3 2 3 2 6 9" xfId="36442" xr:uid="{00000000-0005-0000-0000-00008A8E0000}"/>
    <cellStyle name="货币 2 2 3 2 3 2 7" xfId="25612" xr:uid="{00000000-0005-0000-0000-00003C640000}"/>
    <cellStyle name="货币 2 2 3 2 3 2 7 2" xfId="25615" xr:uid="{00000000-0005-0000-0000-00003F640000}"/>
    <cellStyle name="货币 2 2 3 2 3 2 8" xfId="25630" xr:uid="{00000000-0005-0000-0000-00004E640000}"/>
    <cellStyle name="货币 2 2 3 2 3 2 9" xfId="25636" xr:uid="{00000000-0005-0000-0000-000054640000}"/>
    <cellStyle name="货币 2 2 3 2 3 20" xfId="10128" xr:uid="{00000000-0005-0000-0000-0000C0270000}"/>
    <cellStyle name="货币 2 2 3 2 3 21" xfId="25462" xr:uid="{00000000-0005-0000-0000-0000A6630000}"/>
    <cellStyle name="货币 2 2 3 2 3 22" xfId="11209" xr:uid="{00000000-0005-0000-0000-0000F92B0000}"/>
    <cellStyle name="货币 2 2 3 2 3 23" xfId="36406" xr:uid="{00000000-0005-0000-0000-0000668E0000}"/>
    <cellStyle name="货币 2 2 3 2 3 3" xfId="36443" xr:uid="{00000000-0005-0000-0000-00008B8E0000}"/>
    <cellStyle name="货币 2 2 3 2 3 3 10" xfId="20786" xr:uid="{00000000-0005-0000-0000-000062510000}"/>
    <cellStyle name="货币 2 2 3 2 3 3 11" xfId="20791" xr:uid="{00000000-0005-0000-0000-000067510000}"/>
    <cellStyle name="货币 2 2 3 2 3 3 12" xfId="20795" xr:uid="{00000000-0005-0000-0000-00006B510000}"/>
    <cellStyle name="货币 2 2 3 2 3 3 13" xfId="20797" xr:uid="{00000000-0005-0000-0000-00006D510000}"/>
    <cellStyle name="货币 2 2 3 2 3 3 14" xfId="36444" xr:uid="{00000000-0005-0000-0000-00008C8E0000}"/>
    <cellStyle name="货币 2 2 3 2 3 3 15" xfId="36446" xr:uid="{00000000-0005-0000-0000-00008E8E0000}"/>
    <cellStyle name="货币 2 2 3 2 3 3 16" xfId="36448" xr:uid="{00000000-0005-0000-0000-0000908E0000}"/>
    <cellStyle name="货币 2 2 3 2 3 3 17" xfId="36450" xr:uid="{00000000-0005-0000-0000-0000928E0000}"/>
    <cellStyle name="货币 2 2 3 2 3 3 18" xfId="36452" xr:uid="{00000000-0005-0000-0000-0000948E0000}"/>
    <cellStyle name="货币 2 2 3 2 3 3 2" xfId="36455" xr:uid="{00000000-0005-0000-0000-0000978E0000}"/>
    <cellStyle name="货币 2 2 3 2 3 3 2 10" xfId="14415" xr:uid="{00000000-0005-0000-0000-00007F380000}"/>
    <cellStyle name="货币 2 2 3 2 3 3 2 2" xfId="23312" xr:uid="{00000000-0005-0000-0000-0000405B0000}"/>
    <cellStyle name="货币 2 2 3 2 3 3 2 2 2" xfId="13086" xr:uid="{00000000-0005-0000-0000-00004E330000}"/>
    <cellStyle name="货币 2 2 3 2 3 3 2 3" xfId="23318" xr:uid="{00000000-0005-0000-0000-0000465B0000}"/>
    <cellStyle name="货币 2 2 3 2 3 3 2 4" xfId="20838" xr:uid="{00000000-0005-0000-0000-000096510000}"/>
    <cellStyle name="货币 2 2 3 2 3 3 2 5" xfId="20841" xr:uid="{00000000-0005-0000-0000-000099510000}"/>
    <cellStyle name="货币 2 2 3 2 3 3 2 6" xfId="20848" xr:uid="{00000000-0005-0000-0000-0000A0510000}"/>
    <cellStyle name="货币 2 2 3 2 3 3 2 7" xfId="20855" xr:uid="{00000000-0005-0000-0000-0000A7510000}"/>
    <cellStyle name="货币 2 2 3 2 3 3 2 8" xfId="25924" xr:uid="{00000000-0005-0000-0000-000074650000}"/>
    <cellStyle name="货币 2 2 3 2 3 3 2 9" xfId="25927" xr:uid="{00000000-0005-0000-0000-000077650000}"/>
    <cellStyle name="货币 2 2 3 2 3 3 3" xfId="36457" xr:uid="{00000000-0005-0000-0000-0000998E0000}"/>
    <cellStyle name="货币 2 2 3 2 3 3 3 2" xfId="36458" xr:uid="{00000000-0005-0000-0000-00009A8E0000}"/>
    <cellStyle name="货币 2 2 3 2 3 3 3 3" xfId="36459" xr:uid="{00000000-0005-0000-0000-00009B8E0000}"/>
    <cellStyle name="货币 2 2 3 2 3 3 3 4" xfId="20863" xr:uid="{00000000-0005-0000-0000-0000AF510000}"/>
    <cellStyle name="货币 2 2 3 2 3 3 3 5" xfId="6378" xr:uid="{00000000-0005-0000-0000-00001A190000}"/>
    <cellStyle name="货币 2 2 3 2 3 3 3 6" xfId="17590" xr:uid="{00000000-0005-0000-0000-0000E6440000}"/>
    <cellStyle name="货币 2 2 3 2 3 3 4" xfId="36461" xr:uid="{00000000-0005-0000-0000-00009D8E0000}"/>
    <cellStyle name="货币 2 2 3 2 3 3 4 2" xfId="36463" xr:uid="{00000000-0005-0000-0000-00009F8E0000}"/>
    <cellStyle name="货币 2 2 3 2 3 3 4 3" xfId="36465" xr:uid="{00000000-0005-0000-0000-0000A18E0000}"/>
    <cellStyle name="货币 2 2 3 2 3 3 4 4" xfId="36466" xr:uid="{00000000-0005-0000-0000-0000A28E0000}"/>
    <cellStyle name="货币 2 2 3 2 3 3 4 5" xfId="6391" xr:uid="{00000000-0005-0000-0000-000027190000}"/>
    <cellStyle name="货币 2 2 3 2 3 3 4 6" xfId="36467" xr:uid="{00000000-0005-0000-0000-0000A38E0000}"/>
    <cellStyle name="货币 2 2 3 2 3 3 5" xfId="36469" xr:uid="{00000000-0005-0000-0000-0000A58E0000}"/>
    <cellStyle name="货币 2 2 3 2 3 3 5 2" xfId="36470" xr:uid="{00000000-0005-0000-0000-0000A68E0000}"/>
    <cellStyle name="货币 2 2 3 2 3 3 5 3" xfId="11516" xr:uid="{00000000-0005-0000-0000-00002C2D0000}"/>
    <cellStyle name="货币 2 2 3 2 3 3 5 4" xfId="36471" xr:uid="{00000000-0005-0000-0000-0000A78E0000}"/>
    <cellStyle name="货币 2 2 3 2 3 3 5 5" xfId="6397" xr:uid="{00000000-0005-0000-0000-00002D190000}"/>
    <cellStyle name="货币 2 2 3 2 3 3 5 6" xfId="36472" xr:uid="{00000000-0005-0000-0000-0000A88E0000}"/>
    <cellStyle name="货币 2 2 3 2 3 3 6" xfId="36473" xr:uid="{00000000-0005-0000-0000-0000A98E0000}"/>
    <cellStyle name="货币 2 2 3 2 3 3 6 2" xfId="36474" xr:uid="{00000000-0005-0000-0000-0000AA8E0000}"/>
    <cellStyle name="货币 2 2 3 2 3 3 6 3" xfId="36476" xr:uid="{00000000-0005-0000-0000-0000AC8E0000}"/>
    <cellStyle name="货币 2 2 3 2 3 3 6 4" xfId="36479" xr:uid="{00000000-0005-0000-0000-0000AF8E0000}"/>
    <cellStyle name="货币 2 2 3 2 3 3 6 5" xfId="6401" xr:uid="{00000000-0005-0000-0000-000031190000}"/>
    <cellStyle name="货币 2 2 3 2 3 3 6 6" xfId="36480" xr:uid="{00000000-0005-0000-0000-0000B08E0000}"/>
    <cellStyle name="货币 2 2 3 2 3 3 7" xfId="36481" xr:uid="{00000000-0005-0000-0000-0000B18E0000}"/>
    <cellStyle name="货币 2 2 3 2 3 3 8" xfId="36482" xr:uid="{00000000-0005-0000-0000-0000B28E0000}"/>
    <cellStyle name="货币 2 2 3 2 3 3 9" xfId="36483" xr:uid="{00000000-0005-0000-0000-0000B38E0000}"/>
    <cellStyle name="货币 2 2 3 2 3 4" xfId="36484" xr:uid="{00000000-0005-0000-0000-0000B48E0000}"/>
    <cellStyle name="货币 2 2 3 2 3 4 10" xfId="29537" xr:uid="{00000000-0005-0000-0000-000091730000}"/>
    <cellStyle name="货币 2 2 3 2 3 4 11" xfId="29540" xr:uid="{00000000-0005-0000-0000-000094730000}"/>
    <cellStyle name="货币 2 2 3 2 3 4 12" xfId="34019" xr:uid="{00000000-0005-0000-0000-000013850000}"/>
    <cellStyle name="货币 2 2 3 2 3 4 13" xfId="36485" xr:uid="{00000000-0005-0000-0000-0000B58E0000}"/>
    <cellStyle name="货币 2 2 3 2 3 4 14" xfId="25645" xr:uid="{00000000-0005-0000-0000-00005D640000}"/>
    <cellStyle name="货币 2 2 3 2 3 4 15" xfId="25649" xr:uid="{00000000-0005-0000-0000-000061640000}"/>
    <cellStyle name="货币 2 2 3 2 3 4 2" xfId="36489" xr:uid="{00000000-0005-0000-0000-0000B98E0000}"/>
    <cellStyle name="货币 2 2 3 2 3 4 2 2" xfId="36490" xr:uid="{00000000-0005-0000-0000-0000BA8E0000}"/>
    <cellStyle name="货币 2 2 3 2 3 4 2 2 2" xfId="14484" xr:uid="{00000000-0005-0000-0000-0000C4380000}"/>
    <cellStyle name="货币 2 2 3 2 3 4 2 3" xfId="36491" xr:uid="{00000000-0005-0000-0000-0000BB8E0000}"/>
    <cellStyle name="货币 2 2 3 2 3 4 2 4" xfId="20875" xr:uid="{00000000-0005-0000-0000-0000BB510000}"/>
    <cellStyle name="货币 2 2 3 2 3 4 2 5" xfId="20880" xr:uid="{00000000-0005-0000-0000-0000C0510000}"/>
    <cellStyle name="货币 2 2 3 2 3 4 2 6" xfId="20885" xr:uid="{00000000-0005-0000-0000-0000C5510000}"/>
    <cellStyle name="货币 2 2 3 2 3 4 2 7" xfId="20890" xr:uid="{00000000-0005-0000-0000-0000CA510000}"/>
    <cellStyle name="货币 2 2 3 2 3 4 2 8" xfId="36492" xr:uid="{00000000-0005-0000-0000-0000BC8E0000}"/>
    <cellStyle name="货币 2 2 3 2 3 4 2 9" xfId="36493" xr:uid="{00000000-0005-0000-0000-0000BD8E0000}"/>
    <cellStyle name="货币 2 2 3 2 3 4 3" xfId="36495" xr:uid="{00000000-0005-0000-0000-0000BF8E0000}"/>
    <cellStyle name="货币 2 2 3 2 3 4 3 2" xfId="32489" xr:uid="{00000000-0005-0000-0000-0000197F0000}"/>
    <cellStyle name="货币 2 2 3 2 3 4 3 3" xfId="36496" xr:uid="{00000000-0005-0000-0000-0000C08E0000}"/>
    <cellStyle name="货币 2 2 3 2 3 4 3 4" xfId="20896" xr:uid="{00000000-0005-0000-0000-0000D0510000}"/>
    <cellStyle name="货币 2 2 3 2 3 4 3 5" xfId="36497" xr:uid="{00000000-0005-0000-0000-0000C18E0000}"/>
    <cellStyle name="货币 2 2 3 2 3 4 3 6" xfId="36498" xr:uid="{00000000-0005-0000-0000-0000C28E0000}"/>
    <cellStyle name="货币 2 2 3 2 3 4 4" xfId="36501" xr:uid="{00000000-0005-0000-0000-0000C58E0000}"/>
    <cellStyle name="货币 2 2 3 2 3 4 4 2" xfId="6825" xr:uid="{00000000-0005-0000-0000-0000D91A0000}"/>
    <cellStyle name="货币 2 2 3 2 3 4 5" xfId="36502" xr:uid="{00000000-0005-0000-0000-0000C68E0000}"/>
    <cellStyle name="货币 2 2 3 2 3 4 6" xfId="36504" xr:uid="{00000000-0005-0000-0000-0000C88E0000}"/>
    <cellStyle name="货币 2 2 3 2 3 4 7" xfId="36505" xr:uid="{00000000-0005-0000-0000-0000C98E0000}"/>
    <cellStyle name="货币 2 2 3 2 3 4 8" xfId="36506" xr:uid="{00000000-0005-0000-0000-0000CA8E0000}"/>
    <cellStyle name="货币 2 2 3 2 3 4 9" xfId="36507" xr:uid="{00000000-0005-0000-0000-0000CB8E0000}"/>
    <cellStyle name="货币 2 2 3 2 3 5" xfId="36508" xr:uid="{00000000-0005-0000-0000-0000CC8E0000}"/>
    <cellStyle name="货币 2 2 3 2 3 5 10" xfId="36509" xr:uid="{00000000-0005-0000-0000-0000CD8E0000}"/>
    <cellStyle name="货币 2 2 3 2 3 5 11" xfId="36510" xr:uid="{00000000-0005-0000-0000-0000CE8E0000}"/>
    <cellStyle name="货币 2 2 3 2 3 5 12" xfId="36511" xr:uid="{00000000-0005-0000-0000-0000CF8E0000}"/>
    <cellStyle name="货币 2 2 3 2 3 5 13" xfId="36512" xr:uid="{00000000-0005-0000-0000-0000D08E0000}"/>
    <cellStyle name="货币 2 2 3 2 3 5 2" xfId="25332" xr:uid="{00000000-0005-0000-0000-000024630000}"/>
    <cellStyle name="货币 2 2 3 2 3 5 2 2" xfId="36514" xr:uid="{00000000-0005-0000-0000-0000D28E0000}"/>
    <cellStyle name="货币 2 2 3 2 3 5 2 2 2" xfId="5794" xr:uid="{00000000-0005-0000-0000-0000D2160000}"/>
    <cellStyle name="货币 2 2 3 2 3 5 2 3" xfId="23444" xr:uid="{00000000-0005-0000-0000-0000C45B0000}"/>
    <cellStyle name="货币 2 2 3 2 3 5 2 4" xfId="20912" xr:uid="{00000000-0005-0000-0000-0000E0510000}"/>
    <cellStyle name="货币 2 2 3 2 3 5 2 5" xfId="20919" xr:uid="{00000000-0005-0000-0000-0000E7510000}"/>
    <cellStyle name="货币 2 2 3 2 3 5 2 6" xfId="20927" xr:uid="{00000000-0005-0000-0000-0000EF510000}"/>
    <cellStyle name="货币 2 2 3 2 3 5 2 7" xfId="20936" xr:uid="{00000000-0005-0000-0000-0000F8510000}"/>
    <cellStyle name="货币 2 2 3 2 3 5 2 8" xfId="36516" xr:uid="{00000000-0005-0000-0000-0000D48E0000}"/>
    <cellStyle name="货币 2 2 3 2 3 5 2 9" xfId="36519" xr:uid="{00000000-0005-0000-0000-0000D78E0000}"/>
    <cellStyle name="货币 2 2 3 2 3 5 3" xfId="25334" xr:uid="{00000000-0005-0000-0000-000026630000}"/>
    <cellStyle name="货币 2 2 3 2 3 5 3 2" xfId="36520" xr:uid="{00000000-0005-0000-0000-0000D88E0000}"/>
    <cellStyle name="货币 2 2 3 2 3 5 3 3" xfId="23452" xr:uid="{00000000-0005-0000-0000-0000CC5B0000}"/>
    <cellStyle name="货币 2 2 3 2 3 5 3 4" xfId="20943" xr:uid="{00000000-0005-0000-0000-0000FF510000}"/>
    <cellStyle name="货币 2 2 3 2 3 5 3 5" xfId="23456" xr:uid="{00000000-0005-0000-0000-0000D05B0000}"/>
    <cellStyle name="货币 2 2 3 2 3 5 3 6" xfId="23460" xr:uid="{00000000-0005-0000-0000-0000D45B0000}"/>
    <cellStyle name="货币 2 2 3 2 3 5 4" xfId="25336" xr:uid="{00000000-0005-0000-0000-000028630000}"/>
    <cellStyle name="货币 2 2 3 2 3 5 4 2" xfId="36522" xr:uid="{00000000-0005-0000-0000-0000DA8E0000}"/>
    <cellStyle name="货币 2 2 3 2 3 5 5" xfId="5905" xr:uid="{00000000-0005-0000-0000-000041170000}"/>
    <cellStyle name="货币 2 2 3 2 3 5 6" xfId="2042" xr:uid="{00000000-0005-0000-0000-00002A080000}"/>
    <cellStyle name="货币 2 2 3 2 3 5 7" xfId="5922" xr:uid="{00000000-0005-0000-0000-000052170000}"/>
    <cellStyle name="货币 2 2 3 2 3 5 8" xfId="5926" xr:uid="{00000000-0005-0000-0000-000056170000}"/>
    <cellStyle name="货币 2 2 3 2 3 5 9" xfId="36523" xr:uid="{00000000-0005-0000-0000-0000DB8E0000}"/>
    <cellStyle name="货币 2 2 3 2 3 6" xfId="78" xr:uid="{00000000-0005-0000-0000-000052000000}"/>
    <cellStyle name="货币 2 2 3 2 3 6 10" xfId="19868" xr:uid="{00000000-0005-0000-0000-0000CC4D0000}"/>
    <cellStyle name="货币 2 2 3 2 3 6 11" xfId="27939" xr:uid="{00000000-0005-0000-0000-0000536D0000}"/>
    <cellStyle name="货币 2 2 3 2 3 6 12" xfId="27953" xr:uid="{00000000-0005-0000-0000-0000616D0000}"/>
    <cellStyle name="货币 2 2 3 2 3 6 2" xfId="25347" xr:uid="{00000000-0005-0000-0000-000033630000}"/>
    <cellStyle name="货币 2 2 3 2 3 6 2 2" xfId="5950" xr:uid="{00000000-0005-0000-0000-00006E170000}"/>
    <cellStyle name="货币 2 2 3 2 3 6 2 2 2" xfId="15318" xr:uid="{00000000-0005-0000-0000-0000063C0000}"/>
    <cellStyle name="货币 2 2 3 2 3 6 2 3" xfId="13392" xr:uid="{00000000-0005-0000-0000-000080340000}"/>
    <cellStyle name="货币 2 2 3 2 3 6 2 4" xfId="13395" xr:uid="{00000000-0005-0000-0000-000083340000}"/>
    <cellStyle name="货币 2 2 3 2 3 6 2 5" xfId="36524" xr:uid="{00000000-0005-0000-0000-0000DC8E0000}"/>
    <cellStyle name="货币 2 2 3 2 3 6 2 6" xfId="36525" xr:uid="{00000000-0005-0000-0000-0000DD8E0000}"/>
    <cellStyle name="货币 2 2 3 2 3 6 2 7" xfId="28766" xr:uid="{00000000-0005-0000-0000-00008E700000}"/>
    <cellStyle name="货币 2 2 3 2 3 6 2 8" xfId="28768" xr:uid="{00000000-0005-0000-0000-000090700000}"/>
    <cellStyle name="货币 2 2 3 2 3 6 2 9" xfId="36526" xr:uid="{00000000-0005-0000-0000-0000DE8E0000}"/>
    <cellStyle name="货币 2 2 3 2 3 6 3" xfId="36527" xr:uid="{00000000-0005-0000-0000-0000DF8E0000}"/>
    <cellStyle name="货币 2 2 3 2 3 6 3 2" xfId="36528" xr:uid="{00000000-0005-0000-0000-0000E08E0000}"/>
    <cellStyle name="货币 2 2 3 2 3 6 3 3" xfId="36529" xr:uid="{00000000-0005-0000-0000-0000E18E0000}"/>
    <cellStyle name="货币 2 2 3 2 3 6 3 4" xfId="36530" xr:uid="{00000000-0005-0000-0000-0000E28E0000}"/>
    <cellStyle name="货币 2 2 3 2 3 6 3 5" xfId="36531" xr:uid="{00000000-0005-0000-0000-0000E38E0000}"/>
    <cellStyle name="货币 2 2 3 2 3 6 3 6" xfId="36532" xr:uid="{00000000-0005-0000-0000-0000E48E0000}"/>
    <cellStyle name="货币 2 2 3 2 3 6 4" xfId="36533" xr:uid="{00000000-0005-0000-0000-0000E58E0000}"/>
    <cellStyle name="货币 2 2 3 2 3 6 4 2" xfId="27915" xr:uid="{00000000-0005-0000-0000-00003B6D0000}"/>
    <cellStyle name="货币 2 2 3 2 3 6 5" xfId="5980" xr:uid="{00000000-0005-0000-0000-00008C170000}"/>
    <cellStyle name="货币 2 2 3 2 3 6 6" xfId="27984" xr:uid="{00000000-0005-0000-0000-0000806D0000}"/>
    <cellStyle name="货币 2 2 3 2 3 6 7" xfId="36534" xr:uid="{00000000-0005-0000-0000-0000E68E0000}"/>
    <cellStyle name="货币 2 2 3 2 3 6 8" xfId="36535" xr:uid="{00000000-0005-0000-0000-0000E78E0000}"/>
    <cellStyle name="货币 2 2 3 2 3 6 9" xfId="36536" xr:uid="{00000000-0005-0000-0000-0000E88E0000}"/>
    <cellStyle name="货币 2 2 3 2 3 7" xfId="26545" xr:uid="{00000000-0005-0000-0000-0000E1670000}"/>
    <cellStyle name="货币 2 2 3 2 3 7 2" xfId="25357" xr:uid="{00000000-0005-0000-0000-00003D630000}"/>
    <cellStyle name="货币 2 2 3 2 3 7 2 2" xfId="36537" xr:uid="{00000000-0005-0000-0000-0000E98E0000}"/>
    <cellStyle name="货币 2 2 3 2 3 7 3" xfId="36538" xr:uid="{00000000-0005-0000-0000-0000EA8E0000}"/>
    <cellStyle name="货币 2 2 3 2 3 7 4" xfId="36540" xr:uid="{00000000-0005-0000-0000-0000EC8E0000}"/>
    <cellStyle name="货币 2 2 3 2 3 7 5" xfId="36541" xr:uid="{00000000-0005-0000-0000-0000ED8E0000}"/>
    <cellStyle name="货币 2 2 3 2 3 7 6" xfId="25803" xr:uid="{00000000-0005-0000-0000-0000FB640000}"/>
    <cellStyle name="货币 2 2 3 2 3 7 7" xfId="24895" xr:uid="{00000000-0005-0000-0000-00006F610000}"/>
    <cellStyle name="货币 2 2 3 2 3 7 8" xfId="25811" xr:uid="{00000000-0005-0000-0000-000003650000}"/>
    <cellStyle name="货币 2 2 3 2 3 7 9" xfId="25814" xr:uid="{00000000-0005-0000-0000-000006650000}"/>
    <cellStyle name="货币 2 2 3 2 3 8" xfId="26548" xr:uid="{00000000-0005-0000-0000-0000E4670000}"/>
    <cellStyle name="货币 2 2 3 2 3 8 2" xfId="22704" xr:uid="{00000000-0005-0000-0000-0000E0580000}"/>
    <cellStyle name="货币 2 2 3 2 3 8 3" xfId="22707" xr:uid="{00000000-0005-0000-0000-0000E3580000}"/>
    <cellStyle name="货币 2 2 3 2 3 8 4" xfId="22709" xr:uid="{00000000-0005-0000-0000-0000E5580000}"/>
    <cellStyle name="货币 2 2 3 2 3 8 5" xfId="22711" xr:uid="{00000000-0005-0000-0000-0000E7580000}"/>
    <cellStyle name="货币 2 2 3 2 3 8 6" xfId="22713" xr:uid="{00000000-0005-0000-0000-0000E9580000}"/>
    <cellStyle name="货币 2 2 3 2 3 9" xfId="3043" xr:uid="{00000000-0005-0000-0000-0000130C0000}"/>
    <cellStyle name="货币 2 2 3 2 3 9 2" xfId="3572" xr:uid="{00000000-0005-0000-0000-0000240E0000}"/>
    <cellStyle name="货币 2 2 3 2 3 9 3" xfId="282" xr:uid="{00000000-0005-0000-0000-00002D010000}"/>
    <cellStyle name="货币 2 2 3 2 3 9 4" xfId="305" xr:uid="{00000000-0005-0000-0000-000045010000}"/>
    <cellStyle name="货币 2 2 3 2 3 9 5" xfId="326" xr:uid="{00000000-0005-0000-0000-00005C010000}"/>
    <cellStyle name="货币 2 2 3 2 3 9 6" xfId="197" xr:uid="{00000000-0005-0000-0000-0000D4000000}"/>
    <cellStyle name="货币 2 2 3 2 4" xfId="36542" xr:uid="{00000000-0005-0000-0000-0000EE8E0000}"/>
    <cellStyle name="货币 2 2 3 2 4 10" xfId="36543" xr:uid="{00000000-0005-0000-0000-0000EF8E0000}"/>
    <cellStyle name="货币 2 2 3 2 4 10 2" xfId="36544" xr:uid="{00000000-0005-0000-0000-0000F08E0000}"/>
    <cellStyle name="货币 2 2 3 2 4 10 3" xfId="36545" xr:uid="{00000000-0005-0000-0000-0000F18E0000}"/>
    <cellStyle name="货币 2 2 3 2 4 10 4" xfId="36547" xr:uid="{00000000-0005-0000-0000-0000F38E0000}"/>
    <cellStyle name="货币 2 2 3 2 4 10 5" xfId="36548" xr:uid="{00000000-0005-0000-0000-0000F48E0000}"/>
    <cellStyle name="货币 2 2 3 2 4 10 6" xfId="36549" xr:uid="{00000000-0005-0000-0000-0000F58E0000}"/>
    <cellStyle name="货币 2 2 3 2 4 11" xfId="36550" xr:uid="{00000000-0005-0000-0000-0000F68E0000}"/>
    <cellStyle name="货币 2 2 3 2 4 11 2" xfId="36551" xr:uid="{00000000-0005-0000-0000-0000F78E0000}"/>
    <cellStyle name="货币 2 2 3 2 4 11 3" xfId="36552" xr:uid="{00000000-0005-0000-0000-0000F88E0000}"/>
    <cellStyle name="货币 2 2 3 2 4 11 4" xfId="25805" xr:uid="{00000000-0005-0000-0000-0000FD640000}"/>
    <cellStyle name="货币 2 2 3 2 4 11 5" xfId="25807" xr:uid="{00000000-0005-0000-0000-0000FF640000}"/>
    <cellStyle name="货币 2 2 3 2 4 11 6" xfId="7843" xr:uid="{00000000-0005-0000-0000-0000D31E0000}"/>
    <cellStyle name="货币 2 2 3 2 4 12" xfId="36553" xr:uid="{00000000-0005-0000-0000-0000F98E0000}"/>
    <cellStyle name="货币 2 2 3 2 4 13" xfId="36554" xr:uid="{00000000-0005-0000-0000-0000FA8E0000}"/>
    <cellStyle name="货币 2 2 3 2 4 14" xfId="36555" xr:uid="{00000000-0005-0000-0000-0000FB8E0000}"/>
    <cellStyle name="货币 2 2 3 2 4 15" xfId="36556" xr:uid="{00000000-0005-0000-0000-0000FC8E0000}"/>
    <cellStyle name="货币 2 2 3 2 4 16" xfId="36558" xr:uid="{00000000-0005-0000-0000-0000FE8E0000}"/>
    <cellStyle name="货币 2 2 3 2 4 17" xfId="36560" xr:uid="{00000000-0005-0000-0000-0000008F0000}"/>
    <cellStyle name="货币 2 2 3 2 4 18" xfId="36562" xr:uid="{00000000-0005-0000-0000-0000028F0000}"/>
    <cellStyle name="货币 2 2 3 2 4 19" xfId="36564" xr:uid="{00000000-0005-0000-0000-0000048F0000}"/>
    <cellStyle name="货币 2 2 3 2 4 2" xfId="36565" xr:uid="{00000000-0005-0000-0000-0000058F0000}"/>
    <cellStyle name="货币 2 2 3 2 4 2 10" xfId="19710" xr:uid="{00000000-0005-0000-0000-00002E4D0000}"/>
    <cellStyle name="货币 2 2 3 2 4 2 11" xfId="19715" xr:uid="{00000000-0005-0000-0000-0000334D0000}"/>
    <cellStyle name="货币 2 2 3 2 4 2 12" xfId="36566" xr:uid="{00000000-0005-0000-0000-0000068F0000}"/>
    <cellStyle name="货币 2 2 3 2 4 2 13" xfId="36567" xr:uid="{00000000-0005-0000-0000-0000078F0000}"/>
    <cellStyle name="货币 2 2 3 2 4 2 14" xfId="36569" xr:uid="{00000000-0005-0000-0000-0000098F0000}"/>
    <cellStyle name="货币 2 2 3 2 4 2 15" xfId="36571" xr:uid="{00000000-0005-0000-0000-00000B8F0000}"/>
    <cellStyle name="货币 2 2 3 2 4 2 16" xfId="36573" xr:uid="{00000000-0005-0000-0000-00000D8F0000}"/>
    <cellStyle name="货币 2 2 3 2 4 2 17" xfId="4576" xr:uid="{00000000-0005-0000-0000-000010120000}"/>
    <cellStyle name="货币 2 2 3 2 4 2 18" xfId="36575" xr:uid="{00000000-0005-0000-0000-00000F8F0000}"/>
    <cellStyle name="货币 2 2 3 2 4 2 2" xfId="36577" xr:uid="{00000000-0005-0000-0000-0000118F0000}"/>
    <cellStyle name="货币 2 2 3 2 4 2 2 10" xfId="36579" xr:uid="{00000000-0005-0000-0000-0000138F0000}"/>
    <cellStyle name="货币 2 2 3 2 4 2 2 11" xfId="32492" xr:uid="{00000000-0005-0000-0000-00001C7F0000}"/>
    <cellStyle name="货币 2 2 3 2 4 2 2 12" xfId="32499" xr:uid="{00000000-0005-0000-0000-0000237F0000}"/>
    <cellStyle name="货币 2 2 3 2 4 2 2 2" xfId="26995" xr:uid="{00000000-0005-0000-0000-0000A3690000}"/>
    <cellStyle name="货币 2 2 3 2 4 2 2 2 2" xfId="6770" xr:uid="{00000000-0005-0000-0000-0000A21A0000}"/>
    <cellStyle name="货币 2 2 3 2 4 2 2 2 2 2" xfId="6773" xr:uid="{00000000-0005-0000-0000-0000A51A0000}"/>
    <cellStyle name="货币 2 2 3 2 4 2 2 2 3" xfId="6797" xr:uid="{00000000-0005-0000-0000-0000BD1A0000}"/>
    <cellStyle name="货币 2 2 3 2 4 2 2 2 4" xfId="6801" xr:uid="{00000000-0005-0000-0000-0000C11A0000}"/>
    <cellStyle name="货币 2 2 3 2 4 2 2 2 5" xfId="5373" xr:uid="{00000000-0005-0000-0000-00002D150000}"/>
    <cellStyle name="货币 2 2 3 2 4 2 2 3" xfId="26043" xr:uid="{00000000-0005-0000-0000-0000EB650000}"/>
    <cellStyle name="货币 2 2 3 2 4 2 2 3 2" xfId="24645" xr:uid="{00000000-0005-0000-0000-000075600000}"/>
    <cellStyle name="货币 2 2 3 2 4 2 2 4" xfId="26048" xr:uid="{00000000-0005-0000-0000-0000F0650000}"/>
    <cellStyle name="货币 2 2 3 2 4 2 2 5" xfId="26054" xr:uid="{00000000-0005-0000-0000-0000F6650000}"/>
    <cellStyle name="货币 2 2 3 2 4 2 2 6" xfId="26063" xr:uid="{00000000-0005-0000-0000-0000FF650000}"/>
    <cellStyle name="货币 2 2 3 2 4 2 2 7" xfId="26966" xr:uid="{00000000-0005-0000-0000-000086690000}"/>
    <cellStyle name="货币 2 2 3 2 4 2 2 8" xfId="26969" xr:uid="{00000000-0005-0000-0000-000089690000}"/>
    <cellStyle name="货币 2 2 3 2 4 2 2 9" xfId="26971" xr:uid="{00000000-0005-0000-0000-00008B690000}"/>
    <cellStyle name="货币 2 2 3 2 4 2 3" xfId="36580" xr:uid="{00000000-0005-0000-0000-0000148F0000}"/>
    <cellStyle name="货币 2 2 3 2 4 2 3 10" xfId="18934" xr:uid="{00000000-0005-0000-0000-0000264A0000}"/>
    <cellStyle name="货币 2 2 3 2 4 2 3 11" xfId="18936" xr:uid="{00000000-0005-0000-0000-0000284A0000}"/>
    <cellStyle name="货币 2 2 3 2 4 2 3 12" xfId="18942" xr:uid="{00000000-0005-0000-0000-00002E4A0000}"/>
    <cellStyle name="货币 2 2 3 2 4 2 3 2" xfId="36581" xr:uid="{00000000-0005-0000-0000-0000158F0000}"/>
    <cellStyle name="货币 2 2 3 2 4 2 3 2 2" xfId="36133" xr:uid="{00000000-0005-0000-0000-0000558D0000}"/>
    <cellStyle name="货币 2 2 3 2 4 2 3 2 2 2" xfId="34315" xr:uid="{00000000-0005-0000-0000-00003B860000}"/>
    <cellStyle name="货币 2 2 3 2 4 2 3 2 3" xfId="29155" xr:uid="{00000000-0005-0000-0000-000013720000}"/>
    <cellStyle name="货币 2 2 3 2 4 2 3 2 4" xfId="36583" xr:uid="{00000000-0005-0000-0000-0000178F0000}"/>
    <cellStyle name="货币 2 2 3 2 4 2 3 2 5" xfId="36585" xr:uid="{00000000-0005-0000-0000-0000198F0000}"/>
    <cellStyle name="货币 2 2 3 2 4 2 3 3" xfId="36586" xr:uid="{00000000-0005-0000-0000-00001A8F0000}"/>
    <cellStyle name="货币 2 2 3 2 4 2 3 3 2" xfId="24839" xr:uid="{00000000-0005-0000-0000-000037610000}"/>
    <cellStyle name="货币 2 2 3 2 4 2 3 4" xfId="36587" xr:uid="{00000000-0005-0000-0000-00001B8F0000}"/>
    <cellStyle name="货币 2 2 3 2 4 2 3 5" xfId="26974" xr:uid="{00000000-0005-0000-0000-00008E690000}"/>
    <cellStyle name="货币 2 2 3 2 4 2 3 6" xfId="26976" xr:uid="{00000000-0005-0000-0000-000090690000}"/>
    <cellStyle name="货币 2 2 3 2 4 2 3 7" xfId="26978" xr:uid="{00000000-0005-0000-0000-000092690000}"/>
    <cellStyle name="货币 2 2 3 2 4 2 3 8" xfId="26980" xr:uid="{00000000-0005-0000-0000-000094690000}"/>
    <cellStyle name="货币 2 2 3 2 4 2 3 9" xfId="26982" xr:uid="{00000000-0005-0000-0000-000096690000}"/>
    <cellStyle name="货币 2 2 3 2 4 2 4" xfId="36588" xr:uid="{00000000-0005-0000-0000-00001C8F0000}"/>
    <cellStyle name="货币 2 2 3 2 4 2 4 10" xfId="36589" xr:uid="{00000000-0005-0000-0000-00001D8F0000}"/>
    <cellStyle name="货币 2 2 3 2 4 2 4 2" xfId="27134" xr:uid="{00000000-0005-0000-0000-00002E6A0000}"/>
    <cellStyle name="货币 2 2 3 2 4 2 4 2 2" xfId="36591" xr:uid="{00000000-0005-0000-0000-00001F8F0000}"/>
    <cellStyle name="货币 2 2 3 2 4 2 4 2 2 2" xfId="36592" xr:uid="{00000000-0005-0000-0000-0000208F0000}"/>
    <cellStyle name="货币 2 2 3 2 4 2 4 2 3" xfId="29178" xr:uid="{00000000-0005-0000-0000-00002A720000}"/>
    <cellStyle name="货币 2 2 3 2 4 2 4 2 4" xfId="36594" xr:uid="{00000000-0005-0000-0000-0000228F0000}"/>
    <cellStyle name="货币 2 2 3 2 4 2 4 2 5" xfId="36596" xr:uid="{00000000-0005-0000-0000-0000248F0000}"/>
    <cellStyle name="货币 2 2 3 2 4 2 4 3" xfId="27137" xr:uid="{00000000-0005-0000-0000-0000316A0000}"/>
    <cellStyle name="货币 2 2 3 2 4 2 4 3 2" xfId="13378" xr:uid="{00000000-0005-0000-0000-000072340000}"/>
    <cellStyle name="货币 2 2 3 2 4 2 4 4" xfId="36597" xr:uid="{00000000-0005-0000-0000-0000258F0000}"/>
    <cellStyle name="货币 2 2 3 2 4 2 4 5" xfId="36598" xr:uid="{00000000-0005-0000-0000-0000268F0000}"/>
    <cellStyle name="货币 2 2 3 2 4 2 4 6" xfId="36599" xr:uid="{00000000-0005-0000-0000-0000278F0000}"/>
    <cellStyle name="货币 2 2 3 2 4 2 4 7" xfId="36600" xr:uid="{00000000-0005-0000-0000-0000288F0000}"/>
    <cellStyle name="货币 2 2 3 2 4 2 4 8" xfId="36601" xr:uid="{00000000-0005-0000-0000-0000298F0000}"/>
    <cellStyle name="货币 2 2 3 2 4 2 4 9" xfId="36602" xr:uid="{00000000-0005-0000-0000-00002A8F0000}"/>
    <cellStyle name="货币 2 2 3 2 4 2 5" xfId="36603" xr:uid="{00000000-0005-0000-0000-00002B8F0000}"/>
    <cellStyle name="货币 2 2 3 2 4 2 5 10" xfId="3858" xr:uid="{00000000-0005-0000-0000-0000420F0000}"/>
    <cellStyle name="货币 2 2 3 2 4 2 5 2" xfId="9603" xr:uid="{00000000-0005-0000-0000-0000B3250000}"/>
    <cellStyle name="货币 2 2 3 2 4 2 5 2 2" xfId="18055" xr:uid="{00000000-0005-0000-0000-0000B7460000}"/>
    <cellStyle name="货币 2 2 3 2 4 2 5 2 2 2" xfId="461" xr:uid="{00000000-0005-0000-0000-0000EA010000}"/>
    <cellStyle name="货币 2 2 3 2 4 2 5 2 3" xfId="1162" xr:uid="{00000000-0005-0000-0000-0000BA040000}"/>
    <cellStyle name="货币 2 2 3 2 4 2 5 2 4" xfId="36605" xr:uid="{00000000-0005-0000-0000-00002D8F0000}"/>
    <cellStyle name="货币 2 2 3 2 4 2 5 2 5" xfId="13211" xr:uid="{00000000-0005-0000-0000-0000CB330000}"/>
    <cellStyle name="货币 2 2 3 2 4 2 5 3" xfId="9614" xr:uid="{00000000-0005-0000-0000-0000BE250000}"/>
    <cellStyle name="货币 2 2 3 2 4 2 5 3 2" xfId="18145" xr:uid="{00000000-0005-0000-0000-000011470000}"/>
    <cellStyle name="货币 2 2 3 2 4 2 5 4" xfId="3949" xr:uid="{00000000-0005-0000-0000-00009D0F0000}"/>
    <cellStyle name="货币 2 2 3 2 4 2 5 5" xfId="9628" xr:uid="{00000000-0005-0000-0000-0000CC250000}"/>
    <cellStyle name="货币 2 2 3 2 4 2 5 6" xfId="86" xr:uid="{00000000-0005-0000-0000-00005C000000}"/>
    <cellStyle name="货币 2 2 3 2 4 2 5 7" xfId="36606" xr:uid="{00000000-0005-0000-0000-00002E8F0000}"/>
    <cellStyle name="货币 2 2 3 2 4 2 5 8" xfId="36607" xr:uid="{00000000-0005-0000-0000-00002F8F0000}"/>
    <cellStyle name="货币 2 2 3 2 4 2 5 9" xfId="36608" xr:uid="{00000000-0005-0000-0000-0000308F0000}"/>
    <cellStyle name="货币 2 2 3 2 4 2 6" xfId="26206" xr:uid="{00000000-0005-0000-0000-00008E660000}"/>
    <cellStyle name="货币 2 2 3 2 4 2 6 2" xfId="36610" xr:uid="{00000000-0005-0000-0000-0000328F0000}"/>
    <cellStyle name="货币 2 2 3 2 4 2 6 2 2" xfId="18604" xr:uid="{00000000-0005-0000-0000-0000DC480000}"/>
    <cellStyle name="货币 2 2 3 2 4 2 6 3" xfId="36612" xr:uid="{00000000-0005-0000-0000-0000348F0000}"/>
    <cellStyle name="货币 2 2 3 2 4 2 6 4" xfId="36614" xr:uid="{00000000-0005-0000-0000-0000368F0000}"/>
    <cellStyle name="货币 2 2 3 2 4 2 6 5" xfId="36616" xr:uid="{00000000-0005-0000-0000-0000388F0000}"/>
    <cellStyle name="货币 2 2 3 2 4 2 6 6" xfId="32727" xr:uid="{00000000-0005-0000-0000-000007800000}"/>
    <cellStyle name="货币 2 2 3 2 4 2 6 7" xfId="36618" xr:uid="{00000000-0005-0000-0000-00003A8F0000}"/>
    <cellStyle name="货币 2 2 3 2 4 2 6 8" xfId="36620" xr:uid="{00000000-0005-0000-0000-00003C8F0000}"/>
    <cellStyle name="货币 2 2 3 2 4 2 6 9" xfId="36621" xr:uid="{00000000-0005-0000-0000-00003D8F0000}"/>
    <cellStyle name="货币 2 2 3 2 4 2 7" xfId="26209" xr:uid="{00000000-0005-0000-0000-000091660000}"/>
    <cellStyle name="货币 2 2 3 2 4 2 7 2" xfId="27052" xr:uid="{00000000-0005-0000-0000-0000DC690000}"/>
    <cellStyle name="货币 2 2 3 2 4 2 8" xfId="26212" xr:uid="{00000000-0005-0000-0000-000094660000}"/>
    <cellStyle name="货币 2 2 3 2 4 2 9" xfId="26215" xr:uid="{00000000-0005-0000-0000-000097660000}"/>
    <cellStyle name="货币 2 2 3 2 4 20" xfId="36557" xr:uid="{00000000-0005-0000-0000-0000FD8E0000}"/>
    <cellStyle name="货币 2 2 3 2 4 21" xfId="36559" xr:uid="{00000000-0005-0000-0000-0000FF8E0000}"/>
    <cellStyle name="货币 2 2 3 2 4 22" xfId="36561" xr:uid="{00000000-0005-0000-0000-0000018F0000}"/>
    <cellStyle name="货币 2 2 3 2 4 23" xfId="36563" xr:uid="{00000000-0005-0000-0000-0000038F0000}"/>
    <cellStyle name="货币 2 2 3 2 4 3" xfId="36622" xr:uid="{00000000-0005-0000-0000-00003E8F0000}"/>
    <cellStyle name="货币 2 2 3 2 4 3 10" xfId="36623" xr:uid="{00000000-0005-0000-0000-00003F8F0000}"/>
    <cellStyle name="货币 2 2 3 2 4 3 11" xfId="36624" xr:uid="{00000000-0005-0000-0000-0000408F0000}"/>
    <cellStyle name="货币 2 2 3 2 4 3 12" xfId="4350" xr:uid="{00000000-0005-0000-0000-00002E110000}"/>
    <cellStyle name="货币 2 2 3 2 4 3 13" xfId="36625" xr:uid="{00000000-0005-0000-0000-0000418F0000}"/>
    <cellStyle name="货币 2 2 3 2 4 3 14" xfId="36627" xr:uid="{00000000-0005-0000-0000-0000438F0000}"/>
    <cellStyle name="货币 2 2 3 2 4 3 15" xfId="36629" xr:uid="{00000000-0005-0000-0000-0000458F0000}"/>
    <cellStyle name="货币 2 2 3 2 4 3 16" xfId="36631" xr:uid="{00000000-0005-0000-0000-0000478F0000}"/>
    <cellStyle name="货币 2 2 3 2 4 3 17" xfId="18152" xr:uid="{00000000-0005-0000-0000-000018470000}"/>
    <cellStyle name="货币 2 2 3 2 4 3 18" xfId="18164" xr:uid="{00000000-0005-0000-0000-000024470000}"/>
    <cellStyle name="货币 2 2 3 2 4 3 2" xfId="15067" xr:uid="{00000000-0005-0000-0000-00000B3B0000}"/>
    <cellStyle name="货币 2 2 3 2 4 3 2 10" xfId="36635" xr:uid="{00000000-0005-0000-0000-00004B8F0000}"/>
    <cellStyle name="货币 2 2 3 2 4 3 2 2" xfId="4546" xr:uid="{00000000-0005-0000-0000-0000F2110000}"/>
    <cellStyle name="货币 2 2 3 2 4 3 2 2 2" xfId="5328" xr:uid="{00000000-0005-0000-0000-000000150000}"/>
    <cellStyle name="货币 2 2 3 2 4 3 2 3" xfId="36636" xr:uid="{00000000-0005-0000-0000-00004C8F0000}"/>
    <cellStyle name="货币 2 2 3 2 4 3 2 4" xfId="36637" xr:uid="{00000000-0005-0000-0000-00004D8F0000}"/>
    <cellStyle name="货币 2 2 3 2 4 3 2 5" xfId="1147" xr:uid="{00000000-0005-0000-0000-0000AB040000}"/>
    <cellStyle name="货币 2 2 3 2 4 3 2 6" xfId="1187" xr:uid="{00000000-0005-0000-0000-0000D3040000}"/>
    <cellStyle name="货币 2 2 3 2 4 3 2 7" xfId="1210" xr:uid="{00000000-0005-0000-0000-0000EA040000}"/>
    <cellStyle name="货币 2 2 3 2 4 3 2 8" xfId="27167" xr:uid="{00000000-0005-0000-0000-00004F6A0000}"/>
    <cellStyle name="货币 2 2 3 2 4 3 2 9" xfId="27169" xr:uid="{00000000-0005-0000-0000-0000516A0000}"/>
    <cellStyle name="货币 2 2 3 2 4 3 3" xfId="25010" xr:uid="{00000000-0005-0000-0000-0000E2610000}"/>
    <cellStyle name="货币 2 2 3 2 4 3 3 2" xfId="5632" xr:uid="{00000000-0005-0000-0000-000030160000}"/>
    <cellStyle name="货币 2 2 3 2 4 3 3 3" xfId="36638" xr:uid="{00000000-0005-0000-0000-00004E8F0000}"/>
    <cellStyle name="货币 2 2 3 2 4 3 3 4" xfId="36639" xr:uid="{00000000-0005-0000-0000-00004F8F0000}"/>
    <cellStyle name="货币 2 2 3 2 4 3 3 5" xfId="27171" xr:uid="{00000000-0005-0000-0000-0000536A0000}"/>
    <cellStyle name="货币 2 2 3 2 4 3 3 6" xfId="27173" xr:uid="{00000000-0005-0000-0000-0000556A0000}"/>
    <cellStyle name="货币 2 2 3 2 4 3 4" xfId="25013" xr:uid="{00000000-0005-0000-0000-0000E5610000}"/>
    <cellStyle name="货币 2 2 3 2 4 3 4 2" xfId="966" xr:uid="{00000000-0005-0000-0000-0000F6030000}"/>
    <cellStyle name="货币 2 2 3 2 4 3 4 3" xfId="30770" xr:uid="{00000000-0005-0000-0000-000062780000}"/>
    <cellStyle name="货币 2 2 3 2 4 3 4 4" xfId="30772" xr:uid="{00000000-0005-0000-0000-000064780000}"/>
    <cellStyle name="货币 2 2 3 2 4 3 4 5" xfId="30774" xr:uid="{00000000-0005-0000-0000-000066780000}"/>
    <cellStyle name="货币 2 2 3 2 4 3 4 6" xfId="30776" xr:uid="{00000000-0005-0000-0000-000068780000}"/>
    <cellStyle name="货币 2 2 3 2 4 3 5" xfId="25016" xr:uid="{00000000-0005-0000-0000-0000E8610000}"/>
    <cellStyle name="货币 2 2 3 2 4 3 5 2" xfId="6369" xr:uid="{00000000-0005-0000-0000-000011190000}"/>
    <cellStyle name="货币 2 2 3 2 4 3 5 3" xfId="36640" xr:uid="{00000000-0005-0000-0000-0000508F0000}"/>
    <cellStyle name="货币 2 2 3 2 4 3 5 4" xfId="36642" xr:uid="{00000000-0005-0000-0000-0000528F0000}"/>
    <cellStyle name="货币 2 2 3 2 4 3 5 5" xfId="36644" xr:uid="{00000000-0005-0000-0000-0000548F0000}"/>
    <cellStyle name="货币 2 2 3 2 4 3 5 6" xfId="36646" xr:uid="{00000000-0005-0000-0000-0000568F0000}"/>
    <cellStyle name="货币 2 2 3 2 4 3 6" xfId="36647" xr:uid="{00000000-0005-0000-0000-0000578F0000}"/>
    <cellStyle name="货币 2 2 3 2 4 3 6 2" xfId="36648" xr:uid="{00000000-0005-0000-0000-0000588F0000}"/>
    <cellStyle name="货币 2 2 3 2 4 3 6 3" xfId="36649" xr:uid="{00000000-0005-0000-0000-0000598F0000}"/>
    <cellStyle name="货币 2 2 3 2 4 3 6 4" xfId="36650" xr:uid="{00000000-0005-0000-0000-00005A8F0000}"/>
    <cellStyle name="货币 2 2 3 2 4 3 6 5" xfId="36651" xr:uid="{00000000-0005-0000-0000-00005B8F0000}"/>
    <cellStyle name="货币 2 2 3 2 4 3 6 6" xfId="36652" xr:uid="{00000000-0005-0000-0000-00005C8F0000}"/>
    <cellStyle name="货币 2 2 3 2 4 3 7" xfId="36653" xr:uid="{00000000-0005-0000-0000-00005D8F0000}"/>
    <cellStyle name="货币 2 2 3 2 4 3 8" xfId="36654" xr:uid="{00000000-0005-0000-0000-00005E8F0000}"/>
    <cellStyle name="货币 2 2 3 2 4 3 9" xfId="36655" xr:uid="{00000000-0005-0000-0000-00005F8F0000}"/>
    <cellStyle name="货币 2 2 3 2 4 4" xfId="36656" xr:uid="{00000000-0005-0000-0000-0000608F0000}"/>
    <cellStyle name="货币 2 2 3 2 4 4 10" xfId="36657" xr:uid="{00000000-0005-0000-0000-0000618F0000}"/>
    <cellStyle name="货币 2 2 3 2 4 4 11" xfId="36659" xr:uid="{00000000-0005-0000-0000-0000638F0000}"/>
    <cellStyle name="货币 2 2 3 2 4 4 12" xfId="36661" xr:uid="{00000000-0005-0000-0000-0000658F0000}"/>
    <cellStyle name="货币 2 2 3 2 4 4 13" xfId="36663" xr:uid="{00000000-0005-0000-0000-0000678F0000}"/>
    <cellStyle name="货币 2 2 3 2 4 4 14" xfId="25790" xr:uid="{00000000-0005-0000-0000-0000EE640000}"/>
    <cellStyle name="货币 2 2 3 2 4 4 15" xfId="36665" xr:uid="{00000000-0005-0000-0000-0000698F0000}"/>
    <cellStyle name="货币 2 2 3 2 4 4 2" xfId="36668" xr:uid="{00000000-0005-0000-0000-00006C8F0000}"/>
    <cellStyle name="货币 2 2 3 2 4 4 2 2" xfId="1989" xr:uid="{00000000-0005-0000-0000-0000F5070000}"/>
    <cellStyle name="货币 2 2 3 2 4 4 2 2 2" xfId="4666" xr:uid="{00000000-0005-0000-0000-00006A120000}"/>
    <cellStyle name="货币 2 2 3 2 4 4 2 3" xfId="4686" xr:uid="{00000000-0005-0000-0000-00007E120000}"/>
    <cellStyle name="货币 2 2 3 2 4 4 2 4" xfId="4715" xr:uid="{00000000-0005-0000-0000-00009B120000}"/>
    <cellStyle name="货币 2 2 3 2 4 4 2 5" xfId="1401" xr:uid="{00000000-0005-0000-0000-0000A9050000}"/>
    <cellStyle name="货币 2 2 3 2 4 4 2 6" xfId="4738" xr:uid="{00000000-0005-0000-0000-0000B2120000}"/>
    <cellStyle name="货币 2 2 3 2 4 4 2 7" xfId="4758" xr:uid="{00000000-0005-0000-0000-0000C6120000}"/>
    <cellStyle name="货币 2 2 3 2 4 4 2 8" xfId="4366" xr:uid="{00000000-0005-0000-0000-00003E110000}"/>
    <cellStyle name="货币 2 2 3 2 4 4 2 9" xfId="36672" xr:uid="{00000000-0005-0000-0000-0000708F0000}"/>
    <cellStyle name="货币 2 2 3 2 4 4 3" xfId="36673" xr:uid="{00000000-0005-0000-0000-0000718F0000}"/>
    <cellStyle name="货币 2 2 3 2 4 4 3 2" xfId="36674" xr:uid="{00000000-0005-0000-0000-0000728F0000}"/>
    <cellStyle name="货币 2 2 3 2 4 4 3 3" xfId="36675" xr:uid="{00000000-0005-0000-0000-0000738F0000}"/>
    <cellStyle name="货币 2 2 3 2 4 4 3 4" xfId="36676" xr:uid="{00000000-0005-0000-0000-0000748F0000}"/>
    <cellStyle name="货币 2 2 3 2 4 4 3 5" xfId="36677" xr:uid="{00000000-0005-0000-0000-0000758F0000}"/>
    <cellStyle name="货币 2 2 3 2 4 4 3 6" xfId="36678" xr:uid="{00000000-0005-0000-0000-0000768F0000}"/>
    <cellStyle name="货币 2 2 3 2 4 4 4" xfId="36679" xr:uid="{00000000-0005-0000-0000-0000778F0000}"/>
    <cellStyle name="货币 2 2 3 2 4 4 4 2" xfId="33286" xr:uid="{00000000-0005-0000-0000-000036820000}"/>
    <cellStyle name="货币 2 2 3 2 4 4 5" xfId="6033" xr:uid="{00000000-0005-0000-0000-0000C1170000}"/>
    <cellStyle name="货币 2 2 3 2 4 4 6" xfId="14371" xr:uid="{00000000-0005-0000-0000-000053380000}"/>
    <cellStyle name="货币 2 2 3 2 4 4 7" xfId="14373" xr:uid="{00000000-0005-0000-0000-000055380000}"/>
    <cellStyle name="货币 2 2 3 2 4 4 8" xfId="14375" xr:uid="{00000000-0005-0000-0000-000057380000}"/>
    <cellStyle name="货币 2 2 3 2 4 4 9" xfId="14377" xr:uid="{00000000-0005-0000-0000-000059380000}"/>
    <cellStyle name="货币 2 2 3 2 4 5" xfId="36680" xr:uid="{00000000-0005-0000-0000-0000788F0000}"/>
    <cellStyle name="货币 2 2 3 2 4 5 10" xfId="9095" xr:uid="{00000000-0005-0000-0000-0000B7230000}"/>
    <cellStyle name="货币 2 2 3 2 4 5 11" xfId="1586" xr:uid="{00000000-0005-0000-0000-000062060000}"/>
    <cellStyle name="货币 2 2 3 2 4 5 12" xfId="9987" xr:uid="{00000000-0005-0000-0000-000033270000}"/>
    <cellStyle name="货币 2 2 3 2 4 5 13" xfId="36682" xr:uid="{00000000-0005-0000-0000-00007A8F0000}"/>
    <cellStyle name="货币 2 2 3 2 4 5 2" xfId="36684" xr:uid="{00000000-0005-0000-0000-00007C8F0000}"/>
    <cellStyle name="货币 2 2 3 2 4 5 2 2" xfId="36686" xr:uid="{00000000-0005-0000-0000-00007E8F0000}"/>
    <cellStyle name="货币 2 2 3 2 4 5 2 2 2" xfId="4614" xr:uid="{00000000-0005-0000-0000-000036120000}"/>
    <cellStyle name="货币 2 2 3 2 4 5 2 3" xfId="36688" xr:uid="{00000000-0005-0000-0000-0000808F0000}"/>
    <cellStyle name="货币 2 2 3 2 4 5 2 4" xfId="36690" xr:uid="{00000000-0005-0000-0000-0000828F0000}"/>
    <cellStyle name="货币 2 2 3 2 4 5 2 5" xfId="36692" xr:uid="{00000000-0005-0000-0000-0000848F0000}"/>
    <cellStyle name="货币 2 2 3 2 4 5 2 6" xfId="23376" xr:uid="{00000000-0005-0000-0000-0000805B0000}"/>
    <cellStyle name="货币 2 2 3 2 4 5 2 7" xfId="36696" xr:uid="{00000000-0005-0000-0000-0000888F0000}"/>
    <cellStyle name="货币 2 2 3 2 4 5 2 8" xfId="36700" xr:uid="{00000000-0005-0000-0000-00008C8F0000}"/>
    <cellStyle name="货币 2 2 3 2 4 5 2 9" xfId="36705" xr:uid="{00000000-0005-0000-0000-0000918F0000}"/>
    <cellStyle name="货币 2 2 3 2 4 5 3" xfId="36706" xr:uid="{00000000-0005-0000-0000-0000928F0000}"/>
    <cellStyle name="货币 2 2 3 2 4 5 3 2" xfId="6237" xr:uid="{00000000-0005-0000-0000-00008D180000}"/>
    <cellStyle name="货币 2 2 3 2 4 5 3 3" xfId="6673" xr:uid="{00000000-0005-0000-0000-0000411A0000}"/>
    <cellStyle name="货币 2 2 3 2 4 5 3 4" xfId="8197" xr:uid="{00000000-0005-0000-0000-000035200000}"/>
    <cellStyle name="货币 2 2 3 2 4 5 3 5" xfId="36707" xr:uid="{00000000-0005-0000-0000-0000938F0000}"/>
    <cellStyle name="货币 2 2 3 2 4 5 3 6" xfId="36708" xr:uid="{00000000-0005-0000-0000-0000948F0000}"/>
    <cellStyle name="货币 2 2 3 2 4 5 4" xfId="36709" xr:uid="{00000000-0005-0000-0000-0000958F0000}"/>
    <cellStyle name="货币 2 2 3 2 4 5 4 2" xfId="6245" xr:uid="{00000000-0005-0000-0000-000095180000}"/>
    <cellStyle name="货币 2 2 3 2 4 5 5" xfId="6249" xr:uid="{00000000-0005-0000-0000-000099180000}"/>
    <cellStyle name="货币 2 2 3 2 4 5 6" xfId="2234" xr:uid="{00000000-0005-0000-0000-0000EA080000}"/>
    <cellStyle name="货币 2 2 3 2 4 5 7" xfId="6258" xr:uid="{00000000-0005-0000-0000-0000A2180000}"/>
    <cellStyle name="货币 2 2 3 2 4 5 8" xfId="6262" xr:uid="{00000000-0005-0000-0000-0000A6180000}"/>
    <cellStyle name="货币 2 2 3 2 4 5 9" xfId="148" xr:uid="{00000000-0005-0000-0000-0000A0000000}"/>
    <cellStyle name="货币 2 2 3 2 4 6" xfId="26552" xr:uid="{00000000-0005-0000-0000-0000E8670000}"/>
    <cellStyle name="货币 2 2 3 2 4 6 10" xfId="20293" xr:uid="{00000000-0005-0000-0000-0000754F0000}"/>
    <cellStyle name="货币 2 2 3 2 4 6 11" xfId="33048" xr:uid="{00000000-0005-0000-0000-000048810000}"/>
    <cellStyle name="货币 2 2 3 2 4 6 12" xfId="33050" xr:uid="{00000000-0005-0000-0000-00004A810000}"/>
    <cellStyle name="货币 2 2 3 2 4 6 2" xfId="36710" xr:uid="{00000000-0005-0000-0000-0000968F0000}"/>
    <cellStyle name="货币 2 2 3 2 4 6 2 2" xfId="36711" xr:uid="{00000000-0005-0000-0000-0000978F0000}"/>
    <cellStyle name="货币 2 2 3 2 4 6 2 2 2" xfId="477" xr:uid="{00000000-0005-0000-0000-0000FC010000}"/>
    <cellStyle name="货币 2 2 3 2 4 6 2 3" xfId="36712" xr:uid="{00000000-0005-0000-0000-0000988F0000}"/>
    <cellStyle name="货币 2 2 3 2 4 6 2 4" xfId="36713" xr:uid="{00000000-0005-0000-0000-0000998F0000}"/>
    <cellStyle name="货币 2 2 3 2 4 6 2 5" xfId="36714" xr:uid="{00000000-0005-0000-0000-00009A8F0000}"/>
    <cellStyle name="货币 2 2 3 2 4 6 2 6" xfId="36715" xr:uid="{00000000-0005-0000-0000-00009B8F0000}"/>
    <cellStyle name="货币 2 2 3 2 4 6 2 7" xfId="36717" xr:uid="{00000000-0005-0000-0000-00009D8F0000}"/>
    <cellStyle name="货币 2 2 3 2 4 6 2 8" xfId="36719" xr:uid="{00000000-0005-0000-0000-00009F8F0000}"/>
    <cellStyle name="货币 2 2 3 2 4 6 2 9" xfId="36721" xr:uid="{00000000-0005-0000-0000-0000A18F0000}"/>
    <cellStyle name="货币 2 2 3 2 4 6 3" xfId="36722" xr:uid="{00000000-0005-0000-0000-0000A28F0000}"/>
    <cellStyle name="货币 2 2 3 2 4 6 3 2" xfId="36725" xr:uid="{00000000-0005-0000-0000-0000A58F0000}"/>
    <cellStyle name="货币 2 2 3 2 4 6 3 3" xfId="36726" xr:uid="{00000000-0005-0000-0000-0000A68F0000}"/>
    <cellStyle name="货币 2 2 3 2 4 6 3 4" xfId="36727" xr:uid="{00000000-0005-0000-0000-0000A78F0000}"/>
    <cellStyle name="货币 2 2 3 2 4 6 3 5" xfId="36728" xr:uid="{00000000-0005-0000-0000-0000A88F0000}"/>
    <cellStyle name="货币 2 2 3 2 4 6 3 6" xfId="36729" xr:uid="{00000000-0005-0000-0000-0000A98F0000}"/>
    <cellStyle name="货币 2 2 3 2 4 6 4" xfId="36730" xr:uid="{00000000-0005-0000-0000-0000AA8F0000}"/>
    <cellStyle name="货币 2 2 3 2 4 6 4 2" xfId="36731" xr:uid="{00000000-0005-0000-0000-0000AB8F0000}"/>
    <cellStyle name="货币 2 2 3 2 4 6 5" xfId="36732" xr:uid="{00000000-0005-0000-0000-0000AC8F0000}"/>
    <cellStyle name="货币 2 2 3 2 4 6 6" xfId="36733" xr:uid="{00000000-0005-0000-0000-0000AD8F0000}"/>
    <cellStyle name="货币 2 2 3 2 4 6 7" xfId="36734" xr:uid="{00000000-0005-0000-0000-0000AE8F0000}"/>
    <cellStyle name="货币 2 2 3 2 4 6 8" xfId="36735" xr:uid="{00000000-0005-0000-0000-0000AF8F0000}"/>
    <cellStyle name="货币 2 2 3 2 4 6 9" xfId="36736" xr:uid="{00000000-0005-0000-0000-0000B08F0000}"/>
    <cellStyle name="货币 2 2 3 2 4 7" xfId="26554" xr:uid="{00000000-0005-0000-0000-0000EA670000}"/>
    <cellStyle name="货币 2 2 3 2 4 7 2" xfId="36737" xr:uid="{00000000-0005-0000-0000-0000B18F0000}"/>
    <cellStyle name="货币 2 2 3 2 4 7 2 2" xfId="14525" xr:uid="{00000000-0005-0000-0000-0000ED380000}"/>
    <cellStyle name="货币 2 2 3 2 4 7 3" xfId="19346" xr:uid="{00000000-0005-0000-0000-0000C24B0000}"/>
    <cellStyle name="货币 2 2 3 2 4 7 4" xfId="36738" xr:uid="{00000000-0005-0000-0000-0000B28F0000}"/>
    <cellStyle name="货币 2 2 3 2 4 7 5" xfId="36739" xr:uid="{00000000-0005-0000-0000-0000B38F0000}"/>
    <cellStyle name="货币 2 2 3 2 4 7 6" xfId="26259" xr:uid="{00000000-0005-0000-0000-0000C3660000}"/>
    <cellStyle name="货币 2 2 3 2 4 7 7" xfId="26262" xr:uid="{00000000-0005-0000-0000-0000C6660000}"/>
    <cellStyle name="货币 2 2 3 2 4 7 8" xfId="26264" xr:uid="{00000000-0005-0000-0000-0000C8660000}"/>
    <cellStyle name="货币 2 2 3 2 4 7 9" xfId="26266" xr:uid="{00000000-0005-0000-0000-0000CA660000}"/>
    <cellStyle name="货币 2 2 3 2 4 8" xfId="26557" xr:uid="{00000000-0005-0000-0000-0000ED670000}"/>
    <cellStyle name="货币 2 2 3 2 4 8 2" xfId="18294" xr:uid="{00000000-0005-0000-0000-0000A6470000}"/>
    <cellStyle name="货币 2 2 3 2 4 8 3" xfId="22747" xr:uid="{00000000-0005-0000-0000-00000B590000}"/>
    <cellStyle name="货币 2 2 3 2 4 8 4" xfId="22750" xr:uid="{00000000-0005-0000-0000-00000E590000}"/>
    <cellStyle name="货币 2 2 3 2 4 8 5" xfId="22752" xr:uid="{00000000-0005-0000-0000-000010590000}"/>
    <cellStyle name="货币 2 2 3 2 4 8 6" xfId="22754" xr:uid="{00000000-0005-0000-0000-000012590000}"/>
    <cellStyle name="货币 2 2 3 2 4 9" xfId="3341" xr:uid="{00000000-0005-0000-0000-00003D0D0000}"/>
    <cellStyle name="货币 2 2 3 2 4 9 2" xfId="1428" xr:uid="{00000000-0005-0000-0000-0000C4050000}"/>
    <cellStyle name="货币 2 2 3 2 4 9 3" xfId="1455" xr:uid="{00000000-0005-0000-0000-0000DF050000}"/>
    <cellStyle name="货币 2 2 3 2 4 9 4" xfId="1490" xr:uid="{00000000-0005-0000-0000-000002060000}"/>
    <cellStyle name="货币 2 2 3 2 4 9 5" xfId="438" xr:uid="{00000000-0005-0000-0000-0000D3010000}"/>
    <cellStyle name="货币 2 2 3 2 4 9 6" xfId="1514" xr:uid="{00000000-0005-0000-0000-00001A060000}"/>
    <cellStyle name="货币 2 2 3 2 5" xfId="36740" xr:uid="{00000000-0005-0000-0000-0000B48F0000}"/>
    <cellStyle name="货币 2 2 3 2 5 10" xfId="36742" xr:uid="{00000000-0005-0000-0000-0000B68F0000}"/>
    <cellStyle name="货币 2 2 3 2 5 11" xfId="36743" xr:uid="{00000000-0005-0000-0000-0000B78F0000}"/>
    <cellStyle name="货币 2 2 3 2 5 12" xfId="36744" xr:uid="{00000000-0005-0000-0000-0000B88F0000}"/>
    <cellStyle name="货币 2 2 3 2 5 13" xfId="36745" xr:uid="{00000000-0005-0000-0000-0000B98F0000}"/>
    <cellStyle name="货币 2 2 3 2 5 14" xfId="36746" xr:uid="{00000000-0005-0000-0000-0000BA8F0000}"/>
    <cellStyle name="货币 2 2 3 2 5 15" xfId="36747" xr:uid="{00000000-0005-0000-0000-0000BB8F0000}"/>
    <cellStyle name="货币 2 2 3 2 5 16" xfId="36748" xr:uid="{00000000-0005-0000-0000-0000BC8F0000}"/>
    <cellStyle name="货币 2 2 3 2 5 17" xfId="31080" xr:uid="{00000000-0005-0000-0000-000098790000}"/>
    <cellStyle name="货币 2 2 3 2 5 18" xfId="193" xr:uid="{00000000-0005-0000-0000-0000D0000000}"/>
    <cellStyle name="货币 2 2 3 2 5 19" xfId="20962" xr:uid="{00000000-0005-0000-0000-000012520000}"/>
    <cellStyle name="货币 2 2 3 2 5 2" xfId="36749" xr:uid="{00000000-0005-0000-0000-0000BD8F0000}"/>
    <cellStyle name="货币 2 2 3 2 5 2 10" xfId="6604" xr:uid="{00000000-0005-0000-0000-0000FC190000}"/>
    <cellStyle name="货币 2 2 3 2 5 2 11" xfId="6612" xr:uid="{00000000-0005-0000-0000-0000041A0000}"/>
    <cellStyle name="货币 2 2 3 2 5 2 12" xfId="6620" xr:uid="{00000000-0005-0000-0000-00000C1A0000}"/>
    <cellStyle name="货币 2 2 3 2 5 2 13" xfId="36751" xr:uid="{00000000-0005-0000-0000-0000BF8F0000}"/>
    <cellStyle name="货币 2 2 3 2 5 2 14" xfId="36754" xr:uid="{00000000-0005-0000-0000-0000C28F0000}"/>
    <cellStyle name="货币 2 2 3 2 5 2 15" xfId="2124" xr:uid="{00000000-0005-0000-0000-00007C080000}"/>
    <cellStyle name="货币 2 2 3 2 5 2 16" xfId="36756" xr:uid="{00000000-0005-0000-0000-0000C48F0000}"/>
    <cellStyle name="货币 2 2 3 2 5 2 17" xfId="36758" xr:uid="{00000000-0005-0000-0000-0000C68F0000}"/>
    <cellStyle name="货币 2 2 3 2 5 2 18" xfId="36760" xr:uid="{00000000-0005-0000-0000-0000C88F0000}"/>
    <cellStyle name="货币 2 2 3 2 5 2 2" xfId="36761" xr:uid="{00000000-0005-0000-0000-0000C98F0000}"/>
    <cellStyle name="货币 2 2 3 2 5 2 2 10" xfId="36765" xr:uid="{00000000-0005-0000-0000-0000CD8F0000}"/>
    <cellStyle name="货币 2 2 3 2 5 2 2 2" xfId="36767" xr:uid="{00000000-0005-0000-0000-0000CF8F0000}"/>
    <cellStyle name="货币 2 2 3 2 5 2 2 2 2" xfId="36768" xr:uid="{00000000-0005-0000-0000-0000D08F0000}"/>
    <cellStyle name="货币 2 2 3 2 5 2 2 3" xfId="36770" xr:uid="{00000000-0005-0000-0000-0000D28F0000}"/>
    <cellStyle name="货币 2 2 3 2 5 2 2 4" xfId="36772" xr:uid="{00000000-0005-0000-0000-0000D48F0000}"/>
    <cellStyle name="货币 2 2 3 2 5 2 2 5" xfId="35206" xr:uid="{00000000-0005-0000-0000-0000B6890000}"/>
    <cellStyle name="货币 2 2 3 2 5 2 2 6" xfId="35209" xr:uid="{00000000-0005-0000-0000-0000B9890000}"/>
    <cellStyle name="货币 2 2 3 2 5 2 2 7" xfId="35211" xr:uid="{00000000-0005-0000-0000-0000BB890000}"/>
    <cellStyle name="货币 2 2 3 2 5 2 2 8" xfId="844" xr:uid="{00000000-0005-0000-0000-00007C030000}"/>
    <cellStyle name="货币 2 2 3 2 5 2 2 9" xfId="35213" xr:uid="{00000000-0005-0000-0000-0000BD890000}"/>
    <cellStyle name="货币 2 2 3 2 5 2 3" xfId="36773" xr:uid="{00000000-0005-0000-0000-0000D58F0000}"/>
    <cellStyle name="货币 2 2 3 2 5 2 3 2" xfId="21663" xr:uid="{00000000-0005-0000-0000-0000CF540000}"/>
    <cellStyle name="货币 2 2 3 2 5 2 3 3" xfId="21668" xr:uid="{00000000-0005-0000-0000-0000D4540000}"/>
    <cellStyle name="货币 2 2 3 2 5 2 3 4" xfId="21673" xr:uid="{00000000-0005-0000-0000-0000D9540000}"/>
    <cellStyle name="货币 2 2 3 2 5 2 3 5" xfId="21678" xr:uid="{00000000-0005-0000-0000-0000DE540000}"/>
    <cellStyle name="货币 2 2 3 2 5 2 3 6" xfId="25569" xr:uid="{00000000-0005-0000-0000-000011640000}"/>
    <cellStyle name="货币 2 2 3 2 5 2 4" xfId="36774" xr:uid="{00000000-0005-0000-0000-0000D68F0000}"/>
    <cellStyle name="货币 2 2 3 2 5 2 4 2" xfId="25710" xr:uid="{00000000-0005-0000-0000-00009E640000}"/>
    <cellStyle name="货币 2 2 3 2 5 2 4 3" xfId="25735" xr:uid="{00000000-0005-0000-0000-0000B7640000}"/>
    <cellStyle name="货币 2 2 3 2 5 2 4 4" xfId="25750" xr:uid="{00000000-0005-0000-0000-0000C6640000}"/>
    <cellStyle name="货币 2 2 3 2 5 2 4 5" xfId="25768" xr:uid="{00000000-0005-0000-0000-0000D8640000}"/>
    <cellStyle name="货币 2 2 3 2 5 2 4 6" xfId="25787" xr:uid="{00000000-0005-0000-0000-0000EB640000}"/>
    <cellStyle name="货币 2 2 3 2 5 2 5" xfId="36775" xr:uid="{00000000-0005-0000-0000-0000D78F0000}"/>
    <cellStyle name="货币 2 2 3 2 5 2 5 2" xfId="7405" xr:uid="{00000000-0005-0000-0000-00001D1D0000}"/>
    <cellStyle name="货币 2 2 3 2 5 2 5 3" xfId="8925" xr:uid="{00000000-0005-0000-0000-00000D230000}"/>
    <cellStyle name="货币 2 2 3 2 5 2 5 4" xfId="8929" xr:uid="{00000000-0005-0000-0000-000011230000}"/>
    <cellStyle name="货币 2 2 3 2 5 2 5 5" xfId="8935" xr:uid="{00000000-0005-0000-0000-000017230000}"/>
    <cellStyle name="货币 2 2 3 2 5 2 5 6" xfId="8941" xr:uid="{00000000-0005-0000-0000-00001D230000}"/>
    <cellStyle name="货币 2 2 3 2 5 2 6" xfId="36776" xr:uid="{00000000-0005-0000-0000-0000D88F0000}"/>
    <cellStyle name="货币 2 2 3 2 5 2 6 2" xfId="8957" xr:uid="{00000000-0005-0000-0000-00002D230000}"/>
    <cellStyle name="货币 2 2 3 2 5 2 6 3" xfId="8965" xr:uid="{00000000-0005-0000-0000-000035230000}"/>
    <cellStyle name="货币 2 2 3 2 5 2 6 4" xfId="13654" xr:uid="{00000000-0005-0000-0000-000086350000}"/>
    <cellStyle name="货币 2 2 3 2 5 2 6 5" xfId="13661" xr:uid="{00000000-0005-0000-0000-00008D350000}"/>
    <cellStyle name="货币 2 2 3 2 5 2 6 6" xfId="26103" xr:uid="{00000000-0005-0000-0000-000027660000}"/>
    <cellStyle name="货币 2 2 3 2 5 2 7" xfId="36777" xr:uid="{00000000-0005-0000-0000-0000D98F0000}"/>
    <cellStyle name="货币 2 2 3 2 5 2 8" xfId="36778" xr:uid="{00000000-0005-0000-0000-0000DA8F0000}"/>
    <cellStyle name="货币 2 2 3 2 5 2 9" xfId="4888" xr:uid="{00000000-0005-0000-0000-000048130000}"/>
    <cellStyle name="货币 2 2 3 2 5 3" xfId="36779" xr:uid="{00000000-0005-0000-0000-0000DB8F0000}"/>
    <cellStyle name="货币 2 2 3 2 5 3 10" xfId="36781" xr:uid="{00000000-0005-0000-0000-0000DD8F0000}"/>
    <cellStyle name="货币 2 2 3 2 5 3 11" xfId="36782" xr:uid="{00000000-0005-0000-0000-0000DE8F0000}"/>
    <cellStyle name="货币 2 2 3 2 5 3 12" xfId="36783" xr:uid="{00000000-0005-0000-0000-0000DF8F0000}"/>
    <cellStyle name="货币 2 2 3 2 5 3 2" xfId="36784" xr:uid="{00000000-0005-0000-0000-0000E08F0000}"/>
    <cellStyle name="货币 2 2 3 2 5 3 2 2" xfId="36785" xr:uid="{00000000-0005-0000-0000-0000E18F0000}"/>
    <cellStyle name="货币 2 2 3 2 5 3 2 2 2" xfId="17899" xr:uid="{00000000-0005-0000-0000-00001B460000}"/>
    <cellStyle name="货币 2 2 3 2 5 3 2 3" xfId="36786" xr:uid="{00000000-0005-0000-0000-0000E28F0000}"/>
    <cellStyle name="货币 2 2 3 2 5 3 2 4" xfId="36787" xr:uid="{00000000-0005-0000-0000-0000E38F0000}"/>
    <cellStyle name="货币 2 2 3 2 5 3 2 5" xfId="35242" xr:uid="{00000000-0005-0000-0000-0000DA890000}"/>
    <cellStyle name="货币 2 2 3 2 5 3 3" xfId="36788" xr:uid="{00000000-0005-0000-0000-0000E48F0000}"/>
    <cellStyle name="货币 2 2 3 2 5 3 3 2" xfId="26540" xr:uid="{00000000-0005-0000-0000-0000DC670000}"/>
    <cellStyle name="货币 2 2 3 2 5 3 4" xfId="36789" xr:uid="{00000000-0005-0000-0000-0000E58F0000}"/>
    <cellStyle name="货币 2 2 3 2 5 3 5" xfId="31785" xr:uid="{00000000-0005-0000-0000-0000597C0000}"/>
    <cellStyle name="货币 2 2 3 2 5 3 6" xfId="31787" xr:uid="{00000000-0005-0000-0000-00005B7C0000}"/>
    <cellStyle name="货币 2 2 3 2 5 3 7" xfId="36790" xr:uid="{00000000-0005-0000-0000-0000E68F0000}"/>
    <cellStyle name="货币 2 2 3 2 5 3 8" xfId="36791" xr:uid="{00000000-0005-0000-0000-0000E78F0000}"/>
    <cellStyle name="货币 2 2 3 2 5 3 9" xfId="4200" xr:uid="{00000000-0005-0000-0000-000098100000}"/>
    <cellStyle name="货币 2 2 3 2 5 4" xfId="36792" xr:uid="{00000000-0005-0000-0000-0000E88F0000}"/>
    <cellStyle name="货币 2 2 3 2 5 4 10" xfId="36795" xr:uid="{00000000-0005-0000-0000-0000EB8F0000}"/>
    <cellStyle name="货币 2 2 3 2 5 4 11" xfId="36799" xr:uid="{00000000-0005-0000-0000-0000EF8F0000}"/>
    <cellStyle name="货币 2 2 3 2 5 4 2" xfId="36801" xr:uid="{00000000-0005-0000-0000-0000F18F0000}"/>
    <cellStyle name="货币 2 2 3 2 5 4 2 2" xfId="29845" xr:uid="{00000000-0005-0000-0000-0000C5740000}"/>
    <cellStyle name="货币 2 2 3 2 5 4 2 2 2" xfId="18364" xr:uid="{00000000-0005-0000-0000-0000EC470000}"/>
    <cellStyle name="货币 2 2 3 2 5 4 2 3" xfId="29850" xr:uid="{00000000-0005-0000-0000-0000CA740000}"/>
    <cellStyle name="货币 2 2 3 2 5 4 2 4" xfId="29852" xr:uid="{00000000-0005-0000-0000-0000CC740000}"/>
    <cellStyle name="货币 2 2 3 2 5 4 2 5" xfId="29858" xr:uid="{00000000-0005-0000-0000-0000D2740000}"/>
    <cellStyle name="货币 2 2 3 2 5 4 3" xfId="36803" xr:uid="{00000000-0005-0000-0000-0000F38F0000}"/>
    <cellStyle name="货币 2 2 3 2 5 4 3 2" xfId="27520" xr:uid="{00000000-0005-0000-0000-0000B06B0000}"/>
    <cellStyle name="货币 2 2 3 2 5 4 4" xfId="36805" xr:uid="{00000000-0005-0000-0000-0000F58F0000}"/>
    <cellStyle name="货币 2 2 3 2 5 4 5" xfId="31792" xr:uid="{00000000-0005-0000-0000-0000607C0000}"/>
    <cellStyle name="货币 2 2 3 2 5 4 6" xfId="36807" xr:uid="{00000000-0005-0000-0000-0000F78F0000}"/>
    <cellStyle name="货币 2 2 3 2 5 4 7" xfId="36809" xr:uid="{00000000-0005-0000-0000-0000F98F0000}"/>
    <cellStyle name="货币 2 2 3 2 5 4 8" xfId="36811" xr:uid="{00000000-0005-0000-0000-0000FB8F0000}"/>
    <cellStyle name="货币 2 2 3 2 5 4 9" xfId="4921" xr:uid="{00000000-0005-0000-0000-000069130000}"/>
    <cellStyle name="货币 2 2 3 2 5 5" xfId="36812" xr:uid="{00000000-0005-0000-0000-0000FC8F0000}"/>
    <cellStyle name="货币 2 2 3 2 5 5 10" xfId="15583" xr:uid="{00000000-0005-0000-0000-00000F3D0000}"/>
    <cellStyle name="货币 2 2 3 2 5 5 2" xfId="36814" xr:uid="{00000000-0005-0000-0000-0000FE8F0000}"/>
    <cellStyle name="货币 2 2 3 2 5 5 2 2" xfId="30026" xr:uid="{00000000-0005-0000-0000-00007A750000}"/>
    <cellStyle name="货币 2 2 3 2 5 5 2 2 2" xfId="18827" xr:uid="{00000000-0005-0000-0000-0000BB490000}"/>
    <cellStyle name="货币 2 2 3 2 5 5 2 3" xfId="30030" xr:uid="{00000000-0005-0000-0000-00007E750000}"/>
    <cellStyle name="货币 2 2 3 2 5 5 2 4" xfId="30034" xr:uid="{00000000-0005-0000-0000-000082750000}"/>
    <cellStyle name="货币 2 2 3 2 5 5 2 5" xfId="30039" xr:uid="{00000000-0005-0000-0000-000087750000}"/>
    <cellStyle name="货币 2 2 3 2 5 5 3" xfId="36815" xr:uid="{00000000-0005-0000-0000-0000FF8F0000}"/>
    <cellStyle name="货币 2 2 3 2 5 5 3 2" xfId="27937" xr:uid="{00000000-0005-0000-0000-0000516D0000}"/>
    <cellStyle name="货币 2 2 3 2 5 5 4" xfId="36816" xr:uid="{00000000-0005-0000-0000-000000900000}"/>
    <cellStyle name="货币 2 2 3 2 5 5 5" xfId="31793" xr:uid="{00000000-0005-0000-0000-0000617C0000}"/>
    <cellStyle name="货币 2 2 3 2 5 5 6" xfId="36817" xr:uid="{00000000-0005-0000-0000-000001900000}"/>
    <cellStyle name="货币 2 2 3 2 5 5 7" xfId="36818" xr:uid="{00000000-0005-0000-0000-000002900000}"/>
    <cellStyle name="货币 2 2 3 2 5 5 8" xfId="36819" xr:uid="{00000000-0005-0000-0000-000003900000}"/>
    <cellStyle name="货币 2 2 3 2 5 5 9" xfId="36821" xr:uid="{00000000-0005-0000-0000-000005900000}"/>
    <cellStyle name="货币 2 2 3 2 5 6" xfId="26561" xr:uid="{00000000-0005-0000-0000-0000F1670000}"/>
    <cellStyle name="货币 2 2 3 2 5 6 2" xfId="36822" xr:uid="{00000000-0005-0000-0000-000006900000}"/>
    <cellStyle name="货币 2 2 3 2 5 6 2 2" xfId="36823" xr:uid="{00000000-0005-0000-0000-000007900000}"/>
    <cellStyle name="货币 2 2 3 2 5 6 3" xfId="36824" xr:uid="{00000000-0005-0000-0000-000008900000}"/>
    <cellStyle name="货币 2 2 3 2 5 6 4" xfId="36825" xr:uid="{00000000-0005-0000-0000-000009900000}"/>
    <cellStyle name="货币 2 2 3 2 5 6 5" xfId="31796" xr:uid="{00000000-0005-0000-0000-0000647C0000}"/>
    <cellStyle name="货币 2 2 3 2 5 6 6" xfId="36826" xr:uid="{00000000-0005-0000-0000-00000A900000}"/>
    <cellStyle name="货币 2 2 3 2 5 6 7" xfId="36827" xr:uid="{00000000-0005-0000-0000-00000B900000}"/>
    <cellStyle name="货币 2 2 3 2 5 6 8" xfId="36828" xr:uid="{00000000-0005-0000-0000-00000C900000}"/>
    <cellStyle name="货币 2 2 3 2 5 6 9" xfId="36830" xr:uid="{00000000-0005-0000-0000-00000E900000}"/>
    <cellStyle name="货币 2 2 3 2 5 7" xfId="26563" xr:uid="{00000000-0005-0000-0000-0000F3670000}"/>
    <cellStyle name="货币 2 2 3 2 5 7 2" xfId="36831" xr:uid="{00000000-0005-0000-0000-00000F900000}"/>
    <cellStyle name="货币 2 2 3 2 5 7 3" xfId="36832" xr:uid="{00000000-0005-0000-0000-000010900000}"/>
    <cellStyle name="货币 2 2 3 2 5 7 4" xfId="36833" xr:uid="{00000000-0005-0000-0000-000011900000}"/>
    <cellStyle name="货币 2 2 3 2 5 7 5" xfId="31799" xr:uid="{00000000-0005-0000-0000-0000677C0000}"/>
    <cellStyle name="货币 2 2 3 2 5 7 6" xfId="36834" xr:uid="{00000000-0005-0000-0000-000012900000}"/>
    <cellStyle name="货币 2 2 3 2 5 8" xfId="26565" xr:uid="{00000000-0005-0000-0000-0000F5670000}"/>
    <cellStyle name="货币 2 2 3 2 5 9" xfId="13368" xr:uid="{00000000-0005-0000-0000-000068340000}"/>
    <cellStyle name="货币 2 2 3 2 6" xfId="36835" xr:uid="{00000000-0005-0000-0000-000013900000}"/>
    <cellStyle name="货币 2 2 3 2 6 10" xfId="36837" xr:uid="{00000000-0005-0000-0000-000015900000}"/>
    <cellStyle name="货币 2 2 3 2 6 11" xfId="36838" xr:uid="{00000000-0005-0000-0000-000016900000}"/>
    <cellStyle name="货币 2 2 3 2 6 12" xfId="36839" xr:uid="{00000000-0005-0000-0000-000017900000}"/>
    <cellStyle name="货币 2 2 3 2 6 13" xfId="36840" xr:uid="{00000000-0005-0000-0000-000018900000}"/>
    <cellStyle name="货币 2 2 3 2 6 14" xfId="36842" xr:uid="{00000000-0005-0000-0000-00001A900000}"/>
    <cellStyle name="货币 2 2 3 2 6 15" xfId="31484" xr:uid="{00000000-0005-0000-0000-00002C7B0000}"/>
    <cellStyle name="货币 2 2 3 2 6 16" xfId="36843" xr:uid="{00000000-0005-0000-0000-00001B900000}"/>
    <cellStyle name="货币 2 2 3 2 6 17" xfId="36844" xr:uid="{00000000-0005-0000-0000-00001C900000}"/>
    <cellStyle name="货币 2 2 3 2 6 18" xfId="36845" xr:uid="{00000000-0005-0000-0000-00001D900000}"/>
    <cellStyle name="货币 2 2 3 2 6 2" xfId="36846" xr:uid="{00000000-0005-0000-0000-00001E900000}"/>
    <cellStyle name="货币 2 2 3 2 6 2 10" xfId="36848" xr:uid="{00000000-0005-0000-0000-000020900000}"/>
    <cellStyle name="货币 2 2 3 2 6 2 2" xfId="36850" xr:uid="{00000000-0005-0000-0000-000022900000}"/>
    <cellStyle name="货币 2 2 3 2 6 2 2 2" xfId="36851" xr:uid="{00000000-0005-0000-0000-000023900000}"/>
    <cellStyle name="货币 2 2 3 2 6 2 3" xfId="36853" xr:uid="{00000000-0005-0000-0000-000025900000}"/>
    <cellStyle name="货币 2 2 3 2 6 2 4" xfId="36855" xr:uid="{00000000-0005-0000-0000-000027900000}"/>
    <cellStyle name="货币 2 2 3 2 6 2 5" xfId="3918" xr:uid="{00000000-0005-0000-0000-00007E0F0000}"/>
    <cellStyle name="货币 2 2 3 2 6 2 6" xfId="36858" xr:uid="{00000000-0005-0000-0000-00002A900000}"/>
    <cellStyle name="货币 2 2 3 2 6 2 7" xfId="36861" xr:uid="{00000000-0005-0000-0000-00002D900000}"/>
    <cellStyle name="货币 2 2 3 2 6 2 8" xfId="36864" xr:uid="{00000000-0005-0000-0000-000030900000}"/>
    <cellStyle name="货币 2 2 3 2 6 2 9" xfId="4937" xr:uid="{00000000-0005-0000-0000-000079130000}"/>
    <cellStyle name="货币 2 2 3 2 6 3" xfId="36865" xr:uid="{00000000-0005-0000-0000-000031900000}"/>
    <cellStyle name="货币 2 2 3 2 6 3 2" xfId="36866" xr:uid="{00000000-0005-0000-0000-000032900000}"/>
    <cellStyle name="货币 2 2 3 2 6 3 3" xfId="36867" xr:uid="{00000000-0005-0000-0000-000033900000}"/>
    <cellStyle name="货币 2 2 3 2 6 3 4" xfId="31493" xr:uid="{00000000-0005-0000-0000-0000357B0000}"/>
    <cellStyle name="货币 2 2 3 2 6 3 5" xfId="3934" xr:uid="{00000000-0005-0000-0000-00008E0F0000}"/>
    <cellStyle name="货币 2 2 3 2 6 3 6" xfId="31495" xr:uid="{00000000-0005-0000-0000-0000377B0000}"/>
    <cellStyle name="货币 2 2 3 2 6 4" xfId="36868" xr:uid="{00000000-0005-0000-0000-000034900000}"/>
    <cellStyle name="货币 2 2 3 2 6 4 2" xfId="36869" xr:uid="{00000000-0005-0000-0000-000035900000}"/>
    <cellStyle name="货币 2 2 3 2 6 4 3" xfId="36870" xr:uid="{00000000-0005-0000-0000-000036900000}"/>
    <cellStyle name="货币 2 2 3 2 6 4 4" xfId="36871" xr:uid="{00000000-0005-0000-0000-000037900000}"/>
    <cellStyle name="货币 2 2 3 2 6 4 5" xfId="3944" xr:uid="{00000000-0005-0000-0000-0000980F0000}"/>
    <cellStyle name="货币 2 2 3 2 6 4 6" xfId="36872" xr:uid="{00000000-0005-0000-0000-000038900000}"/>
    <cellStyle name="货币 2 2 3 2 6 5" xfId="36873" xr:uid="{00000000-0005-0000-0000-000039900000}"/>
    <cellStyle name="货币 2 2 3 2 6 5 2" xfId="36874" xr:uid="{00000000-0005-0000-0000-00003A900000}"/>
    <cellStyle name="货币 2 2 3 2 6 5 3" xfId="36875" xr:uid="{00000000-0005-0000-0000-00003B900000}"/>
    <cellStyle name="货币 2 2 3 2 6 5 4" xfId="10278" xr:uid="{00000000-0005-0000-0000-000056280000}"/>
    <cellStyle name="货币 2 2 3 2 6 5 5" xfId="3966" xr:uid="{00000000-0005-0000-0000-0000AE0F0000}"/>
    <cellStyle name="货币 2 2 3 2 6 5 6" xfId="36876" xr:uid="{00000000-0005-0000-0000-00003C900000}"/>
    <cellStyle name="货币 2 2 3 2 6 6" xfId="6959" xr:uid="{00000000-0005-0000-0000-00005F1B0000}"/>
    <cellStyle name="货币 2 2 3 2 6 6 2" xfId="36877" xr:uid="{00000000-0005-0000-0000-00003D900000}"/>
    <cellStyle name="货币 2 2 3 2 6 6 3" xfId="11210" xr:uid="{00000000-0005-0000-0000-0000FA2B0000}"/>
    <cellStyle name="货币 2 2 3 2 6 6 4" xfId="36878" xr:uid="{00000000-0005-0000-0000-00003E900000}"/>
    <cellStyle name="货币 2 2 3 2 6 6 5" xfId="1686" xr:uid="{00000000-0005-0000-0000-0000C6060000}"/>
    <cellStyle name="货币 2 2 3 2 6 6 6" xfId="33907" xr:uid="{00000000-0005-0000-0000-0000A3840000}"/>
    <cellStyle name="货币 2 2 3 2 6 7" xfId="6974" xr:uid="{00000000-0005-0000-0000-00006E1B0000}"/>
    <cellStyle name="货币 2 2 3 2 6 8" xfId="6985" xr:uid="{00000000-0005-0000-0000-0000791B0000}"/>
    <cellStyle name="货币 2 2 3 2 6 9" xfId="16050" xr:uid="{00000000-0005-0000-0000-0000E23E0000}"/>
    <cellStyle name="货币 2 2 3 2 7" xfId="36879" xr:uid="{00000000-0005-0000-0000-00003F900000}"/>
    <cellStyle name="货币 2 2 3 2 7 10" xfId="30186" xr:uid="{00000000-0005-0000-0000-00001A760000}"/>
    <cellStyle name="货币 2 2 3 2 7 11" xfId="30191" xr:uid="{00000000-0005-0000-0000-00001F760000}"/>
    <cellStyle name="货币 2 2 3 2 7 12" xfId="36881" xr:uid="{00000000-0005-0000-0000-000041900000}"/>
    <cellStyle name="货币 2 2 3 2 7 13" xfId="1656" xr:uid="{00000000-0005-0000-0000-0000A8060000}"/>
    <cellStyle name="货币 2 2 3 2 7 14" xfId="36882" xr:uid="{00000000-0005-0000-0000-000042900000}"/>
    <cellStyle name="货币 2 2 3 2 7 15" xfId="36883" xr:uid="{00000000-0005-0000-0000-000043900000}"/>
    <cellStyle name="货币 2 2 3 2 7 16" xfId="36884" xr:uid="{00000000-0005-0000-0000-000044900000}"/>
    <cellStyle name="货币 2 2 3 2 7 17" xfId="36885" xr:uid="{00000000-0005-0000-0000-000045900000}"/>
    <cellStyle name="货币 2 2 3 2 7 18" xfId="36886" xr:uid="{00000000-0005-0000-0000-000046900000}"/>
    <cellStyle name="货币 2 2 3 2 7 2" xfId="36888" xr:uid="{00000000-0005-0000-0000-000048900000}"/>
    <cellStyle name="货币 2 2 3 2 7 2 10" xfId="9372" xr:uid="{00000000-0005-0000-0000-0000CC240000}"/>
    <cellStyle name="货币 2 2 3 2 7 2 2" xfId="36889" xr:uid="{00000000-0005-0000-0000-000049900000}"/>
    <cellStyle name="货币 2 2 3 2 7 2 2 2" xfId="34570" xr:uid="{00000000-0005-0000-0000-00003A870000}"/>
    <cellStyle name="货币 2 2 3 2 7 2 3" xfId="36890" xr:uid="{00000000-0005-0000-0000-00004A900000}"/>
    <cellStyle name="货币 2 2 3 2 7 2 4" xfId="36891" xr:uid="{00000000-0005-0000-0000-00004B900000}"/>
    <cellStyle name="货币 2 2 3 2 7 2 5" xfId="4018" xr:uid="{00000000-0005-0000-0000-0000E20F0000}"/>
    <cellStyle name="货币 2 2 3 2 7 2 6" xfId="36892" xr:uid="{00000000-0005-0000-0000-00004C900000}"/>
    <cellStyle name="货币 2 2 3 2 7 2 7" xfId="36893" xr:uid="{00000000-0005-0000-0000-00004D900000}"/>
    <cellStyle name="货币 2 2 3 2 7 2 8" xfId="36894" xr:uid="{00000000-0005-0000-0000-00004E900000}"/>
    <cellStyle name="货币 2 2 3 2 7 2 9" xfId="603" xr:uid="{00000000-0005-0000-0000-000084020000}"/>
    <cellStyle name="货币 2 2 3 2 7 3" xfId="36895" xr:uid="{00000000-0005-0000-0000-00004F900000}"/>
    <cellStyle name="货币 2 2 3 2 7 3 2" xfId="36896" xr:uid="{00000000-0005-0000-0000-000050900000}"/>
    <cellStyle name="货币 2 2 3 2 7 3 3" xfId="36897" xr:uid="{00000000-0005-0000-0000-000051900000}"/>
    <cellStyle name="货币 2 2 3 2 7 3 4" xfId="36898" xr:uid="{00000000-0005-0000-0000-000052900000}"/>
    <cellStyle name="货币 2 2 3 2 7 3 5" xfId="4027" xr:uid="{00000000-0005-0000-0000-0000EB0F0000}"/>
    <cellStyle name="货币 2 2 3 2 7 3 6" xfId="36899" xr:uid="{00000000-0005-0000-0000-000053900000}"/>
    <cellStyle name="货币 2 2 3 2 7 4" xfId="36900" xr:uid="{00000000-0005-0000-0000-000054900000}"/>
    <cellStyle name="货币 2 2 3 2 7 4 2" xfId="36901" xr:uid="{00000000-0005-0000-0000-000055900000}"/>
    <cellStyle name="货币 2 2 3 2 7 4 3" xfId="36902" xr:uid="{00000000-0005-0000-0000-000056900000}"/>
    <cellStyle name="货币 2 2 3 2 7 4 4" xfId="36903" xr:uid="{00000000-0005-0000-0000-000057900000}"/>
    <cellStyle name="货币 2 2 3 2 7 4 5" xfId="4034" xr:uid="{00000000-0005-0000-0000-0000F20F0000}"/>
    <cellStyle name="货币 2 2 3 2 7 4 6" xfId="36904" xr:uid="{00000000-0005-0000-0000-000058900000}"/>
    <cellStyle name="货币 2 2 3 2 7 5" xfId="36905" xr:uid="{00000000-0005-0000-0000-000059900000}"/>
    <cellStyle name="货币 2 2 3 2 7 5 2" xfId="36906" xr:uid="{00000000-0005-0000-0000-00005A900000}"/>
    <cellStyle name="货币 2 2 3 2 7 5 3" xfId="36907" xr:uid="{00000000-0005-0000-0000-00005B900000}"/>
    <cellStyle name="货币 2 2 3 2 7 5 4" xfId="36908" xr:uid="{00000000-0005-0000-0000-00005C900000}"/>
    <cellStyle name="货币 2 2 3 2 7 5 5" xfId="4051" xr:uid="{00000000-0005-0000-0000-000003100000}"/>
    <cellStyle name="货币 2 2 3 2 7 5 6" xfId="36909" xr:uid="{00000000-0005-0000-0000-00005D900000}"/>
    <cellStyle name="货币 2 2 3 2 7 6" xfId="26569" xr:uid="{00000000-0005-0000-0000-0000F9670000}"/>
    <cellStyle name="货币 2 2 3 2 7 6 2" xfId="36910" xr:uid="{00000000-0005-0000-0000-00005E900000}"/>
    <cellStyle name="货币 2 2 3 2 7 6 3" xfId="36911" xr:uid="{00000000-0005-0000-0000-00005F900000}"/>
    <cellStyle name="货币 2 2 3 2 7 6 4" xfId="23840" xr:uid="{00000000-0005-0000-0000-0000505D0000}"/>
    <cellStyle name="货币 2 2 3 2 7 6 5" xfId="4055" xr:uid="{00000000-0005-0000-0000-000007100000}"/>
    <cellStyle name="货币 2 2 3 2 7 6 6" xfId="36912" xr:uid="{00000000-0005-0000-0000-000060900000}"/>
    <cellStyle name="货币 2 2 3 2 7 7" xfId="26571" xr:uid="{00000000-0005-0000-0000-0000FB670000}"/>
    <cellStyle name="货币 2 2 3 2 7 8" xfId="26573" xr:uid="{00000000-0005-0000-0000-0000FD670000}"/>
    <cellStyle name="货币 2 2 3 2 7 9" xfId="26575" xr:uid="{00000000-0005-0000-0000-0000FF670000}"/>
    <cellStyle name="货币 2 2 3 2 8" xfId="32604" xr:uid="{00000000-0005-0000-0000-00008C7F0000}"/>
    <cellStyle name="货币 2 2 3 2 8 10" xfId="36914" xr:uid="{00000000-0005-0000-0000-000062900000}"/>
    <cellStyle name="货币 2 2 3 2 8 11" xfId="35382" xr:uid="{00000000-0005-0000-0000-0000668A0000}"/>
    <cellStyle name="货币 2 2 3 2 8 12" xfId="36917" xr:uid="{00000000-0005-0000-0000-000065900000}"/>
    <cellStyle name="货币 2 2 3 2 8 13" xfId="36920" xr:uid="{00000000-0005-0000-0000-000068900000}"/>
    <cellStyle name="货币 2 2 3 2 8 14" xfId="25484" xr:uid="{00000000-0005-0000-0000-0000BC630000}"/>
    <cellStyle name="货币 2 2 3 2 8 15" xfId="36923" xr:uid="{00000000-0005-0000-0000-00006B900000}"/>
    <cellStyle name="货币 2 2 3 2 8 2" xfId="36926" xr:uid="{00000000-0005-0000-0000-00006E900000}"/>
    <cellStyle name="货币 2 2 3 2 8 2 2" xfId="36927" xr:uid="{00000000-0005-0000-0000-00006F900000}"/>
    <cellStyle name="货币 2 2 3 2 8 2 2 2" xfId="29707" xr:uid="{00000000-0005-0000-0000-00003B740000}"/>
    <cellStyle name="货币 2 2 3 2 8 2 3" xfId="36928" xr:uid="{00000000-0005-0000-0000-000070900000}"/>
    <cellStyle name="货币 2 2 3 2 8 2 4" xfId="36929" xr:uid="{00000000-0005-0000-0000-000071900000}"/>
    <cellStyle name="货币 2 2 3 2 8 2 5" xfId="36930" xr:uid="{00000000-0005-0000-0000-000072900000}"/>
    <cellStyle name="货币 2 2 3 2 8 2 6" xfId="18874" xr:uid="{00000000-0005-0000-0000-0000EA490000}"/>
    <cellStyle name="货币 2 2 3 2 8 2 7" xfId="18877" xr:uid="{00000000-0005-0000-0000-0000ED490000}"/>
    <cellStyle name="货币 2 2 3 2 8 2 8" xfId="18880" xr:uid="{00000000-0005-0000-0000-0000F0490000}"/>
    <cellStyle name="货币 2 2 3 2 8 2 9" xfId="18884" xr:uid="{00000000-0005-0000-0000-0000F4490000}"/>
    <cellStyle name="货币 2 2 3 2 8 3" xfId="23579" xr:uid="{00000000-0005-0000-0000-00004B5C0000}"/>
    <cellStyle name="货币 2 2 3 2 8 3 2" xfId="36931" xr:uid="{00000000-0005-0000-0000-000073900000}"/>
    <cellStyle name="货币 2 2 3 2 8 3 3" xfId="36932" xr:uid="{00000000-0005-0000-0000-000074900000}"/>
    <cellStyle name="货币 2 2 3 2 8 3 4" xfId="36933" xr:uid="{00000000-0005-0000-0000-000075900000}"/>
    <cellStyle name="货币 2 2 3 2 8 3 5" xfId="36934" xr:uid="{00000000-0005-0000-0000-000076900000}"/>
    <cellStyle name="货币 2 2 3 2 8 3 6" xfId="36935" xr:uid="{00000000-0005-0000-0000-000077900000}"/>
    <cellStyle name="货币 2 2 3 2 8 4" xfId="36936" xr:uid="{00000000-0005-0000-0000-000078900000}"/>
    <cellStyle name="货币 2 2 3 2 8 4 2" xfId="36937" xr:uid="{00000000-0005-0000-0000-000079900000}"/>
    <cellStyle name="货币 2 2 3 2 8 5" xfId="36939" xr:uid="{00000000-0005-0000-0000-00007B900000}"/>
    <cellStyle name="货币 2 2 3 2 8 6" xfId="36940" xr:uid="{00000000-0005-0000-0000-00007C900000}"/>
    <cellStyle name="货币 2 2 3 2 8 7" xfId="24620" xr:uid="{00000000-0005-0000-0000-00005C600000}"/>
    <cellStyle name="货币 2 2 3 2 8 8" xfId="36941" xr:uid="{00000000-0005-0000-0000-00007D900000}"/>
    <cellStyle name="货币 2 2 3 2 8 9" xfId="36942" xr:uid="{00000000-0005-0000-0000-00007E900000}"/>
    <cellStyle name="货币 2 2 3 2 9" xfId="18304" xr:uid="{00000000-0005-0000-0000-0000B0470000}"/>
    <cellStyle name="货币 2 2 3 2 9 10" xfId="36943" xr:uid="{00000000-0005-0000-0000-00007F900000}"/>
    <cellStyle name="货币 2 2 3 2 9 11" xfId="36944" xr:uid="{00000000-0005-0000-0000-000080900000}"/>
    <cellStyle name="货币 2 2 3 2 9 12" xfId="36945" xr:uid="{00000000-0005-0000-0000-000081900000}"/>
    <cellStyle name="货币 2 2 3 2 9 13" xfId="21262" xr:uid="{00000000-0005-0000-0000-00003E530000}"/>
    <cellStyle name="货币 2 2 3 2 9 14" xfId="36946" xr:uid="{00000000-0005-0000-0000-000082900000}"/>
    <cellStyle name="货币 2 2 3 2 9 2" xfId="36947" xr:uid="{00000000-0005-0000-0000-000083900000}"/>
    <cellStyle name="货币 2 2 3 2 9 2 2" xfId="36948" xr:uid="{00000000-0005-0000-0000-000084900000}"/>
    <cellStyle name="货币 2 2 3 2 9 2 2 2" xfId="36949" xr:uid="{00000000-0005-0000-0000-000085900000}"/>
    <cellStyle name="货币 2 2 3 2 9 2 3" xfId="36950" xr:uid="{00000000-0005-0000-0000-000086900000}"/>
    <cellStyle name="货币 2 2 3 2 9 2 4" xfId="36951" xr:uid="{00000000-0005-0000-0000-000087900000}"/>
    <cellStyle name="货币 2 2 3 2 9 2 5" xfId="36952" xr:uid="{00000000-0005-0000-0000-000088900000}"/>
    <cellStyle name="货币 2 2 3 2 9 2 6" xfId="27378" xr:uid="{00000000-0005-0000-0000-0000226B0000}"/>
    <cellStyle name="货币 2 2 3 2 9 2 7" xfId="27381" xr:uid="{00000000-0005-0000-0000-0000256B0000}"/>
    <cellStyle name="货币 2 2 3 2 9 2 8" xfId="27384" xr:uid="{00000000-0005-0000-0000-0000286B0000}"/>
    <cellStyle name="货币 2 2 3 2 9 2 9" xfId="27388" xr:uid="{00000000-0005-0000-0000-00002C6B0000}"/>
    <cellStyle name="货币 2 2 3 2 9 3" xfId="36953" xr:uid="{00000000-0005-0000-0000-000089900000}"/>
    <cellStyle name="货币 2 2 3 2 9 3 2" xfId="25162" xr:uid="{00000000-0005-0000-0000-00007A620000}"/>
    <cellStyle name="货币 2 2 3 2 9 3 3" xfId="36955" xr:uid="{00000000-0005-0000-0000-00008B900000}"/>
    <cellStyle name="货币 2 2 3 2 9 3 4" xfId="36957" xr:uid="{00000000-0005-0000-0000-00008D900000}"/>
    <cellStyle name="货币 2 2 3 2 9 3 5" xfId="36959" xr:uid="{00000000-0005-0000-0000-00008F900000}"/>
    <cellStyle name="货币 2 2 3 2 9 3 6" xfId="36961" xr:uid="{00000000-0005-0000-0000-000091900000}"/>
    <cellStyle name="货币 2 2 3 2 9 4" xfId="36962" xr:uid="{00000000-0005-0000-0000-000092900000}"/>
    <cellStyle name="货币 2 2 3 2 9 4 2" xfId="36964" xr:uid="{00000000-0005-0000-0000-000094900000}"/>
    <cellStyle name="货币 2 2 3 2 9 5" xfId="36965" xr:uid="{00000000-0005-0000-0000-000095900000}"/>
    <cellStyle name="货币 2 2 3 2 9 6" xfId="36966" xr:uid="{00000000-0005-0000-0000-000096900000}"/>
    <cellStyle name="货币 2 2 3 2 9 7" xfId="36967" xr:uid="{00000000-0005-0000-0000-000097900000}"/>
    <cellStyle name="货币 2 2 3 2 9 8" xfId="36968" xr:uid="{00000000-0005-0000-0000-000098900000}"/>
    <cellStyle name="货币 2 2 3 2 9 9" xfId="36969" xr:uid="{00000000-0005-0000-0000-000099900000}"/>
    <cellStyle name="货币 2 2 3 20" xfId="27242" xr:uid="{00000000-0005-0000-0000-00009A6A0000}"/>
    <cellStyle name="货币 2 2 3 21" xfId="6170" xr:uid="{00000000-0005-0000-0000-00004A180000}"/>
    <cellStyle name="货币 2 2 3 22" xfId="1621" xr:uid="{00000000-0005-0000-0000-000085060000}"/>
    <cellStyle name="货币 2 2 3 23" xfId="1649" xr:uid="{00000000-0005-0000-0000-0000A1060000}"/>
    <cellStyle name="货币 2 2 3 24" xfId="773" xr:uid="{00000000-0005-0000-0000-000035030000}"/>
    <cellStyle name="货币 2 2 3 25" xfId="16895" xr:uid="{00000000-0005-0000-0000-00002F420000}"/>
    <cellStyle name="货币 2 2 3 26" xfId="36970" xr:uid="{00000000-0005-0000-0000-00009A900000}"/>
    <cellStyle name="货币 2 2 3 27" xfId="36971" xr:uid="{00000000-0005-0000-0000-00009B900000}"/>
    <cellStyle name="货币 2 2 3 28" xfId="36972" xr:uid="{00000000-0005-0000-0000-00009C900000}"/>
    <cellStyle name="货币 2 2 3 3" xfId="25342" xr:uid="{00000000-0005-0000-0000-00002E630000}"/>
    <cellStyle name="货币 2 2 3 3 10" xfId="36973" xr:uid="{00000000-0005-0000-0000-00009D900000}"/>
    <cellStyle name="货币 2 2 3 3 10 2" xfId="36974" xr:uid="{00000000-0005-0000-0000-00009E900000}"/>
    <cellStyle name="货币 2 2 3 3 10 3" xfId="36975" xr:uid="{00000000-0005-0000-0000-00009F900000}"/>
    <cellStyle name="货币 2 2 3 3 10 4" xfId="36976" xr:uid="{00000000-0005-0000-0000-0000A0900000}"/>
    <cellStyle name="货币 2 2 3 3 10 5" xfId="36977" xr:uid="{00000000-0005-0000-0000-0000A1900000}"/>
    <cellStyle name="货币 2 2 3 3 10 6" xfId="36978" xr:uid="{00000000-0005-0000-0000-0000A2900000}"/>
    <cellStyle name="货币 2 2 3 3 11" xfId="34762" xr:uid="{00000000-0005-0000-0000-0000FA870000}"/>
    <cellStyle name="货币 2 2 3 3 11 2" xfId="34764" xr:uid="{00000000-0005-0000-0000-0000FC870000}"/>
    <cellStyle name="货币 2 2 3 3 11 3" xfId="34772" xr:uid="{00000000-0005-0000-0000-000004880000}"/>
    <cellStyle name="货币 2 2 3 3 11 4" xfId="34775" xr:uid="{00000000-0005-0000-0000-000007880000}"/>
    <cellStyle name="货币 2 2 3 3 11 5" xfId="34777" xr:uid="{00000000-0005-0000-0000-000009880000}"/>
    <cellStyle name="货币 2 2 3 3 11 6" xfId="34779" xr:uid="{00000000-0005-0000-0000-00000B880000}"/>
    <cellStyle name="货币 2 2 3 3 12" xfId="34786" xr:uid="{00000000-0005-0000-0000-000012880000}"/>
    <cellStyle name="货币 2 2 3 3 13" xfId="34797" xr:uid="{00000000-0005-0000-0000-00001D880000}"/>
    <cellStyle name="货币 2 2 3 3 14" xfId="34822" xr:uid="{00000000-0005-0000-0000-000036880000}"/>
    <cellStyle name="货币 2 2 3 3 15" xfId="34830" xr:uid="{00000000-0005-0000-0000-00003E880000}"/>
    <cellStyle name="货币 2 2 3 3 16" xfId="26343" xr:uid="{00000000-0005-0000-0000-000017670000}"/>
    <cellStyle name="货币 2 2 3 3 17" xfId="26350" xr:uid="{00000000-0005-0000-0000-00001E670000}"/>
    <cellStyle name="货币 2 2 3 3 18" xfId="26357" xr:uid="{00000000-0005-0000-0000-000025670000}"/>
    <cellStyle name="货币 2 2 3 3 19" xfId="26364" xr:uid="{00000000-0005-0000-0000-00002C670000}"/>
    <cellStyle name="货币 2 2 3 3 2" xfId="25432" xr:uid="{00000000-0005-0000-0000-000088630000}"/>
    <cellStyle name="货币 2 2 3 3 2 10" xfId="21505" xr:uid="{00000000-0005-0000-0000-000031540000}"/>
    <cellStyle name="货币 2 2 3 3 2 11" xfId="20970" xr:uid="{00000000-0005-0000-0000-00001A520000}"/>
    <cellStyle name="货币 2 2 3 3 2 12" xfId="30685" xr:uid="{00000000-0005-0000-0000-00000D780000}"/>
    <cellStyle name="货币 2 2 3 3 2 13" xfId="30688" xr:uid="{00000000-0005-0000-0000-000010780000}"/>
    <cellStyle name="货币 2 2 3 3 2 14" xfId="30691" xr:uid="{00000000-0005-0000-0000-000013780000}"/>
    <cellStyle name="货币 2 2 3 3 2 15" xfId="30694" xr:uid="{00000000-0005-0000-0000-000016780000}"/>
    <cellStyle name="货币 2 2 3 3 2 16" xfId="31850" xr:uid="{00000000-0005-0000-0000-00009A7C0000}"/>
    <cellStyle name="货币 2 2 3 3 2 17" xfId="31852" xr:uid="{00000000-0005-0000-0000-00009C7C0000}"/>
    <cellStyle name="货币 2 2 3 3 2 18" xfId="36979" xr:uid="{00000000-0005-0000-0000-0000A3900000}"/>
    <cellStyle name="货币 2 2 3 3 2 2" xfId="36980" xr:uid="{00000000-0005-0000-0000-0000A4900000}"/>
    <cellStyle name="货币 2 2 3 3 2 2 10" xfId="31500" xr:uid="{00000000-0005-0000-0000-00003C7B0000}"/>
    <cellStyle name="货币 2 2 3 3 2 2 11" xfId="31502" xr:uid="{00000000-0005-0000-0000-00003E7B0000}"/>
    <cellStyle name="货币 2 2 3 3 2 2 12" xfId="31505" xr:uid="{00000000-0005-0000-0000-0000417B0000}"/>
    <cellStyle name="货币 2 2 3 3 2 2 2" xfId="31823" xr:uid="{00000000-0005-0000-0000-00007F7C0000}"/>
    <cellStyle name="货币 2 2 3 3 2 2 2 2" xfId="13097" xr:uid="{00000000-0005-0000-0000-000059330000}"/>
    <cellStyle name="货币 2 2 3 3 2 2 2 2 2" xfId="15907" xr:uid="{00000000-0005-0000-0000-0000533E0000}"/>
    <cellStyle name="货币 2 2 3 3 2 2 2 3" xfId="13107" xr:uid="{00000000-0005-0000-0000-000063330000}"/>
    <cellStyle name="货币 2 2 3 3 2 2 2 4" xfId="20725" xr:uid="{00000000-0005-0000-0000-000025510000}"/>
    <cellStyle name="货币 2 2 3 3 2 2 2 5" xfId="20734" xr:uid="{00000000-0005-0000-0000-00002E510000}"/>
    <cellStyle name="货币 2 2 3 3 2 2 3" xfId="31825" xr:uid="{00000000-0005-0000-0000-0000817C0000}"/>
    <cellStyle name="货币 2 2 3 3 2 2 3 2" xfId="20904" xr:uid="{00000000-0005-0000-0000-0000D8510000}"/>
    <cellStyle name="货币 2 2 3 3 2 2 4" xfId="31832" xr:uid="{00000000-0005-0000-0000-0000887C0000}"/>
    <cellStyle name="货币 2 2 3 3 2 2 5" xfId="31842" xr:uid="{00000000-0005-0000-0000-0000927C0000}"/>
    <cellStyle name="货币 2 2 3 3 2 2 6" xfId="31845" xr:uid="{00000000-0005-0000-0000-0000957C0000}"/>
    <cellStyle name="货币 2 2 3 3 2 2 7" xfId="20997" xr:uid="{00000000-0005-0000-0000-000035520000}"/>
    <cellStyle name="货币 2 2 3 3 2 2 8" xfId="21007" xr:uid="{00000000-0005-0000-0000-00003F520000}"/>
    <cellStyle name="货币 2 2 3 3 2 2 9" xfId="21012" xr:uid="{00000000-0005-0000-0000-000044520000}"/>
    <cellStyle name="货币 2 2 3 3 2 3" xfId="36981" xr:uid="{00000000-0005-0000-0000-0000A5900000}"/>
    <cellStyle name="货币 2 2 3 3 2 3 10" xfId="35706" xr:uid="{00000000-0005-0000-0000-0000AA8B0000}"/>
    <cellStyle name="货币 2 2 3 3 2 3 11" xfId="35708" xr:uid="{00000000-0005-0000-0000-0000AC8B0000}"/>
    <cellStyle name="货币 2 2 3 3 2 3 12" xfId="31872" xr:uid="{00000000-0005-0000-0000-0000B07C0000}"/>
    <cellStyle name="货币 2 2 3 3 2 3 2" xfId="36983" xr:uid="{00000000-0005-0000-0000-0000A7900000}"/>
    <cellStyle name="货币 2 2 3 3 2 3 2 2" xfId="36985" xr:uid="{00000000-0005-0000-0000-0000A9900000}"/>
    <cellStyle name="货币 2 2 3 3 2 3 2 2 2" xfId="36987" xr:uid="{00000000-0005-0000-0000-0000AB900000}"/>
    <cellStyle name="货币 2 2 3 3 2 3 2 3" xfId="36989" xr:uid="{00000000-0005-0000-0000-0000AD900000}"/>
    <cellStyle name="货币 2 2 3 3 2 3 2 4" xfId="36991" xr:uid="{00000000-0005-0000-0000-0000AF900000}"/>
    <cellStyle name="货币 2 2 3 3 2 3 2 5" xfId="36993" xr:uid="{00000000-0005-0000-0000-0000B1900000}"/>
    <cellStyle name="货币 2 2 3 3 2 3 3" xfId="36995" xr:uid="{00000000-0005-0000-0000-0000B3900000}"/>
    <cellStyle name="货币 2 2 3 3 2 3 3 2" xfId="36997" xr:uid="{00000000-0005-0000-0000-0000B5900000}"/>
    <cellStyle name="货币 2 2 3 3 2 3 4" xfId="36998" xr:uid="{00000000-0005-0000-0000-0000B6900000}"/>
    <cellStyle name="货币 2 2 3 3 2 3 5" xfId="36999" xr:uid="{00000000-0005-0000-0000-0000B7900000}"/>
    <cellStyle name="货币 2 2 3 3 2 3 6" xfId="37000" xr:uid="{00000000-0005-0000-0000-0000B8900000}"/>
    <cellStyle name="货币 2 2 3 3 2 3 7" xfId="21033" xr:uid="{00000000-0005-0000-0000-000059520000}"/>
    <cellStyle name="货币 2 2 3 3 2 3 8" xfId="37001" xr:uid="{00000000-0005-0000-0000-0000B9900000}"/>
    <cellStyle name="货币 2 2 3 3 2 3 9" xfId="20421" xr:uid="{00000000-0005-0000-0000-0000F54F0000}"/>
    <cellStyle name="货币 2 2 3 3 2 4" xfId="37002" xr:uid="{00000000-0005-0000-0000-0000BA900000}"/>
    <cellStyle name="货币 2 2 3 3 2 4 10" xfId="7311" xr:uid="{00000000-0005-0000-0000-0000BF1C0000}"/>
    <cellStyle name="货币 2 2 3 3 2 4 2" xfId="37004" xr:uid="{00000000-0005-0000-0000-0000BC900000}"/>
    <cellStyle name="货币 2 2 3 3 2 4 2 2" xfId="37006" xr:uid="{00000000-0005-0000-0000-0000BE900000}"/>
    <cellStyle name="货币 2 2 3 3 2 4 2 2 2" xfId="37008" xr:uid="{00000000-0005-0000-0000-0000C0900000}"/>
    <cellStyle name="货币 2 2 3 3 2 4 2 3" xfId="37010" xr:uid="{00000000-0005-0000-0000-0000C2900000}"/>
    <cellStyle name="货币 2 2 3 3 2 4 2 4" xfId="37012" xr:uid="{00000000-0005-0000-0000-0000C4900000}"/>
    <cellStyle name="货币 2 2 3 3 2 4 2 5" xfId="37014" xr:uid="{00000000-0005-0000-0000-0000C6900000}"/>
    <cellStyle name="货币 2 2 3 3 2 4 3" xfId="37016" xr:uid="{00000000-0005-0000-0000-0000C8900000}"/>
    <cellStyle name="货币 2 2 3 3 2 4 3 2" xfId="8160" xr:uid="{00000000-0005-0000-0000-000010200000}"/>
    <cellStyle name="货币 2 2 3 3 2 4 4" xfId="29218" xr:uid="{00000000-0005-0000-0000-000052720000}"/>
    <cellStyle name="货币 2 2 3 3 2 4 5" xfId="29221" xr:uid="{00000000-0005-0000-0000-000055720000}"/>
    <cellStyle name="货币 2 2 3 3 2 4 6" xfId="29224" xr:uid="{00000000-0005-0000-0000-000058720000}"/>
    <cellStyle name="货币 2 2 3 3 2 4 7" xfId="29227" xr:uid="{00000000-0005-0000-0000-00005B720000}"/>
    <cellStyle name="货币 2 2 3 3 2 4 8" xfId="29234" xr:uid="{00000000-0005-0000-0000-000062720000}"/>
    <cellStyle name="货币 2 2 3 3 2 4 9" xfId="6501" xr:uid="{00000000-0005-0000-0000-000095190000}"/>
    <cellStyle name="货币 2 2 3 3 2 5" xfId="37017" xr:uid="{00000000-0005-0000-0000-0000C9900000}"/>
    <cellStyle name="货币 2 2 3 3 2 5 10" xfId="7359" xr:uid="{00000000-0005-0000-0000-0000EF1C0000}"/>
    <cellStyle name="货币 2 2 3 3 2 5 2" xfId="19947" xr:uid="{00000000-0005-0000-0000-00001B4E0000}"/>
    <cellStyle name="货币 2 2 3 3 2 5 2 2" xfId="24133" xr:uid="{00000000-0005-0000-0000-0000755E0000}"/>
    <cellStyle name="货币 2 2 3 3 2 5 2 2 2" xfId="11101" xr:uid="{00000000-0005-0000-0000-00008D2B0000}"/>
    <cellStyle name="货币 2 2 3 3 2 5 2 3" xfId="24147" xr:uid="{00000000-0005-0000-0000-0000835E0000}"/>
    <cellStyle name="货币 2 2 3 3 2 5 2 4" xfId="37019" xr:uid="{00000000-0005-0000-0000-0000CB900000}"/>
    <cellStyle name="货币 2 2 3 3 2 5 2 5" xfId="37021" xr:uid="{00000000-0005-0000-0000-0000CD900000}"/>
    <cellStyle name="货币 2 2 3 3 2 5 3" xfId="19950" xr:uid="{00000000-0005-0000-0000-00001E4E0000}"/>
    <cellStyle name="货币 2 2 3 3 2 5 3 2" xfId="8217" xr:uid="{00000000-0005-0000-0000-000049200000}"/>
    <cellStyle name="货币 2 2 3 3 2 5 4" xfId="22322" xr:uid="{00000000-0005-0000-0000-000062570000}"/>
    <cellStyle name="货币 2 2 3 3 2 5 5" xfId="22325" xr:uid="{00000000-0005-0000-0000-000065570000}"/>
    <cellStyle name="货币 2 2 3 3 2 5 6" xfId="22329" xr:uid="{00000000-0005-0000-0000-000069570000}"/>
    <cellStyle name="货币 2 2 3 3 2 5 7" xfId="32891" xr:uid="{00000000-0005-0000-0000-0000AB800000}"/>
    <cellStyle name="货币 2 2 3 3 2 5 8" xfId="32893" xr:uid="{00000000-0005-0000-0000-0000AD800000}"/>
    <cellStyle name="货币 2 2 3 3 2 5 9" xfId="32895" xr:uid="{00000000-0005-0000-0000-0000AF800000}"/>
    <cellStyle name="货币 2 2 3 3 2 6" xfId="37022" xr:uid="{00000000-0005-0000-0000-0000CE900000}"/>
    <cellStyle name="货币 2 2 3 3 2 6 2" xfId="37023" xr:uid="{00000000-0005-0000-0000-0000CF900000}"/>
    <cellStyle name="货币 2 2 3 3 2 6 2 2" xfId="24508" xr:uid="{00000000-0005-0000-0000-0000EC5F0000}"/>
    <cellStyle name="货币 2 2 3 3 2 6 3" xfId="22333" xr:uid="{00000000-0005-0000-0000-00006D570000}"/>
    <cellStyle name="货币 2 2 3 3 2 6 4" xfId="30110" xr:uid="{00000000-0005-0000-0000-0000CE750000}"/>
    <cellStyle name="货币 2 2 3 3 2 6 5" xfId="30114" xr:uid="{00000000-0005-0000-0000-0000D2750000}"/>
    <cellStyle name="货币 2 2 3 3 2 6 6" xfId="30116" xr:uid="{00000000-0005-0000-0000-0000D4750000}"/>
    <cellStyle name="货币 2 2 3 3 2 6 7" xfId="32898" xr:uid="{00000000-0005-0000-0000-0000B2800000}"/>
    <cellStyle name="货币 2 2 3 3 2 6 8" xfId="37024" xr:uid="{00000000-0005-0000-0000-0000D0900000}"/>
    <cellStyle name="货币 2 2 3 3 2 6 9" xfId="37025" xr:uid="{00000000-0005-0000-0000-0000D1900000}"/>
    <cellStyle name="货币 2 2 3 3 2 7" xfId="37026" xr:uid="{00000000-0005-0000-0000-0000D2900000}"/>
    <cellStyle name="货币 2 2 3 3 2 7 2" xfId="37027" xr:uid="{00000000-0005-0000-0000-0000D3900000}"/>
    <cellStyle name="货币 2 2 3 3 2 8" xfId="37028" xr:uid="{00000000-0005-0000-0000-0000D4900000}"/>
    <cellStyle name="货币 2 2 3 3 2 9" xfId="37029" xr:uid="{00000000-0005-0000-0000-0000D5900000}"/>
    <cellStyle name="货币 2 2 3 3 20" xfId="34831" xr:uid="{00000000-0005-0000-0000-00003F880000}"/>
    <cellStyle name="货币 2 2 3 3 21" xfId="26344" xr:uid="{00000000-0005-0000-0000-000018670000}"/>
    <cellStyle name="货币 2 2 3 3 22" xfId="26351" xr:uid="{00000000-0005-0000-0000-00001F670000}"/>
    <cellStyle name="货币 2 2 3 3 23" xfId="26358" xr:uid="{00000000-0005-0000-0000-000026670000}"/>
    <cellStyle name="货币 2 2 3 3 3" xfId="37030" xr:uid="{00000000-0005-0000-0000-0000D6900000}"/>
    <cellStyle name="货币 2 2 3 3 3 10" xfId="2684" xr:uid="{00000000-0005-0000-0000-0000AC0A0000}"/>
    <cellStyle name="货币 2 2 3 3 3 11" xfId="37031" xr:uid="{00000000-0005-0000-0000-0000D7900000}"/>
    <cellStyle name="货币 2 2 3 3 3 12" xfId="37033" xr:uid="{00000000-0005-0000-0000-0000D9900000}"/>
    <cellStyle name="货币 2 2 3 3 3 13" xfId="37035" xr:uid="{00000000-0005-0000-0000-0000DB900000}"/>
    <cellStyle name="货币 2 2 3 3 3 14" xfId="37037" xr:uid="{00000000-0005-0000-0000-0000DD900000}"/>
    <cellStyle name="货币 2 2 3 3 3 15" xfId="37039" xr:uid="{00000000-0005-0000-0000-0000DF900000}"/>
    <cellStyle name="货币 2 2 3 3 3 16" xfId="37040" xr:uid="{00000000-0005-0000-0000-0000E0900000}"/>
    <cellStyle name="货币 2 2 3 3 3 17" xfId="37041" xr:uid="{00000000-0005-0000-0000-0000E1900000}"/>
    <cellStyle name="货币 2 2 3 3 3 18" xfId="37042" xr:uid="{00000000-0005-0000-0000-0000E2900000}"/>
    <cellStyle name="货币 2 2 3 3 3 2" xfId="37043" xr:uid="{00000000-0005-0000-0000-0000E3900000}"/>
    <cellStyle name="货币 2 2 3 3 3 2 10" xfId="37044" xr:uid="{00000000-0005-0000-0000-0000E4900000}"/>
    <cellStyle name="货币 2 2 3 3 3 2 2" xfId="37045" xr:uid="{00000000-0005-0000-0000-0000E5900000}"/>
    <cellStyle name="货币 2 2 3 3 3 2 2 2" xfId="13551" xr:uid="{00000000-0005-0000-0000-00001F350000}"/>
    <cellStyle name="货币 2 2 3 3 3 2 3" xfId="37046" xr:uid="{00000000-0005-0000-0000-0000E6900000}"/>
    <cellStyle name="货币 2 2 3 3 3 2 4" xfId="37047" xr:uid="{00000000-0005-0000-0000-0000E7900000}"/>
    <cellStyle name="货币 2 2 3 3 3 2 5" xfId="37048" xr:uid="{00000000-0005-0000-0000-0000E8900000}"/>
    <cellStyle name="货币 2 2 3 3 3 2 6" xfId="28468" xr:uid="{00000000-0005-0000-0000-0000646F0000}"/>
    <cellStyle name="货币 2 2 3 3 3 2 7" xfId="21122" xr:uid="{00000000-0005-0000-0000-0000B2520000}"/>
    <cellStyle name="货币 2 2 3 3 3 2 8" xfId="28471" xr:uid="{00000000-0005-0000-0000-0000676F0000}"/>
    <cellStyle name="货币 2 2 3 3 3 2 9" xfId="28979" xr:uid="{00000000-0005-0000-0000-000063710000}"/>
    <cellStyle name="货币 2 2 3 3 3 3" xfId="37049" xr:uid="{00000000-0005-0000-0000-0000E9900000}"/>
    <cellStyle name="货币 2 2 3 3 3 3 2" xfId="37050" xr:uid="{00000000-0005-0000-0000-0000EA900000}"/>
    <cellStyle name="货币 2 2 3 3 3 3 3" xfId="37051" xr:uid="{00000000-0005-0000-0000-0000EB900000}"/>
    <cellStyle name="货币 2 2 3 3 3 3 4" xfId="37052" xr:uid="{00000000-0005-0000-0000-0000EC900000}"/>
    <cellStyle name="货币 2 2 3 3 3 3 5" xfId="37053" xr:uid="{00000000-0005-0000-0000-0000ED900000}"/>
    <cellStyle name="货币 2 2 3 3 3 3 6" xfId="37054" xr:uid="{00000000-0005-0000-0000-0000EE900000}"/>
    <cellStyle name="货币 2 2 3 3 3 4" xfId="37055" xr:uid="{00000000-0005-0000-0000-0000EF900000}"/>
    <cellStyle name="货币 2 2 3 3 3 4 2" xfId="29729" xr:uid="{00000000-0005-0000-0000-000051740000}"/>
    <cellStyle name="货币 2 2 3 3 3 4 3" xfId="6417" xr:uid="{00000000-0005-0000-0000-000041190000}"/>
    <cellStyle name="货币 2 2 3 3 3 4 4" xfId="7182" xr:uid="{00000000-0005-0000-0000-00003E1C0000}"/>
    <cellStyle name="货币 2 2 3 3 3 4 5" xfId="7195" xr:uid="{00000000-0005-0000-0000-00004B1C0000}"/>
    <cellStyle name="货币 2 2 3 3 3 4 6" xfId="4877" xr:uid="{00000000-0005-0000-0000-00003D130000}"/>
    <cellStyle name="货币 2 2 3 3 3 5" xfId="37056" xr:uid="{00000000-0005-0000-0000-0000F0900000}"/>
    <cellStyle name="货币 2 2 3 3 3 5 2" xfId="14168" xr:uid="{00000000-0005-0000-0000-000088370000}"/>
    <cellStyle name="货币 2 2 3 3 3 5 3" xfId="7235" xr:uid="{00000000-0005-0000-0000-0000731C0000}"/>
    <cellStyle name="货币 2 2 3 3 3 5 4" xfId="7242" xr:uid="{00000000-0005-0000-0000-00007A1C0000}"/>
    <cellStyle name="货币 2 2 3 3 3 5 5" xfId="22348" xr:uid="{00000000-0005-0000-0000-00007C570000}"/>
    <cellStyle name="货币 2 2 3 3 3 5 6" xfId="22351" xr:uid="{00000000-0005-0000-0000-00007F570000}"/>
    <cellStyle name="货币 2 2 3 3 3 6" xfId="26585" xr:uid="{00000000-0005-0000-0000-000009680000}"/>
    <cellStyle name="货币 2 2 3 3 3 6 2" xfId="23532" xr:uid="{00000000-0005-0000-0000-00001C5C0000}"/>
    <cellStyle name="货币 2 2 3 3 3 6 3" xfId="7253" xr:uid="{00000000-0005-0000-0000-0000851C0000}"/>
    <cellStyle name="货币 2 2 3 3 3 6 4" xfId="23535" xr:uid="{00000000-0005-0000-0000-00001F5C0000}"/>
    <cellStyle name="货币 2 2 3 3 3 6 5" xfId="23538" xr:uid="{00000000-0005-0000-0000-0000225C0000}"/>
    <cellStyle name="货币 2 2 3 3 3 6 6" xfId="29265" xr:uid="{00000000-0005-0000-0000-000081720000}"/>
    <cellStyle name="货币 2 2 3 3 3 7" xfId="26587" xr:uid="{00000000-0005-0000-0000-00000B680000}"/>
    <cellStyle name="货币 2 2 3 3 3 8" xfId="26590" xr:uid="{00000000-0005-0000-0000-00000E680000}"/>
    <cellStyle name="货币 2 2 3 3 3 9" xfId="26593" xr:uid="{00000000-0005-0000-0000-000011680000}"/>
    <cellStyle name="货币 2 2 3 3 4" xfId="37057" xr:uid="{00000000-0005-0000-0000-0000F1900000}"/>
    <cellStyle name="货币 2 2 3 3 4 10" xfId="37058" xr:uid="{00000000-0005-0000-0000-0000F2900000}"/>
    <cellStyle name="货币 2 2 3 3 4 11" xfId="37059" xr:uid="{00000000-0005-0000-0000-0000F3900000}"/>
    <cellStyle name="货币 2 2 3 3 4 12" xfId="18000" xr:uid="{00000000-0005-0000-0000-000080460000}"/>
    <cellStyle name="货币 2 2 3 3 4 13" xfId="18003" xr:uid="{00000000-0005-0000-0000-000083460000}"/>
    <cellStyle name="货币 2 2 3 3 4 14" xfId="18006" xr:uid="{00000000-0005-0000-0000-000086460000}"/>
    <cellStyle name="货币 2 2 3 3 4 15" xfId="2070" xr:uid="{00000000-0005-0000-0000-000046080000}"/>
    <cellStyle name="货币 2 2 3 3 4 2" xfId="17972" xr:uid="{00000000-0005-0000-0000-000064460000}"/>
    <cellStyle name="货币 2 2 3 3 4 2 2" xfId="37060" xr:uid="{00000000-0005-0000-0000-0000F4900000}"/>
    <cellStyle name="货币 2 2 3 3 4 2 2 2" xfId="37062" xr:uid="{00000000-0005-0000-0000-0000F6900000}"/>
    <cellStyle name="货币 2 2 3 3 4 2 3" xfId="37063" xr:uid="{00000000-0005-0000-0000-0000F7900000}"/>
    <cellStyle name="货币 2 2 3 3 4 2 4" xfId="37064" xr:uid="{00000000-0005-0000-0000-0000F8900000}"/>
    <cellStyle name="货币 2 2 3 3 4 2 5" xfId="37065" xr:uid="{00000000-0005-0000-0000-0000F9900000}"/>
    <cellStyle name="货币 2 2 3 3 4 2 6" xfId="37066" xr:uid="{00000000-0005-0000-0000-0000FA900000}"/>
    <cellStyle name="货币 2 2 3 3 4 2 7" xfId="37068" xr:uid="{00000000-0005-0000-0000-0000FC900000}"/>
    <cellStyle name="货币 2 2 3 3 4 2 8" xfId="37069" xr:uid="{00000000-0005-0000-0000-0000FD900000}"/>
    <cellStyle name="货币 2 2 3 3 4 2 9" xfId="29019" xr:uid="{00000000-0005-0000-0000-00008B710000}"/>
    <cellStyle name="货币 2 2 3 3 4 3" xfId="17974" xr:uid="{00000000-0005-0000-0000-000066460000}"/>
    <cellStyle name="货币 2 2 3 3 4 3 2" xfId="37070" xr:uid="{00000000-0005-0000-0000-0000FE900000}"/>
    <cellStyle name="货币 2 2 3 3 4 3 3" xfId="37071" xr:uid="{00000000-0005-0000-0000-0000FF900000}"/>
    <cellStyle name="货币 2 2 3 3 4 3 4" xfId="37072" xr:uid="{00000000-0005-0000-0000-000000910000}"/>
    <cellStyle name="货币 2 2 3 3 4 3 5" xfId="37073" xr:uid="{00000000-0005-0000-0000-000001910000}"/>
    <cellStyle name="货币 2 2 3 3 4 3 6" xfId="37074" xr:uid="{00000000-0005-0000-0000-000002910000}"/>
    <cellStyle name="货币 2 2 3 3 4 4" xfId="17976" xr:uid="{00000000-0005-0000-0000-000068460000}"/>
    <cellStyle name="货币 2 2 3 3 4 4 2" xfId="37075" xr:uid="{00000000-0005-0000-0000-000003910000}"/>
    <cellStyle name="货币 2 2 3 3 4 5" xfId="17978" xr:uid="{00000000-0005-0000-0000-00006A460000}"/>
    <cellStyle name="货币 2 2 3 3 4 6" xfId="5460" xr:uid="{00000000-0005-0000-0000-000084150000}"/>
    <cellStyle name="货币 2 2 3 3 4 7" xfId="7078" xr:uid="{00000000-0005-0000-0000-0000D61B0000}"/>
    <cellStyle name="货币 2 2 3 3 4 8" xfId="7086" xr:uid="{00000000-0005-0000-0000-0000DE1B0000}"/>
    <cellStyle name="货币 2 2 3 3 4 9" xfId="17981" xr:uid="{00000000-0005-0000-0000-00006D460000}"/>
    <cellStyle name="货币 2 2 3 3 5" xfId="37077" xr:uid="{00000000-0005-0000-0000-000005910000}"/>
    <cellStyle name="货币 2 2 3 3 5 10" xfId="37080" xr:uid="{00000000-0005-0000-0000-000008910000}"/>
    <cellStyle name="货币 2 2 3 3 5 11" xfId="37081" xr:uid="{00000000-0005-0000-0000-000009910000}"/>
    <cellStyle name="货币 2 2 3 3 5 12" xfId="37082" xr:uid="{00000000-0005-0000-0000-00000A910000}"/>
    <cellStyle name="货币 2 2 3 3 5 13" xfId="37083" xr:uid="{00000000-0005-0000-0000-00000B910000}"/>
    <cellStyle name="货币 2 2 3 3 5 2" xfId="37084" xr:uid="{00000000-0005-0000-0000-00000C910000}"/>
    <cellStyle name="货币 2 2 3 3 5 2 2" xfId="32291" xr:uid="{00000000-0005-0000-0000-0000537E0000}"/>
    <cellStyle name="货币 2 2 3 3 5 2 2 2" xfId="34599" xr:uid="{00000000-0005-0000-0000-000057870000}"/>
    <cellStyle name="货币 2 2 3 3 5 2 3" xfId="32293" xr:uid="{00000000-0005-0000-0000-0000557E0000}"/>
    <cellStyle name="货币 2 2 3 3 5 2 4" xfId="32295" xr:uid="{00000000-0005-0000-0000-0000577E0000}"/>
    <cellStyle name="货币 2 2 3 3 5 2 5" xfId="37086" xr:uid="{00000000-0005-0000-0000-00000E910000}"/>
    <cellStyle name="货币 2 2 3 3 5 2 6" xfId="37087" xr:uid="{00000000-0005-0000-0000-00000F910000}"/>
    <cellStyle name="货币 2 2 3 3 5 2 7" xfId="21259" xr:uid="{00000000-0005-0000-0000-00003B530000}"/>
    <cellStyle name="货币 2 2 3 3 5 2 8" xfId="37088" xr:uid="{00000000-0005-0000-0000-000010910000}"/>
    <cellStyle name="货币 2 2 3 3 5 2 9" xfId="2515" xr:uid="{00000000-0005-0000-0000-0000030A0000}"/>
    <cellStyle name="货币 2 2 3 3 5 3" xfId="37089" xr:uid="{00000000-0005-0000-0000-000011910000}"/>
    <cellStyle name="货币 2 2 3 3 5 3 2" xfId="37090" xr:uid="{00000000-0005-0000-0000-000012910000}"/>
    <cellStyle name="货币 2 2 3 3 5 3 3" xfId="37091" xr:uid="{00000000-0005-0000-0000-000013910000}"/>
    <cellStyle name="货币 2 2 3 3 5 3 4" xfId="37092" xr:uid="{00000000-0005-0000-0000-000014910000}"/>
    <cellStyle name="货币 2 2 3 3 5 3 5" xfId="37093" xr:uid="{00000000-0005-0000-0000-000015910000}"/>
    <cellStyle name="货币 2 2 3 3 5 3 6" xfId="37094" xr:uid="{00000000-0005-0000-0000-000016910000}"/>
    <cellStyle name="货币 2 2 3 3 5 4" xfId="37095" xr:uid="{00000000-0005-0000-0000-000017910000}"/>
    <cellStyle name="货币 2 2 3 3 5 4 2" xfId="37096" xr:uid="{00000000-0005-0000-0000-000018910000}"/>
    <cellStyle name="货币 2 2 3 3 5 5" xfId="37097" xr:uid="{00000000-0005-0000-0000-000019910000}"/>
    <cellStyle name="货币 2 2 3 3 5 6" xfId="26603" xr:uid="{00000000-0005-0000-0000-00001B680000}"/>
    <cellStyle name="货币 2 2 3 3 5 7" xfId="37098" xr:uid="{00000000-0005-0000-0000-00001A910000}"/>
    <cellStyle name="货币 2 2 3 3 5 8" xfId="37099" xr:uid="{00000000-0005-0000-0000-00001B910000}"/>
    <cellStyle name="货币 2 2 3 3 5 9" xfId="37100" xr:uid="{00000000-0005-0000-0000-00001C910000}"/>
    <cellStyle name="货币 2 2 3 3 6" xfId="25859" xr:uid="{00000000-0005-0000-0000-000033650000}"/>
    <cellStyle name="货币 2 2 3 3 6 10" xfId="37102" xr:uid="{00000000-0005-0000-0000-00001E910000}"/>
    <cellStyle name="货币 2 2 3 3 6 11" xfId="37104" xr:uid="{00000000-0005-0000-0000-000020910000}"/>
    <cellStyle name="货币 2 2 3 3 6 12" xfId="37106" xr:uid="{00000000-0005-0000-0000-000022910000}"/>
    <cellStyle name="货币 2 2 3 3 6 2" xfId="37107" xr:uid="{00000000-0005-0000-0000-000023910000}"/>
    <cellStyle name="货币 2 2 3 3 6 2 2" xfId="37108" xr:uid="{00000000-0005-0000-0000-000024910000}"/>
    <cellStyle name="货币 2 2 3 3 6 2 2 2" xfId="23687" xr:uid="{00000000-0005-0000-0000-0000B75C0000}"/>
    <cellStyle name="货币 2 2 3 3 6 2 3" xfId="37109" xr:uid="{00000000-0005-0000-0000-000025910000}"/>
    <cellStyle name="货币 2 2 3 3 6 2 4" xfId="37110" xr:uid="{00000000-0005-0000-0000-000026910000}"/>
    <cellStyle name="货币 2 2 3 3 6 2 5" xfId="37111" xr:uid="{00000000-0005-0000-0000-000027910000}"/>
    <cellStyle name="货币 2 2 3 3 6 2 6" xfId="37112" xr:uid="{00000000-0005-0000-0000-000028910000}"/>
    <cellStyle name="货币 2 2 3 3 6 2 7" xfId="32835" xr:uid="{00000000-0005-0000-0000-000073800000}"/>
    <cellStyle name="货币 2 2 3 3 6 2 8" xfId="32837" xr:uid="{00000000-0005-0000-0000-000075800000}"/>
    <cellStyle name="货币 2 2 3 3 6 2 9" xfId="419" xr:uid="{00000000-0005-0000-0000-0000BE010000}"/>
    <cellStyle name="货币 2 2 3 3 6 3" xfId="37113" xr:uid="{00000000-0005-0000-0000-000029910000}"/>
    <cellStyle name="货币 2 2 3 3 6 3 2" xfId="19288" xr:uid="{00000000-0005-0000-0000-0000884B0000}"/>
    <cellStyle name="货币 2 2 3 3 6 3 3" xfId="37114" xr:uid="{00000000-0005-0000-0000-00002A910000}"/>
    <cellStyle name="货币 2 2 3 3 6 3 4" xfId="37115" xr:uid="{00000000-0005-0000-0000-00002B910000}"/>
    <cellStyle name="货币 2 2 3 3 6 3 5" xfId="37116" xr:uid="{00000000-0005-0000-0000-00002C910000}"/>
    <cellStyle name="货币 2 2 3 3 6 3 6" xfId="37117" xr:uid="{00000000-0005-0000-0000-00002D910000}"/>
    <cellStyle name="货币 2 2 3 3 6 4" xfId="37118" xr:uid="{00000000-0005-0000-0000-00002E910000}"/>
    <cellStyle name="货币 2 2 3 3 6 4 2" xfId="22772" xr:uid="{00000000-0005-0000-0000-000024590000}"/>
    <cellStyle name="货币 2 2 3 3 6 5" xfId="37119" xr:uid="{00000000-0005-0000-0000-00002F910000}"/>
    <cellStyle name="货币 2 2 3 3 6 6" xfId="37120" xr:uid="{00000000-0005-0000-0000-000030910000}"/>
    <cellStyle name="货币 2 2 3 3 6 7" xfId="37121" xr:uid="{00000000-0005-0000-0000-000031910000}"/>
    <cellStyle name="货币 2 2 3 3 6 8" xfId="37122" xr:uid="{00000000-0005-0000-0000-000032910000}"/>
    <cellStyle name="货币 2 2 3 3 6 9" xfId="37123" xr:uid="{00000000-0005-0000-0000-000033910000}"/>
    <cellStyle name="货币 2 2 3 3 7" xfId="37124" xr:uid="{00000000-0005-0000-0000-000034910000}"/>
    <cellStyle name="货币 2 2 3 3 7 2" xfId="37126" xr:uid="{00000000-0005-0000-0000-000036910000}"/>
    <cellStyle name="货币 2 2 3 3 7 2 2" xfId="37127" xr:uid="{00000000-0005-0000-0000-000037910000}"/>
    <cellStyle name="货币 2 2 3 3 7 3" xfId="37128" xr:uid="{00000000-0005-0000-0000-000038910000}"/>
    <cellStyle name="货币 2 2 3 3 7 4" xfId="34652" xr:uid="{00000000-0005-0000-0000-00008C870000}"/>
    <cellStyle name="货币 2 2 3 3 7 5" xfId="37129" xr:uid="{00000000-0005-0000-0000-000039910000}"/>
    <cellStyle name="货币 2 2 3 3 7 6" xfId="37130" xr:uid="{00000000-0005-0000-0000-00003A910000}"/>
    <cellStyle name="货币 2 2 3 3 7 7" xfId="37131" xr:uid="{00000000-0005-0000-0000-00003B910000}"/>
    <cellStyle name="货币 2 2 3 3 7 8" xfId="37132" xr:uid="{00000000-0005-0000-0000-00003C910000}"/>
    <cellStyle name="货币 2 2 3 3 7 9" xfId="37133" xr:uid="{00000000-0005-0000-0000-00003D910000}"/>
    <cellStyle name="货币 2 2 3 3 8" xfId="32609" xr:uid="{00000000-0005-0000-0000-0000917F0000}"/>
    <cellStyle name="货币 2 2 3 3 8 2" xfId="37134" xr:uid="{00000000-0005-0000-0000-00003E910000}"/>
    <cellStyle name="货币 2 2 3 3 8 3" xfId="37135" xr:uid="{00000000-0005-0000-0000-00003F910000}"/>
    <cellStyle name="货币 2 2 3 3 8 4" xfId="37136" xr:uid="{00000000-0005-0000-0000-000040910000}"/>
    <cellStyle name="货币 2 2 3 3 8 5" xfId="37137" xr:uid="{00000000-0005-0000-0000-000041910000}"/>
    <cellStyle name="货币 2 2 3 3 8 6" xfId="37138" xr:uid="{00000000-0005-0000-0000-000042910000}"/>
    <cellStyle name="货币 2 2 3 3 9" xfId="37139" xr:uid="{00000000-0005-0000-0000-000043910000}"/>
    <cellStyle name="货币 2 2 3 3 9 2" xfId="377" xr:uid="{00000000-0005-0000-0000-000092010000}"/>
    <cellStyle name="货币 2 2 3 3 9 3" xfId="12210" xr:uid="{00000000-0005-0000-0000-0000E22F0000}"/>
    <cellStyle name="货币 2 2 3 3 9 4" xfId="4667" xr:uid="{00000000-0005-0000-0000-00006B120000}"/>
    <cellStyle name="货币 2 2 3 3 9 5" xfId="12219" xr:uid="{00000000-0005-0000-0000-0000EB2F0000}"/>
    <cellStyle name="货币 2 2 3 3 9 6" xfId="12229" xr:uid="{00000000-0005-0000-0000-0000F52F0000}"/>
    <cellStyle name="货币 2 2 3 4" xfId="429" xr:uid="{00000000-0005-0000-0000-0000C8010000}"/>
    <cellStyle name="货币 2 2 3 4 10" xfId="37141" xr:uid="{00000000-0005-0000-0000-000045910000}"/>
    <cellStyle name="货币 2 2 3 4 10 2" xfId="14982" xr:uid="{00000000-0005-0000-0000-0000B63A0000}"/>
    <cellStyle name="货币 2 2 3 4 10 3" xfId="14984" xr:uid="{00000000-0005-0000-0000-0000B83A0000}"/>
    <cellStyle name="货币 2 2 3 4 10 4" xfId="14986" xr:uid="{00000000-0005-0000-0000-0000BA3A0000}"/>
    <cellStyle name="货币 2 2 3 4 10 5" xfId="5827" xr:uid="{00000000-0005-0000-0000-0000F3160000}"/>
    <cellStyle name="货币 2 2 3 4 10 6" xfId="14988" xr:uid="{00000000-0005-0000-0000-0000BC3A0000}"/>
    <cellStyle name="货币 2 2 3 4 11" xfId="34941" xr:uid="{00000000-0005-0000-0000-0000AD880000}"/>
    <cellStyle name="货币 2 2 3 4 11 2" xfId="15001" xr:uid="{00000000-0005-0000-0000-0000C93A0000}"/>
    <cellStyle name="货币 2 2 3 4 11 3" xfId="10526" xr:uid="{00000000-0005-0000-0000-00004E290000}"/>
    <cellStyle name="货币 2 2 3 4 11 4" xfId="15004" xr:uid="{00000000-0005-0000-0000-0000CC3A0000}"/>
    <cellStyle name="货币 2 2 3 4 11 5" xfId="5842" xr:uid="{00000000-0005-0000-0000-000002170000}"/>
    <cellStyle name="货币 2 2 3 4 11 6" xfId="15006" xr:uid="{00000000-0005-0000-0000-0000CE3A0000}"/>
    <cellStyle name="货币 2 2 3 4 12" xfId="17680" xr:uid="{00000000-0005-0000-0000-000040450000}"/>
    <cellStyle name="货币 2 2 3 4 13" xfId="34943" xr:uid="{00000000-0005-0000-0000-0000AF880000}"/>
    <cellStyle name="货币 2 2 3 4 14" xfId="34945" xr:uid="{00000000-0005-0000-0000-0000B1880000}"/>
    <cellStyle name="货币 2 2 3 4 15" xfId="34947" xr:uid="{00000000-0005-0000-0000-0000B3880000}"/>
    <cellStyle name="货币 2 2 3 4 16" xfId="34950" xr:uid="{00000000-0005-0000-0000-0000B6880000}"/>
    <cellStyle name="货币 2 2 3 4 17" xfId="34954" xr:uid="{00000000-0005-0000-0000-0000BA880000}"/>
    <cellStyle name="货币 2 2 3 4 18" xfId="34957" xr:uid="{00000000-0005-0000-0000-0000BD880000}"/>
    <cellStyle name="货币 2 2 3 4 19" xfId="37142" xr:uid="{00000000-0005-0000-0000-000046910000}"/>
    <cellStyle name="货币 2 2 3 4 2" xfId="37143" xr:uid="{00000000-0005-0000-0000-000047910000}"/>
    <cellStyle name="货币 2 2 3 4 2 10" xfId="20491" xr:uid="{00000000-0005-0000-0000-00003B500000}"/>
    <cellStyle name="货币 2 2 3 4 2 11" xfId="8207" xr:uid="{00000000-0005-0000-0000-00003F200000}"/>
    <cellStyle name="货币 2 2 3 4 2 12" xfId="20498" xr:uid="{00000000-0005-0000-0000-000042500000}"/>
    <cellStyle name="货币 2 2 3 4 2 13" xfId="20504" xr:uid="{00000000-0005-0000-0000-000048500000}"/>
    <cellStyle name="货币 2 2 3 4 2 14" xfId="20508" xr:uid="{00000000-0005-0000-0000-00004C500000}"/>
    <cellStyle name="货币 2 2 3 4 2 15" xfId="20510" xr:uid="{00000000-0005-0000-0000-00004E500000}"/>
    <cellStyle name="货币 2 2 3 4 2 16" xfId="37144" xr:uid="{00000000-0005-0000-0000-000048910000}"/>
    <cellStyle name="货币 2 2 3 4 2 17" xfId="37145" xr:uid="{00000000-0005-0000-0000-000049910000}"/>
    <cellStyle name="货币 2 2 3 4 2 18" xfId="37146" xr:uid="{00000000-0005-0000-0000-00004A910000}"/>
    <cellStyle name="货币 2 2 3 4 2 2" xfId="37147" xr:uid="{00000000-0005-0000-0000-00004B910000}"/>
    <cellStyle name="货币 2 2 3 4 2 2 10" xfId="8734" xr:uid="{00000000-0005-0000-0000-00004E220000}"/>
    <cellStyle name="货币 2 2 3 4 2 2 11" xfId="13517" xr:uid="{00000000-0005-0000-0000-0000FD340000}"/>
    <cellStyle name="货币 2 2 3 4 2 2 12" xfId="37150" xr:uid="{00000000-0005-0000-0000-00004E910000}"/>
    <cellStyle name="货币 2 2 3 4 2 2 2" xfId="28680" xr:uid="{00000000-0005-0000-0000-000038700000}"/>
    <cellStyle name="货币 2 2 3 4 2 2 2 2" xfId="37151" xr:uid="{00000000-0005-0000-0000-00004F910000}"/>
    <cellStyle name="货币 2 2 3 4 2 2 2 2 2" xfId="37152" xr:uid="{00000000-0005-0000-0000-000050910000}"/>
    <cellStyle name="货币 2 2 3 4 2 2 2 3" xfId="37153" xr:uid="{00000000-0005-0000-0000-000051910000}"/>
    <cellStyle name="货币 2 2 3 4 2 2 2 4" xfId="37154" xr:uid="{00000000-0005-0000-0000-000052910000}"/>
    <cellStyle name="货币 2 2 3 4 2 2 2 5" xfId="37155" xr:uid="{00000000-0005-0000-0000-000053910000}"/>
    <cellStyle name="货币 2 2 3 4 2 2 3" xfId="37156" xr:uid="{00000000-0005-0000-0000-000054910000}"/>
    <cellStyle name="货币 2 2 3 4 2 2 3 2" xfId="37157" xr:uid="{00000000-0005-0000-0000-000055910000}"/>
    <cellStyle name="货币 2 2 3 4 2 2 4" xfId="37158" xr:uid="{00000000-0005-0000-0000-000056910000}"/>
    <cellStyle name="货币 2 2 3 4 2 2 5" xfId="10513" xr:uid="{00000000-0005-0000-0000-000041290000}"/>
    <cellStyle name="货币 2 2 3 4 2 2 6" xfId="5217" xr:uid="{00000000-0005-0000-0000-000091140000}"/>
    <cellStyle name="货币 2 2 3 4 2 2 7" xfId="10545" xr:uid="{00000000-0005-0000-0000-000061290000}"/>
    <cellStyle name="货币 2 2 3 4 2 2 8" xfId="10553" xr:uid="{00000000-0005-0000-0000-000069290000}"/>
    <cellStyle name="货币 2 2 3 4 2 2 9" xfId="10556" xr:uid="{00000000-0005-0000-0000-00006C290000}"/>
    <cellStyle name="货币 2 2 3 4 2 3" xfId="37159" xr:uid="{00000000-0005-0000-0000-000057910000}"/>
    <cellStyle name="货币 2 2 3 4 2 3 10" xfId="3695" xr:uid="{00000000-0005-0000-0000-00009F0E0000}"/>
    <cellStyle name="货币 2 2 3 4 2 3 11" xfId="17492" xr:uid="{00000000-0005-0000-0000-000084440000}"/>
    <cellStyle name="货币 2 2 3 4 2 3 12" xfId="16776" xr:uid="{00000000-0005-0000-0000-0000B8410000}"/>
    <cellStyle name="货币 2 2 3 4 2 3 2" xfId="37160" xr:uid="{00000000-0005-0000-0000-000058910000}"/>
    <cellStyle name="货币 2 2 3 4 2 3 2 2" xfId="29699" xr:uid="{00000000-0005-0000-0000-000033740000}"/>
    <cellStyle name="货币 2 2 3 4 2 3 2 2 2" xfId="13346" xr:uid="{00000000-0005-0000-0000-000052340000}"/>
    <cellStyle name="货币 2 2 3 4 2 3 2 3" xfId="29701" xr:uid="{00000000-0005-0000-0000-000035740000}"/>
    <cellStyle name="货币 2 2 3 4 2 3 2 4" xfId="29703" xr:uid="{00000000-0005-0000-0000-000037740000}"/>
    <cellStyle name="货币 2 2 3 4 2 3 2 5" xfId="29705" xr:uid="{00000000-0005-0000-0000-000039740000}"/>
    <cellStyle name="货币 2 2 3 4 2 3 3" xfId="37161" xr:uid="{00000000-0005-0000-0000-000059910000}"/>
    <cellStyle name="货币 2 2 3 4 2 3 3 2" xfId="32461" xr:uid="{00000000-0005-0000-0000-0000FD7E0000}"/>
    <cellStyle name="货币 2 2 3 4 2 3 4" xfId="37162" xr:uid="{00000000-0005-0000-0000-00005A910000}"/>
    <cellStyle name="货币 2 2 3 4 2 3 5" xfId="10578" xr:uid="{00000000-0005-0000-0000-000082290000}"/>
    <cellStyle name="货币 2 2 3 4 2 3 6" xfId="1884" xr:uid="{00000000-0005-0000-0000-00008C070000}"/>
    <cellStyle name="货币 2 2 3 4 2 3 7" xfId="10589" xr:uid="{00000000-0005-0000-0000-00008D290000}"/>
    <cellStyle name="货币 2 2 3 4 2 3 8" xfId="10594" xr:uid="{00000000-0005-0000-0000-000092290000}"/>
    <cellStyle name="货币 2 2 3 4 2 3 9" xfId="10597" xr:uid="{00000000-0005-0000-0000-000095290000}"/>
    <cellStyle name="货币 2 2 3 4 2 4" xfId="37163" xr:uid="{00000000-0005-0000-0000-00005B910000}"/>
    <cellStyle name="货币 2 2 3 4 2 4 10" xfId="37164" xr:uid="{00000000-0005-0000-0000-00005C910000}"/>
    <cellStyle name="货币 2 2 3 4 2 4 2" xfId="37166" xr:uid="{00000000-0005-0000-0000-00005E910000}"/>
    <cellStyle name="货币 2 2 3 4 2 4 2 2" xfId="34671" xr:uid="{00000000-0005-0000-0000-00009F870000}"/>
    <cellStyle name="货币 2 2 3 4 2 4 2 2 2" xfId="37167" xr:uid="{00000000-0005-0000-0000-00005F910000}"/>
    <cellStyle name="货币 2 2 3 4 2 4 2 3" xfId="34673" xr:uid="{00000000-0005-0000-0000-0000A1870000}"/>
    <cellStyle name="货币 2 2 3 4 2 4 2 4" xfId="34675" xr:uid="{00000000-0005-0000-0000-0000A3870000}"/>
    <cellStyle name="货币 2 2 3 4 2 4 2 5" xfId="34677" xr:uid="{00000000-0005-0000-0000-0000A5870000}"/>
    <cellStyle name="货币 2 2 3 4 2 4 3" xfId="37170" xr:uid="{00000000-0005-0000-0000-000062910000}"/>
    <cellStyle name="货币 2 2 3 4 2 4 3 2" xfId="32503" xr:uid="{00000000-0005-0000-0000-0000277F0000}"/>
    <cellStyle name="货币 2 2 3 4 2 4 4" xfId="37172" xr:uid="{00000000-0005-0000-0000-000064910000}"/>
    <cellStyle name="货币 2 2 3 4 2 4 5" xfId="10617" xr:uid="{00000000-0005-0000-0000-0000A9290000}"/>
    <cellStyle name="货币 2 2 3 4 2 4 6" xfId="5235" xr:uid="{00000000-0005-0000-0000-0000A3140000}"/>
    <cellStyle name="货币 2 2 3 4 2 4 7" xfId="10060" xr:uid="{00000000-0005-0000-0000-00007C270000}"/>
    <cellStyle name="货币 2 2 3 4 2 4 8" xfId="10065" xr:uid="{00000000-0005-0000-0000-000081270000}"/>
    <cellStyle name="货币 2 2 3 4 2 4 9" xfId="10068" xr:uid="{00000000-0005-0000-0000-000084270000}"/>
    <cellStyle name="货币 2 2 3 4 2 5" xfId="37173" xr:uid="{00000000-0005-0000-0000-000065910000}"/>
    <cellStyle name="货币 2 2 3 4 2 5 10" xfId="37174" xr:uid="{00000000-0005-0000-0000-000066910000}"/>
    <cellStyle name="货币 2 2 3 4 2 5 2" xfId="37175" xr:uid="{00000000-0005-0000-0000-000067910000}"/>
    <cellStyle name="货币 2 2 3 4 2 5 2 2" xfId="37176" xr:uid="{00000000-0005-0000-0000-000068910000}"/>
    <cellStyle name="货币 2 2 3 4 2 5 2 2 2" xfId="30949" xr:uid="{00000000-0005-0000-0000-000015790000}"/>
    <cellStyle name="货币 2 2 3 4 2 5 2 3" xfId="37177" xr:uid="{00000000-0005-0000-0000-000069910000}"/>
    <cellStyle name="货币 2 2 3 4 2 5 2 4" xfId="37178" xr:uid="{00000000-0005-0000-0000-00006A910000}"/>
    <cellStyle name="货币 2 2 3 4 2 5 2 5" xfId="37179" xr:uid="{00000000-0005-0000-0000-00006B910000}"/>
    <cellStyle name="货币 2 2 3 4 2 5 3" xfId="19492" xr:uid="{00000000-0005-0000-0000-0000544C0000}"/>
    <cellStyle name="货币 2 2 3 4 2 5 3 2" xfId="32542" xr:uid="{00000000-0005-0000-0000-00004E7F0000}"/>
    <cellStyle name="货币 2 2 3 4 2 5 4" xfId="37181" xr:uid="{00000000-0005-0000-0000-00006D910000}"/>
    <cellStyle name="货币 2 2 3 4 2 5 5" xfId="10632" xr:uid="{00000000-0005-0000-0000-0000B8290000}"/>
    <cellStyle name="货币 2 2 3 4 2 5 6" xfId="37184" xr:uid="{00000000-0005-0000-0000-000070910000}"/>
    <cellStyle name="货币 2 2 3 4 2 5 7" xfId="33015" xr:uid="{00000000-0005-0000-0000-000027810000}"/>
    <cellStyle name="货币 2 2 3 4 2 5 8" xfId="37186" xr:uid="{00000000-0005-0000-0000-000072910000}"/>
    <cellStyle name="货币 2 2 3 4 2 5 9" xfId="37187" xr:uid="{00000000-0005-0000-0000-000073910000}"/>
    <cellStyle name="货币 2 2 3 4 2 6" xfId="37188" xr:uid="{00000000-0005-0000-0000-000074910000}"/>
    <cellStyle name="货币 2 2 3 4 2 6 2" xfId="37189" xr:uid="{00000000-0005-0000-0000-000075910000}"/>
    <cellStyle name="货币 2 2 3 4 2 6 2 2" xfId="9585" xr:uid="{00000000-0005-0000-0000-0000A1250000}"/>
    <cellStyle name="货币 2 2 3 4 2 6 3" xfId="28703" xr:uid="{00000000-0005-0000-0000-00004F700000}"/>
    <cellStyle name="货币 2 2 3 4 2 6 4" xfId="28705" xr:uid="{00000000-0005-0000-0000-000051700000}"/>
    <cellStyle name="货币 2 2 3 4 2 6 5" xfId="28707" xr:uid="{00000000-0005-0000-0000-000053700000}"/>
    <cellStyle name="货币 2 2 3 4 2 6 6" xfId="37190" xr:uid="{00000000-0005-0000-0000-000076910000}"/>
    <cellStyle name="货币 2 2 3 4 2 6 7" xfId="37192" xr:uid="{00000000-0005-0000-0000-000078910000}"/>
    <cellStyle name="货币 2 2 3 4 2 6 8" xfId="37194" xr:uid="{00000000-0005-0000-0000-00007A910000}"/>
    <cellStyle name="货币 2 2 3 4 2 6 9" xfId="37196" xr:uid="{00000000-0005-0000-0000-00007C910000}"/>
    <cellStyle name="货币 2 2 3 4 2 7" xfId="37198" xr:uid="{00000000-0005-0000-0000-00007E910000}"/>
    <cellStyle name="货币 2 2 3 4 2 7 2" xfId="37199" xr:uid="{00000000-0005-0000-0000-00007F910000}"/>
    <cellStyle name="货币 2 2 3 4 2 8" xfId="36150" xr:uid="{00000000-0005-0000-0000-0000668D0000}"/>
    <cellStyle name="货币 2 2 3 4 2 9" xfId="36152" xr:uid="{00000000-0005-0000-0000-0000688D0000}"/>
    <cellStyle name="货币 2 2 3 4 20" xfId="34948" xr:uid="{00000000-0005-0000-0000-0000B4880000}"/>
    <cellStyle name="货币 2 2 3 4 21" xfId="34951" xr:uid="{00000000-0005-0000-0000-0000B7880000}"/>
    <cellStyle name="货币 2 2 3 4 22" xfId="34955" xr:uid="{00000000-0005-0000-0000-0000BB880000}"/>
    <cellStyle name="货币 2 2 3 4 23" xfId="34958" xr:uid="{00000000-0005-0000-0000-0000BE880000}"/>
    <cellStyle name="货币 2 2 3 4 3" xfId="37200" xr:uid="{00000000-0005-0000-0000-000080910000}"/>
    <cellStyle name="货币 2 2 3 4 3 10" xfId="22042" xr:uid="{00000000-0005-0000-0000-00004A560000}"/>
    <cellStyle name="货币 2 2 3 4 3 11" xfId="37201" xr:uid="{00000000-0005-0000-0000-000081910000}"/>
    <cellStyle name="货币 2 2 3 4 3 12" xfId="37202" xr:uid="{00000000-0005-0000-0000-000082910000}"/>
    <cellStyle name="货币 2 2 3 4 3 13" xfId="37203" xr:uid="{00000000-0005-0000-0000-000083910000}"/>
    <cellStyle name="货币 2 2 3 4 3 14" xfId="37204" xr:uid="{00000000-0005-0000-0000-000084910000}"/>
    <cellStyle name="货币 2 2 3 4 3 15" xfId="37205" xr:uid="{00000000-0005-0000-0000-000085910000}"/>
    <cellStyle name="货币 2 2 3 4 3 16" xfId="25502" xr:uid="{00000000-0005-0000-0000-0000CE630000}"/>
    <cellStyle name="货币 2 2 3 4 3 17" xfId="19888" xr:uid="{00000000-0005-0000-0000-0000E04D0000}"/>
    <cellStyle name="货币 2 2 3 4 3 18" xfId="19903" xr:uid="{00000000-0005-0000-0000-0000EF4D0000}"/>
    <cellStyle name="货币 2 2 3 4 3 2" xfId="37206" xr:uid="{00000000-0005-0000-0000-000086910000}"/>
    <cellStyle name="货币 2 2 3 4 3 2 10" xfId="37207" xr:uid="{00000000-0005-0000-0000-000087910000}"/>
    <cellStyle name="货币 2 2 3 4 3 2 2" xfId="37208" xr:uid="{00000000-0005-0000-0000-000088910000}"/>
    <cellStyle name="货币 2 2 3 4 3 2 2 2" xfId="37209" xr:uid="{00000000-0005-0000-0000-000089910000}"/>
    <cellStyle name="货币 2 2 3 4 3 2 3" xfId="37210" xr:uid="{00000000-0005-0000-0000-00008A910000}"/>
    <cellStyle name="货币 2 2 3 4 3 2 4" xfId="37211" xr:uid="{00000000-0005-0000-0000-00008B910000}"/>
    <cellStyle name="货币 2 2 3 4 3 2 5" xfId="10724" xr:uid="{00000000-0005-0000-0000-0000142A0000}"/>
    <cellStyle name="货币 2 2 3 4 3 2 6" xfId="5265" xr:uid="{00000000-0005-0000-0000-0000C1140000}"/>
    <cellStyle name="货币 2 2 3 4 3 2 7" xfId="10727" xr:uid="{00000000-0005-0000-0000-0000172A0000}"/>
    <cellStyle name="货币 2 2 3 4 3 2 8" xfId="10730" xr:uid="{00000000-0005-0000-0000-00001A2A0000}"/>
    <cellStyle name="货币 2 2 3 4 3 2 9" xfId="10732" xr:uid="{00000000-0005-0000-0000-00001C2A0000}"/>
    <cellStyle name="货币 2 2 3 4 3 3" xfId="37212" xr:uid="{00000000-0005-0000-0000-00008C910000}"/>
    <cellStyle name="货币 2 2 3 4 3 3 2" xfId="37213" xr:uid="{00000000-0005-0000-0000-00008D910000}"/>
    <cellStyle name="货币 2 2 3 4 3 3 3" xfId="37214" xr:uid="{00000000-0005-0000-0000-00008E910000}"/>
    <cellStyle name="货币 2 2 3 4 3 3 4" xfId="37215" xr:uid="{00000000-0005-0000-0000-00008F910000}"/>
    <cellStyle name="货币 2 2 3 4 3 3 5" xfId="10742" xr:uid="{00000000-0005-0000-0000-0000262A0000}"/>
    <cellStyle name="货币 2 2 3 4 3 3 6" xfId="5283" xr:uid="{00000000-0005-0000-0000-0000D3140000}"/>
    <cellStyle name="货币 2 2 3 4 3 4" xfId="37216" xr:uid="{00000000-0005-0000-0000-000090910000}"/>
    <cellStyle name="货币 2 2 3 4 3 4 2" xfId="37218" xr:uid="{00000000-0005-0000-0000-000092910000}"/>
    <cellStyle name="货币 2 2 3 4 3 4 3" xfId="37220" xr:uid="{00000000-0005-0000-0000-000094910000}"/>
    <cellStyle name="货币 2 2 3 4 3 4 4" xfId="37222" xr:uid="{00000000-0005-0000-0000-000096910000}"/>
    <cellStyle name="货币 2 2 3 4 3 4 5" xfId="9224" xr:uid="{00000000-0005-0000-0000-000038240000}"/>
    <cellStyle name="货币 2 2 3 4 3 4 6" xfId="5294" xr:uid="{00000000-0005-0000-0000-0000DE140000}"/>
    <cellStyle name="货币 2 2 3 4 3 5" xfId="33973" xr:uid="{00000000-0005-0000-0000-0000E5840000}"/>
    <cellStyle name="货币 2 2 3 4 3 5 2" xfId="37223" xr:uid="{00000000-0005-0000-0000-000097910000}"/>
    <cellStyle name="货币 2 2 3 4 3 5 3" xfId="37224" xr:uid="{00000000-0005-0000-0000-000098910000}"/>
    <cellStyle name="货币 2 2 3 4 3 5 4" xfId="37225" xr:uid="{00000000-0005-0000-0000-000099910000}"/>
    <cellStyle name="货币 2 2 3 4 3 5 5" xfId="25500" xr:uid="{00000000-0005-0000-0000-0000CC630000}"/>
    <cellStyle name="货币 2 2 3 4 3 5 6" xfId="37226" xr:uid="{00000000-0005-0000-0000-00009A910000}"/>
    <cellStyle name="货币 2 2 3 4 3 6" xfId="26613" xr:uid="{00000000-0005-0000-0000-000025680000}"/>
    <cellStyle name="货币 2 2 3 4 3 6 2" xfId="21529" xr:uid="{00000000-0005-0000-0000-000049540000}"/>
    <cellStyle name="货币 2 2 3 4 3 6 3" xfId="21533" xr:uid="{00000000-0005-0000-0000-00004D540000}"/>
    <cellStyle name="货币 2 2 3 4 3 6 4" xfId="63" xr:uid="{00000000-0005-0000-0000-000043000000}"/>
    <cellStyle name="货币 2 2 3 4 3 6 5" xfId="5061" xr:uid="{00000000-0005-0000-0000-0000F5130000}"/>
    <cellStyle name="货币 2 2 3 4 3 6 6" xfId="37227" xr:uid="{00000000-0005-0000-0000-00009B910000}"/>
    <cellStyle name="货币 2 2 3 4 3 7" xfId="26615" xr:uid="{00000000-0005-0000-0000-000027680000}"/>
    <cellStyle name="货币 2 2 3 4 3 8" xfId="26619" xr:uid="{00000000-0005-0000-0000-00002B680000}"/>
    <cellStyle name="货币 2 2 3 4 3 9" xfId="26622" xr:uid="{00000000-0005-0000-0000-00002E680000}"/>
    <cellStyle name="货币 2 2 3 4 4" xfId="981" xr:uid="{00000000-0005-0000-0000-000005040000}"/>
    <cellStyle name="货币 2 2 3 4 4 10" xfId="37228" xr:uid="{00000000-0005-0000-0000-00009C910000}"/>
    <cellStyle name="货币 2 2 3 4 4 11" xfId="37229" xr:uid="{00000000-0005-0000-0000-00009D910000}"/>
    <cellStyle name="货币 2 2 3 4 4 12" xfId="37230" xr:uid="{00000000-0005-0000-0000-00009E910000}"/>
    <cellStyle name="货币 2 2 3 4 4 13" xfId="37231" xr:uid="{00000000-0005-0000-0000-00009F910000}"/>
    <cellStyle name="货币 2 2 3 4 4 14" xfId="37232" xr:uid="{00000000-0005-0000-0000-0000A0910000}"/>
    <cellStyle name="货币 2 2 3 4 4 15" xfId="37233" xr:uid="{00000000-0005-0000-0000-0000A1910000}"/>
    <cellStyle name="货币 2 2 3 4 4 2" xfId="37234" xr:uid="{00000000-0005-0000-0000-0000A2910000}"/>
    <cellStyle name="货币 2 2 3 4 4 2 2" xfId="37235" xr:uid="{00000000-0005-0000-0000-0000A3910000}"/>
    <cellStyle name="货币 2 2 3 4 4 2 2 2" xfId="37236" xr:uid="{00000000-0005-0000-0000-0000A4910000}"/>
    <cellStyle name="货币 2 2 3 4 4 2 3" xfId="37237" xr:uid="{00000000-0005-0000-0000-0000A5910000}"/>
    <cellStyle name="货币 2 2 3 4 4 2 4" xfId="37238" xr:uid="{00000000-0005-0000-0000-0000A6910000}"/>
    <cellStyle name="货币 2 2 3 4 4 2 5" xfId="10829" xr:uid="{00000000-0005-0000-0000-00007D2A0000}"/>
    <cellStyle name="货币 2 2 3 4 4 2 6" xfId="10831" xr:uid="{00000000-0005-0000-0000-00007F2A0000}"/>
    <cellStyle name="货币 2 2 3 4 4 2 7" xfId="10833" xr:uid="{00000000-0005-0000-0000-0000812A0000}"/>
    <cellStyle name="货币 2 2 3 4 4 2 8" xfId="10836" xr:uid="{00000000-0005-0000-0000-0000842A0000}"/>
    <cellStyle name="货币 2 2 3 4 4 2 9" xfId="10843" xr:uid="{00000000-0005-0000-0000-00008B2A0000}"/>
    <cellStyle name="货币 2 2 3 4 4 3" xfId="37239" xr:uid="{00000000-0005-0000-0000-0000A7910000}"/>
    <cellStyle name="货币 2 2 3 4 4 3 2" xfId="37240" xr:uid="{00000000-0005-0000-0000-0000A8910000}"/>
    <cellStyle name="货币 2 2 3 4 4 3 3" xfId="37241" xr:uid="{00000000-0005-0000-0000-0000A9910000}"/>
    <cellStyle name="货币 2 2 3 4 4 3 4" xfId="37242" xr:uid="{00000000-0005-0000-0000-0000AA910000}"/>
    <cellStyle name="货币 2 2 3 4 4 3 5" xfId="553" xr:uid="{00000000-0005-0000-0000-00004D020000}"/>
    <cellStyle name="货币 2 2 3 4 4 3 6" xfId="19" xr:uid="{00000000-0005-0000-0000-000014000000}"/>
    <cellStyle name="货币 2 2 3 4 4 4" xfId="37243" xr:uid="{00000000-0005-0000-0000-0000AB910000}"/>
    <cellStyle name="货币 2 2 3 4 4 4 2" xfId="37244" xr:uid="{00000000-0005-0000-0000-0000AC910000}"/>
    <cellStyle name="货币 2 2 3 4 4 5" xfId="37245" xr:uid="{00000000-0005-0000-0000-0000AD910000}"/>
    <cellStyle name="货币 2 2 3 4 4 6" xfId="26630" xr:uid="{00000000-0005-0000-0000-000036680000}"/>
    <cellStyle name="货币 2 2 3 4 4 7" xfId="26632" xr:uid="{00000000-0005-0000-0000-000038680000}"/>
    <cellStyle name="货币 2 2 3 4 4 8" xfId="26635" xr:uid="{00000000-0005-0000-0000-00003B680000}"/>
    <cellStyle name="货币 2 2 3 4 4 9" xfId="18703" xr:uid="{00000000-0005-0000-0000-00003F490000}"/>
    <cellStyle name="货币 2 2 3 4 5" xfId="37246" xr:uid="{00000000-0005-0000-0000-0000AE910000}"/>
    <cellStyle name="货币 2 2 3 4 5 10" xfId="37249" xr:uid="{00000000-0005-0000-0000-0000B1910000}"/>
    <cellStyle name="货币 2 2 3 4 5 11" xfId="37250" xr:uid="{00000000-0005-0000-0000-0000B2910000}"/>
    <cellStyle name="货币 2 2 3 4 5 12" xfId="37252" xr:uid="{00000000-0005-0000-0000-0000B4910000}"/>
    <cellStyle name="货币 2 2 3 4 5 13" xfId="36724" xr:uid="{00000000-0005-0000-0000-0000A48F0000}"/>
    <cellStyle name="货币 2 2 3 4 5 2" xfId="37253" xr:uid="{00000000-0005-0000-0000-0000B5910000}"/>
    <cellStyle name="货币 2 2 3 4 5 2 2" xfId="37254" xr:uid="{00000000-0005-0000-0000-0000B6910000}"/>
    <cellStyle name="货币 2 2 3 4 5 2 2 2" xfId="25631" xr:uid="{00000000-0005-0000-0000-00004F640000}"/>
    <cellStyle name="货币 2 2 3 4 5 2 3" xfId="37255" xr:uid="{00000000-0005-0000-0000-0000B7910000}"/>
    <cellStyle name="货币 2 2 3 4 5 2 4" xfId="37257" xr:uid="{00000000-0005-0000-0000-0000B9910000}"/>
    <cellStyle name="货币 2 2 3 4 5 2 5" xfId="6803" xr:uid="{00000000-0005-0000-0000-0000C31A0000}"/>
    <cellStyle name="货币 2 2 3 4 5 2 6" xfId="37259" xr:uid="{00000000-0005-0000-0000-0000BB910000}"/>
    <cellStyle name="货币 2 2 3 4 5 2 7" xfId="37261" xr:uid="{00000000-0005-0000-0000-0000BD910000}"/>
    <cellStyle name="货币 2 2 3 4 5 2 8" xfId="31580" xr:uid="{00000000-0005-0000-0000-00008C7B0000}"/>
    <cellStyle name="货币 2 2 3 4 5 2 9" xfId="5664" xr:uid="{00000000-0005-0000-0000-000050160000}"/>
    <cellStyle name="货币 2 2 3 4 5 3" xfId="37262" xr:uid="{00000000-0005-0000-0000-0000BE910000}"/>
    <cellStyle name="货币 2 2 3 4 5 3 2" xfId="37263" xr:uid="{00000000-0005-0000-0000-0000BF910000}"/>
    <cellStyle name="货币 2 2 3 4 5 3 3" xfId="37264" xr:uid="{00000000-0005-0000-0000-0000C0910000}"/>
    <cellStyle name="货币 2 2 3 4 5 3 4" xfId="36764" xr:uid="{00000000-0005-0000-0000-0000CC8F0000}"/>
    <cellStyle name="货币 2 2 3 4 5 3 5" xfId="37266" xr:uid="{00000000-0005-0000-0000-0000C2910000}"/>
    <cellStyle name="货币 2 2 3 4 5 3 6" xfId="37268" xr:uid="{00000000-0005-0000-0000-0000C4910000}"/>
    <cellStyle name="货币 2 2 3 4 5 4" xfId="37269" xr:uid="{00000000-0005-0000-0000-0000C5910000}"/>
    <cellStyle name="货币 2 2 3 4 5 4 2" xfId="37270" xr:uid="{00000000-0005-0000-0000-0000C6910000}"/>
    <cellStyle name="货币 2 2 3 4 5 5" xfId="37271" xr:uid="{00000000-0005-0000-0000-0000C7910000}"/>
    <cellStyle name="货币 2 2 3 4 5 6" xfId="26638" xr:uid="{00000000-0005-0000-0000-00003E680000}"/>
    <cellStyle name="货币 2 2 3 4 5 7" xfId="37272" xr:uid="{00000000-0005-0000-0000-0000C8910000}"/>
    <cellStyle name="货币 2 2 3 4 5 8" xfId="37273" xr:uid="{00000000-0005-0000-0000-0000C9910000}"/>
    <cellStyle name="货币 2 2 3 4 5 9" xfId="37274" xr:uid="{00000000-0005-0000-0000-0000CA910000}"/>
    <cellStyle name="货币 2 2 3 4 6" xfId="37275" xr:uid="{00000000-0005-0000-0000-0000CB910000}"/>
    <cellStyle name="货币 2 2 3 4 6 10" xfId="24922" xr:uid="{00000000-0005-0000-0000-00008A610000}"/>
    <cellStyle name="货币 2 2 3 4 6 11" xfId="24928" xr:uid="{00000000-0005-0000-0000-000090610000}"/>
    <cellStyle name="货币 2 2 3 4 6 12" xfId="24936" xr:uid="{00000000-0005-0000-0000-000098610000}"/>
    <cellStyle name="货币 2 2 3 4 6 2" xfId="34198" xr:uid="{00000000-0005-0000-0000-0000C6850000}"/>
    <cellStyle name="货币 2 2 3 4 6 2 2" xfId="37276" xr:uid="{00000000-0005-0000-0000-0000CC910000}"/>
    <cellStyle name="货币 2 2 3 4 6 2 2 2" xfId="28472" xr:uid="{00000000-0005-0000-0000-0000686F0000}"/>
    <cellStyle name="货币 2 2 3 4 6 2 3" xfId="37277" xr:uid="{00000000-0005-0000-0000-0000CD910000}"/>
    <cellStyle name="货币 2 2 3 4 6 2 4" xfId="37278" xr:uid="{00000000-0005-0000-0000-0000CE910000}"/>
    <cellStyle name="货币 2 2 3 4 6 2 5" xfId="7712" xr:uid="{00000000-0005-0000-0000-0000501E0000}"/>
    <cellStyle name="货币 2 2 3 4 6 2 6" xfId="37279" xr:uid="{00000000-0005-0000-0000-0000CF910000}"/>
    <cellStyle name="货币 2 2 3 4 6 2 7" xfId="37280" xr:uid="{00000000-0005-0000-0000-0000D0910000}"/>
    <cellStyle name="货币 2 2 3 4 6 2 8" xfId="37281" xr:uid="{00000000-0005-0000-0000-0000D1910000}"/>
    <cellStyle name="货币 2 2 3 4 6 2 9" xfId="5760" xr:uid="{00000000-0005-0000-0000-0000B0160000}"/>
    <cellStyle name="货币 2 2 3 4 6 3" xfId="34201" xr:uid="{00000000-0005-0000-0000-0000C9850000}"/>
    <cellStyle name="货币 2 2 3 4 6 3 2" xfId="26114" xr:uid="{00000000-0005-0000-0000-000032660000}"/>
    <cellStyle name="货币 2 2 3 4 6 3 3" xfId="26116" xr:uid="{00000000-0005-0000-0000-000034660000}"/>
    <cellStyle name="货币 2 2 3 4 6 3 4" xfId="26118" xr:uid="{00000000-0005-0000-0000-000036660000}"/>
    <cellStyle name="货币 2 2 3 4 6 3 5" xfId="26120" xr:uid="{00000000-0005-0000-0000-000038660000}"/>
    <cellStyle name="货币 2 2 3 4 6 3 6" xfId="26122" xr:uid="{00000000-0005-0000-0000-00003A660000}"/>
    <cellStyle name="货币 2 2 3 4 6 4" xfId="35262" xr:uid="{00000000-0005-0000-0000-0000EE890000}"/>
    <cellStyle name="货币 2 2 3 4 6 4 2" xfId="24889" xr:uid="{00000000-0005-0000-0000-000069610000}"/>
    <cellStyle name="货币 2 2 3 4 6 5" xfId="35264" xr:uid="{00000000-0005-0000-0000-0000F0890000}"/>
    <cellStyle name="货币 2 2 3 4 6 6" xfId="35266" xr:uid="{00000000-0005-0000-0000-0000F2890000}"/>
    <cellStyle name="货币 2 2 3 4 6 7" xfId="35268" xr:uid="{00000000-0005-0000-0000-0000F4890000}"/>
    <cellStyle name="货币 2 2 3 4 6 8" xfId="37282" xr:uid="{00000000-0005-0000-0000-0000D2910000}"/>
    <cellStyle name="货币 2 2 3 4 6 9" xfId="37283" xr:uid="{00000000-0005-0000-0000-0000D3910000}"/>
    <cellStyle name="货币 2 2 3 4 7" xfId="37284" xr:uid="{00000000-0005-0000-0000-0000D4910000}"/>
    <cellStyle name="货币 2 2 3 4 7 2" xfId="37285" xr:uid="{00000000-0005-0000-0000-0000D5910000}"/>
    <cellStyle name="货币 2 2 3 4 7 2 2" xfId="37286" xr:uid="{00000000-0005-0000-0000-0000D6910000}"/>
    <cellStyle name="货币 2 2 3 4 7 3" xfId="37287" xr:uid="{00000000-0005-0000-0000-0000D7910000}"/>
    <cellStyle name="货币 2 2 3 4 7 4" xfId="37288" xr:uid="{00000000-0005-0000-0000-0000D8910000}"/>
    <cellStyle name="货币 2 2 3 4 7 5" xfId="37290" xr:uid="{00000000-0005-0000-0000-0000DA910000}"/>
    <cellStyle name="货币 2 2 3 4 7 6" xfId="37291" xr:uid="{00000000-0005-0000-0000-0000DB910000}"/>
    <cellStyle name="货币 2 2 3 4 7 7" xfId="37292" xr:uid="{00000000-0005-0000-0000-0000DC910000}"/>
    <cellStyle name="货币 2 2 3 4 7 8" xfId="37293" xr:uid="{00000000-0005-0000-0000-0000DD910000}"/>
    <cellStyle name="货币 2 2 3 4 7 9" xfId="37294" xr:uid="{00000000-0005-0000-0000-0000DE910000}"/>
    <cellStyle name="货币 2 2 3 4 8" xfId="32613" xr:uid="{00000000-0005-0000-0000-0000957F0000}"/>
    <cellStyle name="货币 2 2 3 4 8 2" xfId="37295" xr:uid="{00000000-0005-0000-0000-0000DF910000}"/>
    <cellStyle name="货币 2 2 3 4 8 3" xfId="37296" xr:uid="{00000000-0005-0000-0000-0000E0910000}"/>
    <cellStyle name="货币 2 2 3 4 8 4" xfId="37297" xr:uid="{00000000-0005-0000-0000-0000E1910000}"/>
    <cellStyle name="货币 2 2 3 4 8 5" xfId="37298" xr:uid="{00000000-0005-0000-0000-0000E2910000}"/>
    <cellStyle name="货币 2 2 3 4 8 6" xfId="37299" xr:uid="{00000000-0005-0000-0000-0000E3910000}"/>
    <cellStyle name="货币 2 2 3 4 9" xfId="37300" xr:uid="{00000000-0005-0000-0000-0000E4910000}"/>
    <cellStyle name="货币 2 2 3 4 9 2" xfId="37301" xr:uid="{00000000-0005-0000-0000-0000E5910000}"/>
    <cellStyle name="货币 2 2 3 4 9 3" xfId="37302" xr:uid="{00000000-0005-0000-0000-0000E6910000}"/>
    <cellStyle name="货币 2 2 3 4 9 4" xfId="37303" xr:uid="{00000000-0005-0000-0000-0000E7910000}"/>
    <cellStyle name="货币 2 2 3 4 9 5" xfId="37304" xr:uid="{00000000-0005-0000-0000-0000E8910000}"/>
    <cellStyle name="货币 2 2 3 4 9 6" xfId="37305" xr:uid="{00000000-0005-0000-0000-0000E9910000}"/>
    <cellStyle name="货币 2 2 3 5" xfId="25350" xr:uid="{00000000-0005-0000-0000-000036630000}"/>
    <cellStyle name="货币 2 2 3 5 10" xfId="8568" xr:uid="{00000000-0005-0000-0000-0000A8210000}"/>
    <cellStyle name="货币 2 2 3 5 10 2" xfId="37306" xr:uid="{00000000-0005-0000-0000-0000EA910000}"/>
    <cellStyle name="货币 2 2 3 5 10 3" xfId="37307" xr:uid="{00000000-0005-0000-0000-0000EB910000}"/>
    <cellStyle name="货币 2 2 3 5 10 4" xfId="37308" xr:uid="{00000000-0005-0000-0000-0000EC910000}"/>
    <cellStyle name="货币 2 2 3 5 10 5" xfId="37309" xr:uid="{00000000-0005-0000-0000-0000ED910000}"/>
    <cellStyle name="货币 2 2 3 5 10 6" xfId="37310" xr:uid="{00000000-0005-0000-0000-0000EE910000}"/>
    <cellStyle name="货币 2 2 3 5 11" xfId="8574" xr:uid="{00000000-0005-0000-0000-0000AE210000}"/>
    <cellStyle name="货币 2 2 3 5 11 2" xfId="37311" xr:uid="{00000000-0005-0000-0000-0000EF910000}"/>
    <cellStyle name="货币 2 2 3 5 11 3" xfId="37312" xr:uid="{00000000-0005-0000-0000-0000F0910000}"/>
    <cellStyle name="货币 2 2 3 5 11 4" xfId="37313" xr:uid="{00000000-0005-0000-0000-0000F1910000}"/>
    <cellStyle name="货币 2 2 3 5 11 5" xfId="37314" xr:uid="{00000000-0005-0000-0000-0000F2910000}"/>
    <cellStyle name="货币 2 2 3 5 11 6" xfId="37315" xr:uid="{00000000-0005-0000-0000-0000F3910000}"/>
    <cellStyle name="货币 2 2 3 5 12" xfId="8580" xr:uid="{00000000-0005-0000-0000-0000B4210000}"/>
    <cellStyle name="货币 2 2 3 5 13" xfId="36264" xr:uid="{00000000-0005-0000-0000-0000D88D0000}"/>
    <cellStyle name="货币 2 2 3 5 14" xfId="36266" xr:uid="{00000000-0005-0000-0000-0000DA8D0000}"/>
    <cellStyle name="货币 2 2 3 5 15" xfId="10161" xr:uid="{00000000-0005-0000-0000-0000E1270000}"/>
    <cellStyle name="货币 2 2 3 5 16" xfId="37316" xr:uid="{00000000-0005-0000-0000-0000F4910000}"/>
    <cellStyle name="货币 2 2 3 5 17" xfId="37320" xr:uid="{00000000-0005-0000-0000-0000F8910000}"/>
    <cellStyle name="货币 2 2 3 5 18" xfId="37322" xr:uid="{00000000-0005-0000-0000-0000FA910000}"/>
    <cellStyle name="货币 2 2 3 5 19" xfId="37324" xr:uid="{00000000-0005-0000-0000-0000FC910000}"/>
    <cellStyle name="货币 2 2 3 5 2" xfId="34465" xr:uid="{00000000-0005-0000-0000-0000D1860000}"/>
    <cellStyle name="货币 2 2 3 5 2 10" xfId="22320" xr:uid="{00000000-0005-0000-0000-000060570000}"/>
    <cellStyle name="货币 2 2 3 5 2 11" xfId="37325" xr:uid="{00000000-0005-0000-0000-0000FD910000}"/>
    <cellStyle name="货币 2 2 3 5 2 12" xfId="37326" xr:uid="{00000000-0005-0000-0000-0000FE910000}"/>
    <cellStyle name="货币 2 2 3 5 2 13" xfId="37327" xr:uid="{00000000-0005-0000-0000-0000FF910000}"/>
    <cellStyle name="货币 2 2 3 5 2 14" xfId="24778" xr:uid="{00000000-0005-0000-0000-0000FA600000}"/>
    <cellStyle name="货币 2 2 3 5 2 15" xfId="37328" xr:uid="{00000000-0005-0000-0000-000000920000}"/>
    <cellStyle name="货币 2 2 3 5 2 16" xfId="37329" xr:uid="{00000000-0005-0000-0000-000001920000}"/>
    <cellStyle name="货币 2 2 3 5 2 17" xfId="37330" xr:uid="{00000000-0005-0000-0000-000002920000}"/>
    <cellStyle name="货币 2 2 3 5 2 18" xfId="35290" xr:uid="{00000000-0005-0000-0000-00000A8A0000}"/>
    <cellStyle name="货币 2 2 3 5 2 2" xfId="15314" xr:uid="{00000000-0005-0000-0000-0000023C0000}"/>
    <cellStyle name="货币 2 2 3 5 2 2 10" xfId="21348" xr:uid="{00000000-0005-0000-0000-000094530000}"/>
    <cellStyle name="货币 2 2 3 5 2 2 11" xfId="21354" xr:uid="{00000000-0005-0000-0000-00009A530000}"/>
    <cellStyle name="货币 2 2 3 5 2 2 12" xfId="21362" xr:uid="{00000000-0005-0000-0000-0000A2530000}"/>
    <cellStyle name="货币 2 2 3 5 2 2 2" xfId="37331" xr:uid="{00000000-0005-0000-0000-000003920000}"/>
    <cellStyle name="货币 2 2 3 5 2 2 2 2" xfId="10888" xr:uid="{00000000-0005-0000-0000-0000B82A0000}"/>
    <cellStyle name="货币 2 2 3 5 2 2 2 2 2" xfId="35762" xr:uid="{00000000-0005-0000-0000-0000E28B0000}"/>
    <cellStyle name="货币 2 2 3 5 2 2 2 3" xfId="21377" xr:uid="{00000000-0005-0000-0000-0000B1530000}"/>
    <cellStyle name="货币 2 2 3 5 2 2 2 4" xfId="21381" xr:uid="{00000000-0005-0000-0000-0000B5530000}"/>
    <cellStyle name="货币 2 2 3 5 2 2 2 5" xfId="22129" xr:uid="{00000000-0005-0000-0000-0000A1560000}"/>
    <cellStyle name="货币 2 2 3 5 2 2 3" xfId="37332" xr:uid="{00000000-0005-0000-0000-000004920000}"/>
    <cellStyle name="货币 2 2 3 5 2 2 3 2" xfId="21571" xr:uid="{00000000-0005-0000-0000-000073540000}"/>
    <cellStyle name="货币 2 2 3 5 2 2 4" xfId="37333" xr:uid="{00000000-0005-0000-0000-000005920000}"/>
    <cellStyle name="货币 2 2 3 5 2 2 5" xfId="11383" xr:uid="{00000000-0005-0000-0000-0000A72C0000}"/>
    <cellStyle name="货币 2 2 3 5 2 2 6" xfId="37335" xr:uid="{00000000-0005-0000-0000-000007920000}"/>
    <cellStyle name="货币 2 2 3 5 2 2 7" xfId="37337" xr:uid="{00000000-0005-0000-0000-000009920000}"/>
    <cellStyle name="货币 2 2 3 5 2 2 8" xfId="37339" xr:uid="{00000000-0005-0000-0000-00000B920000}"/>
    <cellStyle name="货币 2 2 3 5 2 2 9" xfId="37340" xr:uid="{00000000-0005-0000-0000-00000C920000}"/>
    <cellStyle name="货币 2 2 3 5 2 3" xfId="15319" xr:uid="{00000000-0005-0000-0000-0000073C0000}"/>
    <cellStyle name="货币 2 2 3 5 2 3 10" xfId="20934" xr:uid="{00000000-0005-0000-0000-0000F6510000}"/>
    <cellStyle name="货币 2 2 3 5 2 3 11" xfId="36515" xr:uid="{00000000-0005-0000-0000-0000D38E0000}"/>
    <cellStyle name="货币 2 2 3 5 2 3 12" xfId="36518" xr:uid="{00000000-0005-0000-0000-0000D68E0000}"/>
    <cellStyle name="货币 2 2 3 5 2 3 2" xfId="37341" xr:uid="{00000000-0005-0000-0000-00000D920000}"/>
    <cellStyle name="货币 2 2 3 5 2 3 2 2" xfId="8401" xr:uid="{00000000-0005-0000-0000-000001210000}"/>
    <cellStyle name="货币 2 2 3 5 2 3 2 2 2" xfId="37344" xr:uid="{00000000-0005-0000-0000-000010920000}"/>
    <cellStyle name="货币 2 2 3 5 2 3 2 3" xfId="17348" xr:uid="{00000000-0005-0000-0000-0000F4430000}"/>
    <cellStyle name="货币 2 2 3 5 2 3 2 4" xfId="22189" xr:uid="{00000000-0005-0000-0000-0000DD560000}"/>
    <cellStyle name="货币 2 2 3 5 2 3 2 5" xfId="22195" xr:uid="{00000000-0005-0000-0000-0000E3560000}"/>
    <cellStyle name="货币 2 2 3 5 2 3 3" xfId="37345" xr:uid="{00000000-0005-0000-0000-000011920000}"/>
    <cellStyle name="货币 2 2 3 5 2 3 3 2" xfId="35721" xr:uid="{00000000-0005-0000-0000-0000B98B0000}"/>
    <cellStyle name="货币 2 2 3 5 2 3 4" xfId="37346" xr:uid="{00000000-0005-0000-0000-000012920000}"/>
    <cellStyle name="货币 2 2 3 5 2 3 5" xfId="37349" xr:uid="{00000000-0005-0000-0000-000015920000}"/>
    <cellStyle name="货币 2 2 3 5 2 3 6" xfId="37350" xr:uid="{00000000-0005-0000-0000-000016920000}"/>
    <cellStyle name="货币 2 2 3 5 2 3 7" xfId="37351" xr:uid="{00000000-0005-0000-0000-000017920000}"/>
    <cellStyle name="货币 2 2 3 5 2 3 8" xfId="37352" xr:uid="{00000000-0005-0000-0000-000018920000}"/>
    <cellStyle name="货币 2 2 3 5 2 3 9" xfId="22251" xr:uid="{00000000-0005-0000-0000-00001B570000}"/>
    <cellStyle name="货币 2 2 3 5 2 4" xfId="15323" xr:uid="{00000000-0005-0000-0000-00000B3C0000}"/>
    <cellStyle name="货币 2 2 3 5 2 4 10" xfId="37353" xr:uid="{00000000-0005-0000-0000-000019920000}"/>
    <cellStyle name="货币 2 2 3 5 2 4 2" xfId="37354" xr:uid="{00000000-0005-0000-0000-00001A920000}"/>
    <cellStyle name="货币 2 2 3 5 2 4 2 2" xfId="32739" xr:uid="{00000000-0005-0000-0000-000013800000}"/>
    <cellStyle name="货币 2 2 3 5 2 4 2 2 2" xfId="2817" xr:uid="{00000000-0005-0000-0000-0000310B0000}"/>
    <cellStyle name="货币 2 2 3 5 2 4 2 3" xfId="35749" xr:uid="{00000000-0005-0000-0000-0000D58B0000}"/>
    <cellStyle name="货币 2 2 3 5 2 4 2 4" xfId="24121" xr:uid="{00000000-0005-0000-0000-0000695E0000}"/>
    <cellStyle name="货币 2 2 3 5 2 4 2 5" xfId="22878" xr:uid="{00000000-0005-0000-0000-00008E590000}"/>
    <cellStyle name="货币 2 2 3 5 2 4 3" xfId="7486" xr:uid="{00000000-0005-0000-0000-00006E1D0000}"/>
    <cellStyle name="货币 2 2 3 5 2 4 3 2" xfId="32750" xr:uid="{00000000-0005-0000-0000-00001E800000}"/>
    <cellStyle name="货币 2 2 3 5 2 4 4" xfId="37355" xr:uid="{00000000-0005-0000-0000-00001B920000}"/>
    <cellStyle name="货币 2 2 3 5 2 4 5" xfId="37356" xr:uid="{00000000-0005-0000-0000-00001C920000}"/>
    <cellStyle name="货币 2 2 3 5 2 4 6" xfId="37357" xr:uid="{00000000-0005-0000-0000-00001D920000}"/>
    <cellStyle name="货币 2 2 3 5 2 4 7" xfId="37358" xr:uid="{00000000-0005-0000-0000-00001E920000}"/>
    <cellStyle name="货币 2 2 3 5 2 4 8" xfId="37359" xr:uid="{00000000-0005-0000-0000-00001F920000}"/>
    <cellStyle name="货币 2 2 3 5 2 4 9" xfId="37360" xr:uid="{00000000-0005-0000-0000-000020920000}"/>
    <cellStyle name="货币 2 2 3 5 2 5" xfId="15328" xr:uid="{00000000-0005-0000-0000-0000103C0000}"/>
    <cellStyle name="货币 2 2 3 5 2 5 10" xfId="33486" xr:uid="{00000000-0005-0000-0000-0000FE820000}"/>
    <cellStyle name="货币 2 2 3 5 2 5 2" xfId="37361" xr:uid="{00000000-0005-0000-0000-000021920000}"/>
    <cellStyle name="货币 2 2 3 5 2 5 2 2" xfId="35771" xr:uid="{00000000-0005-0000-0000-0000EB8B0000}"/>
    <cellStyle name="货币 2 2 3 5 2 5 2 2 2" xfId="37363" xr:uid="{00000000-0005-0000-0000-000023920000}"/>
    <cellStyle name="货币 2 2 3 5 2 5 2 3" xfId="35773" xr:uid="{00000000-0005-0000-0000-0000ED8B0000}"/>
    <cellStyle name="货币 2 2 3 5 2 5 2 4" xfId="35775" xr:uid="{00000000-0005-0000-0000-0000EF8B0000}"/>
    <cellStyle name="货币 2 2 3 5 2 5 2 5" xfId="35777" xr:uid="{00000000-0005-0000-0000-0000F18B0000}"/>
    <cellStyle name="货币 2 2 3 5 2 5 3" xfId="22285" xr:uid="{00000000-0005-0000-0000-00003D570000}"/>
    <cellStyle name="货币 2 2 3 5 2 5 3 2" xfId="35786" xr:uid="{00000000-0005-0000-0000-0000FA8B0000}"/>
    <cellStyle name="货币 2 2 3 5 2 5 4" xfId="37364" xr:uid="{00000000-0005-0000-0000-000024920000}"/>
    <cellStyle name="货币 2 2 3 5 2 5 5" xfId="37365" xr:uid="{00000000-0005-0000-0000-000025920000}"/>
    <cellStyle name="货币 2 2 3 5 2 5 6" xfId="37367" xr:uid="{00000000-0005-0000-0000-000027920000}"/>
    <cellStyle name="货币 2 2 3 5 2 5 7" xfId="33063" xr:uid="{00000000-0005-0000-0000-000057810000}"/>
    <cellStyle name="货币 2 2 3 5 2 5 8" xfId="37368" xr:uid="{00000000-0005-0000-0000-000028920000}"/>
    <cellStyle name="货币 2 2 3 5 2 5 9" xfId="37369" xr:uid="{00000000-0005-0000-0000-000029920000}"/>
    <cellStyle name="货币 2 2 3 5 2 6" xfId="37370" xr:uid="{00000000-0005-0000-0000-00002A920000}"/>
    <cellStyle name="货币 2 2 3 5 2 6 2" xfId="37371" xr:uid="{00000000-0005-0000-0000-00002B920000}"/>
    <cellStyle name="货币 2 2 3 5 2 6 2 2" xfId="28450" xr:uid="{00000000-0005-0000-0000-0000526F0000}"/>
    <cellStyle name="货币 2 2 3 5 2 6 3" xfId="37372" xr:uid="{00000000-0005-0000-0000-00002C920000}"/>
    <cellStyle name="货币 2 2 3 5 2 6 4" xfId="37373" xr:uid="{00000000-0005-0000-0000-00002D920000}"/>
    <cellStyle name="货币 2 2 3 5 2 6 5" xfId="37374" xr:uid="{00000000-0005-0000-0000-00002E920000}"/>
    <cellStyle name="货币 2 2 3 5 2 6 6" xfId="37375" xr:uid="{00000000-0005-0000-0000-00002F920000}"/>
    <cellStyle name="货币 2 2 3 5 2 6 7" xfId="37376" xr:uid="{00000000-0005-0000-0000-000030920000}"/>
    <cellStyle name="货币 2 2 3 5 2 6 8" xfId="37377" xr:uid="{00000000-0005-0000-0000-000031920000}"/>
    <cellStyle name="货币 2 2 3 5 2 6 9" xfId="37378" xr:uid="{00000000-0005-0000-0000-000032920000}"/>
    <cellStyle name="货币 2 2 3 5 2 7" xfId="37379" xr:uid="{00000000-0005-0000-0000-000033920000}"/>
    <cellStyle name="货币 2 2 3 5 2 7 2" xfId="37380" xr:uid="{00000000-0005-0000-0000-000034920000}"/>
    <cellStyle name="货币 2 2 3 5 2 8" xfId="28765" xr:uid="{00000000-0005-0000-0000-00008D700000}"/>
    <cellStyle name="货币 2 2 3 5 2 9" xfId="28795" xr:uid="{00000000-0005-0000-0000-0000AB700000}"/>
    <cellStyle name="货币 2 2 3 5 20" xfId="10162" xr:uid="{00000000-0005-0000-0000-0000E2270000}"/>
    <cellStyle name="货币 2 2 3 5 21" xfId="37317" xr:uid="{00000000-0005-0000-0000-0000F5910000}"/>
    <cellStyle name="货币 2 2 3 5 22" xfId="37321" xr:uid="{00000000-0005-0000-0000-0000F9910000}"/>
    <cellStyle name="货币 2 2 3 5 23" xfId="37323" xr:uid="{00000000-0005-0000-0000-0000FB910000}"/>
    <cellStyle name="货币 2 2 3 5 3" xfId="13391" xr:uid="{00000000-0005-0000-0000-00007F340000}"/>
    <cellStyle name="货币 2 2 3 5 3 10" xfId="14192" xr:uid="{00000000-0005-0000-0000-0000A0370000}"/>
    <cellStyle name="货币 2 2 3 5 3 11" xfId="17280" xr:uid="{00000000-0005-0000-0000-0000B0430000}"/>
    <cellStyle name="货币 2 2 3 5 3 12" xfId="17296" xr:uid="{00000000-0005-0000-0000-0000C0430000}"/>
    <cellStyle name="货币 2 2 3 5 3 13" xfId="37381" xr:uid="{00000000-0005-0000-0000-000035920000}"/>
    <cellStyle name="货币 2 2 3 5 3 14" xfId="37382" xr:uid="{00000000-0005-0000-0000-000036920000}"/>
    <cellStyle name="货币 2 2 3 5 3 15" xfId="37383" xr:uid="{00000000-0005-0000-0000-000037920000}"/>
    <cellStyle name="货币 2 2 3 5 3 16" xfId="37384" xr:uid="{00000000-0005-0000-0000-000038920000}"/>
    <cellStyle name="货币 2 2 3 5 3 17" xfId="37385" xr:uid="{00000000-0005-0000-0000-000039920000}"/>
    <cellStyle name="货币 2 2 3 5 3 18" xfId="37386" xr:uid="{00000000-0005-0000-0000-00003A920000}"/>
    <cellStyle name="货币 2 2 3 5 3 2" xfId="15352" xr:uid="{00000000-0005-0000-0000-0000283C0000}"/>
    <cellStyle name="货币 2 2 3 5 3 2 10" xfId="6540" xr:uid="{00000000-0005-0000-0000-0000BC190000}"/>
    <cellStyle name="货币 2 2 3 5 3 2 2" xfId="8078" xr:uid="{00000000-0005-0000-0000-0000BE1F0000}"/>
    <cellStyle name="货币 2 2 3 5 3 2 2 2" xfId="35842" xr:uid="{00000000-0005-0000-0000-0000328C0000}"/>
    <cellStyle name="货币 2 2 3 5 3 2 3" xfId="37387" xr:uid="{00000000-0005-0000-0000-00003B920000}"/>
    <cellStyle name="货币 2 2 3 5 3 2 4" xfId="37388" xr:uid="{00000000-0005-0000-0000-00003C920000}"/>
    <cellStyle name="货币 2 2 3 5 3 2 5" xfId="1380" xr:uid="{00000000-0005-0000-0000-000094050000}"/>
    <cellStyle name="货币 2 2 3 5 3 2 6" xfId="37390" xr:uid="{00000000-0005-0000-0000-00003E920000}"/>
    <cellStyle name="货币 2 2 3 5 3 2 7" xfId="37392" xr:uid="{00000000-0005-0000-0000-000040920000}"/>
    <cellStyle name="货币 2 2 3 5 3 2 8" xfId="37394" xr:uid="{00000000-0005-0000-0000-000042920000}"/>
    <cellStyle name="货币 2 2 3 5 3 2 9" xfId="37395" xr:uid="{00000000-0005-0000-0000-000043920000}"/>
    <cellStyle name="货币 2 2 3 5 3 3" xfId="37396" xr:uid="{00000000-0005-0000-0000-000044920000}"/>
    <cellStyle name="货币 2 2 3 5 3 3 2" xfId="8120" xr:uid="{00000000-0005-0000-0000-0000E81F0000}"/>
    <cellStyle name="货币 2 2 3 5 3 3 3" xfId="37397" xr:uid="{00000000-0005-0000-0000-000045920000}"/>
    <cellStyle name="货币 2 2 3 5 3 3 4" xfId="37398" xr:uid="{00000000-0005-0000-0000-000046920000}"/>
    <cellStyle name="货币 2 2 3 5 3 3 5" xfId="37400" xr:uid="{00000000-0005-0000-0000-000048920000}"/>
    <cellStyle name="货币 2 2 3 5 3 3 6" xfId="37401" xr:uid="{00000000-0005-0000-0000-000049920000}"/>
    <cellStyle name="货币 2 2 3 5 3 4" xfId="37402" xr:uid="{00000000-0005-0000-0000-00004A920000}"/>
    <cellStyle name="货币 2 2 3 5 3 4 2" xfId="37403" xr:uid="{00000000-0005-0000-0000-00004B920000}"/>
    <cellStyle name="货币 2 2 3 5 3 4 3" xfId="2396" xr:uid="{00000000-0005-0000-0000-00008C090000}"/>
    <cellStyle name="货币 2 2 3 5 3 4 4" xfId="37404" xr:uid="{00000000-0005-0000-0000-00004C920000}"/>
    <cellStyle name="货币 2 2 3 5 3 4 5" xfId="37405" xr:uid="{00000000-0005-0000-0000-00004D920000}"/>
    <cellStyle name="货币 2 2 3 5 3 4 6" xfId="37406" xr:uid="{00000000-0005-0000-0000-00004E920000}"/>
    <cellStyle name="货币 2 2 3 5 3 5" xfId="37407" xr:uid="{00000000-0005-0000-0000-00004F920000}"/>
    <cellStyle name="货币 2 2 3 5 3 5 2" xfId="37408" xr:uid="{00000000-0005-0000-0000-000050920000}"/>
    <cellStyle name="货币 2 2 3 5 3 5 3" xfId="9101" xr:uid="{00000000-0005-0000-0000-0000BD230000}"/>
    <cellStyle name="货币 2 2 3 5 3 5 4" xfId="1595" xr:uid="{00000000-0005-0000-0000-00006B060000}"/>
    <cellStyle name="货币 2 2 3 5 3 5 5" xfId="17793" xr:uid="{00000000-0005-0000-0000-0000B1450000}"/>
    <cellStyle name="货币 2 2 3 5 3 5 6" xfId="17805" xr:uid="{00000000-0005-0000-0000-0000BD450000}"/>
    <cellStyle name="货币 2 2 3 5 3 6" xfId="22514" xr:uid="{00000000-0005-0000-0000-000022580000}"/>
    <cellStyle name="货币 2 2 3 5 3 6 2" xfId="21967" xr:uid="{00000000-0005-0000-0000-0000FF550000}"/>
    <cellStyle name="货币 2 2 3 5 3 6 3" xfId="21973" xr:uid="{00000000-0005-0000-0000-000005560000}"/>
    <cellStyle name="货币 2 2 3 5 3 6 4" xfId="1636" xr:uid="{00000000-0005-0000-0000-000094060000}"/>
    <cellStyle name="货币 2 2 3 5 3 6 5" xfId="22519" xr:uid="{00000000-0005-0000-0000-000027580000}"/>
    <cellStyle name="货币 2 2 3 5 3 6 6" xfId="22524" xr:uid="{00000000-0005-0000-0000-00002C580000}"/>
    <cellStyle name="货币 2 2 3 5 3 7" xfId="26647" xr:uid="{00000000-0005-0000-0000-000047680000}"/>
    <cellStyle name="货币 2 2 3 5 3 8" xfId="26651" xr:uid="{00000000-0005-0000-0000-00004B680000}"/>
    <cellStyle name="货币 2 2 3 5 3 9" xfId="26654" xr:uid="{00000000-0005-0000-0000-00004E680000}"/>
    <cellStyle name="货币 2 2 3 5 4" xfId="34467" xr:uid="{00000000-0005-0000-0000-0000D3860000}"/>
    <cellStyle name="货币 2 2 3 5 4 10" xfId="9503" xr:uid="{00000000-0005-0000-0000-00004F250000}"/>
    <cellStyle name="货币 2 2 3 5 4 11" xfId="9509" xr:uid="{00000000-0005-0000-0000-000055250000}"/>
    <cellStyle name="货币 2 2 3 5 4 12" xfId="259" xr:uid="{00000000-0005-0000-0000-000014010000}"/>
    <cellStyle name="货币 2 2 3 5 4 13" xfId="742" xr:uid="{00000000-0005-0000-0000-000016030000}"/>
    <cellStyle name="货币 2 2 3 5 4 14" xfId="13976" xr:uid="{00000000-0005-0000-0000-0000C8360000}"/>
    <cellStyle name="货币 2 2 3 5 4 15" xfId="37409" xr:uid="{00000000-0005-0000-0000-000051920000}"/>
    <cellStyle name="货币 2 2 3 5 4 2" xfId="15381" xr:uid="{00000000-0005-0000-0000-0000453C0000}"/>
    <cellStyle name="货币 2 2 3 5 4 2 2" xfId="37410" xr:uid="{00000000-0005-0000-0000-000052920000}"/>
    <cellStyle name="货币 2 2 3 5 4 2 2 2" xfId="20266" xr:uid="{00000000-0005-0000-0000-00005A4F0000}"/>
    <cellStyle name="货币 2 2 3 5 4 2 3" xfId="37411" xr:uid="{00000000-0005-0000-0000-000053920000}"/>
    <cellStyle name="货币 2 2 3 5 4 2 4" xfId="37412" xr:uid="{00000000-0005-0000-0000-000054920000}"/>
    <cellStyle name="货币 2 2 3 5 4 2 5" xfId="37414" xr:uid="{00000000-0005-0000-0000-000056920000}"/>
    <cellStyle name="货币 2 2 3 5 4 2 6" xfId="37416" xr:uid="{00000000-0005-0000-0000-000058920000}"/>
    <cellStyle name="货币 2 2 3 5 4 2 7" xfId="37418" xr:uid="{00000000-0005-0000-0000-00005A920000}"/>
    <cellStyle name="货币 2 2 3 5 4 2 8" xfId="37420" xr:uid="{00000000-0005-0000-0000-00005C920000}"/>
    <cellStyle name="货币 2 2 3 5 4 2 9" xfId="37421" xr:uid="{00000000-0005-0000-0000-00005D920000}"/>
    <cellStyle name="货币 2 2 3 5 4 3" xfId="8461" xr:uid="{00000000-0005-0000-0000-00003D210000}"/>
    <cellStyle name="货币 2 2 3 5 4 3 2" xfId="37422" xr:uid="{00000000-0005-0000-0000-00005E920000}"/>
    <cellStyle name="货币 2 2 3 5 4 3 3" xfId="37423" xr:uid="{00000000-0005-0000-0000-00005F920000}"/>
    <cellStyle name="货币 2 2 3 5 4 3 4" xfId="37424" xr:uid="{00000000-0005-0000-0000-000060920000}"/>
    <cellStyle name="货币 2 2 3 5 4 3 5" xfId="37426" xr:uid="{00000000-0005-0000-0000-000062920000}"/>
    <cellStyle name="货币 2 2 3 5 4 3 6" xfId="782" xr:uid="{00000000-0005-0000-0000-00003E030000}"/>
    <cellStyle name="货币 2 2 3 5 4 4" xfId="8469" xr:uid="{00000000-0005-0000-0000-000045210000}"/>
    <cellStyle name="货币 2 2 3 5 4 4 2" xfId="37427" xr:uid="{00000000-0005-0000-0000-000063920000}"/>
    <cellStyle name="货币 2 2 3 5 4 5" xfId="7069" xr:uid="{00000000-0005-0000-0000-0000CD1B0000}"/>
    <cellStyle name="货币 2 2 3 5 4 6" xfId="7255" xr:uid="{00000000-0005-0000-0000-0000871C0000}"/>
    <cellStyle name="货币 2 2 3 5 4 7" xfId="8474" xr:uid="{00000000-0005-0000-0000-00004A210000}"/>
    <cellStyle name="货币 2 2 3 5 4 8" xfId="8485" xr:uid="{00000000-0005-0000-0000-000055210000}"/>
    <cellStyle name="货币 2 2 3 5 4 9" xfId="8495" xr:uid="{00000000-0005-0000-0000-00005F210000}"/>
    <cellStyle name="货币 2 2 3 5 5" xfId="34469" xr:uid="{00000000-0005-0000-0000-0000D5860000}"/>
    <cellStyle name="货币 2 2 3 5 5 10" xfId="24137" xr:uid="{00000000-0005-0000-0000-0000795E0000}"/>
    <cellStyle name="货币 2 2 3 5 5 11" xfId="24140" xr:uid="{00000000-0005-0000-0000-00007C5E0000}"/>
    <cellStyle name="货币 2 2 3 5 5 12" xfId="37429" xr:uid="{00000000-0005-0000-0000-000065920000}"/>
    <cellStyle name="货币 2 2 3 5 5 13" xfId="4094" xr:uid="{00000000-0005-0000-0000-00002E100000}"/>
    <cellStyle name="货币 2 2 3 5 5 2" xfId="15404" xr:uid="{00000000-0005-0000-0000-00005C3C0000}"/>
    <cellStyle name="货币 2 2 3 5 5 2 2" xfId="37430" xr:uid="{00000000-0005-0000-0000-000066920000}"/>
    <cellStyle name="货币 2 2 3 5 5 2 2 2" xfId="29691" xr:uid="{00000000-0005-0000-0000-00002B740000}"/>
    <cellStyle name="货币 2 2 3 5 5 2 3" xfId="37431" xr:uid="{00000000-0005-0000-0000-000067920000}"/>
    <cellStyle name="货币 2 2 3 5 5 2 4" xfId="37432" xr:uid="{00000000-0005-0000-0000-000068920000}"/>
    <cellStyle name="货币 2 2 3 5 5 2 5" xfId="37434" xr:uid="{00000000-0005-0000-0000-00006A920000}"/>
    <cellStyle name="货币 2 2 3 5 5 2 6" xfId="37436" xr:uid="{00000000-0005-0000-0000-00006C920000}"/>
    <cellStyle name="货币 2 2 3 5 5 2 7" xfId="37438" xr:uid="{00000000-0005-0000-0000-00006E920000}"/>
    <cellStyle name="货币 2 2 3 5 5 2 8" xfId="37440" xr:uid="{00000000-0005-0000-0000-000070920000}"/>
    <cellStyle name="货币 2 2 3 5 5 2 9" xfId="1977" xr:uid="{00000000-0005-0000-0000-0000E9070000}"/>
    <cellStyle name="货币 2 2 3 5 5 3" xfId="37441" xr:uid="{00000000-0005-0000-0000-000071920000}"/>
    <cellStyle name="货币 2 2 3 5 5 3 2" xfId="37442" xr:uid="{00000000-0005-0000-0000-000072920000}"/>
    <cellStyle name="货币 2 2 3 5 5 3 3" xfId="37443" xr:uid="{00000000-0005-0000-0000-000073920000}"/>
    <cellStyle name="货币 2 2 3 5 5 3 4" xfId="37444" xr:uid="{00000000-0005-0000-0000-000074920000}"/>
    <cellStyle name="货币 2 2 3 5 5 3 5" xfId="37446" xr:uid="{00000000-0005-0000-0000-000076920000}"/>
    <cellStyle name="货币 2 2 3 5 5 3 6" xfId="37447" xr:uid="{00000000-0005-0000-0000-000077920000}"/>
    <cellStyle name="货币 2 2 3 5 5 4" xfId="37448" xr:uid="{00000000-0005-0000-0000-000078920000}"/>
    <cellStyle name="货币 2 2 3 5 5 4 2" xfId="37449" xr:uid="{00000000-0005-0000-0000-000079920000}"/>
    <cellStyle name="货币 2 2 3 5 5 5" xfId="37450" xr:uid="{00000000-0005-0000-0000-00007A920000}"/>
    <cellStyle name="货币 2 2 3 5 5 6" xfId="22642" xr:uid="{00000000-0005-0000-0000-0000A2580000}"/>
    <cellStyle name="货币 2 2 3 5 5 7" xfId="37451" xr:uid="{00000000-0005-0000-0000-00007B920000}"/>
    <cellStyle name="货币 2 2 3 5 5 8" xfId="28932" xr:uid="{00000000-0005-0000-0000-000034710000}"/>
    <cellStyle name="货币 2 2 3 5 5 9" xfId="28956" xr:uid="{00000000-0005-0000-0000-00004C710000}"/>
    <cellStyle name="货币 2 2 3 5 6" xfId="34471" xr:uid="{00000000-0005-0000-0000-0000D7860000}"/>
    <cellStyle name="货币 2 2 3 5 6 10" xfId="34335" xr:uid="{00000000-0005-0000-0000-00004F860000}"/>
    <cellStyle name="货币 2 2 3 5 6 11" xfId="37453" xr:uid="{00000000-0005-0000-0000-00007D920000}"/>
    <cellStyle name="货币 2 2 3 5 6 12" xfId="37455" xr:uid="{00000000-0005-0000-0000-00007F920000}"/>
    <cellStyle name="货币 2 2 3 5 6 2" xfId="22679" xr:uid="{00000000-0005-0000-0000-0000C7580000}"/>
    <cellStyle name="货币 2 2 3 5 6 2 2" xfId="37456" xr:uid="{00000000-0005-0000-0000-000080920000}"/>
    <cellStyle name="货币 2 2 3 5 6 2 2 2" xfId="37457" xr:uid="{00000000-0005-0000-0000-000081920000}"/>
    <cellStyle name="货币 2 2 3 5 6 2 3" xfId="37459" xr:uid="{00000000-0005-0000-0000-000083920000}"/>
    <cellStyle name="货币 2 2 3 5 6 2 4" xfId="37460" xr:uid="{00000000-0005-0000-0000-000084920000}"/>
    <cellStyle name="货币 2 2 3 5 6 2 5" xfId="37462" xr:uid="{00000000-0005-0000-0000-000086920000}"/>
    <cellStyle name="货币 2 2 3 5 6 2 6" xfId="37463" xr:uid="{00000000-0005-0000-0000-000087920000}"/>
    <cellStyle name="货币 2 2 3 5 6 2 7" xfId="37464" xr:uid="{00000000-0005-0000-0000-000088920000}"/>
    <cellStyle name="货币 2 2 3 5 6 2 8" xfId="37465" xr:uid="{00000000-0005-0000-0000-000089920000}"/>
    <cellStyle name="货币 2 2 3 5 6 2 9" xfId="2164" xr:uid="{00000000-0005-0000-0000-0000A4080000}"/>
    <cellStyle name="货币 2 2 3 5 6 3" xfId="37466" xr:uid="{00000000-0005-0000-0000-00008A920000}"/>
    <cellStyle name="货币 2 2 3 5 6 3 2" xfId="31865" xr:uid="{00000000-0005-0000-0000-0000A97C0000}"/>
    <cellStyle name="货币 2 2 3 5 6 3 3" xfId="31867" xr:uid="{00000000-0005-0000-0000-0000AB7C0000}"/>
    <cellStyle name="货币 2 2 3 5 6 3 4" xfId="37468" xr:uid="{00000000-0005-0000-0000-00008C920000}"/>
    <cellStyle name="货币 2 2 3 5 6 3 5" xfId="37469" xr:uid="{00000000-0005-0000-0000-00008D920000}"/>
    <cellStyle name="货币 2 2 3 5 6 3 6" xfId="37470" xr:uid="{00000000-0005-0000-0000-00008E920000}"/>
    <cellStyle name="货币 2 2 3 5 6 4" xfId="37471" xr:uid="{00000000-0005-0000-0000-00008F920000}"/>
    <cellStyle name="货币 2 2 3 5 6 4 2" xfId="37472" xr:uid="{00000000-0005-0000-0000-000090920000}"/>
    <cellStyle name="货币 2 2 3 5 6 5" xfId="37473" xr:uid="{00000000-0005-0000-0000-000091920000}"/>
    <cellStyle name="货币 2 2 3 5 6 6" xfId="37474" xr:uid="{00000000-0005-0000-0000-000092920000}"/>
    <cellStyle name="货币 2 2 3 5 6 7" xfId="37475" xr:uid="{00000000-0005-0000-0000-000093920000}"/>
    <cellStyle name="货币 2 2 3 5 6 8" xfId="28988" xr:uid="{00000000-0005-0000-0000-00006C710000}"/>
    <cellStyle name="货币 2 2 3 5 6 9" xfId="29006" xr:uid="{00000000-0005-0000-0000-00007E710000}"/>
    <cellStyle name="货币 2 2 3 5 7" xfId="34473" xr:uid="{00000000-0005-0000-0000-0000D9860000}"/>
    <cellStyle name="货币 2 2 3 5 7 2" xfId="22722" xr:uid="{00000000-0005-0000-0000-0000F2580000}"/>
    <cellStyle name="货币 2 2 3 5 7 2 2" xfId="37476" xr:uid="{00000000-0005-0000-0000-000094920000}"/>
    <cellStyle name="货币 2 2 3 5 7 3" xfId="22726" xr:uid="{00000000-0005-0000-0000-0000F6580000}"/>
    <cellStyle name="货币 2 2 3 5 7 4" xfId="22729" xr:uid="{00000000-0005-0000-0000-0000F9580000}"/>
    <cellStyle name="货币 2 2 3 5 7 5" xfId="37478" xr:uid="{00000000-0005-0000-0000-000096920000}"/>
    <cellStyle name="货币 2 2 3 5 7 6" xfId="37479" xr:uid="{00000000-0005-0000-0000-000097920000}"/>
    <cellStyle name="货币 2 2 3 5 7 7" xfId="37480" xr:uid="{00000000-0005-0000-0000-000098920000}"/>
    <cellStyle name="货币 2 2 3 5 7 8" xfId="29028" xr:uid="{00000000-0005-0000-0000-000094710000}"/>
    <cellStyle name="货币 2 2 3 5 7 9" xfId="29032" xr:uid="{00000000-0005-0000-0000-000098710000}"/>
    <cellStyle name="货币 2 2 3 5 8" xfId="32619" xr:uid="{00000000-0005-0000-0000-00009B7F0000}"/>
    <cellStyle name="货币 2 2 3 5 8 2" xfId="12431" xr:uid="{00000000-0005-0000-0000-0000BF300000}"/>
    <cellStyle name="货币 2 2 3 5 8 3" xfId="12439" xr:uid="{00000000-0005-0000-0000-0000C7300000}"/>
    <cellStyle name="货币 2 2 3 5 8 4" xfId="12446" xr:uid="{00000000-0005-0000-0000-0000CE300000}"/>
    <cellStyle name="货币 2 2 3 5 8 5" xfId="37481" xr:uid="{00000000-0005-0000-0000-000099920000}"/>
    <cellStyle name="货币 2 2 3 5 8 6" xfId="37482" xr:uid="{00000000-0005-0000-0000-00009A920000}"/>
    <cellStyle name="货币 2 2 3 5 9" xfId="37483" xr:uid="{00000000-0005-0000-0000-00009B920000}"/>
    <cellStyle name="货币 2 2 3 5 9 2" xfId="8266" xr:uid="{00000000-0005-0000-0000-00007A200000}"/>
    <cellStyle name="货币 2 2 3 5 9 3" xfId="8276" xr:uid="{00000000-0005-0000-0000-000084200000}"/>
    <cellStyle name="货币 2 2 3 5 9 4" xfId="6873" xr:uid="{00000000-0005-0000-0000-0000091B0000}"/>
    <cellStyle name="货币 2 2 3 5 9 5" xfId="6887" xr:uid="{00000000-0005-0000-0000-0000171B0000}"/>
    <cellStyle name="货币 2 2 3 5 9 6" xfId="6900" xr:uid="{00000000-0005-0000-0000-0000241B0000}"/>
    <cellStyle name="货币 2 2 3 6" xfId="25434" xr:uid="{00000000-0005-0000-0000-00008A630000}"/>
    <cellStyle name="货币 2 2 3 6 10" xfId="36300" xr:uid="{00000000-0005-0000-0000-0000FC8D0000}"/>
    <cellStyle name="货币 2 2 3 6 10 2" xfId="37484" xr:uid="{00000000-0005-0000-0000-00009C920000}"/>
    <cellStyle name="货币 2 2 3 6 10 3" xfId="37485" xr:uid="{00000000-0005-0000-0000-00009D920000}"/>
    <cellStyle name="货币 2 2 3 6 10 4" xfId="37486" xr:uid="{00000000-0005-0000-0000-00009E920000}"/>
    <cellStyle name="货币 2 2 3 6 10 5" xfId="33480" xr:uid="{00000000-0005-0000-0000-0000F8820000}"/>
    <cellStyle name="货币 2 2 3 6 10 6" xfId="33482" xr:uid="{00000000-0005-0000-0000-0000FA820000}"/>
    <cellStyle name="货币 2 2 3 6 11" xfId="12256" xr:uid="{00000000-0005-0000-0000-000010300000}"/>
    <cellStyle name="货币 2 2 3 6 11 2" xfId="20310" xr:uid="{00000000-0005-0000-0000-0000864F0000}"/>
    <cellStyle name="货币 2 2 3 6 11 3" xfId="37487" xr:uid="{00000000-0005-0000-0000-00009F920000}"/>
    <cellStyle name="货币 2 2 3 6 11 4" xfId="37489" xr:uid="{00000000-0005-0000-0000-0000A1920000}"/>
    <cellStyle name="货币 2 2 3 6 11 5" xfId="37491" xr:uid="{00000000-0005-0000-0000-0000A3920000}"/>
    <cellStyle name="货币 2 2 3 6 11 6" xfId="33640" xr:uid="{00000000-0005-0000-0000-000098830000}"/>
    <cellStyle name="货币 2 2 3 6 12" xfId="36302" xr:uid="{00000000-0005-0000-0000-0000FE8D0000}"/>
    <cellStyle name="货币 2 2 3 6 13" xfId="36304" xr:uid="{00000000-0005-0000-0000-0000008E0000}"/>
    <cellStyle name="货币 2 2 3 6 14" xfId="36306" xr:uid="{00000000-0005-0000-0000-0000028E0000}"/>
    <cellStyle name="货币 2 2 3 6 15" xfId="32282" xr:uid="{00000000-0005-0000-0000-00004A7E0000}"/>
    <cellStyle name="货币 2 2 3 6 16" xfId="37493" xr:uid="{00000000-0005-0000-0000-0000A5920000}"/>
    <cellStyle name="货币 2 2 3 6 17" xfId="37495" xr:uid="{00000000-0005-0000-0000-0000A7920000}"/>
    <cellStyle name="货币 2 2 3 6 18" xfId="28314" xr:uid="{00000000-0005-0000-0000-0000CA6E0000}"/>
    <cellStyle name="货币 2 2 3 6 19" xfId="28317" xr:uid="{00000000-0005-0000-0000-0000CD6E0000}"/>
    <cellStyle name="货币 2 2 3 6 2" xfId="34480" xr:uid="{00000000-0005-0000-0000-0000E0860000}"/>
    <cellStyle name="货币 2 2 3 6 2 10" xfId="28708" xr:uid="{00000000-0005-0000-0000-000054700000}"/>
    <cellStyle name="货币 2 2 3 6 2 11" xfId="37191" xr:uid="{00000000-0005-0000-0000-000077910000}"/>
    <cellStyle name="货币 2 2 3 6 2 12" xfId="37193" xr:uid="{00000000-0005-0000-0000-000079910000}"/>
    <cellStyle name="货币 2 2 3 6 2 13" xfId="37195" xr:uid="{00000000-0005-0000-0000-00007B910000}"/>
    <cellStyle name="货币 2 2 3 6 2 14" xfId="37197" xr:uid="{00000000-0005-0000-0000-00007D910000}"/>
    <cellStyle name="货币 2 2 3 6 2 15" xfId="37497" xr:uid="{00000000-0005-0000-0000-0000A9920000}"/>
    <cellStyle name="货币 2 2 3 6 2 16" xfId="37498" xr:uid="{00000000-0005-0000-0000-0000AA920000}"/>
    <cellStyle name="货币 2 2 3 6 2 17" xfId="37499" xr:uid="{00000000-0005-0000-0000-0000AB920000}"/>
    <cellStyle name="货币 2 2 3 6 2 18" xfId="37500" xr:uid="{00000000-0005-0000-0000-0000AC920000}"/>
    <cellStyle name="货币 2 2 3 6 2 2" xfId="37502" xr:uid="{00000000-0005-0000-0000-0000AE920000}"/>
    <cellStyle name="货币 2 2 3 6 2 2 10" xfId="13602" xr:uid="{00000000-0005-0000-0000-000052350000}"/>
    <cellStyle name="货币 2 2 3 6 2 2 11" xfId="37503" xr:uid="{00000000-0005-0000-0000-0000AF920000}"/>
    <cellStyle name="货币 2 2 3 6 2 2 12" xfId="37504" xr:uid="{00000000-0005-0000-0000-0000B0920000}"/>
    <cellStyle name="货币 2 2 3 6 2 2 2" xfId="11267" xr:uid="{00000000-0005-0000-0000-0000332C0000}"/>
    <cellStyle name="货币 2 2 3 6 2 2 2 2" xfId="11382" xr:uid="{00000000-0005-0000-0000-0000A62C0000}"/>
    <cellStyle name="货币 2 2 3 6 2 2 2 2 2" xfId="35696" xr:uid="{00000000-0005-0000-0000-0000A08B0000}"/>
    <cellStyle name="货币 2 2 3 6 2 2 2 3" xfId="37334" xr:uid="{00000000-0005-0000-0000-000006920000}"/>
    <cellStyle name="货币 2 2 3 6 2 2 2 4" xfId="37336" xr:uid="{00000000-0005-0000-0000-000008920000}"/>
    <cellStyle name="货币 2 2 3 6 2 2 2 5" xfId="37338" xr:uid="{00000000-0005-0000-0000-00000A920000}"/>
    <cellStyle name="货币 2 2 3 6 2 2 3" xfId="11275" xr:uid="{00000000-0005-0000-0000-00003B2C0000}"/>
    <cellStyle name="货币 2 2 3 6 2 2 3 2" xfId="37348" xr:uid="{00000000-0005-0000-0000-000014920000}"/>
    <cellStyle name="货币 2 2 3 6 2 2 4" xfId="11282" xr:uid="{00000000-0005-0000-0000-0000422C0000}"/>
    <cellStyle name="货币 2 2 3 6 2 2 5" xfId="11291" xr:uid="{00000000-0005-0000-0000-00004B2C0000}"/>
    <cellStyle name="货币 2 2 3 6 2 2 6" xfId="5899" xr:uid="{00000000-0005-0000-0000-00003B170000}"/>
    <cellStyle name="货币 2 2 3 6 2 2 7" xfId="11294" xr:uid="{00000000-0005-0000-0000-00004E2C0000}"/>
    <cellStyle name="货币 2 2 3 6 2 2 8" xfId="37505" xr:uid="{00000000-0005-0000-0000-0000B1920000}"/>
    <cellStyle name="货币 2 2 3 6 2 2 9" xfId="37506" xr:uid="{00000000-0005-0000-0000-0000B2920000}"/>
    <cellStyle name="货币 2 2 3 6 2 3" xfId="37508" xr:uid="{00000000-0005-0000-0000-0000B4920000}"/>
    <cellStyle name="货币 2 2 3 6 2 3 10" xfId="27101" xr:uid="{00000000-0005-0000-0000-00000D6A0000}"/>
    <cellStyle name="货币 2 2 3 6 2 3 11" xfId="28537" xr:uid="{00000000-0005-0000-0000-0000A96F0000}"/>
    <cellStyle name="货币 2 2 3 6 2 3 12" xfId="37511" xr:uid="{00000000-0005-0000-0000-0000B7920000}"/>
    <cellStyle name="货币 2 2 3 6 2 3 2" xfId="8673" xr:uid="{00000000-0005-0000-0000-000011220000}"/>
    <cellStyle name="货币 2 2 3 6 2 3 2 2" xfId="1379" xr:uid="{00000000-0005-0000-0000-000093050000}"/>
    <cellStyle name="货币 2 2 3 6 2 3 2 2 2" xfId="35884" xr:uid="{00000000-0005-0000-0000-00005C8C0000}"/>
    <cellStyle name="货币 2 2 3 6 2 3 2 3" xfId="37389" xr:uid="{00000000-0005-0000-0000-00003D920000}"/>
    <cellStyle name="货币 2 2 3 6 2 3 2 4" xfId="37391" xr:uid="{00000000-0005-0000-0000-00003F920000}"/>
    <cellStyle name="货币 2 2 3 6 2 3 2 5" xfId="37393" xr:uid="{00000000-0005-0000-0000-000041920000}"/>
    <cellStyle name="货币 2 2 3 6 2 3 3" xfId="11411" xr:uid="{00000000-0005-0000-0000-0000C32C0000}"/>
    <cellStyle name="货币 2 2 3 6 2 3 3 2" xfId="37399" xr:uid="{00000000-0005-0000-0000-000047920000}"/>
    <cellStyle name="货币 2 2 3 6 2 3 4" xfId="11121" xr:uid="{00000000-0005-0000-0000-0000A12B0000}"/>
    <cellStyle name="货币 2 2 3 6 2 3 5" xfId="11420" xr:uid="{00000000-0005-0000-0000-0000CC2C0000}"/>
    <cellStyle name="货币 2 2 3 6 2 3 6" xfId="5912" xr:uid="{00000000-0005-0000-0000-000048170000}"/>
    <cellStyle name="货币 2 2 3 6 2 3 7" xfId="11422" xr:uid="{00000000-0005-0000-0000-0000CE2C0000}"/>
    <cellStyle name="货币 2 2 3 6 2 3 8" xfId="37512" xr:uid="{00000000-0005-0000-0000-0000B8920000}"/>
    <cellStyle name="货币 2 2 3 6 2 3 9" xfId="37513" xr:uid="{00000000-0005-0000-0000-0000B9920000}"/>
    <cellStyle name="货币 2 2 3 6 2 4" xfId="37514" xr:uid="{00000000-0005-0000-0000-0000BA920000}"/>
    <cellStyle name="货币 2 2 3 6 2 4 10" xfId="37516" xr:uid="{00000000-0005-0000-0000-0000BC920000}"/>
    <cellStyle name="货币 2 2 3 6 2 4 2" xfId="11432" xr:uid="{00000000-0005-0000-0000-0000D82C0000}"/>
    <cellStyle name="货币 2 2 3 6 2 4 2 2" xfId="37413" xr:uid="{00000000-0005-0000-0000-000055920000}"/>
    <cellStyle name="货币 2 2 3 6 2 4 2 2 2" xfId="36020" xr:uid="{00000000-0005-0000-0000-0000E48C0000}"/>
    <cellStyle name="货币 2 2 3 6 2 4 2 3" xfId="37415" xr:uid="{00000000-0005-0000-0000-000057920000}"/>
    <cellStyle name="货币 2 2 3 6 2 4 2 4" xfId="37417" xr:uid="{00000000-0005-0000-0000-000059920000}"/>
    <cellStyle name="货币 2 2 3 6 2 4 2 5" xfId="37419" xr:uid="{00000000-0005-0000-0000-00005B920000}"/>
    <cellStyle name="货币 2 2 3 6 2 4 3" xfId="7570" xr:uid="{00000000-0005-0000-0000-0000C21D0000}"/>
    <cellStyle name="货币 2 2 3 6 2 4 3 2" xfId="37425" xr:uid="{00000000-0005-0000-0000-000061920000}"/>
    <cellStyle name="货币 2 2 3 6 2 4 4" xfId="11435" xr:uid="{00000000-0005-0000-0000-0000DB2C0000}"/>
    <cellStyle name="货币 2 2 3 6 2 4 5" xfId="11438" xr:uid="{00000000-0005-0000-0000-0000DE2C0000}"/>
    <cellStyle name="货币 2 2 3 6 2 4 6" xfId="5914" xr:uid="{00000000-0005-0000-0000-00004A170000}"/>
    <cellStyle name="货币 2 2 3 6 2 4 7" xfId="11441" xr:uid="{00000000-0005-0000-0000-0000E12C0000}"/>
    <cellStyle name="货币 2 2 3 6 2 4 8" xfId="37517" xr:uid="{00000000-0005-0000-0000-0000BD920000}"/>
    <cellStyle name="货币 2 2 3 6 2 4 9" xfId="19029" xr:uid="{00000000-0005-0000-0000-0000854A0000}"/>
    <cellStyle name="货币 2 2 3 6 2 5" xfId="37518" xr:uid="{00000000-0005-0000-0000-0000BE920000}"/>
    <cellStyle name="货币 2 2 3 6 2 5 10" xfId="18574" xr:uid="{00000000-0005-0000-0000-0000BE480000}"/>
    <cellStyle name="货币 2 2 3 6 2 5 2" xfId="2777" xr:uid="{00000000-0005-0000-0000-0000090B0000}"/>
    <cellStyle name="货币 2 2 3 6 2 5 2 2" xfId="37433" xr:uid="{00000000-0005-0000-0000-000069920000}"/>
    <cellStyle name="货币 2 2 3 6 2 5 2 2 2" xfId="3010" xr:uid="{00000000-0005-0000-0000-0000F20B0000}"/>
    <cellStyle name="货币 2 2 3 6 2 5 2 3" xfId="37435" xr:uid="{00000000-0005-0000-0000-00006B920000}"/>
    <cellStyle name="货币 2 2 3 6 2 5 2 4" xfId="37437" xr:uid="{00000000-0005-0000-0000-00006D920000}"/>
    <cellStyle name="货币 2 2 3 6 2 5 2 5" xfId="37439" xr:uid="{00000000-0005-0000-0000-00006F920000}"/>
    <cellStyle name="货币 2 2 3 6 2 5 3" xfId="729" xr:uid="{00000000-0005-0000-0000-000009030000}"/>
    <cellStyle name="货币 2 2 3 6 2 5 3 2" xfId="37445" xr:uid="{00000000-0005-0000-0000-000075920000}"/>
    <cellStyle name="货币 2 2 3 6 2 5 4" xfId="4972" xr:uid="{00000000-0005-0000-0000-00009C130000}"/>
    <cellStyle name="货币 2 2 3 6 2 5 5" xfId="37519" xr:uid="{00000000-0005-0000-0000-0000BF920000}"/>
    <cellStyle name="货币 2 2 3 6 2 5 6" xfId="37520" xr:uid="{00000000-0005-0000-0000-0000C0920000}"/>
    <cellStyle name="货币 2 2 3 6 2 5 7" xfId="33099" xr:uid="{00000000-0005-0000-0000-00007B810000}"/>
    <cellStyle name="货币 2 2 3 6 2 5 8" xfId="37521" xr:uid="{00000000-0005-0000-0000-0000C1920000}"/>
    <cellStyle name="货币 2 2 3 6 2 5 9" xfId="37522" xr:uid="{00000000-0005-0000-0000-0000C2920000}"/>
    <cellStyle name="货币 2 2 3 6 2 6" xfId="37523" xr:uid="{00000000-0005-0000-0000-0000C3920000}"/>
    <cellStyle name="货币 2 2 3 6 2 6 2" xfId="11444" xr:uid="{00000000-0005-0000-0000-0000E42C0000}"/>
    <cellStyle name="货币 2 2 3 6 2 6 2 2" xfId="37461" xr:uid="{00000000-0005-0000-0000-000085920000}"/>
    <cellStyle name="货币 2 2 3 6 2 6 3" xfId="11446" xr:uid="{00000000-0005-0000-0000-0000E62C0000}"/>
    <cellStyle name="货币 2 2 3 6 2 6 4" xfId="11448" xr:uid="{00000000-0005-0000-0000-0000E82C0000}"/>
    <cellStyle name="货币 2 2 3 6 2 6 5" xfId="37524" xr:uid="{00000000-0005-0000-0000-0000C4920000}"/>
    <cellStyle name="货币 2 2 3 6 2 6 6" xfId="37525" xr:uid="{00000000-0005-0000-0000-0000C5920000}"/>
    <cellStyle name="货币 2 2 3 6 2 6 7" xfId="37526" xr:uid="{00000000-0005-0000-0000-0000C6920000}"/>
    <cellStyle name="货币 2 2 3 6 2 6 8" xfId="37527" xr:uid="{00000000-0005-0000-0000-0000C7920000}"/>
    <cellStyle name="货币 2 2 3 6 2 6 9" xfId="37528" xr:uid="{00000000-0005-0000-0000-0000C8920000}"/>
    <cellStyle name="货币 2 2 3 6 2 7" xfId="33012" xr:uid="{00000000-0005-0000-0000-000024810000}"/>
    <cellStyle name="货币 2 2 3 6 2 7 2" xfId="37529" xr:uid="{00000000-0005-0000-0000-0000C9920000}"/>
    <cellStyle name="货币 2 2 3 6 2 8" xfId="36178" xr:uid="{00000000-0005-0000-0000-0000828D0000}"/>
    <cellStyle name="货币 2 2 3 6 2 9" xfId="37530" xr:uid="{00000000-0005-0000-0000-0000CA920000}"/>
    <cellStyle name="货币 2 2 3 6 20" xfId="32283" xr:uid="{00000000-0005-0000-0000-00004B7E0000}"/>
    <cellStyle name="货币 2 2 3 6 21" xfId="37494" xr:uid="{00000000-0005-0000-0000-0000A6920000}"/>
    <cellStyle name="货币 2 2 3 6 22" xfId="37496" xr:uid="{00000000-0005-0000-0000-0000A8920000}"/>
    <cellStyle name="货币 2 2 3 6 23" xfId="28315" xr:uid="{00000000-0005-0000-0000-0000CB6E0000}"/>
    <cellStyle name="货币 2 2 3 6 3" xfId="34482" xr:uid="{00000000-0005-0000-0000-0000E2860000}"/>
    <cellStyle name="货币 2 2 3 6 3 10" xfId="33468" xr:uid="{00000000-0005-0000-0000-0000EC820000}"/>
    <cellStyle name="货币 2 2 3 6 3 11" xfId="32458" xr:uid="{00000000-0005-0000-0000-0000FA7E0000}"/>
    <cellStyle name="货币 2 2 3 6 3 12" xfId="33470" xr:uid="{00000000-0005-0000-0000-0000EE820000}"/>
    <cellStyle name="货币 2 2 3 6 3 13" xfId="37531" xr:uid="{00000000-0005-0000-0000-0000CB920000}"/>
    <cellStyle name="货币 2 2 3 6 3 14" xfId="37532" xr:uid="{00000000-0005-0000-0000-0000CC920000}"/>
    <cellStyle name="货币 2 2 3 6 3 15" xfId="37533" xr:uid="{00000000-0005-0000-0000-0000CD920000}"/>
    <cellStyle name="货币 2 2 3 6 3 16" xfId="37534" xr:uid="{00000000-0005-0000-0000-0000CE920000}"/>
    <cellStyle name="货币 2 2 3 6 3 17" xfId="37535" xr:uid="{00000000-0005-0000-0000-0000CF920000}"/>
    <cellStyle name="货币 2 2 3 6 3 18" xfId="37536" xr:uid="{00000000-0005-0000-0000-0000D0920000}"/>
    <cellStyle name="货币 2 2 3 6 3 2" xfId="37537" xr:uid="{00000000-0005-0000-0000-0000D1920000}"/>
    <cellStyle name="货币 2 2 3 6 3 2 10" xfId="4352" xr:uid="{00000000-0005-0000-0000-000030110000}"/>
    <cellStyle name="货币 2 2 3 6 3 2 2" xfId="11719" xr:uid="{00000000-0005-0000-0000-0000F72D0000}"/>
    <cellStyle name="货币 2 2 3 6 3 2 2 2" xfId="11288" xr:uid="{00000000-0005-0000-0000-0000482C0000}"/>
    <cellStyle name="货币 2 2 3 6 3 2 3" xfId="2925" xr:uid="{00000000-0005-0000-0000-00009D0B0000}"/>
    <cellStyle name="货币 2 2 3 6 3 2 4" xfId="11722" xr:uid="{00000000-0005-0000-0000-0000FA2D0000}"/>
    <cellStyle name="货币 2 2 3 6 3 2 5" xfId="11725" xr:uid="{00000000-0005-0000-0000-0000FD2D0000}"/>
    <cellStyle name="货币 2 2 3 6 3 2 6" xfId="5975" xr:uid="{00000000-0005-0000-0000-000087170000}"/>
    <cellStyle name="货币 2 2 3 6 3 2 7" xfId="11728" xr:uid="{00000000-0005-0000-0000-0000002E0000}"/>
    <cellStyle name="货币 2 2 3 6 3 2 8" xfId="37538" xr:uid="{00000000-0005-0000-0000-0000D2920000}"/>
    <cellStyle name="货币 2 2 3 6 3 2 9" xfId="23377" xr:uid="{00000000-0005-0000-0000-0000815B0000}"/>
    <cellStyle name="货币 2 2 3 6 3 3" xfId="37539" xr:uid="{00000000-0005-0000-0000-0000D3920000}"/>
    <cellStyle name="货币 2 2 3 6 3 3 2" xfId="11756" xr:uid="{00000000-0005-0000-0000-00001C2E0000}"/>
    <cellStyle name="货币 2 2 3 6 3 3 3" xfId="2966" xr:uid="{00000000-0005-0000-0000-0000C60B0000}"/>
    <cellStyle name="货币 2 2 3 6 3 3 4" xfId="11758" xr:uid="{00000000-0005-0000-0000-00001E2E0000}"/>
    <cellStyle name="货币 2 2 3 6 3 3 5" xfId="11760" xr:uid="{00000000-0005-0000-0000-0000202E0000}"/>
    <cellStyle name="货币 2 2 3 6 3 3 6" xfId="5982" xr:uid="{00000000-0005-0000-0000-00008E170000}"/>
    <cellStyle name="货币 2 2 3 6 3 4" xfId="37540" xr:uid="{00000000-0005-0000-0000-0000D4920000}"/>
    <cellStyle name="货币 2 2 3 6 3 4 2" xfId="7020" xr:uid="{00000000-0005-0000-0000-00009C1B0000}"/>
    <cellStyle name="货币 2 2 3 6 3 4 3" xfId="243" xr:uid="{00000000-0005-0000-0000-000004010000}"/>
    <cellStyle name="货币 2 2 3 6 3 4 4" xfId="10402" xr:uid="{00000000-0005-0000-0000-0000D2280000}"/>
    <cellStyle name="货币 2 2 3 6 3 4 5" xfId="10406" xr:uid="{00000000-0005-0000-0000-0000D6280000}"/>
    <cellStyle name="货币 2 2 3 6 3 4 6" xfId="5988" xr:uid="{00000000-0005-0000-0000-000094170000}"/>
    <cellStyle name="货币 2 2 3 6 3 5" xfId="37541" xr:uid="{00000000-0005-0000-0000-0000D5920000}"/>
    <cellStyle name="货币 2 2 3 6 3 5 2" xfId="7149" xr:uid="{00000000-0005-0000-0000-00001D1C0000}"/>
    <cellStyle name="货币 2 2 3 6 3 5 3" xfId="10413" xr:uid="{00000000-0005-0000-0000-0000DD280000}"/>
    <cellStyle name="货币 2 2 3 6 3 5 4" xfId="10420" xr:uid="{00000000-0005-0000-0000-0000E4280000}"/>
    <cellStyle name="货币 2 2 3 6 3 5 5" xfId="37542" xr:uid="{00000000-0005-0000-0000-0000D6920000}"/>
    <cellStyle name="货币 2 2 3 6 3 5 6" xfId="37543" xr:uid="{00000000-0005-0000-0000-0000D7920000}"/>
    <cellStyle name="货币 2 2 3 6 3 6" xfId="22822" xr:uid="{00000000-0005-0000-0000-000056590000}"/>
    <cellStyle name="货币 2 2 3 6 3 6 2" xfId="8324" xr:uid="{00000000-0005-0000-0000-0000B4200000}"/>
    <cellStyle name="货币 2 2 3 6 3 6 3" xfId="8334" xr:uid="{00000000-0005-0000-0000-0000BE200000}"/>
    <cellStyle name="货币 2 2 3 6 3 6 4" xfId="8343" xr:uid="{00000000-0005-0000-0000-0000C7200000}"/>
    <cellStyle name="货币 2 2 3 6 3 6 5" xfId="16927" xr:uid="{00000000-0005-0000-0000-00004F420000}"/>
    <cellStyle name="货币 2 2 3 6 3 6 6" xfId="37544" xr:uid="{00000000-0005-0000-0000-0000D8920000}"/>
    <cellStyle name="货币 2 2 3 6 3 7" xfId="37545" xr:uid="{00000000-0005-0000-0000-0000D9920000}"/>
    <cellStyle name="货币 2 2 3 6 3 8" xfId="37547" xr:uid="{00000000-0005-0000-0000-0000DB920000}"/>
    <cellStyle name="货币 2 2 3 6 3 9" xfId="37548" xr:uid="{00000000-0005-0000-0000-0000DC920000}"/>
    <cellStyle name="货币 2 2 3 6 4" xfId="34484" xr:uid="{00000000-0005-0000-0000-0000E4860000}"/>
    <cellStyle name="货币 2 2 3 6 4 10" xfId="24378" xr:uid="{00000000-0005-0000-0000-00006A5F0000}"/>
    <cellStyle name="货币 2 2 3 6 4 11" xfId="24380" xr:uid="{00000000-0005-0000-0000-00006C5F0000}"/>
    <cellStyle name="货币 2 2 3 6 4 12" xfId="760" xr:uid="{00000000-0005-0000-0000-000028030000}"/>
    <cellStyle name="货币 2 2 3 6 4 13" xfId="380" xr:uid="{00000000-0005-0000-0000-000095010000}"/>
    <cellStyle name="货币 2 2 3 6 4 14" xfId="12214" xr:uid="{00000000-0005-0000-0000-0000E62F0000}"/>
    <cellStyle name="货币 2 2 3 6 4 15" xfId="4672" xr:uid="{00000000-0005-0000-0000-000070120000}"/>
    <cellStyle name="货币 2 2 3 6 4 2" xfId="12074" xr:uid="{00000000-0005-0000-0000-00005A2F0000}"/>
    <cellStyle name="货币 2 2 3 6 4 2 2" xfId="11990" xr:uid="{00000000-0005-0000-0000-0000062F0000}"/>
    <cellStyle name="货币 2 2 3 6 4 2 2 2" xfId="2251" xr:uid="{00000000-0005-0000-0000-0000FB080000}"/>
    <cellStyle name="货币 2 2 3 6 4 2 3" xfId="3037" xr:uid="{00000000-0005-0000-0000-00000D0C0000}"/>
    <cellStyle name="货币 2 2 3 6 4 2 4" xfId="11993" xr:uid="{00000000-0005-0000-0000-0000092F0000}"/>
    <cellStyle name="货币 2 2 3 6 4 2 5" xfId="11996" xr:uid="{00000000-0005-0000-0000-00000C2F0000}"/>
    <cellStyle name="货币 2 2 3 6 4 2 6" xfId="11999" xr:uid="{00000000-0005-0000-0000-00000F2F0000}"/>
    <cellStyle name="货币 2 2 3 6 4 2 7" xfId="12001" xr:uid="{00000000-0005-0000-0000-0000112F0000}"/>
    <cellStyle name="货币 2 2 3 6 4 2 8" xfId="37550" xr:uid="{00000000-0005-0000-0000-0000DE920000}"/>
    <cellStyle name="货币 2 2 3 6 4 2 9" xfId="37552" xr:uid="{00000000-0005-0000-0000-0000E0920000}"/>
    <cellStyle name="货币 2 2 3 6 4 3" xfId="8722" xr:uid="{00000000-0005-0000-0000-000042220000}"/>
    <cellStyle name="货币 2 2 3 6 4 3 2" xfId="12050" xr:uid="{00000000-0005-0000-0000-0000422F0000}"/>
    <cellStyle name="货币 2 2 3 6 4 3 3" xfId="12058" xr:uid="{00000000-0005-0000-0000-00004A2F0000}"/>
    <cellStyle name="货币 2 2 3 6 4 3 4" xfId="7698" xr:uid="{00000000-0005-0000-0000-0000421E0000}"/>
    <cellStyle name="货币 2 2 3 6 4 3 5" xfId="7715" xr:uid="{00000000-0005-0000-0000-0000531E0000}"/>
    <cellStyle name="货币 2 2 3 6 4 3 6" xfId="7724" xr:uid="{00000000-0005-0000-0000-00005C1E0000}"/>
    <cellStyle name="货币 2 2 3 6 4 4" xfId="8727" xr:uid="{00000000-0005-0000-0000-000047220000}"/>
    <cellStyle name="货币 2 2 3 6 4 4 2" xfId="10464" xr:uid="{00000000-0005-0000-0000-000010290000}"/>
    <cellStyle name="货币 2 2 3 6 4 5" xfId="5404" xr:uid="{00000000-0005-0000-0000-00004C150000}"/>
    <cellStyle name="货币 2 2 3 6 4 6" xfId="22837" xr:uid="{00000000-0005-0000-0000-000065590000}"/>
    <cellStyle name="货币 2 2 3 6 4 7" xfId="24367" xr:uid="{00000000-0005-0000-0000-00005F5F0000}"/>
    <cellStyle name="货币 2 2 3 6 4 8" xfId="24369" xr:uid="{00000000-0005-0000-0000-0000615F0000}"/>
    <cellStyle name="货币 2 2 3 6 4 9" xfId="24371" xr:uid="{00000000-0005-0000-0000-0000635F0000}"/>
    <cellStyle name="货币 2 2 3 6 5" xfId="37553" xr:uid="{00000000-0005-0000-0000-0000E1920000}"/>
    <cellStyle name="货币 2 2 3 6 5 10" xfId="22416" xr:uid="{00000000-0005-0000-0000-0000C0570000}"/>
    <cellStyle name="货币 2 2 3 6 5 11" xfId="37554" xr:uid="{00000000-0005-0000-0000-0000E2920000}"/>
    <cellStyle name="货币 2 2 3 6 5 12" xfId="37555" xr:uid="{00000000-0005-0000-0000-0000E3920000}"/>
    <cellStyle name="货币 2 2 3 6 5 13" xfId="37556" xr:uid="{00000000-0005-0000-0000-0000E4920000}"/>
    <cellStyle name="货币 2 2 3 6 5 2" xfId="37557" xr:uid="{00000000-0005-0000-0000-0000E5920000}"/>
    <cellStyle name="货币 2 2 3 6 5 2 2" xfId="12213" xr:uid="{00000000-0005-0000-0000-0000E52F0000}"/>
    <cellStyle name="货币 2 2 3 6 5 2 2 2" xfId="16988" xr:uid="{00000000-0005-0000-0000-00008C420000}"/>
    <cellStyle name="货币 2 2 3 6 5 2 3" xfId="4671" xr:uid="{00000000-0005-0000-0000-00006F120000}"/>
    <cellStyle name="货币 2 2 3 6 5 2 4" xfId="12223" xr:uid="{00000000-0005-0000-0000-0000EF2F0000}"/>
    <cellStyle name="货币 2 2 3 6 5 2 5" xfId="12233" xr:uid="{00000000-0005-0000-0000-0000F92F0000}"/>
    <cellStyle name="货币 2 2 3 6 5 2 6" xfId="12240" xr:uid="{00000000-0005-0000-0000-000000300000}"/>
    <cellStyle name="货币 2 2 3 6 5 2 7" xfId="12242" xr:uid="{00000000-0005-0000-0000-000002300000}"/>
    <cellStyle name="货币 2 2 3 6 5 2 8" xfId="31672" xr:uid="{00000000-0005-0000-0000-0000E87B0000}"/>
    <cellStyle name="货币 2 2 3 6 5 2 9" xfId="37560" xr:uid="{00000000-0005-0000-0000-0000E8920000}"/>
    <cellStyle name="货币 2 2 3 6 5 3" xfId="37561" xr:uid="{00000000-0005-0000-0000-0000E9920000}"/>
    <cellStyle name="货币 2 2 3 6 5 3 2" xfId="12269" xr:uid="{00000000-0005-0000-0000-00001D300000}"/>
    <cellStyle name="货币 2 2 3 6 5 3 3" xfId="4694" xr:uid="{00000000-0005-0000-0000-000086120000}"/>
    <cellStyle name="货币 2 2 3 6 5 3 4" xfId="12277" xr:uid="{00000000-0005-0000-0000-000025300000}"/>
    <cellStyle name="货币 2 2 3 6 5 3 5" xfId="12283" xr:uid="{00000000-0005-0000-0000-00002B300000}"/>
    <cellStyle name="货币 2 2 3 6 5 3 6" xfId="11777" xr:uid="{00000000-0005-0000-0000-0000312E0000}"/>
    <cellStyle name="货币 2 2 3 6 5 4" xfId="37562" xr:uid="{00000000-0005-0000-0000-0000EA920000}"/>
    <cellStyle name="货币 2 2 3 6 5 4 2" xfId="37563" xr:uid="{00000000-0005-0000-0000-0000EB920000}"/>
    <cellStyle name="货币 2 2 3 6 5 5" xfId="37564" xr:uid="{00000000-0005-0000-0000-0000EC920000}"/>
    <cellStyle name="货币 2 2 3 6 5 6" xfId="37565" xr:uid="{00000000-0005-0000-0000-0000ED920000}"/>
    <cellStyle name="货币 2 2 3 6 5 7" xfId="37566" xr:uid="{00000000-0005-0000-0000-0000EE920000}"/>
    <cellStyle name="货币 2 2 3 6 5 8" xfId="37567" xr:uid="{00000000-0005-0000-0000-0000EF920000}"/>
    <cellStyle name="货币 2 2 3 6 5 9" xfId="37568" xr:uid="{00000000-0005-0000-0000-0000F0920000}"/>
    <cellStyle name="货币 2 2 3 6 6" xfId="37569" xr:uid="{00000000-0005-0000-0000-0000F1920000}"/>
    <cellStyle name="货币 2 2 3 6 6 10" xfId="10697" xr:uid="{00000000-0005-0000-0000-0000F9290000}"/>
    <cellStyle name="货币 2 2 3 6 6 11" xfId="4958" xr:uid="{00000000-0005-0000-0000-00008E130000}"/>
    <cellStyle name="货币 2 2 3 6 6 12" xfId="10701" xr:uid="{00000000-0005-0000-0000-0000FD290000}"/>
    <cellStyle name="货币 2 2 3 6 6 2" xfId="37570" xr:uid="{00000000-0005-0000-0000-0000F2920000}"/>
    <cellStyle name="货币 2 2 3 6 6 2 2" xfId="12349" xr:uid="{00000000-0005-0000-0000-00006D300000}"/>
    <cellStyle name="货币 2 2 3 6 6 2 2 2" xfId="18653" xr:uid="{00000000-0005-0000-0000-00000D490000}"/>
    <cellStyle name="货币 2 2 3 6 6 2 3" xfId="12353" xr:uid="{00000000-0005-0000-0000-000071300000}"/>
    <cellStyle name="货币 2 2 3 6 6 2 4" xfId="7063" xr:uid="{00000000-0005-0000-0000-0000C71B0000}"/>
    <cellStyle name="货币 2 2 3 6 6 2 5" xfId="37572" xr:uid="{00000000-0005-0000-0000-0000F4920000}"/>
    <cellStyle name="货币 2 2 3 6 6 2 6" xfId="37574" xr:uid="{00000000-0005-0000-0000-0000F6920000}"/>
    <cellStyle name="货币 2 2 3 6 6 2 7" xfId="37576" xr:uid="{00000000-0005-0000-0000-0000F8920000}"/>
    <cellStyle name="货币 2 2 3 6 6 2 8" xfId="37579" xr:uid="{00000000-0005-0000-0000-0000FB920000}"/>
    <cellStyle name="货币 2 2 3 6 6 2 9" xfId="37582" xr:uid="{00000000-0005-0000-0000-0000FE920000}"/>
    <cellStyle name="货币 2 2 3 6 6 3" xfId="37583" xr:uid="{00000000-0005-0000-0000-0000FF920000}"/>
    <cellStyle name="货币 2 2 3 6 6 3 2" xfId="12366" xr:uid="{00000000-0005-0000-0000-00007E300000}"/>
    <cellStyle name="货币 2 2 3 6 6 3 3" xfId="12372" xr:uid="{00000000-0005-0000-0000-000084300000}"/>
    <cellStyle name="货币 2 2 3 6 6 3 4" xfId="12375" xr:uid="{00000000-0005-0000-0000-000087300000}"/>
    <cellStyle name="货币 2 2 3 6 6 3 5" xfId="37584" xr:uid="{00000000-0005-0000-0000-000000930000}"/>
    <cellStyle name="货币 2 2 3 6 6 3 6" xfId="37585" xr:uid="{00000000-0005-0000-0000-000001930000}"/>
    <cellStyle name="货币 2 2 3 6 6 4" xfId="37586" xr:uid="{00000000-0005-0000-0000-000002930000}"/>
    <cellStyle name="货币 2 2 3 6 6 4 2" xfId="37587" xr:uid="{00000000-0005-0000-0000-000003930000}"/>
    <cellStyle name="货币 2 2 3 6 6 5" xfId="37588" xr:uid="{00000000-0005-0000-0000-000004930000}"/>
    <cellStyle name="货币 2 2 3 6 6 6" xfId="37589" xr:uid="{00000000-0005-0000-0000-000005930000}"/>
    <cellStyle name="货币 2 2 3 6 6 7" xfId="12505" xr:uid="{00000000-0005-0000-0000-000009310000}"/>
    <cellStyle name="货币 2 2 3 6 6 8" xfId="12510" xr:uid="{00000000-0005-0000-0000-00000E310000}"/>
    <cellStyle name="货币 2 2 3 6 6 9" xfId="14894" xr:uid="{00000000-0005-0000-0000-00005E3A0000}"/>
    <cellStyle name="货币 2 2 3 6 7" xfId="37592" xr:uid="{00000000-0005-0000-0000-000008930000}"/>
    <cellStyle name="货币 2 2 3 6 7 2" xfId="19925" xr:uid="{00000000-0005-0000-0000-0000054E0000}"/>
    <cellStyle name="货币 2 2 3 6 7 2 2" xfId="8283" xr:uid="{00000000-0005-0000-0000-00008B200000}"/>
    <cellStyle name="货币 2 2 3 6 7 3" xfId="19930" xr:uid="{00000000-0005-0000-0000-00000A4E0000}"/>
    <cellStyle name="货币 2 2 3 6 7 4" xfId="19936" xr:uid="{00000000-0005-0000-0000-0000104E0000}"/>
    <cellStyle name="货币 2 2 3 6 7 5" xfId="37593" xr:uid="{00000000-0005-0000-0000-000009930000}"/>
    <cellStyle name="货币 2 2 3 6 7 6" xfId="37595" xr:uid="{00000000-0005-0000-0000-00000B930000}"/>
    <cellStyle name="货币 2 2 3 6 7 7" xfId="14912" xr:uid="{00000000-0005-0000-0000-0000703A0000}"/>
    <cellStyle name="货币 2 2 3 6 7 8" xfId="14914" xr:uid="{00000000-0005-0000-0000-0000723A0000}"/>
    <cellStyle name="货币 2 2 3 6 7 9" xfId="14918" xr:uid="{00000000-0005-0000-0000-0000763A0000}"/>
    <cellStyle name="货币 2 2 3 6 8" xfId="32629" xr:uid="{00000000-0005-0000-0000-0000A57F0000}"/>
    <cellStyle name="货币 2 2 3 6 8 2" xfId="37596" xr:uid="{00000000-0005-0000-0000-00000C930000}"/>
    <cellStyle name="货币 2 2 3 6 8 3" xfId="37598" xr:uid="{00000000-0005-0000-0000-00000E930000}"/>
    <cellStyle name="货币 2 2 3 6 8 4" xfId="37599" xr:uid="{00000000-0005-0000-0000-00000F930000}"/>
    <cellStyle name="货币 2 2 3 6 8 5" xfId="37600" xr:uid="{00000000-0005-0000-0000-000010930000}"/>
    <cellStyle name="货币 2 2 3 6 8 6" xfId="37601" xr:uid="{00000000-0005-0000-0000-000011930000}"/>
    <cellStyle name="货币 2 2 3 6 9" xfId="37604" xr:uid="{00000000-0005-0000-0000-000014930000}"/>
    <cellStyle name="货币 2 2 3 6 9 2" xfId="8908" xr:uid="{00000000-0005-0000-0000-0000FC220000}"/>
    <cellStyle name="货币 2 2 3 6 9 3" xfId="12287" xr:uid="{00000000-0005-0000-0000-00002F300000}"/>
    <cellStyle name="货币 2 2 3 6 9 4" xfId="12295" xr:uid="{00000000-0005-0000-0000-000037300000}"/>
    <cellStyle name="货币 2 2 3 6 9 5" xfId="12304" xr:uid="{00000000-0005-0000-0000-000040300000}"/>
    <cellStyle name="货币 2 2 3 6 9 6" xfId="37605" xr:uid="{00000000-0005-0000-0000-000015930000}"/>
    <cellStyle name="货币 2 2 3 7" xfId="27560" xr:uid="{00000000-0005-0000-0000-0000D86B0000}"/>
    <cellStyle name="货币 2 2 3 7 10" xfId="36339" xr:uid="{00000000-0005-0000-0000-0000238E0000}"/>
    <cellStyle name="货币 2 2 3 7 11" xfId="36342" xr:uid="{00000000-0005-0000-0000-0000268E0000}"/>
    <cellStyle name="货币 2 2 3 7 12" xfId="36344" xr:uid="{00000000-0005-0000-0000-0000288E0000}"/>
    <cellStyle name="货币 2 2 3 7 13" xfId="37607" xr:uid="{00000000-0005-0000-0000-000017930000}"/>
    <cellStyle name="货币 2 2 3 7 14" xfId="37608" xr:uid="{00000000-0005-0000-0000-000018930000}"/>
    <cellStyle name="货币 2 2 3 7 15" xfId="37609" xr:uid="{00000000-0005-0000-0000-000019930000}"/>
    <cellStyle name="货币 2 2 3 7 16" xfId="37610" xr:uid="{00000000-0005-0000-0000-00001A930000}"/>
    <cellStyle name="货币 2 2 3 7 17" xfId="37611" xr:uid="{00000000-0005-0000-0000-00001B930000}"/>
    <cellStyle name="货币 2 2 3 7 18" xfId="37612" xr:uid="{00000000-0005-0000-0000-00001C930000}"/>
    <cellStyle name="货币 2 2 3 7 19" xfId="37613" xr:uid="{00000000-0005-0000-0000-00001D930000}"/>
    <cellStyle name="货币 2 2 3 7 2" xfId="30213" xr:uid="{00000000-0005-0000-0000-000035760000}"/>
    <cellStyle name="货币 2 2 3 7 2 10" xfId="23906" xr:uid="{00000000-0005-0000-0000-0000925D0000}"/>
    <cellStyle name="货币 2 2 3 7 2 11" xfId="37614" xr:uid="{00000000-0005-0000-0000-00001E930000}"/>
    <cellStyle name="货币 2 2 3 7 2 12" xfId="37615" xr:uid="{00000000-0005-0000-0000-00001F930000}"/>
    <cellStyle name="货币 2 2 3 7 2 13" xfId="37616" xr:uid="{00000000-0005-0000-0000-000020930000}"/>
    <cellStyle name="货币 2 2 3 7 2 14" xfId="5986" xr:uid="{00000000-0005-0000-0000-000092170000}"/>
    <cellStyle name="货币 2 2 3 7 2 15" xfId="37617" xr:uid="{00000000-0005-0000-0000-000021930000}"/>
    <cellStyle name="货币 2 2 3 7 2 16" xfId="37618" xr:uid="{00000000-0005-0000-0000-000022930000}"/>
    <cellStyle name="货币 2 2 3 7 2 17" xfId="37619" xr:uid="{00000000-0005-0000-0000-000023930000}"/>
    <cellStyle name="货币 2 2 3 7 2 18" xfId="37620" xr:uid="{00000000-0005-0000-0000-000024930000}"/>
    <cellStyle name="货币 2 2 3 7 2 2" xfId="15555" xr:uid="{00000000-0005-0000-0000-0000F33C0000}"/>
    <cellStyle name="货币 2 2 3 7 2 2 10" xfId="37621" xr:uid="{00000000-0005-0000-0000-000025930000}"/>
    <cellStyle name="货币 2 2 3 7 2 2 2" xfId="14699" xr:uid="{00000000-0005-0000-0000-00009B390000}"/>
    <cellStyle name="货币 2 2 3 7 2 2 2 2" xfId="2199" xr:uid="{00000000-0005-0000-0000-0000C7080000}"/>
    <cellStyle name="货币 2 2 3 7 2 2 3" xfId="14707" xr:uid="{00000000-0005-0000-0000-0000A3390000}"/>
    <cellStyle name="货币 2 2 3 7 2 2 4" xfId="14712" xr:uid="{00000000-0005-0000-0000-0000A8390000}"/>
    <cellStyle name="货币 2 2 3 7 2 2 5" xfId="2249" xr:uid="{00000000-0005-0000-0000-0000F9080000}"/>
    <cellStyle name="货币 2 2 3 7 2 2 6" xfId="14717" xr:uid="{00000000-0005-0000-0000-0000AD390000}"/>
    <cellStyle name="货币 2 2 3 7 2 2 7" xfId="14720" xr:uid="{00000000-0005-0000-0000-0000B0390000}"/>
    <cellStyle name="货币 2 2 3 7 2 2 8" xfId="18974" xr:uid="{00000000-0005-0000-0000-00004E4A0000}"/>
    <cellStyle name="货币 2 2 3 7 2 2 9" xfId="19026" xr:uid="{00000000-0005-0000-0000-0000824A0000}"/>
    <cellStyle name="货币 2 2 3 7 2 3" xfId="37622" xr:uid="{00000000-0005-0000-0000-000026930000}"/>
    <cellStyle name="货币 2 2 3 7 2 3 2" xfId="14739" xr:uid="{00000000-0005-0000-0000-0000C3390000}"/>
    <cellStyle name="货币 2 2 3 7 2 3 3" xfId="14748" xr:uid="{00000000-0005-0000-0000-0000CC390000}"/>
    <cellStyle name="货币 2 2 3 7 2 3 4" xfId="14753" xr:uid="{00000000-0005-0000-0000-0000D1390000}"/>
    <cellStyle name="货币 2 2 3 7 2 3 5" xfId="14760" xr:uid="{00000000-0005-0000-0000-0000D8390000}"/>
    <cellStyle name="货币 2 2 3 7 2 3 6" xfId="14766" xr:uid="{00000000-0005-0000-0000-0000DE390000}"/>
    <cellStyle name="货币 2 2 3 7 2 4" xfId="37623" xr:uid="{00000000-0005-0000-0000-000027930000}"/>
    <cellStyle name="货币 2 2 3 7 2 4 2" xfId="14777" xr:uid="{00000000-0005-0000-0000-0000E9390000}"/>
    <cellStyle name="货币 2 2 3 7 2 4 3" xfId="14782" xr:uid="{00000000-0005-0000-0000-0000EE390000}"/>
    <cellStyle name="货币 2 2 3 7 2 4 4" xfId="14789" xr:uid="{00000000-0005-0000-0000-0000F5390000}"/>
    <cellStyle name="货币 2 2 3 7 2 4 5" xfId="14794" xr:uid="{00000000-0005-0000-0000-0000FA390000}"/>
    <cellStyle name="货币 2 2 3 7 2 4 6" xfId="14798" xr:uid="{00000000-0005-0000-0000-0000FE390000}"/>
    <cellStyle name="货币 2 2 3 7 2 5" xfId="37624" xr:uid="{00000000-0005-0000-0000-000028930000}"/>
    <cellStyle name="货币 2 2 3 7 2 5 2" xfId="14811" xr:uid="{00000000-0005-0000-0000-00000B3A0000}"/>
    <cellStyle name="货币 2 2 3 7 2 5 3" xfId="14815" xr:uid="{00000000-0005-0000-0000-00000F3A0000}"/>
    <cellStyle name="货币 2 2 3 7 2 5 4" xfId="14817" xr:uid="{00000000-0005-0000-0000-0000113A0000}"/>
    <cellStyle name="货币 2 2 3 7 2 5 5" xfId="37625" xr:uid="{00000000-0005-0000-0000-000029930000}"/>
    <cellStyle name="货币 2 2 3 7 2 5 6" xfId="19342" xr:uid="{00000000-0005-0000-0000-0000BE4B0000}"/>
    <cellStyle name="货币 2 2 3 7 2 6" xfId="37626" xr:uid="{00000000-0005-0000-0000-00002A930000}"/>
    <cellStyle name="货币 2 2 3 7 2 6 2" xfId="14825" xr:uid="{00000000-0005-0000-0000-0000193A0000}"/>
    <cellStyle name="货币 2 2 3 7 2 6 3" xfId="14827" xr:uid="{00000000-0005-0000-0000-00001B3A0000}"/>
    <cellStyle name="货币 2 2 3 7 2 6 4" xfId="14834" xr:uid="{00000000-0005-0000-0000-0000223A0000}"/>
    <cellStyle name="货币 2 2 3 7 2 6 5" xfId="24006" xr:uid="{00000000-0005-0000-0000-0000F65D0000}"/>
    <cellStyle name="货币 2 2 3 7 2 6 6" xfId="19394" xr:uid="{00000000-0005-0000-0000-0000F24B0000}"/>
    <cellStyle name="货币 2 2 3 7 2 7" xfId="37627" xr:uid="{00000000-0005-0000-0000-00002B930000}"/>
    <cellStyle name="货币 2 2 3 7 2 8" xfId="37628" xr:uid="{00000000-0005-0000-0000-00002C930000}"/>
    <cellStyle name="货币 2 2 3 7 2 9" xfId="37629" xr:uid="{00000000-0005-0000-0000-00002D930000}"/>
    <cellStyle name="货币 2 2 3 7 3" xfId="37630" xr:uid="{00000000-0005-0000-0000-00002E930000}"/>
    <cellStyle name="货币 2 2 3 7 3 10" xfId="37632" xr:uid="{00000000-0005-0000-0000-000030930000}"/>
    <cellStyle name="货币 2 2 3 7 3 11" xfId="37634" xr:uid="{00000000-0005-0000-0000-000032930000}"/>
    <cellStyle name="货币 2 2 3 7 3 12" xfId="37636" xr:uid="{00000000-0005-0000-0000-000034930000}"/>
    <cellStyle name="货币 2 2 3 7 3 2" xfId="22948" xr:uid="{00000000-0005-0000-0000-0000D4590000}"/>
    <cellStyle name="货币 2 2 3 7 3 2 2" xfId="15137" xr:uid="{00000000-0005-0000-0000-0000513B0000}"/>
    <cellStyle name="货币 2 2 3 7 3 2 2 2" xfId="10078" xr:uid="{00000000-0005-0000-0000-00008E270000}"/>
    <cellStyle name="货币 2 2 3 7 3 2 3" xfId="3421" xr:uid="{00000000-0005-0000-0000-00008D0D0000}"/>
    <cellStyle name="货币 2 2 3 7 3 2 4" xfId="15140" xr:uid="{00000000-0005-0000-0000-0000543B0000}"/>
    <cellStyle name="货币 2 2 3 7 3 2 5" xfId="12055" xr:uid="{00000000-0005-0000-0000-0000472F0000}"/>
    <cellStyle name="货币 2 2 3 7 3 3" xfId="33161" xr:uid="{00000000-0005-0000-0000-0000B9810000}"/>
    <cellStyle name="货币 2 2 3 7 3 3 2" xfId="15155" xr:uid="{00000000-0005-0000-0000-0000633B0000}"/>
    <cellStyle name="货币 2 2 3 7 3 4" xfId="33163" xr:uid="{00000000-0005-0000-0000-0000BB810000}"/>
    <cellStyle name="货币 2 2 3 7 3 5" xfId="33165" xr:uid="{00000000-0005-0000-0000-0000BD810000}"/>
    <cellStyle name="货币 2 2 3 7 3 6" xfId="37637" xr:uid="{00000000-0005-0000-0000-000035930000}"/>
    <cellStyle name="货币 2 2 3 7 3 7" xfId="37638" xr:uid="{00000000-0005-0000-0000-000036930000}"/>
    <cellStyle name="货币 2 2 3 7 3 8" xfId="37639" xr:uid="{00000000-0005-0000-0000-000037930000}"/>
    <cellStyle name="货币 2 2 3 7 3 9" xfId="37640" xr:uid="{00000000-0005-0000-0000-000038930000}"/>
    <cellStyle name="货币 2 2 3 7 4" xfId="37641" xr:uid="{00000000-0005-0000-0000-000039930000}"/>
    <cellStyle name="货币 2 2 3 7 4 10" xfId="24011" xr:uid="{00000000-0005-0000-0000-0000FB5D0000}"/>
    <cellStyle name="货币 2 2 3 7 4 11" xfId="24013" xr:uid="{00000000-0005-0000-0000-0000FD5D0000}"/>
    <cellStyle name="货币 2 2 3 7 4 2" xfId="22987" xr:uid="{00000000-0005-0000-0000-0000FB590000}"/>
    <cellStyle name="货币 2 2 3 7 4 2 2" xfId="15587" xr:uid="{00000000-0005-0000-0000-0000133D0000}"/>
    <cellStyle name="货币 2 2 3 7 4 2 2 2" xfId="15593" xr:uid="{00000000-0005-0000-0000-0000193D0000}"/>
    <cellStyle name="货币 2 2 3 7 4 2 3" xfId="2720" xr:uid="{00000000-0005-0000-0000-0000D00A0000}"/>
    <cellStyle name="货币 2 2 3 7 4 2 4" xfId="6073" xr:uid="{00000000-0005-0000-0000-0000E9170000}"/>
    <cellStyle name="货币 2 2 3 7 4 2 5" xfId="6080" xr:uid="{00000000-0005-0000-0000-0000F0170000}"/>
    <cellStyle name="货币 2 2 3 7 4 3" xfId="33172" xr:uid="{00000000-0005-0000-0000-0000C4810000}"/>
    <cellStyle name="货币 2 2 3 7 4 3 2" xfId="15654" xr:uid="{00000000-0005-0000-0000-0000563D0000}"/>
    <cellStyle name="货币 2 2 3 7 4 4" xfId="33174" xr:uid="{00000000-0005-0000-0000-0000C6810000}"/>
    <cellStyle name="货币 2 2 3 7 4 5" xfId="33176" xr:uid="{00000000-0005-0000-0000-0000C8810000}"/>
    <cellStyle name="货币 2 2 3 7 4 6" xfId="37642" xr:uid="{00000000-0005-0000-0000-00003A930000}"/>
    <cellStyle name="货币 2 2 3 7 4 7" xfId="37643" xr:uid="{00000000-0005-0000-0000-00003B930000}"/>
    <cellStyle name="货币 2 2 3 7 4 8" xfId="37644" xr:uid="{00000000-0005-0000-0000-00003C930000}"/>
    <cellStyle name="货币 2 2 3 7 4 9" xfId="37645" xr:uid="{00000000-0005-0000-0000-00003D930000}"/>
    <cellStyle name="货币 2 2 3 7 5" xfId="37646" xr:uid="{00000000-0005-0000-0000-00003E930000}"/>
    <cellStyle name="货币 2 2 3 7 5 10" xfId="33786" xr:uid="{00000000-0005-0000-0000-00002A840000}"/>
    <cellStyle name="货币 2 2 3 7 5 2" xfId="33193" xr:uid="{00000000-0005-0000-0000-0000D9810000}"/>
    <cellStyle name="货币 2 2 3 7 5 2 2" xfId="15874" xr:uid="{00000000-0005-0000-0000-0000323E0000}"/>
    <cellStyle name="货币 2 2 3 7 5 2 2 2" xfId="37648" xr:uid="{00000000-0005-0000-0000-000040930000}"/>
    <cellStyle name="货币 2 2 3 7 5 2 3" xfId="4617" xr:uid="{00000000-0005-0000-0000-000039120000}"/>
    <cellStyle name="货币 2 2 3 7 5 2 4" xfId="6636" xr:uid="{00000000-0005-0000-0000-00001C1A0000}"/>
    <cellStyle name="货币 2 2 3 7 5 2 5" xfId="6643" xr:uid="{00000000-0005-0000-0000-0000231A0000}"/>
    <cellStyle name="货币 2 2 3 7 5 3" xfId="33195" xr:uid="{00000000-0005-0000-0000-0000DB810000}"/>
    <cellStyle name="货币 2 2 3 7 5 3 2" xfId="15890" xr:uid="{00000000-0005-0000-0000-0000423E0000}"/>
    <cellStyle name="货币 2 2 3 7 5 4" xfId="33197" xr:uid="{00000000-0005-0000-0000-0000DD810000}"/>
    <cellStyle name="货币 2 2 3 7 5 5" xfId="33199" xr:uid="{00000000-0005-0000-0000-0000DF810000}"/>
    <cellStyle name="货币 2 2 3 7 5 6" xfId="37649" xr:uid="{00000000-0005-0000-0000-000041930000}"/>
    <cellStyle name="货币 2 2 3 7 5 7" xfId="37650" xr:uid="{00000000-0005-0000-0000-000042930000}"/>
    <cellStyle name="货币 2 2 3 7 5 8" xfId="37651" xr:uid="{00000000-0005-0000-0000-000043930000}"/>
    <cellStyle name="货币 2 2 3 7 5 9" xfId="37652" xr:uid="{00000000-0005-0000-0000-000044930000}"/>
    <cellStyle name="货币 2 2 3 7 6" xfId="37653" xr:uid="{00000000-0005-0000-0000-000045930000}"/>
    <cellStyle name="货币 2 2 3 7 6 2" xfId="33215" xr:uid="{00000000-0005-0000-0000-0000EF810000}"/>
    <cellStyle name="货币 2 2 3 7 6 2 2" xfId="9793" xr:uid="{00000000-0005-0000-0000-000071260000}"/>
    <cellStyle name="货币 2 2 3 7 6 3" xfId="33218" xr:uid="{00000000-0005-0000-0000-0000F2810000}"/>
    <cellStyle name="货币 2 2 3 7 6 4" xfId="33220" xr:uid="{00000000-0005-0000-0000-0000F4810000}"/>
    <cellStyle name="货币 2 2 3 7 6 5" xfId="33222" xr:uid="{00000000-0005-0000-0000-0000F6810000}"/>
    <cellStyle name="货币 2 2 3 7 6 6" xfId="37654" xr:uid="{00000000-0005-0000-0000-000046930000}"/>
    <cellStyle name="货币 2 2 3 7 6 7" xfId="15036" xr:uid="{00000000-0005-0000-0000-0000EC3A0000}"/>
    <cellStyle name="货币 2 2 3 7 6 8" xfId="15039" xr:uid="{00000000-0005-0000-0000-0000EF3A0000}"/>
    <cellStyle name="货币 2 2 3 7 6 9" xfId="15045" xr:uid="{00000000-0005-0000-0000-0000F53A0000}"/>
    <cellStyle name="货币 2 2 3 7 7" xfId="37659" xr:uid="{00000000-0005-0000-0000-00004B930000}"/>
    <cellStyle name="货币 2 2 3 7 7 2" xfId="20094" xr:uid="{00000000-0005-0000-0000-0000AE4E0000}"/>
    <cellStyle name="货币 2 2 3 7 7 3" xfId="20102" xr:uid="{00000000-0005-0000-0000-0000B64E0000}"/>
    <cellStyle name="货币 2 2 3 7 7 4" xfId="20110" xr:uid="{00000000-0005-0000-0000-0000BE4E0000}"/>
    <cellStyle name="货币 2 2 3 7 7 5" xfId="32277" xr:uid="{00000000-0005-0000-0000-0000457E0000}"/>
    <cellStyle name="货币 2 2 3 7 7 6" xfId="32589" xr:uid="{00000000-0005-0000-0000-00007D7F0000}"/>
    <cellStyle name="货币 2 2 3 7 8" xfId="32641" xr:uid="{00000000-0005-0000-0000-0000B17F0000}"/>
    <cellStyle name="货币 2 2 3 7 9" xfId="18337" xr:uid="{00000000-0005-0000-0000-0000D1470000}"/>
    <cellStyle name="货币 2 2 3 8" xfId="30216" xr:uid="{00000000-0005-0000-0000-000038760000}"/>
    <cellStyle name="货币 2 2 3 8 10" xfId="18390" xr:uid="{00000000-0005-0000-0000-000006480000}"/>
    <cellStyle name="货币 2 2 3 8 11" xfId="18393" xr:uid="{00000000-0005-0000-0000-000009480000}"/>
    <cellStyle name="货币 2 2 3 8 12" xfId="18397" xr:uid="{00000000-0005-0000-0000-00000D480000}"/>
    <cellStyle name="货币 2 2 3 8 13" xfId="18401" xr:uid="{00000000-0005-0000-0000-000011480000}"/>
    <cellStyle name="货币 2 2 3 8 14" xfId="18406" xr:uid="{00000000-0005-0000-0000-000016480000}"/>
    <cellStyle name="货币 2 2 3 8 15" xfId="35031" xr:uid="{00000000-0005-0000-0000-000007890000}"/>
    <cellStyle name="货币 2 2 3 8 16" xfId="35039" xr:uid="{00000000-0005-0000-0000-00000F890000}"/>
    <cellStyle name="货币 2 2 3 8 17" xfId="35043" xr:uid="{00000000-0005-0000-0000-000013890000}"/>
    <cellStyle name="货币 2 2 3 8 18" xfId="35047" xr:uid="{00000000-0005-0000-0000-000017890000}"/>
    <cellStyle name="货币 2 2 3 8 2" xfId="5983" xr:uid="{00000000-0005-0000-0000-00008F170000}"/>
    <cellStyle name="货币 2 2 3 8 2 10" xfId="37662" xr:uid="{00000000-0005-0000-0000-00004E930000}"/>
    <cellStyle name="货币 2 2 3 8 2 2" xfId="37663" xr:uid="{00000000-0005-0000-0000-00004F930000}"/>
    <cellStyle name="货币 2 2 3 8 2 2 2" xfId="16965" xr:uid="{00000000-0005-0000-0000-000075420000}"/>
    <cellStyle name="货币 2 2 3 8 2 3" xfId="37664" xr:uid="{00000000-0005-0000-0000-000050930000}"/>
    <cellStyle name="货币 2 2 3 8 2 4" xfId="37665" xr:uid="{00000000-0005-0000-0000-000051930000}"/>
    <cellStyle name="货币 2 2 3 8 2 5" xfId="37666" xr:uid="{00000000-0005-0000-0000-000052930000}"/>
    <cellStyle name="货币 2 2 3 8 2 6" xfId="37667" xr:uid="{00000000-0005-0000-0000-000053930000}"/>
    <cellStyle name="货币 2 2 3 8 2 7" xfId="37668" xr:uid="{00000000-0005-0000-0000-000054930000}"/>
    <cellStyle name="货币 2 2 3 8 2 8" xfId="37669" xr:uid="{00000000-0005-0000-0000-000055930000}"/>
    <cellStyle name="货币 2 2 3 8 2 9" xfId="32657" xr:uid="{00000000-0005-0000-0000-0000C17F0000}"/>
    <cellStyle name="货币 2 2 3 8 3" xfId="18296" xr:uid="{00000000-0005-0000-0000-0000A8470000}"/>
    <cellStyle name="货币 2 2 3 8 3 2" xfId="33247" xr:uid="{00000000-0005-0000-0000-00000F820000}"/>
    <cellStyle name="货币 2 2 3 8 3 3" xfId="33249" xr:uid="{00000000-0005-0000-0000-000011820000}"/>
    <cellStyle name="货币 2 2 3 8 3 4" xfId="33251" xr:uid="{00000000-0005-0000-0000-000013820000}"/>
    <cellStyle name="货币 2 2 3 8 3 5" xfId="33253" xr:uid="{00000000-0005-0000-0000-000015820000}"/>
    <cellStyle name="货币 2 2 3 8 3 6" xfId="37670" xr:uid="{00000000-0005-0000-0000-000056930000}"/>
    <cellStyle name="货币 2 2 3 8 4" xfId="12088" xr:uid="{00000000-0005-0000-0000-0000682F0000}"/>
    <cellStyle name="货币 2 2 3 8 4 2" xfId="12092" xr:uid="{00000000-0005-0000-0000-00006C2F0000}"/>
    <cellStyle name="货币 2 2 3 8 4 3" xfId="18457" xr:uid="{00000000-0005-0000-0000-000049480000}"/>
    <cellStyle name="货币 2 2 3 8 4 4" xfId="15821" xr:uid="{00000000-0005-0000-0000-0000FD3D0000}"/>
    <cellStyle name="货币 2 2 3 8 4 5" xfId="7122" xr:uid="{00000000-0005-0000-0000-0000021C0000}"/>
    <cellStyle name="货币 2 2 3 8 4 6" xfId="18460" xr:uid="{00000000-0005-0000-0000-00004C480000}"/>
    <cellStyle name="货币 2 2 3 8 5" xfId="12096" xr:uid="{00000000-0005-0000-0000-0000702F0000}"/>
    <cellStyle name="货币 2 2 3 8 5 2" xfId="33267" xr:uid="{00000000-0005-0000-0000-000023820000}"/>
    <cellStyle name="货币 2 2 3 8 5 3" xfId="37671" xr:uid="{00000000-0005-0000-0000-000057930000}"/>
    <cellStyle name="货币 2 2 3 8 5 4" xfId="37672" xr:uid="{00000000-0005-0000-0000-000058930000}"/>
    <cellStyle name="货币 2 2 3 8 5 5" xfId="37673" xr:uid="{00000000-0005-0000-0000-000059930000}"/>
    <cellStyle name="货币 2 2 3 8 5 6" xfId="37674" xr:uid="{00000000-0005-0000-0000-00005A930000}"/>
    <cellStyle name="货币 2 2 3 8 6" xfId="12099" xr:uid="{00000000-0005-0000-0000-0000732F0000}"/>
    <cellStyle name="货币 2 2 3 8 6 2" xfId="33273" xr:uid="{00000000-0005-0000-0000-000029820000}"/>
    <cellStyle name="货币 2 2 3 8 6 3" xfId="37675" xr:uid="{00000000-0005-0000-0000-00005B930000}"/>
    <cellStyle name="货币 2 2 3 8 6 4" xfId="37676" xr:uid="{00000000-0005-0000-0000-00005C930000}"/>
    <cellStyle name="货币 2 2 3 8 6 5" xfId="37677" xr:uid="{00000000-0005-0000-0000-00005D930000}"/>
    <cellStyle name="货币 2 2 3 8 6 6" xfId="37678" xr:uid="{00000000-0005-0000-0000-00005E930000}"/>
    <cellStyle name="货币 2 2 3 8 7" xfId="12103" xr:uid="{00000000-0005-0000-0000-0000772F0000}"/>
    <cellStyle name="货币 2 2 3 8 8" xfId="1732" xr:uid="{00000000-0005-0000-0000-0000F4060000}"/>
    <cellStyle name="货币 2 2 3 8 9" xfId="12108" xr:uid="{00000000-0005-0000-0000-00007C2F0000}"/>
    <cellStyle name="货币 2 2 3 9" xfId="37679" xr:uid="{00000000-0005-0000-0000-00005F930000}"/>
    <cellStyle name="货币 2 2 3 9 10" xfId="22528" xr:uid="{00000000-0005-0000-0000-000030580000}"/>
    <cellStyle name="货币 2 2 3 9 11" xfId="22604" xr:uid="{00000000-0005-0000-0000-00007C580000}"/>
    <cellStyle name="货币 2 2 3 9 12" xfId="22647" xr:uid="{00000000-0005-0000-0000-0000A7580000}"/>
    <cellStyle name="货币 2 2 3 9 13" xfId="22698" xr:uid="{00000000-0005-0000-0000-0000DA580000}"/>
    <cellStyle name="货币 2 2 3 9 14" xfId="22735" xr:uid="{00000000-0005-0000-0000-0000FF580000}"/>
    <cellStyle name="货币 2 2 3 9 15" xfId="35147" xr:uid="{00000000-0005-0000-0000-00007B890000}"/>
    <cellStyle name="货币 2 2 3 9 16" xfId="35149" xr:uid="{00000000-0005-0000-0000-00007D890000}"/>
    <cellStyle name="货币 2 2 3 9 17" xfId="35151" xr:uid="{00000000-0005-0000-0000-00007F890000}"/>
    <cellStyle name="货币 2 2 3 9 18" xfId="35153" xr:uid="{00000000-0005-0000-0000-000081890000}"/>
    <cellStyle name="货币 2 2 3 9 2" xfId="37680" xr:uid="{00000000-0005-0000-0000-000060930000}"/>
    <cellStyle name="货币 2 2 3 9 2 10" xfId="20849" xr:uid="{00000000-0005-0000-0000-0000A1510000}"/>
    <cellStyle name="货币 2 2 3 9 2 2" xfId="37681" xr:uid="{00000000-0005-0000-0000-000061930000}"/>
    <cellStyle name="货币 2 2 3 9 2 2 2" xfId="18638" xr:uid="{00000000-0005-0000-0000-0000FE480000}"/>
    <cellStyle name="货币 2 2 3 9 2 3" xfId="37682" xr:uid="{00000000-0005-0000-0000-000062930000}"/>
    <cellStyle name="货币 2 2 3 9 2 4" xfId="37683" xr:uid="{00000000-0005-0000-0000-000063930000}"/>
    <cellStyle name="货币 2 2 3 9 2 5" xfId="37684" xr:uid="{00000000-0005-0000-0000-000064930000}"/>
    <cellStyle name="货币 2 2 3 9 2 6" xfId="37685" xr:uid="{00000000-0005-0000-0000-000065930000}"/>
    <cellStyle name="货币 2 2 3 9 2 7" xfId="37686" xr:uid="{00000000-0005-0000-0000-000066930000}"/>
    <cellStyle name="货币 2 2 3 9 2 8" xfId="37687" xr:uid="{00000000-0005-0000-0000-000067930000}"/>
    <cellStyle name="货币 2 2 3 9 2 9" xfId="37688" xr:uid="{00000000-0005-0000-0000-000068930000}"/>
    <cellStyle name="货币 2 2 3 9 3" xfId="37689" xr:uid="{00000000-0005-0000-0000-000069930000}"/>
    <cellStyle name="货币 2 2 3 9 3 2" xfId="33298" xr:uid="{00000000-0005-0000-0000-000042820000}"/>
    <cellStyle name="货币 2 2 3 9 3 3" xfId="33300" xr:uid="{00000000-0005-0000-0000-000044820000}"/>
    <cellStyle name="货币 2 2 3 9 3 4" xfId="33302" xr:uid="{00000000-0005-0000-0000-000046820000}"/>
    <cellStyle name="货币 2 2 3 9 3 5" xfId="33304" xr:uid="{00000000-0005-0000-0000-000048820000}"/>
    <cellStyle name="货币 2 2 3 9 3 6" xfId="37690" xr:uid="{00000000-0005-0000-0000-00006A930000}"/>
    <cellStyle name="货币 2 2 3 9 4" xfId="12116" xr:uid="{00000000-0005-0000-0000-0000842F0000}"/>
    <cellStyle name="货币 2 2 3 9 4 2" xfId="33312" xr:uid="{00000000-0005-0000-0000-000050820000}"/>
    <cellStyle name="货币 2 2 3 9 4 3" xfId="37691" xr:uid="{00000000-0005-0000-0000-00006B930000}"/>
    <cellStyle name="货币 2 2 3 9 4 4" xfId="37692" xr:uid="{00000000-0005-0000-0000-00006C930000}"/>
    <cellStyle name="货币 2 2 3 9 4 5" xfId="37693" xr:uid="{00000000-0005-0000-0000-00006D930000}"/>
    <cellStyle name="货币 2 2 3 9 4 6" xfId="37694" xr:uid="{00000000-0005-0000-0000-00006E930000}"/>
    <cellStyle name="货币 2 2 3 9 5" xfId="12118" xr:uid="{00000000-0005-0000-0000-0000862F0000}"/>
    <cellStyle name="货币 2 2 3 9 5 2" xfId="37695" xr:uid="{00000000-0005-0000-0000-00006F930000}"/>
    <cellStyle name="货币 2 2 3 9 5 3" xfId="37696" xr:uid="{00000000-0005-0000-0000-000070930000}"/>
    <cellStyle name="货币 2 2 3 9 5 4" xfId="37697" xr:uid="{00000000-0005-0000-0000-000071930000}"/>
    <cellStyle name="货币 2 2 3 9 5 5" xfId="37698" xr:uid="{00000000-0005-0000-0000-000072930000}"/>
    <cellStyle name="货币 2 2 3 9 5 6" xfId="37699" xr:uid="{00000000-0005-0000-0000-000073930000}"/>
    <cellStyle name="货币 2 2 3 9 6" xfId="12120" xr:uid="{00000000-0005-0000-0000-0000882F0000}"/>
    <cellStyle name="货币 2 2 3 9 6 2" xfId="37702" xr:uid="{00000000-0005-0000-0000-000076930000}"/>
    <cellStyle name="货币 2 2 3 9 6 3" xfId="37705" xr:uid="{00000000-0005-0000-0000-000079930000}"/>
    <cellStyle name="货币 2 2 3 9 6 4" xfId="37707" xr:uid="{00000000-0005-0000-0000-00007B930000}"/>
    <cellStyle name="货币 2 2 3 9 6 5" xfId="37709" xr:uid="{00000000-0005-0000-0000-00007D930000}"/>
    <cellStyle name="货币 2 2 3 9 6 6" xfId="37711" xr:uid="{00000000-0005-0000-0000-00007F930000}"/>
    <cellStyle name="货币 2 2 3 9 7" xfId="12123" xr:uid="{00000000-0005-0000-0000-00008B2F0000}"/>
    <cellStyle name="货币 2 2 3 9 8" xfId="1758" xr:uid="{00000000-0005-0000-0000-00000E070000}"/>
    <cellStyle name="货币 2 2 3 9 9" xfId="37712" xr:uid="{00000000-0005-0000-0000-000080930000}"/>
    <cellStyle name="货币 2 2 30" xfId="30020" xr:uid="{00000000-0005-0000-0000-000074750000}"/>
    <cellStyle name="货币 2 2 31" xfId="36127" xr:uid="{00000000-0005-0000-0000-00004F8D0000}"/>
    <cellStyle name="货币 2 2 32" xfId="36130" xr:uid="{00000000-0005-0000-0000-0000528D0000}"/>
    <cellStyle name="货币 2 2 4" xfId="5837" xr:uid="{00000000-0005-0000-0000-0000FD160000}"/>
    <cellStyle name="货币 2 2 4 10" xfId="1987" xr:uid="{00000000-0005-0000-0000-0000F3070000}"/>
    <cellStyle name="货币 2 2 4 10 2" xfId="4663" xr:uid="{00000000-0005-0000-0000-000067120000}"/>
    <cellStyle name="货币 2 2 4 10 2 2" xfId="37713" xr:uid="{00000000-0005-0000-0000-000081930000}"/>
    <cellStyle name="货币 2 2 4 10 3" xfId="12216" xr:uid="{00000000-0005-0000-0000-0000E82F0000}"/>
    <cellStyle name="货币 2 2 4 10 4" xfId="12225" xr:uid="{00000000-0005-0000-0000-0000F12F0000}"/>
    <cellStyle name="货币 2 2 4 10 5" xfId="12234" xr:uid="{00000000-0005-0000-0000-0000FA2F0000}"/>
    <cellStyle name="货币 2 2 4 10 6" xfId="37714" xr:uid="{00000000-0005-0000-0000-000082930000}"/>
    <cellStyle name="货币 2 2 4 10 7" xfId="37715" xr:uid="{00000000-0005-0000-0000-000083930000}"/>
    <cellStyle name="货币 2 2 4 10 8" xfId="37716" xr:uid="{00000000-0005-0000-0000-000084930000}"/>
    <cellStyle name="货币 2 2 4 10 9" xfId="34758" xr:uid="{00000000-0005-0000-0000-0000F6870000}"/>
    <cellStyle name="货币 2 2 4 11" xfId="4684" xr:uid="{00000000-0005-0000-0000-00007C120000}"/>
    <cellStyle name="货币 2 2 4 11 2" xfId="4691" xr:uid="{00000000-0005-0000-0000-000083120000}"/>
    <cellStyle name="货币 2 2 4 11 2 2" xfId="37717" xr:uid="{00000000-0005-0000-0000-000085930000}"/>
    <cellStyle name="货币 2 2 4 11 3" xfId="12273" xr:uid="{00000000-0005-0000-0000-000021300000}"/>
    <cellStyle name="货币 2 2 4 11 4" xfId="12279" xr:uid="{00000000-0005-0000-0000-000027300000}"/>
    <cellStyle name="货币 2 2 4 11 5" xfId="11773" xr:uid="{00000000-0005-0000-0000-00002D2E0000}"/>
    <cellStyle name="货币 2 2 4 11 6" xfId="29839" xr:uid="{00000000-0005-0000-0000-0000BF740000}"/>
    <cellStyle name="货币 2 2 4 11 7" xfId="29841" xr:uid="{00000000-0005-0000-0000-0000C1740000}"/>
    <cellStyle name="货币 2 2 4 11 8" xfId="29844" xr:uid="{00000000-0005-0000-0000-0000C4740000}"/>
    <cellStyle name="货币 2 2 4 11 9" xfId="29848" xr:uid="{00000000-0005-0000-0000-0000C8740000}"/>
    <cellStyle name="货币 2 2 4 12" xfId="4713" xr:uid="{00000000-0005-0000-0000-000099120000}"/>
    <cellStyle name="货币 2 2 4 12 2" xfId="2672" xr:uid="{00000000-0005-0000-0000-0000A00A0000}"/>
    <cellStyle name="货币 2 2 4 12 3" xfId="9433" xr:uid="{00000000-0005-0000-0000-000009250000}"/>
    <cellStyle name="货币 2 2 4 12 4" xfId="16841" xr:uid="{00000000-0005-0000-0000-0000F9410000}"/>
    <cellStyle name="货币 2 2 4 12 5" xfId="16850" xr:uid="{00000000-0005-0000-0000-000002420000}"/>
    <cellStyle name="货币 2 2 4 12 6" xfId="30129" xr:uid="{00000000-0005-0000-0000-0000E1750000}"/>
    <cellStyle name="货币 2 2 4 13" xfId="1400" xr:uid="{00000000-0005-0000-0000-0000A8050000}"/>
    <cellStyle name="货币 2 2 4 13 2" xfId="4719" xr:uid="{00000000-0005-0000-0000-00009F120000}"/>
    <cellStyle name="货币 2 2 4 13 3" xfId="16853" xr:uid="{00000000-0005-0000-0000-000005420000}"/>
    <cellStyle name="货币 2 2 4 13 4" xfId="16857" xr:uid="{00000000-0005-0000-0000-000009420000}"/>
    <cellStyle name="货币 2 2 4 13 5" xfId="16860" xr:uid="{00000000-0005-0000-0000-00000C420000}"/>
    <cellStyle name="货币 2 2 4 13 6" xfId="37718" xr:uid="{00000000-0005-0000-0000-000086930000}"/>
    <cellStyle name="货币 2 2 4 14" xfId="4737" xr:uid="{00000000-0005-0000-0000-0000B1120000}"/>
    <cellStyle name="货币 2 2 4 14 2" xfId="4742" xr:uid="{00000000-0005-0000-0000-0000B6120000}"/>
    <cellStyle name="货币 2 2 4 14 3" xfId="27819" xr:uid="{00000000-0005-0000-0000-0000DB6C0000}"/>
    <cellStyle name="货币 2 2 4 14 4" xfId="37719" xr:uid="{00000000-0005-0000-0000-000087930000}"/>
    <cellStyle name="货币 2 2 4 14 5" xfId="9008" xr:uid="{00000000-0005-0000-0000-000060230000}"/>
    <cellStyle name="货币 2 2 4 14 6" xfId="37720" xr:uid="{00000000-0005-0000-0000-000088930000}"/>
    <cellStyle name="货币 2 2 4 15" xfId="4755" xr:uid="{00000000-0005-0000-0000-0000C3120000}"/>
    <cellStyle name="货币 2 2 4 16" xfId="4363" xr:uid="{00000000-0005-0000-0000-00003B110000}"/>
    <cellStyle name="货币 2 2 4 17" xfId="36669" xr:uid="{00000000-0005-0000-0000-00006D8F0000}"/>
    <cellStyle name="货币 2 2 4 18" xfId="25109" xr:uid="{00000000-0005-0000-0000-000045620000}"/>
    <cellStyle name="货币 2 2 4 19" xfId="25113" xr:uid="{00000000-0005-0000-0000-000049620000}"/>
    <cellStyle name="货币 2 2 4 2" xfId="5844" xr:uid="{00000000-0005-0000-0000-000004170000}"/>
    <cellStyle name="货币 2 2 4 2 10" xfId="37721" xr:uid="{00000000-0005-0000-0000-000089930000}"/>
    <cellStyle name="货币 2 2 4 2 10 2" xfId="12275" xr:uid="{00000000-0005-0000-0000-000023300000}"/>
    <cellStyle name="货币 2 2 4 2 10 3" xfId="12281" xr:uid="{00000000-0005-0000-0000-000029300000}"/>
    <cellStyle name="货币 2 2 4 2 10 4" xfId="11775" xr:uid="{00000000-0005-0000-0000-00002F2E0000}"/>
    <cellStyle name="货币 2 2 4 2 10 5" xfId="11784" xr:uid="{00000000-0005-0000-0000-0000382E0000}"/>
    <cellStyle name="货币 2 2 4 2 10 6" xfId="31678" xr:uid="{00000000-0005-0000-0000-0000EE7B0000}"/>
    <cellStyle name="货币 2 2 4 2 11" xfId="37722" xr:uid="{00000000-0005-0000-0000-00008A930000}"/>
    <cellStyle name="货币 2 2 4 2 11 2" xfId="9428" xr:uid="{00000000-0005-0000-0000-000004250000}"/>
    <cellStyle name="货币 2 2 4 2 11 3" xfId="16836" xr:uid="{00000000-0005-0000-0000-0000F4410000}"/>
    <cellStyle name="货币 2 2 4 2 11 4" xfId="16846" xr:uid="{00000000-0005-0000-0000-0000FE410000}"/>
    <cellStyle name="货币 2 2 4 2 11 5" xfId="17718" xr:uid="{00000000-0005-0000-0000-000066450000}"/>
    <cellStyle name="货币 2 2 4 2 11 6" xfId="17722" xr:uid="{00000000-0005-0000-0000-00006A450000}"/>
    <cellStyle name="货币 2 2 4 2 12" xfId="37723" xr:uid="{00000000-0005-0000-0000-00008B930000}"/>
    <cellStyle name="货币 2 2 4 2 13" xfId="35027" xr:uid="{00000000-0005-0000-0000-000003890000}"/>
    <cellStyle name="货币 2 2 4 2 14" xfId="37724" xr:uid="{00000000-0005-0000-0000-00008C930000}"/>
    <cellStyle name="货币 2 2 4 2 15" xfId="37725" xr:uid="{00000000-0005-0000-0000-00008D930000}"/>
    <cellStyle name="货币 2 2 4 2 16" xfId="37727" xr:uid="{00000000-0005-0000-0000-00008F930000}"/>
    <cellStyle name="货币 2 2 4 2 17" xfId="37731" xr:uid="{00000000-0005-0000-0000-000093930000}"/>
    <cellStyle name="货币 2 2 4 2 18" xfId="37734" xr:uid="{00000000-0005-0000-0000-000096930000}"/>
    <cellStyle name="货币 2 2 4 2 19" xfId="37737" xr:uid="{00000000-0005-0000-0000-000099930000}"/>
    <cellStyle name="货币 2 2 4 2 2" xfId="13066" xr:uid="{00000000-0005-0000-0000-00003A330000}"/>
    <cellStyle name="货币 2 2 4 2 2 10" xfId="37739" xr:uid="{00000000-0005-0000-0000-00009B930000}"/>
    <cellStyle name="货币 2 2 4 2 2 11" xfId="37740" xr:uid="{00000000-0005-0000-0000-00009C930000}"/>
    <cellStyle name="货币 2 2 4 2 2 12" xfId="37741" xr:uid="{00000000-0005-0000-0000-00009D930000}"/>
    <cellStyle name="货币 2 2 4 2 2 13" xfId="37742" xr:uid="{00000000-0005-0000-0000-00009E930000}"/>
    <cellStyle name="货币 2 2 4 2 2 14" xfId="37743" xr:uid="{00000000-0005-0000-0000-00009F930000}"/>
    <cellStyle name="货币 2 2 4 2 2 15" xfId="30163" xr:uid="{00000000-0005-0000-0000-000003760000}"/>
    <cellStyle name="货币 2 2 4 2 2 16" xfId="33440" xr:uid="{00000000-0005-0000-0000-0000D0820000}"/>
    <cellStyle name="货币 2 2 4 2 2 17" xfId="32345" xr:uid="{00000000-0005-0000-0000-0000897E0000}"/>
    <cellStyle name="货币 2 2 4 2 2 18" xfId="33448" xr:uid="{00000000-0005-0000-0000-0000D8820000}"/>
    <cellStyle name="货币 2 2 4 2 2 19" xfId="33451" xr:uid="{00000000-0005-0000-0000-0000DB820000}"/>
    <cellStyle name="货币 2 2 4 2 2 2" xfId="13069" xr:uid="{00000000-0005-0000-0000-00003D330000}"/>
    <cellStyle name="货币 2 2 4 2 2 2 10" xfId="19876" xr:uid="{00000000-0005-0000-0000-0000D44D0000}"/>
    <cellStyle name="货币 2 2 4 2 2 2 11" xfId="37744" xr:uid="{00000000-0005-0000-0000-0000A0930000}"/>
    <cellStyle name="货币 2 2 4 2 2 2 12" xfId="37745" xr:uid="{00000000-0005-0000-0000-0000A1930000}"/>
    <cellStyle name="货币 2 2 4 2 2 2 13" xfId="17288" xr:uid="{00000000-0005-0000-0000-0000B8430000}"/>
    <cellStyle name="货币 2 2 4 2 2 2 14" xfId="13842" xr:uid="{00000000-0005-0000-0000-000042360000}"/>
    <cellStyle name="货币 2 2 4 2 2 2 15" xfId="4331" xr:uid="{00000000-0005-0000-0000-00001B110000}"/>
    <cellStyle name="货币 2 2 4 2 2 2 2" xfId="15496" xr:uid="{00000000-0005-0000-0000-0000B83C0000}"/>
    <cellStyle name="货币 2 2 4 2 2 2 2 2" xfId="19889" xr:uid="{00000000-0005-0000-0000-0000E14D0000}"/>
    <cellStyle name="货币 2 2 4 2 2 2 2 2 2" xfId="37746" xr:uid="{00000000-0005-0000-0000-0000A2930000}"/>
    <cellStyle name="货币 2 2 4 2 2 2 2 3" xfId="19904" xr:uid="{00000000-0005-0000-0000-0000F04D0000}"/>
    <cellStyle name="货币 2 2 4 2 2 2 2 4" xfId="19911" xr:uid="{00000000-0005-0000-0000-0000F74D0000}"/>
    <cellStyle name="货币 2 2 4 2 2 2 2 5" xfId="19917" xr:uid="{00000000-0005-0000-0000-0000FD4D0000}"/>
    <cellStyle name="货币 2 2 4 2 2 2 2 6" xfId="19926" xr:uid="{00000000-0005-0000-0000-0000064E0000}"/>
    <cellStyle name="货币 2 2 4 2 2 2 2 7" xfId="19931" xr:uid="{00000000-0005-0000-0000-00000B4E0000}"/>
    <cellStyle name="货币 2 2 4 2 2 2 2 8" xfId="19937" xr:uid="{00000000-0005-0000-0000-0000114E0000}"/>
    <cellStyle name="货币 2 2 4 2 2 2 2 9" xfId="37594" xr:uid="{00000000-0005-0000-0000-00000A930000}"/>
    <cellStyle name="货币 2 2 4 2 2 2 3" xfId="37747" xr:uid="{00000000-0005-0000-0000-0000A3930000}"/>
    <cellStyle name="货币 2 2 4 2 2 2 3 2" xfId="19951" xr:uid="{00000000-0005-0000-0000-00001F4E0000}"/>
    <cellStyle name="货币 2 2 4 2 2 2 3 3" xfId="19962" xr:uid="{00000000-0005-0000-0000-00002A4E0000}"/>
    <cellStyle name="货币 2 2 4 2 2 2 3 4" xfId="16933" xr:uid="{00000000-0005-0000-0000-000055420000}"/>
    <cellStyle name="货币 2 2 4 2 2 2 3 5" xfId="12538" xr:uid="{00000000-0005-0000-0000-00002A310000}"/>
    <cellStyle name="货币 2 2 4 2 2 2 3 6" xfId="37597" xr:uid="{00000000-0005-0000-0000-00000D930000}"/>
    <cellStyle name="货币 2 2 4 2 2 2 4" xfId="37748" xr:uid="{00000000-0005-0000-0000-0000A4930000}"/>
    <cellStyle name="货币 2 2 4 2 2 2 4 2" xfId="8873" xr:uid="{00000000-0005-0000-0000-0000D9220000}"/>
    <cellStyle name="货币 2 2 4 2 2 2 5" xfId="37749" xr:uid="{00000000-0005-0000-0000-0000A5930000}"/>
    <cellStyle name="货币 2 2 4 2 2 2 6" xfId="37750" xr:uid="{00000000-0005-0000-0000-0000A6930000}"/>
    <cellStyle name="货币 2 2 4 2 2 2 7" xfId="37751" xr:uid="{00000000-0005-0000-0000-0000A7930000}"/>
    <cellStyle name="货币 2 2 4 2 2 2 8" xfId="37752" xr:uid="{00000000-0005-0000-0000-0000A8930000}"/>
    <cellStyle name="货币 2 2 4 2 2 2 9" xfId="16145" xr:uid="{00000000-0005-0000-0000-0000413F0000}"/>
    <cellStyle name="货币 2 2 4 2 2 3" xfId="13072" xr:uid="{00000000-0005-0000-0000-000040330000}"/>
    <cellStyle name="货币 2 2 4 2 2 3 10" xfId="1582" xr:uid="{00000000-0005-0000-0000-00005E060000}"/>
    <cellStyle name="货币 2 2 4 2 2 3 11" xfId="4207" xr:uid="{00000000-0005-0000-0000-00009F100000}"/>
    <cellStyle name="货币 2 2 4 2 2 3 12" xfId="5193" xr:uid="{00000000-0005-0000-0000-000079140000}"/>
    <cellStyle name="货币 2 2 4 2 2 3 2" xfId="33225" xr:uid="{00000000-0005-0000-0000-0000F9810000}"/>
    <cellStyle name="货币 2 2 4 2 2 3 2 2" xfId="20065" xr:uid="{00000000-0005-0000-0000-0000914E0000}"/>
    <cellStyle name="货币 2 2 4 2 2 3 2 2 2" xfId="20074" xr:uid="{00000000-0005-0000-0000-00009A4E0000}"/>
    <cellStyle name="货币 2 2 4 2 2 3 2 3" xfId="20076" xr:uid="{00000000-0005-0000-0000-00009C4E0000}"/>
    <cellStyle name="货币 2 2 4 2 2 3 2 4" xfId="20081" xr:uid="{00000000-0005-0000-0000-0000A14E0000}"/>
    <cellStyle name="货币 2 2 4 2 2 3 2 5" xfId="20086" xr:uid="{00000000-0005-0000-0000-0000A64E0000}"/>
    <cellStyle name="货币 2 2 4 2 2 3 3" xfId="33228" xr:uid="{00000000-0005-0000-0000-0000FC810000}"/>
    <cellStyle name="货币 2 2 4 2 2 3 3 2" xfId="20121" xr:uid="{00000000-0005-0000-0000-0000C94E0000}"/>
    <cellStyle name="货币 2 2 4 2 2 3 4" xfId="33231" xr:uid="{00000000-0005-0000-0000-0000FF810000}"/>
    <cellStyle name="货币 2 2 4 2 2 3 5" xfId="33234" xr:uid="{00000000-0005-0000-0000-000002820000}"/>
    <cellStyle name="货币 2 2 4 2 2 3 6" xfId="37753" xr:uid="{00000000-0005-0000-0000-0000A9930000}"/>
    <cellStyle name="货币 2 2 4 2 2 3 7" xfId="37754" xr:uid="{00000000-0005-0000-0000-0000AA930000}"/>
    <cellStyle name="货币 2 2 4 2 2 3 8" xfId="37755" xr:uid="{00000000-0005-0000-0000-0000AB930000}"/>
    <cellStyle name="货币 2 2 4 2 2 3 9" xfId="37756" xr:uid="{00000000-0005-0000-0000-0000AC930000}"/>
    <cellStyle name="货币 2 2 4 2 2 4" xfId="13075" xr:uid="{00000000-0005-0000-0000-000043330000}"/>
    <cellStyle name="货币 2 2 4 2 2 4 10" xfId="5321" xr:uid="{00000000-0005-0000-0000-0000F9140000}"/>
    <cellStyle name="货币 2 2 4 2 2 4 2" xfId="6100" xr:uid="{00000000-0005-0000-0000-000004180000}"/>
    <cellStyle name="货币 2 2 4 2 2 4 2 2" xfId="6110" xr:uid="{00000000-0005-0000-0000-00000E180000}"/>
    <cellStyle name="货币 2 2 4 2 2 4 2 2 2" xfId="20158" xr:uid="{00000000-0005-0000-0000-0000EE4E0000}"/>
    <cellStyle name="货币 2 2 4 2 2 4 2 3" xfId="20161" xr:uid="{00000000-0005-0000-0000-0000F14E0000}"/>
    <cellStyle name="货币 2 2 4 2 2 4 2 4" xfId="20166" xr:uid="{00000000-0005-0000-0000-0000F64E0000}"/>
    <cellStyle name="货币 2 2 4 2 2 4 2 5" xfId="20171" xr:uid="{00000000-0005-0000-0000-0000FB4E0000}"/>
    <cellStyle name="货币 2 2 4 2 2 4 3" xfId="33276" xr:uid="{00000000-0005-0000-0000-00002C820000}"/>
    <cellStyle name="货币 2 2 4 2 2 4 3 2" xfId="6141" xr:uid="{00000000-0005-0000-0000-00002D180000}"/>
    <cellStyle name="货币 2 2 4 2 2 4 4" xfId="33279" xr:uid="{00000000-0005-0000-0000-00002F820000}"/>
    <cellStyle name="货币 2 2 4 2 2 4 5" xfId="33281" xr:uid="{00000000-0005-0000-0000-000031820000}"/>
    <cellStyle name="货币 2 2 4 2 2 4 6" xfId="37757" xr:uid="{00000000-0005-0000-0000-0000AD930000}"/>
    <cellStyle name="货币 2 2 4 2 2 4 7" xfId="37758" xr:uid="{00000000-0005-0000-0000-0000AE930000}"/>
    <cellStyle name="货币 2 2 4 2 2 4 8" xfId="37759" xr:uid="{00000000-0005-0000-0000-0000AF930000}"/>
    <cellStyle name="货币 2 2 4 2 2 4 9" xfId="37760" xr:uid="{00000000-0005-0000-0000-0000B0930000}"/>
    <cellStyle name="货币 2 2 4 2 2 5" xfId="13078" xr:uid="{00000000-0005-0000-0000-000046330000}"/>
    <cellStyle name="货币 2 2 4 2 2 5 10" xfId="34067" xr:uid="{00000000-0005-0000-0000-000043850000}"/>
    <cellStyle name="货币 2 2 4 2 2 5 2" xfId="33318" xr:uid="{00000000-0005-0000-0000-000056820000}"/>
    <cellStyle name="货币 2 2 4 2 2 5 2 2" xfId="20203" xr:uid="{00000000-0005-0000-0000-00001B4F0000}"/>
    <cellStyle name="货币 2 2 4 2 2 5 2 2 2" xfId="549" xr:uid="{00000000-0005-0000-0000-000049020000}"/>
    <cellStyle name="货币 2 2 4 2 2 5 2 3" xfId="20206" xr:uid="{00000000-0005-0000-0000-00001E4F0000}"/>
    <cellStyle name="货币 2 2 4 2 2 5 2 4" xfId="20209" xr:uid="{00000000-0005-0000-0000-0000214F0000}"/>
    <cellStyle name="货币 2 2 4 2 2 5 2 5" xfId="20212" xr:uid="{00000000-0005-0000-0000-0000244F0000}"/>
    <cellStyle name="货币 2 2 4 2 2 5 3" xfId="33320" xr:uid="{00000000-0005-0000-0000-000058820000}"/>
    <cellStyle name="货币 2 2 4 2 2 5 3 2" xfId="20224" xr:uid="{00000000-0005-0000-0000-0000304F0000}"/>
    <cellStyle name="货币 2 2 4 2 2 5 4" xfId="33322" xr:uid="{00000000-0005-0000-0000-00005A820000}"/>
    <cellStyle name="货币 2 2 4 2 2 5 5" xfId="10222" xr:uid="{00000000-0005-0000-0000-00001E280000}"/>
    <cellStyle name="货币 2 2 4 2 2 5 6" xfId="10230" xr:uid="{00000000-0005-0000-0000-000026280000}"/>
    <cellStyle name="货币 2 2 4 2 2 5 7" xfId="1924" xr:uid="{00000000-0005-0000-0000-0000B4070000}"/>
    <cellStyle name="货币 2 2 4 2 2 5 8" xfId="2547" xr:uid="{00000000-0005-0000-0000-0000230A0000}"/>
    <cellStyle name="货币 2 2 4 2 2 5 9" xfId="37761" xr:uid="{00000000-0005-0000-0000-0000B1930000}"/>
    <cellStyle name="货币 2 2 4 2 2 6" xfId="13081" xr:uid="{00000000-0005-0000-0000-000049330000}"/>
    <cellStyle name="货币 2 2 4 2 2 6 2" xfId="7556" xr:uid="{00000000-0005-0000-0000-0000B41D0000}"/>
    <cellStyle name="货币 2 2 4 2 2 6 2 2" xfId="10681" xr:uid="{00000000-0005-0000-0000-0000E9290000}"/>
    <cellStyle name="货币 2 2 4 2 2 6 3" xfId="7574" xr:uid="{00000000-0005-0000-0000-0000C61D0000}"/>
    <cellStyle name="货币 2 2 4 2 2 6 4" xfId="7588" xr:uid="{00000000-0005-0000-0000-0000D41D0000}"/>
    <cellStyle name="货币 2 2 4 2 2 6 5" xfId="7793" xr:uid="{00000000-0005-0000-0000-0000A11E0000}"/>
    <cellStyle name="货币 2 2 4 2 2 6 6" xfId="7807" xr:uid="{00000000-0005-0000-0000-0000AF1E0000}"/>
    <cellStyle name="货币 2 2 4 2 2 6 7" xfId="880" xr:uid="{00000000-0005-0000-0000-0000A0030000}"/>
    <cellStyle name="货币 2 2 4 2 2 6 8" xfId="901" xr:uid="{00000000-0005-0000-0000-0000B5030000}"/>
    <cellStyle name="货币 2 2 4 2 2 6 9" xfId="11573" xr:uid="{00000000-0005-0000-0000-0000652D0000}"/>
    <cellStyle name="货币 2 2 4 2 2 7" xfId="37762" xr:uid="{00000000-0005-0000-0000-0000B2930000}"/>
    <cellStyle name="货币 2 2 4 2 2 7 2" xfId="2975" xr:uid="{00000000-0005-0000-0000-0000CF0B0000}"/>
    <cellStyle name="货币 2 2 4 2 2 7 3" xfId="169" xr:uid="{00000000-0005-0000-0000-0000B5000000}"/>
    <cellStyle name="货币 2 2 4 2 2 7 4" xfId="7603" xr:uid="{00000000-0005-0000-0000-0000E31D0000}"/>
    <cellStyle name="货币 2 2 4 2 2 7 5" xfId="7820" xr:uid="{00000000-0005-0000-0000-0000BC1E0000}"/>
    <cellStyle name="货币 2 2 4 2 2 7 6" xfId="11618" xr:uid="{00000000-0005-0000-0000-0000922D0000}"/>
    <cellStyle name="货币 2 2 4 2 2 8" xfId="37763" xr:uid="{00000000-0005-0000-0000-0000B3930000}"/>
    <cellStyle name="货币 2 2 4 2 2 9" xfId="32436" xr:uid="{00000000-0005-0000-0000-0000E47E0000}"/>
    <cellStyle name="货币 2 2 4 2 20" xfId="37726" xr:uid="{00000000-0005-0000-0000-00008E930000}"/>
    <cellStyle name="货币 2 2 4 2 21" xfId="37728" xr:uid="{00000000-0005-0000-0000-000090930000}"/>
    <cellStyle name="货币 2 2 4 2 22" xfId="37732" xr:uid="{00000000-0005-0000-0000-000094930000}"/>
    <cellStyle name="货币 2 2 4 2 23" xfId="37735" xr:uid="{00000000-0005-0000-0000-000097930000}"/>
    <cellStyle name="货币 2 2 4 2 3" xfId="13084" xr:uid="{00000000-0005-0000-0000-00004C330000}"/>
    <cellStyle name="货币 2 2 4 2 3 10" xfId="20262" xr:uid="{00000000-0005-0000-0000-0000564F0000}"/>
    <cellStyle name="货币 2 2 4 2 3 11" xfId="20295" xr:uid="{00000000-0005-0000-0000-0000774F0000}"/>
    <cellStyle name="货币 2 2 4 2 3 12" xfId="32" xr:uid="{00000000-0005-0000-0000-000022000000}"/>
    <cellStyle name="货币 2 2 4 2 3 13" xfId="20311" xr:uid="{00000000-0005-0000-0000-0000874F0000}"/>
    <cellStyle name="货币 2 2 4 2 3 14" xfId="37488" xr:uid="{00000000-0005-0000-0000-0000A0920000}"/>
    <cellStyle name="货币 2 2 4 2 3 15" xfId="37490" xr:uid="{00000000-0005-0000-0000-0000A2920000}"/>
    <cellStyle name="货币 2 2 4 2 3 16" xfId="37492" xr:uid="{00000000-0005-0000-0000-0000A4920000}"/>
    <cellStyle name="货币 2 2 4 2 3 17" xfId="33641" xr:uid="{00000000-0005-0000-0000-000099830000}"/>
    <cellStyle name="货币 2 2 4 2 3 18" xfId="20321" xr:uid="{00000000-0005-0000-0000-0000914F0000}"/>
    <cellStyle name="货币 2 2 4 2 3 2" xfId="13088" xr:uid="{00000000-0005-0000-0000-000050330000}"/>
    <cellStyle name="货币 2 2 4 2 3 2 10" xfId="20327" xr:uid="{00000000-0005-0000-0000-0000974F0000}"/>
    <cellStyle name="货币 2 2 4 2 3 2 2" xfId="15840" xr:uid="{00000000-0005-0000-0000-0000103E0000}"/>
    <cellStyle name="货币 2 2 4 2 3 2 2 2" xfId="20354" xr:uid="{00000000-0005-0000-0000-0000B24F0000}"/>
    <cellStyle name="货币 2 2 4 2 3 2 3" xfId="37764" xr:uid="{00000000-0005-0000-0000-0000B4930000}"/>
    <cellStyle name="货币 2 2 4 2 3 2 4" xfId="29602" xr:uid="{00000000-0005-0000-0000-0000D2730000}"/>
    <cellStyle name="货币 2 2 4 2 3 2 5" xfId="29684" xr:uid="{00000000-0005-0000-0000-000024740000}"/>
    <cellStyle name="货币 2 2 4 2 3 2 6" xfId="29687" xr:uid="{00000000-0005-0000-0000-000027740000}"/>
    <cellStyle name="货币 2 2 4 2 3 2 7" xfId="29689" xr:uid="{00000000-0005-0000-0000-000029740000}"/>
    <cellStyle name="货币 2 2 4 2 3 2 8" xfId="29692" xr:uid="{00000000-0005-0000-0000-00002C740000}"/>
    <cellStyle name="货币 2 2 4 2 3 2 9" xfId="29694" xr:uid="{00000000-0005-0000-0000-00002E740000}"/>
    <cellStyle name="货币 2 2 4 2 3 3" xfId="13091" xr:uid="{00000000-0005-0000-0000-000053330000}"/>
    <cellStyle name="货币 2 2 4 2 3 3 2" xfId="33381" xr:uid="{00000000-0005-0000-0000-000095820000}"/>
    <cellStyle name="货币 2 2 4 2 3 3 3" xfId="33384" xr:uid="{00000000-0005-0000-0000-000098820000}"/>
    <cellStyle name="货币 2 2 4 2 3 3 4" xfId="33387" xr:uid="{00000000-0005-0000-0000-00009B820000}"/>
    <cellStyle name="货币 2 2 4 2 3 3 5" xfId="33390" xr:uid="{00000000-0005-0000-0000-00009E820000}"/>
    <cellStyle name="货币 2 2 4 2 3 3 6" xfId="37765" xr:uid="{00000000-0005-0000-0000-0000B5930000}"/>
    <cellStyle name="货币 2 2 4 2 3 4" xfId="13094" xr:uid="{00000000-0005-0000-0000-000056330000}"/>
    <cellStyle name="货币 2 2 4 2 3 4 2" xfId="6650" xr:uid="{00000000-0005-0000-0000-00002A1A0000}"/>
    <cellStyle name="货币 2 2 4 2 3 4 3" xfId="33400" xr:uid="{00000000-0005-0000-0000-0000A8820000}"/>
    <cellStyle name="货币 2 2 4 2 3 4 4" xfId="33403" xr:uid="{00000000-0005-0000-0000-0000AB820000}"/>
    <cellStyle name="货币 2 2 4 2 3 4 5" xfId="33405" xr:uid="{00000000-0005-0000-0000-0000AD820000}"/>
    <cellStyle name="货币 2 2 4 2 3 4 6" xfId="37767" xr:uid="{00000000-0005-0000-0000-0000B7930000}"/>
    <cellStyle name="货币 2 2 4 2 3 5" xfId="13098" xr:uid="{00000000-0005-0000-0000-00005A330000}"/>
    <cellStyle name="货币 2 2 4 2 3 5 2" xfId="33418" xr:uid="{00000000-0005-0000-0000-0000BA820000}"/>
    <cellStyle name="货币 2 2 4 2 3 5 3" xfId="33421" xr:uid="{00000000-0005-0000-0000-0000BD820000}"/>
    <cellStyle name="货币 2 2 4 2 3 5 4" xfId="13347" xr:uid="{00000000-0005-0000-0000-000053340000}"/>
    <cellStyle name="货币 2 2 4 2 3 5 5" xfId="11846" xr:uid="{00000000-0005-0000-0000-0000762E0000}"/>
    <cellStyle name="货币 2 2 4 2 3 5 6" xfId="2821" xr:uid="{00000000-0005-0000-0000-0000350B0000}"/>
    <cellStyle name="货币 2 2 4 2 3 6" xfId="13101" xr:uid="{00000000-0005-0000-0000-00005D330000}"/>
    <cellStyle name="货币 2 2 4 2 3 6 2" xfId="7913" xr:uid="{00000000-0005-0000-0000-0000191F0000}"/>
    <cellStyle name="货币 2 2 4 2 3 6 3" xfId="7927" xr:uid="{00000000-0005-0000-0000-0000271F0000}"/>
    <cellStyle name="货币 2 2 4 2 3 6 4" xfId="7931" xr:uid="{00000000-0005-0000-0000-00002B1F0000}"/>
    <cellStyle name="货币 2 2 4 2 3 6 5" xfId="7940" xr:uid="{00000000-0005-0000-0000-0000341F0000}"/>
    <cellStyle name="货币 2 2 4 2 3 6 6" xfId="1158" xr:uid="{00000000-0005-0000-0000-0000B6040000}"/>
    <cellStyle name="货币 2 2 4 2 3 7" xfId="20719" xr:uid="{00000000-0005-0000-0000-00001F510000}"/>
    <cellStyle name="货币 2 2 4 2 3 8" xfId="20729" xr:uid="{00000000-0005-0000-0000-000029510000}"/>
    <cellStyle name="货币 2 2 4 2 3 9" xfId="20736" xr:uid="{00000000-0005-0000-0000-000030510000}"/>
    <cellStyle name="货币 2 2 4 2 4" xfId="13109" xr:uid="{00000000-0005-0000-0000-000065330000}"/>
    <cellStyle name="货币 2 2 4 2 4 10" xfId="2443" xr:uid="{00000000-0005-0000-0000-0000BB090000}"/>
    <cellStyle name="货币 2 2 4 2 4 11" xfId="1693" xr:uid="{00000000-0005-0000-0000-0000CD060000}"/>
    <cellStyle name="货币 2 2 4 2 4 12" xfId="1719" xr:uid="{00000000-0005-0000-0000-0000E7060000}"/>
    <cellStyle name="货币 2 2 4 2 4 13" xfId="1752" xr:uid="{00000000-0005-0000-0000-000008070000}"/>
    <cellStyle name="货币 2 2 4 2 4 14" xfId="1775" xr:uid="{00000000-0005-0000-0000-00001F070000}"/>
    <cellStyle name="货币 2 2 4 2 4 15" xfId="47" xr:uid="{00000000-0005-0000-0000-000032000000}"/>
    <cellStyle name="货币 2 2 4 2 4 2" xfId="37768" xr:uid="{00000000-0005-0000-0000-0000B8930000}"/>
    <cellStyle name="货币 2 2 4 2 4 2 2" xfId="37769" xr:uid="{00000000-0005-0000-0000-0000B9930000}"/>
    <cellStyle name="货币 2 2 4 2 4 2 2 2" xfId="20760" xr:uid="{00000000-0005-0000-0000-000048510000}"/>
    <cellStyle name="货币 2 2 4 2 4 2 3" xfId="37770" xr:uid="{00000000-0005-0000-0000-0000BA930000}"/>
    <cellStyle name="货币 2 2 4 2 4 2 4" xfId="32447" xr:uid="{00000000-0005-0000-0000-0000EF7E0000}"/>
    <cellStyle name="货币 2 2 4 2 4 2 5" xfId="32449" xr:uid="{00000000-0005-0000-0000-0000F17E0000}"/>
    <cellStyle name="货币 2 2 4 2 4 2 6" xfId="37771" xr:uid="{00000000-0005-0000-0000-0000BB930000}"/>
    <cellStyle name="货币 2 2 4 2 4 2 7" xfId="37772" xr:uid="{00000000-0005-0000-0000-0000BC930000}"/>
    <cellStyle name="货币 2 2 4 2 4 2 8" xfId="37773" xr:uid="{00000000-0005-0000-0000-0000BD930000}"/>
    <cellStyle name="货币 2 2 4 2 4 2 9" xfId="33970" xr:uid="{00000000-0005-0000-0000-0000E2840000}"/>
    <cellStyle name="货币 2 2 4 2 4 3" xfId="37774" xr:uid="{00000000-0005-0000-0000-0000BE930000}"/>
    <cellStyle name="货币 2 2 4 2 4 3 2" xfId="33453" xr:uid="{00000000-0005-0000-0000-0000DD820000}"/>
    <cellStyle name="货币 2 2 4 2 4 3 3" xfId="33457" xr:uid="{00000000-0005-0000-0000-0000E1820000}"/>
    <cellStyle name="货币 2 2 4 2 4 3 4" xfId="32453" xr:uid="{00000000-0005-0000-0000-0000F57E0000}"/>
    <cellStyle name="货币 2 2 4 2 4 3 5" xfId="33461" xr:uid="{00000000-0005-0000-0000-0000E5820000}"/>
    <cellStyle name="货币 2 2 4 2 4 3 6" xfId="37775" xr:uid="{00000000-0005-0000-0000-0000BF930000}"/>
    <cellStyle name="货币 2 2 4 2 4 4" xfId="37776" xr:uid="{00000000-0005-0000-0000-0000C0930000}"/>
    <cellStyle name="货币 2 2 4 2 4 4 2" xfId="1505" xr:uid="{00000000-0005-0000-0000-000011060000}"/>
    <cellStyle name="货币 2 2 4 2 4 5" xfId="37777" xr:uid="{00000000-0005-0000-0000-0000C1930000}"/>
    <cellStyle name="货币 2 2 4 2 4 6" xfId="20946" xr:uid="{00000000-0005-0000-0000-000002520000}"/>
    <cellStyle name="货币 2 2 4 2 4 7" xfId="20951" xr:uid="{00000000-0005-0000-0000-000007520000}"/>
    <cellStyle name="货币 2 2 4 2 4 8" xfId="20956" xr:uid="{00000000-0005-0000-0000-00000C520000}"/>
    <cellStyle name="货币 2 2 4 2 4 9" xfId="19034" xr:uid="{00000000-0005-0000-0000-00008A4A0000}"/>
    <cellStyle name="货币 2 2 4 2 5" xfId="13111" xr:uid="{00000000-0005-0000-0000-000067330000}"/>
    <cellStyle name="货币 2 2 4 2 5 10" xfId="37778" xr:uid="{00000000-0005-0000-0000-0000C2930000}"/>
    <cellStyle name="货币 2 2 4 2 5 11" xfId="862" xr:uid="{00000000-0005-0000-0000-00008E030000}"/>
    <cellStyle name="货币 2 2 4 2 5 12" xfId="37779" xr:uid="{00000000-0005-0000-0000-0000C3930000}"/>
    <cellStyle name="货币 2 2 4 2 5 13" xfId="37780" xr:uid="{00000000-0005-0000-0000-0000C4930000}"/>
    <cellStyle name="货币 2 2 4 2 5 2" xfId="37781" xr:uid="{00000000-0005-0000-0000-0000C5930000}"/>
    <cellStyle name="货币 2 2 4 2 5 2 2" xfId="146" xr:uid="{00000000-0005-0000-0000-00009E000000}"/>
    <cellStyle name="货币 2 2 4 2 5 2 2 2" xfId="26050" xr:uid="{00000000-0005-0000-0000-0000F2650000}"/>
    <cellStyle name="货币 2 2 4 2 5 2 3" xfId="3903" xr:uid="{00000000-0005-0000-0000-00006F0F0000}"/>
    <cellStyle name="货币 2 2 4 2 5 2 4" xfId="32469" xr:uid="{00000000-0005-0000-0000-0000057F0000}"/>
    <cellStyle name="货币 2 2 4 2 5 2 5" xfId="37783" xr:uid="{00000000-0005-0000-0000-0000C7930000}"/>
    <cellStyle name="货币 2 2 4 2 5 2 6" xfId="37785" xr:uid="{00000000-0005-0000-0000-0000C9930000}"/>
    <cellStyle name="货币 2 2 4 2 5 2 7" xfId="37787" xr:uid="{00000000-0005-0000-0000-0000CB930000}"/>
    <cellStyle name="货币 2 2 4 2 5 2 8" xfId="37789" xr:uid="{00000000-0005-0000-0000-0000CD930000}"/>
    <cellStyle name="货币 2 2 4 2 5 2 9" xfId="33988" xr:uid="{00000000-0005-0000-0000-0000F4840000}"/>
    <cellStyle name="货币 2 2 4 2 5 3" xfId="37790" xr:uid="{00000000-0005-0000-0000-0000CE930000}"/>
    <cellStyle name="货币 2 2 4 2 5 3 2" xfId="23833" xr:uid="{00000000-0005-0000-0000-0000495D0000}"/>
    <cellStyle name="货币 2 2 4 2 5 3 3" xfId="3999" xr:uid="{00000000-0005-0000-0000-0000CF0F0000}"/>
    <cellStyle name="货币 2 2 4 2 5 3 4" xfId="33495" xr:uid="{00000000-0005-0000-0000-000007830000}"/>
    <cellStyle name="货币 2 2 4 2 5 3 5" xfId="33497" xr:uid="{00000000-0005-0000-0000-000009830000}"/>
    <cellStyle name="货币 2 2 4 2 5 3 6" xfId="37791" xr:uid="{00000000-0005-0000-0000-0000CF930000}"/>
    <cellStyle name="货币 2 2 4 2 5 4" xfId="37792" xr:uid="{00000000-0005-0000-0000-0000D0930000}"/>
    <cellStyle name="货币 2 2 4 2 5 4 2" xfId="338" xr:uid="{00000000-0005-0000-0000-000069010000}"/>
    <cellStyle name="货币 2 2 4 2 5 5" xfId="37794" xr:uid="{00000000-0005-0000-0000-0000D2930000}"/>
    <cellStyle name="货币 2 2 4 2 5 6" xfId="26797" xr:uid="{00000000-0005-0000-0000-0000DD680000}"/>
    <cellStyle name="货币 2 2 4 2 5 7" xfId="26801" xr:uid="{00000000-0005-0000-0000-0000E1680000}"/>
    <cellStyle name="货币 2 2 4 2 5 8" xfId="26805" xr:uid="{00000000-0005-0000-0000-0000E5680000}"/>
    <cellStyle name="货币 2 2 4 2 5 9" xfId="19052" xr:uid="{00000000-0005-0000-0000-00009C4A0000}"/>
    <cellStyle name="货币 2 2 4 2 6" xfId="13115" xr:uid="{00000000-0005-0000-0000-00006B330000}"/>
    <cellStyle name="货币 2 2 4 2 6 10" xfId="37795" xr:uid="{00000000-0005-0000-0000-0000D3930000}"/>
    <cellStyle name="货币 2 2 4 2 6 11" xfId="37796" xr:uid="{00000000-0005-0000-0000-0000D4930000}"/>
    <cellStyle name="货币 2 2 4 2 6 12" xfId="37797" xr:uid="{00000000-0005-0000-0000-0000D5930000}"/>
    <cellStyle name="货币 2 2 4 2 6 2" xfId="37798" xr:uid="{00000000-0005-0000-0000-0000D6930000}"/>
    <cellStyle name="货币 2 2 4 2 6 2 2" xfId="37799" xr:uid="{00000000-0005-0000-0000-0000D7930000}"/>
    <cellStyle name="货币 2 2 4 2 6 2 2 2" xfId="34780" xr:uid="{00000000-0005-0000-0000-00000C880000}"/>
    <cellStyle name="货币 2 2 4 2 6 2 3" xfId="37800" xr:uid="{00000000-0005-0000-0000-0000D8930000}"/>
    <cellStyle name="货币 2 2 4 2 6 2 4" xfId="32476" xr:uid="{00000000-0005-0000-0000-00000C7F0000}"/>
    <cellStyle name="货币 2 2 4 2 6 2 5" xfId="37801" xr:uid="{00000000-0005-0000-0000-0000D9930000}"/>
    <cellStyle name="货币 2 2 4 2 6 2 6" xfId="37802" xr:uid="{00000000-0005-0000-0000-0000DA930000}"/>
    <cellStyle name="货币 2 2 4 2 6 2 7" xfId="37803" xr:uid="{00000000-0005-0000-0000-0000DB930000}"/>
    <cellStyle name="货币 2 2 4 2 6 2 8" xfId="37804" xr:uid="{00000000-0005-0000-0000-0000DC930000}"/>
    <cellStyle name="货币 2 2 4 2 6 2 9" xfId="37806" xr:uid="{00000000-0005-0000-0000-0000DE930000}"/>
    <cellStyle name="货币 2 2 4 2 6 3" xfId="37807" xr:uid="{00000000-0005-0000-0000-0000DF930000}"/>
    <cellStyle name="货币 2 2 4 2 6 3 2" xfId="33529" xr:uid="{00000000-0005-0000-0000-000029830000}"/>
    <cellStyle name="货币 2 2 4 2 6 3 3" xfId="33532" xr:uid="{00000000-0005-0000-0000-00002C830000}"/>
    <cellStyle name="货币 2 2 4 2 6 3 4" xfId="33536" xr:uid="{00000000-0005-0000-0000-000030830000}"/>
    <cellStyle name="货币 2 2 4 2 6 3 5" xfId="33539" xr:uid="{00000000-0005-0000-0000-000033830000}"/>
    <cellStyle name="货币 2 2 4 2 6 3 6" xfId="37808" xr:uid="{00000000-0005-0000-0000-0000E0930000}"/>
    <cellStyle name="货币 2 2 4 2 6 4" xfId="37809" xr:uid="{00000000-0005-0000-0000-0000E1930000}"/>
    <cellStyle name="货币 2 2 4 2 6 4 2" xfId="4106" xr:uid="{00000000-0005-0000-0000-00003A100000}"/>
    <cellStyle name="货币 2 2 4 2 6 5" xfId="37811" xr:uid="{00000000-0005-0000-0000-0000E3930000}"/>
    <cellStyle name="货币 2 2 4 2 6 6" xfId="26809" xr:uid="{00000000-0005-0000-0000-0000E9680000}"/>
    <cellStyle name="货币 2 2 4 2 6 7" xfId="26812" xr:uid="{00000000-0005-0000-0000-0000EC680000}"/>
    <cellStyle name="货币 2 2 4 2 6 8" xfId="15427" xr:uid="{00000000-0005-0000-0000-0000733C0000}"/>
    <cellStyle name="货币 2 2 4 2 6 9" xfId="18416" xr:uid="{00000000-0005-0000-0000-000020480000}"/>
    <cellStyle name="货币 2 2 4 2 7" xfId="37812" xr:uid="{00000000-0005-0000-0000-0000E4930000}"/>
    <cellStyle name="货币 2 2 4 2 7 2" xfId="20973" xr:uid="{00000000-0005-0000-0000-00001D520000}"/>
    <cellStyle name="货币 2 2 4 2 7 2 2" xfId="37814" xr:uid="{00000000-0005-0000-0000-0000E6930000}"/>
    <cellStyle name="货币 2 2 4 2 7 3" xfId="20975" xr:uid="{00000000-0005-0000-0000-00001F520000}"/>
    <cellStyle name="货币 2 2 4 2 7 4" xfId="20977" xr:uid="{00000000-0005-0000-0000-000021520000}"/>
    <cellStyle name="货币 2 2 4 2 7 5" xfId="20979" xr:uid="{00000000-0005-0000-0000-000023520000}"/>
    <cellStyle name="货币 2 2 4 2 7 6" xfId="20981" xr:uid="{00000000-0005-0000-0000-000025520000}"/>
    <cellStyle name="货币 2 2 4 2 7 7" xfId="20985" xr:uid="{00000000-0005-0000-0000-000029520000}"/>
    <cellStyle name="货币 2 2 4 2 7 8" xfId="15501" xr:uid="{00000000-0005-0000-0000-0000BD3C0000}"/>
    <cellStyle name="货币 2 2 4 2 7 9" xfId="20989" xr:uid="{00000000-0005-0000-0000-00002D520000}"/>
    <cellStyle name="货币 2 2 4 2 8" xfId="37815" xr:uid="{00000000-0005-0000-0000-0000E7930000}"/>
    <cellStyle name="货币 2 2 4 2 8 2" xfId="37817" xr:uid="{00000000-0005-0000-0000-0000E9930000}"/>
    <cellStyle name="货币 2 2 4 2 8 3" xfId="23618" xr:uid="{00000000-0005-0000-0000-0000725C0000}"/>
    <cellStyle name="货币 2 2 4 2 8 4" xfId="37818" xr:uid="{00000000-0005-0000-0000-0000EA930000}"/>
    <cellStyle name="货币 2 2 4 2 8 5" xfId="21005" xr:uid="{00000000-0005-0000-0000-00003D520000}"/>
    <cellStyle name="货币 2 2 4 2 8 6" xfId="37819" xr:uid="{00000000-0005-0000-0000-0000EB930000}"/>
    <cellStyle name="货币 2 2 4 2 9" xfId="37820" xr:uid="{00000000-0005-0000-0000-0000EC930000}"/>
    <cellStyle name="货币 2 2 4 2 9 2" xfId="37822" xr:uid="{00000000-0005-0000-0000-0000EE930000}"/>
    <cellStyle name="货币 2 2 4 2 9 3" xfId="37823" xr:uid="{00000000-0005-0000-0000-0000EF930000}"/>
    <cellStyle name="货币 2 2 4 2 9 4" xfId="37824" xr:uid="{00000000-0005-0000-0000-0000F0930000}"/>
    <cellStyle name="货币 2 2 4 2 9 5" xfId="37825" xr:uid="{00000000-0005-0000-0000-0000F1930000}"/>
    <cellStyle name="货币 2 2 4 2 9 6" xfId="37826" xr:uid="{00000000-0005-0000-0000-0000F2930000}"/>
    <cellStyle name="货币 2 2 4 20" xfId="4756" xr:uid="{00000000-0005-0000-0000-0000C4120000}"/>
    <cellStyle name="货币 2 2 4 21" xfId="4364" xr:uid="{00000000-0005-0000-0000-00003C110000}"/>
    <cellStyle name="货币 2 2 4 22" xfId="36670" xr:uid="{00000000-0005-0000-0000-00006E8F0000}"/>
    <cellStyle name="货币 2 2 4 23" xfId="25110" xr:uid="{00000000-0005-0000-0000-000046620000}"/>
    <cellStyle name="货币 2 2 4 24" xfId="25114" xr:uid="{00000000-0005-0000-0000-00004A620000}"/>
    <cellStyle name="货币 2 2 4 25" xfId="25116" xr:uid="{00000000-0005-0000-0000-00004C620000}"/>
    <cellStyle name="货币 2 2 4 26" xfId="25118" xr:uid="{00000000-0005-0000-0000-00004E620000}"/>
    <cellStyle name="货币 2 2 4 3" xfId="25354" xr:uid="{00000000-0005-0000-0000-00003A630000}"/>
    <cellStyle name="货币 2 2 4 3 10" xfId="37827" xr:uid="{00000000-0005-0000-0000-0000F3930000}"/>
    <cellStyle name="货币 2 2 4 3 10 2" xfId="37828" xr:uid="{00000000-0005-0000-0000-0000F4930000}"/>
    <cellStyle name="货币 2 2 4 3 10 3" xfId="37829" xr:uid="{00000000-0005-0000-0000-0000F5930000}"/>
    <cellStyle name="货币 2 2 4 3 10 4" xfId="37830" xr:uid="{00000000-0005-0000-0000-0000F6930000}"/>
    <cellStyle name="货币 2 2 4 3 10 5" xfId="37831" xr:uid="{00000000-0005-0000-0000-0000F7930000}"/>
    <cellStyle name="货币 2 2 4 3 10 6" xfId="37832" xr:uid="{00000000-0005-0000-0000-0000F8930000}"/>
    <cellStyle name="货币 2 2 4 3 11" xfId="27838" xr:uid="{00000000-0005-0000-0000-0000EE6C0000}"/>
    <cellStyle name="货币 2 2 4 3 11 2" xfId="19371" xr:uid="{00000000-0005-0000-0000-0000DB4B0000}"/>
    <cellStyle name="货币 2 2 4 3 11 3" xfId="19376" xr:uid="{00000000-0005-0000-0000-0000E04B0000}"/>
    <cellStyle name="货币 2 2 4 3 11 4" xfId="19380" xr:uid="{00000000-0005-0000-0000-0000E44B0000}"/>
    <cellStyle name="货币 2 2 4 3 11 5" xfId="19384" xr:uid="{00000000-0005-0000-0000-0000E84B0000}"/>
    <cellStyle name="货币 2 2 4 3 11 6" xfId="19387" xr:uid="{00000000-0005-0000-0000-0000EB4B0000}"/>
    <cellStyle name="货币 2 2 4 3 12" xfId="35250" xr:uid="{00000000-0005-0000-0000-0000E2890000}"/>
    <cellStyle name="货币 2 2 4 3 13" xfId="35252" xr:uid="{00000000-0005-0000-0000-0000E4890000}"/>
    <cellStyle name="货币 2 2 4 3 14" xfId="35254" xr:uid="{00000000-0005-0000-0000-0000E6890000}"/>
    <cellStyle name="货币 2 2 4 3 15" xfId="35256" xr:uid="{00000000-0005-0000-0000-0000E8890000}"/>
    <cellStyle name="货币 2 2 4 3 16" xfId="27466" xr:uid="{00000000-0005-0000-0000-00007A6B0000}"/>
    <cellStyle name="货币 2 2 4 3 17" xfId="27470" xr:uid="{00000000-0005-0000-0000-00007E6B0000}"/>
    <cellStyle name="货币 2 2 4 3 18" xfId="27474" xr:uid="{00000000-0005-0000-0000-0000826B0000}"/>
    <cellStyle name="货币 2 2 4 3 19" xfId="27479" xr:uid="{00000000-0005-0000-0000-0000876B0000}"/>
    <cellStyle name="货币 2 2 4 3 2" xfId="13169" xr:uid="{00000000-0005-0000-0000-0000A1330000}"/>
    <cellStyle name="货币 2 2 4 3 2 10" xfId="35546" xr:uid="{00000000-0005-0000-0000-00000A8B0000}"/>
    <cellStyle name="货币 2 2 4 3 2 11" xfId="24616" xr:uid="{00000000-0005-0000-0000-000058600000}"/>
    <cellStyle name="货币 2 2 4 3 2 12" xfId="35548" xr:uid="{00000000-0005-0000-0000-00000C8B0000}"/>
    <cellStyle name="货币 2 2 4 3 2 13" xfId="35550" xr:uid="{00000000-0005-0000-0000-00000E8B0000}"/>
    <cellStyle name="货币 2 2 4 3 2 14" xfId="31629" xr:uid="{00000000-0005-0000-0000-0000BD7B0000}"/>
    <cellStyle name="货币 2 2 4 3 2 15" xfId="31631" xr:uid="{00000000-0005-0000-0000-0000BF7B0000}"/>
    <cellStyle name="货币 2 2 4 3 2 16" xfId="31634" xr:uid="{00000000-0005-0000-0000-0000C27B0000}"/>
    <cellStyle name="货币 2 2 4 3 2 17" xfId="37833" xr:uid="{00000000-0005-0000-0000-0000F9930000}"/>
    <cellStyle name="货币 2 2 4 3 2 18" xfId="37834" xr:uid="{00000000-0005-0000-0000-0000FA930000}"/>
    <cellStyle name="货币 2 2 4 3 2 2" xfId="29809" xr:uid="{00000000-0005-0000-0000-0000A1740000}"/>
    <cellStyle name="货币 2 2 4 3 2 2 10" xfId="36228" xr:uid="{00000000-0005-0000-0000-0000B48D0000}"/>
    <cellStyle name="货币 2 2 4 3 2 2 11" xfId="36231" xr:uid="{00000000-0005-0000-0000-0000B78D0000}"/>
    <cellStyle name="货币 2 2 4 3 2 2 12" xfId="36234" xr:uid="{00000000-0005-0000-0000-0000BA8D0000}"/>
    <cellStyle name="货币 2 2 4 3 2 2 2" xfId="17519" xr:uid="{00000000-0005-0000-0000-00009F440000}"/>
    <cellStyle name="货币 2 2 4 3 2 2 2 2" xfId="26546" xr:uid="{00000000-0005-0000-0000-0000E2670000}"/>
    <cellStyle name="货币 2 2 4 3 2 2 2 2 2" xfId="25358" xr:uid="{00000000-0005-0000-0000-00003E630000}"/>
    <cellStyle name="货币 2 2 4 3 2 2 2 3" xfId="26549" xr:uid="{00000000-0005-0000-0000-0000E5670000}"/>
    <cellStyle name="货币 2 2 4 3 2 2 2 4" xfId="3044" xr:uid="{00000000-0005-0000-0000-0000140C0000}"/>
    <cellStyle name="货币 2 2 4 3 2 2 2 5" xfId="3068" xr:uid="{00000000-0005-0000-0000-00002C0C0000}"/>
    <cellStyle name="货币 2 2 4 3 2 2 3" xfId="37835" xr:uid="{00000000-0005-0000-0000-0000FB930000}"/>
    <cellStyle name="货币 2 2 4 3 2 2 3 2" xfId="26555" xr:uid="{00000000-0005-0000-0000-0000EB670000}"/>
    <cellStyle name="货币 2 2 4 3 2 2 4" xfId="37836" xr:uid="{00000000-0005-0000-0000-0000FC930000}"/>
    <cellStyle name="货币 2 2 4 3 2 2 5" xfId="37837" xr:uid="{00000000-0005-0000-0000-0000FD930000}"/>
    <cellStyle name="货币 2 2 4 3 2 2 6" xfId="37838" xr:uid="{00000000-0005-0000-0000-0000FE930000}"/>
    <cellStyle name="货币 2 2 4 3 2 2 7" xfId="24618" xr:uid="{00000000-0005-0000-0000-00005A600000}"/>
    <cellStyle name="货币 2 2 4 3 2 2 8" xfId="24622" xr:uid="{00000000-0005-0000-0000-00005E600000}"/>
    <cellStyle name="货币 2 2 4 3 2 2 9" xfId="12961" xr:uid="{00000000-0005-0000-0000-0000D1320000}"/>
    <cellStyle name="货币 2 2 4 3 2 3" xfId="29811" xr:uid="{00000000-0005-0000-0000-0000A3740000}"/>
    <cellStyle name="货币 2 2 4 3 2 3 10" xfId="26345" xr:uid="{00000000-0005-0000-0000-000019670000}"/>
    <cellStyle name="货币 2 2 4 3 2 3 11" xfId="26352" xr:uid="{00000000-0005-0000-0000-000020670000}"/>
    <cellStyle name="货币 2 2 4 3 2 3 12" xfId="26359" xr:uid="{00000000-0005-0000-0000-000027670000}"/>
    <cellStyle name="货币 2 2 4 3 2 3 2" xfId="37839" xr:uid="{00000000-0005-0000-0000-0000FF930000}"/>
    <cellStyle name="货币 2 2 4 3 2 3 2 2" xfId="26588" xr:uid="{00000000-0005-0000-0000-00000C680000}"/>
    <cellStyle name="货币 2 2 4 3 2 3 2 2 2" xfId="19900" xr:uid="{00000000-0005-0000-0000-0000EC4D0000}"/>
    <cellStyle name="货币 2 2 4 3 2 3 2 3" xfId="26591" xr:uid="{00000000-0005-0000-0000-00000F680000}"/>
    <cellStyle name="货币 2 2 4 3 2 3 2 4" xfId="26594" xr:uid="{00000000-0005-0000-0000-000012680000}"/>
    <cellStyle name="货币 2 2 4 3 2 3 2 5" xfId="26596" xr:uid="{00000000-0005-0000-0000-000014680000}"/>
    <cellStyle name="货币 2 2 4 3 2 3 3" xfId="37840" xr:uid="{00000000-0005-0000-0000-000000940000}"/>
    <cellStyle name="货币 2 2 4 3 2 3 3 2" xfId="7079" xr:uid="{00000000-0005-0000-0000-0000D71B0000}"/>
    <cellStyle name="货币 2 2 4 3 2 3 4" xfId="37841" xr:uid="{00000000-0005-0000-0000-000001940000}"/>
    <cellStyle name="货币 2 2 4 3 2 3 5" xfId="37842" xr:uid="{00000000-0005-0000-0000-000002940000}"/>
    <cellStyle name="货币 2 2 4 3 2 3 6" xfId="37843" xr:uid="{00000000-0005-0000-0000-000003940000}"/>
    <cellStyle name="货币 2 2 4 3 2 3 7" xfId="24626" xr:uid="{00000000-0005-0000-0000-000062600000}"/>
    <cellStyle name="货币 2 2 4 3 2 3 8" xfId="37844" xr:uid="{00000000-0005-0000-0000-000004940000}"/>
    <cellStyle name="货币 2 2 4 3 2 3 9" xfId="24030" xr:uid="{00000000-0005-0000-0000-00000E5E0000}"/>
    <cellStyle name="货币 2 2 4 3 2 4" xfId="37845" xr:uid="{00000000-0005-0000-0000-000005940000}"/>
    <cellStyle name="货币 2 2 4 3 2 4 10" xfId="34952" xr:uid="{00000000-0005-0000-0000-0000B8880000}"/>
    <cellStyle name="货币 2 2 4 3 2 4 2" xfId="37847" xr:uid="{00000000-0005-0000-0000-000007940000}"/>
    <cellStyle name="货币 2 2 4 3 2 4 2 2" xfId="26616" xr:uid="{00000000-0005-0000-0000-000028680000}"/>
    <cellStyle name="货币 2 2 4 3 2 4 2 2 2" xfId="21561" xr:uid="{00000000-0005-0000-0000-000069540000}"/>
    <cellStyle name="货币 2 2 4 3 2 4 2 3" xfId="26620" xr:uid="{00000000-0005-0000-0000-00002C680000}"/>
    <cellStyle name="货币 2 2 4 3 2 4 2 4" xfId="26623" xr:uid="{00000000-0005-0000-0000-00002F680000}"/>
    <cellStyle name="货币 2 2 4 3 2 4 2 5" xfId="26625" xr:uid="{00000000-0005-0000-0000-000031680000}"/>
    <cellStyle name="货币 2 2 4 3 2 4 3" xfId="37849" xr:uid="{00000000-0005-0000-0000-000009940000}"/>
    <cellStyle name="货币 2 2 4 3 2 4 3 2" xfId="26633" xr:uid="{00000000-0005-0000-0000-000039680000}"/>
    <cellStyle name="货币 2 2 4 3 2 4 4" xfId="37851" xr:uid="{00000000-0005-0000-0000-00000B940000}"/>
    <cellStyle name="货币 2 2 4 3 2 4 5" xfId="37852" xr:uid="{00000000-0005-0000-0000-00000C940000}"/>
    <cellStyle name="货币 2 2 4 3 2 4 6" xfId="37853" xr:uid="{00000000-0005-0000-0000-00000D940000}"/>
    <cellStyle name="货币 2 2 4 3 2 4 7" xfId="37854" xr:uid="{00000000-0005-0000-0000-00000E940000}"/>
    <cellStyle name="货币 2 2 4 3 2 4 8" xfId="37856" xr:uid="{00000000-0005-0000-0000-000010940000}"/>
    <cellStyle name="货币 2 2 4 3 2 4 9" xfId="37858" xr:uid="{00000000-0005-0000-0000-000012940000}"/>
    <cellStyle name="货币 2 2 4 3 2 5" xfId="37859" xr:uid="{00000000-0005-0000-0000-000013940000}"/>
    <cellStyle name="货币 2 2 4 3 2 5 10" xfId="37318" xr:uid="{00000000-0005-0000-0000-0000F6910000}"/>
    <cellStyle name="货币 2 2 4 3 2 5 2" xfId="37860" xr:uid="{00000000-0005-0000-0000-000014940000}"/>
    <cellStyle name="货币 2 2 4 3 2 5 2 2" xfId="26648" xr:uid="{00000000-0005-0000-0000-000048680000}"/>
    <cellStyle name="货币 2 2 4 3 2 5 2 2 2" xfId="21998" xr:uid="{00000000-0005-0000-0000-00001E560000}"/>
    <cellStyle name="货币 2 2 4 3 2 5 2 3" xfId="26652" xr:uid="{00000000-0005-0000-0000-00004C680000}"/>
    <cellStyle name="货币 2 2 4 3 2 5 2 4" xfId="26655" xr:uid="{00000000-0005-0000-0000-00004F680000}"/>
    <cellStyle name="货币 2 2 4 3 2 5 2 5" xfId="13463" xr:uid="{00000000-0005-0000-0000-0000C7340000}"/>
    <cellStyle name="货币 2 2 4 3 2 5 3" xfId="17597" xr:uid="{00000000-0005-0000-0000-0000ED440000}"/>
    <cellStyle name="货币 2 2 4 3 2 5 3 2" xfId="8475" xr:uid="{00000000-0005-0000-0000-00004B210000}"/>
    <cellStyle name="货币 2 2 4 3 2 5 4" xfId="37861" xr:uid="{00000000-0005-0000-0000-000015940000}"/>
    <cellStyle name="货币 2 2 4 3 2 5 5" xfId="37862" xr:uid="{00000000-0005-0000-0000-000016940000}"/>
    <cellStyle name="货币 2 2 4 3 2 5 6" xfId="37863" xr:uid="{00000000-0005-0000-0000-000017940000}"/>
    <cellStyle name="货币 2 2 4 3 2 5 7" xfId="33153" xr:uid="{00000000-0005-0000-0000-0000B1810000}"/>
    <cellStyle name="货币 2 2 4 3 2 5 8" xfId="33156" xr:uid="{00000000-0005-0000-0000-0000B4810000}"/>
    <cellStyle name="货币 2 2 4 3 2 5 9" xfId="33158" xr:uid="{00000000-0005-0000-0000-0000B6810000}"/>
    <cellStyle name="货币 2 2 4 3 2 6" xfId="37864" xr:uid="{00000000-0005-0000-0000-000018940000}"/>
    <cellStyle name="货币 2 2 4 3 2 6 2" xfId="28281" xr:uid="{00000000-0005-0000-0000-0000A96E0000}"/>
    <cellStyle name="货币 2 2 4 3 2 6 2 2" xfId="37546" xr:uid="{00000000-0005-0000-0000-0000DA920000}"/>
    <cellStyle name="货币 2 2 4 3 2 6 3" xfId="28283" xr:uid="{00000000-0005-0000-0000-0000AB6E0000}"/>
    <cellStyle name="货币 2 2 4 3 2 6 4" xfId="28285" xr:uid="{00000000-0005-0000-0000-0000AD6E0000}"/>
    <cellStyle name="货币 2 2 4 3 2 6 5" xfId="14883" xr:uid="{00000000-0005-0000-0000-0000533A0000}"/>
    <cellStyle name="货币 2 2 4 3 2 6 6" xfId="14906" xr:uid="{00000000-0005-0000-0000-00006A3A0000}"/>
    <cellStyle name="货币 2 2 4 3 2 6 7" xfId="14924" xr:uid="{00000000-0005-0000-0000-00007C3A0000}"/>
    <cellStyle name="货币 2 2 4 3 2 6 8" xfId="3379" xr:uid="{00000000-0005-0000-0000-0000630D0000}"/>
    <cellStyle name="货币 2 2 4 3 2 6 9" xfId="14993" xr:uid="{00000000-0005-0000-0000-0000C13A0000}"/>
    <cellStyle name="货币 2 2 4 3 2 7" xfId="37865" xr:uid="{00000000-0005-0000-0000-000019940000}"/>
    <cellStyle name="货币 2 2 4 3 2 7 2" xfId="37866" xr:uid="{00000000-0005-0000-0000-00001A940000}"/>
    <cellStyle name="货币 2 2 4 3 2 8" xfId="37867" xr:uid="{00000000-0005-0000-0000-00001B940000}"/>
    <cellStyle name="货币 2 2 4 3 2 9" xfId="37868" xr:uid="{00000000-0005-0000-0000-00001C940000}"/>
    <cellStyle name="货币 2 2 4 3 20" xfId="35257" xr:uid="{00000000-0005-0000-0000-0000E9890000}"/>
    <cellStyle name="货币 2 2 4 3 21" xfId="27467" xr:uid="{00000000-0005-0000-0000-00007B6B0000}"/>
    <cellStyle name="货币 2 2 4 3 22" xfId="27471" xr:uid="{00000000-0005-0000-0000-00007F6B0000}"/>
    <cellStyle name="货币 2 2 4 3 23" xfId="27475" xr:uid="{00000000-0005-0000-0000-0000836B0000}"/>
    <cellStyle name="货币 2 2 4 3 3" xfId="13174" xr:uid="{00000000-0005-0000-0000-0000A6330000}"/>
    <cellStyle name="货币 2 2 4 3 3 10" xfId="37869" xr:uid="{00000000-0005-0000-0000-00001D940000}"/>
    <cellStyle name="货币 2 2 4 3 3 11" xfId="36800" xr:uid="{00000000-0005-0000-0000-0000F08F0000}"/>
    <cellStyle name="货币 2 2 4 3 3 12" xfId="36802" xr:uid="{00000000-0005-0000-0000-0000F28F0000}"/>
    <cellStyle name="货币 2 2 4 3 3 13" xfId="36804" xr:uid="{00000000-0005-0000-0000-0000F48F0000}"/>
    <cellStyle name="货币 2 2 4 3 3 14" xfId="31791" xr:uid="{00000000-0005-0000-0000-00005F7C0000}"/>
    <cellStyle name="货币 2 2 4 3 3 15" xfId="36806" xr:uid="{00000000-0005-0000-0000-0000F68F0000}"/>
    <cellStyle name="货币 2 2 4 3 3 16" xfId="36808" xr:uid="{00000000-0005-0000-0000-0000F88F0000}"/>
    <cellStyle name="货币 2 2 4 3 3 17" xfId="36810" xr:uid="{00000000-0005-0000-0000-0000FA8F0000}"/>
    <cellStyle name="货币 2 2 4 3 3 18" xfId="4918" xr:uid="{00000000-0005-0000-0000-000066130000}"/>
    <cellStyle name="货币 2 2 4 3 3 2" xfId="29813" xr:uid="{00000000-0005-0000-0000-0000A5740000}"/>
    <cellStyle name="货币 2 2 4 3 3 2 10" xfId="37729" xr:uid="{00000000-0005-0000-0000-000091930000}"/>
    <cellStyle name="货币 2 2 4 3 3 2 2" xfId="23156" xr:uid="{00000000-0005-0000-0000-0000A45A0000}"/>
    <cellStyle name="货币 2 2 4 3 3 2 2 2" xfId="20720" xr:uid="{00000000-0005-0000-0000-000020510000}"/>
    <cellStyle name="货币 2 2 4 3 3 2 3" xfId="37870" xr:uid="{00000000-0005-0000-0000-00001E940000}"/>
    <cellStyle name="货币 2 2 4 3 3 2 4" xfId="37871" xr:uid="{00000000-0005-0000-0000-00001F940000}"/>
    <cellStyle name="货币 2 2 4 3 3 2 5" xfId="36110" xr:uid="{00000000-0005-0000-0000-00003E8D0000}"/>
    <cellStyle name="货币 2 2 4 3 3 2 6" xfId="37872" xr:uid="{00000000-0005-0000-0000-000020940000}"/>
    <cellStyle name="货币 2 2 4 3 3 2 7" xfId="24631" xr:uid="{00000000-0005-0000-0000-000067600000}"/>
    <cellStyle name="货币 2 2 4 3 3 2 8" xfId="37458" xr:uid="{00000000-0005-0000-0000-000082920000}"/>
    <cellStyle name="货币 2 2 4 3 3 2 9" xfId="37873" xr:uid="{00000000-0005-0000-0000-000021940000}"/>
    <cellStyle name="货币 2 2 4 3 3 3" xfId="29815" xr:uid="{00000000-0005-0000-0000-0000A7740000}"/>
    <cellStyle name="货币 2 2 4 3 3 3 2" xfId="17462" xr:uid="{00000000-0005-0000-0000-000066440000}"/>
    <cellStyle name="货币 2 2 4 3 3 3 3" xfId="17878" xr:uid="{00000000-0005-0000-0000-000006460000}"/>
    <cellStyle name="货币 2 2 4 3 3 3 4" xfId="390" xr:uid="{00000000-0005-0000-0000-00009F010000}"/>
    <cellStyle name="货币 2 2 4 3 3 3 5" xfId="37874" xr:uid="{00000000-0005-0000-0000-000022940000}"/>
    <cellStyle name="货币 2 2 4 3 3 3 6" xfId="37875" xr:uid="{00000000-0005-0000-0000-000023940000}"/>
    <cellStyle name="货币 2 2 4 3 3 4" xfId="29817" xr:uid="{00000000-0005-0000-0000-0000A9740000}"/>
    <cellStyle name="货币 2 2 4 3 3 4 2" xfId="37877" xr:uid="{00000000-0005-0000-0000-000025940000}"/>
    <cellStyle name="货币 2 2 4 3 3 4 3" xfId="37879" xr:uid="{00000000-0005-0000-0000-000027940000}"/>
    <cellStyle name="货币 2 2 4 3 3 4 4" xfId="37881" xr:uid="{00000000-0005-0000-0000-000029940000}"/>
    <cellStyle name="货币 2 2 4 3 3 4 5" xfId="36794" xr:uid="{00000000-0005-0000-0000-0000EA8F0000}"/>
    <cellStyle name="货币 2 2 4 3 3 4 6" xfId="36797" xr:uid="{00000000-0005-0000-0000-0000ED8F0000}"/>
    <cellStyle name="货币 2 2 4 3 3 5" xfId="37882" xr:uid="{00000000-0005-0000-0000-00002A940000}"/>
    <cellStyle name="货币 2 2 4 3 3 5 2" xfId="36274" xr:uid="{00000000-0005-0000-0000-0000E28D0000}"/>
    <cellStyle name="货币 2 2 4 3 3 5 3" xfId="36277" xr:uid="{00000000-0005-0000-0000-0000E58D0000}"/>
    <cellStyle name="货币 2 2 4 3 3 5 4" xfId="37168" xr:uid="{00000000-0005-0000-0000-000060910000}"/>
    <cellStyle name="货币 2 2 4 3 3 5 5" xfId="37883" xr:uid="{00000000-0005-0000-0000-00002B940000}"/>
    <cellStyle name="货币 2 2 4 3 3 5 6" xfId="37884" xr:uid="{00000000-0005-0000-0000-00002C940000}"/>
    <cellStyle name="货币 2 2 4 3 3 6" xfId="26837" xr:uid="{00000000-0005-0000-0000-000005690000}"/>
    <cellStyle name="货币 2 2 4 3 3 6 2" xfId="26840" xr:uid="{00000000-0005-0000-0000-000008690000}"/>
    <cellStyle name="货币 2 2 4 3 3 6 3" xfId="37885" xr:uid="{00000000-0005-0000-0000-00002D940000}"/>
    <cellStyle name="货币 2 2 4 3 3 6 4" xfId="37886" xr:uid="{00000000-0005-0000-0000-00002E940000}"/>
    <cellStyle name="货币 2 2 4 3 3 6 5" xfId="15239" xr:uid="{00000000-0005-0000-0000-0000B73B0000}"/>
    <cellStyle name="货币 2 2 4 3 3 6 6" xfId="15286" xr:uid="{00000000-0005-0000-0000-0000E63B0000}"/>
    <cellStyle name="货币 2 2 4 3 3 7" xfId="26842" xr:uid="{00000000-0005-0000-0000-00000A690000}"/>
    <cellStyle name="货币 2 2 4 3 3 8" xfId="26845" xr:uid="{00000000-0005-0000-0000-00000D690000}"/>
    <cellStyle name="货币 2 2 4 3 3 9" xfId="26848" xr:uid="{00000000-0005-0000-0000-000010690000}"/>
    <cellStyle name="货币 2 2 4 3 4" xfId="13177" xr:uid="{00000000-0005-0000-0000-0000A9330000}"/>
    <cellStyle name="货币 2 2 4 3 4 10" xfId="37887" xr:uid="{00000000-0005-0000-0000-00002F940000}"/>
    <cellStyle name="货币 2 2 4 3 4 11" xfId="37888" xr:uid="{00000000-0005-0000-0000-000030940000}"/>
    <cellStyle name="货币 2 2 4 3 4 12" xfId="37889" xr:uid="{00000000-0005-0000-0000-000031940000}"/>
    <cellStyle name="货币 2 2 4 3 4 13" xfId="37890" xr:uid="{00000000-0005-0000-0000-000032940000}"/>
    <cellStyle name="货币 2 2 4 3 4 14" xfId="37891" xr:uid="{00000000-0005-0000-0000-000033940000}"/>
    <cellStyle name="货币 2 2 4 3 4 15" xfId="32398" xr:uid="{00000000-0005-0000-0000-0000BE7E0000}"/>
    <cellStyle name="货币 2 2 4 3 4 2" xfId="37892" xr:uid="{00000000-0005-0000-0000-000034940000}"/>
    <cellStyle name="货币 2 2 4 3 4 2 2" xfId="37893" xr:uid="{00000000-0005-0000-0000-000035940000}"/>
    <cellStyle name="货币 2 2 4 3 4 2 2 2" xfId="23272" xr:uid="{00000000-0005-0000-0000-0000185B0000}"/>
    <cellStyle name="货币 2 2 4 3 4 2 3" xfId="37894" xr:uid="{00000000-0005-0000-0000-000036940000}"/>
    <cellStyle name="货币 2 2 4 3 4 2 4" xfId="32495" xr:uid="{00000000-0005-0000-0000-00001F7F0000}"/>
    <cellStyle name="货币 2 2 4 3 4 2 5" xfId="32497" xr:uid="{00000000-0005-0000-0000-0000217F0000}"/>
    <cellStyle name="货币 2 2 4 3 4 2 6" xfId="28800" xr:uid="{00000000-0005-0000-0000-0000B0700000}"/>
    <cellStyle name="货币 2 2 4 3 4 2 7" xfId="37895" xr:uid="{00000000-0005-0000-0000-000037940000}"/>
    <cellStyle name="货币 2 2 4 3 4 2 8" xfId="37896" xr:uid="{00000000-0005-0000-0000-000038940000}"/>
    <cellStyle name="货币 2 2 4 3 4 2 9" xfId="34016" xr:uid="{00000000-0005-0000-0000-000010850000}"/>
    <cellStyle name="货币 2 2 4 3 4 3" xfId="37897" xr:uid="{00000000-0005-0000-0000-000039940000}"/>
    <cellStyle name="货币 2 2 4 3 4 3 2" xfId="28815" xr:uid="{00000000-0005-0000-0000-0000BF700000}"/>
    <cellStyle name="货币 2 2 4 3 4 3 3" xfId="28817" xr:uid="{00000000-0005-0000-0000-0000C1700000}"/>
    <cellStyle name="货币 2 2 4 3 4 3 4" xfId="28820" xr:uid="{00000000-0005-0000-0000-0000C4700000}"/>
    <cellStyle name="货币 2 2 4 3 4 3 5" xfId="28822" xr:uid="{00000000-0005-0000-0000-0000C6700000}"/>
    <cellStyle name="货币 2 2 4 3 4 3 6" xfId="28827" xr:uid="{00000000-0005-0000-0000-0000CB700000}"/>
    <cellStyle name="货币 2 2 4 3 4 4" xfId="37898" xr:uid="{00000000-0005-0000-0000-00003A940000}"/>
    <cellStyle name="货币 2 2 4 3 4 4 2" xfId="28843" xr:uid="{00000000-0005-0000-0000-0000DB700000}"/>
    <cellStyle name="货币 2 2 4 3 4 5" xfId="37899" xr:uid="{00000000-0005-0000-0000-00003B940000}"/>
    <cellStyle name="货币 2 2 4 3 4 6" xfId="26857" xr:uid="{00000000-0005-0000-0000-000019690000}"/>
    <cellStyle name="货币 2 2 4 3 4 7" xfId="26861" xr:uid="{00000000-0005-0000-0000-00001D690000}"/>
    <cellStyle name="货币 2 2 4 3 4 8" xfId="26865" xr:uid="{00000000-0005-0000-0000-000021690000}"/>
    <cellStyle name="货币 2 2 4 3 4 9" xfId="19070" xr:uid="{00000000-0005-0000-0000-0000AE4A0000}"/>
    <cellStyle name="货币 2 2 4 3 5" xfId="13180" xr:uid="{00000000-0005-0000-0000-0000AC330000}"/>
    <cellStyle name="货币 2 2 4 3 5 10" xfId="37900" xr:uid="{00000000-0005-0000-0000-00003C940000}"/>
    <cellStyle name="货币 2 2 4 3 5 11" xfId="37901" xr:uid="{00000000-0005-0000-0000-00003D940000}"/>
    <cellStyle name="货币 2 2 4 3 5 12" xfId="37902" xr:uid="{00000000-0005-0000-0000-00003E940000}"/>
    <cellStyle name="货币 2 2 4 3 5 13" xfId="37903" xr:uid="{00000000-0005-0000-0000-00003F940000}"/>
    <cellStyle name="货币 2 2 4 3 5 2" xfId="37904" xr:uid="{00000000-0005-0000-0000-000040940000}"/>
    <cellStyle name="货币 2 2 4 3 5 2 2" xfId="24036" xr:uid="{00000000-0005-0000-0000-0000145E0000}"/>
    <cellStyle name="货币 2 2 4 3 5 2 2 2" xfId="27228" xr:uid="{00000000-0005-0000-0000-00008C6A0000}"/>
    <cellStyle name="货币 2 2 4 3 5 2 3" xfId="24038" xr:uid="{00000000-0005-0000-0000-0000165E0000}"/>
    <cellStyle name="货币 2 2 4 3 5 2 4" xfId="32514" xr:uid="{00000000-0005-0000-0000-0000327F0000}"/>
    <cellStyle name="货币 2 2 4 3 5 2 5" xfId="37905" xr:uid="{00000000-0005-0000-0000-000041940000}"/>
    <cellStyle name="货币 2 2 4 3 5 2 6" xfId="37906" xr:uid="{00000000-0005-0000-0000-000042940000}"/>
    <cellStyle name="货币 2 2 4 3 5 2 7" xfId="37907" xr:uid="{00000000-0005-0000-0000-000043940000}"/>
    <cellStyle name="货币 2 2 4 3 5 2 8" xfId="37908" xr:uid="{00000000-0005-0000-0000-000044940000}"/>
    <cellStyle name="货币 2 2 4 3 5 2 9" xfId="488" xr:uid="{00000000-0005-0000-0000-000008020000}"/>
    <cellStyle name="货币 2 2 4 3 5 3" xfId="37909" xr:uid="{00000000-0005-0000-0000-000045940000}"/>
    <cellStyle name="货币 2 2 4 3 5 3 2" xfId="19460" xr:uid="{00000000-0005-0000-0000-0000344C0000}"/>
    <cellStyle name="货币 2 2 4 3 5 3 3" xfId="19474" xr:uid="{00000000-0005-0000-0000-0000424C0000}"/>
    <cellStyle name="货币 2 2 4 3 5 3 4" xfId="19477" xr:uid="{00000000-0005-0000-0000-0000454C0000}"/>
    <cellStyle name="货币 2 2 4 3 5 3 5" xfId="19479" xr:uid="{00000000-0005-0000-0000-0000474C0000}"/>
    <cellStyle name="货币 2 2 4 3 5 3 6" xfId="19482" xr:uid="{00000000-0005-0000-0000-00004A4C0000}"/>
    <cellStyle name="货币 2 2 4 3 5 4" xfId="37910" xr:uid="{00000000-0005-0000-0000-000046940000}"/>
    <cellStyle name="货币 2 2 4 3 5 4 2" xfId="22799" xr:uid="{00000000-0005-0000-0000-00003F590000}"/>
    <cellStyle name="货币 2 2 4 3 5 5" xfId="37912" xr:uid="{00000000-0005-0000-0000-000048940000}"/>
    <cellStyle name="货币 2 2 4 3 5 6" xfId="26871" xr:uid="{00000000-0005-0000-0000-000027690000}"/>
    <cellStyle name="货币 2 2 4 3 5 7" xfId="37914" xr:uid="{00000000-0005-0000-0000-00004A940000}"/>
    <cellStyle name="货币 2 2 4 3 5 8" xfId="37916" xr:uid="{00000000-0005-0000-0000-00004C940000}"/>
    <cellStyle name="货币 2 2 4 3 5 9" xfId="37917" xr:uid="{00000000-0005-0000-0000-00004D940000}"/>
    <cellStyle name="货币 2 2 4 3 6" xfId="13185" xr:uid="{00000000-0005-0000-0000-0000B1330000}"/>
    <cellStyle name="货币 2 2 4 3 6 10" xfId="37918" xr:uid="{00000000-0005-0000-0000-00004E940000}"/>
    <cellStyle name="货币 2 2 4 3 6 11" xfId="37919" xr:uid="{00000000-0005-0000-0000-00004F940000}"/>
    <cellStyle name="货币 2 2 4 3 6 12" xfId="37920" xr:uid="{00000000-0005-0000-0000-000050940000}"/>
    <cellStyle name="货币 2 2 4 3 6 2" xfId="37921" xr:uid="{00000000-0005-0000-0000-000051940000}"/>
    <cellStyle name="货币 2 2 4 3 6 2 2" xfId="28912" xr:uid="{00000000-0005-0000-0000-000020710000}"/>
    <cellStyle name="货币 2 2 4 3 6 2 2 2" xfId="36924" xr:uid="{00000000-0005-0000-0000-00006C900000}"/>
    <cellStyle name="货币 2 2 4 3 6 2 3" xfId="37922" xr:uid="{00000000-0005-0000-0000-000052940000}"/>
    <cellStyle name="货币 2 2 4 3 6 2 4" xfId="32521" xr:uid="{00000000-0005-0000-0000-0000397F0000}"/>
    <cellStyle name="货币 2 2 4 3 6 2 5" xfId="37923" xr:uid="{00000000-0005-0000-0000-000053940000}"/>
    <cellStyle name="货币 2 2 4 3 6 2 6" xfId="37924" xr:uid="{00000000-0005-0000-0000-000054940000}"/>
    <cellStyle name="货币 2 2 4 3 6 2 7" xfId="37925" xr:uid="{00000000-0005-0000-0000-000055940000}"/>
    <cellStyle name="货币 2 2 4 3 6 2 8" xfId="37926" xr:uid="{00000000-0005-0000-0000-000056940000}"/>
    <cellStyle name="货币 2 2 4 3 6 2 9" xfId="37928" xr:uid="{00000000-0005-0000-0000-000058940000}"/>
    <cellStyle name="货币 2 2 4 3 6 3" xfId="37929" xr:uid="{00000000-0005-0000-0000-000059940000}"/>
    <cellStyle name="货币 2 2 4 3 6 3 2" xfId="28916" xr:uid="{00000000-0005-0000-0000-000024710000}"/>
    <cellStyle name="货币 2 2 4 3 6 3 3" xfId="226" xr:uid="{00000000-0005-0000-0000-0000F2000000}"/>
    <cellStyle name="货币 2 2 4 3 6 3 4" xfId="37930" xr:uid="{00000000-0005-0000-0000-00005A940000}"/>
    <cellStyle name="货币 2 2 4 3 6 3 5" xfId="37931" xr:uid="{00000000-0005-0000-0000-00005B940000}"/>
    <cellStyle name="货币 2 2 4 3 6 3 6" xfId="37932" xr:uid="{00000000-0005-0000-0000-00005C940000}"/>
    <cellStyle name="货币 2 2 4 3 6 4" xfId="37933" xr:uid="{00000000-0005-0000-0000-00005D940000}"/>
    <cellStyle name="货币 2 2 4 3 6 4 2" xfId="28920" xr:uid="{00000000-0005-0000-0000-000028710000}"/>
    <cellStyle name="货币 2 2 4 3 6 5" xfId="37935" xr:uid="{00000000-0005-0000-0000-00005F940000}"/>
    <cellStyle name="货币 2 2 4 3 6 6" xfId="37936" xr:uid="{00000000-0005-0000-0000-000060940000}"/>
    <cellStyle name="货币 2 2 4 3 6 7" xfId="37937" xr:uid="{00000000-0005-0000-0000-000061940000}"/>
    <cellStyle name="货币 2 2 4 3 6 8" xfId="15803" xr:uid="{00000000-0005-0000-0000-0000EB3D0000}"/>
    <cellStyle name="货币 2 2 4 3 6 9" xfId="37938" xr:uid="{00000000-0005-0000-0000-000062940000}"/>
    <cellStyle name="货币 2 2 4 3 7" xfId="4377" xr:uid="{00000000-0005-0000-0000-000049110000}"/>
    <cellStyle name="货币 2 2 4 3 7 2" xfId="125" xr:uid="{00000000-0005-0000-0000-000087000000}"/>
    <cellStyle name="货币 2 2 4 3 7 2 2" xfId="28960" xr:uid="{00000000-0005-0000-0000-000050710000}"/>
    <cellStyle name="货币 2 2 4 3 7 3" xfId="37939" xr:uid="{00000000-0005-0000-0000-000063940000}"/>
    <cellStyle name="货币 2 2 4 3 7 4" xfId="34681" xr:uid="{00000000-0005-0000-0000-0000A9870000}"/>
    <cellStyle name="货币 2 2 4 3 7 5" xfId="37940" xr:uid="{00000000-0005-0000-0000-000064940000}"/>
    <cellStyle name="货币 2 2 4 3 7 6" xfId="37941" xr:uid="{00000000-0005-0000-0000-000065940000}"/>
    <cellStyle name="货币 2 2 4 3 7 7" xfId="37942" xr:uid="{00000000-0005-0000-0000-000066940000}"/>
    <cellStyle name="货币 2 2 4 3 7 8" xfId="37943" xr:uid="{00000000-0005-0000-0000-000067940000}"/>
    <cellStyle name="货币 2 2 4 3 7 9" xfId="37944" xr:uid="{00000000-0005-0000-0000-000068940000}"/>
    <cellStyle name="货币 2 2 4 3 8" xfId="4382" xr:uid="{00000000-0005-0000-0000-00004E110000}"/>
    <cellStyle name="货币 2 2 4 3 8 2" xfId="4385" xr:uid="{00000000-0005-0000-0000-000051110000}"/>
    <cellStyle name="货币 2 2 4 3 8 3" xfId="37945" xr:uid="{00000000-0005-0000-0000-000069940000}"/>
    <cellStyle name="货币 2 2 4 3 8 4" xfId="29986" xr:uid="{00000000-0005-0000-0000-000052750000}"/>
    <cellStyle name="货币 2 2 4 3 8 5" xfId="29988" xr:uid="{00000000-0005-0000-0000-000054750000}"/>
    <cellStyle name="货币 2 2 4 3 8 6" xfId="29992" xr:uid="{00000000-0005-0000-0000-000058750000}"/>
    <cellStyle name="货币 2 2 4 3 9" xfId="1068" xr:uid="{00000000-0005-0000-0000-00005C040000}"/>
    <cellStyle name="货币 2 2 4 3 9 2" xfId="4396" xr:uid="{00000000-0005-0000-0000-00005C110000}"/>
    <cellStyle name="货币 2 2 4 3 9 3" xfId="34293" xr:uid="{00000000-0005-0000-0000-000025860000}"/>
    <cellStyle name="货币 2 2 4 3 9 4" xfId="34296" xr:uid="{00000000-0005-0000-0000-000028860000}"/>
    <cellStyle name="货币 2 2 4 3 9 5" xfId="37946" xr:uid="{00000000-0005-0000-0000-00006A940000}"/>
    <cellStyle name="货币 2 2 4 3 9 6" xfId="37947" xr:uid="{00000000-0005-0000-0000-00006B940000}"/>
    <cellStyle name="货币 2 2 4 4" xfId="916" xr:uid="{00000000-0005-0000-0000-0000C4030000}"/>
    <cellStyle name="货币 2 2 4 4 10" xfId="27625" xr:uid="{00000000-0005-0000-0000-0000196C0000}"/>
    <cellStyle name="货币 2 2 4 4 10 2" xfId="5868" xr:uid="{00000000-0005-0000-0000-00001C170000}"/>
    <cellStyle name="货币 2 2 4 4 10 3" xfId="27658" xr:uid="{00000000-0005-0000-0000-00003A6C0000}"/>
    <cellStyle name="货币 2 2 4 4 10 4" xfId="21543" xr:uid="{00000000-0005-0000-0000-000057540000}"/>
    <cellStyle name="货币 2 2 4 4 10 5" xfId="1832" xr:uid="{00000000-0005-0000-0000-000058070000}"/>
    <cellStyle name="货币 2 2 4 4 10 6" xfId="27666" xr:uid="{00000000-0005-0000-0000-0000426C0000}"/>
    <cellStyle name="货币 2 2 4 4 11" xfId="27678" xr:uid="{00000000-0005-0000-0000-00004E6C0000}"/>
    <cellStyle name="货币 2 2 4 4 11 2" xfId="18534" xr:uid="{00000000-0005-0000-0000-000096480000}"/>
    <cellStyle name="货币 2 2 4 4 11 3" xfId="27686" xr:uid="{00000000-0005-0000-0000-0000566C0000}"/>
    <cellStyle name="货币 2 2 4 4 11 4" xfId="27691" xr:uid="{00000000-0005-0000-0000-00005B6C0000}"/>
    <cellStyle name="货币 2 2 4 4 11 5" xfId="1603" xr:uid="{00000000-0005-0000-0000-000073060000}"/>
    <cellStyle name="货币 2 2 4 4 11 6" xfId="27696" xr:uid="{00000000-0005-0000-0000-0000606C0000}"/>
    <cellStyle name="货币 2 2 4 4 12" xfId="27712" xr:uid="{00000000-0005-0000-0000-0000706C0000}"/>
    <cellStyle name="货币 2 2 4 4 13" xfId="27722" xr:uid="{00000000-0005-0000-0000-00007A6C0000}"/>
    <cellStyle name="货币 2 2 4 4 14" xfId="27727" xr:uid="{00000000-0005-0000-0000-00007F6C0000}"/>
    <cellStyle name="货币 2 2 4 4 15" xfId="30559" xr:uid="{00000000-0005-0000-0000-00008F770000}"/>
    <cellStyle name="货币 2 2 4 4 16" xfId="30565" xr:uid="{00000000-0005-0000-0000-000095770000}"/>
    <cellStyle name="货币 2 2 4 4 17" xfId="30570" xr:uid="{00000000-0005-0000-0000-00009A770000}"/>
    <cellStyle name="货币 2 2 4 4 18" xfId="30574" xr:uid="{00000000-0005-0000-0000-00009E770000}"/>
    <cellStyle name="货币 2 2 4 4 19" xfId="30586" xr:uid="{00000000-0005-0000-0000-0000AA770000}"/>
    <cellStyle name="货币 2 2 4 4 2" xfId="13251" xr:uid="{00000000-0005-0000-0000-0000F3330000}"/>
    <cellStyle name="货币 2 2 4 4 2 10" xfId="30588" xr:uid="{00000000-0005-0000-0000-0000AC770000}"/>
    <cellStyle name="货币 2 2 4 4 2 11" xfId="26729" xr:uid="{00000000-0005-0000-0000-000099680000}"/>
    <cellStyle name="货币 2 2 4 4 2 12" xfId="26739" xr:uid="{00000000-0005-0000-0000-0000A3680000}"/>
    <cellStyle name="货币 2 2 4 4 2 13" xfId="26743" xr:uid="{00000000-0005-0000-0000-0000A7680000}"/>
    <cellStyle name="货币 2 2 4 4 2 14" xfId="18996" xr:uid="{00000000-0005-0000-0000-0000644A0000}"/>
    <cellStyle name="货币 2 2 4 4 2 15" xfId="19000" xr:uid="{00000000-0005-0000-0000-0000684A0000}"/>
    <cellStyle name="货币 2 2 4 4 2 16" xfId="19004" xr:uid="{00000000-0005-0000-0000-00006C4A0000}"/>
    <cellStyle name="货币 2 2 4 4 2 17" xfId="19011" xr:uid="{00000000-0005-0000-0000-0000734A0000}"/>
    <cellStyle name="货币 2 2 4 4 2 18" xfId="19015" xr:uid="{00000000-0005-0000-0000-0000774A0000}"/>
    <cellStyle name="货币 2 2 4 4 2 2" xfId="30590" xr:uid="{00000000-0005-0000-0000-0000AE770000}"/>
    <cellStyle name="货币 2 2 4 4 2 2 10" xfId="6440" xr:uid="{00000000-0005-0000-0000-000058190000}"/>
    <cellStyle name="货币 2 2 4 4 2 2 11" xfId="21650" xr:uid="{00000000-0005-0000-0000-0000C2540000}"/>
    <cellStyle name="货币 2 2 4 4 2 2 12" xfId="13855" xr:uid="{00000000-0005-0000-0000-00004F360000}"/>
    <cellStyle name="货币 2 2 4 4 2 2 2" xfId="9243" xr:uid="{00000000-0005-0000-0000-00004B240000}"/>
    <cellStyle name="货币 2 2 4 4 2 2 2 2" xfId="27529" xr:uid="{00000000-0005-0000-0000-0000B96B0000}"/>
    <cellStyle name="货币 2 2 4 4 2 2 2 2 2" xfId="17798" xr:uid="{00000000-0005-0000-0000-0000B6450000}"/>
    <cellStyle name="货币 2 2 4 4 2 2 2 3" xfId="27535" xr:uid="{00000000-0005-0000-0000-0000BF6B0000}"/>
    <cellStyle name="货币 2 2 4 4 2 2 2 4" xfId="26225" xr:uid="{00000000-0005-0000-0000-0000A1660000}"/>
    <cellStyle name="货币 2 2 4 4 2 2 2 5" xfId="2844" xr:uid="{00000000-0005-0000-0000-00004C0B0000}"/>
    <cellStyle name="货币 2 2 4 4 2 2 3" xfId="9250" xr:uid="{00000000-0005-0000-0000-000052240000}"/>
    <cellStyle name="货币 2 2 4 4 2 2 3 2" xfId="26825" xr:uid="{00000000-0005-0000-0000-0000F9680000}"/>
    <cellStyle name="货币 2 2 4 4 2 2 4" xfId="8519" xr:uid="{00000000-0005-0000-0000-000077210000}"/>
    <cellStyle name="货币 2 2 4 4 2 2 5" xfId="8534" xr:uid="{00000000-0005-0000-0000-000086210000}"/>
    <cellStyle name="货币 2 2 4 4 2 2 6" xfId="8547" xr:uid="{00000000-0005-0000-0000-000093210000}"/>
    <cellStyle name="货币 2 2 4 4 2 2 7" xfId="7270" xr:uid="{00000000-0005-0000-0000-0000961C0000}"/>
    <cellStyle name="货币 2 2 4 4 2 2 8" xfId="8557" xr:uid="{00000000-0005-0000-0000-00009D210000}"/>
    <cellStyle name="货币 2 2 4 4 2 2 9" xfId="8564" xr:uid="{00000000-0005-0000-0000-0000A4210000}"/>
    <cellStyle name="货币 2 2 4 4 2 3" xfId="30593" xr:uid="{00000000-0005-0000-0000-0000B1770000}"/>
    <cellStyle name="货币 2 2 4 4 2 3 10" xfId="5341" xr:uid="{00000000-0005-0000-0000-00000D150000}"/>
    <cellStyle name="货币 2 2 4 4 2 3 11" xfId="5350" xr:uid="{00000000-0005-0000-0000-000016150000}"/>
    <cellStyle name="货币 2 2 4 4 2 3 12" xfId="5357" xr:uid="{00000000-0005-0000-0000-00001D150000}"/>
    <cellStyle name="货币 2 2 4 4 2 3 2" xfId="30595" xr:uid="{00000000-0005-0000-0000-0000B3770000}"/>
    <cellStyle name="货币 2 2 4 4 2 3 2 2" xfId="27566" xr:uid="{00000000-0005-0000-0000-0000DE6B0000}"/>
    <cellStyle name="货币 2 2 4 4 2 3 2 2 2" xfId="30220" xr:uid="{00000000-0005-0000-0000-00003C760000}"/>
    <cellStyle name="货币 2 2 4 4 2 3 2 3" xfId="27574" xr:uid="{00000000-0005-0000-0000-0000E66B0000}"/>
    <cellStyle name="货币 2 2 4 4 2 3 2 4" xfId="27581" xr:uid="{00000000-0005-0000-0000-0000ED6B0000}"/>
    <cellStyle name="货币 2 2 4 4 2 3 2 5" xfId="35165" xr:uid="{00000000-0005-0000-0000-00008D890000}"/>
    <cellStyle name="货币 2 2 4 4 2 3 3" xfId="30599" xr:uid="{00000000-0005-0000-0000-0000B7770000}"/>
    <cellStyle name="货币 2 2 4 4 2 3 3 2" xfId="29658" xr:uid="{00000000-0005-0000-0000-00000A740000}"/>
    <cellStyle name="货币 2 2 4 4 2 3 4" xfId="30601" xr:uid="{00000000-0005-0000-0000-0000B9770000}"/>
    <cellStyle name="货币 2 2 4 4 2 3 5" xfId="8603" xr:uid="{00000000-0005-0000-0000-0000CB210000}"/>
    <cellStyle name="货币 2 2 4 4 2 3 6" xfId="8609" xr:uid="{00000000-0005-0000-0000-0000D1210000}"/>
    <cellStyle name="货币 2 2 4 4 2 3 7" xfId="2728" xr:uid="{00000000-0005-0000-0000-0000D80A0000}"/>
    <cellStyle name="货币 2 2 4 4 2 3 8" xfId="8617" xr:uid="{00000000-0005-0000-0000-0000D9210000}"/>
    <cellStyle name="货币 2 2 4 4 2 3 9" xfId="8627" xr:uid="{00000000-0005-0000-0000-0000E3210000}"/>
    <cellStyle name="货币 2 2 4 4 2 4" xfId="30603" xr:uid="{00000000-0005-0000-0000-0000BB770000}"/>
    <cellStyle name="货币 2 2 4 4 2 4 10" xfId="37950" xr:uid="{00000000-0005-0000-0000-00006E940000}"/>
    <cellStyle name="货币 2 2 4 4 2 4 2" xfId="30606" xr:uid="{00000000-0005-0000-0000-0000BE770000}"/>
    <cellStyle name="货币 2 2 4 4 2 4 2 2" xfId="27640" xr:uid="{00000000-0005-0000-0000-0000286C0000}"/>
    <cellStyle name="货币 2 2 4 4 2 4 2 2 2" xfId="30419" xr:uid="{00000000-0005-0000-0000-000003770000}"/>
    <cellStyle name="货币 2 2 4 4 2 4 2 3" xfId="27647" xr:uid="{00000000-0005-0000-0000-00002F6C0000}"/>
    <cellStyle name="货币 2 2 4 4 2 4 2 4" xfId="27654" xr:uid="{00000000-0005-0000-0000-0000366C0000}"/>
    <cellStyle name="货币 2 2 4 4 2 4 2 5" xfId="37952" xr:uid="{00000000-0005-0000-0000-000070940000}"/>
    <cellStyle name="货币 2 2 4 4 2 4 3" xfId="30609" xr:uid="{00000000-0005-0000-0000-0000C1770000}"/>
    <cellStyle name="货币 2 2 4 4 2 4 3 2" xfId="30433" xr:uid="{00000000-0005-0000-0000-000011770000}"/>
    <cellStyle name="货币 2 2 4 4 2 4 4" xfId="30612" xr:uid="{00000000-0005-0000-0000-0000C4770000}"/>
    <cellStyle name="货币 2 2 4 4 2 4 5" xfId="14174" xr:uid="{00000000-0005-0000-0000-00008E370000}"/>
    <cellStyle name="货币 2 2 4 4 2 4 6" xfId="13477" xr:uid="{00000000-0005-0000-0000-0000D5340000}"/>
    <cellStyle name="货币 2 2 4 4 2 4 7" xfId="14179" xr:uid="{00000000-0005-0000-0000-000093370000}"/>
    <cellStyle name="货币 2 2 4 4 2 4 8" xfId="1674" xr:uid="{00000000-0005-0000-0000-0000BA060000}"/>
    <cellStyle name="货币 2 2 4 4 2 4 9" xfId="1789" xr:uid="{00000000-0005-0000-0000-00002D070000}"/>
    <cellStyle name="货币 2 2 4 4 2 5" xfId="30614" xr:uid="{00000000-0005-0000-0000-0000C6770000}"/>
    <cellStyle name="货币 2 2 4 4 2 5 10" xfId="30618" xr:uid="{00000000-0005-0000-0000-0000CA770000}"/>
    <cellStyle name="货币 2 2 4 4 2 5 2" xfId="30626" xr:uid="{00000000-0005-0000-0000-0000D2770000}"/>
    <cellStyle name="货币 2 2 4 4 2 5 2 2" xfId="30554" xr:uid="{00000000-0005-0000-0000-00008A770000}"/>
    <cellStyle name="货币 2 2 4 4 2 5 2 2 2" xfId="30628" xr:uid="{00000000-0005-0000-0000-0000D4770000}"/>
    <cellStyle name="货币 2 2 4 4 2 5 2 3" xfId="30637" xr:uid="{00000000-0005-0000-0000-0000DD770000}"/>
    <cellStyle name="货币 2 2 4 4 2 5 2 4" xfId="30641" xr:uid="{00000000-0005-0000-0000-0000E1770000}"/>
    <cellStyle name="货币 2 2 4 4 2 5 2 5" xfId="30644" xr:uid="{00000000-0005-0000-0000-0000E4770000}"/>
    <cellStyle name="货币 2 2 4 4 2 5 3" xfId="19285" xr:uid="{00000000-0005-0000-0000-0000854B0000}"/>
    <cellStyle name="货币 2 2 4 4 2 5 3 2" xfId="30656" xr:uid="{00000000-0005-0000-0000-0000F0770000}"/>
    <cellStyle name="货币 2 2 4 4 2 5 4" xfId="30680" xr:uid="{00000000-0005-0000-0000-000008780000}"/>
    <cellStyle name="货币 2 2 4 4 2 5 5" xfId="14182" xr:uid="{00000000-0005-0000-0000-000096370000}"/>
    <cellStyle name="货币 2 2 4 4 2 5 6" xfId="30699" xr:uid="{00000000-0005-0000-0000-00001B780000}"/>
    <cellStyle name="货币 2 2 4 4 2 5 7" xfId="30703" xr:uid="{00000000-0005-0000-0000-00001F780000}"/>
    <cellStyle name="货币 2 2 4 4 2 5 8" xfId="30707" xr:uid="{00000000-0005-0000-0000-000023780000}"/>
    <cellStyle name="货币 2 2 4 4 2 5 9" xfId="30712" xr:uid="{00000000-0005-0000-0000-000028780000}"/>
    <cellStyle name="货币 2 2 4 4 2 6" xfId="30715" xr:uid="{00000000-0005-0000-0000-00002B780000}"/>
    <cellStyle name="货币 2 2 4 4 2 6 2" xfId="28986" xr:uid="{00000000-0005-0000-0000-00006A710000}"/>
    <cellStyle name="货币 2 2 4 4 2 6 2 2" xfId="1665" xr:uid="{00000000-0005-0000-0000-0000B1060000}"/>
    <cellStyle name="货币 2 2 4 4 2 6 3" xfId="30717" xr:uid="{00000000-0005-0000-0000-00002D780000}"/>
    <cellStyle name="货币 2 2 4 4 2 6 4" xfId="30719" xr:uid="{00000000-0005-0000-0000-00002F780000}"/>
    <cellStyle name="货币 2 2 4 4 2 6 5" xfId="17169" xr:uid="{00000000-0005-0000-0000-000041430000}"/>
    <cellStyle name="货币 2 2 4 4 2 6 6" xfId="17177" xr:uid="{00000000-0005-0000-0000-000049430000}"/>
    <cellStyle name="货币 2 2 4 4 2 6 7" xfId="17186" xr:uid="{00000000-0005-0000-0000-000052430000}"/>
    <cellStyle name="货币 2 2 4 4 2 6 8" xfId="2941" xr:uid="{00000000-0005-0000-0000-0000AD0B0000}"/>
    <cellStyle name="货币 2 2 4 4 2 6 9" xfId="17207" xr:uid="{00000000-0005-0000-0000-000067430000}"/>
    <cellStyle name="货币 2 2 4 4 2 7" xfId="30721" xr:uid="{00000000-0005-0000-0000-000031780000}"/>
    <cellStyle name="货币 2 2 4 4 2 7 2" xfId="30723" xr:uid="{00000000-0005-0000-0000-000033780000}"/>
    <cellStyle name="货币 2 2 4 4 2 8" xfId="30748" xr:uid="{00000000-0005-0000-0000-00004C780000}"/>
    <cellStyle name="货币 2 2 4 4 2 9" xfId="30754" xr:uid="{00000000-0005-0000-0000-000052780000}"/>
    <cellStyle name="货币 2 2 4 4 20" xfId="30560" xr:uid="{00000000-0005-0000-0000-000090770000}"/>
    <cellStyle name="货币 2 2 4 4 21" xfId="30566" xr:uid="{00000000-0005-0000-0000-000096770000}"/>
    <cellStyle name="货币 2 2 4 4 22" xfId="30571" xr:uid="{00000000-0005-0000-0000-00009B770000}"/>
    <cellStyle name="货币 2 2 4 4 23" xfId="30575" xr:uid="{00000000-0005-0000-0000-00009F770000}"/>
    <cellStyle name="货币 2 2 4 4 3" xfId="13255" xr:uid="{00000000-0005-0000-0000-0000F7330000}"/>
    <cellStyle name="货币 2 2 4 4 3 10" xfId="30756" xr:uid="{00000000-0005-0000-0000-000054780000}"/>
    <cellStyle name="货币 2 2 4 4 3 11" xfId="30804" xr:uid="{00000000-0005-0000-0000-000084780000}"/>
    <cellStyle name="货币 2 2 4 4 3 12" xfId="30806" xr:uid="{00000000-0005-0000-0000-000086780000}"/>
    <cellStyle name="货币 2 2 4 4 3 13" xfId="30808" xr:uid="{00000000-0005-0000-0000-000088780000}"/>
    <cellStyle name="货币 2 2 4 4 3 14" xfId="30507" xr:uid="{00000000-0005-0000-0000-00005B770000}"/>
    <cellStyle name="货币 2 2 4 4 3 15" xfId="30513" xr:uid="{00000000-0005-0000-0000-000061770000}"/>
    <cellStyle name="货币 2 2 4 4 3 16" xfId="30519" xr:uid="{00000000-0005-0000-0000-000067770000}"/>
    <cellStyle name="货币 2 2 4 4 3 17" xfId="30813" xr:uid="{00000000-0005-0000-0000-00008D780000}"/>
    <cellStyle name="货币 2 2 4 4 3 18" xfId="30818" xr:uid="{00000000-0005-0000-0000-000092780000}"/>
    <cellStyle name="货币 2 2 4 4 3 2" xfId="30827" xr:uid="{00000000-0005-0000-0000-00009B780000}"/>
    <cellStyle name="货币 2 2 4 4 3 2 10" xfId="30831" xr:uid="{00000000-0005-0000-0000-00009F780000}"/>
    <cellStyle name="货币 2 2 4 4 3 2 2" xfId="30843" xr:uid="{00000000-0005-0000-0000-0000AB780000}"/>
    <cellStyle name="货币 2 2 4 4 3 2 2 2" xfId="30846" xr:uid="{00000000-0005-0000-0000-0000AE780000}"/>
    <cellStyle name="货币 2 2 4 4 3 2 3" xfId="23345" xr:uid="{00000000-0005-0000-0000-0000615B0000}"/>
    <cellStyle name="货币 2 2 4 4 3 2 4" xfId="23352" xr:uid="{00000000-0005-0000-0000-0000685B0000}"/>
    <cellStyle name="货币 2 2 4 4 3 2 5" xfId="8746" xr:uid="{00000000-0005-0000-0000-00005A220000}"/>
    <cellStyle name="货币 2 2 4 4 3 2 6" xfId="8753" xr:uid="{00000000-0005-0000-0000-000061220000}"/>
    <cellStyle name="货币 2 2 4 4 3 2 7" xfId="7329" xr:uid="{00000000-0005-0000-0000-0000D11C0000}"/>
    <cellStyle name="货币 2 2 4 4 3 2 8" xfId="8761" xr:uid="{00000000-0005-0000-0000-000069220000}"/>
    <cellStyle name="货币 2 2 4 4 3 2 9" xfId="13530" xr:uid="{00000000-0005-0000-0000-00000A350000}"/>
    <cellStyle name="货币 2 2 4 4 3 3" xfId="30881" xr:uid="{00000000-0005-0000-0000-0000D1780000}"/>
    <cellStyle name="货币 2 2 4 4 3 3 2" xfId="30896" xr:uid="{00000000-0005-0000-0000-0000E0780000}"/>
    <cellStyle name="货币 2 2 4 4 3 3 3" xfId="23360" xr:uid="{00000000-0005-0000-0000-0000705B0000}"/>
    <cellStyle name="货币 2 2 4 4 3 3 4" xfId="23363" xr:uid="{00000000-0005-0000-0000-0000735B0000}"/>
    <cellStyle name="货币 2 2 4 4 3 3 5" xfId="8778" xr:uid="{00000000-0005-0000-0000-00007A220000}"/>
    <cellStyle name="货币 2 2 4 4 3 3 6" xfId="8787" xr:uid="{00000000-0005-0000-0000-000083220000}"/>
    <cellStyle name="货币 2 2 4 4 3 4" xfId="30930" xr:uid="{00000000-0005-0000-0000-000002790000}"/>
    <cellStyle name="货币 2 2 4 4 3 4 2" xfId="8645" xr:uid="{00000000-0005-0000-0000-0000F5210000}"/>
    <cellStyle name="货币 2 2 4 4 3 4 3" xfId="8653" xr:uid="{00000000-0005-0000-0000-0000FD210000}"/>
    <cellStyle name="货币 2 2 4 4 3 4 4" xfId="30940" xr:uid="{00000000-0005-0000-0000-00000C790000}"/>
    <cellStyle name="货币 2 2 4 4 3 4 5" xfId="13807" xr:uid="{00000000-0005-0000-0000-00001F360000}"/>
    <cellStyle name="货币 2 2 4 4 3 4 6" xfId="13813" xr:uid="{00000000-0005-0000-0000-000025360000}"/>
    <cellStyle name="货币 2 2 4 4 3 5" xfId="30942" xr:uid="{00000000-0005-0000-0000-00000E790000}"/>
    <cellStyle name="货币 2 2 4 4 3 5 2" xfId="8802" xr:uid="{00000000-0005-0000-0000-000092220000}"/>
    <cellStyle name="货币 2 2 4 4 3 5 3" xfId="8806" xr:uid="{00000000-0005-0000-0000-000096220000}"/>
    <cellStyle name="货币 2 2 4 4 3 5 4" xfId="30950" xr:uid="{00000000-0005-0000-0000-000016790000}"/>
    <cellStyle name="货币 2 2 4 4 3 5 5" xfId="30952" xr:uid="{00000000-0005-0000-0000-000018790000}"/>
    <cellStyle name="货币 2 2 4 4 3 5 6" xfId="30954" xr:uid="{00000000-0005-0000-0000-00001A790000}"/>
    <cellStyle name="货币 2 2 4 4 3 6" xfId="26888" xr:uid="{00000000-0005-0000-0000-000038690000}"/>
    <cellStyle name="货币 2 2 4 4 3 6 2" xfId="8903" xr:uid="{00000000-0005-0000-0000-0000F7220000}"/>
    <cellStyle name="货币 2 2 4 4 3 6 3" xfId="8915" xr:uid="{00000000-0005-0000-0000-000003230000}"/>
    <cellStyle name="货币 2 2 4 4 3 6 4" xfId="30967" xr:uid="{00000000-0005-0000-0000-000027790000}"/>
    <cellStyle name="货币 2 2 4 4 3 6 5" xfId="17436" xr:uid="{00000000-0005-0000-0000-00004C440000}"/>
    <cellStyle name="货币 2 2 4 4 3 6 6" xfId="17469" xr:uid="{00000000-0005-0000-0000-00006D440000}"/>
    <cellStyle name="货币 2 2 4 4 3 7" xfId="26892" xr:uid="{00000000-0005-0000-0000-00003C690000}"/>
    <cellStyle name="货币 2 2 4 4 3 8" xfId="26896" xr:uid="{00000000-0005-0000-0000-000040690000}"/>
    <cellStyle name="货币 2 2 4 4 3 9" xfId="26900" xr:uid="{00000000-0005-0000-0000-000044690000}"/>
    <cellStyle name="货币 2 2 4 4 4" xfId="13259" xr:uid="{00000000-0005-0000-0000-0000FB330000}"/>
    <cellStyle name="货币 2 2 4 4 4 10" xfId="17873" xr:uid="{00000000-0005-0000-0000-000001460000}"/>
    <cellStyle name="货币 2 2 4 4 4 11" xfId="7746" xr:uid="{00000000-0005-0000-0000-0000721E0000}"/>
    <cellStyle name="货币 2 2 4 4 4 12" xfId="4006" xr:uid="{00000000-0005-0000-0000-0000D60F0000}"/>
    <cellStyle name="货币 2 2 4 4 4 13" xfId="530" xr:uid="{00000000-0005-0000-0000-000036020000}"/>
    <cellStyle name="货币 2 2 4 4 4 14" xfId="7756" xr:uid="{00000000-0005-0000-0000-00007C1E0000}"/>
    <cellStyle name="货币 2 2 4 4 4 15" xfId="30292" xr:uid="{00000000-0005-0000-0000-000084760000}"/>
    <cellStyle name="货币 2 2 4 4 4 2" xfId="31008" xr:uid="{00000000-0005-0000-0000-000050790000}"/>
    <cellStyle name="货币 2 2 4 4 4 2 2" xfId="28555" xr:uid="{00000000-0005-0000-0000-0000BB6F0000}"/>
    <cellStyle name="货币 2 2 4 4 4 2 2 2" xfId="28624" xr:uid="{00000000-0005-0000-0000-000000700000}"/>
    <cellStyle name="货币 2 2 4 4 4 2 3" xfId="23380" xr:uid="{00000000-0005-0000-0000-0000845B0000}"/>
    <cellStyle name="货币 2 2 4 4 4 2 4" xfId="23389" xr:uid="{00000000-0005-0000-0000-00008D5B0000}"/>
    <cellStyle name="货币 2 2 4 4 4 2 5" xfId="14256" xr:uid="{00000000-0005-0000-0000-0000E0370000}"/>
    <cellStyle name="货币 2 2 4 4 4 2 6" xfId="14261" xr:uid="{00000000-0005-0000-0000-0000E5370000}"/>
    <cellStyle name="货币 2 2 4 4 4 2 7" xfId="14266" xr:uid="{00000000-0005-0000-0000-0000EA370000}"/>
    <cellStyle name="货币 2 2 4 4 4 2 8" xfId="14271" xr:uid="{00000000-0005-0000-0000-0000EF370000}"/>
    <cellStyle name="货币 2 2 4 4 4 2 9" xfId="14276" xr:uid="{00000000-0005-0000-0000-0000F4370000}"/>
    <cellStyle name="货币 2 2 4 4 4 3" xfId="31055" xr:uid="{00000000-0005-0000-0000-00007F790000}"/>
    <cellStyle name="货币 2 2 4 4 4 3 2" xfId="31058" xr:uid="{00000000-0005-0000-0000-000082790000}"/>
    <cellStyle name="货币 2 2 4 4 4 3 3" xfId="23394" xr:uid="{00000000-0005-0000-0000-0000925B0000}"/>
    <cellStyle name="货币 2 2 4 4 4 3 4" xfId="31076" xr:uid="{00000000-0005-0000-0000-000094790000}"/>
    <cellStyle name="货币 2 2 4 4 4 3 5" xfId="14285" xr:uid="{00000000-0005-0000-0000-0000FD370000}"/>
    <cellStyle name="货币 2 2 4 4 4 3 6" xfId="14288" xr:uid="{00000000-0005-0000-0000-000000380000}"/>
    <cellStyle name="货币 2 2 4 4 4 4" xfId="31093" xr:uid="{00000000-0005-0000-0000-0000A5790000}"/>
    <cellStyle name="货币 2 2 4 4 4 4 2" xfId="8154" xr:uid="{00000000-0005-0000-0000-00000A200000}"/>
    <cellStyle name="货币 2 2 4 4 4 5" xfId="31116" xr:uid="{00000000-0005-0000-0000-0000BC790000}"/>
    <cellStyle name="货币 2 2 4 4 4 6" xfId="6752" xr:uid="{00000000-0005-0000-0000-0000901A0000}"/>
    <cellStyle name="货币 2 2 4 4 4 7" xfId="8162" xr:uid="{00000000-0005-0000-0000-000012200000}"/>
    <cellStyle name="货币 2 2 4 4 4 8" xfId="8169" xr:uid="{00000000-0005-0000-0000-000019200000}"/>
    <cellStyle name="货币 2 2 4 4 4 9" xfId="5256" xr:uid="{00000000-0005-0000-0000-0000B8140000}"/>
    <cellStyle name="货币 2 2 4 4 5" xfId="13262" xr:uid="{00000000-0005-0000-0000-0000FE330000}"/>
    <cellStyle name="货币 2 2 4 4 5 10" xfId="31171" xr:uid="{00000000-0005-0000-0000-0000F3790000}"/>
    <cellStyle name="货币 2 2 4 4 5 11" xfId="30316" xr:uid="{00000000-0005-0000-0000-00009C760000}"/>
    <cellStyle name="货币 2 2 4 4 5 12" xfId="31178" xr:uid="{00000000-0005-0000-0000-0000FA790000}"/>
    <cellStyle name="货币 2 2 4 4 5 13" xfId="31180" xr:uid="{00000000-0005-0000-0000-0000FC790000}"/>
    <cellStyle name="货币 2 2 4 4 5 2" xfId="31193" xr:uid="{00000000-0005-0000-0000-0000097A0000}"/>
    <cellStyle name="货币 2 2 4 4 5 2 2" xfId="31212" xr:uid="{00000000-0005-0000-0000-00001C7A0000}"/>
    <cellStyle name="货币 2 2 4 4 5 2 2 2" xfId="18271" xr:uid="{00000000-0005-0000-0000-00008F470000}"/>
    <cellStyle name="货币 2 2 4 4 5 2 3" xfId="23403" xr:uid="{00000000-0005-0000-0000-00009B5B0000}"/>
    <cellStyle name="货币 2 2 4 4 5 2 4" xfId="31241" xr:uid="{00000000-0005-0000-0000-0000397A0000}"/>
    <cellStyle name="货币 2 2 4 4 5 2 5" xfId="14348" xr:uid="{00000000-0005-0000-0000-00003C380000}"/>
    <cellStyle name="货币 2 2 4 4 5 2 6" xfId="31262" xr:uid="{00000000-0005-0000-0000-00004E7A0000}"/>
    <cellStyle name="货币 2 2 4 4 5 2 7" xfId="31270" xr:uid="{00000000-0005-0000-0000-0000567A0000}"/>
    <cellStyle name="货币 2 2 4 4 5 2 8" xfId="31272" xr:uid="{00000000-0005-0000-0000-0000587A0000}"/>
    <cellStyle name="货币 2 2 4 4 5 2 9" xfId="22259" xr:uid="{00000000-0005-0000-0000-000023570000}"/>
    <cellStyle name="货币 2 2 4 4 5 3" xfId="31281" xr:uid="{00000000-0005-0000-0000-0000617A0000}"/>
    <cellStyle name="货币 2 2 4 4 5 3 2" xfId="31286" xr:uid="{00000000-0005-0000-0000-0000667A0000}"/>
    <cellStyle name="货币 2 2 4 4 5 3 3" xfId="31290" xr:uid="{00000000-0005-0000-0000-00006A7A0000}"/>
    <cellStyle name="货币 2 2 4 4 5 3 4" xfId="31298" xr:uid="{00000000-0005-0000-0000-0000727A0000}"/>
    <cellStyle name="货币 2 2 4 4 5 3 5" xfId="31305" xr:uid="{00000000-0005-0000-0000-0000797A0000}"/>
    <cellStyle name="货币 2 2 4 4 5 3 6" xfId="31309" xr:uid="{00000000-0005-0000-0000-00007D7A0000}"/>
    <cellStyle name="货币 2 2 4 4 5 4" xfId="31316" xr:uid="{00000000-0005-0000-0000-0000847A0000}"/>
    <cellStyle name="货币 2 2 4 4 5 4 2" xfId="9125" xr:uid="{00000000-0005-0000-0000-0000D5230000}"/>
    <cellStyle name="货币 2 2 4 4 5 5" xfId="31338" xr:uid="{00000000-0005-0000-0000-00009A7A0000}"/>
    <cellStyle name="货币 2 2 4 4 5 6" xfId="6781" xr:uid="{00000000-0005-0000-0000-0000AD1A0000}"/>
    <cellStyle name="货币 2 2 4 4 5 7" xfId="31374" xr:uid="{00000000-0005-0000-0000-0000BE7A0000}"/>
    <cellStyle name="货币 2 2 4 4 5 8" xfId="31384" xr:uid="{00000000-0005-0000-0000-0000C87A0000}"/>
    <cellStyle name="货币 2 2 4 4 5 9" xfId="31387" xr:uid="{00000000-0005-0000-0000-0000CB7A0000}"/>
    <cellStyle name="货币 2 2 4 4 6" xfId="13265" xr:uid="{00000000-0005-0000-0000-000001340000}"/>
    <cellStyle name="货币 2 2 4 4 6 10" xfId="13043" xr:uid="{00000000-0005-0000-0000-000023330000}"/>
    <cellStyle name="货币 2 2 4 4 6 11" xfId="2241" xr:uid="{00000000-0005-0000-0000-0000F1080000}"/>
    <cellStyle name="货币 2 2 4 4 6 12" xfId="28377" xr:uid="{00000000-0005-0000-0000-0000096F0000}"/>
    <cellStyle name="货币 2 2 4 4 6 2" xfId="31407" xr:uid="{00000000-0005-0000-0000-0000DF7A0000}"/>
    <cellStyle name="货币 2 2 4 4 6 2 2" xfId="6816" xr:uid="{00000000-0005-0000-0000-0000D01A0000}"/>
    <cellStyle name="货币 2 2 4 4 6 2 2 2" xfId="17137" xr:uid="{00000000-0005-0000-0000-000021430000}"/>
    <cellStyle name="货币 2 2 4 4 6 2 3" xfId="6831" xr:uid="{00000000-0005-0000-0000-0000DF1A0000}"/>
    <cellStyle name="货币 2 2 4 4 6 2 4" xfId="6859" xr:uid="{00000000-0005-0000-0000-0000FB1A0000}"/>
    <cellStyle name="货币 2 2 4 4 6 2 5" xfId="6868" xr:uid="{00000000-0005-0000-0000-0000041B0000}"/>
    <cellStyle name="货币 2 2 4 4 6 2 6" xfId="8127" xr:uid="{00000000-0005-0000-0000-0000EF1F0000}"/>
    <cellStyle name="货币 2 2 4 4 6 2 7" xfId="9040" xr:uid="{00000000-0005-0000-0000-000080230000}"/>
    <cellStyle name="货币 2 2 4 4 6 2 8" xfId="9049" xr:uid="{00000000-0005-0000-0000-000089230000}"/>
    <cellStyle name="货币 2 2 4 4 6 2 9" xfId="8428" xr:uid="{00000000-0005-0000-0000-00001C210000}"/>
    <cellStyle name="货币 2 2 4 4 6 3" xfId="31410" xr:uid="{00000000-0005-0000-0000-0000E27A0000}"/>
    <cellStyle name="货币 2 2 4 4 6 3 2" xfId="31412" xr:uid="{00000000-0005-0000-0000-0000E47A0000}"/>
    <cellStyle name="货币 2 2 4 4 6 3 3" xfId="31414" xr:uid="{00000000-0005-0000-0000-0000E67A0000}"/>
    <cellStyle name="货币 2 2 4 4 6 3 4" xfId="31416" xr:uid="{00000000-0005-0000-0000-0000E87A0000}"/>
    <cellStyle name="货币 2 2 4 4 6 3 5" xfId="37953" xr:uid="{00000000-0005-0000-0000-000071940000}"/>
    <cellStyle name="货币 2 2 4 4 6 3 6" xfId="37954" xr:uid="{00000000-0005-0000-0000-000072940000}"/>
    <cellStyle name="货币 2 2 4 4 6 4" xfId="31418" xr:uid="{00000000-0005-0000-0000-0000EA7A0000}"/>
    <cellStyle name="货币 2 2 4 4 6 4 2" xfId="5158" xr:uid="{00000000-0005-0000-0000-000056140000}"/>
    <cellStyle name="货币 2 2 4 4 6 5" xfId="31421" xr:uid="{00000000-0005-0000-0000-0000ED7A0000}"/>
    <cellStyle name="货币 2 2 4 4 6 6" xfId="12559" xr:uid="{00000000-0005-0000-0000-00003F310000}"/>
    <cellStyle name="货币 2 2 4 4 6 7" xfId="12566" xr:uid="{00000000-0005-0000-0000-000046310000}"/>
    <cellStyle name="货币 2 2 4 4 6 8" xfId="12572" xr:uid="{00000000-0005-0000-0000-00004C310000}"/>
    <cellStyle name="货币 2 2 4 4 6 9" xfId="12576" xr:uid="{00000000-0005-0000-0000-000050310000}"/>
    <cellStyle name="货币 2 2 4 4 7" xfId="4427" xr:uid="{00000000-0005-0000-0000-00007B110000}"/>
    <cellStyle name="货币 2 2 4 4 7 2" xfId="37730" xr:uid="{00000000-0005-0000-0000-000092930000}"/>
    <cellStyle name="货币 2 2 4 4 7 2 2" xfId="17751" xr:uid="{00000000-0005-0000-0000-000087450000}"/>
    <cellStyle name="货币 2 2 4 4 7 3" xfId="37733" xr:uid="{00000000-0005-0000-0000-000095930000}"/>
    <cellStyle name="货币 2 2 4 4 7 4" xfId="37736" xr:uid="{00000000-0005-0000-0000-000098930000}"/>
    <cellStyle name="货币 2 2 4 4 7 5" xfId="37738" xr:uid="{00000000-0005-0000-0000-00009A930000}"/>
    <cellStyle name="货币 2 2 4 4 7 6" xfId="37955" xr:uid="{00000000-0005-0000-0000-000073940000}"/>
    <cellStyle name="货币 2 2 4 4 7 7" xfId="37956" xr:uid="{00000000-0005-0000-0000-000074940000}"/>
    <cellStyle name="货币 2 2 4 4 7 8" xfId="37957" xr:uid="{00000000-0005-0000-0000-000075940000}"/>
    <cellStyle name="货币 2 2 4 4 7 9" xfId="37958" xr:uid="{00000000-0005-0000-0000-000076940000}"/>
    <cellStyle name="货币 2 2 4 4 8" xfId="37959" xr:uid="{00000000-0005-0000-0000-000077940000}"/>
    <cellStyle name="货币 2 2 4 4 8 2" xfId="37960" xr:uid="{00000000-0005-0000-0000-000078940000}"/>
    <cellStyle name="货币 2 2 4 4 8 3" xfId="37961" xr:uid="{00000000-0005-0000-0000-000079940000}"/>
    <cellStyle name="货币 2 2 4 4 8 4" xfId="37962" xr:uid="{00000000-0005-0000-0000-00007A940000}"/>
    <cellStyle name="货币 2 2 4 4 8 5" xfId="37963" xr:uid="{00000000-0005-0000-0000-00007B940000}"/>
    <cellStyle name="货币 2 2 4 4 8 6" xfId="37964" xr:uid="{00000000-0005-0000-0000-00007C940000}"/>
    <cellStyle name="货币 2 2 4 4 9" xfId="37965" xr:uid="{00000000-0005-0000-0000-00007D940000}"/>
    <cellStyle name="货币 2 2 4 4 9 2" xfId="9783" xr:uid="{00000000-0005-0000-0000-000067260000}"/>
    <cellStyle name="货币 2 2 4 4 9 3" xfId="35196" xr:uid="{00000000-0005-0000-0000-0000AC890000}"/>
    <cellStyle name="货币 2 2 4 4 9 4" xfId="37966" xr:uid="{00000000-0005-0000-0000-00007E940000}"/>
    <cellStyle name="货币 2 2 4 4 9 5" xfId="37967" xr:uid="{00000000-0005-0000-0000-00007F940000}"/>
    <cellStyle name="货币 2 2 4 4 9 6" xfId="37968" xr:uid="{00000000-0005-0000-0000-000080940000}"/>
    <cellStyle name="货币 2 2 4 5" xfId="37970" xr:uid="{00000000-0005-0000-0000-000082940000}"/>
    <cellStyle name="货币 2 2 4 5 10" xfId="1862" xr:uid="{00000000-0005-0000-0000-000076070000}"/>
    <cellStyle name="货币 2 2 4 5 11" xfId="1936" xr:uid="{00000000-0005-0000-0000-0000C0070000}"/>
    <cellStyle name="货币 2 2 4 5 12" xfId="27864" xr:uid="{00000000-0005-0000-0000-0000086D0000}"/>
    <cellStyle name="货币 2 2 4 5 13" xfId="27868" xr:uid="{00000000-0005-0000-0000-00000C6D0000}"/>
    <cellStyle name="货币 2 2 4 5 14" xfId="27871" xr:uid="{00000000-0005-0000-0000-00000F6D0000}"/>
    <cellStyle name="货币 2 2 4 5 15" xfId="34622" xr:uid="{00000000-0005-0000-0000-00006E870000}"/>
    <cellStyle name="货币 2 2 4 5 16" xfId="34624" xr:uid="{00000000-0005-0000-0000-000070870000}"/>
    <cellStyle name="货币 2 2 4 5 17" xfId="34626" xr:uid="{00000000-0005-0000-0000-000072870000}"/>
    <cellStyle name="货币 2 2 4 5 18" xfId="26083" xr:uid="{00000000-0005-0000-0000-000013660000}"/>
    <cellStyle name="货币 2 2 4 5 19" xfId="34628" xr:uid="{00000000-0005-0000-0000-000074870000}"/>
    <cellStyle name="货币 2 2 4 5 2" xfId="13292" xr:uid="{00000000-0005-0000-0000-00001C340000}"/>
    <cellStyle name="货币 2 2 4 5 2 10" xfId="37972" xr:uid="{00000000-0005-0000-0000-000084940000}"/>
    <cellStyle name="货币 2 2 4 5 2 11" xfId="37974" xr:uid="{00000000-0005-0000-0000-000086940000}"/>
    <cellStyle name="货币 2 2 4 5 2 12" xfId="37976" xr:uid="{00000000-0005-0000-0000-000088940000}"/>
    <cellStyle name="货币 2 2 4 5 2 13" xfId="37977" xr:uid="{00000000-0005-0000-0000-000089940000}"/>
    <cellStyle name="货币 2 2 4 5 2 14" xfId="37978" xr:uid="{00000000-0005-0000-0000-00008A940000}"/>
    <cellStyle name="货币 2 2 4 5 2 15" xfId="37979" xr:uid="{00000000-0005-0000-0000-00008B940000}"/>
    <cellStyle name="货币 2 2 4 5 2 16" xfId="37980" xr:uid="{00000000-0005-0000-0000-00008C940000}"/>
    <cellStyle name="货币 2 2 4 5 2 17" xfId="36475" xr:uid="{00000000-0005-0000-0000-0000AB8E0000}"/>
    <cellStyle name="货币 2 2 4 5 2 18" xfId="36477" xr:uid="{00000000-0005-0000-0000-0000AD8E0000}"/>
    <cellStyle name="货币 2 2 4 5 2 2" xfId="37981" xr:uid="{00000000-0005-0000-0000-00008D940000}"/>
    <cellStyle name="货币 2 2 4 5 2 2 10" xfId="3150" xr:uid="{00000000-0005-0000-0000-00007E0C0000}"/>
    <cellStyle name="货币 2 2 4 5 2 2 2" xfId="37983" xr:uid="{00000000-0005-0000-0000-00008F940000}"/>
    <cellStyle name="货币 2 2 4 5 2 2 2 2" xfId="21742" xr:uid="{00000000-0005-0000-0000-00001E550000}"/>
    <cellStyle name="货币 2 2 4 5 2 2 3" xfId="37987" xr:uid="{00000000-0005-0000-0000-000093940000}"/>
    <cellStyle name="货币 2 2 4 5 2 2 4" xfId="37990" xr:uid="{00000000-0005-0000-0000-000096940000}"/>
    <cellStyle name="货币 2 2 4 5 2 2 5" xfId="2196" xr:uid="{00000000-0005-0000-0000-0000C4080000}"/>
    <cellStyle name="货币 2 2 4 5 2 2 6" xfId="37992" xr:uid="{00000000-0005-0000-0000-000098940000}"/>
    <cellStyle name="货币 2 2 4 5 2 2 7" xfId="37993" xr:uid="{00000000-0005-0000-0000-000099940000}"/>
    <cellStyle name="货币 2 2 4 5 2 2 8" xfId="37995" xr:uid="{00000000-0005-0000-0000-00009B940000}"/>
    <cellStyle name="货币 2 2 4 5 2 2 9" xfId="37997" xr:uid="{00000000-0005-0000-0000-00009D940000}"/>
    <cellStyle name="货币 2 2 4 5 2 3" xfId="37998" xr:uid="{00000000-0005-0000-0000-00009E940000}"/>
    <cellStyle name="货币 2 2 4 5 2 3 2" xfId="38000" xr:uid="{00000000-0005-0000-0000-0000A0940000}"/>
    <cellStyle name="货币 2 2 4 5 2 3 3" xfId="38001" xr:uid="{00000000-0005-0000-0000-0000A1940000}"/>
    <cellStyle name="货币 2 2 4 5 2 3 4" xfId="38002" xr:uid="{00000000-0005-0000-0000-0000A2940000}"/>
    <cellStyle name="货币 2 2 4 5 2 3 5" xfId="38003" xr:uid="{00000000-0005-0000-0000-0000A3940000}"/>
    <cellStyle name="货币 2 2 4 5 2 3 6" xfId="38004" xr:uid="{00000000-0005-0000-0000-0000A4940000}"/>
    <cellStyle name="货币 2 2 4 5 2 4" xfId="38005" xr:uid="{00000000-0005-0000-0000-0000A5940000}"/>
    <cellStyle name="货币 2 2 4 5 2 4 2" xfId="38007" xr:uid="{00000000-0005-0000-0000-0000A7940000}"/>
    <cellStyle name="货币 2 2 4 5 2 4 3" xfId="38008" xr:uid="{00000000-0005-0000-0000-0000A8940000}"/>
    <cellStyle name="货币 2 2 4 5 2 4 4" xfId="38009" xr:uid="{00000000-0005-0000-0000-0000A9940000}"/>
    <cellStyle name="货币 2 2 4 5 2 4 5" xfId="38010" xr:uid="{00000000-0005-0000-0000-0000AA940000}"/>
    <cellStyle name="货币 2 2 4 5 2 4 6" xfId="38011" xr:uid="{00000000-0005-0000-0000-0000AB940000}"/>
    <cellStyle name="货币 2 2 4 5 2 5" xfId="38012" xr:uid="{00000000-0005-0000-0000-0000AC940000}"/>
    <cellStyle name="货币 2 2 4 5 2 5 2" xfId="38013" xr:uid="{00000000-0005-0000-0000-0000AD940000}"/>
    <cellStyle name="货币 2 2 4 5 2 5 3" xfId="4269" xr:uid="{00000000-0005-0000-0000-0000DD100000}"/>
    <cellStyle name="货币 2 2 4 5 2 5 4" xfId="38014" xr:uid="{00000000-0005-0000-0000-0000AE940000}"/>
    <cellStyle name="货币 2 2 4 5 2 5 5" xfId="38015" xr:uid="{00000000-0005-0000-0000-0000AF940000}"/>
    <cellStyle name="货币 2 2 4 5 2 5 6" xfId="38016" xr:uid="{00000000-0005-0000-0000-0000B0940000}"/>
    <cellStyle name="货币 2 2 4 5 2 6" xfId="38017" xr:uid="{00000000-0005-0000-0000-0000B1940000}"/>
    <cellStyle name="货币 2 2 4 5 2 6 2" xfId="38018" xr:uid="{00000000-0005-0000-0000-0000B2940000}"/>
    <cellStyle name="货币 2 2 4 5 2 6 3" xfId="38019" xr:uid="{00000000-0005-0000-0000-0000B3940000}"/>
    <cellStyle name="货币 2 2 4 5 2 6 4" xfId="38020" xr:uid="{00000000-0005-0000-0000-0000B4940000}"/>
    <cellStyle name="货币 2 2 4 5 2 6 5" xfId="12656" xr:uid="{00000000-0005-0000-0000-0000A0310000}"/>
    <cellStyle name="货币 2 2 4 5 2 6 6" xfId="12662" xr:uid="{00000000-0005-0000-0000-0000A6310000}"/>
    <cellStyle name="货币 2 2 4 5 2 7" xfId="38021" xr:uid="{00000000-0005-0000-0000-0000B5940000}"/>
    <cellStyle name="货币 2 2 4 5 2 8" xfId="38022" xr:uid="{00000000-0005-0000-0000-0000B6940000}"/>
    <cellStyle name="货币 2 2 4 5 2 9" xfId="38023" xr:uid="{00000000-0005-0000-0000-0000B7940000}"/>
    <cellStyle name="货币 2 2 4 5 3" xfId="13295" xr:uid="{00000000-0005-0000-0000-00001F340000}"/>
    <cellStyle name="货币 2 2 4 5 3 10" xfId="38024" xr:uid="{00000000-0005-0000-0000-0000B8940000}"/>
    <cellStyle name="货币 2 2 4 5 3 11" xfId="38025" xr:uid="{00000000-0005-0000-0000-0000B9940000}"/>
    <cellStyle name="货币 2 2 4 5 3 12" xfId="15391" xr:uid="{00000000-0005-0000-0000-00004F3C0000}"/>
    <cellStyle name="货币 2 2 4 5 3 2" xfId="24066" xr:uid="{00000000-0005-0000-0000-0000325E0000}"/>
    <cellStyle name="货币 2 2 4 5 3 2 2" xfId="23772" xr:uid="{00000000-0005-0000-0000-00000C5D0000}"/>
    <cellStyle name="货币 2 2 4 5 3 2 2 2" xfId="21387" xr:uid="{00000000-0005-0000-0000-0000BB530000}"/>
    <cellStyle name="货币 2 2 4 5 3 2 3" xfId="23779" xr:uid="{00000000-0005-0000-0000-0000135D0000}"/>
    <cellStyle name="货币 2 2 4 5 3 2 4" xfId="23785" xr:uid="{00000000-0005-0000-0000-0000195D0000}"/>
    <cellStyle name="货币 2 2 4 5 3 2 5" xfId="9543" xr:uid="{00000000-0005-0000-0000-000077250000}"/>
    <cellStyle name="货币 2 2 4 5 3 3" xfId="24078" xr:uid="{00000000-0005-0000-0000-00003E5E0000}"/>
    <cellStyle name="货币 2 2 4 5 3 3 2" xfId="38026" xr:uid="{00000000-0005-0000-0000-0000BA940000}"/>
    <cellStyle name="货币 2 2 4 5 3 4" xfId="38027" xr:uid="{00000000-0005-0000-0000-0000BB940000}"/>
    <cellStyle name="货币 2 2 4 5 3 5" xfId="38029" xr:uid="{00000000-0005-0000-0000-0000BD940000}"/>
    <cellStyle name="货币 2 2 4 5 3 6" xfId="24143" xr:uid="{00000000-0005-0000-0000-00007F5E0000}"/>
    <cellStyle name="货币 2 2 4 5 3 7" xfId="26923" xr:uid="{00000000-0005-0000-0000-00005B690000}"/>
    <cellStyle name="货币 2 2 4 5 3 8" xfId="26927" xr:uid="{00000000-0005-0000-0000-00005F690000}"/>
    <cellStyle name="货币 2 2 4 5 3 9" xfId="26931" xr:uid="{00000000-0005-0000-0000-000063690000}"/>
    <cellStyle name="货币 2 2 4 5 4" xfId="13297" xr:uid="{00000000-0005-0000-0000-000021340000}"/>
    <cellStyle name="货币 2 2 4 5 4 10" xfId="38030" xr:uid="{00000000-0005-0000-0000-0000BE940000}"/>
    <cellStyle name="货币 2 2 4 5 4 11" xfId="38031" xr:uid="{00000000-0005-0000-0000-0000BF940000}"/>
    <cellStyle name="货币 2 2 4 5 4 2" xfId="38032" xr:uid="{00000000-0005-0000-0000-0000C0940000}"/>
    <cellStyle name="货币 2 2 4 5 4 2 2" xfId="35559" xr:uid="{00000000-0005-0000-0000-0000178B0000}"/>
    <cellStyle name="货币 2 2 4 5 4 2 2 2" xfId="22430" xr:uid="{00000000-0005-0000-0000-0000CE570000}"/>
    <cellStyle name="货币 2 2 4 5 4 2 3" xfId="35562" xr:uid="{00000000-0005-0000-0000-00001A8B0000}"/>
    <cellStyle name="货币 2 2 4 5 4 2 4" xfId="35564" xr:uid="{00000000-0005-0000-0000-00001C8B0000}"/>
    <cellStyle name="货币 2 2 4 5 4 2 5" xfId="35566" xr:uid="{00000000-0005-0000-0000-00001E8B0000}"/>
    <cellStyle name="货币 2 2 4 5 4 3" xfId="38033" xr:uid="{00000000-0005-0000-0000-0000C1940000}"/>
    <cellStyle name="货币 2 2 4 5 4 3 2" xfId="38034" xr:uid="{00000000-0005-0000-0000-0000C2940000}"/>
    <cellStyle name="货币 2 2 4 5 4 4" xfId="38035" xr:uid="{00000000-0005-0000-0000-0000C3940000}"/>
    <cellStyle name="货币 2 2 4 5 4 5" xfId="38036" xr:uid="{00000000-0005-0000-0000-0000C4940000}"/>
    <cellStyle name="货币 2 2 4 5 4 6" xfId="8225" xr:uid="{00000000-0005-0000-0000-000051200000}"/>
    <cellStyle name="货币 2 2 4 5 4 7" xfId="57" xr:uid="{00000000-0005-0000-0000-00003D000000}"/>
    <cellStyle name="货币 2 2 4 5 4 8" xfId="26942" xr:uid="{00000000-0005-0000-0000-00006E690000}"/>
    <cellStyle name="货币 2 2 4 5 4 9" xfId="26945" xr:uid="{00000000-0005-0000-0000-000071690000}"/>
    <cellStyle name="货币 2 2 4 5 5" xfId="13299" xr:uid="{00000000-0005-0000-0000-000023340000}"/>
    <cellStyle name="货币 2 2 4 5 5 10" xfId="38038" xr:uid="{00000000-0005-0000-0000-0000C6940000}"/>
    <cellStyle name="货币 2 2 4 5 5 2" xfId="38039" xr:uid="{00000000-0005-0000-0000-0000C7940000}"/>
    <cellStyle name="货币 2 2 4 5 5 2 2" xfId="38040" xr:uid="{00000000-0005-0000-0000-0000C8940000}"/>
    <cellStyle name="货币 2 2 4 5 5 2 2 2" xfId="31" xr:uid="{00000000-0005-0000-0000-000021000000}"/>
    <cellStyle name="货币 2 2 4 5 5 2 3" xfId="38042" xr:uid="{00000000-0005-0000-0000-0000CA940000}"/>
    <cellStyle name="货币 2 2 4 5 5 2 4" xfId="38043" xr:uid="{00000000-0005-0000-0000-0000CB940000}"/>
    <cellStyle name="货币 2 2 4 5 5 2 5" xfId="38044" xr:uid="{00000000-0005-0000-0000-0000CC940000}"/>
    <cellStyle name="货币 2 2 4 5 5 3" xfId="38045" xr:uid="{00000000-0005-0000-0000-0000CD940000}"/>
    <cellStyle name="货币 2 2 4 5 5 3 2" xfId="38046" xr:uid="{00000000-0005-0000-0000-0000CE940000}"/>
    <cellStyle name="货币 2 2 4 5 5 4" xfId="38047" xr:uid="{00000000-0005-0000-0000-0000CF940000}"/>
    <cellStyle name="货币 2 2 4 5 5 5" xfId="38049" xr:uid="{00000000-0005-0000-0000-0000D1940000}"/>
    <cellStyle name="货币 2 2 4 5 5 6" xfId="24288" xr:uid="{00000000-0005-0000-0000-0000105F0000}"/>
    <cellStyle name="货币 2 2 4 5 5 7" xfId="38051" xr:uid="{00000000-0005-0000-0000-0000D3940000}"/>
    <cellStyle name="货币 2 2 4 5 5 8" xfId="38053" xr:uid="{00000000-0005-0000-0000-0000D5940000}"/>
    <cellStyle name="货币 2 2 4 5 5 9" xfId="38054" xr:uid="{00000000-0005-0000-0000-0000D6940000}"/>
    <cellStyle name="货币 2 2 4 5 6" xfId="6747" xr:uid="{00000000-0005-0000-0000-00008B1A0000}"/>
    <cellStyle name="货币 2 2 4 5 6 2" xfId="6021" xr:uid="{00000000-0005-0000-0000-0000B5170000}"/>
    <cellStyle name="货币 2 2 4 5 6 2 2" xfId="6848" xr:uid="{00000000-0005-0000-0000-0000F01A0000}"/>
    <cellStyle name="货币 2 2 4 5 6 3" xfId="6032" xr:uid="{00000000-0005-0000-0000-0000C0170000}"/>
    <cellStyle name="货币 2 2 4 5 6 4" xfId="2222" xr:uid="{00000000-0005-0000-0000-0000DE080000}"/>
    <cellStyle name="货币 2 2 4 5 6 5" xfId="7169" xr:uid="{00000000-0005-0000-0000-0000311C0000}"/>
    <cellStyle name="货币 2 2 4 5 6 6" xfId="7293" xr:uid="{00000000-0005-0000-0000-0000AD1C0000}"/>
    <cellStyle name="货币 2 2 4 5 6 7" xfId="7376" xr:uid="{00000000-0005-0000-0000-0000001D0000}"/>
    <cellStyle name="货币 2 2 4 5 6 8" xfId="5101" xr:uid="{00000000-0005-0000-0000-00001D140000}"/>
    <cellStyle name="货币 2 2 4 5 6 9" xfId="7430" xr:uid="{00000000-0005-0000-0000-0000361D0000}"/>
    <cellStyle name="货币 2 2 4 5 7" xfId="4439" xr:uid="{00000000-0005-0000-0000-000087110000}"/>
    <cellStyle name="货币 2 2 4 5 7 2" xfId="24352" xr:uid="{00000000-0005-0000-0000-0000505F0000}"/>
    <cellStyle name="货币 2 2 4 5 7 3" xfId="24357" xr:uid="{00000000-0005-0000-0000-0000555F0000}"/>
    <cellStyle name="货币 2 2 4 5 7 4" xfId="24361" xr:uid="{00000000-0005-0000-0000-0000595F0000}"/>
    <cellStyle name="货币 2 2 4 5 7 5" xfId="38055" xr:uid="{00000000-0005-0000-0000-0000D7940000}"/>
    <cellStyle name="货币 2 2 4 5 7 6" xfId="38056" xr:uid="{00000000-0005-0000-0000-0000D8940000}"/>
    <cellStyle name="货币 2 2 4 5 8" xfId="4254" xr:uid="{00000000-0005-0000-0000-0000CE100000}"/>
    <cellStyle name="货币 2 2 4 5 9" xfId="1107" xr:uid="{00000000-0005-0000-0000-000083040000}"/>
    <cellStyle name="货币 2 2 4 6" xfId="38057" xr:uid="{00000000-0005-0000-0000-0000D9940000}"/>
    <cellStyle name="货币 2 2 4 6 10" xfId="20798" xr:uid="{00000000-0005-0000-0000-00006E510000}"/>
    <cellStyle name="货币 2 2 4 6 11" xfId="36445" xr:uid="{00000000-0005-0000-0000-00008D8E0000}"/>
    <cellStyle name="货币 2 2 4 6 12" xfId="36447" xr:uid="{00000000-0005-0000-0000-00008F8E0000}"/>
    <cellStyle name="货币 2 2 4 6 13" xfId="36449" xr:uid="{00000000-0005-0000-0000-0000918E0000}"/>
    <cellStyle name="货币 2 2 4 6 14" xfId="36451" xr:uid="{00000000-0005-0000-0000-0000938E0000}"/>
    <cellStyle name="货币 2 2 4 6 15" xfId="36453" xr:uid="{00000000-0005-0000-0000-0000958E0000}"/>
    <cellStyle name="货币 2 2 4 6 16" xfId="37982" xr:uid="{00000000-0005-0000-0000-00008E940000}"/>
    <cellStyle name="货币 2 2 4 6 17" xfId="37999" xr:uid="{00000000-0005-0000-0000-00009F940000}"/>
    <cellStyle name="货币 2 2 4 6 18" xfId="38006" xr:uid="{00000000-0005-0000-0000-0000A6940000}"/>
    <cellStyle name="货币 2 2 4 6 2" xfId="9" xr:uid="{00000000-0005-0000-0000-00000A000000}"/>
    <cellStyle name="货币 2 2 4 6 2 10" xfId="38058" xr:uid="{00000000-0005-0000-0000-0000DA940000}"/>
    <cellStyle name="货币 2 2 4 6 2 2" xfId="38059" xr:uid="{00000000-0005-0000-0000-0000DB940000}"/>
    <cellStyle name="货币 2 2 4 6 2 2 2" xfId="38060" xr:uid="{00000000-0005-0000-0000-0000DC940000}"/>
    <cellStyle name="货币 2 2 4 6 2 3" xfId="38061" xr:uid="{00000000-0005-0000-0000-0000DD940000}"/>
    <cellStyle name="货币 2 2 4 6 2 4" xfId="38062" xr:uid="{00000000-0005-0000-0000-0000DE940000}"/>
    <cellStyle name="货币 2 2 4 6 2 5" xfId="36412" xr:uid="{00000000-0005-0000-0000-00006C8E0000}"/>
    <cellStyle name="货币 2 2 4 6 2 6" xfId="36414" xr:uid="{00000000-0005-0000-0000-00006E8E0000}"/>
    <cellStyle name="货币 2 2 4 6 2 7" xfId="36416" xr:uid="{00000000-0005-0000-0000-0000708E0000}"/>
    <cellStyle name="货币 2 2 4 6 2 8" xfId="38063" xr:uid="{00000000-0005-0000-0000-0000DF940000}"/>
    <cellStyle name="货币 2 2 4 6 2 9" xfId="38064" xr:uid="{00000000-0005-0000-0000-0000E0940000}"/>
    <cellStyle name="货币 2 2 4 6 3" xfId="13304" xr:uid="{00000000-0005-0000-0000-000028340000}"/>
    <cellStyle name="货币 2 2 4 6 3 2" xfId="38065" xr:uid="{00000000-0005-0000-0000-0000E1940000}"/>
    <cellStyle name="货币 2 2 4 6 3 3" xfId="34092" xr:uid="{00000000-0005-0000-0000-00005C850000}"/>
    <cellStyle name="货币 2 2 4 6 3 4" xfId="34094" xr:uid="{00000000-0005-0000-0000-00005E850000}"/>
    <cellStyle name="货币 2 2 4 6 3 5" xfId="34096" xr:uid="{00000000-0005-0000-0000-000060850000}"/>
    <cellStyle name="货币 2 2 4 6 3 6" xfId="24511" xr:uid="{00000000-0005-0000-0000-0000EF5F0000}"/>
    <cellStyle name="货币 2 2 4 6 4" xfId="13306" xr:uid="{00000000-0005-0000-0000-00002A340000}"/>
    <cellStyle name="货币 2 2 4 6 4 2" xfId="38067" xr:uid="{00000000-0005-0000-0000-0000E3940000}"/>
    <cellStyle name="货币 2 2 4 6 4 3" xfId="38069" xr:uid="{00000000-0005-0000-0000-0000E5940000}"/>
    <cellStyle name="货币 2 2 4 6 4 4" xfId="38071" xr:uid="{00000000-0005-0000-0000-0000E7940000}"/>
    <cellStyle name="货币 2 2 4 6 4 5" xfId="38073" xr:uid="{00000000-0005-0000-0000-0000E9940000}"/>
    <cellStyle name="货币 2 2 4 6 4 6" xfId="38075" xr:uid="{00000000-0005-0000-0000-0000EB940000}"/>
    <cellStyle name="货币 2 2 4 6 5" xfId="13308" xr:uid="{00000000-0005-0000-0000-00002C340000}"/>
    <cellStyle name="货币 2 2 4 6 5 2" xfId="38076" xr:uid="{00000000-0005-0000-0000-0000EC940000}"/>
    <cellStyle name="货币 2 2 4 6 5 3" xfId="38077" xr:uid="{00000000-0005-0000-0000-0000ED940000}"/>
    <cellStyle name="货币 2 2 4 6 5 4" xfId="38078" xr:uid="{00000000-0005-0000-0000-0000EE940000}"/>
    <cellStyle name="货币 2 2 4 6 5 5" xfId="37973" xr:uid="{00000000-0005-0000-0000-000085940000}"/>
    <cellStyle name="货币 2 2 4 6 5 6" xfId="37975" xr:uid="{00000000-0005-0000-0000-000087940000}"/>
    <cellStyle name="货币 2 2 4 6 6" xfId="13310" xr:uid="{00000000-0005-0000-0000-00002E340000}"/>
    <cellStyle name="货币 2 2 4 6 6 2" xfId="38079" xr:uid="{00000000-0005-0000-0000-0000EF940000}"/>
    <cellStyle name="货币 2 2 4 6 6 3" xfId="38080" xr:uid="{00000000-0005-0000-0000-0000F0940000}"/>
    <cellStyle name="货币 2 2 4 6 6 4" xfId="38081" xr:uid="{00000000-0005-0000-0000-0000F1940000}"/>
    <cellStyle name="货币 2 2 4 6 6 5" xfId="38082" xr:uid="{00000000-0005-0000-0000-0000F2940000}"/>
    <cellStyle name="货币 2 2 4 6 6 6" xfId="38083" xr:uid="{00000000-0005-0000-0000-0000F3940000}"/>
    <cellStyle name="货币 2 2 4 6 7" xfId="4448" xr:uid="{00000000-0005-0000-0000-000090110000}"/>
    <cellStyle name="货币 2 2 4 6 8" xfId="38086" xr:uid="{00000000-0005-0000-0000-0000F6940000}"/>
    <cellStyle name="货币 2 2 4 6 9" xfId="38089" xr:uid="{00000000-0005-0000-0000-0000F9940000}"/>
    <cellStyle name="货币 2 2 4 7" xfId="30219" xr:uid="{00000000-0005-0000-0000-00003B760000}"/>
    <cellStyle name="货币 2 2 4 7 10" xfId="36486" xr:uid="{00000000-0005-0000-0000-0000B68E0000}"/>
    <cellStyle name="货币 2 2 4 7 11" xfId="25646" xr:uid="{00000000-0005-0000-0000-00005E640000}"/>
    <cellStyle name="货币 2 2 4 7 12" xfId="25650" xr:uid="{00000000-0005-0000-0000-000062640000}"/>
    <cellStyle name="货币 2 2 4 7 13" xfId="24335" xr:uid="{00000000-0005-0000-0000-00003F5F0000}"/>
    <cellStyle name="货币 2 2 4 7 14" xfId="24345" xr:uid="{00000000-0005-0000-0000-0000495F0000}"/>
    <cellStyle name="货币 2 2 4 7 15" xfId="9213" xr:uid="{00000000-0005-0000-0000-00002D240000}"/>
    <cellStyle name="货币 2 2 4 7 16" xfId="24353" xr:uid="{00000000-0005-0000-0000-0000515F0000}"/>
    <cellStyle name="货币 2 2 4 7 17" xfId="24358" xr:uid="{00000000-0005-0000-0000-0000565F0000}"/>
    <cellStyle name="货币 2 2 4 7 18" xfId="24362" xr:uid="{00000000-0005-0000-0000-00005A5F0000}"/>
    <cellStyle name="货币 2 2 4 7 2" xfId="13322" xr:uid="{00000000-0005-0000-0000-00003A340000}"/>
    <cellStyle name="货币 2 2 4 7 2 10" xfId="38090" xr:uid="{00000000-0005-0000-0000-0000FA940000}"/>
    <cellStyle name="货币 2 2 4 7 2 2" xfId="440" xr:uid="{00000000-0005-0000-0000-0000D5010000}"/>
    <cellStyle name="货币 2 2 4 7 2 2 2" xfId="38091" xr:uid="{00000000-0005-0000-0000-0000FB940000}"/>
    <cellStyle name="货币 2 2 4 7 2 3" xfId="38092" xr:uid="{00000000-0005-0000-0000-0000FC940000}"/>
    <cellStyle name="货币 2 2 4 7 2 4" xfId="24677" xr:uid="{00000000-0005-0000-0000-000095600000}"/>
    <cellStyle name="货币 2 2 4 7 2 5" xfId="38093" xr:uid="{00000000-0005-0000-0000-0000FD940000}"/>
    <cellStyle name="货币 2 2 4 7 2 6" xfId="38094" xr:uid="{00000000-0005-0000-0000-0000FE940000}"/>
    <cellStyle name="货币 2 2 4 7 2 7" xfId="38095" xr:uid="{00000000-0005-0000-0000-0000FF940000}"/>
    <cellStyle name="货币 2 2 4 7 2 8" xfId="38096" xr:uid="{00000000-0005-0000-0000-000000950000}"/>
    <cellStyle name="货币 2 2 4 7 2 9" xfId="32486" xr:uid="{00000000-0005-0000-0000-0000167F0000}"/>
    <cellStyle name="货币 2 2 4 7 3" xfId="13324" xr:uid="{00000000-0005-0000-0000-00003C340000}"/>
    <cellStyle name="货币 2 2 4 7 3 2" xfId="24716" xr:uid="{00000000-0005-0000-0000-0000BC600000}"/>
    <cellStyle name="货币 2 2 4 7 3 3" xfId="33360" xr:uid="{00000000-0005-0000-0000-000080820000}"/>
    <cellStyle name="货币 2 2 4 7 3 4" xfId="33362" xr:uid="{00000000-0005-0000-0000-000082820000}"/>
    <cellStyle name="货币 2 2 4 7 3 5" xfId="33364" xr:uid="{00000000-0005-0000-0000-000084820000}"/>
    <cellStyle name="货币 2 2 4 7 3 6" xfId="38097" xr:uid="{00000000-0005-0000-0000-000001950000}"/>
    <cellStyle name="货币 2 2 4 7 4" xfId="38098" xr:uid="{00000000-0005-0000-0000-000002950000}"/>
    <cellStyle name="货币 2 2 4 7 4 2" xfId="24761" xr:uid="{00000000-0005-0000-0000-0000E9600000}"/>
    <cellStyle name="货币 2 2 4 7 4 3" xfId="38099" xr:uid="{00000000-0005-0000-0000-000003950000}"/>
    <cellStyle name="货币 2 2 4 7 4 4" xfId="38100" xr:uid="{00000000-0005-0000-0000-000004950000}"/>
    <cellStyle name="货币 2 2 4 7 4 5" xfId="24766" xr:uid="{00000000-0005-0000-0000-0000EE600000}"/>
    <cellStyle name="货币 2 2 4 7 4 6" xfId="3852" xr:uid="{00000000-0005-0000-0000-00003C0F0000}"/>
    <cellStyle name="货币 2 2 4 7 5" xfId="38101" xr:uid="{00000000-0005-0000-0000-000005950000}"/>
    <cellStyle name="货币 2 2 4 7 5 2" xfId="33371" xr:uid="{00000000-0005-0000-0000-00008B820000}"/>
    <cellStyle name="货币 2 2 4 7 5 3" xfId="38102" xr:uid="{00000000-0005-0000-0000-000006950000}"/>
    <cellStyle name="货币 2 2 4 7 5 4" xfId="38103" xr:uid="{00000000-0005-0000-0000-000007950000}"/>
    <cellStyle name="货币 2 2 4 7 5 5" xfId="38104" xr:uid="{00000000-0005-0000-0000-000008950000}"/>
    <cellStyle name="货币 2 2 4 7 5 6" xfId="38105" xr:uid="{00000000-0005-0000-0000-000009950000}"/>
    <cellStyle name="货币 2 2 4 7 6" xfId="38106" xr:uid="{00000000-0005-0000-0000-00000A950000}"/>
    <cellStyle name="货币 2 2 4 7 6 2" xfId="33378" xr:uid="{00000000-0005-0000-0000-000092820000}"/>
    <cellStyle name="货币 2 2 4 7 6 3" xfId="38107" xr:uid="{00000000-0005-0000-0000-00000B950000}"/>
    <cellStyle name="货币 2 2 4 7 6 4" xfId="38108" xr:uid="{00000000-0005-0000-0000-00000C950000}"/>
    <cellStyle name="货币 2 2 4 7 6 5" xfId="38109" xr:uid="{00000000-0005-0000-0000-00000D950000}"/>
    <cellStyle name="货币 2 2 4 7 6 6" xfId="38110" xr:uid="{00000000-0005-0000-0000-00000E950000}"/>
    <cellStyle name="货币 2 2 4 7 7" xfId="4457" xr:uid="{00000000-0005-0000-0000-000099110000}"/>
    <cellStyle name="货币 2 2 4 7 8" xfId="38111" xr:uid="{00000000-0005-0000-0000-00000F950000}"/>
    <cellStyle name="货币 2 2 4 7 9" xfId="38112" xr:uid="{00000000-0005-0000-0000-000010950000}"/>
    <cellStyle name="货币 2 2 4 8" xfId="38113" xr:uid="{00000000-0005-0000-0000-000011950000}"/>
    <cellStyle name="货币 2 2 4 8 10" xfId="36513" xr:uid="{00000000-0005-0000-0000-0000D18E0000}"/>
    <cellStyle name="货币 2 2 4 8 11" xfId="25708" xr:uid="{00000000-0005-0000-0000-00009C640000}"/>
    <cellStyle name="货币 2 2 4 8 12" xfId="38114" xr:uid="{00000000-0005-0000-0000-000012950000}"/>
    <cellStyle name="货币 2 2 4 8 13" xfId="38115" xr:uid="{00000000-0005-0000-0000-000013950000}"/>
    <cellStyle name="货币 2 2 4 8 14" xfId="38116" xr:uid="{00000000-0005-0000-0000-000014950000}"/>
    <cellStyle name="货币 2 2 4 8 15" xfId="38117" xr:uid="{00000000-0005-0000-0000-000015950000}"/>
    <cellStyle name="货币 2 2 4 8 2" xfId="13340" xr:uid="{00000000-0005-0000-0000-00004C340000}"/>
    <cellStyle name="货币 2 2 4 8 2 2" xfId="38118" xr:uid="{00000000-0005-0000-0000-000016950000}"/>
    <cellStyle name="货币 2 2 4 8 2 2 2" xfId="38121" xr:uid="{00000000-0005-0000-0000-000019950000}"/>
    <cellStyle name="货币 2 2 4 8 2 3" xfId="38122" xr:uid="{00000000-0005-0000-0000-00001A950000}"/>
    <cellStyle name="货币 2 2 4 8 2 4" xfId="24846" xr:uid="{00000000-0005-0000-0000-00003E610000}"/>
    <cellStyle name="货币 2 2 4 8 2 5" xfId="998" xr:uid="{00000000-0005-0000-0000-000016040000}"/>
    <cellStyle name="货币 2 2 4 8 2 6" xfId="38123" xr:uid="{00000000-0005-0000-0000-00001B950000}"/>
    <cellStyle name="货币 2 2 4 8 2 7" xfId="29157" xr:uid="{00000000-0005-0000-0000-000015720000}"/>
    <cellStyle name="货币 2 2 4 8 2 8" xfId="38124" xr:uid="{00000000-0005-0000-0000-00001C950000}"/>
    <cellStyle name="货币 2 2 4 8 2 9" xfId="38125" xr:uid="{00000000-0005-0000-0000-00001D950000}"/>
    <cellStyle name="货币 2 2 4 8 3" xfId="13342" xr:uid="{00000000-0005-0000-0000-00004E340000}"/>
    <cellStyle name="货币 2 2 4 8 3 2" xfId="38126" xr:uid="{00000000-0005-0000-0000-00001E950000}"/>
    <cellStyle name="货币 2 2 4 8 3 3" xfId="38127" xr:uid="{00000000-0005-0000-0000-00001F950000}"/>
    <cellStyle name="货币 2 2 4 8 3 4" xfId="38128" xr:uid="{00000000-0005-0000-0000-000020950000}"/>
    <cellStyle name="货币 2 2 4 8 3 5" xfId="38129" xr:uid="{00000000-0005-0000-0000-000021950000}"/>
    <cellStyle name="货币 2 2 4 8 3 6" xfId="38130" xr:uid="{00000000-0005-0000-0000-000022950000}"/>
    <cellStyle name="货币 2 2 4 8 4" xfId="7735" xr:uid="{00000000-0005-0000-0000-0000671E0000}"/>
    <cellStyle name="货币 2 2 4 8 4 2" xfId="7741" xr:uid="{00000000-0005-0000-0000-00006D1E0000}"/>
    <cellStyle name="货币 2 2 4 8 5" xfId="7763" xr:uid="{00000000-0005-0000-0000-0000831E0000}"/>
    <cellStyle name="货币 2 2 4 8 6" xfId="7768" xr:uid="{00000000-0005-0000-0000-0000881E0000}"/>
    <cellStyle name="货币 2 2 4 8 7" xfId="4459" xr:uid="{00000000-0005-0000-0000-00009B110000}"/>
    <cellStyle name="货币 2 2 4 8 8" xfId="38131" xr:uid="{00000000-0005-0000-0000-000023950000}"/>
    <cellStyle name="货币 2 2 4 8 9" xfId="38132" xr:uid="{00000000-0005-0000-0000-000024950000}"/>
    <cellStyle name="货币 2 2 4 9" xfId="38133" xr:uid="{00000000-0005-0000-0000-000025950000}"/>
    <cellStyle name="货币 2 2 4 9 10" xfId="27977" xr:uid="{00000000-0005-0000-0000-0000796D0000}"/>
    <cellStyle name="货币 2 2 4 9 11" xfId="28008" xr:uid="{00000000-0005-0000-0000-0000986D0000}"/>
    <cellStyle name="货币 2 2 4 9 12" xfId="28021" xr:uid="{00000000-0005-0000-0000-0000A56D0000}"/>
    <cellStyle name="货币 2 2 4 9 13" xfId="28025" xr:uid="{00000000-0005-0000-0000-0000A96D0000}"/>
    <cellStyle name="货币 2 2 4 9 14" xfId="28028" xr:uid="{00000000-0005-0000-0000-0000AC6D0000}"/>
    <cellStyle name="货币 2 2 4 9 2" xfId="30074" xr:uid="{00000000-0005-0000-0000-0000AA750000}"/>
    <cellStyle name="货币 2 2 4 9 2 2" xfId="38134" xr:uid="{00000000-0005-0000-0000-000026950000}"/>
    <cellStyle name="货币 2 2 4 9 2 2 2" xfId="38135" xr:uid="{00000000-0005-0000-0000-000027950000}"/>
    <cellStyle name="货币 2 2 4 9 2 3" xfId="38136" xr:uid="{00000000-0005-0000-0000-000028950000}"/>
    <cellStyle name="货币 2 2 4 9 2 4" xfId="24866" xr:uid="{00000000-0005-0000-0000-000052610000}"/>
    <cellStyle name="货币 2 2 4 9 2 5" xfId="38137" xr:uid="{00000000-0005-0000-0000-000029950000}"/>
    <cellStyle name="货币 2 2 4 9 2 6" xfId="38138" xr:uid="{00000000-0005-0000-0000-00002A950000}"/>
    <cellStyle name="货币 2 2 4 9 2 7" xfId="38139" xr:uid="{00000000-0005-0000-0000-00002B950000}"/>
    <cellStyle name="货币 2 2 4 9 2 8" xfId="38140" xr:uid="{00000000-0005-0000-0000-00002C950000}"/>
    <cellStyle name="货币 2 2 4 9 2 9" xfId="38141" xr:uid="{00000000-0005-0000-0000-00002D950000}"/>
    <cellStyle name="货币 2 2 4 9 3" xfId="30076" xr:uid="{00000000-0005-0000-0000-0000AC750000}"/>
    <cellStyle name="货币 2 2 4 9 3 2" xfId="38142" xr:uid="{00000000-0005-0000-0000-00002E950000}"/>
    <cellStyle name="货币 2 2 4 9 3 3" xfId="38143" xr:uid="{00000000-0005-0000-0000-00002F950000}"/>
    <cellStyle name="货币 2 2 4 9 3 4" xfId="38144" xr:uid="{00000000-0005-0000-0000-000030950000}"/>
    <cellStyle name="货币 2 2 4 9 3 5" xfId="38145" xr:uid="{00000000-0005-0000-0000-000031950000}"/>
    <cellStyle name="货币 2 2 4 9 3 6" xfId="38146" xr:uid="{00000000-0005-0000-0000-000032950000}"/>
    <cellStyle name="货币 2 2 4 9 4" xfId="7845" xr:uid="{00000000-0005-0000-0000-0000D51E0000}"/>
    <cellStyle name="货币 2 2 4 9 4 2" xfId="38147" xr:uid="{00000000-0005-0000-0000-000033950000}"/>
    <cellStyle name="货币 2 2 4 9 5" xfId="38148" xr:uid="{00000000-0005-0000-0000-000034950000}"/>
    <cellStyle name="货币 2 2 4 9 6" xfId="38149" xr:uid="{00000000-0005-0000-0000-000035950000}"/>
    <cellStyle name="货币 2 2 4 9 7" xfId="4465" xr:uid="{00000000-0005-0000-0000-0000A1110000}"/>
    <cellStyle name="货币 2 2 4 9 8" xfId="38150" xr:uid="{00000000-0005-0000-0000-000036950000}"/>
    <cellStyle name="货币 2 2 4 9 9" xfId="38151" xr:uid="{00000000-0005-0000-0000-000037950000}"/>
    <cellStyle name="货币 2 2 5" xfId="5849" xr:uid="{00000000-0005-0000-0000-000009170000}"/>
    <cellStyle name="货币 2 2 5 10" xfId="21081" xr:uid="{00000000-0005-0000-0000-000089520000}"/>
    <cellStyle name="货币 2 2 5 10 2" xfId="18547" xr:uid="{00000000-0005-0000-0000-0000A3480000}"/>
    <cellStyle name="货币 2 2 5 10 2 2" xfId="21120" xr:uid="{00000000-0005-0000-0000-0000B0520000}"/>
    <cellStyle name="货币 2 2 5 10 3" xfId="18553" xr:uid="{00000000-0005-0000-0000-0000A9480000}"/>
    <cellStyle name="货币 2 2 5 10 4" xfId="18560" xr:uid="{00000000-0005-0000-0000-0000B0480000}"/>
    <cellStyle name="货币 2 2 5 10 5" xfId="18566" xr:uid="{00000000-0005-0000-0000-0000B6480000}"/>
    <cellStyle name="货币 2 2 5 10 6" xfId="21164" xr:uid="{00000000-0005-0000-0000-0000DC520000}"/>
    <cellStyle name="货币 2 2 5 10 7" xfId="21176" xr:uid="{00000000-0005-0000-0000-0000E8520000}"/>
    <cellStyle name="货币 2 2 5 10 8" xfId="21181" xr:uid="{00000000-0005-0000-0000-0000ED520000}"/>
    <cellStyle name="货币 2 2 5 10 9" xfId="21187" xr:uid="{00000000-0005-0000-0000-0000F3520000}"/>
    <cellStyle name="货币 2 2 5 11" xfId="21193" xr:uid="{00000000-0005-0000-0000-0000F9520000}"/>
    <cellStyle name="货币 2 2 5 11 2" xfId="21197" xr:uid="{00000000-0005-0000-0000-0000FD520000}"/>
    <cellStyle name="货币 2 2 5 11 2 2" xfId="37067" xr:uid="{00000000-0005-0000-0000-0000FB900000}"/>
    <cellStyle name="货币 2 2 5 11 3" xfId="38152" xr:uid="{00000000-0005-0000-0000-000038950000}"/>
    <cellStyle name="货币 2 2 5 11 4" xfId="38153" xr:uid="{00000000-0005-0000-0000-000039950000}"/>
    <cellStyle name="货币 2 2 5 11 5" xfId="32921" xr:uid="{00000000-0005-0000-0000-0000C9800000}"/>
    <cellStyle name="货币 2 2 5 11 6" xfId="32924" xr:uid="{00000000-0005-0000-0000-0000CC800000}"/>
    <cellStyle name="货币 2 2 5 11 7" xfId="32927" xr:uid="{00000000-0005-0000-0000-0000CF800000}"/>
    <cellStyle name="货币 2 2 5 11 8" xfId="32930" xr:uid="{00000000-0005-0000-0000-0000D2800000}"/>
    <cellStyle name="货币 2 2 5 11 9" xfId="32933" xr:uid="{00000000-0005-0000-0000-0000D5800000}"/>
    <cellStyle name="货币 2 2 5 12" xfId="21239" xr:uid="{00000000-0005-0000-0000-000027530000}"/>
    <cellStyle name="货币 2 2 5 12 2" xfId="38154" xr:uid="{00000000-0005-0000-0000-00003A950000}"/>
    <cellStyle name="货币 2 2 5 12 3" xfId="38155" xr:uid="{00000000-0005-0000-0000-00003B950000}"/>
    <cellStyle name="货币 2 2 5 12 4" xfId="38156" xr:uid="{00000000-0005-0000-0000-00003C950000}"/>
    <cellStyle name="货币 2 2 5 12 5" xfId="32947" xr:uid="{00000000-0005-0000-0000-0000E3800000}"/>
    <cellStyle name="货币 2 2 5 12 6" xfId="28834" xr:uid="{00000000-0005-0000-0000-0000D2700000}"/>
    <cellStyle name="货币 2 2 5 13" xfId="21301" xr:uid="{00000000-0005-0000-0000-000065530000}"/>
    <cellStyle name="货币 2 2 5 13 2" xfId="38157" xr:uid="{00000000-0005-0000-0000-00003D950000}"/>
    <cellStyle name="货币 2 2 5 13 3" xfId="38158" xr:uid="{00000000-0005-0000-0000-00003E950000}"/>
    <cellStyle name="货币 2 2 5 13 4" xfId="38159" xr:uid="{00000000-0005-0000-0000-00003F950000}"/>
    <cellStyle name="货币 2 2 5 13 5" xfId="32966" xr:uid="{00000000-0005-0000-0000-0000F6800000}"/>
    <cellStyle name="货币 2 2 5 13 6" xfId="32968" xr:uid="{00000000-0005-0000-0000-0000F8800000}"/>
    <cellStyle name="货币 2 2 5 14" xfId="38160" xr:uid="{00000000-0005-0000-0000-000040950000}"/>
    <cellStyle name="货币 2 2 5 14 2" xfId="2736" xr:uid="{00000000-0005-0000-0000-0000E00A0000}"/>
    <cellStyle name="货币 2 2 5 14 3" xfId="585" xr:uid="{00000000-0005-0000-0000-000071020000}"/>
    <cellStyle name="货币 2 2 5 14 4" xfId="38161" xr:uid="{00000000-0005-0000-0000-000041950000}"/>
    <cellStyle name="货币 2 2 5 14 5" xfId="32985" xr:uid="{00000000-0005-0000-0000-000009810000}"/>
    <cellStyle name="货币 2 2 5 14 6" xfId="38162" xr:uid="{00000000-0005-0000-0000-000042950000}"/>
    <cellStyle name="货币 2 2 5 15" xfId="38163" xr:uid="{00000000-0005-0000-0000-000043950000}"/>
    <cellStyle name="货币 2 2 5 16" xfId="38165" xr:uid="{00000000-0005-0000-0000-000045950000}"/>
    <cellStyle name="货币 2 2 5 17" xfId="34374" xr:uid="{00000000-0005-0000-0000-000076860000}"/>
    <cellStyle name="货币 2 2 5 18" xfId="34379" xr:uid="{00000000-0005-0000-0000-00007B860000}"/>
    <cellStyle name="货币 2 2 5 19" xfId="34382" xr:uid="{00000000-0005-0000-0000-00007E860000}"/>
    <cellStyle name="货币 2 2 5 2" xfId="5854" xr:uid="{00000000-0005-0000-0000-00000E170000}"/>
    <cellStyle name="货币 2 2 5 2 10" xfId="38167" xr:uid="{00000000-0005-0000-0000-000047950000}"/>
    <cellStyle name="货币 2 2 5 2 10 2" xfId="38168" xr:uid="{00000000-0005-0000-0000-000048950000}"/>
    <cellStyle name="货币 2 2 5 2 10 3" xfId="38170" xr:uid="{00000000-0005-0000-0000-00004A950000}"/>
    <cellStyle name="货币 2 2 5 2 10 4" xfId="38172" xr:uid="{00000000-0005-0000-0000-00004C950000}"/>
    <cellStyle name="货币 2 2 5 2 10 5" xfId="38174" xr:uid="{00000000-0005-0000-0000-00004E950000}"/>
    <cellStyle name="货币 2 2 5 2 10 6" xfId="38176" xr:uid="{00000000-0005-0000-0000-000050950000}"/>
    <cellStyle name="货币 2 2 5 2 11" xfId="25774" xr:uid="{00000000-0005-0000-0000-0000DE640000}"/>
    <cellStyle name="货币 2 2 5 2 11 2" xfId="640" xr:uid="{00000000-0005-0000-0000-0000AD020000}"/>
    <cellStyle name="货币 2 2 5 2 11 3" xfId="38177" xr:uid="{00000000-0005-0000-0000-000051950000}"/>
    <cellStyle name="货币 2 2 5 2 11 4" xfId="38178" xr:uid="{00000000-0005-0000-0000-000052950000}"/>
    <cellStyle name="货币 2 2 5 2 11 5" xfId="38179" xr:uid="{00000000-0005-0000-0000-000053950000}"/>
    <cellStyle name="货币 2 2 5 2 11 6" xfId="38180" xr:uid="{00000000-0005-0000-0000-000054950000}"/>
    <cellStyle name="货币 2 2 5 2 12" xfId="20625" xr:uid="{00000000-0005-0000-0000-0000C1500000}"/>
    <cellStyle name="货币 2 2 5 2 13" xfId="20630" xr:uid="{00000000-0005-0000-0000-0000C6500000}"/>
    <cellStyle name="货币 2 2 5 2 14" xfId="20634" xr:uid="{00000000-0005-0000-0000-0000CA500000}"/>
    <cellStyle name="货币 2 2 5 2 15" xfId="20639" xr:uid="{00000000-0005-0000-0000-0000CF500000}"/>
    <cellStyle name="货币 2 2 5 2 16" xfId="20645" xr:uid="{00000000-0005-0000-0000-0000D5500000}"/>
    <cellStyle name="货币 2 2 5 2 17" xfId="20651" xr:uid="{00000000-0005-0000-0000-0000DB500000}"/>
    <cellStyle name="货币 2 2 5 2 18" xfId="20657" xr:uid="{00000000-0005-0000-0000-0000E1500000}"/>
    <cellStyle name="货币 2 2 5 2 19" xfId="38182" xr:uid="{00000000-0005-0000-0000-000056950000}"/>
    <cellStyle name="货币 2 2 5 2 2" xfId="13527" xr:uid="{00000000-0005-0000-0000-000007350000}"/>
    <cellStyle name="货币 2 2 5 2 2 10" xfId="34116" xr:uid="{00000000-0005-0000-0000-000074850000}"/>
    <cellStyle name="货币 2 2 5 2 2 11" xfId="38183" xr:uid="{00000000-0005-0000-0000-000057950000}"/>
    <cellStyle name="货币 2 2 5 2 2 12" xfId="38184" xr:uid="{00000000-0005-0000-0000-000058950000}"/>
    <cellStyle name="货币 2 2 5 2 2 13" xfId="38185" xr:uid="{00000000-0005-0000-0000-000059950000}"/>
    <cellStyle name="货币 2 2 5 2 2 14" xfId="38187" xr:uid="{00000000-0005-0000-0000-00005B950000}"/>
    <cellStyle name="货币 2 2 5 2 2 15" xfId="38189" xr:uid="{00000000-0005-0000-0000-00005D950000}"/>
    <cellStyle name="货币 2 2 5 2 2 16" xfId="38191" xr:uid="{00000000-0005-0000-0000-00005F950000}"/>
    <cellStyle name="货币 2 2 5 2 2 17" xfId="38194" xr:uid="{00000000-0005-0000-0000-000062950000}"/>
    <cellStyle name="货币 2 2 5 2 2 18" xfId="38196" xr:uid="{00000000-0005-0000-0000-000064950000}"/>
    <cellStyle name="货币 2 2 5 2 2 2" xfId="8758" xr:uid="{00000000-0005-0000-0000-000066220000}"/>
    <cellStyle name="货币 2 2 5 2 2 2 10" xfId="38197" xr:uid="{00000000-0005-0000-0000-000065950000}"/>
    <cellStyle name="货币 2 2 5 2 2 2 11" xfId="38198" xr:uid="{00000000-0005-0000-0000-000066950000}"/>
    <cellStyle name="货币 2 2 5 2 2 2 12" xfId="32075" xr:uid="{00000000-0005-0000-0000-00007B7D0000}"/>
    <cellStyle name="货币 2 2 5 2 2 2 2" xfId="23239" xr:uid="{00000000-0005-0000-0000-0000F75A0000}"/>
    <cellStyle name="货币 2 2 5 2 2 2 2 2" xfId="19513" xr:uid="{00000000-0005-0000-0000-0000694C0000}"/>
    <cellStyle name="货币 2 2 5 2 2 2 2 2 2" xfId="35919" xr:uid="{00000000-0005-0000-0000-00007F8C0000}"/>
    <cellStyle name="货币 2 2 5 2 2 2 2 3" xfId="19516" xr:uid="{00000000-0005-0000-0000-00006C4C0000}"/>
    <cellStyle name="货币 2 2 5 2 2 2 2 4" xfId="19519" xr:uid="{00000000-0005-0000-0000-00006F4C0000}"/>
    <cellStyle name="货币 2 2 5 2 2 2 2 5" xfId="19522" xr:uid="{00000000-0005-0000-0000-0000724C0000}"/>
    <cellStyle name="货币 2 2 5 2 2 2 3" xfId="16438" xr:uid="{00000000-0005-0000-0000-000066400000}"/>
    <cellStyle name="货币 2 2 5 2 2 2 3 2" xfId="16444" xr:uid="{00000000-0005-0000-0000-00006C400000}"/>
    <cellStyle name="货币 2 2 5 2 2 2 4" xfId="16468" xr:uid="{00000000-0005-0000-0000-000084400000}"/>
    <cellStyle name="货币 2 2 5 2 2 2 5" xfId="16491" xr:uid="{00000000-0005-0000-0000-00009B400000}"/>
    <cellStyle name="货币 2 2 5 2 2 2 6" xfId="6695" xr:uid="{00000000-0005-0000-0000-0000571A0000}"/>
    <cellStyle name="货币 2 2 5 2 2 2 7" xfId="6705" xr:uid="{00000000-0005-0000-0000-0000611A0000}"/>
    <cellStyle name="货币 2 2 5 2 2 2 8" xfId="6714" xr:uid="{00000000-0005-0000-0000-00006A1A0000}"/>
    <cellStyle name="货币 2 2 5 2 2 2 9" xfId="16510" xr:uid="{00000000-0005-0000-0000-0000AE400000}"/>
    <cellStyle name="货币 2 2 5 2 2 3" xfId="7337" xr:uid="{00000000-0005-0000-0000-0000D91C0000}"/>
    <cellStyle name="货币 2 2 5 2 2 3 10" xfId="18621" xr:uid="{00000000-0005-0000-0000-0000ED480000}"/>
    <cellStyle name="货币 2 2 5 2 2 3 11" xfId="18635" xr:uid="{00000000-0005-0000-0000-0000FB480000}"/>
    <cellStyle name="货币 2 2 5 2 2 3 12" xfId="18645" xr:uid="{00000000-0005-0000-0000-000005490000}"/>
    <cellStyle name="货币 2 2 5 2 2 3 2" xfId="23247" xr:uid="{00000000-0005-0000-0000-0000FF5A0000}"/>
    <cellStyle name="货币 2 2 5 2 2 3 2 2" xfId="19646" xr:uid="{00000000-0005-0000-0000-0000EE4C0000}"/>
    <cellStyle name="货币 2 2 5 2 2 3 2 2 2" xfId="38199" xr:uid="{00000000-0005-0000-0000-000067950000}"/>
    <cellStyle name="货币 2 2 5 2 2 3 2 3" xfId="19649" xr:uid="{00000000-0005-0000-0000-0000F14C0000}"/>
    <cellStyle name="货币 2 2 5 2 2 3 2 4" xfId="19653" xr:uid="{00000000-0005-0000-0000-0000F54C0000}"/>
    <cellStyle name="货币 2 2 5 2 2 3 2 5" xfId="19656" xr:uid="{00000000-0005-0000-0000-0000F84C0000}"/>
    <cellStyle name="货币 2 2 5 2 2 3 3" xfId="16533" xr:uid="{00000000-0005-0000-0000-0000C5400000}"/>
    <cellStyle name="货币 2 2 5 2 2 3 3 2" xfId="16539" xr:uid="{00000000-0005-0000-0000-0000CB400000}"/>
    <cellStyle name="货币 2 2 5 2 2 3 4" xfId="16555" xr:uid="{00000000-0005-0000-0000-0000DB400000}"/>
    <cellStyle name="货币 2 2 5 2 2 3 5" xfId="16578" xr:uid="{00000000-0005-0000-0000-0000F2400000}"/>
    <cellStyle name="货币 2 2 5 2 2 3 6" xfId="16595" xr:uid="{00000000-0005-0000-0000-000003410000}"/>
    <cellStyle name="货币 2 2 5 2 2 3 7" xfId="16604" xr:uid="{00000000-0005-0000-0000-00000C410000}"/>
    <cellStyle name="货币 2 2 5 2 2 3 8" xfId="16613" xr:uid="{00000000-0005-0000-0000-000015410000}"/>
    <cellStyle name="货币 2 2 5 2 2 3 9" xfId="16619" xr:uid="{00000000-0005-0000-0000-00001B410000}"/>
    <cellStyle name="货币 2 2 5 2 2 4" xfId="8769" xr:uid="{00000000-0005-0000-0000-000071220000}"/>
    <cellStyle name="货币 2 2 5 2 2 4 10" xfId="38200" xr:uid="{00000000-0005-0000-0000-000068950000}"/>
    <cellStyle name="货币 2 2 5 2 2 4 2" xfId="23254" xr:uid="{00000000-0005-0000-0000-0000065B0000}"/>
    <cellStyle name="货币 2 2 5 2 2 4 2 2" xfId="19736" xr:uid="{00000000-0005-0000-0000-0000484D0000}"/>
    <cellStyle name="货币 2 2 5 2 2 4 2 2 2" xfId="32280" xr:uid="{00000000-0005-0000-0000-0000487E0000}"/>
    <cellStyle name="货币 2 2 5 2 2 4 2 3" xfId="19740" xr:uid="{00000000-0005-0000-0000-00004C4D0000}"/>
    <cellStyle name="货币 2 2 5 2 2 4 2 4" xfId="19746" xr:uid="{00000000-0005-0000-0000-0000524D0000}"/>
    <cellStyle name="货币 2 2 5 2 2 4 2 5" xfId="19751" xr:uid="{00000000-0005-0000-0000-0000574D0000}"/>
    <cellStyle name="货币 2 2 5 2 2 4 3" xfId="16630" xr:uid="{00000000-0005-0000-0000-000026410000}"/>
    <cellStyle name="货币 2 2 5 2 2 4 3 2" xfId="16634" xr:uid="{00000000-0005-0000-0000-00002A410000}"/>
    <cellStyle name="货币 2 2 5 2 2 4 4" xfId="16639" xr:uid="{00000000-0005-0000-0000-00002F410000}"/>
    <cellStyle name="货币 2 2 5 2 2 4 5" xfId="16644" xr:uid="{00000000-0005-0000-0000-000034410000}"/>
    <cellStyle name="货币 2 2 5 2 2 4 6" xfId="5811" xr:uid="{00000000-0005-0000-0000-0000E3160000}"/>
    <cellStyle name="货币 2 2 5 2 2 4 7" xfId="16649" xr:uid="{00000000-0005-0000-0000-000039410000}"/>
    <cellStyle name="货币 2 2 5 2 2 4 8" xfId="16652" xr:uid="{00000000-0005-0000-0000-00003C410000}"/>
    <cellStyle name="货币 2 2 5 2 2 4 9" xfId="16654" xr:uid="{00000000-0005-0000-0000-00003E410000}"/>
    <cellStyle name="货币 2 2 5 2 2 5" xfId="13537" xr:uid="{00000000-0005-0000-0000-000011350000}"/>
    <cellStyle name="货币 2 2 5 2 2 5 10" xfId="4015" xr:uid="{00000000-0005-0000-0000-0000DF0F0000}"/>
    <cellStyle name="货币 2 2 5 2 2 5 2" xfId="33326" xr:uid="{00000000-0005-0000-0000-00005E820000}"/>
    <cellStyle name="货币 2 2 5 2 2 5 2 2" xfId="19800" xr:uid="{00000000-0005-0000-0000-0000884D0000}"/>
    <cellStyle name="货币 2 2 5 2 2 5 2 2 2" xfId="4314" xr:uid="{00000000-0005-0000-0000-00000A110000}"/>
    <cellStyle name="货币 2 2 5 2 2 5 2 3" xfId="19802" xr:uid="{00000000-0005-0000-0000-00008A4D0000}"/>
    <cellStyle name="货币 2 2 5 2 2 5 2 4" xfId="19804" xr:uid="{00000000-0005-0000-0000-00008C4D0000}"/>
    <cellStyle name="货币 2 2 5 2 2 5 2 5" xfId="19806" xr:uid="{00000000-0005-0000-0000-00008E4D0000}"/>
    <cellStyle name="货币 2 2 5 2 2 5 3" xfId="16659" xr:uid="{00000000-0005-0000-0000-000043410000}"/>
    <cellStyle name="货币 2 2 5 2 2 5 3 2" xfId="19814" xr:uid="{00000000-0005-0000-0000-0000964D0000}"/>
    <cellStyle name="货币 2 2 5 2 2 5 4" xfId="16663" xr:uid="{00000000-0005-0000-0000-000047410000}"/>
    <cellStyle name="货币 2 2 5 2 2 5 5" xfId="16667" xr:uid="{00000000-0005-0000-0000-00004B410000}"/>
    <cellStyle name="货币 2 2 5 2 2 5 6" xfId="11894" xr:uid="{00000000-0005-0000-0000-0000A62E0000}"/>
    <cellStyle name="货币 2 2 5 2 2 5 7" xfId="11897" xr:uid="{00000000-0005-0000-0000-0000A92E0000}"/>
    <cellStyle name="货币 2 2 5 2 2 5 8" xfId="11900" xr:uid="{00000000-0005-0000-0000-0000AC2E0000}"/>
    <cellStyle name="货币 2 2 5 2 2 5 9" xfId="11903" xr:uid="{00000000-0005-0000-0000-0000AF2E0000}"/>
    <cellStyle name="货币 2 2 5 2 2 6" xfId="13542" xr:uid="{00000000-0005-0000-0000-000016350000}"/>
    <cellStyle name="货币 2 2 5 2 2 6 2" xfId="38201" xr:uid="{00000000-0005-0000-0000-000069950000}"/>
    <cellStyle name="货币 2 2 5 2 2 6 2 2" xfId="19840" xr:uid="{00000000-0005-0000-0000-0000B04D0000}"/>
    <cellStyle name="货币 2 2 5 2 2 6 3" xfId="16673" xr:uid="{00000000-0005-0000-0000-000051410000}"/>
    <cellStyle name="货币 2 2 5 2 2 6 4" xfId="16677" xr:uid="{00000000-0005-0000-0000-000055410000}"/>
    <cellStyle name="货币 2 2 5 2 2 6 5" xfId="16680" xr:uid="{00000000-0005-0000-0000-000058410000}"/>
    <cellStyle name="货币 2 2 5 2 2 6 6" xfId="16686" xr:uid="{00000000-0005-0000-0000-00005E410000}"/>
    <cellStyle name="货币 2 2 5 2 2 6 7" xfId="16691" xr:uid="{00000000-0005-0000-0000-000063410000}"/>
    <cellStyle name="货币 2 2 5 2 2 6 8" xfId="38202" xr:uid="{00000000-0005-0000-0000-00006A950000}"/>
    <cellStyle name="货币 2 2 5 2 2 6 9" xfId="38203" xr:uid="{00000000-0005-0000-0000-00006B950000}"/>
    <cellStyle name="货币 2 2 5 2 2 7" xfId="32864" xr:uid="{00000000-0005-0000-0000-000090800000}"/>
    <cellStyle name="货币 2 2 5 2 2 7 2" xfId="38204" xr:uid="{00000000-0005-0000-0000-00006C950000}"/>
    <cellStyle name="货币 2 2 5 2 2 8" xfId="38206" xr:uid="{00000000-0005-0000-0000-00006E950000}"/>
    <cellStyle name="货币 2 2 5 2 2 9" xfId="38207" xr:uid="{00000000-0005-0000-0000-00006F950000}"/>
    <cellStyle name="货币 2 2 5 2 20" xfId="20640" xr:uid="{00000000-0005-0000-0000-0000D0500000}"/>
    <cellStyle name="货币 2 2 5 2 21" xfId="20646" xr:uid="{00000000-0005-0000-0000-0000D6500000}"/>
    <cellStyle name="货币 2 2 5 2 22" xfId="20652" xr:uid="{00000000-0005-0000-0000-0000DC500000}"/>
    <cellStyle name="货币 2 2 5 2 23" xfId="20658" xr:uid="{00000000-0005-0000-0000-0000E2500000}"/>
    <cellStyle name="货币 2 2 5 2 3" xfId="13545" xr:uid="{00000000-0005-0000-0000-000019350000}"/>
    <cellStyle name="货币 2 2 5 2 3 10" xfId="33068" xr:uid="{00000000-0005-0000-0000-00005C810000}"/>
    <cellStyle name="货币 2 2 5 2 3 11" xfId="33070" xr:uid="{00000000-0005-0000-0000-00005E810000}"/>
    <cellStyle name="货币 2 2 5 2 3 12" xfId="33073" xr:uid="{00000000-0005-0000-0000-000061810000}"/>
    <cellStyle name="货币 2 2 5 2 3 13" xfId="33076" xr:uid="{00000000-0005-0000-0000-000064810000}"/>
    <cellStyle name="货币 2 2 5 2 3 14" xfId="11926" xr:uid="{00000000-0005-0000-0000-0000C62E0000}"/>
    <cellStyle name="货币 2 2 5 2 3 15" xfId="11932" xr:uid="{00000000-0005-0000-0000-0000CC2E0000}"/>
    <cellStyle name="货币 2 2 5 2 3 16" xfId="11938" xr:uid="{00000000-0005-0000-0000-0000D22E0000}"/>
    <cellStyle name="货币 2 2 5 2 3 17" xfId="4050" xr:uid="{00000000-0005-0000-0000-000002100000}"/>
    <cellStyle name="货币 2 2 5 2 3 18" xfId="1314" xr:uid="{00000000-0005-0000-0000-000052050000}"/>
    <cellStyle name="货币 2 2 5 2 3 2" xfId="8784" xr:uid="{00000000-0005-0000-0000-000080220000}"/>
    <cellStyle name="货币 2 2 5 2 3 2 10" xfId="22338" xr:uid="{00000000-0005-0000-0000-000072570000}"/>
    <cellStyle name="货币 2 2 5 2 3 2 2" xfId="23266" xr:uid="{00000000-0005-0000-0000-0000125B0000}"/>
    <cellStyle name="货币 2 2 5 2 3 2 2 2" xfId="19914" xr:uid="{00000000-0005-0000-0000-0000FA4D0000}"/>
    <cellStyle name="货币 2 2 5 2 3 2 3" xfId="16931" xr:uid="{00000000-0005-0000-0000-000053420000}"/>
    <cellStyle name="货币 2 2 5 2 3 2 4" xfId="16958" xr:uid="{00000000-0005-0000-0000-00006E420000}"/>
    <cellStyle name="货币 2 2 5 2 3 2 5" xfId="16963" xr:uid="{00000000-0005-0000-0000-000073420000}"/>
    <cellStyle name="货币 2 2 5 2 3 2 6" xfId="16977" xr:uid="{00000000-0005-0000-0000-000081420000}"/>
    <cellStyle name="货币 2 2 5 2 3 2 7" xfId="16983" xr:uid="{00000000-0005-0000-0000-000087420000}"/>
    <cellStyle name="货币 2 2 5 2 3 2 8" xfId="16989" xr:uid="{00000000-0005-0000-0000-00008D420000}"/>
    <cellStyle name="货币 2 2 5 2 3 2 9" xfId="16995" xr:uid="{00000000-0005-0000-0000-000093420000}"/>
    <cellStyle name="货币 2 2 5 2 3 3" xfId="7350" xr:uid="{00000000-0005-0000-0000-0000E61C0000}"/>
    <cellStyle name="货币 2 2 5 2 3 3 2" xfId="35288" xr:uid="{00000000-0005-0000-0000-0000088A0000}"/>
    <cellStyle name="货币 2 2 5 2 3 3 3" xfId="17005" xr:uid="{00000000-0005-0000-0000-00009D420000}"/>
    <cellStyle name="货币 2 2 5 2 3 3 4" xfId="17048" xr:uid="{00000000-0005-0000-0000-0000C8420000}"/>
    <cellStyle name="货币 2 2 5 2 3 3 5" xfId="17070" xr:uid="{00000000-0005-0000-0000-0000DE420000}"/>
    <cellStyle name="货币 2 2 5 2 3 3 6" xfId="17076" xr:uid="{00000000-0005-0000-0000-0000E4420000}"/>
    <cellStyle name="货币 2 2 5 2 3 4" xfId="8797" xr:uid="{00000000-0005-0000-0000-00008D220000}"/>
    <cellStyle name="货币 2 2 5 2 3 4 2" xfId="28761" xr:uid="{00000000-0005-0000-0000-000089700000}"/>
    <cellStyle name="货币 2 2 5 2 3 4 3" xfId="17092" xr:uid="{00000000-0005-0000-0000-0000F4420000}"/>
    <cellStyle name="货币 2 2 5 2 3 4 4" xfId="17100" xr:uid="{00000000-0005-0000-0000-0000FC420000}"/>
    <cellStyle name="货币 2 2 5 2 3 4 5" xfId="17104" xr:uid="{00000000-0005-0000-0000-000000430000}"/>
    <cellStyle name="货币 2 2 5 2 3 4 6" xfId="17112" xr:uid="{00000000-0005-0000-0000-000008430000}"/>
    <cellStyle name="货币 2 2 5 2 3 5" xfId="13552" xr:uid="{00000000-0005-0000-0000-000020350000}"/>
    <cellStyle name="货币 2 2 5 2 3 5 2" xfId="15703" xr:uid="{00000000-0005-0000-0000-0000873D0000}"/>
    <cellStyle name="货币 2 2 5 2 3 5 3" xfId="15708" xr:uid="{00000000-0005-0000-0000-00008C3D0000}"/>
    <cellStyle name="货币 2 2 5 2 3 5 4" xfId="15713" xr:uid="{00000000-0005-0000-0000-0000913D0000}"/>
    <cellStyle name="货币 2 2 5 2 3 5 5" xfId="15719" xr:uid="{00000000-0005-0000-0000-0000973D0000}"/>
    <cellStyle name="货币 2 2 5 2 3 5 6" xfId="15727" xr:uid="{00000000-0005-0000-0000-00009F3D0000}"/>
    <cellStyle name="货币 2 2 5 2 3 6" xfId="13556" xr:uid="{00000000-0005-0000-0000-000024350000}"/>
    <cellStyle name="货币 2 2 5 2 3 6 2" xfId="7883" xr:uid="{00000000-0005-0000-0000-0000FB1E0000}"/>
    <cellStyle name="货币 2 2 5 2 3 6 3" xfId="7893" xr:uid="{00000000-0005-0000-0000-0000051F0000}"/>
    <cellStyle name="货币 2 2 5 2 3 6 4" xfId="5971" xr:uid="{00000000-0005-0000-0000-000083170000}"/>
    <cellStyle name="货币 2 2 5 2 3 6 5" xfId="7898" xr:uid="{00000000-0005-0000-0000-00000A1F0000}"/>
    <cellStyle name="货币 2 2 5 2 3 6 6" xfId="2119" xr:uid="{00000000-0005-0000-0000-000077080000}"/>
    <cellStyle name="货币 2 2 5 2 3 7" xfId="23273" xr:uid="{00000000-0005-0000-0000-0000195B0000}"/>
    <cellStyle name="货币 2 2 5 2 3 8" xfId="23278" xr:uid="{00000000-0005-0000-0000-00001E5B0000}"/>
    <cellStyle name="货币 2 2 5 2 3 9" xfId="23283" xr:uid="{00000000-0005-0000-0000-0000235B0000}"/>
    <cellStyle name="货币 2 2 5 2 4" xfId="13567" xr:uid="{00000000-0005-0000-0000-00002F350000}"/>
    <cellStyle name="货币 2 2 5 2 4 10" xfId="38208" xr:uid="{00000000-0005-0000-0000-000070950000}"/>
    <cellStyle name="货币 2 2 5 2 4 11" xfId="38209" xr:uid="{00000000-0005-0000-0000-000071950000}"/>
    <cellStyle name="货币 2 2 5 2 4 12" xfId="38210" xr:uid="{00000000-0005-0000-0000-000072950000}"/>
    <cellStyle name="货币 2 2 5 2 4 13" xfId="37984" xr:uid="{00000000-0005-0000-0000-000090940000}"/>
    <cellStyle name="货币 2 2 5 2 4 14" xfId="37988" xr:uid="{00000000-0005-0000-0000-000094940000}"/>
    <cellStyle name="货币 2 2 5 2 4 15" xfId="37991" xr:uid="{00000000-0005-0000-0000-000097940000}"/>
    <cellStyle name="货币 2 2 5 2 4 2" xfId="38211" xr:uid="{00000000-0005-0000-0000-000073950000}"/>
    <cellStyle name="货币 2 2 5 2 4 2 2" xfId="38213" xr:uid="{00000000-0005-0000-0000-000075950000}"/>
    <cellStyle name="货币 2 2 5 2 4 2 2 2" xfId="20375" xr:uid="{00000000-0005-0000-0000-0000C74F0000}"/>
    <cellStyle name="货币 2 2 5 2 4 2 3" xfId="17309" xr:uid="{00000000-0005-0000-0000-0000CD430000}"/>
    <cellStyle name="货币 2 2 5 2 4 2 4" xfId="17317" xr:uid="{00000000-0005-0000-0000-0000D5430000}"/>
    <cellStyle name="货币 2 2 5 2 4 2 5" xfId="17327" xr:uid="{00000000-0005-0000-0000-0000DF430000}"/>
    <cellStyle name="货币 2 2 5 2 4 2 6" xfId="3352" xr:uid="{00000000-0005-0000-0000-0000480D0000}"/>
    <cellStyle name="货币 2 2 5 2 4 2 7" xfId="17331" xr:uid="{00000000-0005-0000-0000-0000E3430000}"/>
    <cellStyle name="货币 2 2 5 2 4 2 8" xfId="17335" xr:uid="{00000000-0005-0000-0000-0000E7430000}"/>
    <cellStyle name="货币 2 2 5 2 4 2 9" xfId="17339" xr:uid="{00000000-0005-0000-0000-0000EB430000}"/>
    <cellStyle name="货币 2 2 5 2 4 3" xfId="35291" xr:uid="{00000000-0005-0000-0000-00000B8A0000}"/>
    <cellStyle name="货币 2 2 5 2 4 3 2" xfId="38215" xr:uid="{00000000-0005-0000-0000-000077950000}"/>
    <cellStyle name="货币 2 2 5 2 4 3 3" xfId="17353" xr:uid="{00000000-0005-0000-0000-0000F9430000}"/>
    <cellStyle name="货币 2 2 5 2 4 3 4" xfId="17364" xr:uid="{00000000-0005-0000-0000-000004440000}"/>
    <cellStyle name="货币 2 2 5 2 4 3 5" xfId="17373" xr:uid="{00000000-0005-0000-0000-00000D440000}"/>
    <cellStyle name="货币 2 2 5 2 4 3 6" xfId="3365" xr:uid="{00000000-0005-0000-0000-0000550D0000}"/>
    <cellStyle name="货币 2 2 5 2 4 4" xfId="38216" xr:uid="{00000000-0005-0000-0000-000078950000}"/>
    <cellStyle name="货币 2 2 5 2 4 4 2" xfId="38217" xr:uid="{00000000-0005-0000-0000-000079950000}"/>
    <cellStyle name="货币 2 2 5 2 4 5" xfId="38218" xr:uid="{00000000-0005-0000-0000-00007A950000}"/>
    <cellStyle name="货币 2 2 5 2 4 6" xfId="19777" xr:uid="{00000000-0005-0000-0000-0000714D0000}"/>
    <cellStyle name="货币 2 2 5 2 4 7" xfId="19784" xr:uid="{00000000-0005-0000-0000-0000784D0000}"/>
    <cellStyle name="货币 2 2 5 2 4 8" xfId="19791" xr:uid="{00000000-0005-0000-0000-00007F4D0000}"/>
    <cellStyle name="货币 2 2 5 2 4 9" xfId="19234" xr:uid="{00000000-0005-0000-0000-0000524B0000}"/>
    <cellStyle name="货币 2 2 5 2 5" xfId="13569" xr:uid="{00000000-0005-0000-0000-000031350000}"/>
    <cellStyle name="货币 2 2 5 2 5 10" xfId="38219" xr:uid="{00000000-0005-0000-0000-00007B950000}"/>
    <cellStyle name="货币 2 2 5 2 5 11" xfId="38220" xr:uid="{00000000-0005-0000-0000-00007C950000}"/>
    <cellStyle name="货币 2 2 5 2 5 12" xfId="38221" xr:uid="{00000000-0005-0000-0000-00007D950000}"/>
    <cellStyle name="货币 2 2 5 2 5 13" xfId="38222" xr:uid="{00000000-0005-0000-0000-00007E950000}"/>
    <cellStyle name="货币 2 2 5 2 5 2" xfId="38224" xr:uid="{00000000-0005-0000-0000-000080950000}"/>
    <cellStyle name="货币 2 2 5 2 5 2 2" xfId="30996" xr:uid="{00000000-0005-0000-0000-000044790000}"/>
    <cellStyle name="货币 2 2 5 2 5 2 2 2" xfId="20774" xr:uid="{00000000-0005-0000-0000-000056510000}"/>
    <cellStyle name="货币 2 2 5 2 5 2 3" xfId="7093" xr:uid="{00000000-0005-0000-0000-0000E51B0000}"/>
    <cellStyle name="货币 2 2 5 2 5 2 4" xfId="13949" xr:uid="{00000000-0005-0000-0000-0000AD360000}"/>
    <cellStyle name="货币 2 2 5 2 5 2 5" xfId="13954" xr:uid="{00000000-0005-0000-0000-0000B2360000}"/>
    <cellStyle name="货币 2 2 5 2 5 2 6" xfId="3714" xr:uid="{00000000-0005-0000-0000-0000B20E0000}"/>
    <cellStyle name="货币 2 2 5 2 5 2 7" xfId="13958" xr:uid="{00000000-0005-0000-0000-0000B6360000}"/>
    <cellStyle name="货币 2 2 5 2 5 2 8" xfId="13962" xr:uid="{00000000-0005-0000-0000-0000BA360000}"/>
    <cellStyle name="货币 2 2 5 2 5 2 9" xfId="17584" xr:uid="{00000000-0005-0000-0000-0000E0440000}"/>
    <cellStyle name="货币 2 2 5 2 5 3" xfId="38225" xr:uid="{00000000-0005-0000-0000-000081950000}"/>
    <cellStyle name="货币 2 2 5 2 5 3 2" xfId="38226" xr:uid="{00000000-0005-0000-0000-000082950000}"/>
    <cellStyle name="货币 2 2 5 2 5 3 3" xfId="7107" xr:uid="{00000000-0005-0000-0000-0000F31B0000}"/>
    <cellStyle name="货币 2 2 5 2 5 3 4" xfId="11036" xr:uid="{00000000-0005-0000-0000-00004C2B0000}"/>
    <cellStyle name="货币 2 2 5 2 5 3 5" xfId="11043" xr:uid="{00000000-0005-0000-0000-0000532B0000}"/>
    <cellStyle name="货币 2 2 5 2 5 3 6" xfId="11049" xr:uid="{00000000-0005-0000-0000-0000592B0000}"/>
    <cellStyle name="货币 2 2 5 2 5 4" xfId="38227" xr:uid="{00000000-0005-0000-0000-000083950000}"/>
    <cellStyle name="货币 2 2 5 2 5 4 2" xfId="38228" xr:uid="{00000000-0005-0000-0000-000084950000}"/>
    <cellStyle name="货币 2 2 5 2 5 5" xfId="38230" xr:uid="{00000000-0005-0000-0000-000086950000}"/>
    <cellStyle name="货币 2 2 5 2 5 6" xfId="27067" xr:uid="{00000000-0005-0000-0000-0000EB690000}"/>
    <cellStyle name="货币 2 2 5 2 5 7" xfId="27070" xr:uid="{00000000-0005-0000-0000-0000EE690000}"/>
    <cellStyle name="货币 2 2 5 2 5 8" xfId="27073" xr:uid="{00000000-0005-0000-0000-0000F1690000}"/>
    <cellStyle name="货币 2 2 5 2 5 9" xfId="19249" xr:uid="{00000000-0005-0000-0000-0000614B0000}"/>
    <cellStyle name="货币 2 2 5 2 6" xfId="2581" xr:uid="{00000000-0005-0000-0000-0000450A0000}"/>
    <cellStyle name="货币 2 2 5 2 6 10" xfId="38231" xr:uid="{00000000-0005-0000-0000-000087950000}"/>
    <cellStyle name="货币 2 2 5 2 6 11" xfId="38232" xr:uid="{00000000-0005-0000-0000-000088950000}"/>
    <cellStyle name="货币 2 2 5 2 6 12" xfId="38233" xr:uid="{00000000-0005-0000-0000-000089950000}"/>
    <cellStyle name="货币 2 2 5 2 6 2" xfId="32546" xr:uid="{00000000-0005-0000-0000-0000527F0000}"/>
    <cellStyle name="货币 2 2 5 2 6 2 2" xfId="31163" xr:uid="{00000000-0005-0000-0000-0000EB790000}"/>
    <cellStyle name="货币 2 2 5 2 6 2 2 2" xfId="26062" xr:uid="{00000000-0005-0000-0000-0000FE650000}"/>
    <cellStyle name="货币 2 2 5 2 6 2 3" xfId="16705" xr:uid="{00000000-0005-0000-0000-000071410000}"/>
    <cellStyle name="货币 2 2 5 2 6 2 4" xfId="16710" xr:uid="{00000000-0005-0000-0000-000076410000}"/>
    <cellStyle name="货币 2 2 5 2 6 2 5" xfId="16715" xr:uid="{00000000-0005-0000-0000-00007B410000}"/>
    <cellStyle name="货币 2 2 5 2 6 2 6" xfId="472" xr:uid="{00000000-0005-0000-0000-0000F6010000}"/>
    <cellStyle name="货币 2 2 5 2 6 2 7" xfId="16720" xr:uid="{00000000-0005-0000-0000-000080410000}"/>
    <cellStyle name="货币 2 2 5 2 6 2 8" xfId="38234" xr:uid="{00000000-0005-0000-0000-00008A950000}"/>
    <cellStyle name="货币 2 2 5 2 6 2 9" xfId="38236" xr:uid="{00000000-0005-0000-0000-00008C950000}"/>
    <cellStyle name="货币 2 2 5 2 6 3" xfId="38237" xr:uid="{00000000-0005-0000-0000-00008D950000}"/>
    <cellStyle name="货币 2 2 5 2 6 3 2" xfId="38238" xr:uid="{00000000-0005-0000-0000-00008E950000}"/>
    <cellStyle name="货币 2 2 5 2 6 3 3" xfId="17474" xr:uid="{00000000-0005-0000-0000-000072440000}"/>
    <cellStyle name="货币 2 2 5 2 6 3 4" xfId="17478" xr:uid="{00000000-0005-0000-0000-000076440000}"/>
    <cellStyle name="货币 2 2 5 2 6 3 5" xfId="17482" xr:uid="{00000000-0005-0000-0000-00007A440000}"/>
    <cellStyle name="货币 2 2 5 2 6 3 6" xfId="17659" xr:uid="{00000000-0005-0000-0000-00002B450000}"/>
    <cellStyle name="货币 2 2 5 2 6 4" xfId="38239" xr:uid="{00000000-0005-0000-0000-00008F950000}"/>
    <cellStyle name="货币 2 2 5 2 6 4 2" xfId="38240" xr:uid="{00000000-0005-0000-0000-000090950000}"/>
    <cellStyle name="货币 2 2 5 2 6 5" xfId="38242" xr:uid="{00000000-0005-0000-0000-000092950000}"/>
    <cellStyle name="货币 2 2 5 2 6 6" xfId="16778" xr:uid="{00000000-0005-0000-0000-0000BA410000}"/>
    <cellStyle name="货币 2 2 5 2 6 7" xfId="16793" xr:uid="{00000000-0005-0000-0000-0000C9410000}"/>
    <cellStyle name="货币 2 2 5 2 6 8" xfId="16804" xr:uid="{00000000-0005-0000-0000-0000D4410000}"/>
    <cellStyle name="货币 2 2 5 2 6 9" xfId="16809" xr:uid="{00000000-0005-0000-0000-0000D9410000}"/>
    <cellStyle name="货币 2 2 5 2 7" xfId="38243" xr:uid="{00000000-0005-0000-0000-000093950000}"/>
    <cellStyle name="货币 2 2 5 2 7 2" xfId="38244" xr:uid="{00000000-0005-0000-0000-000094950000}"/>
    <cellStyle name="货币 2 2 5 2 7 2 2" xfId="31388" xr:uid="{00000000-0005-0000-0000-0000CC7A0000}"/>
    <cellStyle name="货币 2 2 5 2 7 3" xfId="38247" xr:uid="{00000000-0005-0000-0000-000097950000}"/>
    <cellStyle name="货币 2 2 5 2 7 4" xfId="38249" xr:uid="{00000000-0005-0000-0000-000099950000}"/>
    <cellStyle name="货币 2 2 5 2 7 5" xfId="38252" xr:uid="{00000000-0005-0000-0000-00009C950000}"/>
    <cellStyle name="货币 2 2 5 2 7 6" xfId="16820" xr:uid="{00000000-0005-0000-0000-0000E4410000}"/>
    <cellStyle name="货币 2 2 5 2 7 7" xfId="27077" xr:uid="{00000000-0005-0000-0000-0000F5690000}"/>
    <cellStyle name="货币 2 2 5 2 7 8" xfId="27080" xr:uid="{00000000-0005-0000-0000-0000F8690000}"/>
    <cellStyle name="货币 2 2 5 2 7 9" xfId="27083" xr:uid="{00000000-0005-0000-0000-0000FB690000}"/>
    <cellStyle name="货币 2 2 5 2 8" xfId="38253" xr:uid="{00000000-0005-0000-0000-00009D950000}"/>
    <cellStyle name="货币 2 2 5 2 8 2" xfId="38254" xr:uid="{00000000-0005-0000-0000-00009E950000}"/>
    <cellStyle name="货币 2 2 5 2 8 3" xfId="23646" xr:uid="{00000000-0005-0000-0000-00008E5C0000}"/>
    <cellStyle name="货币 2 2 5 2 8 4" xfId="38256" xr:uid="{00000000-0005-0000-0000-0000A0950000}"/>
    <cellStyle name="货币 2 2 5 2 8 5" xfId="21128" xr:uid="{00000000-0005-0000-0000-0000B8520000}"/>
    <cellStyle name="货币 2 2 5 2 8 6" xfId="38258" xr:uid="{00000000-0005-0000-0000-0000A2950000}"/>
    <cellStyle name="货币 2 2 5 2 9" xfId="23041" xr:uid="{00000000-0005-0000-0000-0000315A0000}"/>
    <cellStyle name="货币 2 2 5 2 9 2" xfId="23043" xr:uid="{00000000-0005-0000-0000-0000335A0000}"/>
    <cellStyle name="货币 2 2 5 2 9 3" xfId="23046" xr:uid="{00000000-0005-0000-0000-0000365A0000}"/>
    <cellStyle name="货币 2 2 5 2 9 4" xfId="23048" xr:uid="{00000000-0005-0000-0000-0000385A0000}"/>
    <cellStyle name="货币 2 2 5 2 9 5" xfId="23050" xr:uid="{00000000-0005-0000-0000-00003A5A0000}"/>
    <cellStyle name="货币 2 2 5 2 9 6" xfId="19827" xr:uid="{00000000-0005-0000-0000-0000A34D0000}"/>
    <cellStyle name="货币 2 2 5 20" xfId="38164" xr:uid="{00000000-0005-0000-0000-000044950000}"/>
    <cellStyle name="货币 2 2 5 21" xfId="38166" xr:uid="{00000000-0005-0000-0000-000046950000}"/>
    <cellStyle name="货币 2 2 5 22" xfId="34375" xr:uid="{00000000-0005-0000-0000-000077860000}"/>
    <cellStyle name="货币 2 2 5 23" xfId="34380" xr:uid="{00000000-0005-0000-0000-00007C860000}"/>
    <cellStyle name="货币 2 2 5 24" xfId="34383" xr:uid="{00000000-0005-0000-0000-00007F860000}"/>
    <cellStyle name="货币 2 2 5 25" xfId="23317" xr:uid="{00000000-0005-0000-0000-0000455B0000}"/>
    <cellStyle name="货币 2 2 5 26" xfId="20836" xr:uid="{00000000-0005-0000-0000-000094510000}"/>
    <cellStyle name="货币 2 2 5 3" xfId="38259" xr:uid="{00000000-0005-0000-0000-0000A3950000}"/>
    <cellStyle name="货币 2 2 5 3 10" xfId="38260" xr:uid="{00000000-0005-0000-0000-0000A4950000}"/>
    <cellStyle name="货币 2 2 5 3 10 2" xfId="38262" xr:uid="{00000000-0005-0000-0000-0000A6950000}"/>
    <cellStyle name="货币 2 2 5 3 10 3" xfId="38263" xr:uid="{00000000-0005-0000-0000-0000A7950000}"/>
    <cellStyle name="货币 2 2 5 3 10 4" xfId="38264" xr:uid="{00000000-0005-0000-0000-0000A8950000}"/>
    <cellStyle name="货币 2 2 5 3 10 5" xfId="38265" xr:uid="{00000000-0005-0000-0000-0000A9950000}"/>
    <cellStyle name="货币 2 2 5 3 10 6" xfId="38266" xr:uid="{00000000-0005-0000-0000-0000AA950000}"/>
    <cellStyle name="货币 2 2 5 3 11" xfId="38267" xr:uid="{00000000-0005-0000-0000-0000AB950000}"/>
    <cellStyle name="货币 2 2 5 3 11 2" xfId="38268" xr:uid="{00000000-0005-0000-0000-0000AC950000}"/>
    <cellStyle name="货币 2 2 5 3 11 3" xfId="38269" xr:uid="{00000000-0005-0000-0000-0000AD950000}"/>
    <cellStyle name="货币 2 2 5 3 11 4" xfId="38270" xr:uid="{00000000-0005-0000-0000-0000AE950000}"/>
    <cellStyle name="货币 2 2 5 3 11 5" xfId="38271" xr:uid="{00000000-0005-0000-0000-0000AF950000}"/>
    <cellStyle name="货币 2 2 5 3 11 6" xfId="38272" xr:uid="{00000000-0005-0000-0000-0000B0950000}"/>
    <cellStyle name="货币 2 2 5 3 12" xfId="38273" xr:uid="{00000000-0005-0000-0000-0000B1950000}"/>
    <cellStyle name="货币 2 2 5 3 13" xfId="38274" xr:uid="{00000000-0005-0000-0000-0000B2950000}"/>
    <cellStyle name="货币 2 2 5 3 14" xfId="38275" xr:uid="{00000000-0005-0000-0000-0000B3950000}"/>
    <cellStyle name="货币 2 2 5 3 15" xfId="27206" xr:uid="{00000000-0005-0000-0000-0000766A0000}"/>
    <cellStyle name="货币 2 2 5 3 16" xfId="27888" xr:uid="{00000000-0005-0000-0000-0000206D0000}"/>
    <cellStyle name="货币 2 2 5 3 17" xfId="27891" xr:uid="{00000000-0005-0000-0000-0000236D0000}"/>
    <cellStyle name="货币 2 2 5 3 18" xfId="27894" xr:uid="{00000000-0005-0000-0000-0000266D0000}"/>
    <cellStyle name="货币 2 2 5 3 19" xfId="27897" xr:uid="{00000000-0005-0000-0000-0000296D0000}"/>
    <cellStyle name="货币 2 2 5 3 2" xfId="13614" xr:uid="{00000000-0005-0000-0000-00005E350000}"/>
    <cellStyle name="货币 2 2 5 3 2 10" xfId="15759" xr:uid="{00000000-0005-0000-0000-0000BF3D0000}"/>
    <cellStyle name="货币 2 2 5 3 2 11" xfId="15775" xr:uid="{00000000-0005-0000-0000-0000CF3D0000}"/>
    <cellStyle name="货币 2 2 5 3 2 12" xfId="15785" xr:uid="{00000000-0005-0000-0000-0000D93D0000}"/>
    <cellStyle name="货币 2 2 5 3 2 13" xfId="15791" xr:uid="{00000000-0005-0000-0000-0000DF3D0000}"/>
    <cellStyle name="货币 2 2 5 3 2 14" xfId="15796" xr:uid="{00000000-0005-0000-0000-0000E43D0000}"/>
    <cellStyle name="货币 2 2 5 3 2 15" xfId="15801" xr:uid="{00000000-0005-0000-0000-0000E93D0000}"/>
    <cellStyle name="货币 2 2 5 3 2 16" xfId="15808" xr:uid="{00000000-0005-0000-0000-0000F03D0000}"/>
    <cellStyle name="货币 2 2 5 3 2 17" xfId="38277" xr:uid="{00000000-0005-0000-0000-0000B5950000}"/>
    <cellStyle name="货币 2 2 5 3 2 18" xfId="38279" xr:uid="{00000000-0005-0000-0000-0000B7950000}"/>
    <cellStyle name="货币 2 2 5 3 2 2" xfId="38280" xr:uid="{00000000-0005-0000-0000-0000B8950000}"/>
    <cellStyle name="货币 2 2 5 3 2 2 10" xfId="25207" xr:uid="{00000000-0005-0000-0000-0000A7620000}"/>
    <cellStyle name="货币 2 2 5 3 2 2 11" xfId="27140" xr:uid="{00000000-0005-0000-0000-0000346A0000}"/>
    <cellStyle name="货币 2 2 5 3 2 2 12" xfId="27155" xr:uid="{00000000-0005-0000-0000-0000436A0000}"/>
    <cellStyle name="货币 2 2 5 3 2 2 2" xfId="25034" xr:uid="{00000000-0005-0000-0000-0000FA610000}"/>
    <cellStyle name="货币 2 2 5 3 2 2 2 2" xfId="3397" xr:uid="{00000000-0005-0000-0000-0000750D0000}"/>
    <cellStyle name="货币 2 2 5 3 2 2 2 2 2" xfId="4826" xr:uid="{00000000-0005-0000-0000-00000A130000}"/>
    <cellStyle name="货币 2 2 5 3 2 2 2 3" xfId="4831" xr:uid="{00000000-0005-0000-0000-00000F130000}"/>
    <cellStyle name="货币 2 2 5 3 2 2 2 4" xfId="4840" xr:uid="{00000000-0005-0000-0000-000018130000}"/>
    <cellStyle name="货币 2 2 5 3 2 2 2 5" xfId="38281" xr:uid="{00000000-0005-0000-0000-0000B9950000}"/>
    <cellStyle name="货币 2 2 5 3 2 2 3" xfId="18070" xr:uid="{00000000-0005-0000-0000-0000C6460000}"/>
    <cellStyle name="货币 2 2 5 3 2 2 3 2" xfId="3413" xr:uid="{00000000-0005-0000-0000-0000850D0000}"/>
    <cellStyle name="货币 2 2 5 3 2 2 4" xfId="18084" xr:uid="{00000000-0005-0000-0000-0000D4460000}"/>
    <cellStyle name="货币 2 2 5 3 2 2 5" xfId="18101" xr:uid="{00000000-0005-0000-0000-0000E5460000}"/>
    <cellStyle name="货币 2 2 5 3 2 2 6" xfId="18113" xr:uid="{00000000-0005-0000-0000-0000F1460000}"/>
    <cellStyle name="货币 2 2 5 3 2 2 7" xfId="18125" xr:uid="{00000000-0005-0000-0000-0000FD460000}"/>
    <cellStyle name="货币 2 2 5 3 2 2 8" xfId="18135" xr:uid="{00000000-0005-0000-0000-000007470000}"/>
    <cellStyle name="货币 2 2 5 3 2 2 9" xfId="18143" xr:uid="{00000000-0005-0000-0000-00000F470000}"/>
    <cellStyle name="货币 2 2 5 3 2 3" xfId="38282" xr:uid="{00000000-0005-0000-0000-0000BA950000}"/>
    <cellStyle name="货币 2 2 5 3 2 3 10" xfId="36643" xr:uid="{00000000-0005-0000-0000-0000538F0000}"/>
    <cellStyle name="货币 2 2 5 3 2 3 11" xfId="36645" xr:uid="{00000000-0005-0000-0000-0000558F0000}"/>
    <cellStyle name="货币 2 2 5 3 2 3 12" xfId="38283" xr:uid="{00000000-0005-0000-0000-0000BB950000}"/>
    <cellStyle name="货币 2 2 5 3 2 3 2" xfId="36634" xr:uid="{00000000-0005-0000-0000-00004A8F0000}"/>
    <cellStyle name="货币 2 2 5 3 2 3 2 2" xfId="3505" xr:uid="{00000000-0005-0000-0000-0000E10D0000}"/>
    <cellStyle name="货币 2 2 5 3 2 3 2 2 2" xfId="5231" xr:uid="{00000000-0005-0000-0000-00009F140000}"/>
    <cellStyle name="货币 2 2 5 3 2 3 2 3" xfId="5240" xr:uid="{00000000-0005-0000-0000-0000A8140000}"/>
    <cellStyle name="货币 2 2 5 3 2 3 2 4" xfId="3930" xr:uid="{00000000-0005-0000-0000-00008A0F0000}"/>
    <cellStyle name="货币 2 2 5 3 2 3 2 5" xfId="38284" xr:uid="{00000000-0005-0000-0000-0000BC950000}"/>
    <cellStyle name="货币 2 2 5 3 2 3 3" xfId="18155" xr:uid="{00000000-0005-0000-0000-00001B470000}"/>
    <cellStyle name="货币 2 2 5 3 2 3 3 2" xfId="3185" xr:uid="{00000000-0005-0000-0000-0000A10C0000}"/>
    <cellStyle name="货币 2 2 5 3 2 3 4" xfId="18167" xr:uid="{00000000-0005-0000-0000-000027470000}"/>
    <cellStyle name="货币 2 2 5 3 2 3 5" xfId="18179" xr:uid="{00000000-0005-0000-0000-000033470000}"/>
    <cellStyle name="货币 2 2 5 3 2 3 6" xfId="18186" xr:uid="{00000000-0005-0000-0000-00003A470000}"/>
    <cellStyle name="货币 2 2 5 3 2 3 7" xfId="10637" xr:uid="{00000000-0005-0000-0000-0000BD290000}"/>
    <cellStyle name="货币 2 2 5 3 2 3 8" xfId="10640" xr:uid="{00000000-0005-0000-0000-0000C0290000}"/>
    <cellStyle name="货币 2 2 5 3 2 3 9" xfId="10647" xr:uid="{00000000-0005-0000-0000-0000C7290000}"/>
    <cellStyle name="货币 2 2 5 3 2 4" xfId="38285" xr:uid="{00000000-0005-0000-0000-0000BD950000}"/>
    <cellStyle name="货币 2 2 5 3 2 4 10" xfId="8231" xr:uid="{00000000-0005-0000-0000-000057200000}"/>
    <cellStyle name="货币 2 2 5 3 2 4 2" xfId="25223" xr:uid="{00000000-0005-0000-0000-0000B7620000}"/>
    <cellStyle name="货币 2 2 5 3 2 4 2 2" xfId="952" xr:uid="{00000000-0005-0000-0000-0000E8030000}"/>
    <cellStyle name="货币 2 2 5 3 2 4 2 2 2" xfId="5544" xr:uid="{00000000-0005-0000-0000-0000D8150000}"/>
    <cellStyle name="货币 2 2 5 3 2 4 2 3" xfId="5546" xr:uid="{00000000-0005-0000-0000-0000DA150000}"/>
    <cellStyle name="货币 2 2 5 3 2 4 2 4" xfId="5556" xr:uid="{00000000-0005-0000-0000-0000E4150000}"/>
    <cellStyle name="货币 2 2 5 3 2 4 2 5" xfId="38286" xr:uid="{00000000-0005-0000-0000-0000BE950000}"/>
    <cellStyle name="货币 2 2 5 3 2 4 3" xfId="18189" xr:uid="{00000000-0005-0000-0000-00003D470000}"/>
    <cellStyle name="货币 2 2 5 3 2 4 3 2" xfId="4586" xr:uid="{00000000-0005-0000-0000-00001A120000}"/>
    <cellStyle name="货币 2 2 5 3 2 4 4" xfId="18195" xr:uid="{00000000-0005-0000-0000-000043470000}"/>
    <cellStyle name="货币 2 2 5 3 2 4 5" xfId="18200" xr:uid="{00000000-0005-0000-0000-000048470000}"/>
    <cellStyle name="货币 2 2 5 3 2 4 6" xfId="18205" xr:uid="{00000000-0005-0000-0000-00004D470000}"/>
    <cellStyle name="货币 2 2 5 3 2 4 7" xfId="4180" xr:uid="{00000000-0005-0000-0000-000084100000}"/>
    <cellStyle name="货币 2 2 5 3 2 4 8" xfId="18209" xr:uid="{00000000-0005-0000-0000-000051470000}"/>
    <cellStyle name="货币 2 2 5 3 2 4 9" xfId="18212" xr:uid="{00000000-0005-0000-0000-000054470000}"/>
    <cellStyle name="货币 2 2 5 3 2 5" xfId="38287" xr:uid="{00000000-0005-0000-0000-0000BF950000}"/>
    <cellStyle name="货币 2 2 5 3 2 5 10" xfId="99" xr:uid="{00000000-0005-0000-0000-00006B000000}"/>
    <cellStyle name="货币 2 2 5 3 2 5 2" xfId="38288" xr:uid="{00000000-0005-0000-0000-0000C0950000}"/>
    <cellStyle name="货币 2 2 5 3 2 5 2 2" xfId="2039" xr:uid="{00000000-0005-0000-0000-000027080000}"/>
    <cellStyle name="货币 2 2 5 3 2 5 2 2 2" xfId="5916" xr:uid="{00000000-0005-0000-0000-00004C170000}"/>
    <cellStyle name="货币 2 2 5 3 2 5 2 3" xfId="5919" xr:uid="{00000000-0005-0000-0000-00004F170000}"/>
    <cellStyle name="货币 2 2 5 3 2 5 2 4" xfId="5923" xr:uid="{00000000-0005-0000-0000-000053170000}"/>
    <cellStyle name="货币 2 2 5 3 2 5 2 5" xfId="38289" xr:uid="{00000000-0005-0000-0000-0000C1950000}"/>
    <cellStyle name="货币 2 2 5 3 2 5 3" xfId="18218" xr:uid="{00000000-0005-0000-0000-00005A470000}"/>
    <cellStyle name="货币 2 2 5 3 2 5 3 2" xfId="2078" xr:uid="{00000000-0005-0000-0000-00004E080000}"/>
    <cellStyle name="货币 2 2 5 3 2 5 4" xfId="18225" xr:uid="{00000000-0005-0000-0000-000061470000}"/>
    <cellStyle name="货币 2 2 5 3 2 5 5" xfId="18231" xr:uid="{00000000-0005-0000-0000-000067470000}"/>
    <cellStyle name="货币 2 2 5 3 2 5 6" xfId="18237" xr:uid="{00000000-0005-0000-0000-00006D470000}"/>
    <cellStyle name="货币 2 2 5 3 2 5 7" xfId="18239" xr:uid="{00000000-0005-0000-0000-00006F470000}"/>
    <cellStyle name="货币 2 2 5 3 2 5 8" xfId="38290" xr:uid="{00000000-0005-0000-0000-0000C2950000}"/>
    <cellStyle name="货币 2 2 5 3 2 5 9" xfId="38291" xr:uid="{00000000-0005-0000-0000-0000C3950000}"/>
    <cellStyle name="货币 2 2 5 3 2 6" xfId="38292" xr:uid="{00000000-0005-0000-0000-0000C4950000}"/>
    <cellStyle name="货币 2 2 5 3 2 6 2" xfId="38293" xr:uid="{00000000-0005-0000-0000-0000C5950000}"/>
    <cellStyle name="货币 2 2 5 3 2 6 2 2" xfId="2237" xr:uid="{00000000-0005-0000-0000-0000ED080000}"/>
    <cellStyle name="货币 2 2 5 3 2 6 3" xfId="18245" xr:uid="{00000000-0005-0000-0000-000075470000}"/>
    <cellStyle name="货币 2 2 5 3 2 6 4" xfId="18249" xr:uid="{00000000-0005-0000-0000-000079470000}"/>
    <cellStyle name="货币 2 2 5 3 2 6 5" xfId="18252" xr:uid="{00000000-0005-0000-0000-00007C470000}"/>
    <cellStyle name="货币 2 2 5 3 2 6 6" xfId="18255" xr:uid="{00000000-0005-0000-0000-00007F470000}"/>
    <cellStyle name="货币 2 2 5 3 2 6 7" xfId="18259" xr:uid="{00000000-0005-0000-0000-000083470000}"/>
    <cellStyle name="货币 2 2 5 3 2 6 8" xfId="38294" xr:uid="{00000000-0005-0000-0000-0000C6950000}"/>
    <cellStyle name="货币 2 2 5 3 2 6 9" xfId="38295" xr:uid="{00000000-0005-0000-0000-0000C7950000}"/>
    <cellStyle name="货币 2 2 5 3 2 7" xfId="28811" xr:uid="{00000000-0005-0000-0000-0000BB700000}"/>
    <cellStyle name="货币 2 2 5 3 2 7 2" xfId="38296" xr:uid="{00000000-0005-0000-0000-0000C8950000}"/>
    <cellStyle name="货币 2 2 5 3 2 8" xfId="28813" xr:uid="{00000000-0005-0000-0000-0000BD700000}"/>
    <cellStyle name="货币 2 2 5 3 2 9" xfId="38297" xr:uid="{00000000-0005-0000-0000-0000C9950000}"/>
    <cellStyle name="货币 2 2 5 3 20" xfId="27207" xr:uid="{00000000-0005-0000-0000-0000776A0000}"/>
    <cellStyle name="货币 2 2 5 3 21" xfId="27889" xr:uid="{00000000-0005-0000-0000-0000216D0000}"/>
    <cellStyle name="货币 2 2 5 3 22" xfId="27892" xr:uid="{00000000-0005-0000-0000-0000246D0000}"/>
    <cellStyle name="货币 2 2 5 3 23" xfId="27895" xr:uid="{00000000-0005-0000-0000-0000276D0000}"/>
    <cellStyle name="货币 2 2 5 3 3" xfId="13617" xr:uid="{00000000-0005-0000-0000-000061350000}"/>
    <cellStyle name="货币 2 2 5 3 3 10" xfId="38298" xr:uid="{00000000-0005-0000-0000-0000CA950000}"/>
    <cellStyle name="货币 2 2 5 3 3 11" xfId="38299" xr:uid="{00000000-0005-0000-0000-0000CB950000}"/>
    <cellStyle name="货币 2 2 5 3 3 12" xfId="3175" xr:uid="{00000000-0005-0000-0000-0000970C0000}"/>
    <cellStyle name="货币 2 2 5 3 3 13" xfId="25254" xr:uid="{00000000-0005-0000-0000-0000D6620000}"/>
    <cellStyle name="货币 2 2 5 3 3 14" xfId="7904" xr:uid="{00000000-0005-0000-0000-0000101F0000}"/>
    <cellStyle name="货币 2 2 5 3 3 15" xfId="7919" xr:uid="{00000000-0005-0000-0000-00001F1F0000}"/>
    <cellStyle name="货币 2 2 5 3 3 16" xfId="7924" xr:uid="{00000000-0005-0000-0000-0000241F0000}"/>
    <cellStyle name="货币 2 2 5 3 3 17" xfId="7936" xr:uid="{00000000-0005-0000-0000-0000301F0000}"/>
    <cellStyle name="货币 2 2 5 3 3 18" xfId="7944" xr:uid="{00000000-0005-0000-0000-0000381F0000}"/>
    <cellStyle name="货币 2 2 5 3 3 2" xfId="38300" xr:uid="{00000000-0005-0000-0000-0000CC950000}"/>
    <cellStyle name="货币 2 2 5 3 3 2 10" xfId="38301" xr:uid="{00000000-0005-0000-0000-0000CD950000}"/>
    <cellStyle name="货币 2 2 5 3 3 2 2" xfId="25051" xr:uid="{00000000-0005-0000-0000-00000B620000}"/>
    <cellStyle name="货币 2 2 5 3 3 2 2 2" xfId="33928" xr:uid="{00000000-0005-0000-0000-0000B8840000}"/>
    <cellStyle name="货币 2 2 5 3 3 2 3" xfId="18617" xr:uid="{00000000-0005-0000-0000-0000E9480000}"/>
    <cellStyle name="货币 2 2 5 3 3 2 4" xfId="18622" xr:uid="{00000000-0005-0000-0000-0000EE480000}"/>
    <cellStyle name="货币 2 2 5 3 3 2 5" xfId="18636" xr:uid="{00000000-0005-0000-0000-0000FC480000}"/>
    <cellStyle name="货币 2 2 5 3 3 2 6" xfId="18646" xr:uid="{00000000-0005-0000-0000-000006490000}"/>
    <cellStyle name="货币 2 2 5 3 3 2 7" xfId="18650" xr:uid="{00000000-0005-0000-0000-00000A490000}"/>
    <cellStyle name="货币 2 2 5 3 3 2 8" xfId="18654" xr:uid="{00000000-0005-0000-0000-00000E490000}"/>
    <cellStyle name="货币 2 2 5 3 3 2 9" xfId="16523" xr:uid="{00000000-0005-0000-0000-0000BB400000}"/>
    <cellStyle name="货币 2 2 5 3 3 3" xfId="35295" xr:uid="{00000000-0005-0000-0000-00000F8A0000}"/>
    <cellStyle name="货币 2 2 5 3 3 3 2" xfId="35298" xr:uid="{00000000-0005-0000-0000-0000128A0000}"/>
    <cellStyle name="货币 2 2 5 3 3 3 3" xfId="18661" xr:uid="{00000000-0005-0000-0000-000015490000}"/>
    <cellStyle name="货币 2 2 5 3 3 3 4" xfId="18671" xr:uid="{00000000-0005-0000-0000-00001F490000}"/>
    <cellStyle name="货币 2 2 5 3 3 3 5" xfId="18693" xr:uid="{00000000-0005-0000-0000-000035490000}"/>
    <cellStyle name="货币 2 2 5 3 3 3 6" xfId="14409" xr:uid="{00000000-0005-0000-0000-000079380000}"/>
    <cellStyle name="货币 2 2 5 3 3 4" xfId="35300" xr:uid="{00000000-0005-0000-0000-0000148A0000}"/>
    <cellStyle name="货币 2 2 5 3 3 4 2" xfId="38302" xr:uid="{00000000-0005-0000-0000-0000CE950000}"/>
    <cellStyle name="货币 2 2 5 3 3 4 3" xfId="18701" xr:uid="{00000000-0005-0000-0000-00003D490000}"/>
    <cellStyle name="货币 2 2 5 3 3 4 4" xfId="18708" xr:uid="{00000000-0005-0000-0000-000044490000}"/>
    <cellStyle name="货币 2 2 5 3 3 4 5" xfId="18713" xr:uid="{00000000-0005-0000-0000-000049490000}"/>
    <cellStyle name="货币 2 2 5 3 3 4 6" xfId="18720" xr:uid="{00000000-0005-0000-0000-000050490000}"/>
    <cellStyle name="货币 2 2 5 3 3 5" xfId="35302" xr:uid="{00000000-0005-0000-0000-0000168A0000}"/>
    <cellStyle name="货币 2 2 5 3 3 5 2" xfId="20688" xr:uid="{00000000-0005-0000-0000-000000510000}"/>
    <cellStyle name="货币 2 2 5 3 3 5 3" xfId="18730" xr:uid="{00000000-0005-0000-0000-00005A490000}"/>
    <cellStyle name="货币 2 2 5 3 3 5 4" xfId="18738" xr:uid="{00000000-0005-0000-0000-000062490000}"/>
    <cellStyle name="货币 2 2 5 3 3 5 5" xfId="18745" xr:uid="{00000000-0005-0000-0000-000069490000}"/>
    <cellStyle name="货币 2 2 5 3 3 5 6" xfId="18752" xr:uid="{00000000-0005-0000-0000-000070490000}"/>
    <cellStyle name="货币 2 2 5 3 3 6" xfId="25276" xr:uid="{00000000-0005-0000-0000-0000EC620000}"/>
    <cellStyle name="货币 2 2 5 3 3 6 2" xfId="25282" xr:uid="{00000000-0005-0000-0000-0000F2620000}"/>
    <cellStyle name="货币 2 2 5 3 3 6 3" xfId="18761" xr:uid="{00000000-0005-0000-0000-000079490000}"/>
    <cellStyle name="货币 2 2 5 3 3 6 4" xfId="4287" xr:uid="{00000000-0005-0000-0000-0000EF100000}"/>
    <cellStyle name="货币 2 2 5 3 3 6 5" xfId="12595" xr:uid="{00000000-0005-0000-0000-000063310000}"/>
    <cellStyle name="货币 2 2 5 3 3 6 6" xfId="12601" xr:uid="{00000000-0005-0000-0000-000069310000}"/>
    <cellStyle name="货币 2 2 5 3 3 7" xfId="25285" xr:uid="{00000000-0005-0000-0000-0000F5620000}"/>
    <cellStyle name="货币 2 2 5 3 3 8" xfId="25291" xr:uid="{00000000-0005-0000-0000-0000FB620000}"/>
    <cellStyle name="货币 2 2 5 3 3 9" xfId="25296" xr:uid="{00000000-0005-0000-0000-000000630000}"/>
    <cellStyle name="货币 2 2 5 3 4" xfId="13620" xr:uid="{00000000-0005-0000-0000-000064350000}"/>
    <cellStyle name="货币 2 2 5 3 4 10" xfId="38303" xr:uid="{00000000-0005-0000-0000-0000CF950000}"/>
    <cellStyle name="货币 2 2 5 3 4 11" xfId="38304" xr:uid="{00000000-0005-0000-0000-0000D0950000}"/>
    <cellStyle name="货币 2 2 5 3 4 12" xfId="38305" xr:uid="{00000000-0005-0000-0000-0000D1950000}"/>
    <cellStyle name="货币 2 2 5 3 4 13" xfId="38306" xr:uid="{00000000-0005-0000-0000-0000D2950000}"/>
    <cellStyle name="货币 2 2 5 3 4 14" xfId="38308" xr:uid="{00000000-0005-0000-0000-0000D4950000}"/>
    <cellStyle name="货币 2 2 5 3 4 15" xfId="38310" xr:uid="{00000000-0005-0000-0000-0000D6950000}"/>
    <cellStyle name="货币 2 2 5 3 4 2" xfId="38311" xr:uid="{00000000-0005-0000-0000-0000D7950000}"/>
    <cellStyle name="货币 2 2 5 3 4 2 2" xfId="38312" xr:uid="{00000000-0005-0000-0000-0000D8950000}"/>
    <cellStyle name="货币 2 2 5 3 4 2 2 2" xfId="20740" xr:uid="{00000000-0005-0000-0000-000034510000}"/>
    <cellStyle name="货币 2 2 5 3 4 2 3" xfId="12733" xr:uid="{00000000-0005-0000-0000-0000ED310000}"/>
    <cellStyle name="货币 2 2 5 3 4 2 4" xfId="12738" xr:uid="{00000000-0005-0000-0000-0000F2310000}"/>
    <cellStyle name="货币 2 2 5 3 4 2 5" xfId="12743" xr:uid="{00000000-0005-0000-0000-0000F7310000}"/>
    <cellStyle name="货币 2 2 5 3 4 2 6" xfId="3811" xr:uid="{00000000-0005-0000-0000-0000130F0000}"/>
    <cellStyle name="货币 2 2 5 3 4 2 7" xfId="19067" xr:uid="{00000000-0005-0000-0000-0000AB4A0000}"/>
    <cellStyle name="货币 2 2 5 3 4 2 8" xfId="15241" xr:uid="{00000000-0005-0000-0000-0000B93B0000}"/>
    <cellStyle name="货币 2 2 5 3 4 2 9" xfId="15247" xr:uid="{00000000-0005-0000-0000-0000BF3B0000}"/>
    <cellStyle name="货币 2 2 5 3 4 3" xfId="35307" xr:uid="{00000000-0005-0000-0000-00001B8A0000}"/>
    <cellStyle name="货币 2 2 5 3 4 3 2" xfId="38314" xr:uid="{00000000-0005-0000-0000-0000DA950000}"/>
    <cellStyle name="货币 2 2 5 3 4 3 3" xfId="12749" xr:uid="{00000000-0005-0000-0000-0000FD310000}"/>
    <cellStyle name="货币 2 2 5 3 4 3 4" xfId="12754" xr:uid="{00000000-0005-0000-0000-000002320000}"/>
    <cellStyle name="货币 2 2 5 3 4 3 5" xfId="12758" xr:uid="{00000000-0005-0000-0000-000006320000}"/>
    <cellStyle name="货币 2 2 5 3 4 3 6" xfId="3848" xr:uid="{00000000-0005-0000-0000-0000380F0000}"/>
    <cellStyle name="货币 2 2 5 3 4 4" xfId="38315" xr:uid="{00000000-0005-0000-0000-0000DB950000}"/>
    <cellStyle name="货币 2 2 5 3 4 4 2" xfId="38316" xr:uid="{00000000-0005-0000-0000-0000DC950000}"/>
    <cellStyle name="货币 2 2 5 3 4 5" xfId="38317" xr:uid="{00000000-0005-0000-0000-0000DD950000}"/>
    <cellStyle name="货币 2 2 5 3 4 6" xfId="25312" xr:uid="{00000000-0005-0000-0000-000010630000}"/>
    <cellStyle name="货币 2 2 5 3 4 7" xfId="25317" xr:uid="{00000000-0005-0000-0000-000015630000}"/>
    <cellStyle name="货币 2 2 5 3 4 8" xfId="25323" xr:uid="{00000000-0005-0000-0000-00001B630000}"/>
    <cellStyle name="货币 2 2 5 3 4 9" xfId="19268" xr:uid="{00000000-0005-0000-0000-0000744B0000}"/>
    <cellStyle name="货币 2 2 5 3 5" xfId="13623" xr:uid="{00000000-0005-0000-0000-000067350000}"/>
    <cellStyle name="货币 2 2 5 3 5 10" xfId="38318" xr:uid="{00000000-0005-0000-0000-0000DE950000}"/>
    <cellStyle name="货币 2 2 5 3 5 11" xfId="38319" xr:uid="{00000000-0005-0000-0000-0000DF950000}"/>
    <cellStyle name="货币 2 2 5 3 5 12" xfId="38320" xr:uid="{00000000-0005-0000-0000-0000E0950000}"/>
    <cellStyle name="货币 2 2 5 3 5 13" xfId="38321" xr:uid="{00000000-0005-0000-0000-0000E1950000}"/>
    <cellStyle name="货币 2 2 5 3 5 2" xfId="38322" xr:uid="{00000000-0005-0000-0000-0000E2950000}"/>
    <cellStyle name="货币 2 2 5 3 5 2 2" xfId="38323" xr:uid="{00000000-0005-0000-0000-0000E3950000}"/>
    <cellStyle name="货币 2 2 5 3 5 2 2 2" xfId="23287" xr:uid="{00000000-0005-0000-0000-0000275B0000}"/>
    <cellStyle name="货币 2 2 5 3 5 2 3" xfId="11462" xr:uid="{00000000-0005-0000-0000-0000F62C0000}"/>
    <cellStyle name="货币 2 2 5 3 5 2 4" xfId="19247" xr:uid="{00000000-0005-0000-0000-00005F4B0000}"/>
    <cellStyle name="货币 2 2 5 3 5 2 5" xfId="19255" xr:uid="{00000000-0005-0000-0000-0000674B0000}"/>
    <cellStyle name="货币 2 2 5 3 5 2 6" xfId="1197" xr:uid="{00000000-0005-0000-0000-0000DD040000}"/>
    <cellStyle name="货币 2 2 5 3 5 2 7" xfId="19257" xr:uid="{00000000-0005-0000-0000-0000694B0000}"/>
    <cellStyle name="货币 2 2 5 3 5 2 8" xfId="19259" xr:uid="{00000000-0005-0000-0000-00006B4B0000}"/>
    <cellStyle name="货币 2 2 5 3 5 2 9" xfId="19262" xr:uid="{00000000-0005-0000-0000-00006E4B0000}"/>
    <cellStyle name="货币 2 2 5 3 5 3" xfId="38324" xr:uid="{00000000-0005-0000-0000-0000E4950000}"/>
    <cellStyle name="货币 2 2 5 3 5 3 2" xfId="38326" xr:uid="{00000000-0005-0000-0000-0000E6950000}"/>
    <cellStyle name="货币 2 2 5 3 5 3 3" xfId="19266" xr:uid="{00000000-0005-0000-0000-0000724B0000}"/>
    <cellStyle name="货币 2 2 5 3 5 3 4" xfId="19274" xr:uid="{00000000-0005-0000-0000-00007A4B0000}"/>
    <cellStyle name="货币 2 2 5 3 5 3 5" xfId="19276" xr:uid="{00000000-0005-0000-0000-00007C4B0000}"/>
    <cellStyle name="货币 2 2 5 3 5 3 6" xfId="19278" xr:uid="{00000000-0005-0000-0000-00007E4B0000}"/>
    <cellStyle name="货币 2 2 5 3 5 4" xfId="38327" xr:uid="{00000000-0005-0000-0000-0000E7950000}"/>
    <cellStyle name="货币 2 2 5 3 5 4 2" xfId="38329" xr:uid="{00000000-0005-0000-0000-0000E9950000}"/>
    <cellStyle name="货币 2 2 5 3 5 5" xfId="38330" xr:uid="{00000000-0005-0000-0000-0000EA950000}"/>
    <cellStyle name="货币 2 2 5 3 5 6" xfId="27098" xr:uid="{00000000-0005-0000-0000-00000A6A0000}"/>
    <cellStyle name="货币 2 2 5 3 5 7" xfId="28534" xr:uid="{00000000-0005-0000-0000-0000A66F0000}"/>
    <cellStyle name="货币 2 2 5 3 5 8" xfId="37509" xr:uid="{00000000-0005-0000-0000-0000B5920000}"/>
    <cellStyle name="货币 2 2 5 3 5 9" xfId="38331" xr:uid="{00000000-0005-0000-0000-0000EB950000}"/>
    <cellStyle name="货币 2 2 5 3 6" xfId="13626" xr:uid="{00000000-0005-0000-0000-00006A350000}"/>
    <cellStyle name="货币 2 2 5 3 6 10" xfId="38332" xr:uid="{00000000-0005-0000-0000-0000EC950000}"/>
    <cellStyle name="货币 2 2 5 3 6 11" xfId="38333" xr:uid="{00000000-0005-0000-0000-0000ED950000}"/>
    <cellStyle name="货币 2 2 5 3 6 12" xfId="38334" xr:uid="{00000000-0005-0000-0000-0000EE950000}"/>
    <cellStyle name="货币 2 2 5 3 6 2" xfId="38335" xr:uid="{00000000-0005-0000-0000-0000EF950000}"/>
    <cellStyle name="货币 2 2 5 3 6 2 2" xfId="38336" xr:uid="{00000000-0005-0000-0000-0000F0950000}"/>
    <cellStyle name="货币 2 2 5 3 6 2 2 2" xfId="38338" xr:uid="{00000000-0005-0000-0000-0000F2950000}"/>
    <cellStyle name="货币 2 2 5 3 6 2 3" xfId="6774" xr:uid="{00000000-0005-0000-0000-0000A61A0000}"/>
    <cellStyle name="货币 2 2 5 3 6 2 4" xfId="8182" xr:uid="{00000000-0005-0000-0000-000026200000}"/>
    <cellStyle name="货币 2 2 5 3 6 2 5" xfId="8452" xr:uid="{00000000-0005-0000-0000-000034210000}"/>
    <cellStyle name="货币 2 2 5 3 6 2 6" xfId="8513" xr:uid="{00000000-0005-0000-0000-000071210000}"/>
    <cellStyle name="货币 2 2 5 3 6 2 7" xfId="8588" xr:uid="{00000000-0005-0000-0000-0000BC210000}"/>
    <cellStyle name="货币 2 2 5 3 6 2 8" xfId="38339" xr:uid="{00000000-0005-0000-0000-0000F3950000}"/>
    <cellStyle name="货币 2 2 5 3 6 2 9" xfId="8650" xr:uid="{00000000-0005-0000-0000-0000FA210000}"/>
    <cellStyle name="货币 2 2 5 3 6 3" xfId="38340" xr:uid="{00000000-0005-0000-0000-0000F4950000}"/>
    <cellStyle name="货币 2 2 5 3 6 3 2" xfId="38341" xr:uid="{00000000-0005-0000-0000-0000F5950000}"/>
    <cellStyle name="货币 2 2 5 3 6 3 3" xfId="8665" xr:uid="{00000000-0005-0000-0000-000009220000}"/>
    <cellStyle name="货币 2 2 5 3 6 3 4" xfId="8706" xr:uid="{00000000-0005-0000-0000-000032220000}"/>
    <cellStyle name="货币 2 2 5 3 6 3 5" xfId="8718" xr:uid="{00000000-0005-0000-0000-00003E220000}"/>
    <cellStyle name="货币 2 2 5 3 6 3 6" xfId="8741" xr:uid="{00000000-0005-0000-0000-000055220000}"/>
    <cellStyle name="货币 2 2 5 3 6 4" xfId="38342" xr:uid="{00000000-0005-0000-0000-0000F6950000}"/>
    <cellStyle name="货币 2 2 5 3 6 4 2" xfId="32590" xr:uid="{00000000-0005-0000-0000-00007E7F0000}"/>
    <cellStyle name="货币 2 2 5 3 6 5" xfId="38344" xr:uid="{00000000-0005-0000-0000-0000F8950000}"/>
    <cellStyle name="货币 2 2 5 3 6 6" xfId="38346" xr:uid="{00000000-0005-0000-0000-0000FA950000}"/>
    <cellStyle name="货币 2 2 5 3 6 7" xfId="28825" xr:uid="{00000000-0005-0000-0000-0000C9700000}"/>
    <cellStyle name="货币 2 2 5 3 6 8" xfId="28156" xr:uid="{00000000-0005-0000-0000-00002C6E0000}"/>
    <cellStyle name="货币 2 2 5 3 6 9" xfId="28158" xr:uid="{00000000-0005-0000-0000-00002E6E0000}"/>
    <cellStyle name="货币 2 2 5 3 7" xfId="3632" xr:uid="{00000000-0005-0000-0000-0000600E0000}"/>
    <cellStyle name="货币 2 2 5 3 7 2" xfId="38347" xr:uid="{00000000-0005-0000-0000-0000FB950000}"/>
    <cellStyle name="货币 2 2 5 3 7 2 2" xfId="38348" xr:uid="{00000000-0005-0000-0000-0000FC950000}"/>
    <cellStyle name="货币 2 2 5 3 7 3" xfId="38349" xr:uid="{00000000-0005-0000-0000-0000FD950000}"/>
    <cellStyle name="货币 2 2 5 3 7 4" xfId="34703" xr:uid="{00000000-0005-0000-0000-0000BF870000}"/>
    <cellStyle name="货币 2 2 5 3 7 5" xfId="38351" xr:uid="{00000000-0005-0000-0000-0000FF950000}"/>
    <cellStyle name="货币 2 2 5 3 7 6" xfId="38352" xr:uid="{00000000-0005-0000-0000-000000960000}"/>
    <cellStyle name="货币 2 2 5 3 7 7" xfId="38353" xr:uid="{00000000-0005-0000-0000-000001960000}"/>
    <cellStyle name="货币 2 2 5 3 7 8" xfId="38354" xr:uid="{00000000-0005-0000-0000-000002960000}"/>
    <cellStyle name="货币 2 2 5 3 7 9" xfId="38355" xr:uid="{00000000-0005-0000-0000-000003960000}"/>
    <cellStyle name="货币 2 2 5 3 8" xfId="24391" xr:uid="{00000000-0005-0000-0000-0000775F0000}"/>
    <cellStyle name="货币 2 2 5 3 8 2" xfId="38356" xr:uid="{00000000-0005-0000-0000-000004960000}"/>
    <cellStyle name="货币 2 2 5 3 8 3" xfId="38358" xr:uid="{00000000-0005-0000-0000-000006960000}"/>
    <cellStyle name="货币 2 2 5 3 8 4" xfId="38360" xr:uid="{00000000-0005-0000-0000-000008960000}"/>
    <cellStyle name="货币 2 2 5 3 8 5" xfId="38362" xr:uid="{00000000-0005-0000-0000-00000A960000}"/>
    <cellStyle name="货币 2 2 5 3 8 6" xfId="38364" xr:uid="{00000000-0005-0000-0000-00000C960000}"/>
    <cellStyle name="货币 2 2 5 3 9" xfId="24393" xr:uid="{00000000-0005-0000-0000-0000795F0000}"/>
    <cellStyle name="货币 2 2 5 3 9 2" xfId="35997" xr:uid="{00000000-0005-0000-0000-0000CD8C0000}"/>
    <cellStyle name="货币 2 2 5 3 9 3" xfId="36000" xr:uid="{00000000-0005-0000-0000-0000D08C0000}"/>
    <cellStyle name="货币 2 2 5 3 9 4" xfId="38365" xr:uid="{00000000-0005-0000-0000-00000D960000}"/>
    <cellStyle name="货币 2 2 5 3 9 5" xfId="38366" xr:uid="{00000000-0005-0000-0000-00000E960000}"/>
    <cellStyle name="货币 2 2 5 3 9 6" xfId="38367" xr:uid="{00000000-0005-0000-0000-00000F960000}"/>
    <cellStyle name="货币 2 2 5 4" xfId="927" xr:uid="{00000000-0005-0000-0000-0000CF030000}"/>
    <cellStyle name="货币 2 2 5 4 10" xfId="32956" xr:uid="{00000000-0005-0000-0000-0000EC800000}"/>
    <cellStyle name="货币 2 2 5 4 10 2" xfId="38368" xr:uid="{00000000-0005-0000-0000-000010960000}"/>
    <cellStyle name="货币 2 2 5 4 10 3" xfId="38370" xr:uid="{00000000-0005-0000-0000-000012960000}"/>
    <cellStyle name="货币 2 2 5 4 10 4" xfId="38372" xr:uid="{00000000-0005-0000-0000-000014960000}"/>
    <cellStyle name="货币 2 2 5 4 10 5" xfId="38374" xr:uid="{00000000-0005-0000-0000-000016960000}"/>
    <cellStyle name="货币 2 2 5 4 10 6" xfId="33940" xr:uid="{00000000-0005-0000-0000-0000C4840000}"/>
    <cellStyle name="货币 2 2 5 4 11" xfId="32959" xr:uid="{00000000-0005-0000-0000-0000EF800000}"/>
    <cellStyle name="货币 2 2 5 4 11 2" xfId="6496" xr:uid="{00000000-0005-0000-0000-000090190000}"/>
    <cellStyle name="货币 2 2 5 4 11 3" xfId="6510" xr:uid="{00000000-0005-0000-0000-00009E190000}"/>
    <cellStyle name="货币 2 2 5 4 11 4" xfId="25437" xr:uid="{00000000-0005-0000-0000-00008D630000}"/>
    <cellStyle name="货币 2 2 5 4 11 5" xfId="25440" xr:uid="{00000000-0005-0000-0000-000090630000}"/>
    <cellStyle name="货币 2 2 5 4 11 6" xfId="25443" xr:uid="{00000000-0005-0000-0000-000093630000}"/>
    <cellStyle name="货币 2 2 5 4 12" xfId="32962" xr:uid="{00000000-0005-0000-0000-0000F2800000}"/>
    <cellStyle name="货币 2 2 5 4 13" xfId="36061" xr:uid="{00000000-0005-0000-0000-00000D8D0000}"/>
    <cellStyle name="货币 2 2 5 4 14" xfId="2330" xr:uid="{00000000-0005-0000-0000-00004A090000}"/>
    <cellStyle name="货币 2 2 5 4 15" xfId="14573" xr:uid="{00000000-0005-0000-0000-00001D390000}"/>
    <cellStyle name="货币 2 2 5 4 16" xfId="14577" xr:uid="{00000000-0005-0000-0000-000021390000}"/>
    <cellStyle name="货币 2 2 5 4 17" xfId="14581" xr:uid="{00000000-0005-0000-0000-000025390000}"/>
    <cellStyle name="货币 2 2 5 4 18" xfId="9902" xr:uid="{00000000-0005-0000-0000-0000DE260000}"/>
    <cellStyle name="货币 2 2 5 4 19" xfId="9934" xr:uid="{00000000-0005-0000-0000-0000FE260000}"/>
    <cellStyle name="货币 2 2 5 4 2" xfId="13672" xr:uid="{00000000-0005-0000-0000-000098350000}"/>
    <cellStyle name="货币 2 2 5 4 2 10" xfId="38376" xr:uid="{00000000-0005-0000-0000-000018960000}"/>
    <cellStyle name="货币 2 2 5 4 2 11" xfId="38378" xr:uid="{00000000-0005-0000-0000-00001A960000}"/>
    <cellStyle name="货币 2 2 5 4 2 12" xfId="29001" xr:uid="{00000000-0005-0000-0000-000079710000}"/>
    <cellStyle name="货币 2 2 5 4 2 13" xfId="38380" xr:uid="{00000000-0005-0000-0000-00001C960000}"/>
    <cellStyle name="货币 2 2 5 4 2 14" xfId="38382" xr:uid="{00000000-0005-0000-0000-00001E960000}"/>
    <cellStyle name="货币 2 2 5 4 2 15" xfId="38384" xr:uid="{00000000-0005-0000-0000-000020960000}"/>
    <cellStyle name="货币 2 2 5 4 2 16" xfId="38385" xr:uid="{00000000-0005-0000-0000-000021960000}"/>
    <cellStyle name="货币 2 2 5 4 2 17" xfId="38386" xr:uid="{00000000-0005-0000-0000-000022960000}"/>
    <cellStyle name="货币 2 2 5 4 2 18" xfId="38387" xr:uid="{00000000-0005-0000-0000-000023960000}"/>
    <cellStyle name="货币 2 2 5 4 2 2" xfId="21721" xr:uid="{00000000-0005-0000-0000-000009550000}"/>
    <cellStyle name="货币 2 2 5 4 2 2 10" xfId="7369" xr:uid="{00000000-0005-0000-0000-0000F91C0000}"/>
    <cellStyle name="货币 2 2 5 4 2 2 11" xfId="5095" xr:uid="{00000000-0005-0000-0000-000017140000}"/>
    <cellStyle name="货币 2 2 5 4 2 2 12" xfId="7425" xr:uid="{00000000-0005-0000-0000-0000311D0000}"/>
    <cellStyle name="货币 2 2 5 4 2 2 2" xfId="38388" xr:uid="{00000000-0005-0000-0000-000024960000}"/>
    <cellStyle name="货币 2 2 5 4 2 2 2 2" xfId="38389" xr:uid="{00000000-0005-0000-0000-000025960000}"/>
    <cellStyle name="货币 2 2 5 4 2 2 2 2 2" xfId="38390" xr:uid="{00000000-0005-0000-0000-000026960000}"/>
    <cellStyle name="货币 2 2 5 4 2 2 2 3" xfId="38391" xr:uid="{00000000-0005-0000-0000-000027960000}"/>
    <cellStyle name="货币 2 2 5 4 2 2 2 4" xfId="38392" xr:uid="{00000000-0005-0000-0000-000028960000}"/>
    <cellStyle name="货币 2 2 5 4 2 2 2 5" xfId="38393" xr:uid="{00000000-0005-0000-0000-000029960000}"/>
    <cellStyle name="货币 2 2 5 4 2 2 3" xfId="19563" xr:uid="{00000000-0005-0000-0000-00009B4C0000}"/>
    <cellStyle name="货币 2 2 5 4 2 2 3 2" xfId="6788" xr:uid="{00000000-0005-0000-0000-0000B41A0000}"/>
    <cellStyle name="货币 2 2 5 4 2 2 4" xfId="19569" xr:uid="{00000000-0005-0000-0000-0000A14C0000}"/>
    <cellStyle name="货币 2 2 5 4 2 2 5" xfId="16501" xr:uid="{00000000-0005-0000-0000-0000A5400000}"/>
    <cellStyle name="货币 2 2 5 4 2 2 6" xfId="19575" xr:uid="{00000000-0005-0000-0000-0000A74C0000}"/>
    <cellStyle name="货币 2 2 5 4 2 2 7" xfId="19581" xr:uid="{00000000-0005-0000-0000-0000AD4C0000}"/>
    <cellStyle name="货币 2 2 5 4 2 2 8" xfId="19587" xr:uid="{00000000-0005-0000-0000-0000B34C0000}"/>
    <cellStyle name="货币 2 2 5 4 2 2 9" xfId="19591" xr:uid="{00000000-0005-0000-0000-0000B74C0000}"/>
    <cellStyle name="货币 2 2 5 4 2 3" xfId="21725" xr:uid="{00000000-0005-0000-0000-00000D550000}"/>
    <cellStyle name="货币 2 2 5 4 2 3 10" xfId="38394" xr:uid="{00000000-0005-0000-0000-00002A960000}"/>
    <cellStyle name="货币 2 2 5 4 2 3 11" xfId="38396" xr:uid="{00000000-0005-0000-0000-00002C960000}"/>
    <cellStyle name="货币 2 2 5 4 2 3 12" xfId="38397" xr:uid="{00000000-0005-0000-0000-00002D960000}"/>
    <cellStyle name="货币 2 2 5 4 2 3 2" xfId="38398" xr:uid="{00000000-0005-0000-0000-00002E960000}"/>
    <cellStyle name="货币 2 2 5 4 2 3 2 2" xfId="38399" xr:uid="{00000000-0005-0000-0000-00002F960000}"/>
    <cellStyle name="货币 2 2 5 4 2 3 2 2 2" xfId="34745" xr:uid="{00000000-0005-0000-0000-0000E9870000}"/>
    <cellStyle name="货币 2 2 5 4 2 3 2 3" xfId="38400" xr:uid="{00000000-0005-0000-0000-000030960000}"/>
    <cellStyle name="货币 2 2 5 4 2 3 2 4" xfId="38401" xr:uid="{00000000-0005-0000-0000-000031960000}"/>
    <cellStyle name="货币 2 2 5 4 2 3 2 5" xfId="38402" xr:uid="{00000000-0005-0000-0000-000032960000}"/>
    <cellStyle name="货币 2 2 5 4 2 3 3" xfId="19596" xr:uid="{00000000-0005-0000-0000-0000BC4C0000}"/>
    <cellStyle name="货币 2 2 5 4 2 3 3 2" xfId="19599" xr:uid="{00000000-0005-0000-0000-0000BF4C0000}"/>
    <cellStyle name="货币 2 2 5 4 2 3 4" xfId="19603" xr:uid="{00000000-0005-0000-0000-0000C34C0000}"/>
    <cellStyle name="货币 2 2 5 4 2 3 5" xfId="19609" xr:uid="{00000000-0005-0000-0000-0000C94C0000}"/>
    <cellStyle name="货币 2 2 5 4 2 3 6" xfId="9912" xr:uid="{00000000-0005-0000-0000-0000E8260000}"/>
    <cellStyle name="货币 2 2 5 4 2 3 7" xfId="9918" xr:uid="{00000000-0005-0000-0000-0000EE260000}"/>
    <cellStyle name="货币 2 2 5 4 2 3 8" xfId="9925" xr:uid="{00000000-0005-0000-0000-0000F5260000}"/>
    <cellStyle name="货币 2 2 5 4 2 3 9" xfId="9931" xr:uid="{00000000-0005-0000-0000-0000FB260000}"/>
    <cellStyle name="货币 2 2 5 4 2 4" xfId="21729" xr:uid="{00000000-0005-0000-0000-000011550000}"/>
    <cellStyle name="货币 2 2 5 4 2 4 10" xfId="12640" xr:uid="{00000000-0005-0000-0000-000090310000}"/>
    <cellStyle name="货币 2 2 5 4 2 4 2" xfId="38403" xr:uid="{00000000-0005-0000-0000-000033960000}"/>
    <cellStyle name="货币 2 2 5 4 2 4 2 2" xfId="38404" xr:uid="{00000000-0005-0000-0000-000034960000}"/>
    <cellStyle name="货币 2 2 5 4 2 4 2 2 2" xfId="28647" xr:uid="{00000000-0005-0000-0000-000017700000}"/>
    <cellStyle name="货币 2 2 5 4 2 4 2 3" xfId="38405" xr:uid="{00000000-0005-0000-0000-000035960000}"/>
    <cellStyle name="货币 2 2 5 4 2 4 2 4" xfId="38406" xr:uid="{00000000-0005-0000-0000-000036960000}"/>
    <cellStyle name="货币 2 2 5 4 2 4 2 5" xfId="38407" xr:uid="{00000000-0005-0000-0000-000037960000}"/>
    <cellStyle name="货币 2 2 5 4 2 4 3" xfId="19615" xr:uid="{00000000-0005-0000-0000-0000CF4C0000}"/>
    <cellStyle name="货币 2 2 5 4 2 4 3 2" xfId="38408" xr:uid="{00000000-0005-0000-0000-000038960000}"/>
    <cellStyle name="货币 2 2 5 4 2 4 4" xfId="38409" xr:uid="{00000000-0005-0000-0000-000039960000}"/>
    <cellStyle name="货币 2 2 5 4 2 4 5" xfId="32597" xr:uid="{00000000-0005-0000-0000-0000857F0000}"/>
    <cellStyle name="货币 2 2 5 4 2 4 6" xfId="9940" xr:uid="{00000000-0005-0000-0000-000004270000}"/>
    <cellStyle name="货币 2 2 5 4 2 4 7" xfId="9942" xr:uid="{00000000-0005-0000-0000-000006270000}"/>
    <cellStyle name="货币 2 2 5 4 2 4 8" xfId="9944" xr:uid="{00000000-0005-0000-0000-000008270000}"/>
    <cellStyle name="货币 2 2 5 4 2 4 9" xfId="9946" xr:uid="{00000000-0005-0000-0000-00000A270000}"/>
    <cellStyle name="货币 2 2 5 4 2 5" xfId="38410" xr:uid="{00000000-0005-0000-0000-00003A960000}"/>
    <cellStyle name="货币 2 2 5 4 2 5 10" xfId="38411" xr:uid="{00000000-0005-0000-0000-00003B960000}"/>
    <cellStyle name="货币 2 2 5 4 2 5 2" xfId="36741" xr:uid="{00000000-0005-0000-0000-0000B58F0000}"/>
    <cellStyle name="货币 2 2 5 4 2 5 2 2" xfId="36750" xr:uid="{00000000-0005-0000-0000-0000BE8F0000}"/>
    <cellStyle name="货币 2 2 5 4 2 5 2 2 2" xfId="36762" xr:uid="{00000000-0005-0000-0000-0000CA8F0000}"/>
    <cellStyle name="货币 2 2 5 4 2 5 2 3" xfId="36780" xr:uid="{00000000-0005-0000-0000-0000DC8F0000}"/>
    <cellStyle name="货币 2 2 5 4 2 5 2 4" xfId="36793" xr:uid="{00000000-0005-0000-0000-0000E98F0000}"/>
    <cellStyle name="货币 2 2 5 4 2 5 2 5" xfId="36813" xr:uid="{00000000-0005-0000-0000-0000FD8F0000}"/>
    <cellStyle name="货币 2 2 5 4 2 5 3" xfId="36836" xr:uid="{00000000-0005-0000-0000-000014900000}"/>
    <cellStyle name="货币 2 2 5 4 2 5 3 2" xfId="36847" xr:uid="{00000000-0005-0000-0000-00001F900000}"/>
    <cellStyle name="货币 2 2 5 4 2 5 4" xfId="36880" xr:uid="{00000000-0005-0000-0000-000040900000}"/>
    <cellStyle name="货币 2 2 5 4 2 5 5" xfId="32605" xr:uid="{00000000-0005-0000-0000-00008D7F0000}"/>
    <cellStyle name="货币 2 2 5 4 2 5 6" xfId="18305" xr:uid="{00000000-0005-0000-0000-0000B1470000}"/>
    <cellStyle name="货币 2 2 5 4 2 5 7" xfId="18308" xr:uid="{00000000-0005-0000-0000-0000B4470000}"/>
    <cellStyle name="货币 2 2 5 4 2 5 8" xfId="18312" xr:uid="{00000000-0005-0000-0000-0000B8470000}"/>
    <cellStyle name="货币 2 2 5 4 2 5 9" xfId="38412" xr:uid="{00000000-0005-0000-0000-00003C960000}"/>
    <cellStyle name="货币 2 2 5 4 2 6" xfId="38413" xr:uid="{00000000-0005-0000-0000-00003D960000}"/>
    <cellStyle name="货币 2 2 5 4 2 6 2" xfId="37078" xr:uid="{00000000-0005-0000-0000-000006910000}"/>
    <cellStyle name="货币 2 2 5 4 2 6 2 2" xfId="37085" xr:uid="{00000000-0005-0000-0000-00000D910000}"/>
    <cellStyle name="货币 2 2 5 4 2 6 3" xfId="25860" xr:uid="{00000000-0005-0000-0000-000034650000}"/>
    <cellStyle name="货币 2 2 5 4 2 6 4" xfId="37125" xr:uid="{00000000-0005-0000-0000-000035910000}"/>
    <cellStyle name="货币 2 2 5 4 2 6 5" xfId="32610" xr:uid="{00000000-0005-0000-0000-0000927F0000}"/>
    <cellStyle name="货币 2 2 5 4 2 6 6" xfId="37140" xr:uid="{00000000-0005-0000-0000-000044910000}"/>
    <cellStyle name="货币 2 2 5 4 2 6 7" xfId="38414" xr:uid="{00000000-0005-0000-0000-00003E960000}"/>
    <cellStyle name="货币 2 2 5 4 2 6 8" xfId="38415" xr:uid="{00000000-0005-0000-0000-00003F960000}"/>
    <cellStyle name="货币 2 2 5 4 2 6 9" xfId="38416" xr:uid="{00000000-0005-0000-0000-000040960000}"/>
    <cellStyle name="货币 2 2 5 4 2 7" xfId="28841" xr:uid="{00000000-0005-0000-0000-0000D9700000}"/>
    <cellStyle name="货币 2 2 5 4 2 7 2" xfId="37247" xr:uid="{00000000-0005-0000-0000-0000AF910000}"/>
    <cellStyle name="货币 2 2 5 4 2 8" xfId="38417" xr:uid="{00000000-0005-0000-0000-000041960000}"/>
    <cellStyle name="货币 2 2 5 4 2 9" xfId="37079" xr:uid="{00000000-0005-0000-0000-000007910000}"/>
    <cellStyle name="货币 2 2 5 4 20" xfId="14574" xr:uid="{00000000-0005-0000-0000-00001E390000}"/>
    <cellStyle name="货币 2 2 5 4 21" xfId="14578" xr:uid="{00000000-0005-0000-0000-000022390000}"/>
    <cellStyle name="货币 2 2 5 4 22" xfId="14582" xr:uid="{00000000-0005-0000-0000-000026390000}"/>
    <cellStyle name="货币 2 2 5 4 23" xfId="9903" xr:uid="{00000000-0005-0000-0000-0000DF260000}"/>
    <cellStyle name="货币 2 2 5 4 3" xfId="13675" xr:uid="{00000000-0005-0000-0000-00009B350000}"/>
    <cellStyle name="货币 2 2 5 4 3 10" xfId="31734" xr:uid="{00000000-0005-0000-0000-0000267C0000}"/>
    <cellStyle name="货币 2 2 5 4 3 11" xfId="38418" xr:uid="{00000000-0005-0000-0000-000042960000}"/>
    <cellStyle name="货币 2 2 5 4 3 12" xfId="38419" xr:uid="{00000000-0005-0000-0000-000043960000}"/>
    <cellStyle name="货币 2 2 5 4 3 13" xfId="38420" xr:uid="{00000000-0005-0000-0000-000044960000}"/>
    <cellStyle name="货币 2 2 5 4 3 14" xfId="38422" xr:uid="{00000000-0005-0000-0000-000046960000}"/>
    <cellStyle name="货币 2 2 5 4 3 15" xfId="38423" xr:uid="{00000000-0005-0000-0000-000047960000}"/>
    <cellStyle name="货币 2 2 5 4 3 16" xfId="38424" xr:uid="{00000000-0005-0000-0000-000048960000}"/>
    <cellStyle name="货币 2 2 5 4 3 17" xfId="38425" xr:uid="{00000000-0005-0000-0000-000049960000}"/>
    <cellStyle name="货币 2 2 5 4 3 18" xfId="23631" xr:uid="{00000000-0005-0000-0000-00007F5C0000}"/>
    <cellStyle name="货币 2 2 5 4 3 2" xfId="38426" xr:uid="{00000000-0005-0000-0000-00004A960000}"/>
    <cellStyle name="货币 2 2 5 4 3 2 10" xfId="38429" xr:uid="{00000000-0005-0000-0000-00004D960000}"/>
    <cellStyle name="货币 2 2 5 4 3 2 2" xfId="21330" xr:uid="{00000000-0005-0000-0000-000082530000}"/>
    <cellStyle name="货币 2 2 5 4 3 2 2 2" xfId="38430" xr:uid="{00000000-0005-0000-0000-00004E960000}"/>
    <cellStyle name="货币 2 2 5 4 3 2 3" xfId="19679" xr:uid="{00000000-0005-0000-0000-00000F4D0000}"/>
    <cellStyle name="货币 2 2 5 4 3 2 4" xfId="19686" xr:uid="{00000000-0005-0000-0000-0000164D0000}"/>
    <cellStyle name="货币 2 2 5 4 3 2 5" xfId="16590" xr:uid="{00000000-0005-0000-0000-0000FE400000}"/>
    <cellStyle name="货币 2 2 5 4 3 2 6" xfId="19691" xr:uid="{00000000-0005-0000-0000-00001B4D0000}"/>
    <cellStyle name="货币 2 2 5 4 3 2 7" xfId="19694" xr:uid="{00000000-0005-0000-0000-00001E4D0000}"/>
    <cellStyle name="货币 2 2 5 4 3 2 8" xfId="26229" xr:uid="{00000000-0005-0000-0000-0000A5660000}"/>
    <cellStyle name="货币 2 2 5 4 3 2 9" xfId="26232" xr:uid="{00000000-0005-0000-0000-0000A8660000}"/>
    <cellStyle name="货币 2 2 5 4 3 3" xfId="35317" xr:uid="{00000000-0005-0000-0000-0000258A0000}"/>
    <cellStyle name="货币 2 2 5 4 3 3 2" xfId="21340" xr:uid="{00000000-0005-0000-0000-00008C530000}"/>
    <cellStyle name="货币 2 2 5 4 3 3 3" xfId="19702" xr:uid="{00000000-0005-0000-0000-0000264D0000}"/>
    <cellStyle name="货币 2 2 5 4 3 3 4" xfId="19708" xr:uid="{00000000-0005-0000-0000-00002C4D0000}"/>
    <cellStyle name="货币 2 2 5 4 3 3 5" xfId="19713" xr:uid="{00000000-0005-0000-0000-0000314D0000}"/>
    <cellStyle name="货币 2 2 5 4 3 3 6" xfId="19718" xr:uid="{00000000-0005-0000-0000-0000364D0000}"/>
    <cellStyle name="货币 2 2 5 4 3 4" xfId="35319" xr:uid="{00000000-0005-0000-0000-0000278A0000}"/>
    <cellStyle name="货币 2 2 5 4 3 4 2" xfId="12988" xr:uid="{00000000-0005-0000-0000-0000EC320000}"/>
    <cellStyle name="货币 2 2 5 4 3 4 3" xfId="12990" xr:uid="{00000000-0005-0000-0000-0000EE320000}"/>
    <cellStyle name="货币 2 2 5 4 3 4 4" xfId="38431" xr:uid="{00000000-0005-0000-0000-00004F960000}"/>
    <cellStyle name="货币 2 2 5 4 3 4 5" xfId="38432" xr:uid="{00000000-0005-0000-0000-000050960000}"/>
    <cellStyle name="货币 2 2 5 4 3 4 6" xfId="38433" xr:uid="{00000000-0005-0000-0000-000051960000}"/>
    <cellStyle name="货币 2 2 5 4 3 5" xfId="35321" xr:uid="{00000000-0005-0000-0000-0000298A0000}"/>
    <cellStyle name="货币 2 2 5 4 3 5 2" xfId="13112" xr:uid="{00000000-0005-0000-0000-000068330000}"/>
    <cellStyle name="货币 2 2 5 4 3 5 3" xfId="13116" xr:uid="{00000000-0005-0000-0000-00006C330000}"/>
    <cellStyle name="货币 2 2 5 4 3 5 4" xfId="37813" xr:uid="{00000000-0005-0000-0000-0000E5930000}"/>
    <cellStyle name="货币 2 2 5 4 3 5 5" xfId="37816" xr:uid="{00000000-0005-0000-0000-0000E8930000}"/>
    <cellStyle name="货币 2 2 5 4 3 5 6" xfId="37821" xr:uid="{00000000-0005-0000-0000-0000ED930000}"/>
    <cellStyle name="货币 2 2 5 4 3 6" xfId="26238" xr:uid="{00000000-0005-0000-0000-0000AE660000}"/>
    <cellStyle name="货币 2 2 5 4 3 6 2" xfId="13181" xr:uid="{00000000-0005-0000-0000-0000AD330000}"/>
    <cellStyle name="货币 2 2 5 4 3 6 3" xfId="13186" xr:uid="{00000000-0005-0000-0000-0000B2330000}"/>
    <cellStyle name="货币 2 2 5 4 3 6 4" xfId="4378" xr:uid="{00000000-0005-0000-0000-00004A110000}"/>
    <cellStyle name="货币 2 2 5 4 3 6 5" xfId="4383" xr:uid="{00000000-0005-0000-0000-00004F110000}"/>
    <cellStyle name="货币 2 2 5 4 3 6 6" xfId="1069" xr:uid="{00000000-0005-0000-0000-00005D040000}"/>
    <cellStyle name="货币 2 2 5 4 3 7" xfId="26244" xr:uid="{00000000-0005-0000-0000-0000B4660000}"/>
    <cellStyle name="货币 2 2 5 4 3 8" xfId="26250" xr:uid="{00000000-0005-0000-0000-0000BA660000}"/>
    <cellStyle name="货币 2 2 5 4 3 9" xfId="26255" xr:uid="{00000000-0005-0000-0000-0000BF660000}"/>
    <cellStyle name="货币 2 2 5 4 4" xfId="13678" xr:uid="{00000000-0005-0000-0000-00009E350000}"/>
    <cellStyle name="货币 2 2 5 4 4 10" xfId="32777" xr:uid="{00000000-0005-0000-0000-000039800000}"/>
    <cellStyle name="货币 2 2 5 4 4 11" xfId="38434" xr:uid="{00000000-0005-0000-0000-000052960000}"/>
    <cellStyle name="货币 2 2 5 4 4 12" xfId="38435" xr:uid="{00000000-0005-0000-0000-000053960000}"/>
    <cellStyle name="货币 2 2 5 4 4 13" xfId="38436" xr:uid="{00000000-0005-0000-0000-000054960000}"/>
    <cellStyle name="货币 2 2 5 4 4 14" xfId="38437" xr:uid="{00000000-0005-0000-0000-000055960000}"/>
    <cellStyle name="货币 2 2 5 4 4 15" xfId="38438" xr:uid="{00000000-0005-0000-0000-000056960000}"/>
    <cellStyle name="货币 2 2 5 4 4 2" xfId="38439" xr:uid="{00000000-0005-0000-0000-000057960000}"/>
    <cellStyle name="货币 2 2 5 4 4 2 2" xfId="21435" xr:uid="{00000000-0005-0000-0000-0000EB530000}"/>
    <cellStyle name="货币 2 2 5 4 4 2 2 2" xfId="38440" xr:uid="{00000000-0005-0000-0000-000058960000}"/>
    <cellStyle name="货币 2 2 5 4 4 2 3" xfId="38441" xr:uid="{00000000-0005-0000-0000-000059960000}"/>
    <cellStyle name="货币 2 2 5 4 4 2 4" xfId="38442" xr:uid="{00000000-0005-0000-0000-00005A960000}"/>
    <cellStyle name="货币 2 2 5 4 4 2 5" xfId="38443" xr:uid="{00000000-0005-0000-0000-00005B960000}"/>
    <cellStyle name="货币 2 2 5 4 4 2 6" xfId="38444" xr:uid="{00000000-0005-0000-0000-00005C960000}"/>
    <cellStyle name="货币 2 2 5 4 4 2 7" xfId="38446" xr:uid="{00000000-0005-0000-0000-00005E960000}"/>
    <cellStyle name="货币 2 2 5 4 4 2 8" xfId="31945" xr:uid="{00000000-0005-0000-0000-0000F97C0000}"/>
    <cellStyle name="货币 2 2 5 4 4 2 9" xfId="23723" xr:uid="{00000000-0005-0000-0000-0000DB5C0000}"/>
    <cellStyle name="货币 2 2 5 4 4 3" xfId="35326" xr:uid="{00000000-0005-0000-0000-00002E8A0000}"/>
    <cellStyle name="货币 2 2 5 4 4 3 2" xfId="21453" xr:uid="{00000000-0005-0000-0000-0000FD530000}"/>
    <cellStyle name="货币 2 2 5 4 4 3 3" xfId="23087" xr:uid="{00000000-0005-0000-0000-00005F5A0000}"/>
    <cellStyle name="货币 2 2 5 4 4 3 4" xfId="38447" xr:uid="{00000000-0005-0000-0000-00005F960000}"/>
    <cellStyle name="货币 2 2 5 4 4 3 5" xfId="38448" xr:uid="{00000000-0005-0000-0000-000060960000}"/>
    <cellStyle name="货币 2 2 5 4 4 3 6" xfId="38449" xr:uid="{00000000-0005-0000-0000-000061960000}"/>
    <cellStyle name="货币 2 2 5 4 4 4" xfId="38450" xr:uid="{00000000-0005-0000-0000-000062960000}"/>
    <cellStyle name="货币 2 2 5 4 4 4 2" xfId="13481" xr:uid="{00000000-0005-0000-0000-0000D9340000}"/>
    <cellStyle name="货币 2 2 5 4 4 5" xfId="38451" xr:uid="{00000000-0005-0000-0000-000063960000}"/>
    <cellStyle name="货币 2 2 5 4 4 6" xfId="26304" xr:uid="{00000000-0005-0000-0000-0000F0660000}"/>
    <cellStyle name="货币 2 2 5 4 4 7" xfId="26309" xr:uid="{00000000-0005-0000-0000-0000F5660000}"/>
    <cellStyle name="货币 2 2 5 4 4 8" xfId="26315" xr:uid="{00000000-0005-0000-0000-0000FB660000}"/>
    <cellStyle name="货币 2 2 5 4 4 9" xfId="26320" xr:uid="{00000000-0005-0000-0000-000000670000}"/>
    <cellStyle name="货币 2 2 5 4 5" xfId="13680" xr:uid="{00000000-0005-0000-0000-0000A0350000}"/>
    <cellStyle name="货币 2 2 5 4 5 10" xfId="31781" xr:uid="{00000000-0005-0000-0000-0000557C0000}"/>
    <cellStyle name="货币 2 2 5 4 5 11" xfId="38452" xr:uid="{00000000-0005-0000-0000-000064960000}"/>
    <cellStyle name="货币 2 2 5 4 5 12" xfId="38453" xr:uid="{00000000-0005-0000-0000-000065960000}"/>
    <cellStyle name="货币 2 2 5 4 5 13" xfId="38454" xr:uid="{00000000-0005-0000-0000-000066960000}"/>
    <cellStyle name="货币 2 2 5 4 5 2" xfId="38455" xr:uid="{00000000-0005-0000-0000-000067960000}"/>
    <cellStyle name="货币 2 2 5 4 5 2 2" xfId="12887" xr:uid="{00000000-0005-0000-0000-000087320000}"/>
    <cellStyle name="货币 2 2 5 4 5 2 2 2" xfId="38456" xr:uid="{00000000-0005-0000-0000-000068960000}"/>
    <cellStyle name="货币 2 2 5 4 5 2 3" xfId="11827" xr:uid="{00000000-0005-0000-0000-0000632E0000}"/>
    <cellStyle name="货币 2 2 5 4 5 2 4" xfId="38457" xr:uid="{00000000-0005-0000-0000-000069960000}"/>
    <cellStyle name="货币 2 2 5 4 5 2 5" xfId="32149" xr:uid="{00000000-0005-0000-0000-0000C57D0000}"/>
    <cellStyle name="货币 2 2 5 4 5 2 6" xfId="31640" xr:uid="{00000000-0005-0000-0000-0000C87B0000}"/>
    <cellStyle name="货币 2 2 5 4 5 2 7" xfId="31643" xr:uid="{00000000-0005-0000-0000-0000CB7B0000}"/>
    <cellStyle name="货币 2 2 5 4 5 2 8" xfId="31645" xr:uid="{00000000-0005-0000-0000-0000CD7B0000}"/>
    <cellStyle name="货币 2 2 5 4 5 2 9" xfId="23949" xr:uid="{00000000-0005-0000-0000-0000BD5D0000}"/>
    <cellStyle name="货币 2 2 5 4 5 3" xfId="38458" xr:uid="{00000000-0005-0000-0000-00006A960000}"/>
    <cellStyle name="货币 2 2 5 4 5 3 2" xfId="38459" xr:uid="{00000000-0005-0000-0000-00006B960000}"/>
    <cellStyle name="货币 2 2 5 4 5 3 3" xfId="38460" xr:uid="{00000000-0005-0000-0000-00006C960000}"/>
    <cellStyle name="货币 2 2 5 4 5 3 4" xfId="38462" xr:uid="{00000000-0005-0000-0000-00006E960000}"/>
    <cellStyle name="货币 2 2 5 4 5 3 5" xfId="38463" xr:uid="{00000000-0005-0000-0000-00006F960000}"/>
    <cellStyle name="货币 2 2 5 4 5 3 6" xfId="4924" xr:uid="{00000000-0005-0000-0000-00006C130000}"/>
    <cellStyle name="货币 2 2 5 4 5 4" xfId="38464" xr:uid="{00000000-0005-0000-0000-000070960000}"/>
    <cellStyle name="货币 2 2 5 4 5 4 2" xfId="13943" xr:uid="{00000000-0005-0000-0000-0000A7360000}"/>
    <cellStyle name="货币 2 2 5 4 5 5" xfId="38465" xr:uid="{00000000-0005-0000-0000-000071960000}"/>
    <cellStyle name="货币 2 2 5 4 5 6" xfId="27114" xr:uid="{00000000-0005-0000-0000-00001A6A0000}"/>
    <cellStyle name="货币 2 2 5 4 5 7" xfId="28851" xr:uid="{00000000-0005-0000-0000-0000E3700000}"/>
    <cellStyle name="货币 2 2 5 4 5 8" xfId="38466" xr:uid="{00000000-0005-0000-0000-000072960000}"/>
    <cellStyle name="货币 2 2 5 4 5 9" xfId="38467" xr:uid="{00000000-0005-0000-0000-000073960000}"/>
    <cellStyle name="货币 2 2 5 4 6" xfId="13682" xr:uid="{00000000-0005-0000-0000-0000A2350000}"/>
    <cellStyle name="货币 2 2 5 4 6 10" xfId="31814" xr:uid="{00000000-0005-0000-0000-0000767C0000}"/>
    <cellStyle name="货币 2 2 5 4 6 11" xfId="38468" xr:uid="{00000000-0005-0000-0000-000074960000}"/>
    <cellStyle name="货币 2 2 5 4 6 12" xfId="38469" xr:uid="{00000000-0005-0000-0000-000075960000}"/>
    <cellStyle name="货币 2 2 5 4 6 2" xfId="38470" xr:uid="{00000000-0005-0000-0000-000076960000}"/>
    <cellStyle name="货币 2 2 5 4 6 2 2" xfId="38471" xr:uid="{00000000-0005-0000-0000-000077960000}"/>
    <cellStyle name="货币 2 2 5 4 6 2 2 2" xfId="38472" xr:uid="{00000000-0005-0000-0000-000078960000}"/>
    <cellStyle name="货币 2 2 5 4 6 2 3" xfId="38473" xr:uid="{00000000-0005-0000-0000-000079960000}"/>
    <cellStyle name="货币 2 2 5 4 6 2 4" xfId="38474" xr:uid="{00000000-0005-0000-0000-00007A960000}"/>
    <cellStyle name="货币 2 2 5 4 6 2 5" xfId="38475" xr:uid="{00000000-0005-0000-0000-00007B960000}"/>
    <cellStyle name="货币 2 2 5 4 6 2 6" xfId="38476" xr:uid="{00000000-0005-0000-0000-00007C960000}"/>
    <cellStyle name="货币 2 2 5 4 6 2 7" xfId="38477" xr:uid="{00000000-0005-0000-0000-00007D960000}"/>
    <cellStyle name="货币 2 2 5 4 6 2 8" xfId="38478" xr:uid="{00000000-0005-0000-0000-00007E960000}"/>
    <cellStyle name="货币 2 2 5 4 6 2 9" xfId="9293" xr:uid="{00000000-0005-0000-0000-00007D240000}"/>
    <cellStyle name="货币 2 2 5 4 6 3" xfId="38479" xr:uid="{00000000-0005-0000-0000-00007F960000}"/>
    <cellStyle name="货币 2 2 5 4 6 3 2" xfId="38480" xr:uid="{00000000-0005-0000-0000-000080960000}"/>
    <cellStyle name="货币 2 2 5 4 6 3 3" xfId="38481" xr:uid="{00000000-0005-0000-0000-000081960000}"/>
    <cellStyle name="货币 2 2 5 4 6 3 4" xfId="6543" xr:uid="{00000000-0005-0000-0000-0000BF190000}"/>
    <cellStyle name="货币 2 2 5 4 6 3 5" xfId="6552" xr:uid="{00000000-0005-0000-0000-0000C8190000}"/>
    <cellStyle name="货币 2 2 5 4 6 3 6" xfId="6561" xr:uid="{00000000-0005-0000-0000-0000D1190000}"/>
    <cellStyle name="货币 2 2 5 4 6 4" xfId="38482" xr:uid="{00000000-0005-0000-0000-000082960000}"/>
    <cellStyle name="货币 2 2 5 4 6 4 2" xfId="8448" xr:uid="{00000000-0005-0000-0000-000030210000}"/>
    <cellStyle name="货币 2 2 5 4 6 5" xfId="38484" xr:uid="{00000000-0005-0000-0000-000084960000}"/>
    <cellStyle name="货币 2 2 5 4 6 6" xfId="38486" xr:uid="{00000000-0005-0000-0000-000086960000}"/>
    <cellStyle name="货币 2 2 5 4 6 7" xfId="28856" xr:uid="{00000000-0005-0000-0000-0000E8700000}"/>
    <cellStyle name="货币 2 2 5 4 6 8" xfId="38488" xr:uid="{00000000-0005-0000-0000-000088960000}"/>
    <cellStyle name="货币 2 2 5 4 6 9" xfId="38489" xr:uid="{00000000-0005-0000-0000-000089960000}"/>
    <cellStyle name="货币 2 2 5 4 7" xfId="3636" xr:uid="{00000000-0005-0000-0000-0000640E0000}"/>
    <cellStyle name="货币 2 2 5 4 7 2" xfId="21797" xr:uid="{00000000-0005-0000-0000-000055550000}"/>
    <cellStyle name="货币 2 2 5 4 7 2 2" xfId="38490" xr:uid="{00000000-0005-0000-0000-00008A960000}"/>
    <cellStyle name="货币 2 2 5 4 7 3" xfId="21800" xr:uid="{00000000-0005-0000-0000-000058550000}"/>
    <cellStyle name="货币 2 2 5 4 7 4" xfId="38491" xr:uid="{00000000-0005-0000-0000-00008B960000}"/>
    <cellStyle name="货币 2 2 5 4 7 5" xfId="38494" xr:uid="{00000000-0005-0000-0000-00008E960000}"/>
    <cellStyle name="货币 2 2 5 4 7 6" xfId="38495" xr:uid="{00000000-0005-0000-0000-00008F960000}"/>
    <cellStyle name="货币 2 2 5 4 7 7" xfId="38496" xr:uid="{00000000-0005-0000-0000-000090960000}"/>
    <cellStyle name="货币 2 2 5 4 7 8" xfId="38497" xr:uid="{00000000-0005-0000-0000-000091960000}"/>
    <cellStyle name="货币 2 2 5 4 7 9" xfId="37101" xr:uid="{00000000-0005-0000-0000-00001D910000}"/>
    <cellStyle name="货币 2 2 5 4 8" xfId="38498" xr:uid="{00000000-0005-0000-0000-000092960000}"/>
    <cellStyle name="货币 2 2 5 4 8 2" xfId="38499" xr:uid="{00000000-0005-0000-0000-000093960000}"/>
    <cellStyle name="货币 2 2 5 4 8 3" xfId="38502" xr:uid="{00000000-0005-0000-0000-000096960000}"/>
    <cellStyle name="货币 2 2 5 4 8 4" xfId="38504" xr:uid="{00000000-0005-0000-0000-000098960000}"/>
    <cellStyle name="货币 2 2 5 4 8 5" xfId="38506" xr:uid="{00000000-0005-0000-0000-00009A960000}"/>
    <cellStyle name="货币 2 2 5 4 8 6" xfId="38508" xr:uid="{00000000-0005-0000-0000-00009C960000}"/>
    <cellStyle name="货币 2 2 5 4 9" xfId="38509" xr:uid="{00000000-0005-0000-0000-00009D960000}"/>
    <cellStyle name="货币 2 2 5 4 9 2" xfId="38510" xr:uid="{00000000-0005-0000-0000-00009E960000}"/>
    <cellStyle name="货币 2 2 5 4 9 3" xfId="38511" xr:uid="{00000000-0005-0000-0000-00009F960000}"/>
    <cellStyle name="货币 2 2 5 4 9 4" xfId="38512" xr:uid="{00000000-0005-0000-0000-0000A0960000}"/>
    <cellStyle name="货币 2 2 5 4 9 5" xfId="38513" xr:uid="{00000000-0005-0000-0000-0000A1960000}"/>
    <cellStyle name="货币 2 2 5 4 9 6" xfId="38514" xr:uid="{00000000-0005-0000-0000-0000A2960000}"/>
    <cellStyle name="货币 2 2 5 5" xfId="38515" xr:uid="{00000000-0005-0000-0000-0000A3960000}"/>
    <cellStyle name="货币 2 2 5 5 10" xfId="36568" xr:uid="{00000000-0005-0000-0000-0000088F0000}"/>
    <cellStyle name="货币 2 2 5 5 11" xfId="36570" xr:uid="{00000000-0005-0000-0000-00000A8F0000}"/>
    <cellStyle name="货币 2 2 5 5 12" xfId="36572" xr:uid="{00000000-0005-0000-0000-00000C8F0000}"/>
    <cellStyle name="货币 2 2 5 5 13" xfId="36574" xr:uid="{00000000-0005-0000-0000-00000E8F0000}"/>
    <cellStyle name="货币 2 2 5 5 14" xfId="4577" xr:uid="{00000000-0005-0000-0000-000011120000}"/>
    <cellStyle name="货币 2 2 5 5 15" xfId="36576" xr:uid="{00000000-0005-0000-0000-0000108F0000}"/>
    <cellStyle name="货币 2 2 5 5 16" xfId="38516" xr:uid="{00000000-0005-0000-0000-0000A4960000}"/>
    <cellStyle name="货币 2 2 5 5 17" xfId="38518" xr:uid="{00000000-0005-0000-0000-0000A6960000}"/>
    <cellStyle name="货币 2 2 5 5 18" xfId="38520" xr:uid="{00000000-0005-0000-0000-0000A8960000}"/>
    <cellStyle name="货币 2 2 5 5 19" xfId="38522" xr:uid="{00000000-0005-0000-0000-0000AA960000}"/>
    <cellStyle name="货币 2 2 5 5 2" xfId="13716" xr:uid="{00000000-0005-0000-0000-0000C4350000}"/>
    <cellStyle name="货币 2 2 5 5 2 10" xfId="38523" xr:uid="{00000000-0005-0000-0000-0000AB960000}"/>
    <cellStyle name="货币 2 2 5 5 2 11" xfId="32525" xr:uid="{00000000-0005-0000-0000-00003D7F0000}"/>
    <cellStyle name="货币 2 2 5 5 2 12" xfId="32528" xr:uid="{00000000-0005-0000-0000-0000407F0000}"/>
    <cellStyle name="货币 2 2 5 5 2 13" xfId="32530" xr:uid="{00000000-0005-0000-0000-0000427F0000}"/>
    <cellStyle name="货币 2 2 5 5 2 14" xfId="38524" xr:uid="{00000000-0005-0000-0000-0000AC960000}"/>
    <cellStyle name="货币 2 2 5 5 2 15" xfId="38525" xr:uid="{00000000-0005-0000-0000-0000AD960000}"/>
    <cellStyle name="货币 2 2 5 5 2 16" xfId="38526" xr:uid="{00000000-0005-0000-0000-0000AE960000}"/>
    <cellStyle name="货币 2 2 5 5 2 17" xfId="38527" xr:uid="{00000000-0005-0000-0000-0000AF960000}"/>
    <cellStyle name="货币 2 2 5 5 2 18" xfId="38528" xr:uid="{00000000-0005-0000-0000-0000B0960000}"/>
    <cellStyle name="货币 2 2 5 5 2 2" xfId="30371" xr:uid="{00000000-0005-0000-0000-0000D3760000}"/>
    <cellStyle name="货币 2 2 5 5 2 2 10" xfId="22431" xr:uid="{00000000-0005-0000-0000-0000CF570000}"/>
    <cellStyle name="货币 2 2 5 5 2 2 2" xfId="7532" xr:uid="{00000000-0005-0000-0000-00009C1D0000}"/>
    <cellStyle name="货币 2 2 5 5 2 2 2 2" xfId="23657" xr:uid="{00000000-0005-0000-0000-0000995C0000}"/>
    <cellStyle name="货币 2 2 5 5 2 2 3" xfId="19977" xr:uid="{00000000-0005-0000-0000-0000394E0000}"/>
    <cellStyle name="货币 2 2 5 5 2 2 4" xfId="19998" xr:uid="{00000000-0005-0000-0000-00004E4E0000}"/>
    <cellStyle name="货币 2 2 5 5 2 2 5" xfId="16970" xr:uid="{00000000-0005-0000-0000-00007A420000}"/>
    <cellStyle name="货币 2 2 5 5 2 2 6" xfId="20008" xr:uid="{00000000-0005-0000-0000-0000584E0000}"/>
    <cellStyle name="货币 2 2 5 5 2 2 7" xfId="20013" xr:uid="{00000000-0005-0000-0000-00005D4E0000}"/>
    <cellStyle name="货币 2 2 5 5 2 2 8" xfId="20018" xr:uid="{00000000-0005-0000-0000-0000624E0000}"/>
    <cellStyle name="货币 2 2 5 5 2 2 9" xfId="20024" xr:uid="{00000000-0005-0000-0000-0000684E0000}"/>
    <cellStyle name="货币 2 2 5 5 2 3" xfId="9046" xr:uid="{00000000-0005-0000-0000-000086230000}"/>
    <cellStyle name="货币 2 2 5 5 2 3 2" xfId="38529" xr:uid="{00000000-0005-0000-0000-0000B1960000}"/>
    <cellStyle name="货币 2 2 5 5 2 3 3" xfId="20033" xr:uid="{00000000-0005-0000-0000-0000714E0000}"/>
    <cellStyle name="货币 2 2 5 5 2 3 4" xfId="20041" xr:uid="{00000000-0005-0000-0000-0000794E0000}"/>
    <cellStyle name="货币 2 2 5 5 2 3 5" xfId="20047" xr:uid="{00000000-0005-0000-0000-00007F4E0000}"/>
    <cellStyle name="货币 2 2 5 5 2 3 6" xfId="20052" xr:uid="{00000000-0005-0000-0000-0000844E0000}"/>
    <cellStyle name="货币 2 2 5 5 2 4" xfId="9055" xr:uid="{00000000-0005-0000-0000-00008F230000}"/>
    <cellStyle name="货币 2 2 5 5 2 4 2" xfId="6737" xr:uid="{00000000-0005-0000-0000-0000811A0000}"/>
    <cellStyle name="货币 2 2 5 5 2 4 3" xfId="6741" xr:uid="{00000000-0005-0000-0000-0000851A0000}"/>
    <cellStyle name="货币 2 2 5 5 2 4 4" xfId="38530" xr:uid="{00000000-0005-0000-0000-0000B2960000}"/>
    <cellStyle name="货币 2 2 5 5 2 4 5" xfId="38531" xr:uid="{00000000-0005-0000-0000-0000B3960000}"/>
    <cellStyle name="货币 2 2 5 5 2 4 6" xfId="38532" xr:uid="{00000000-0005-0000-0000-0000B4960000}"/>
    <cellStyle name="货币 2 2 5 5 2 5" xfId="8435" xr:uid="{00000000-0005-0000-0000-000023210000}"/>
    <cellStyle name="货币 2 2 5 5 2 5 2" xfId="38534" xr:uid="{00000000-0005-0000-0000-0000B6960000}"/>
    <cellStyle name="货币 2 2 5 5 2 5 3" xfId="38536" xr:uid="{00000000-0005-0000-0000-0000B8960000}"/>
    <cellStyle name="货币 2 2 5 5 2 5 4" xfId="38538" xr:uid="{00000000-0005-0000-0000-0000BA960000}"/>
    <cellStyle name="货币 2 2 5 5 2 5 5" xfId="38540" xr:uid="{00000000-0005-0000-0000-0000BC960000}"/>
    <cellStyle name="货币 2 2 5 5 2 5 6" xfId="38542" xr:uid="{00000000-0005-0000-0000-0000BE960000}"/>
    <cellStyle name="货币 2 2 5 5 2 6" xfId="2400" xr:uid="{00000000-0005-0000-0000-000090090000}"/>
    <cellStyle name="货币 2 2 5 5 2 6 2" xfId="38544" xr:uid="{00000000-0005-0000-0000-0000C0960000}"/>
    <cellStyle name="货币 2 2 5 5 2 6 3" xfId="2277" xr:uid="{00000000-0005-0000-0000-000015090000}"/>
    <cellStyle name="货币 2 2 5 5 2 6 4" xfId="38546" xr:uid="{00000000-0005-0000-0000-0000C2960000}"/>
    <cellStyle name="货币 2 2 5 5 2 6 5" xfId="38548" xr:uid="{00000000-0005-0000-0000-0000C4960000}"/>
    <cellStyle name="货币 2 2 5 5 2 6 6" xfId="6627" xr:uid="{00000000-0005-0000-0000-0000131A0000}"/>
    <cellStyle name="货币 2 2 5 5 2 7" xfId="1569" xr:uid="{00000000-0005-0000-0000-000051060000}"/>
    <cellStyle name="货币 2 2 5 5 2 8" xfId="38549" xr:uid="{00000000-0005-0000-0000-0000C5960000}"/>
    <cellStyle name="货币 2 2 5 5 2 9" xfId="38550" xr:uid="{00000000-0005-0000-0000-0000C6960000}"/>
    <cellStyle name="货币 2 2 5 5 3" xfId="6385" xr:uid="{00000000-0005-0000-0000-000021190000}"/>
    <cellStyle name="货币 2 2 5 5 3 10" xfId="18965" xr:uid="{00000000-0005-0000-0000-0000454A0000}"/>
    <cellStyle name="货币 2 2 5 5 3 11" xfId="18967" xr:uid="{00000000-0005-0000-0000-0000474A0000}"/>
    <cellStyle name="货币 2 2 5 5 3 12" xfId="18969" xr:uid="{00000000-0005-0000-0000-0000494A0000}"/>
    <cellStyle name="货币 2 2 5 5 3 2" xfId="30373" xr:uid="{00000000-0005-0000-0000-0000D5760000}"/>
    <cellStyle name="货币 2 2 5 5 3 2 2" xfId="38553" xr:uid="{00000000-0005-0000-0000-0000C9960000}"/>
    <cellStyle name="货币 2 2 5 5 3 2 2 2" xfId="21754" xr:uid="{00000000-0005-0000-0000-00002A550000}"/>
    <cellStyle name="货币 2 2 5 5 3 2 3" xfId="20132" xr:uid="{00000000-0005-0000-0000-0000D44E0000}"/>
    <cellStyle name="货币 2 2 5 5 3 2 4" xfId="20134" xr:uid="{00000000-0005-0000-0000-0000D64E0000}"/>
    <cellStyle name="货币 2 2 5 5 3 2 5" xfId="14628" xr:uid="{00000000-0005-0000-0000-000054390000}"/>
    <cellStyle name="货币 2 2 5 5 3 3" xfId="9064" xr:uid="{00000000-0005-0000-0000-000098230000}"/>
    <cellStyle name="货币 2 2 5 5 3 3 2" xfId="35331" xr:uid="{00000000-0005-0000-0000-0000338A0000}"/>
    <cellStyle name="货币 2 2 5 5 3 4" xfId="9076" xr:uid="{00000000-0005-0000-0000-0000A4230000}"/>
    <cellStyle name="货币 2 2 5 5 3 5" xfId="9089" xr:uid="{00000000-0005-0000-0000-0000B1230000}"/>
    <cellStyle name="货币 2 2 5 5 3 6" xfId="9103" xr:uid="{00000000-0005-0000-0000-0000BF230000}"/>
    <cellStyle name="货币 2 2 5 5 3 7" xfId="1597" xr:uid="{00000000-0005-0000-0000-00006D060000}"/>
    <cellStyle name="货币 2 2 5 5 3 8" xfId="27123" xr:uid="{00000000-0005-0000-0000-0000236A0000}"/>
    <cellStyle name="货币 2 2 5 5 3 9" xfId="27127" xr:uid="{00000000-0005-0000-0000-0000276A0000}"/>
    <cellStyle name="货币 2 2 5 5 4" xfId="13719" xr:uid="{00000000-0005-0000-0000-0000C7350000}"/>
    <cellStyle name="货币 2 2 5 5 4 10" xfId="3798" xr:uid="{00000000-0005-0000-0000-0000060F0000}"/>
    <cellStyle name="货币 2 2 5 5 4 11" xfId="9650" xr:uid="{00000000-0005-0000-0000-0000E2250000}"/>
    <cellStyle name="货币 2 2 5 5 4 2" xfId="38554" xr:uid="{00000000-0005-0000-0000-0000CA960000}"/>
    <cellStyle name="货币 2 2 5 5 4 2 2" xfId="38555" xr:uid="{00000000-0005-0000-0000-0000CB960000}"/>
    <cellStyle name="货币 2 2 5 5 4 2 2 2" xfId="22137" xr:uid="{00000000-0005-0000-0000-0000A9560000}"/>
    <cellStyle name="货币 2 2 5 5 4 2 3" xfId="4487" xr:uid="{00000000-0005-0000-0000-0000B7110000}"/>
    <cellStyle name="货币 2 2 5 5 4 2 4" xfId="38556" xr:uid="{00000000-0005-0000-0000-0000CC960000}"/>
    <cellStyle name="货币 2 2 5 5 4 2 5" xfId="38557" xr:uid="{00000000-0005-0000-0000-0000CD960000}"/>
    <cellStyle name="货币 2 2 5 5 4 3" xfId="21953" xr:uid="{00000000-0005-0000-0000-0000F1550000}"/>
    <cellStyle name="货币 2 2 5 5 4 3 2" xfId="13634" xr:uid="{00000000-0005-0000-0000-000072350000}"/>
    <cellStyle name="货币 2 2 5 5 4 4" xfId="38558" xr:uid="{00000000-0005-0000-0000-0000CE960000}"/>
    <cellStyle name="货币 2 2 5 5 4 5" xfId="38559" xr:uid="{00000000-0005-0000-0000-0000CF960000}"/>
    <cellStyle name="货币 2 2 5 5 4 6" xfId="25545" xr:uid="{00000000-0005-0000-0000-0000F9630000}"/>
    <cellStyle name="货币 2 2 5 5 4 7" xfId="27141" xr:uid="{00000000-0005-0000-0000-0000356A0000}"/>
    <cellStyle name="货币 2 2 5 5 4 8" xfId="27145" xr:uid="{00000000-0005-0000-0000-0000396A0000}"/>
    <cellStyle name="货币 2 2 5 5 4 9" xfId="27149" xr:uid="{00000000-0005-0000-0000-00003D6A0000}"/>
    <cellStyle name="货币 2 2 5 5 5" xfId="13721" xr:uid="{00000000-0005-0000-0000-0000C9350000}"/>
    <cellStyle name="货币 2 2 5 5 5 10" xfId="3886" xr:uid="{00000000-0005-0000-0000-00005E0F0000}"/>
    <cellStyle name="货币 2 2 5 5 5 2" xfId="38560" xr:uid="{00000000-0005-0000-0000-0000D0960000}"/>
    <cellStyle name="货币 2 2 5 5 5 2 2" xfId="10587" xr:uid="{00000000-0005-0000-0000-00008B290000}"/>
    <cellStyle name="货币 2 2 5 5 5 2 2 2" xfId="22441" xr:uid="{00000000-0005-0000-0000-0000D9570000}"/>
    <cellStyle name="货币 2 2 5 5 5 2 3" xfId="38562" xr:uid="{00000000-0005-0000-0000-0000D2960000}"/>
    <cellStyle name="货币 2 2 5 5 5 2 4" xfId="38563" xr:uid="{00000000-0005-0000-0000-0000D3960000}"/>
    <cellStyle name="货币 2 2 5 5 5 2 5" xfId="38564" xr:uid="{00000000-0005-0000-0000-0000D4960000}"/>
    <cellStyle name="货币 2 2 5 5 5 3" xfId="38565" xr:uid="{00000000-0005-0000-0000-0000D5960000}"/>
    <cellStyle name="货币 2 2 5 5 5 3 2" xfId="10058" xr:uid="{00000000-0005-0000-0000-00007A270000}"/>
    <cellStyle name="货币 2 2 5 5 5 4" xfId="38566" xr:uid="{00000000-0005-0000-0000-0000D6960000}"/>
    <cellStyle name="货币 2 2 5 5 5 5" xfId="38567" xr:uid="{00000000-0005-0000-0000-0000D7960000}"/>
    <cellStyle name="货币 2 2 5 5 5 6" xfId="25564" xr:uid="{00000000-0005-0000-0000-00000C640000}"/>
    <cellStyle name="货币 2 2 5 5 5 7" xfId="38568" xr:uid="{00000000-0005-0000-0000-0000D8960000}"/>
    <cellStyle name="货币 2 2 5 5 5 8" xfId="38569" xr:uid="{00000000-0005-0000-0000-0000D9960000}"/>
    <cellStyle name="货币 2 2 5 5 5 9" xfId="38570" xr:uid="{00000000-0005-0000-0000-0000DA960000}"/>
    <cellStyle name="货币 2 2 5 5 6" xfId="13723" xr:uid="{00000000-0005-0000-0000-0000CB350000}"/>
    <cellStyle name="货币 2 2 5 5 6 2" xfId="38571" xr:uid="{00000000-0005-0000-0000-0000DB960000}"/>
    <cellStyle name="货币 2 2 5 5 6 2 2" xfId="15978" xr:uid="{00000000-0005-0000-0000-00009A3E0000}"/>
    <cellStyle name="货币 2 2 5 5 6 3" xfId="38572" xr:uid="{00000000-0005-0000-0000-0000DC960000}"/>
    <cellStyle name="货币 2 2 5 5 6 4" xfId="38573" xr:uid="{00000000-0005-0000-0000-0000DD960000}"/>
    <cellStyle name="货币 2 2 5 5 6 5" xfId="38575" xr:uid="{00000000-0005-0000-0000-0000DF960000}"/>
    <cellStyle name="货币 2 2 5 5 6 6" xfId="17632" xr:uid="{00000000-0005-0000-0000-000010450000}"/>
    <cellStyle name="货币 2 2 5 5 6 7" xfId="38576" xr:uid="{00000000-0005-0000-0000-0000E0960000}"/>
    <cellStyle name="货币 2 2 5 5 6 8" xfId="31050" xr:uid="{00000000-0005-0000-0000-00007A790000}"/>
    <cellStyle name="货币 2 2 5 5 6 9" xfId="27049" xr:uid="{00000000-0005-0000-0000-0000D9690000}"/>
    <cellStyle name="货币 2 2 5 5 7" xfId="4493" xr:uid="{00000000-0005-0000-0000-0000BD110000}"/>
    <cellStyle name="货币 2 2 5 5 7 2" xfId="25583" xr:uid="{00000000-0005-0000-0000-00001F640000}"/>
    <cellStyle name="货币 2 2 5 5 7 3" xfId="25587" xr:uid="{00000000-0005-0000-0000-000023640000}"/>
    <cellStyle name="货币 2 2 5 5 7 4" xfId="25837" xr:uid="{00000000-0005-0000-0000-00001D650000}"/>
    <cellStyle name="货币 2 2 5 5 7 5" xfId="38577" xr:uid="{00000000-0005-0000-0000-0000E1960000}"/>
    <cellStyle name="货币 2 2 5 5 7 6" xfId="38578" xr:uid="{00000000-0005-0000-0000-0000E2960000}"/>
    <cellStyle name="货币 2 2 5 5 8" xfId="38579" xr:uid="{00000000-0005-0000-0000-0000E3960000}"/>
    <cellStyle name="货币 2 2 5 5 9" xfId="38580" xr:uid="{00000000-0005-0000-0000-0000E4960000}"/>
    <cellStyle name="货币 2 2 5 6" xfId="38581" xr:uid="{00000000-0005-0000-0000-0000E5960000}"/>
    <cellStyle name="货币 2 2 5 6 10" xfId="36626" xr:uid="{00000000-0005-0000-0000-0000428F0000}"/>
    <cellStyle name="货币 2 2 5 6 11" xfId="36628" xr:uid="{00000000-0005-0000-0000-0000448F0000}"/>
    <cellStyle name="货币 2 2 5 6 12" xfId="36630" xr:uid="{00000000-0005-0000-0000-0000468F0000}"/>
    <cellStyle name="货币 2 2 5 6 13" xfId="36632" xr:uid="{00000000-0005-0000-0000-0000488F0000}"/>
    <cellStyle name="货币 2 2 5 6 14" xfId="18153" xr:uid="{00000000-0005-0000-0000-000019470000}"/>
    <cellStyle name="货币 2 2 5 6 15" xfId="18165" xr:uid="{00000000-0005-0000-0000-000025470000}"/>
    <cellStyle name="货币 2 2 5 6 16" xfId="18178" xr:uid="{00000000-0005-0000-0000-000032470000}"/>
    <cellStyle name="货币 2 2 5 6 17" xfId="18185" xr:uid="{00000000-0005-0000-0000-000039470000}"/>
    <cellStyle name="货币 2 2 5 6 18" xfId="10635" xr:uid="{00000000-0005-0000-0000-0000BB290000}"/>
    <cellStyle name="货币 2 2 5 6 2" xfId="13735" xr:uid="{00000000-0005-0000-0000-0000D7350000}"/>
    <cellStyle name="货币 2 2 5 6 2 10" xfId="34329" xr:uid="{00000000-0005-0000-0000-000049860000}"/>
    <cellStyle name="货币 2 2 5 6 2 2" xfId="38582" xr:uid="{00000000-0005-0000-0000-0000E6960000}"/>
    <cellStyle name="货币 2 2 5 6 2 2 2" xfId="23989" xr:uid="{00000000-0005-0000-0000-0000E55D0000}"/>
    <cellStyle name="货币 2 2 5 6 2 3" xfId="38583" xr:uid="{00000000-0005-0000-0000-0000E7960000}"/>
    <cellStyle name="货币 2 2 5 6 2 4" xfId="38584" xr:uid="{00000000-0005-0000-0000-0000E8960000}"/>
    <cellStyle name="货币 2 2 5 6 2 5" xfId="1865" xr:uid="{00000000-0005-0000-0000-000079070000}"/>
    <cellStyle name="货币 2 2 5 6 2 6" xfId="1939" xr:uid="{00000000-0005-0000-0000-0000C3070000}"/>
    <cellStyle name="货币 2 2 5 6 2 7" xfId="1918" xr:uid="{00000000-0005-0000-0000-0000AE070000}"/>
    <cellStyle name="货币 2 2 5 6 2 8" xfId="5609" xr:uid="{00000000-0005-0000-0000-000019160000}"/>
    <cellStyle name="货币 2 2 5 6 2 9" xfId="5613" xr:uid="{00000000-0005-0000-0000-00001D160000}"/>
    <cellStyle name="货币 2 2 5 6 3" xfId="13738" xr:uid="{00000000-0005-0000-0000-0000DA350000}"/>
    <cellStyle name="货币 2 2 5 6 3 2" xfId="38585" xr:uid="{00000000-0005-0000-0000-0000E9960000}"/>
    <cellStyle name="货币 2 2 5 6 3 3" xfId="35335" xr:uid="{00000000-0005-0000-0000-0000378A0000}"/>
    <cellStyle name="货币 2 2 5 6 3 4" xfId="36134" xr:uid="{00000000-0005-0000-0000-0000568D0000}"/>
    <cellStyle name="货币 2 2 5 6 3 5" xfId="5643" xr:uid="{00000000-0005-0000-0000-00003B160000}"/>
    <cellStyle name="货币 2 2 5 6 3 6" xfId="812" xr:uid="{00000000-0005-0000-0000-00005C030000}"/>
    <cellStyle name="货币 2 2 5 6 4" xfId="13740" xr:uid="{00000000-0005-0000-0000-0000DC350000}"/>
    <cellStyle name="货币 2 2 5 6 4 2" xfId="38586" xr:uid="{00000000-0005-0000-0000-0000EA960000}"/>
    <cellStyle name="货币 2 2 5 6 4 3" xfId="38587" xr:uid="{00000000-0005-0000-0000-0000EB960000}"/>
    <cellStyle name="货币 2 2 5 6 4 4" xfId="38588" xr:uid="{00000000-0005-0000-0000-0000EC960000}"/>
    <cellStyle name="货币 2 2 5 6 4 5" xfId="6000" xr:uid="{00000000-0005-0000-0000-0000A0170000}"/>
    <cellStyle name="货币 2 2 5 6 4 6" xfId="1008" xr:uid="{00000000-0005-0000-0000-000020040000}"/>
    <cellStyle name="货币 2 2 5 6 5" xfId="13742" xr:uid="{00000000-0005-0000-0000-0000DE350000}"/>
    <cellStyle name="货币 2 2 5 6 5 2" xfId="38589" xr:uid="{00000000-0005-0000-0000-0000ED960000}"/>
    <cellStyle name="货币 2 2 5 6 5 3" xfId="38590" xr:uid="{00000000-0005-0000-0000-0000EE960000}"/>
    <cellStyle name="货币 2 2 5 6 5 4" xfId="38591" xr:uid="{00000000-0005-0000-0000-0000EF960000}"/>
    <cellStyle name="货币 2 2 5 6 5 5" xfId="30415" xr:uid="{00000000-0005-0000-0000-0000FF760000}"/>
    <cellStyle name="货币 2 2 5 6 5 6" xfId="38592" xr:uid="{00000000-0005-0000-0000-0000F0960000}"/>
    <cellStyle name="货币 2 2 5 6 6" xfId="13744" xr:uid="{00000000-0005-0000-0000-0000E0350000}"/>
    <cellStyle name="货币 2 2 5 6 6 2" xfId="38593" xr:uid="{00000000-0005-0000-0000-0000F1960000}"/>
    <cellStyle name="货币 2 2 5 6 6 3" xfId="38594" xr:uid="{00000000-0005-0000-0000-0000F2960000}"/>
    <cellStyle name="货币 2 2 5 6 6 4" xfId="38595" xr:uid="{00000000-0005-0000-0000-0000F3960000}"/>
    <cellStyle name="货币 2 2 5 6 6 5" xfId="38596" xr:uid="{00000000-0005-0000-0000-0000F4960000}"/>
    <cellStyle name="货币 2 2 5 6 6 6" xfId="38597" xr:uid="{00000000-0005-0000-0000-0000F5960000}"/>
    <cellStyle name="货币 2 2 5 6 7" xfId="4502" xr:uid="{00000000-0005-0000-0000-0000C6110000}"/>
    <cellStyle name="货币 2 2 5 6 8" xfId="38598" xr:uid="{00000000-0005-0000-0000-0000F6960000}"/>
    <cellStyle name="货币 2 2 5 6 9" xfId="38599" xr:uid="{00000000-0005-0000-0000-0000F7960000}"/>
    <cellStyle name="货币 2 2 5 7" xfId="30596" xr:uid="{00000000-0005-0000-0000-0000B4770000}"/>
    <cellStyle name="货币 2 2 5 7 10" xfId="36664" xr:uid="{00000000-0005-0000-0000-0000688F0000}"/>
    <cellStyle name="货币 2 2 5 7 11" xfId="25791" xr:uid="{00000000-0005-0000-0000-0000EF640000}"/>
    <cellStyle name="货币 2 2 5 7 12" xfId="36666" xr:uid="{00000000-0005-0000-0000-00006A8F0000}"/>
    <cellStyle name="货币 2 2 5 7 13" xfId="38600" xr:uid="{00000000-0005-0000-0000-0000F8960000}"/>
    <cellStyle name="货币 2 2 5 7 14" xfId="38601" xr:uid="{00000000-0005-0000-0000-0000F9960000}"/>
    <cellStyle name="货币 2 2 5 7 15" xfId="38603" xr:uid="{00000000-0005-0000-0000-0000FB960000}"/>
    <cellStyle name="货币 2 2 5 7 16" xfId="38605" xr:uid="{00000000-0005-0000-0000-0000FD960000}"/>
    <cellStyle name="货币 2 2 5 7 17" xfId="38607" xr:uid="{00000000-0005-0000-0000-0000FF960000}"/>
    <cellStyle name="货币 2 2 5 7 18" xfId="38609" xr:uid="{00000000-0005-0000-0000-000001970000}"/>
    <cellStyle name="货币 2 2 5 7 2" xfId="13757" xr:uid="{00000000-0005-0000-0000-0000ED350000}"/>
    <cellStyle name="货币 2 2 5 7 2 10" xfId="13318" xr:uid="{00000000-0005-0000-0000-000036340000}"/>
    <cellStyle name="货币 2 2 5 7 2 2" xfId="16194" xr:uid="{00000000-0005-0000-0000-0000723F0000}"/>
    <cellStyle name="货币 2 2 5 7 2 2 2" xfId="16200" xr:uid="{00000000-0005-0000-0000-0000783F0000}"/>
    <cellStyle name="货币 2 2 5 7 2 3" xfId="16229" xr:uid="{00000000-0005-0000-0000-0000953F0000}"/>
    <cellStyle name="货币 2 2 5 7 2 4" xfId="16242" xr:uid="{00000000-0005-0000-0000-0000A23F0000}"/>
    <cellStyle name="货币 2 2 5 7 2 5" xfId="16250" xr:uid="{00000000-0005-0000-0000-0000AA3F0000}"/>
    <cellStyle name="货币 2 2 5 7 2 6" xfId="7523" xr:uid="{00000000-0005-0000-0000-0000931D0000}"/>
    <cellStyle name="货币 2 2 5 7 2 7" xfId="3127" xr:uid="{00000000-0005-0000-0000-0000670C0000}"/>
    <cellStyle name="货币 2 2 5 7 2 8" xfId="4983" xr:uid="{00000000-0005-0000-0000-0000A7130000}"/>
    <cellStyle name="货币 2 2 5 7 2 9" xfId="16253" xr:uid="{00000000-0005-0000-0000-0000AD3F0000}"/>
    <cellStyle name="货币 2 2 5 7 3" xfId="13762" xr:uid="{00000000-0005-0000-0000-0000F2350000}"/>
    <cellStyle name="货币 2 2 5 7 3 2" xfId="15604" xr:uid="{00000000-0005-0000-0000-0000243D0000}"/>
    <cellStyle name="货币 2 2 5 7 3 3" xfId="15611" xr:uid="{00000000-0005-0000-0000-00002B3D0000}"/>
    <cellStyle name="货币 2 2 5 7 3 4" xfId="16260" xr:uid="{00000000-0005-0000-0000-0000B43F0000}"/>
    <cellStyle name="货币 2 2 5 7 3 5" xfId="16267" xr:uid="{00000000-0005-0000-0000-0000BB3F0000}"/>
    <cellStyle name="货币 2 2 5 7 3 6" xfId="1174" xr:uid="{00000000-0005-0000-0000-0000C6040000}"/>
    <cellStyle name="货币 2 2 5 7 4" xfId="16275" xr:uid="{00000000-0005-0000-0000-0000C33F0000}"/>
    <cellStyle name="货币 2 2 5 7 4 2" xfId="14159" xr:uid="{00000000-0005-0000-0000-00007F370000}"/>
    <cellStyle name="货币 2 2 5 7 4 3" xfId="38610" xr:uid="{00000000-0005-0000-0000-000002970000}"/>
    <cellStyle name="货币 2 2 5 7 4 4" xfId="34051" xr:uid="{00000000-0005-0000-0000-000033850000}"/>
    <cellStyle name="货币 2 2 5 7 4 5" xfId="34059" xr:uid="{00000000-0005-0000-0000-00003B850000}"/>
    <cellStyle name="货币 2 2 5 7 4 6" xfId="34064" xr:uid="{00000000-0005-0000-0000-000040850000}"/>
    <cellStyle name="货币 2 2 5 7 5" xfId="16279" xr:uid="{00000000-0005-0000-0000-0000C73F0000}"/>
    <cellStyle name="货币 2 2 5 7 5 2" xfId="23471" xr:uid="{00000000-0005-0000-0000-0000DF5B0000}"/>
    <cellStyle name="货币 2 2 5 7 5 3" xfId="23474" xr:uid="{00000000-0005-0000-0000-0000E25B0000}"/>
    <cellStyle name="货币 2 2 5 7 5 4" xfId="23478" xr:uid="{00000000-0005-0000-0000-0000E65B0000}"/>
    <cellStyle name="货币 2 2 5 7 5 5" xfId="23483" xr:uid="{00000000-0005-0000-0000-0000EB5B0000}"/>
    <cellStyle name="货币 2 2 5 7 5 6" xfId="23488" xr:uid="{00000000-0005-0000-0000-0000F05B0000}"/>
    <cellStyle name="货币 2 2 5 7 6" xfId="16285" xr:uid="{00000000-0005-0000-0000-0000CD3F0000}"/>
    <cellStyle name="货币 2 2 5 7 6 2" xfId="38611" xr:uid="{00000000-0005-0000-0000-000003970000}"/>
    <cellStyle name="货币 2 2 5 7 6 3" xfId="38612" xr:uid="{00000000-0005-0000-0000-000004970000}"/>
    <cellStyle name="货币 2 2 5 7 6 4" xfId="34077" xr:uid="{00000000-0005-0000-0000-00004D850000}"/>
    <cellStyle name="货币 2 2 5 7 6 5" xfId="34079" xr:uid="{00000000-0005-0000-0000-00004F850000}"/>
    <cellStyle name="货币 2 2 5 7 6 6" xfId="34081" xr:uid="{00000000-0005-0000-0000-000051850000}"/>
    <cellStyle name="货币 2 2 5 7 7" xfId="4514" xr:uid="{00000000-0005-0000-0000-0000D2110000}"/>
    <cellStyle name="货币 2 2 5 7 8" xfId="38613" xr:uid="{00000000-0005-0000-0000-000005970000}"/>
    <cellStyle name="货币 2 2 5 7 9" xfId="23185" xr:uid="{00000000-0005-0000-0000-0000C15A0000}"/>
    <cellStyle name="货币 2 2 5 8" xfId="38614" xr:uid="{00000000-0005-0000-0000-000006970000}"/>
    <cellStyle name="货币 2 2 5 8 10" xfId="36683" xr:uid="{00000000-0005-0000-0000-00007B8F0000}"/>
    <cellStyle name="货币 2 2 5 8 11" xfId="38615" xr:uid="{00000000-0005-0000-0000-000007970000}"/>
    <cellStyle name="货币 2 2 5 8 12" xfId="11839" xr:uid="{00000000-0005-0000-0000-00006F2E0000}"/>
    <cellStyle name="货币 2 2 5 8 13" xfId="11509" xr:uid="{00000000-0005-0000-0000-0000252D0000}"/>
    <cellStyle name="货币 2 2 5 8 14" xfId="11605" xr:uid="{00000000-0005-0000-0000-0000852D0000}"/>
    <cellStyle name="货币 2 2 5 8 15" xfId="3939" xr:uid="{00000000-0005-0000-0000-0000930F0000}"/>
    <cellStyle name="货币 2 2 5 8 2" xfId="11782" xr:uid="{00000000-0005-0000-0000-0000362E0000}"/>
    <cellStyle name="货币 2 2 5 8 2 2" xfId="16328" xr:uid="{00000000-0005-0000-0000-0000F83F0000}"/>
    <cellStyle name="货币 2 2 5 8 2 2 2" xfId="9617" xr:uid="{00000000-0005-0000-0000-0000C1250000}"/>
    <cellStyle name="货币 2 2 5 8 2 3" xfId="16333" xr:uid="{00000000-0005-0000-0000-0000FD3F0000}"/>
    <cellStyle name="货币 2 2 5 8 2 4" xfId="16338" xr:uid="{00000000-0005-0000-0000-000002400000}"/>
    <cellStyle name="货币 2 2 5 8 2 5" xfId="16343" xr:uid="{00000000-0005-0000-0000-000007400000}"/>
    <cellStyle name="货币 2 2 5 8 2 6" xfId="16348" xr:uid="{00000000-0005-0000-0000-00000C400000}"/>
    <cellStyle name="货币 2 2 5 8 2 7" xfId="500" xr:uid="{00000000-0005-0000-0000-000014020000}"/>
    <cellStyle name="货币 2 2 5 8 2 8" xfId="401" xr:uid="{00000000-0005-0000-0000-0000AB010000}"/>
    <cellStyle name="货币 2 2 5 8 2 9" xfId="2004" xr:uid="{00000000-0005-0000-0000-000004080000}"/>
    <cellStyle name="货币 2 2 5 8 3" xfId="11790" xr:uid="{00000000-0005-0000-0000-00003E2E0000}"/>
    <cellStyle name="货币 2 2 5 8 3 2" xfId="16353" xr:uid="{00000000-0005-0000-0000-000011400000}"/>
    <cellStyle name="货币 2 2 5 8 3 3" xfId="16358" xr:uid="{00000000-0005-0000-0000-000016400000}"/>
    <cellStyle name="货币 2 2 5 8 3 4" xfId="16363" xr:uid="{00000000-0005-0000-0000-00001B400000}"/>
    <cellStyle name="货币 2 2 5 8 3 5" xfId="16368" xr:uid="{00000000-0005-0000-0000-000020400000}"/>
    <cellStyle name="货币 2 2 5 8 3 6" xfId="16374" xr:uid="{00000000-0005-0000-0000-000026400000}"/>
    <cellStyle name="货币 2 2 5 8 4" xfId="11798" xr:uid="{00000000-0005-0000-0000-0000462E0000}"/>
    <cellStyle name="货币 2 2 5 8 4 2" xfId="12164" xr:uid="{00000000-0005-0000-0000-0000B42F0000}"/>
    <cellStyle name="货币 2 2 5 8 5" xfId="11802" xr:uid="{00000000-0005-0000-0000-00004A2E0000}"/>
    <cellStyle name="货币 2 2 5 8 6" xfId="11809" xr:uid="{00000000-0005-0000-0000-0000512E0000}"/>
    <cellStyle name="货币 2 2 5 8 7" xfId="4517" xr:uid="{00000000-0005-0000-0000-0000D5110000}"/>
    <cellStyle name="货币 2 2 5 8 8" xfId="2416" xr:uid="{00000000-0005-0000-0000-0000A0090000}"/>
    <cellStyle name="货币 2 2 5 8 9" xfId="11814" xr:uid="{00000000-0005-0000-0000-0000562E0000}"/>
    <cellStyle name="货币 2 2 5 9" xfId="38616" xr:uid="{00000000-0005-0000-0000-000008970000}"/>
    <cellStyle name="货币 2 2 5 9 10" xfId="36096" xr:uid="{00000000-0005-0000-0000-0000308D0000}"/>
    <cellStyle name="货币 2 2 5 9 11" xfId="36098" xr:uid="{00000000-0005-0000-0000-0000328D0000}"/>
    <cellStyle name="货币 2 2 5 9 12" xfId="36100" xr:uid="{00000000-0005-0000-0000-0000348D0000}"/>
    <cellStyle name="货币 2 2 5 9 13" xfId="12486" xr:uid="{00000000-0005-0000-0000-0000F6300000}"/>
    <cellStyle name="货币 2 2 5 9 14" xfId="12517" xr:uid="{00000000-0005-0000-0000-000015310000}"/>
    <cellStyle name="货币 2 2 5 9 2" xfId="16421" xr:uid="{00000000-0005-0000-0000-000055400000}"/>
    <cellStyle name="货币 2 2 5 9 2 2" xfId="21359" xr:uid="{00000000-0005-0000-0000-00009F530000}"/>
    <cellStyle name="货币 2 2 5 9 2 2 2" xfId="8923" xr:uid="{00000000-0005-0000-0000-00000B230000}"/>
    <cellStyle name="货币 2 2 5 9 2 3" xfId="21366" xr:uid="{00000000-0005-0000-0000-0000A6530000}"/>
    <cellStyle name="货币 2 2 5 9 2 4" xfId="21368" xr:uid="{00000000-0005-0000-0000-0000A8530000}"/>
    <cellStyle name="货币 2 2 5 9 2 5" xfId="38617" xr:uid="{00000000-0005-0000-0000-000009970000}"/>
    <cellStyle name="货币 2 2 5 9 2 6" xfId="38618" xr:uid="{00000000-0005-0000-0000-00000A970000}"/>
    <cellStyle name="货币 2 2 5 9 2 7" xfId="38619" xr:uid="{00000000-0005-0000-0000-00000B970000}"/>
    <cellStyle name="货币 2 2 5 9 2 8" xfId="38620" xr:uid="{00000000-0005-0000-0000-00000C970000}"/>
    <cellStyle name="货币 2 2 5 9 2 9" xfId="37248" xr:uid="{00000000-0005-0000-0000-0000B0910000}"/>
    <cellStyle name="货币 2 2 5 9 3" xfId="16425" xr:uid="{00000000-0005-0000-0000-000059400000}"/>
    <cellStyle name="货币 2 2 5 9 3 2" xfId="38621" xr:uid="{00000000-0005-0000-0000-00000D970000}"/>
    <cellStyle name="货币 2 2 5 9 3 3" xfId="38622" xr:uid="{00000000-0005-0000-0000-00000E970000}"/>
    <cellStyle name="货币 2 2 5 9 3 4" xfId="38623" xr:uid="{00000000-0005-0000-0000-00000F970000}"/>
    <cellStyle name="货币 2 2 5 9 3 5" xfId="38624" xr:uid="{00000000-0005-0000-0000-000010970000}"/>
    <cellStyle name="货币 2 2 5 9 3 6" xfId="38625" xr:uid="{00000000-0005-0000-0000-000011970000}"/>
    <cellStyle name="货币 2 2 5 9 4" xfId="12176" xr:uid="{00000000-0005-0000-0000-0000C02F0000}"/>
    <cellStyle name="货币 2 2 5 9 4 2" xfId="35216" xr:uid="{00000000-0005-0000-0000-0000C0890000}"/>
    <cellStyle name="货币 2 2 5 9 5" xfId="16428" xr:uid="{00000000-0005-0000-0000-00005C400000}"/>
    <cellStyle name="货币 2 2 5 9 6" xfId="16431" xr:uid="{00000000-0005-0000-0000-00005F400000}"/>
    <cellStyle name="货币 2 2 5 9 7" xfId="4524" xr:uid="{00000000-0005-0000-0000-0000DC110000}"/>
    <cellStyle name="货币 2 2 5 9 8" xfId="31927" xr:uid="{00000000-0005-0000-0000-0000E77C0000}"/>
    <cellStyle name="货币 2 2 5 9 9" xfId="31933" xr:uid="{00000000-0005-0000-0000-0000ED7C0000}"/>
    <cellStyle name="货币 2 2 6" xfId="5859" xr:uid="{00000000-0005-0000-0000-000013170000}"/>
    <cellStyle name="货币 2 2 6 10" xfId="9280" xr:uid="{00000000-0005-0000-0000-000070240000}"/>
    <cellStyle name="货币 2 2 6 10 2" xfId="38627" xr:uid="{00000000-0005-0000-0000-000013970000}"/>
    <cellStyle name="货币 2 2 6 10 3" xfId="38629" xr:uid="{00000000-0005-0000-0000-000015970000}"/>
    <cellStyle name="货币 2 2 6 10 4" xfId="38631" xr:uid="{00000000-0005-0000-0000-000017970000}"/>
    <cellStyle name="货币 2 2 6 10 5" xfId="33615" xr:uid="{00000000-0005-0000-0000-00007F830000}"/>
    <cellStyle name="货币 2 2 6 10 6" xfId="38632" xr:uid="{00000000-0005-0000-0000-000018970000}"/>
    <cellStyle name="货币 2 2 6 11" xfId="9289" xr:uid="{00000000-0005-0000-0000-000079240000}"/>
    <cellStyle name="货币 2 2 6 11 2" xfId="38634" xr:uid="{00000000-0005-0000-0000-00001A970000}"/>
    <cellStyle name="货币 2 2 6 11 3" xfId="38636" xr:uid="{00000000-0005-0000-0000-00001C970000}"/>
    <cellStyle name="货币 2 2 6 11 4" xfId="38639" xr:uid="{00000000-0005-0000-0000-00001F970000}"/>
    <cellStyle name="货币 2 2 6 11 5" xfId="22545" xr:uid="{00000000-0005-0000-0000-000041580000}"/>
    <cellStyle name="货币 2 2 6 11 6" xfId="22551" xr:uid="{00000000-0005-0000-0000-000047580000}"/>
    <cellStyle name="货币 2 2 6 12" xfId="24551" xr:uid="{00000000-0005-0000-0000-000017600000}"/>
    <cellStyle name="货币 2 2 6 13" xfId="24555" xr:uid="{00000000-0005-0000-0000-00001B600000}"/>
    <cellStyle name="货币 2 2 6 14" xfId="38641" xr:uid="{00000000-0005-0000-0000-000021970000}"/>
    <cellStyle name="货币 2 2 6 15" xfId="38643" xr:uid="{00000000-0005-0000-0000-000023970000}"/>
    <cellStyle name="货币 2 2 6 16" xfId="38645" xr:uid="{00000000-0005-0000-0000-000025970000}"/>
    <cellStyle name="货币 2 2 6 17" xfId="38647" xr:uid="{00000000-0005-0000-0000-000027970000}"/>
    <cellStyle name="货币 2 2 6 18" xfId="38649" xr:uid="{00000000-0005-0000-0000-000029970000}"/>
    <cellStyle name="货币 2 2 6 19" xfId="38651" xr:uid="{00000000-0005-0000-0000-00002B970000}"/>
    <cellStyle name="货币 2 2 6 2" xfId="5864" xr:uid="{00000000-0005-0000-0000-000018170000}"/>
    <cellStyle name="货币 2 2 6 2 10" xfId="37855" xr:uid="{00000000-0005-0000-0000-00000F940000}"/>
    <cellStyle name="货币 2 2 6 2 11" xfId="37857" xr:uid="{00000000-0005-0000-0000-000011940000}"/>
    <cellStyle name="货币 2 2 6 2 12" xfId="38652" xr:uid="{00000000-0005-0000-0000-00002C970000}"/>
    <cellStyle name="货币 2 2 6 2 13" xfId="38653" xr:uid="{00000000-0005-0000-0000-00002D970000}"/>
    <cellStyle name="货币 2 2 6 2 14" xfId="38654" xr:uid="{00000000-0005-0000-0000-00002E970000}"/>
    <cellStyle name="货币 2 2 6 2 15" xfId="38656" xr:uid="{00000000-0005-0000-0000-000030970000}"/>
    <cellStyle name="货币 2 2 6 2 16" xfId="38657" xr:uid="{00000000-0005-0000-0000-000031970000}"/>
    <cellStyle name="货币 2 2 6 2 17" xfId="38658" xr:uid="{00000000-0005-0000-0000-000032970000}"/>
    <cellStyle name="货币 2 2 6 2 18" xfId="38659" xr:uid="{00000000-0005-0000-0000-000033970000}"/>
    <cellStyle name="货币 2 2 6 2 2" xfId="14000" xr:uid="{00000000-0005-0000-0000-0000E0360000}"/>
    <cellStyle name="货币 2 2 6 2 2 10" xfId="24339" xr:uid="{00000000-0005-0000-0000-0000435F0000}"/>
    <cellStyle name="货币 2 2 6 2 2 11" xfId="24349" xr:uid="{00000000-0005-0000-0000-00004D5F0000}"/>
    <cellStyle name="货币 2 2 6 2 2 12" xfId="9218" xr:uid="{00000000-0005-0000-0000-000032240000}"/>
    <cellStyle name="货币 2 2 6 2 2 2" xfId="9548" xr:uid="{00000000-0005-0000-0000-00007C250000}"/>
    <cellStyle name="货币 2 2 6 2 2 2 2" xfId="25963" xr:uid="{00000000-0005-0000-0000-00009B650000}"/>
    <cellStyle name="货币 2 2 6 2 2 2 2 2" xfId="14424" xr:uid="{00000000-0005-0000-0000-000088380000}"/>
    <cellStyle name="货币 2 2 6 2 2 2 3" xfId="38660" xr:uid="{00000000-0005-0000-0000-000034970000}"/>
    <cellStyle name="货币 2 2 6 2 2 2 4" xfId="38661" xr:uid="{00000000-0005-0000-0000-000035970000}"/>
    <cellStyle name="货币 2 2 6 2 2 2 5" xfId="38662" xr:uid="{00000000-0005-0000-0000-000036970000}"/>
    <cellStyle name="货币 2 2 6 2 2 3" xfId="9551" xr:uid="{00000000-0005-0000-0000-00007F250000}"/>
    <cellStyle name="货币 2 2 6 2 2 3 2" xfId="38663" xr:uid="{00000000-0005-0000-0000-000037970000}"/>
    <cellStyle name="货币 2 2 6 2 2 4" xfId="9554" xr:uid="{00000000-0005-0000-0000-000082250000}"/>
    <cellStyle name="货币 2 2 6 2 2 5" xfId="14003" xr:uid="{00000000-0005-0000-0000-0000E3360000}"/>
    <cellStyle name="货币 2 2 6 2 2 6" xfId="6103" xr:uid="{00000000-0005-0000-0000-000007180000}"/>
    <cellStyle name="货币 2 2 6 2 2 7" xfId="9173" xr:uid="{00000000-0005-0000-0000-000005240000}"/>
    <cellStyle name="货币 2 2 6 2 2 8" xfId="9180" xr:uid="{00000000-0005-0000-0000-00000C240000}"/>
    <cellStyle name="货币 2 2 6 2 2 9" xfId="9186" xr:uid="{00000000-0005-0000-0000-000012240000}"/>
    <cellStyle name="货币 2 2 6 2 3" xfId="14006" xr:uid="{00000000-0005-0000-0000-0000E6360000}"/>
    <cellStyle name="货币 2 2 6 2 3 10" xfId="38665" xr:uid="{00000000-0005-0000-0000-000039970000}"/>
    <cellStyle name="货币 2 2 6 2 3 11" xfId="38667" xr:uid="{00000000-0005-0000-0000-00003B970000}"/>
    <cellStyle name="货币 2 2 6 2 3 12" xfId="38669" xr:uid="{00000000-0005-0000-0000-00003D970000}"/>
    <cellStyle name="货币 2 2 6 2 3 2" xfId="9564" xr:uid="{00000000-0005-0000-0000-00008C250000}"/>
    <cellStyle name="货币 2 2 6 2 3 2 2" xfId="23463" xr:uid="{00000000-0005-0000-0000-0000D75B0000}"/>
    <cellStyle name="货币 2 2 6 2 3 2 2 2" xfId="35961" xr:uid="{00000000-0005-0000-0000-0000A98C0000}"/>
    <cellStyle name="货币 2 2 6 2 3 2 3" xfId="31930" xr:uid="{00000000-0005-0000-0000-0000EA7C0000}"/>
    <cellStyle name="货币 2 2 6 2 3 2 4" xfId="35971" xr:uid="{00000000-0005-0000-0000-0000B38C0000}"/>
    <cellStyle name="货币 2 2 6 2 3 2 5" xfId="38120" xr:uid="{00000000-0005-0000-0000-000018950000}"/>
    <cellStyle name="货币 2 2 6 2 3 3" xfId="9571" xr:uid="{00000000-0005-0000-0000-000093250000}"/>
    <cellStyle name="货币 2 2 6 2 3 3 2" xfId="36064" xr:uid="{00000000-0005-0000-0000-0000108D0000}"/>
    <cellStyle name="货币 2 2 6 2 3 4" xfId="9577" xr:uid="{00000000-0005-0000-0000-000099250000}"/>
    <cellStyle name="货币 2 2 6 2 3 5" xfId="14010" xr:uid="{00000000-0005-0000-0000-0000EA360000}"/>
    <cellStyle name="货币 2 2 6 2 3 6" xfId="6130" xr:uid="{00000000-0005-0000-0000-000022180000}"/>
    <cellStyle name="货币 2 2 6 2 3 7" xfId="27229" xr:uid="{00000000-0005-0000-0000-00008D6A0000}"/>
    <cellStyle name="货币 2 2 6 2 3 8" xfId="26522" xr:uid="{00000000-0005-0000-0000-0000CA670000}"/>
    <cellStyle name="货币 2 2 6 2 3 9" xfId="27234" xr:uid="{00000000-0005-0000-0000-0000926A0000}"/>
    <cellStyle name="货币 2 2 6 2 4" xfId="4843" xr:uid="{00000000-0005-0000-0000-00001B130000}"/>
    <cellStyle name="货币 2 2 6 2 4 10" xfId="38672" xr:uid="{00000000-0005-0000-0000-000040970000}"/>
    <cellStyle name="货币 2 2 6 2 4 2" xfId="38674" xr:uid="{00000000-0005-0000-0000-000042970000}"/>
    <cellStyle name="货币 2 2 6 2 4 2 2" xfId="37591" xr:uid="{00000000-0005-0000-0000-000007930000}"/>
    <cellStyle name="货币 2 2 6 2 4 2 2 2" xfId="19923" xr:uid="{00000000-0005-0000-0000-0000034E0000}"/>
    <cellStyle name="货币 2 2 6 2 4 2 3" xfId="32628" xr:uid="{00000000-0005-0000-0000-0000A47F0000}"/>
    <cellStyle name="货币 2 2 6 2 4 2 4" xfId="37603" xr:uid="{00000000-0005-0000-0000-000013930000}"/>
    <cellStyle name="货币 2 2 6 2 4 2 5" xfId="38676" xr:uid="{00000000-0005-0000-0000-000044970000}"/>
    <cellStyle name="货币 2 2 6 2 4 3" xfId="27180" xr:uid="{00000000-0005-0000-0000-00005C6A0000}"/>
    <cellStyle name="货币 2 2 6 2 4 3 2" xfId="37658" xr:uid="{00000000-0005-0000-0000-00004A930000}"/>
    <cellStyle name="货币 2 2 6 2 4 4" xfId="27183" xr:uid="{00000000-0005-0000-0000-00005F6A0000}"/>
    <cellStyle name="货币 2 2 6 2 4 5" xfId="27186" xr:uid="{00000000-0005-0000-0000-0000626A0000}"/>
    <cellStyle name="货币 2 2 6 2 4 6" xfId="27190" xr:uid="{00000000-0005-0000-0000-0000666A0000}"/>
    <cellStyle name="货币 2 2 6 2 4 7" xfId="27196" xr:uid="{00000000-0005-0000-0000-00006C6A0000}"/>
    <cellStyle name="货币 2 2 6 2 4 8" xfId="27201" xr:uid="{00000000-0005-0000-0000-0000716A0000}"/>
    <cellStyle name="货币 2 2 6 2 4 9" xfId="2675" xr:uid="{00000000-0005-0000-0000-0000A30A0000}"/>
    <cellStyle name="货币 2 2 6 2 5" xfId="14014" xr:uid="{00000000-0005-0000-0000-0000EE360000}"/>
    <cellStyle name="货币 2 2 6 2 5 10" xfId="4984" xr:uid="{00000000-0005-0000-0000-0000A8130000}"/>
    <cellStyle name="货币 2 2 6 2 5 2" xfId="4443" xr:uid="{00000000-0005-0000-0000-00008B110000}"/>
    <cellStyle name="货币 2 2 6 2 5 2 2" xfId="4446" xr:uid="{00000000-0005-0000-0000-00008E110000}"/>
    <cellStyle name="货币 2 2 6 2 5 2 2 2" xfId="20379" xr:uid="{00000000-0005-0000-0000-0000CB4F0000}"/>
    <cellStyle name="货币 2 2 6 2 5 2 3" xfId="38085" xr:uid="{00000000-0005-0000-0000-0000F5940000}"/>
    <cellStyle name="货币 2 2 6 2 5 2 4" xfId="38088" xr:uid="{00000000-0005-0000-0000-0000F8940000}"/>
    <cellStyle name="货币 2 2 6 2 5 2 5" xfId="38678" xr:uid="{00000000-0005-0000-0000-000046970000}"/>
    <cellStyle name="货币 2 2 6 2 5 3" xfId="4452" xr:uid="{00000000-0005-0000-0000-000094110000}"/>
    <cellStyle name="货币 2 2 6 2 5 3 2" xfId="4455" xr:uid="{00000000-0005-0000-0000-000097110000}"/>
    <cellStyle name="货币 2 2 6 2 5 4" xfId="4091" xr:uid="{00000000-0005-0000-0000-00002B100000}"/>
    <cellStyle name="货币 2 2 6 2 5 5" xfId="2375" xr:uid="{00000000-0005-0000-0000-000077090000}"/>
    <cellStyle name="货币 2 2 6 2 5 6" xfId="4480" xr:uid="{00000000-0005-0000-0000-0000B0110000}"/>
    <cellStyle name="货币 2 2 6 2 5 7" xfId="2601" xr:uid="{00000000-0005-0000-0000-0000590A0000}"/>
    <cellStyle name="货币 2 2 6 2 5 8" xfId="36189" xr:uid="{00000000-0005-0000-0000-00008D8D0000}"/>
    <cellStyle name="货币 2 2 6 2 5 9" xfId="8416" xr:uid="{00000000-0005-0000-0000-000010210000}"/>
    <cellStyle name="货币 2 2 6 2 6" xfId="14016" xr:uid="{00000000-0005-0000-0000-0000F0360000}"/>
    <cellStyle name="货币 2 2 6 2 6 2" xfId="4495" xr:uid="{00000000-0005-0000-0000-0000BF110000}"/>
    <cellStyle name="货币 2 2 6 2 6 2 2" xfId="4500" xr:uid="{00000000-0005-0000-0000-0000C4110000}"/>
    <cellStyle name="货币 2 2 6 2 6 3" xfId="4504" xr:uid="{00000000-0005-0000-0000-0000C8110000}"/>
    <cellStyle name="货币 2 2 6 2 6 4" xfId="4098" xr:uid="{00000000-0005-0000-0000-000032100000}"/>
    <cellStyle name="货币 2 2 6 2 6 5" xfId="3234" xr:uid="{00000000-0005-0000-0000-0000D20C0000}"/>
    <cellStyle name="货币 2 2 6 2 6 6" xfId="4527" xr:uid="{00000000-0005-0000-0000-0000DF110000}"/>
    <cellStyle name="货币 2 2 6 2 6 7" xfId="14499" xr:uid="{00000000-0005-0000-0000-0000D3380000}"/>
    <cellStyle name="货币 2 2 6 2 6 8" xfId="36193" xr:uid="{00000000-0005-0000-0000-0000918D0000}"/>
    <cellStyle name="货币 2 2 6 2 6 9" xfId="8463" xr:uid="{00000000-0005-0000-0000-00003F210000}"/>
    <cellStyle name="货币 2 2 6 2 7" xfId="38679" xr:uid="{00000000-0005-0000-0000-000047970000}"/>
    <cellStyle name="货币 2 2 6 2 7 2" xfId="38681" xr:uid="{00000000-0005-0000-0000-000049970000}"/>
    <cellStyle name="货币 2 2 6 2 8" xfId="38682" xr:uid="{00000000-0005-0000-0000-00004A970000}"/>
    <cellStyle name="货币 2 2 6 2 9" xfId="38683" xr:uid="{00000000-0005-0000-0000-00004B970000}"/>
    <cellStyle name="货币 2 2 6 20" xfId="38644" xr:uid="{00000000-0005-0000-0000-000024970000}"/>
    <cellStyle name="货币 2 2 6 21" xfId="38646" xr:uid="{00000000-0005-0000-0000-000026970000}"/>
    <cellStyle name="货币 2 2 6 22" xfId="38648" xr:uid="{00000000-0005-0000-0000-000028970000}"/>
    <cellStyle name="货币 2 2 6 23" xfId="38650" xr:uid="{00000000-0005-0000-0000-00002A970000}"/>
    <cellStyle name="货币 2 2 6 3" xfId="38685" xr:uid="{00000000-0005-0000-0000-00004D970000}"/>
    <cellStyle name="货币 2 2 6 3 10" xfId="3419" xr:uid="{00000000-0005-0000-0000-00008B0D0000}"/>
    <cellStyle name="货币 2 2 6 3 11" xfId="15138" xr:uid="{00000000-0005-0000-0000-0000523B0000}"/>
    <cellStyle name="货币 2 2 6 3 12" xfId="12053" xr:uid="{00000000-0005-0000-0000-0000452F0000}"/>
    <cellStyle name="货币 2 2 6 3 13" xfId="15142" xr:uid="{00000000-0005-0000-0000-0000563B0000}"/>
    <cellStyle name="货币 2 2 6 3 14" xfId="15145" xr:uid="{00000000-0005-0000-0000-0000593B0000}"/>
    <cellStyle name="货币 2 2 6 3 15" xfId="19772" xr:uid="{00000000-0005-0000-0000-00006C4D0000}"/>
    <cellStyle name="货币 2 2 6 3 16" xfId="19776" xr:uid="{00000000-0005-0000-0000-0000704D0000}"/>
    <cellStyle name="货币 2 2 6 3 17" xfId="18768" xr:uid="{00000000-0005-0000-0000-000080490000}"/>
    <cellStyle name="货币 2 2 6 3 18" xfId="10942" xr:uid="{00000000-0005-0000-0000-0000EE2A0000}"/>
    <cellStyle name="货币 2 2 6 3 2" xfId="8294" xr:uid="{00000000-0005-0000-0000-000096200000}"/>
    <cellStyle name="货币 2 2 6 3 2 10" xfId="20694" xr:uid="{00000000-0005-0000-0000-000006510000}"/>
    <cellStyle name="货币 2 2 6 3 2 2" xfId="38687" xr:uid="{00000000-0005-0000-0000-00004F970000}"/>
    <cellStyle name="货币 2 2 6 3 2 2 2" xfId="38688" xr:uid="{00000000-0005-0000-0000-000050970000}"/>
    <cellStyle name="货币 2 2 6 3 2 3" xfId="38690" xr:uid="{00000000-0005-0000-0000-000052970000}"/>
    <cellStyle name="货币 2 2 6 3 2 4" xfId="38692" xr:uid="{00000000-0005-0000-0000-000054970000}"/>
    <cellStyle name="货币 2 2 6 3 2 5" xfId="38693" xr:uid="{00000000-0005-0000-0000-000055970000}"/>
    <cellStyle name="货币 2 2 6 3 2 6" xfId="38694" xr:uid="{00000000-0005-0000-0000-000056970000}"/>
    <cellStyle name="货币 2 2 6 3 2 7" xfId="19450" xr:uid="{00000000-0005-0000-0000-00002A4C0000}"/>
    <cellStyle name="货币 2 2 6 3 2 8" xfId="19452" xr:uid="{00000000-0005-0000-0000-00002C4C0000}"/>
    <cellStyle name="货币 2 2 6 3 2 9" xfId="19454" xr:uid="{00000000-0005-0000-0000-00002E4C0000}"/>
    <cellStyle name="货币 2 2 6 3 3" xfId="8300" xr:uid="{00000000-0005-0000-0000-00009C200000}"/>
    <cellStyle name="货币 2 2 6 3 3 2" xfId="38696" xr:uid="{00000000-0005-0000-0000-000058970000}"/>
    <cellStyle name="货币 2 2 6 3 3 3" xfId="38698" xr:uid="{00000000-0005-0000-0000-00005A970000}"/>
    <cellStyle name="货币 2 2 6 3 3 4" xfId="38700" xr:uid="{00000000-0005-0000-0000-00005C970000}"/>
    <cellStyle name="货币 2 2 6 3 3 5" xfId="38702" xr:uid="{00000000-0005-0000-0000-00005E970000}"/>
    <cellStyle name="货币 2 2 6 3 3 6" xfId="27245" xr:uid="{00000000-0005-0000-0000-00009D6A0000}"/>
    <cellStyle name="货币 2 2 6 3 4" xfId="467" xr:uid="{00000000-0005-0000-0000-0000F1010000}"/>
    <cellStyle name="货币 2 2 6 3 4 2" xfId="38704" xr:uid="{00000000-0005-0000-0000-000060970000}"/>
    <cellStyle name="货币 2 2 6 3 4 3" xfId="38706" xr:uid="{00000000-0005-0000-0000-000062970000}"/>
    <cellStyle name="货币 2 2 6 3 4 4" xfId="38708" xr:uid="{00000000-0005-0000-0000-000064970000}"/>
    <cellStyle name="货币 2 2 6 3 4 5" xfId="38710" xr:uid="{00000000-0005-0000-0000-000066970000}"/>
    <cellStyle name="货币 2 2 6 3 4 6" xfId="27251" xr:uid="{00000000-0005-0000-0000-0000A36A0000}"/>
    <cellStyle name="货币 2 2 6 3 5" xfId="8306" xr:uid="{00000000-0005-0000-0000-0000A2200000}"/>
    <cellStyle name="货币 2 2 6 3 5 2" xfId="38712" xr:uid="{00000000-0005-0000-0000-000068970000}"/>
    <cellStyle name="货币 2 2 6 3 5 3" xfId="38714" xr:uid="{00000000-0005-0000-0000-00006A970000}"/>
    <cellStyle name="货币 2 2 6 3 5 4" xfId="38716" xr:uid="{00000000-0005-0000-0000-00006C970000}"/>
    <cellStyle name="货币 2 2 6 3 5 5" xfId="38718" xr:uid="{00000000-0005-0000-0000-00006E970000}"/>
    <cellStyle name="货币 2 2 6 3 5 6" xfId="38720" xr:uid="{00000000-0005-0000-0000-000070970000}"/>
    <cellStyle name="货币 2 2 6 3 6" xfId="14040" xr:uid="{00000000-0005-0000-0000-000008370000}"/>
    <cellStyle name="货币 2 2 6 3 6 2" xfId="30250" xr:uid="{00000000-0005-0000-0000-00005A760000}"/>
    <cellStyle name="货币 2 2 6 3 6 3" xfId="30253" xr:uid="{00000000-0005-0000-0000-00005D760000}"/>
    <cellStyle name="货币 2 2 6 3 6 4" xfId="14516" xr:uid="{00000000-0005-0000-0000-0000E4380000}"/>
    <cellStyle name="货币 2 2 6 3 6 5" xfId="30257" xr:uid="{00000000-0005-0000-0000-000061760000}"/>
    <cellStyle name="货币 2 2 6 3 6 6" xfId="30261" xr:uid="{00000000-0005-0000-0000-000065760000}"/>
    <cellStyle name="货币 2 2 6 3 7" xfId="29106" xr:uid="{00000000-0005-0000-0000-0000E2710000}"/>
    <cellStyle name="货币 2 2 6 3 8" xfId="29108" xr:uid="{00000000-0005-0000-0000-0000E4710000}"/>
    <cellStyle name="货币 2 2 6 3 9" xfId="26471" xr:uid="{00000000-0005-0000-0000-000097670000}"/>
    <cellStyle name="货币 2 2 6 4" xfId="934" xr:uid="{00000000-0005-0000-0000-0000D6030000}"/>
    <cellStyle name="货币 2 2 6 4 10" xfId="38722" xr:uid="{00000000-0005-0000-0000-000072970000}"/>
    <cellStyle name="货币 2 2 6 4 11" xfId="38724" xr:uid="{00000000-0005-0000-0000-000074970000}"/>
    <cellStyle name="货币 2 2 6 4 12" xfId="38726" xr:uid="{00000000-0005-0000-0000-000076970000}"/>
    <cellStyle name="货币 2 2 6 4 13" xfId="3987" xr:uid="{00000000-0005-0000-0000-0000C30F0000}"/>
    <cellStyle name="货币 2 2 6 4 14" xfId="1141" xr:uid="{00000000-0005-0000-0000-0000A5040000}"/>
    <cellStyle name="货币 2 2 6 4 15" xfId="1184" xr:uid="{00000000-0005-0000-0000-0000D0040000}"/>
    <cellStyle name="货币 2 2 6 4 2" xfId="7678" xr:uid="{00000000-0005-0000-0000-00002E1E0000}"/>
    <cellStyle name="货币 2 2 6 4 2 2" xfId="31131" xr:uid="{00000000-0005-0000-0000-0000CB790000}"/>
    <cellStyle name="货币 2 2 6 4 2 2 2" xfId="13966" xr:uid="{00000000-0005-0000-0000-0000BE360000}"/>
    <cellStyle name="货币 2 2 6 4 2 3" xfId="31138" xr:uid="{00000000-0005-0000-0000-0000D2790000}"/>
    <cellStyle name="货币 2 2 6 4 2 4" xfId="31141" xr:uid="{00000000-0005-0000-0000-0000D5790000}"/>
    <cellStyle name="货币 2 2 6 4 2 5" xfId="31144" xr:uid="{00000000-0005-0000-0000-0000D8790000}"/>
    <cellStyle name="货币 2 2 6 4 2 6" xfId="31147" xr:uid="{00000000-0005-0000-0000-0000DB790000}"/>
    <cellStyle name="货币 2 2 6 4 2 7" xfId="31150" xr:uid="{00000000-0005-0000-0000-0000DE790000}"/>
    <cellStyle name="货币 2 2 6 4 2 8" xfId="31154" xr:uid="{00000000-0005-0000-0000-0000E2790000}"/>
    <cellStyle name="货币 2 2 6 4 2 9" xfId="31157" xr:uid="{00000000-0005-0000-0000-0000E5790000}"/>
    <cellStyle name="货币 2 2 6 4 3" xfId="7684" xr:uid="{00000000-0005-0000-0000-0000341E0000}"/>
    <cellStyle name="货币 2 2 6 4 3 2" xfId="38728" xr:uid="{00000000-0005-0000-0000-000078970000}"/>
    <cellStyle name="货币 2 2 6 4 3 3" xfId="38730" xr:uid="{00000000-0005-0000-0000-00007A970000}"/>
    <cellStyle name="货币 2 2 6 4 3 4" xfId="38732" xr:uid="{00000000-0005-0000-0000-00007C970000}"/>
    <cellStyle name="货币 2 2 6 4 3 5" xfId="38734" xr:uid="{00000000-0005-0000-0000-00007E970000}"/>
    <cellStyle name="货币 2 2 6 4 3 6" xfId="720" xr:uid="{00000000-0005-0000-0000-000000030000}"/>
    <cellStyle name="货币 2 2 6 4 4" xfId="7688" xr:uid="{00000000-0005-0000-0000-0000381E0000}"/>
    <cellStyle name="货币 2 2 6 4 4 2" xfId="38736" xr:uid="{00000000-0005-0000-0000-000080970000}"/>
    <cellStyle name="货币 2 2 6 4 5" xfId="7693" xr:uid="{00000000-0005-0000-0000-00003D1E0000}"/>
    <cellStyle name="货币 2 2 6 4 6" xfId="7644" xr:uid="{00000000-0005-0000-0000-00000C1E0000}"/>
    <cellStyle name="货币 2 2 6 4 7" xfId="38737" xr:uid="{00000000-0005-0000-0000-000081970000}"/>
    <cellStyle name="货币 2 2 6 4 8" xfId="32203" xr:uid="{00000000-0005-0000-0000-0000FB7D0000}"/>
    <cellStyle name="货币 2 2 6 4 9" xfId="32205" xr:uid="{00000000-0005-0000-0000-0000FD7D0000}"/>
    <cellStyle name="货币 2 2 6 5" xfId="38739" xr:uid="{00000000-0005-0000-0000-000083970000}"/>
    <cellStyle name="货币 2 2 6 5 10" xfId="36752" xr:uid="{00000000-0005-0000-0000-0000C08F0000}"/>
    <cellStyle name="货币 2 2 6 5 11" xfId="36755" xr:uid="{00000000-0005-0000-0000-0000C38F0000}"/>
    <cellStyle name="货币 2 2 6 5 12" xfId="2125" xr:uid="{00000000-0005-0000-0000-00007D080000}"/>
    <cellStyle name="货币 2 2 6 5 13" xfId="36757" xr:uid="{00000000-0005-0000-0000-0000C58F0000}"/>
    <cellStyle name="货币 2 2 6 5 14" xfId="36759" xr:uid="{00000000-0005-0000-0000-0000C78F0000}"/>
    <cellStyle name="货币 2 2 6 5 2" xfId="3576" xr:uid="{00000000-0005-0000-0000-0000280E0000}"/>
    <cellStyle name="货币 2 2 6 5 2 2" xfId="38740" xr:uid="{00000000-0005-0000-0000-000084970000}"/>
    <cellStyle name="货币 2 2 6 5 2 2 2" xfId="6963" xr:uid="{00000000-0005-0000-0000-0000631B0000}"/>
    <cellStyle name="货币 2 2 6 5 2 3" xfId="38741" xr:uid="{00000000-0005-0000-0000-000085970000}"/>
    <cellStyle name="货币 2 2 6 5 2 4" xfId="38742" xr:uid="{00000000-0005-0000-0000-000086970000}"/>
    <cellStyle name="货币 2 2 6 5 2 5" xfId="38744" xr:uid="{00000000-0005-0000-0000-000088970000}"/>
    <cellStyle name="货币 2 2 6 5 2 6" xfId="38746" xr:uid="{00000000-0005-0000-0000-00008A970000}"/>
    <cellStyle name="货币 2 2 6 5 2 7" xfId="38748" xr:uid="{00000000-0005-0000-0000-00008C970000}"/>
    <cellStyle name="货币 2 2 6 5 2 8" xfId="38750" xr:uid="{00000000-0005-0000-0000-00008E970000}"/>
    <cellStyle name="货币 2 2 6 5 2 9" xfId="38752" xr:uid="{00000000-0005-0000-0000-000090970000}"/>
    <cellStyle name="货币 2 2 6 5 3" xfId="3593" xr:uid="{00000000-0005-0000-0000-0000390E0000}"/>
    <cellStyle name="货币 2 2 6 5 3 2" xfId="38754" xr:uid="{00000000-0005-0000-0000-000092970000}"/>
    <cellStyle name="货币 2 2 6 5 3 3" xfId="38756" xr:uid="{00000000-0005-0000-0000-000094970000}"/>
    <cellStyle name="货币 2 2 6 5 3 4" xfId="38758" xr:uid="{00000000-0005-0000-0000-000096970000}"/>
    <cellStyle name="货币 2 2 6 5 3 5" xfId="38761" xr:uid="{00000000-0005-0000-0000-000099970000}"/>
    <cellStyle name="货币 2 2 6 5 3 6" xfId="27276" xr:uid="{00000000-0005-0000-0000-0000BC6A0000}"/>
    <cellStyle name="货币 2 2 6 5 4" xfId="14058" xr:uid="{00000000-0005-0000-0000-00001A370000}"/>
    <cellStyle name="货币 2 2 6 5 4 2" xfId="38764" xr:uid="{00000000-0005-0000-0000-00009C970000}"/>
    <cellStyle name="货币 2 2 6 5 5" xfId="14062" xr:uid="{00000000-0005-0000-0000-00001E370000}"/>
    <cellStyle name="货币 2 2 6 5 6" xfId="14066" xr:uid="{00000000-0005-0000-0000-000022370000}"/>
    <cellStyle name="货币 2 2 6 5 7" xfId="38765" xr:uid="{00000000-0005-0000-0000-00009D970000}"/>
    <cellStyle name="货币 2 2 6 5 8" xfId="1556" xr:uid="{00000000-0005-0000-0000-000044060000}"/>
    <cellStyle name="货币 2 2 6 5 9" xfId="38766" xr:uid="{00000000-0005-0000-0000-00009E970000}"/>
    <cellStyle name="货币 2 2 6 6" xfId="38768" xr:uid="{00000000-0005-0000-0000-0000A0970000}"/>
    <cellStyle name="货币 2 2 6 6 10" xfId="38769" xr:uid="{00000000-0005-0000-0000-0000A1970000}"/>
    <cellStyle name="货币 2 2 6 6 11" xfId="38770" xr:uid="{00000000-0005-0000-0000-0000A2970000}"/>
    <cellStyle name="货币 2 2 6 6 12" xfId="2227" xr:uid="{00000000-0005-0000-0000-0000E3080000}"/>
    <cellStyle name="货币 2 2 6 6 2" xfId="3607" xr:uid="{00000000-0005-0000-0000-0000470E0000}"/>
    <cellStyle name="货币 2 2 6 6 2 2" xfId="38771" xr:uid="{00000000-0005-0000-0000-0000A3970000}"/>
    <cellStyle name="货币 2 2 6 6 2 2 2" xfId="30677" xr:uid="{00000000-0005-0000-0000-000005780000}"/>
    <cellStyle name="货币 2 2 6 6 2 3" xfId="38772" xr:uid="{00000000-0005-0000-0000-0000A4970000}"/>
    <cellStyle name="货币 2 2 6 6 2 4" xfId="38773" xr:uid="{00000000-0005-0000-0000-0000A5970000}"/>
    <cellStyle name="货币 2 2 6 6 2 5" xfId="34204" xr:uid="{00000000-0005-0000-0000-0000CC850000}"/>
    <cellStyle name="货币 2 2 6 6 2 6" xfId="34217" xr:uid="{00000000-0005-0000-0000-0000D9850000}"/>
    <cellStyle name="货币 2 2 6 6 2 7" xfId="34224" xr:uid="{00000000-0005-0000-0000-0000E0850000}"/>
    <cellStyle name="货币 2 2 6 6 2 8" xfId="7812" xr:uid="{00000000-0005-0000-0000-0000B41E0000}"/>
    <cellStyle name="货币 2 2 6 6 2 9" xfId="7824" xr:uid="{00000000-0005-0000-0000-0000C01E0000}"/>
    <cellStyle name="货币 2 2 6 6 3" xfId="14078" xr:uid="{00000000-0005-0000-0000-00002E370000}"/>
    <cellStyle name="货币 2 2 6 6 3 2" xfId="38775" xr:uid="{00000000-0005-0000-0000-0000A7970000}"/>
    <cellStyle name="货币 2 2 6 6 3 3" xfId="38777" xr:uid="{00000000-0005-0000-0000-0000A9970000}"/>
    <cellStyle name="货币 2 2 6 6 3 4" xfId="38428" xr:uid="{00000000-0005-0000-0000-00004C960000}"/>
    <cellStyle name="货币 2 2 6 6 3 5" xfId="34230" xr:uid="{00000000-0005-0000-0000-0000E6850000}"/>
    <cellStyle name="货币 2 2 6 6 3 6" xfId="34233" xr:uid="{00000000-0005-0000-0000-0000E9850000}"/>
    <cellStyle name="货币 2 2 6 6 4" xfId="14080" xr:uid="{00000000-0005-0000-0000-000030370000}"/>
    <cellStyle name="货币 2 2 6 6 4 2" xfId="38779" xr:uid="{00000000-0005-0000-0000-0000AB970000}"/>
    <cellStyle name="货币 2 2 6 6 5" xfId="14082" xr:uid="{00000000-0005-0000-0000-000032370000}"/>
    <cellStyle name="货币 2 2 6 6 6" xfId="14084" xr:uid="{00000000-0005-0000-0000-000034370000}"/>
    <cellStyle name="货币 2 2 6 6 7" xfId="38780" xr:uid="{00000000-0005-0000-0000-0000AC970000}"/>
    <cellStyle name="货币 2 2 6 6 8" xfId="38781" xr:uid="{00000000-0005-0000-0000-0000AD970000}"/>
    <cellStyle name="货币 2 2 6 6 9" xfId="38782" xr:uid="{00000000-0005-0000-0000-0000AE970000}"/>
    <cellStyle name="货币 2 2 6 7" xfId="38784" xr:uid="{00000000-0005-0000-0000-0000B0970000}"/>
    <cellStyle name="货币 2 2 6 7 2" xfId="2349" xr:uid="{00000000-0005-0000-0000-00005D090000}"/>
    <cellStyle name="货币 2 2 6 7 2 2" xfId="13208" xr:uid="{00000000-0005-0000-0000-0000C8330000}"/>
    <cellStyle name="货币 2 2 6 7 3" xfId="14097" xr:uid="{00000000-0005-0000-0000-000041370000}"/>
    <cellStyle name="货币 2 2 6 7 4" xfId="16731" xr:uid="{00000000-0005-0000-0000-00008B410000}"/>
    <cellStyle name="货币 2 2 6 7 5" xfId="16744" xr:uid="{00000000-0005-0000-0000-000098410000}"/>
    <cellStyle name="货币 2 2 6 7 6" xfId="16749" xr:uid="{00000000-0005-0000-0000-00009D410000}"/>
    <cellStyle name="货币 2 2 6 7 7" xfId="38785" xr:uid="{00000000-0005-0000-0000-0000B1970000}"/>
    <cellStyle name="货币 2 2 6 7 8" xfId="38786" xr:uid="{00000000-0005-0000-0000-0000B2970000}"/>
    <cellStyle name="货币 2 2 6 7 9" xfId="38787" xr:uid="{00000000-0005-0000-0000-0000B3970000}"/>
    <cellStyle name="货币 2 2 6 8" xfId="38789" xr:uid="{00000000-0005-0000-0000-0000B5970000}"/>
    <cellStyle name="货币 2 2 6 8 2" xfId="14115" xr:uid="{00000000-0005-0000-0000-000053370000}"/>
    <cellStyle name="货币 2 2 6 8 3" xfId="14121" xr:uid="{00000000-0005-0000-0000-000059370000}"/>
    <cellStyle name="货币 2 2 6 8 4" xfId="790" xr:uid="{00000000-0005-0000-0000-000046030000}"/>
    <cellStyle name="货币 2 2 6 8 5" xfId="12200" xr:uid="{00000000-0005-0000-0000-0000D82F0000}"/>
    <cellStyle name="货币 2 2 6 8 6" xfId="12205" xr:uid="{00000000-0005-0000-0000-0000DD2F0000}"/>
    <cellStyle name="货币 2 2 6 9" xfId="38790" xr:uid="{00000000-0005-0000-0000-0000B6970000}"/>
    <cellStyle name="货币 2 2 6 9 2" xfId="2789" xr:uid="{00000000-0005-0000-0000-0000150B0000}"/>
    <cellStyle name="货币 2 2 6 9 3" xfId="2808" xr:uid="{00000000-0005-0000-0000-0000280B0000}"/>
    <cellStyle name="货币 2 2 6 9 4" xfId="1126" xr:uid="{00000000-0005-0000-0000-000096040000}"/>
    <cellStyle name="货币 2 2 6 9 5" xfId="7777" xr:uid="{00000000-0005-0000-0000-0000911E0000}"/>
    <cellStyle name="货币 2 2 6 9 6" xfId="16925" xr:uid="{00000000-0005-0000-0000-00004D420000}"/>
    <cellStyle name="货币 2 2 7" xfId="5874" xr:uid="{00000000-0005-0000-0000-000022170000}"/>
    <cellStyle name="货币 2 2 7 10" xfId="20453" xr:uid="{00000000-0005-0000-0000-000015500000}"/>
    <cellStyle name="货币 2 2 7 10 2" xfId="38791" xr:uid="{00000000-0005-0000-0000-0000B7970000}"/>
    <cellStyle name="货币 2 2 7 10 3" xfId="38792" xr:uid="{00000000-0005-0000-0000-0000B8970000}"/>
    <cellStyle name="货币 2 2 7 10 4" xfId="38793" xr:uid="{00000000-0005-0000-0000-0000B9970000}"/>
    <cellStyle name="货币 2 2 7 10 5" xfId="38794" xr:uid="{00000000-0005-0000-0000-0000BA970000}"/>
    <cellStyle name="货币 2 2 7 10 6" xfId="38795" xr:uid="{00000000-0005-0000-0000-0000BB970000}"/>
    <cellStyle name="货币 2 2 7 11" xfId="20455" xr:uid="{00000000-0005-0000-0000-000017500000}"/>
    <cellStyle name="货币 2 2 7 11 2" xfId="1946" xr:uid="{00000000-0005-0000-0000-0000CA070000}"/>
    <cellStyle name="货币 2 2 7 11 3" xfId="1887" xr:uid="{00000000-0005-0000-0000-00008F070000}"/>
    <cellStyle name="货币 2 2 7 11 4" xfId="2530" xr:uid="{00000000-0005-0000-0000-0000120A0000}"/>
    <cellStyle name="货币 2 2 7 11 5" xfId="5342" xr:uid="{00000000-0005-0000-0000-00000E150000}"/>
    <cellStyle name="货币 2 2 7 11 6" xfId="5351" xr:uid="{00000000-0005-0000-0000-000017150000}"/>
    <cellStyle name="货币 2 2 7 12" xfId="20457" xr:uid="{00000000-0005-0000-0000-000019500000}"/>
    <cellStyle name="货币 2 2 7 13" xfId="38796" xr:uid="{00000000-0005-0000-0000-0000BC970000}"/>
    <cellStyle name="货币 2 2 7 14" xfId="15419" xr:uid="{00000000-0005-0000-0000-00006B3C0000}"/>
    <cellStyle name="货币 2 2 7 15" xfId="22649" xr:uid="{00000000-0005-0000-0000-0000A9580000}"/>
    <cellStyle name="货币 2 2 7 16" xfId="22668" xr:uid="{00000000-0005-0000-0000-0000BC580000}"/>
    <cellStyle name="货币 2 2 7 17" xfId="22673" xr:uid="{00000000-0005-0000-0000-0000C1580000}"/>
    <cellStyle name="货币 2 2 7 18" xfId="22680" xr:uid="{00000000-0005-0000-0000-0000C8580000}"/>
    <cellStyle name="货币 2 2 7 19" xfId="37467" xr:uid="{00000000-0005-0000-0000-00008B920000}"/>
    <cellStyle name="货币 2 2 7 2" xfId="5878" xr:uid="{00000000-0005-0000-0000-000026170000}"/>
    <cellStyle name="货币 2 2 7 2 10" xfId="21630" xr:uid="{00000000-0005-0000-0000-0000AE540000}"/>
    <cellStyle name="货币 2 2 7 2 11" xfId="21633" xr:uid="{00000000-0005-0000-0000-0000B1540000}"/>
    <cellStyle name="货币 2 2 7 2 12" xfId="21636" xr:uid="{00000000-0005-0000-0000-0000B4540000}"/>
    <cellStyle name="货币 2 2 7 2 13" xfId="38797" xr:uid="{00000000-0005-0000-0000-0000BD970000}"/>
    <cellStyle name="货币 2 2 7 2 14" xfId="38798" xr:uid="{00000000-0005-0000-0000-0000BE970000}"/>
    <cellStyle name="货币 2 2 7 2 15" xfId="38799" xr:uid="{00000000-0005-0000-0000-0000BF970000}"/>
    <cellStyle name="货币 2 2 7 2 16" xfId="38800" xr:uid="{00000000-0005-0000-0000-0000C0970000}"/>
    <cellStyle name="货币 2 2 7 2 17" xfId="38801" xr:uid="{00000000-0005-0000-0000-0000C1970000}"/>
    <cellStyle name="货币 2 2 7 2 18" xfId="38802" xr:uid="{00000000-0005-0000-0000-0000C2970000}"/>
    <cellStyle name="货币 2 2 7 2 2" xfId="8478" xr:uid="{00000000-0005-0000-0000-00004E210000}"/>
    <cellStyle name="货币 2 2 7 2 2 10" xfId="38803" xr:uid="{00000000-0005-0000-0000-0000C3970000}"/>
    <cellStyle name="货币 2 2 7 2 2 11" xfId="38804" xr:uid="{00000000-0005-0000-0000-0000C4970000}"/>
    <cellStyle name="货币 2 2 7 2 2 12" xfId="38805" xr:uid="{00000000-0005-0000-0000-0000C5970000}"/>
    <cellStyle name="货币 2 2 7 2 2 2" xfId="38806" xr:uid="{00000000-0005-0000-0000-0000C6970000}"/>
    <cellStyle name="货币 2 2 7 2 2 2 2" xfId="27112" xr:uid="{00000000-0005-0000-0000-0000186A0000}"/>
    <cellStyle name="货币 2 2 7 2 2 2 2 2" xfId="16280" xr:uid="{00000000-0005-0000-0000-0000C83F0000}"/>
    <cellStyle name="货币 2 2 7 2 2 2 3" xfId="13123" xr:uid="{00000000-0005-0000-0000-000073330000}"/>
    <cellStyle name="货币 2 2 7 2 2 2 4" xfId="38807" xr:uid="{00000000-0005-0000-0000-0000C7970000}"/>
    <cellStyle name="货币 2 2 7 2 2 2 5" xfId="38808" xr:uid="{00000000-0005-0000-0000-0000C8970000}"/>
    <cellStyle name="货币 2 2 7 2 2 3" xfId="38809" xr:uid="{00000000-0005-0000-0000-0000C9970000}"/>
    <cellStyle name="货币 2 2 7 2 2 3 2" xfId="38810" xr:uid="{00000000-0005-0000-0000-0000CA970000}"/>
    <cellStyle name="货币 2 2 7 2 2 4" xfId="38811" xr:uid="{00000000-0005-0000-0000-0000CB970000}"/>
    <cellStyle name="货币 2 2 7 2 2 5" xfId="38812" xr:uid="{00000000-0005-0000-0000-0000CC970000}"/>
    <cellStyle name="货币 2 2 7 2 2 6" xfId="38813" xr:uid="{00000000-0005-0000-0000-0000CD970000}"/>
    <cellStyle name="货币 2 2 7 2 2 7" xfId="38814" xr:uid="{00000000-0005-0000-0000-0000CE970000}"/>
    <cellStyle name="货币 2 2 7 2 2 8" xfId="38815" xr:uid="{00000000-0005-0000-0000-0000CF970000}"/>
    <cellStyle name="货币 2 2 7 2 2 9" xfId="38816" xr:uid="{00000000-0005-0000-0000-0000D0970000}"/>
    <cellStyle name="货币 2 2 7 2 3" xfId="8488" xr:uid="{00000000-0005-0000-0000-000058210000}"/>
    <cellStyle name="货币 2 2 7 2 3 10" xfId="38817" xr:uid="{00000000-0005-0000-0000-0000D1970000}"/>
    <cellStyle name="货币 2 2 7 2 3 11" xfId="38818" xr:uid="{00000000-0005-0000-0000-0000D2970000}"/>
    <cellStyle name="货币 2 2 7 2 3 12" xfId="36938" xr:uid="{00000000-0005-0000-0000-00007A900000}"/>
    <cellStyle name="货币 2 2 7 2 3 2" xfId="36915" xr:uid="{00000000-0005-0000-0000-000063900000}"/>
    <cellStyle name="货币 2 2 7 2 3 2 2" xfId="27152" xr:uid="{00000000-0005-0000-0000-0000406A0000}"/>
    <cellStyle name="货币 2 2 7 2 3 2 2 2" xfId="14443" xr:uid="{00000000-0005-0000-0000-00009B380000}"/>
    <cellStyle name="货币 2 2 7 2 3 2 3" xfId="9593" xr:uid="{00000000-0005-0000-0000-0000A9250000}"/>
    <cellStyle name="货币 2 2 7 2 3 2 4" xfId="9604" xr:uid="{00000000-0005-0000-0000-0000B4250000}"/>
    <cellStyle name="货币 2 2 7 2 3 2 5" xfId="9615" xr:uid="{00000000-0005-0000-0000-0000BF250000}"/>
    <cellStyle name="货币 2 2 7 2 3 3" xfId="35383" xr:uid="{00000000-0005-0000-0000-0000678A0000}"/>
    <cellStyle name="货币 2 2 7 2 3 3 2" xfId="38820" xr:uid="{00000000-0005-0000-0000-0000D4970000}"/>
    <cellStyle name="货币 2 2 7 2 3 4" xfId="36918" xr:uid="{00000000-0005-0000-0000-000066900000}"/>
    <cellStyle name="货币 2 2 7 2 3 5" xfId="36921" xr:uid="{00000000-0005-0000-0000-000069900000}"/>
    <cellStyle name="货币 2 2 7 2 3 6" xfId="25485" xr:uid="{00000000-0005-0000-0000-0000BD630000}"/>
    <cellStyle name="货币 2 2 7 2 3 7" xfId="36925" xr:uid="{00000000-0005-0000-0000-00006D900000}"/>
    <cellStyle name="货币 2 2 7 2 3 8" xfId="38822" xr:uid="{00000000-0005-0000-0000-0000D6970000}"/>
    <cellStyle name="货币 2 2 7 2 3 9" xfId="38823" xr:uid="{00000000-0005-0000-0000-0000D7970000}"/>
    <cellStyle name="货币 2 2 7 2 4" xfId="8498" xr:uid="{00000000-0005-0000-0000-000062210000}"/>
    <cellStyle name="货币 2 2 7 2 4 10" xfId="26393" xr:uid="{00000000-0005-0000-0000-000049670000}"/>
    <cellStyle name="货币 2 2 7 2 4 2" xfId="30780" xr:uid="{00000000-0005-0000-0000-00006C780000}"/>
    <cellStyle name="货币 2 2 7 2 4 2 2" xfId="6345" xr:uid="{00000000-0005-0000-0000-0000F9180000}"/>
    <cellStyle name="货币 2 2 7 2 4 2 2 2" xfId="6349" xr:uid="{00000000-0005-0000-0000-0000FD180000}"/>
    <cellStyle name="货币 2 2 7 2 4 2 3" xfId="6353" xr:uid="{00000000-0005-0000-0000-000001190000}"/>
    <cellStyle name="货币 2 2 7 2 4 2 4" xfId="6370" xr:uid="{00000000-0005-0000-0000-000012190000}"/>
    <cellStyle name="货币 2 2 7 2 4 2 5" xfId="36641" xr:uid="{00000000-0005-0000-0000-0000518F0000}"/>
    <cellStyle name="货币 2 2 7 2 4 3" xfId="30784" xr:uid="{00000000-0005-0000-0000-000070780000}"/>
    <cellStyle name="货币 2 2 7 2 4 3 2" xfId="38824" xr:uid="{00000000-0005-0000-0000-0000D8970000}"/>
    <cellStyle name="货币 2 2 7 2 4 4" xfId="30787" xr:uid="{00000000-0005-0000-0000-000073780000}"/>
    <cellStyle name="货币 2 2 7 2 4 5" xfId="30790" xr:uid="{00000000-0005-0000-0000-000076780000}"/>
    <cellStyle name="货币 2 2 7 2 4 6" xfId="30794" xr:uid="{00000000-0005-0000-0000-00007A780000}"/>
    <cellStyle name="货币 2 2 7 2 4 7" xfId="30797" xr:uid="{00000000-0005-0000-0000-00007D780000}"/>
    <cellStyle name="货币 2 2 7 2 4 8" xfId="30800" xr:uid="{00000000-0005-0000-0000-000080780000}"/>
    <cellStyle name="货币 2 2 7 2 4 9" xfId="9192" xr:uid="{00000000-0005-0000-0000-000018240000}"/>
    <cellStyle name="货币 2 2 7 2 5" xfId="8508" xr:uid="{00000000-0005-0000-0000-00006C210000}"/>
    <cellStyle name="货币 2 2 7 2 5 10" xfId="38825" xr:uid="{00000000-0005-0000-0000-0000D9970000}"/>
    <cellStyle name="货币 2 2 7 2 5 2" xfId="4763" xr:uid="{00000000-0005-0000-0000-0000CB120000}"/>
    <cellStyle name="货币 2 2 7 2 5 2 2" xfId="4766" xr:uid="{00000000-0005-0000-0000-0000CE120000}"/>
    <cellStyle name="货币 2 2 7 2 5 2 2 2" xfId="19941" xr:uid="{00000000-0005-0000-0000-0000154E0000}"/>
    <cellStyle name="货币 2 2 7 2 5 2 3" xfId="34073" xr:uid="{00000000-0005-0000-0000-000049850000}"/>
    <cellStyle name="货币 2 2 7 2 5 2 4" xfId="38826" xr:uid="{00000000-0005-0000-0000-0000DA970000}"/>
    <cellStyle name="货币 2 2 7 2 5 2 5" xfId="38827" xr:uid="{00000000-0005-0000-0000-0000DB970000}"/>
    <cellStyle name="货币 2 2 7 2 5 3" xfId="1077" xr:uid="{00000000-0005-0000-0000-000065040000}"/>
    <cellStyle name="货币 2 2 7 2 5 3 2" xfId="4774" xr:uid="{00000000-0005-0000-0000-0000D6120000}"/>
    <cellStyle name="货币 2 2 7 2 5 4" xfId="4787" xr:uid="{00000000-0005-0000-0000-0000E3120000}"/>
    <cellStyle name="货币 2 2 7 2 5 5" xfId="217" xr:uid="{00000000-0005-0000-0000-0000E9000000}"/>
    <cellStyle name="货币 2 2 7 2 5 6" xfId="3306" xr:uid="{00000000-0005-0000-0000-00001A0D0000}"/>
    <cellStyle name="货币 2 2 7 2 5 7" xfId="2651" xr:uid="{00000000-0005-0000-0000-00008B0A0000}"/>
    <cellStyle name="货币 2 2 7 2 5 8" xfId="3381" xr:uid="{00000000-0005-0000-0000-0000650D0000}"/>
    <cellStyle name="货币 2 2 7 2 5 9" xfId="8377" xr:uid="{00000000-0005-0000-0000-0000E9200000}"/>
    <cellStyle name="货币 2 2 7 2 6" xfId="11155" xr:uid="{00000000-0005-0000-0000-0000C32B0000}"/>
    <cellStyle name="货币 2 2 7 2 6 2" xfId="4244" xr:uid="{00000000-0005-0000-0000-0000C4100000}"/>
    <cellStyle name="货币 2 2 7 2 6 2 2" xfId="4261" xr:uid="{00000000-0005-0000-0000-0000D5100000}"/>
    <cellStyle name="货币 2 2 7 2 6 3" xfId="1094" xr:uid="{00000000-0005-0000-0000-000076040000}"/>
    <cellStyle name="货币 2 2 7 2 6 4" xfId="4339" xr:uid="{00000000-0005-0000-0000-000023110000}"/>
    <cellStyle name="货币 2 2 7 2 6 5" xfId="3446" xr:uid="{00000000-0005-0000-0000-0000A60D0000}"/>
    <cellStyle name="货币 2 2 7 2 6 6" xfId="3469" xr:uid="{00000000-0005-0000-0000-0000BD0D0000}"/>
    <cellStyle name="货币 2 2 7 2 6 7" xfId="38828" xr:uid="{00000000-0005-0000-0000-0000DC970000}"/>
    <cellStyle name="货币 2 2 7 2 6 8" xfId="38829" xr:uid="{00000000-0005-0000-0000-0000DD970000}"/>
    <cellStyle name="货币 2 2 7 2 6 9" xfId="9330" xr:uid="{00000000-0005-0000-0000-0000A2240000}"/>
    <cellStyle name="货币 2 2 7 2 7" xfId="38830" xr:uid="{00000000-0005-0000-0000-0000DE970000}"/>
    <cellStyle name="货币 2 2 7 2 7 2" xfId="34990" xr:uid="{00000000-0005-0000-0000-0000DE880000}"/>
    <cellStyle name="货币 2 2 7 2 8" xfId="38831" xr:uid="{00000000-0005-0000-0000-0000DF970000}"/>
    <cellStyle name="货币 2 2 7 2 9" xfId="38832" xr:uid="{00000000-0005-0000-0000-0000E0970000}"/>
    <cellStyle name="货币 2 2 7 20" xfId="22650" xr:uid="{00000000-0005-0000-0000-0000AA580000}"/>
    <cellStyle name="货币 2 2 7 21" xfId="22669" xr:uid="{00000000-0005-0000-0000-0000BD580000}"/>
    <cellStyle name="货币 2 2 7 22" xfId="22674" xr:uid="{00000000-0005-0000-0000-0000C2580000}"/>
    <cellStyle name="货币 2 2 7 23" xfId="22681" xr:uid="{00000000-0005-0000-0000-0000C9580000}"/>
    <cellStyle name="货币 2 2 7 3" xfId="38833" xr:uid="{00000000-0005-0000-0000-0000E1970000}"/>
    <cellStyle name="货币 2 2 7 3 10" xfId="38834" xr:uid="{00000000-0005-0000-0000-0000E2970000}"/>
    <cellStyle name="货币 2 2 7 3 11" xfId="38835" xr:uid="{00000000-0005-0000-0000-0000E3970000}"/>
    <cellStyle name="货币 2 2 7 3 12" xfId="38836" xr:uid="{00000000-0005-0000-0000-0000E4970000}"/>
    <cellStyle name="货币 2 2 7 3 13" xfId="30671" xr:uid="{00000000-0005-0000-0000-0000FF770000}"/>
    <cellStyle name="货币 2 2 7 3 14" xfId="38837" xr:uid="{00000000-0005-0000-0000-0000E5970000}"/>
    <cellStyle name="货币 2 2 7 3 15" xfId="38838" xr:uid="{00000000-0005-0000-0000-0000E6970000}"/>
    <cellStyle name="货币 2 2 7 3 16" xfId="23520" xr:uid="{00000000-0005-0000-0000-0000105C0000}"/>
    <cellStyle name="货币 2 2 7 3 17" xfId="23523" xr:uid="{00000000-0005-0000-0000-0000135C0000}"/>
    <cellStyle name="货币 2 2 7 3 18" xfId="23527" xr:uid="{00000000-0005-0000-0000-0000175C0000}"/>
    <cellStyle name="货币 2 2 7 3 2" xfId="8558" xr:uid="{00000000-0005-0000-0000-00009E210000}"/>
    <cellStyle name="货币 2 2 7 3 2 10" xfId="31314" xr:uid="{00000000-0005-0000-0000-0000827A0000}"/>
    <cellStyle name="货币 2 2 7 3 2 2" xfId="26882" xr:uid="{00000000-0005-0000-0000-000032690000}"/>
    <cellStyle name="货币 2 2 7 3 2 2 2" xfId="8819" xr:uid="{00000000-0005-0000-0000-0000A3220000}"/>
    <cellStyle name="货币 2 2 7 3 2 3" xfId="26885" xr:uid="{00000000-0005-0000-0000-000035690000}"/>
    <cellStyle name="货币 2 2 7 3 2 4" xfId="26326" xr:uid="{00000000-0005-0000-0000-000006670000}"/>
    <cellStyle name="货币 2 2 7 3 2 5" xfId="26332" xr:uid="{00000000-0005-0000-0000-00000C670000}"/>
    <cellStyle name="货币 2 2 7 3 2 6" xfId="38839" xr:uid="{00000000-0005-0000-0000-0000E7970000}"/>
    <cellStyle name="货币 2 2 7 3 2 7" xfId="38840" xr:uid="{00000000-0005-0000-0000-0000E8970000}"/>
    <cellStyle name="货币 2 2 7 3 2 8" xfId="38841" xr:uid="{00000000-0005-0000-0000-0000E9970000}"/>
    <cellStyle name="货币 2 2 7 3 2 9" xfId="38842" xr:uid="{00000000-0005-0000-0000-0000EA970000}"/>
    <cellStyle name="货币 2 2 7 3 3" xfId="8565" xr:uid="{00000000-0005-0000-0000-0000A5210000}"/>
    <cellStyle name="货币 2 2 7 3 3 2" xfId="38844" xr:uid="{00000000-0005-0000-0000-0000EC970000}"/>
    <cellStyle name="货币 2 2 7 3 3 3" xfId="29820" xr:uid="{00000000-0005-0000-0000-0000AC740000}"/>
    <cellStyle name="货币 2 2 7 3 3 4" xfId="38847" xr:uid="{00000000-0005-0000-0000-0000EF970000}"/>
    <cellStyle name="货币 2 2 7 3 3 5" xfId="38849" xr:uid="{00000000-0005-0000-0000-0000F1970000}"/>
    <cellStyle name="货币 2 2 7 3 3 6" xfId="38851" xr:uid="{00000000-0005-0000-0000-0000F3970000}"/>
    <cellStyle name="货币 2 2 7 3 4" xfId="8571" xr:uid="{00000000-0005-0000-0000-0000AB210000}"/>
    <cellStyle name="货币 2 2 7 3 4 2" xfId="38853" xr:uid="{00000000-0005-0000-0000-0000F5970000}"/>
    <cellStyle name="货币 2 2 7 3 4 3" xfId="38855" xr:uid="{00000000-0005-0000-0000-0000F7970000}"/>
    <cellStyle name="货币 2 2 7 3 4 4" xfId="38857" xr:uid="{00000000-0005-0000-0000-0000F9970000}"/>
    <cellStyle name="货币 2 2 7 3 4 5" xfId="38859" xr:uid="{00000000-0005-0000-0000-0000FB970000}"/>
    <cellStyle name="货币 2 2 7 3 4 6" xfId="278" xr:uid="{00000000-0005-0000-0000-000028010000}"/>
    <cellStyle name="货币 2 2 7 3 5" xfId="8577" xr:uid="{00000000-0005-0000-0000-0000B1210000}"/>
    <cellStyle name="货币 2 2 7 3 5 2" xfId="38860" xr:uid="{00000000-0005-0000-0000-0000FC970000}"/>
    <cellStyle name="货币 2 2 7 3 5 3" xfId="38861" xr:uid="{00000000-0005-0000-0000-0000FD970000}"/>
    <cellStyle name="货币 2 2 7 3 5 4" xfId="38862" xr:uid="{00000000-0005-0000-0000-0000FE970000}"/>
    <cellStyle name="货币 2 2 7 3 5 5" xfId="23508" xr:uid="{00000000-0005-0000-0000-0000045C0000}"/>
    <cellStyle name="货币 2 2 7 3 5 6" xfId="23514" xr:uid="{00000000-0005-0000-0000-00000A5C0000}"/>
    <cellStyle name="货币 2 2 7 3 6" xfId="11172" xr:uid="{00000000-0005-0000-0000-0000D42B0000}"/>
    <cellStyle name="货币 2 2 7 3 6 2" xfId="38863" xr:uid="{00000000-0005-0000-0000-0000FF970000}"/>
    <cellStyle name="货币 2 2 7 3 6 3" xfId="38864" xr:uid="{00000000-0005-0000-0000-000000980000}"/>
    <cellStyle name="货币 2 2 7 3 6 4" xfId="38865" xr:uid="{00000000-0005-0000-0000-000001980000}"/>
    <cellStyle name="货币 2 2 7 3 6 5" xfId="38866" xr:uid="{00000000-0005-0000-0000-000002980000}"/>
    <cellStyle name="货币 2 2 7 3 6 6" xfId="38867" xr:uid="{00000000-0005-0000-0000-000003980000}"/>
    <cellStyle name="货币 2 2 7 3 7" xfId="38868" xr:uid="{00000000-0005-0000-0000-000004980000}"/>
    <cellStyle name="货币 2 2 7 3 8" xfId="38869" xr:uid="{00000000-0005-0000-0000-000005980000}"/>
    <cellStyle name="货币 2 2 7 3 9" xfId="38870" xr:uid="{00000000-0005-0000-0000-000006980000}"/>
    <cellStyle name="货币 2 2 7 4" xfId="951" xr:uid="{00000000-0005-0000-0000-0000E7030000}"/>
    <cellStyle name="货币 2 2 7 4 10" xfId="38872" xr:uid="{00000000-0005-0000-0000-000008980000}"/>
    <cellStyle name="货币 2 2 7 4 11" xfId="38874" xr:uid="{00000000-0005-0000-0000-00000A980000}"/>
    <cellStyle name="货币 2 2 7 4 12" xfId="38876" xr:uid="{00000000-0005-0000-0000-00000C980000}"/>
    <cellStyle name="货币 2 2 7 4 13" xfId="38878" xr:uid="{00000000-0005-0000-0000-00000E980000}"/>
    <cellStyle name="货币 2 2 7 4 14" xfId="38879" xr:uid="{00000000-0005-0000-0000-00000F980000}"/>
    <cellStyle name="货币 2 2 7 4 15" xfId="38880" xr:uid="{00000000-0005-0000-0000-000010980000}"/>
    <cellStyle name="货币 2 2 7 4 2" xfId="8618" xr:uid="{00000000-0005-0000-0000-0000DA210000}"/>
    <cellStyle name="货币 2 2 7 4 2 2" xfId="38881" xr:uid="{00000000-0005-0000-0000-000011980000}"/>
    <cellStyle name="货币 2 2 7 4 2 2 2" xfId="9637" xr:uid="{00000000-0005-0000-0000-0000D5250000}"/>
    <cellStyle name="货币 2 2 7 4 2 3" xfId="38882" xr:uid="{00000000-0005-0000-0000-000012980000}"/>
    <cellStyle name="货币 2 2 7 4 2 4" xfId="38883" xr:uid="{00000000-0005-0000-0000-000013980000}"/>
    <cellStyle name="货币 2 2 7 4 2 5" xfId="38884" xr:uid="{00000000-0005-0000-0000-000014980000}"/>
    <cellStyle name="货币 2 2 7 4 2 6" xfId="38885" xr:uid="{00000000-0005-0000-0000-000015980000}"/>
    <cellStyle name="货币 2 2 7 4 2 7" xfId="38886" xr:uid="{00000000-0005-0000-0000-000016980000}"/>
    <cellStyle name="货币 2 2 7 4 2 8" xfId="38887" xr:uid="{00000000-0005-0000-0000-000017980000}"/>
    <cellStyle name="货币 2 2 7 4 2 9" xfId="38888" xr:uid="{00000000-0005-0000-0000-000018980000}"/>
    <cellStyle name="货币 2 2 7 4 3" xfId="8628" xr:uid="{00000000-0005-0000-0000-0000E4210000}"/>
    <cellStyle name="货币 2 2 7 4 3 2" xfId="38890" xr:uid="{00000000-0005-0000-0000-00001A980000}"/>
    <cellStyle name="货币 2 2 7 4 3 3" xfId="38892" xr:uid="{00000000-0005-0000-0000-00001C980000}"/>
    <cellStyle name="货币 2 2 7 4 3 4" xfId="38894" xr:uid="{00000000-0005-0000-0000-00001E980000}"/>
    <cellStyle name="货币 2 2 7 4 3 5" xfId="38896" xr:uid="{00000000-0005-0000-0000-000020980000}"/>
    <cellStyle name="货币 2 2 7 4 3 6" xfId="38898" xr:uid="{00000000-0005-0000-0000-000022980000}"/>
    <cellStyle name="货币 2 2 7 4 4" xfId="1338" xr:uid="{00000000-0005-0000-0000-00006A050000}"/>
    <cellStyle name="货币 2 2 7 4 4 2" xfId="38900" xr:uid="{00000000-0005-0000-0000-000024980000}"/>
    <cellStyle name="货币 2 2 7 4 5" xfId="1525" xr:uid="{00000000-0005-0000-0000-000025060000}"/>
    <cellStyle name="货币 2 2 7 4 6" xfId="11190" xr:uid="{00000000-0005-0000-0000-0000E62B0000}"/>
    <cellStyle name="货币 2 2 7 4 7" xfId="38901" xr:uid="{00000000-0005-0000-0000-000025980000}"/>
    <cellStyle name="货币 2 2 7 4 8" xfId="38902" xr:uid="{00000000-0005-0000-0000-000026980000}"/>
    <cellStyle name="货币 2 2 7 4 9" xfId="38903" xr:uid="{00000000-0005-0000-0000-000027980000}"/>
    <cellStyle name="货币 2 2 7 5" xfId="38904" xr:uid="{00000000-0005-0000-0000-000028980000}"/>
    <cellStyle name="货币 2 2 7 5 10" xfId="35663" xr:uid="{00000000-0005-0000-0000-00007F8B0000}"/>
    <cellStyle name="货币 2 2 7 5 11" xfId="38906" xr:uid="{00000000-0005-0000-0000-00002A980000}"/>
    <cellStyle name="货币 2 2 7 5 12" xfId="22481" xr:uid="{00000000-0005-0000-0000-000001580000}"/>
    <cellStyle name="货币 2 2 7 5 13" xfId="22484" xr:uid="{00000000-0005-0000-0000-000004580000}"/>
    <cellStyle name="货币 2 2 7 5 2" xfId="1675" xr:uid="{00000000-0005-0000-0000-0000BB060000}"/>
    <cellStyle name="货币 2 2 7 5 2 2" xfId="38907" xr:uid="{00000000-0005-0000-0000-00002B980000}"/>
    <cellStyle name="货币 2 2 7 5 2 2 2" xfId="1704" xr:uid="{00000000-0005-0000-0000-0000D8060000}"/>
    <cellStyle name="货币 2 2 7 5 2 3" xfId="1713" xr:uid="{00000000-0005-0000-0000-0000E1060000}"/>
    <cellStyle name="货币 2 2 7 5 2 4" xfId="1746" xr:uid="{00000000-0005-0000-0000-000002070000}"/>
    <cellStyle name="货币 2 2 7 5 2 5" xfId="1768" xr:uid="{00000000-0005-0000-0000-000018070000}"/>
    <cellStyle name="货币 2 2 7 5 2 6" xfId="40" xr:uid="{00000000-0005-0000-0000-00002B000000}"/>
    <cellStyle name="货币 2 2 7 5 2 7" xfId="38908" xr:uid="{00000000-0005-0000-0000-00002C980000}"/>
    <cellStyle name="货币 2 2 7 5 2 8" xfId="38909" xr:uid="{00000000-0005-0000-0000-00002D980000}"/>
    <cellStyle name="货币 2 2 7 5 2 9" xfId="38910" xr:uid="{00000000-0005-0000-0000-00002E980000}"/>
    <cellStyle name="货币 2 2 7 5 3" xfId="1790" xr:uid="{00000000-0005-0000-0000-00002E070000}"/>
    <cellStyle name="货币 2 2 7 5 3 2" xfId="38912" xr:uid="{00000000-0005-0000-0000-000030980000}"/>
    <cellStyle name="货币 2 2 7 5 3 3" xfId="38914" xr:uid="{00000000-0005-0000-0000-000032980000}"/>
    <cellStyle name="货币 2 2 7 5 3 4" xfId="38916" xr:uid="{00000000-0005-0000-0000-000034980000}"/>
    <cellStyle name="货币 2 2 7 5 3 5" xfId="38918" xr:uid="{00000000-0005-0000-0000-000036980000}"/>
    <cellStyle name="货币 2 2 7 5 3 6" xfId="10993" xr:uid="{00000000-0005-0000-0000-0000212B0000}"/>
    <cellStyle name="货币 2 2 7 5 4" xfId="1821" xr:uid="{00000000-0005-0000-0000-00004D070000}"/>
    <cellStyle name="货币 2 2 7 5 4 2" xfId="38920" xr:uid="{00000000-0005-0000-0000-000038980000}"/>
    <cellStyle name="货币 2 2 7 5 5" xfId="1843" xr:uid="{00000000-0005-0000-0000-000063070000}"/>
    <cellStyle name="货币 2 2 7 5 6" xfId="1869" xr:uid="{00000000-0005-0000-0000-00007D070000}"/>
    <cellStyle name="货币 2 2 7 5 7" xfId="1944" xr:uid="{00000000-0005-0000-0000-0000C8070000}"/>
    <cellStyle name="货币 2 2 7 5 8" xfId="1900" xr:uid="{00000000-0005-0000-0000-00009C070000}"/>
    <cellStyle name="货币 2 2 7 5 9" xfId="2537" xr:uid="{00000000-0005-0000-0000-0000190A0000}"/>
    <cellStyle name="货币 2 2 7 6" xfId="38921" xr:uid="{00000000-0005-0000-0000-000039980000}"/>
    <cellStyle name="货币 2 2 7 6 10" xfId="38922" xr:uid="{00000000-0005-0000-0000-00003A980000}"/>
    <cellStyle name="货币 2 2 7 6 11" xfId="38923" xr:uid="{00000000-0005-0000-0000-00003B980000}"/>
    <cellStyle name="货币 2 2 7 6 12" xfId="38924" xr:uid="{00000000-0005-0000-0000-00003C980000}"/>
    <cellStyle name="货币 2 2 7 6 2" xfId="30708" xr:uid="{00000000-0005-0000-0000-000024780000}"/>
    <cellStyle name="货币 2 2 7 6 2 2" xfId="30710" xr:uid="{00000000-0005-0000-0000-000026780000}"/>
    <cellStyle name="货币 2 2 7 6 2 2 2" xfId="10530" xr:uid="{00000000-0005-0000-0000-000052290000}"/>
    <cellStyle name="货币 2 2 7 6 2 3" xfId="38925" xr:uid="{00000000-0005-0000-0000-00003D980000}"/>
    <cellStyle name="货币 2 2 7 6 2 4" xfId="38926" xr:uid="{00000000-0005-0000-0000-00003E980000}"/>
    <cellStyle name="货币 2 2 7 6 2 5" xfId="38927" xr:uid="{00000000-0005-0000-0000-00003F980000}"/>
    <cellStyle name="货币 2 2 7 6 2 6" xfId="38928" xr:uid="{00000000-0005-0000-0000-000040980000}"/>
    <cellStyle name="货币 2 2 7 6 2 7" xfId="38929" xr:uid="{00000000-0005-0000-0000-000041980000}"/>
    <cellStyle name="货币 2 2 7 6 2 8" xfId="34225" xr:uid="{00000000-0005-0000-0000-0000E1850000}"/>
    <cellStyle name="货币 2 2 7 6 2 9" xfId="38930" xr:uid="{00000000-0005-0000-0000-000042980000}"/>
    <cellStyle name="货币 2 2 7 6 3" xfId="30713" xr:uid="{00000000-0005-0000-0000-000029780000}"/>
    <cellStyle name="货币 2 2 7 6 3 2" xfId="2685" xr:uid="{00000000-0005-0000-0000-0000AD0A0000}"/>
    <cellStyle name="货币 2 2 7 6 3 3" xfId="37032" xr:uid="{00000000-0005-0000-0000-0000D8900000}"/>
    <cellStyle name="货币 2 2 7 6 3 4" xfId="37034" xr:uid="{00000000-0005-0000-0000-0000DA900000}"/>
    <cellStyle name="货币 2 2 7 6 3 5" xfId="37036" xr:uid="{00000000-0005-0000-0000-0000DC900000}"/>
    <cellStyle name="货币 2 2 7 6 3 6" xfId="37038" xr:uid="{00000000-0005-0000-0000-0000DE900000}"/>
    <cellStyle name="货币 2 2 7 6 4" xfId="38931" xr:uid="{00000000-0005-0000-0000-000043980000}"/>
    <cellStyle name="货币 2 2 7 6 4 2" xfId="38932" xr:uid="{00000000-0005-0000-0000-000044980000}"/>
    <cellStyle name="货币 2 2 7 6 5" xfId="38933" xr:uid="{00000000-0005-0000-0000-000045980000}"/>
    <cellStyle name="货币 2 2 7 6 6" xfId="38934" xr:uid="{00000000-0005-0000-0000-000046980000}"/>
    <cellStyle name="货币 2 2 7 6 7" xfId="38935" xr:uid="{00000000-0005-0000-0000-000047980000}"/>
    <cellStyle name="货币 2 2 7 6 8" xfId="38936" xr:uid="{00000000-0005-0000-0000-000048980000}"/>
    <cellStyle name="货币 2 2 7 6 9" xfId="38937" xr:uid="{00000000-0005-0000-0000-000049980000}"/>
    <cellStyle name="货币 2 2 7 7" xfId="38938" xr:uid="{00000000-0005-0000-0000-00004A980000}"/>
    <cellStyle name="货币 2 2 7 7 2" xfId="2942" xr:uid="{00000000-0005-0000-0000-0000AE0B0000}"/>
    <cellStyle name="货币 2 2 7 7 2 2" xfId="17195" xr:uid="{00000000-0005-0000-0000-00005B430000}"/>
    <cellStyle name="货币 2 2 7 7 3" xfId="17208" xr:uid="{00000000-0005-0000-0000-000068430000}"/>
    <cellStyle name="货币 2 2 7 7 4" xfId="16755" xr:uid="{00000000-0005-0000-0000-0000A3410000}"/>
    <cellStyle name="货币 2 2 7 7 5" xfId="16762" xr:uid="{00000000-0005-0000-0000-0000AA410000}"/>
    <cellStyle name="货币 2 2 7 7 6" xfId="3208" xr:uid="{00000000-0005-0000-0000-0000B80C0000}"/>
    <cellStyle name="货币 2 2 7 7 7" xfId="38939" xr:uid="{00000000-0005-0000-0000-00004B980000}"/>
    <cellStyle name="货币 2 2 7 7 8" xfId="38940" xr:uid="{00000000-0005-0000-0000-00004C980000}"/>
    <cellStyle name="货币 2 2 7 7 9" xfId="38941" xr:uid="{00000000-0005-0000-0000-00004D980000}"/>
    <cellStyle name="货币 2 2 7 8" xfId="38942" xr:uid="{00000000-0005-0000-0000-00004E980000}"/>
    <cellStyle name="货币 2 2 7 8 2" xfId="3050" xr:uid="{00000000-0005-0000-0000-00001A0C0000}"/>
    <cellStyle name="货币 2 2 7 8 3" xfId="17266" xr:uid="{00000000-0005-0000-0000-0000A2430000}"/>
    <cellStyle name="货币 2 2 7 8 4" xfId="12251" xr:uid="{00000000-0005-0000-0000-00000B300000}"/>
    <cellStyle name="货币 2 2 7 8 5" xfId="17278" xr:uid="{00000000-0005-0000-0000-0000AE430000}"/>
    <cellStyle name="货币 2 2 7 8 6" xfId="13884" xr:uid="{00000000-0005-0000-0000-00006C360000}"/>
    <cellStyle name="货币 2 2 7 9" xfId="38943" xr:uid="{00000000-0005-0000-0000-00004F980000}"/>
    <cellStyle name="货币 2 2 7 9 2" xfId="3336" xr:uid="{00000000-0005-0000-0000-0000380D0000}"/>
    <cellStyle name="货币 2 2 7 9 3" xfId="14864" xr:uid="{00000000-0005-0000-0000-0000403A0000}"/>
    <cellStyle name="货币 2 2 7 9 4" xfId="14868" xr:uid="{00000000-0005-0000-0000-0000443A0000}"/>
    <cellStyle name="货币 2 2 7 9 5" xfId="14873" xr:uid="{00000000-0005-0000-0000-0000493A0000}"/>
    <cellStyle name="货币 2 2 7 9 6" xfId="14877" xr:uid="{00000000-0005-0000-0000-00004D3A0000}"/>
    <cellStyle name="货币 2 2 8" xfId="4590" xr:uid="{00000000-0005-0000-0000-00001E120000}"/>
    <cellStyle name="货币 2 2 8 10" xfId="38944" xr:uid="{00000000-0005-0000-0000-000050980000}"/>
    <cellStyle name="货币 2 2 8 10 2" xfId="38945" xr:uid="{00000000-0005-0000-0000-000051980000}"/>
    <cellStyle name="货币 2 2 8 10 3" xfId="38946" xr:uid="{00000000-0005-0000-0000-000052980000}"/>
    <cellStyle name="货币 2 2 8 10 4" xfId="38947" xr:uid="{00000000-0005-0000-0000-000053980000}"/>
    <cellStyle name="货币 2 2 8 10 5" xfId="38948" xr:uid="{00000000-0005-0000-0000-000054980000}"/>
    <cellStyle name="货币 2 2 8 10 6" xfId="38949" xr:uid="{00000000-0005-0000-0000-000055980000}"/>
    <cellStyle name="货币 2 2 8 11" xfId="38950" xr:uid="{00000000-0005-0000-0000-000056980000}"/>
    <cellStyle name="货币 2 2 8 11 2" xfId="38952" xr:uid="{00000000-0005-0000-0000-000058980000}"/>
    <cellStyle name="货币 2 2 8 11 3" xfId="28911" xr:uid="{00000000-0005-0000-0000-00001F710000}"/>
    <cellStyle name="货币 2 2 8 11 4" xfId="38955" xr:uid="{00000000-0005-0000-0000-00005B980000}"/>
    <cellStyle name="货币 2 2 8 11 5" xfId="30885" xr:uid="{00000000-0005-0000-0000-0000D5780000}"/>
    <cellStyle name="货币 2 2 8 11 6" xfId="30889" xr:uid="{00000000-0005-0000-0000-0000D9780000}"/>
    <cellStyle name="货币 2 2 8 12" xfId="38956" xr:uid="{00000000-0005-0000-0000-00005C980000}"/>
    <cellStyle name="货币 2 2 8 13" xfId="25480" xr:uid="{00000000-0005-0000-0000-0000B8630000}"/>
    <cellStyle name="货币 2 2 8 14" xfId="23322" xr:uid="{00000000-0005-0000-0000-00004A5B0000}"/>
    <cellStyle name="货币 2 2 8 15" xfId="23326" xr:uid="{00000000-0005-0000-0000-00004E5B0000}"/>
    <cellStyle name="货币 2 2 8 16" xfId="23331" xr:uid="{00000000-0005-0000-0000-0000535B0000}"/>
    <cellStyle name="货币 2 2 8 17" xfId="23336" xr:uid="{00000000-0005-0000-0000-0000585B0000}"/>
    <cellStyle name="货币 2 2 8 18" xfId="23340" xr:uid="{00000000-0005-0000-0000-00005C5B0000}"/>
    <cellStyle name="货币 2 2 8 19" xfId="25486" xr:uid="{00000000-0005-0000-0000-0000BE630000}"/>
    <cellStyle name="货币 2 2 8 2" xfId="38957" xr:uid="{00000000-0005-0000-0000-00005D980000}"/>
    <cellStyle name="货币 2 2 8 2 10" xfId="38959" xr:uid="{00000000-0005-0000-0000-00005F980000}"/>
    <cellStyle name="货币 2 2 8 2 11" xfId="38961" xr:uid="{00000000-0005-0000-0000-000061980000}"/>
    <cellStyle name="货币 2 2 8 2 12" xfId="38962" xr:uid="{00000000-0005-0000-0000-000062980000}"/>
    <cellStyle name="货币 2 2 8 2 13" xfId="38963" xr:uid="{00000000-0005-0000-0000-000063980000}"/>
    <cellStyle name="货币 2 2 8 2 14" xfId="38965" xr:uid="{00000000-0005-0000-0000-000065980000}"/>
    <cellStyle name="货币 2 2 8 2 15" xfId="38966" xr:uid="{00000000-0005-0000-0000-000066980000}"/>
    <cellStyle name="货币 2 2 8 2 16" xfId="38967" xr:uid="{00000000-0005-0000-0000-000067980000}"/>
    <cellStyle name="货币 2 2 8 2 17" xfId="38968" xr:uid="{00000000-0005-0000-0000-000068980000}"/>
    <cellStyle name="货币 2 2 8 2 18" xfId="38969" xr:uid="{00000000-0005-0000-0000-000069980000}"/>
    <cellStyle name="货币 2 2 8 2 2" xfId="8731" xr:uid="{00000000-0005-0000-0000-00004B220000}"/>
    <cellStyle name="货币 2 2 8 2 2 10" xfId="9258" xr:uid="{00000000-0005-0000-0000-00005A240000}"/>
    <cellStyle name="货币 2 2 8 2 2 11" xfId="9268" xr:uid="{00000000-0005-0000-0000-000064240000}"/>
    <cellStyle name="货币 2 2 8 2 2 12" xfId="9278" xr:uid="{00000000-0005-0000-0000-00006E240000}"/>
    <cellStyle name="货币 2 2 8 2 2 2" xfId="38970" xr:uid="{00000000-0005-0000-0000-00006A980000}"/>
    <cellStyle name="货币 2 2 8 2 2 2 2" xfId="38971" xr:uid="{00000000-0005-0000-0000-00006B980000}"/>
    <cellStyle name="货币 2 2 8 2 2 2 2 2" xfId="22903" xr:uid="{00000000-0005-0000-0000-0000A7590000}"/>
    <cellStyle name="货币 2 2 8 2 2 2 3" xfId="38972" xr:uid="{00000000-0005-0000-0000-00006C980000}"/>
    <cellStyle name="货币 2 2 8 2 2 2 4" xfId="38973" xr:uid="{00000000-0005-0000-0000-00006D980000}"/>
    <cellStyle name="货币 2 2 8 2 2 2 5" xfId="38974" xr:uid="{00000000-0005-0000-0000-00006E980000}"/>
    <cellStyle name="货币 2 2 8 2 2 3" xfId="38975" xr:uid="{00000000-0005-0000-0000-00006F980000}"/>
    <cellStyle name="货币 2 2 8 2 2 3 2" xfId="38976" xr:uid="{00000000-0005-0000-0000-000070980000}"/>
    <cellStyle name="货币 2 2 8 2 2 4" xfId="38977" xr:uid="{00000000-0005-0000-0000-000071980000}"/>
    <cellStyle name="货币 2 2 8 2 2 5" xfId="38978" xr:uid="{00000000-0005-0000-0000-000072980000}"/>
    <cellStyle name="货币 2 2 8 2 2 6" xfId="38979" xr:uid="{00000000-0005-0000-0000-000073980000}"/>
    <cellStyle name="货币 2 2 8 2 2 7" xfId="38980" xr:uid="{00000000-0005-0000-0000-000074980000}"/>
    <cellStyle name="货币 2 2 8 2 2 8" xfId="38981" xr:uid="{00000000-0005-0000-0000-000075980000}"/>
    <cellStyle name="货币 2 2 8 2 2 9" xfId="38982" xr:uid="{00000000-0005-0000-0000-000076980000}"/>
    <cellStyle name="货币 2 2 8 2 3" xfId="13514" xr:uid="{00000000-0005-0000-0000-0000FA340000}"/>
    <cellStyle name="货币 2 2 8 2 3 10" xfId="38984" xr:uid="{00000000-0005-0000-0000-000078980000}"/>
    <cellStyle name="货币 2 2 8 2 3 11" xfId="38986" xr:uid="{00000000-0005-0000-0000-00007A980000}"/>
    <cellStyle name="货币 2 2 8 2 3 12" xfId="38988" xr:uid="{00000000-0005-0000-0000-00007C980000}"/>
    <cellStyle name="货币 2 2 8 2 3 2" xfId="38990" xr:uid="{00000000-0005-0000-0000-00007E980000}"/>
    <cellStyle name="货币 2 2 8 2 3 2 2" xfId="38991" xr:uid="{00000000-0005-0000-0000-00007F980000}"/>
    <cellStyle name="货币 2 2 8 2 3 2 2 2" xfId="4512" xr:uid="{00000000-0005-0000-0000-0000D0110000}"/>
    <cellStyle name="货币 2 2 8 2 3 2 3" xfId="38992" xr:uid="{00000000-0005-0000-0000-000080980000}"/>
    <cellStyle name="货币 2 2 8 2 3 2 4" xfId="38993" xr:uid="{00000000-0005-0000-0000-000081980000}"/>
    <cellStyle name="货币 2 2 8 2 3 2 5" xfId="38994" xr:uid="{00000000-0005-0000-0000-000082980000}"/>
    <cellStyle name="货币 2 2 8 2 3 3" xfId="35423" xr:uid="{00000000-0005-0000-0000-00008F8A0000}"/>
    <cellStyle name="货币 2 2 8 2 3 3 2" xfId="38995" xr:uid="{00000000-0005-0000-0000-000083980000}"/>
    <cellStyle name="货币 2 2 8 2 3 4" xfId="38997" xr:uid="{00000000-0005-0000-0000-000085980000}"/>
    <cellStyle name="货币 2 2 8 2 3 5" xfId="38999" xr:uid="{00000000-0005-0000-0000-000087980000}"/>
    <cellStyle name="货币 2 2 8 2 3 6" xfId="39001" xr:uid="{00000000-0005-0000-0000-000089980000}"/>
    <cellStyle name="货币 2 2 8 2 3 7" xfId="39003" xr:uid="{00000000-0005-0000-0000-00008B980000}"/>
    <cellStyle name="货币 2 2 8 2 3 8" xfId="39005" xr:uid="{00000000-0005-0000-0000-00008D980000}"/>
    <cellStyle name="货币 2 2 8 2 3 9" xfId="39006" xr:uid="{00000000-0005-0000-0000-00008E980000}"/>
    <cellStyle name="货币 2 2 8 2 4" xfId="37148" xr:uid="{00000000-0005-0000-0000-00004C910000}"/>
    <cellStyle name="货币 2 2 8 2 4 10" xfId="39007" xr:uid="{00000000-0005-0000-0000-00008F980000}"/>
    <cellStyle name="货币 2 2 8 2 4 2" xfId="3891" xr:uid="{00000000-0005-0000-0000-0000630F0000}"/>
    <cellStyle name="货币 2 2 8 2 4 2 2" xfId="39009" xr:uid="{00000000-0005-0000-0000-000091980000}"/>
    <cellStyle name="货币 2 2 8 2 4 2 2 2" xfId="12581" xr:uid="{00000000-0005-0000-0000-000055310000}"/>
    <cellStyle name="货币 2 2 8 2 4 2 3" xfId="39012" xr:uid="{00000000-0005-0000-0000-000094980000}"/>
    <cellStyle name="货币 2 2 8 2 4 2 4" xfId="39015" xr:uid="{00000000-0005-0000-0000-000097980000}"/>
    <cellStyle name="货币 2 2 8 2 4 2 5" xfId="39018" xr:uid="{00000000-0005-0000-0000-00009A980000}"/>
    <cellStyle name="货币 2 2 8 2 4 3" xfId="39020" xr:uid="{00000000-0005-0000-0000-00009C980000}"/>
    <cellStyle name="货币 2 2 8 2 4 3 2" xfId="39021" xr:uid="{00000000-0005-0000-0000-00009D980000}"/>
    <cellStyle name="货币 2 2 8 2 4 4" xfId="39023" xr:uid="{00000000-0005-0000-0000-00009F980000}"/>
    <cellStyle name="货币 2 2 8 2 4 5" xfId="39025" xr:uid="{00000000-0005-0000-0000-0000A1980000}"/>
    <cellStyle name="货币 2 2 8 2 4 6" xfId="39026" xr:uid="{00000000-0005-0000-0000-0000A2980000}"/>
    <cellStyle name="货币 2 2 8 2 4 7" xfId="39027" xr:uid="{00000000-0005-0000-0000-0000A3980000}"/>
    <cellStyle name="货币 2 2 8 2 4 8" xfId="39028" xr:uid="{00000000-0005-0000-0000-0000A4980000}"/>
    <cellStyle name="货币 2 2 8 2 4 9" xfId="9038" xr:uid="{00000000-0005-0000-0000-00007E230000}"/>
    <cellStyle name="货币 2 2 8 2 5" xfId="39029" xr:uid="{00000000-0005-0000-0000-0000A5980000}"/>
    <cellStyle name="货币 2 2 8 2 5 10" xfId="39030" xr:uid="{00000000-0005-0000-0000-0000A6980000}"/>
    <cellStyle name="货币 2 2 8 2 5 2" xfId="5023" xr:uid="{00000000-0005-0000-0000-0000CF130000}"/>
    <cellStyle name="货币 2 2 8 2 5 2 2" xfId="5035" xr:uid="{00000000-0005-0000-0000-0000DB130000}"/>
    <cellStyle name="货币 2 2 8 2 5 2 2 2" xfId="35968" xr:uid="{00000000-0005-0000-0000-0000B08C0000}"/>
    <cellStyle name="货币 2 2 8 2 5 2 3" xfId="39032" xr:uid="{00000000-0005-0000-0000-0000A8980000}"/>
    <cellStyle name="货币 2 2 8 2 5 2 4" xfId="29328" xr:uid="{00000000-0005-0000-0000-0000C0720000}"/>
    <cellStyle name="货币 2 2 8 2 5 2 5" xfId="39033" xr:uid="{00000000-0005-0000-0000-0000A9980000}"/>
    <cellStyle name="货币 2 2 8 2 5 3" xfId="5039" xr:uid="{00000000-0005-0000-0000-0000DF130000}"/>
    <cellStyle name="货币 2 2 8 2 5 3 2" xfId="5042" xr:uid="{00000000-0005-0000-0000-0000E2130000}"/>
    <cellStyle name="货币 2 2 8 2 5 4" xfId="5049" xr:uid="{00000000-0005-0000-0000-0000E9130000}"/>
    <cellStyle name="货币 2 2 8 2 5 5" xfId="5070" xr:uid="{00000000-0005-0000-0000-0000FE130000}"/>
    <cellStyle name="货币 2 2 8 2 5 6" xfId="5086" xr:uid="{00000000-0005-0000-0000-00000E140000}"/>
    <cellStyle name="货币 2 2 8 2 5 7" xfId="6040" xr:uid="{00000000-0005-0000-0000-0000C8170000}"/>
    <cellStyle name="货币 2 2 8 2 5 8" xfId="6046" xr:uid="{00000000-0005-0000-0000-0000CE170000}"/>
    <cellStyle name="货币 2 2 8 2 5 9" xfId="9058" xr:uid="{00000000-0005-0000-0000-000092230000}"/>
    <cellStyle name="货币 2 2 8 2 6" xfId="39034" xr:uid="{00000000-0005-0000-0000-0000AA980000}"/>
    <cellStyle name="货币 2 2 8 2 6 2" xfId="5143" xr:uid="{00000000-0005-0000-0000-000047140000}"/>
    <cellStyle name="货币 2 2 8 2 6 2 2" xfId="2092" xr:uid="{00000000-0005-0000-0000-00005C080000}"/>
    <cellStyle name="货币 2 2 8 2 6 3" xfId="5151" xr:uid="{00000000-0005-0000-0000-00004F140000}"/>
    <cellStyle name="货币 2 2 8 2 6 4" xfId="5163" xr:uid="{00000000-0005-0000-0000-00005B140000}"/>
    <cellStyle name="货币 2 2 8 2 6 5" xfId="5171" xr:uid="{00000000-0005-0000-0000-000063140000}"/>
    <cellStyle name="货币 2 2 8 2 6 6" xfId="5182" xr:uid="{00000000-0005-0000-0000-00006E140000}"/>
    <cellStyle name="货币 2 2 8 2 6 7" xfId="39035" xr:uid="{00000000-0005-0000-0000-0000AB980000}"/>
    <cellStyle name="货币 2 2 8 2 6 8" xfId="39036" xr:uid="{00000000-0005-0000-0000-0000AC980000}"/>
    <cellStyle name="货币 2 2 8 2 6 9" xfId="10005" xr:uid="{00000000-0005-0000-0000-000045270000}"/>
    <cellStyle name="货币 2 2 8 2 7" xfId="39037" xr:uid="{00000000-0005-0000-0000-0000AD980000}"/>
    <cellStyle name="货币 2 2 8 2 7 2" xfId="39040" xr:uid="{00000000-0005-0000-0000-0000B0980000}"/>
    <cellStyle name="货币 2 2 8 2 8" xfId="39041" xr:uid="{00000000-0005-0000-0000-0000B1980000}"/>
    <cellStyle name="货币 2 2 8 2 9" xfId="11245" xr:uid="{00000000-0005-0000-0000-00001D2C0000}"/>
    <cellStyle name="货币 2 2 8 20" xfId="23327" xr:uid="{00000000-0005-0000-0000-00004F5B0000}"/>
    <cellStyle name="货币 2 2 8 21" xfId="23332" xr:uid="{00000000-0005-0000-0000-0000545B0000}"/>
    <cellStyle name="货币 2 2 8 22" xfId="23337" xr:uid="{00000000-0005-0000-0000-0000595B0000}"/>
    <cellStyle name="货币 2 2 8 23" xfId="23341" xr:uid="{00000000-0005-0000-0000-00005D5B0000}"/>
    <cellStyle name="货币 2 2 8 3" xfId="37477" xr:uid="{00000000-0005-0000-0000-000095920000}"/>
    <cellStyle name="货币 2 2 8 3 10" xfId="39042" xr:uid="{00000000-0005-0000-0000-0000B2980000}"/>
    <cellStyle name="货币 2 2 8 3 11" xfId="1039" xr:uid="{00000000-0005-0000-0000-00003F040000}"/>
    <cellStyle name="货币 2 2 8 3 12" xfId="35385" xr:uid="{00000000-0005-0000-0000-0000698A0000}"/>
    <cellStyle name="货币 2 2 8 3 13" xfId="35387" xr:uid="{00000000-0005-0000-0000-00006B8A0000}"/>
    <cellStyle name="货币 2 2 8 3 14" xfId="35389" xr:uid="{00000000-0005-0000-0000-00006D8A0000}"/>
    <cellStyle name="货币 2 2 8 3 15" xfId="35392" xr:uid="{00000000-0005-0000-0000-0000708A0000}"/>
    <cellStyle name="货币 2 2 8 3 16" xfId="23727" xr:uid="{00000000-0005-0000-0000-0000DF5C0000}"/>
    <cellStyle name="货币 2 2 8 3 17" xfId="35396" xr:uid="{00000000-0005-0000-0000-0000748A0000}"/>
    <cellStyle name="货币 2 2 8 3 18" xfId="35400" xr:uid="{00000000-0005-0000-0000-0000788A0000}"/>
    <cellStyle name="货币 2 2 8 3 2" xfId="8762" xr:uid="{00000000-0005-0000-0000-00006A220000}"/>
    <cellStyle name="货币 2 2 8 3 2 10" xfId="39043" xr:uid="{00000000-0005-0000-0000-0000B3980000}"/>
    <cellStyle name="货币 2 2 8 3 2 2" xfId="39044" xr:uid="{00000000-0005-0000-0000-0000B4980000}"/>
    <cellStyle name="货币 2 2 8 3 2 2 2" xfId="11125" xr:uid="{00000000-0005-0000-0000-0000A52B0000}"/>
    <cellStyle name="货币 2 2 8 3 2 3" xfId="39045" xr:uid="{00000000-0005-0000-0000-0000B5980000}"/>
    <cellStyle name="货币 2 2 8 3 2 4" xfId="39046" xr:uid="{00000000-0005-0000-0000-0000B6980000}"/>
    <cellStyle name="货币 2 2 8 3 2 5" xfId="39047" xr:uid="{00000000-0005-0000-0000-0000B7980000}"/>
    <cellStyle name="货币 2 2 8 3 2 6" xfId="39048" xr:uid="{00000000-0005-0000-0000-0000B8980000}"/>
    <cellStyle name="货币 2 2 8 3 2 7" xfId="39049" xr:uid="{00000000-0005-0000-0000-0000B9980000}"/>
    <cellStyle name="货币 2 2 8 3 2 8" xfId="39050" xr:uid="{00000000-0005-0000-0000-0000BA980000}"/>
    <cellStyle name="货币 2 2 8 3 2 9" xfId="39051" xr:uid="{00000000-0005-0000-0000-0000BB980000}"/>
    <cellStyle name="货币 2 2 8 3 3" xfId="13531" xr:uid="{00000000-0005-0000-0000-00000B350000}"/>
    <cellStyle name="货币 2 2 8 3 3 2" xfId="39053" xr:uid="{00000000-0005-0000-0000-0000BD980000}"/>
    <cellStyle name="货币 2 2 8 3 3 3" xfId="39055" xr:uid="{00000000-0005-0000-0000-0000BF980000}"/>
    <cellStyle name="货币 2 2 8 3 3 4" xfId="39057" xr:uid="{00000000-0005-0000-0000-0000C1980000}"/>
    <cellStyle name="货币 2 2 8 3 3 5" xfId="39059" xr:uid="{00000000-0005-0000-0000-0000C3980000}"/>
    <cellStyle name="货币 2 2 8 3 3 6" xfId="39061" xr:uid="{00000000-0005-0000-0000-0000C5980000}"/>
    <cellStyle name="货币 2 2 8 3 4" xfId="23355" xr:uid="{00000000-0005-0000-0000-00006B5B0000}"/>
    <cellStyle name="货币 2 2 8 3 4 2" xfId="19528" xr:uid="{00000000-0005-0000-0000-0000784C0000}"/>
    <cellStyle name="货币 2 2 8 3 4 3" xfId="19532" xr:uid="{00000000-0005-0000-0000-00007C4C0000}"/>
    <cellStyle name="货币 2 2 8 3 4 4" xfId="19536" xr:uid="{00000000-0005-0000-0000-0000804C0000}"/>
    <cellStyle name="货币 2 2 8 3 4 5" xfId="39063" xr:uid="{00000000-0005-0000-0000-0000C7980000}"/>
    <cellStyle name="货币 2 2 8 3 4 6" xfId="39064" xr:uid="{00000000-0005-0000-0000-0000C8980000}"/>
    <cellStyle name="货币 2 2 8 3 5" xfId="27493" xr:uid="{00000000-0005-0000-0000-0000956B0000}"/>
    <cellStyle name="货币 2 2 8 3 5 2" xfId="39065" xr:uid="{00000000-0005-0000-0000-0000C9980000}"/>
    <cellStyle name="货币 2 2 8 3 5 3" xfId="39066" xr:uid="{00000000-0005-0000-0000-0000CA980000}"/>
    <cellStyle name="货币 2 2 8 3 5 4" xfId="39067" xr:uid="{00000000-0005-0000-0000-0000CB980000}"/>
    <cellStyle name="货币 2 2 8 3 5 5" xfId="39068" xr:uid="{00000000-0005-0000-0000-0000CC980000}"/>
    <cellStyle name="货币 2 2 8 3 5 6" xfId="39069" xr:uid="{00000000-0005-0000-0000-0000CD980000}"/>
    <cellStyle name="货币 2 2 8 3 6" xfId="27495" xr:uid="{00000000-0005-0000-0000-0000976B0000}"/>
    <cellStyle name="货币 2 2 8 3 6 2" xfId="39070" xr:uid="{00000000-0005-0000-0000-0000CE980000}"/>
    <cellStyle name="货币 2 2 8 3 6 3" xfId="39071" xr:uid="{00000000-0005-0000-0000-0000CF980000}"/>
    <cellStyle name="货币 2 2 8 3 6 4" xfId="39072" xr:uid="{00000000-0005-0000-0000-0000D0980000}"/>
    <cellStyle name="货币 2 2 8 3 6 5" xfId="39073" xr:uid="{00000000-0005-0000-0000-0000D1980000}"/>
    <cellStyle name="货币 2 2 8 3 6 6" xfId="39074" xr:uid="{00000000-0005-0000-0000-0000D2980000}"/>
    <cellStyle name="货币 2 2 8 3 7" xfId="39075" xr:uid="{00000000-0005-0000-0000-0000D3980000}"/>
    <cellStyle name="货币 2 2 8 3 8" xfId="39076" xr:uid="{00000000-0005-0000-0000-0000D4980000}"/>
    <cellStyle name="货币 2 2 8 3 9" xfId="39077" xr:uid="{00000000-0005-0000-0000-0000D5980000}"/>
    <cellStyle name="货币 2 2 8 4" xfId="27" xr:uid="{00000000-0005-0000-0000-00001D000000}"/>
    <cellStyle name="货币 2 2 8 4 10" xfId="19545" xr:uid="{00000000-0005-0000-0000-0000894C0000}"/>
    <cellStyle name="货币 2 2 8 4 11" xfId="5270" xr:uid="{00000000-0005-0000-0000-0000C6140000}"/>
    <cellStyle name="货币 2 2 8 4 12" xfId="12778" xr:uid="{00000000-0005-0000-0000-00001A320000}"/>
    <cellStyle name="货币 2 2 8 4 13" xfId="39079" xr:uid="{00000000-0005-0000-0000-0000D7980000}"/>
    <cellStyle name="货币 2 2 8 4 14" xfId="39080" xr:uid="{00000000-0005-0000-0000-0000D8980000}"/>
    <cellStyle name="货币 2 2 8 4 15" xfId="39081" xr:uid="{00000000-0005-0000-0000-0000D9980000}"/>
    <cellStyle name="货币 2 2 8 4 2" xfId="8791" xr:uid="{00000000-0005-0000-0000-000087220000}"/>
    <cellStyle name="货币 2 2 8 4 2 2" xfId="39082" xr:uid="{00000000-0005-0000-0000-0000DA980000}"/>
    <cellStyle name="货币 2 2 8 4 2 2 2" xfId="9122" xr:uid="{00000000-0005-0000-0000-0000D2230000}"/>
    <cellStyle name="货币 2 2 8 4 2 3" xfId="39083" xr:uid="{00000000-0005-0000-0000-0000DB980000}"/>
    <cellStyle name="货币 2 2 8 4 2 4" xfId="39084" xr:uid="{00000000-0005-0000-0000-0000DC980000}"/>
    <cellStyle name="货币 2 2 8 4 2 5" xfId="39086" xr:uid="{00000000-0005-0000-0000-0000DE980000}"/>
    <cellStyle name="货币 2 2 8 4 2 6" xfId="39088" xr:uid="{00000000-0005-0000-0000-0000E0980000}"/>
    <cellStyle name="货币 2 2 8 4 2 7" xfId="39090" xr:uid="{00000000-0005-0000-0000-0000E2980000}"/>
    <cellStyle name="货币 2 2 8 4 2 8" xfId="39092" xr:uid="{00000000-0005-0000-0000-0000E4980000}"/>
    <cellStyle name="货币 2 2 8 4 2 9" xfId="39094" xr:uid="{00000000-0005-0000-0000-0000E6980000}"/>
    <cellStyle name="货币 2 2 8 4 3" xfId="13548" xr:uid="{00000000-0005-0000-0000-00001C350000}"/>
    <cellStyle name="货币 2 2 8 4 3 2" xfId="39096" xr:uid="{00000000-0005-0000-0000-0000E8980000}"/>
    <cellStyle name="货币 2 2 8 4 3 3" xfId="39098" xr:uid="{00000000-0005-0000-0000-0000EA980000}"/>
    <cellStyle name="货币 2 2 8 4 3 4" xfId="39100" xr:uid="{00000000-0005-0000-0000-0000EC980000}"/>
    <cellStyle name="货币 2 2 8 4 3 5" xfId="39102" xr:uid="{00000000-0005-0000-0000-0000EE980000}"/>
    <cellStyle name="货币 2 2 8 4 3 6" xfId="39104" xr:uid="{00000000-0005-0000-0000-0000F0980000}"/>
    <cellStyle name="货币 2 2 8 4 4" xfId="39105" xr:uid="{00000000-0005-0000-0000-0000F1980000}"/>
    <cellStyle name="货币 2 2 8 4 4 2" xfId="39107" xr:uid="{00000000-0005-0000-0000-0000F3980000}"/>
    <cellStyle name="货币 2 2 8 4 5" xfId="39108" xr:uid="{00000000-0005-0000-0000-0000F4980000}"/>
    <cellStyle name="货币 2 2 8 4 6" xfId="39109" xr:uid="{00000000-0005-0000-0000-0000F5980000}"/>
    <cellStyle name="货币 2 2 8 4 7" xfId="39110" xr:uid="{00000000-0005-0000-0000-0000F6980000}"/>
    <cellStyle name="货币 2 2 8 4 8" xfId="15148" xr:uid="{00000000-0005-0000-0000-00005C3B0000}"/>
    <cellStyle name="货币 2 2 8 4 9" xfId="39111" xr:uid="{00000000-0005-0000-0000-0000F7980000}"/>
    <cellStyle name="货币 2 2 8 5" xfId="34266" xr:uid="{00000000-0005-0000-0000-00000A860000}"/>
    <cellStyle name="货币 2 2 8 5 10" xfId="5074" xr:uid="{00000000-0005-0000-0000-000002140000}"/>
    <cellStyle name="货币 2 2 8 5 11" xfId="9379" xr:uid="{00000000-0005-0000-0000-0000D3240000}"/>
    <cellStyle name="货币 2 2 8 5 12" xfId="9384" xr:uid="{00000000-0005-0000-0000-0000D8240000}"/>
    <cellStyle name="货币 2 2 8 5 13" xfId="39112" xr:uid="{00000000-0005-0000-0000-0000F8980000}"/>
    <cellStyle name="货币 2 2 8 5 2" xfId="3681" xr:uid="{00000000-0005-0000-0000-0000910E0000}"/>
    <cellStyle name="货币 2 2 8 5 2 2" xfId="25388" xr:uid="{00000000-0005-0000-0000-00005C630000}"/>
    <cellStyle name="货币 2 2 8 5 2 2 2" xfId="24961" xr:uid="{00000000-0005-0000-0000-0000B1610000}"/>
    <cellStyle name="货币 2 2 8 5 2 3" xfId="39113" xr:uid="{00000000-0005-0000-0000-0000F9980000}"/>
    <cellStyle name="货币 2 2 8 5 2 4" xfId="39114" xr:uid="{00000000-0005-0000-0000-0000FA980000}"/>
    <cellStyle name="货币 2 2 8 5 2 5" xfId="39116" xr:uid="{00000000-0005-0000-0000-0000FC980000}"/>
    <cellStyle name="货币 2 2 8 5 2 6" xfId="39118" xr:uid="{00000000-0005-0000-0000-0000FE980000}"/>
    <cellStyle name="货币 2 2 8 5 2 7" xfId="39120" xr:uid="{00000000-0005-0000-0000-000000990000}"/>
    <cellStyle name="货币 2 2 8 5 2 8" xfId="39122" xr:uid="{00000000-0005-0000-0000-000002990000}"/>
    <cellStyle name="货币 2 2 8 5 2 9" xfId="39124" xr:uid="{00000000-0005-0000-0000-000004990000}"/>
    <cellStyle name="货币 2 2 8 5 3" xfId="6403" xr:uid="{00000000-0005-0000-0000-000033190000}"/>
    <cellStyle name="货币 2 2 8 5 3 2" xfId="25395" xr:uid="{00000000-0005-0000-0000-000063630000}"/>
    <cellStyle name="货币 2 2 8 5 3 3" xfId="39126" xr:uid="{00000000-0005-0000-0000-000006990000}"/>
    <cellStyle name="货币 2 2 8 5 3 4" xfId="36330" xr:uid="{00000000-0005-0000-0000-00001A8E0000}"/>
    <cellStyle name="货币 2 2 8 5 3 5" xfId="36333" xr:uid="{00000000-0005-0000-0000-00001D8E0000}"/>
    <cellStyle name="货币 2 2 8 5 3 6" xfId="36336" xr:uid="{00000000-0005-0000-0000-0000208E0000}"/>
    <cellStyle name="货币 2 2 8 5 4" xfId="39127" xr:uid="{00000000-0005-0000-0000-000007990000}"/>
    <cellStyle name="货币 2 2 8 5 4 2" xfId="39129" xr:uid="{00000000-0005-0000-0000-000009990000}"/>
    <cellStyle name="货币 2 2 8 5 5" xfId="39130" xr:uid="{00000000-0005-0000-0000-00000A990000}"/>
    <cellStyle name="货币 2 2 8 5 6" xfId="12911" xr:uid="{00000000-0005-0000-0000-00009F320000}"/>
    <cellStyle name="货币 2 2 8 5 7" xfId="39131" xr:uid="{00000000-0005-0000-0000-00000B990000}"/>
    <cellStyle name="货币 2 2 8 5 8" xfId="39132" xr:uid="{00000000-0005-0000-0000-00000C990000}"/>
    <cellStyle name="货币 2 2 8 5 9" xfId="34982" xr:uid="{00000000-0005-0000-0000-0000D6880000}"/>
    <cellStyle name="货币 2 2 8 6" xfId="34268" xr:uid="{00000000-0005-0000-0000-00000C860000}"/>
    <cellStyle name="货币 2 2 8 6 10" xfId="39133" xr:uid="{00000000-0005-0000-0000-00000D990000}"/>
    <cellStyle name="货币 2 2 8 6 11" xfId="39134" xr:uid="{00000000-0005-0000-0000-00000E990000}"/>
    <cellStyle name="货币 2 2 8 6 12" xfId="39135" xr:uid="{00000000-0005-0000-0000-00000F990000}"/>
    <cellStyle name="货币 2 2 8 6 2" xfId="39136" xr:uid="{00000000-0005-0000-0000-000010990000}"/>
    <cellStyle name="货币 2 2 8 6 2 2" xfId="39138" xr:uid="{00000000-0005-0000-0000-000012990000}"/>
    <cellStyle name="货币 2 2 8 6 2 2 2" xfId="35698" xr:uid="{00000000-0005-0000-0000-0000A28B0000}"/>
    <cellStyle name="货币 2 2 8 6 2 3" xfId="39140" xr:uid="{00000000-0005-0000-0000-000014990000}"/>
    <cellStyle name="货币 2 2 8 6 2 4" xfId="39141" xr:uid="{00000000-0005-0000-0000-000015990000}"/>
    <cellStyle name="货币 2 2 8 6 2 5" xfId="39142" xr:uid="{00000000-0005-0000-0000-000016990000}"/>
    <cellStyle name="货币 2 2 8 6 2 6" xfId="39143" xr:uid="{00000000-0005-0000-0000-000017990000}"/>
    <cellStyle name="货币 2 2 8 6 2 7" xfId="33241" xr:uid="{00000000-0005-0000-0000-000009820000}"/>
    <cellStyle name="货币 2 2 8 6 2 8" xfId="29324" xr:uid="{00000000-0005-0000-0000-0000BC720000}"/>
    <cellStyle name="货币 2 2 8 6 2 9" xfId="29333" xr:uid="{00000000-0005-0000-0000-0000C5720000}"/>
    <cellStyle name="货币 2 2 8 6 3" xfId="39144" xr:uid="{00000000-0005-0000-0000-000018990000}"/>
    <cellStyle name="货币 2 2 8 6 3 2" xfId="39145" xr:uid="{00000000-0005-0000-0000-000019990000}"/>
    <cellStyle name="货币 2 2 8 6 3 3" xfId="39146" xr:uid="{00000000-0005-0000-0000-00001A990000}"/>
    <cellStyle name="货币 2 2 8 6 3 4" xfId="39147" xr:uid="{00000000-0005-0000-0000-00001B990000}"/>
    <cellStyle name="货币 2 2 8 6 3 5" xfId="39148" xr:uid="{00000000-0005-0000-0000-00001C990000}"/>
    <cellStyle name="货币 2 2 8 6 3 6" xfId="39149" xr:uid="{00000000-0005-0000-0000-00001D990000}"/>
    <cellStyle name="货币 2 2 8 6 4" xfId="39150" xr:uid="{00000000-0005-0000-0000-00001E990000}"/>
    <cellStyle name="货币 2 2 8 6 4 2" xfId="32312" xr:uid="{00000000-0005-0000-0000-0000687E0000}"/>
    <cellStyle name="货币 2 2 8 6 5" xfId="39151" xr:uid="{00000000-0005-0000-0000-00001F990000}"/>
    <cellStyle name="货币 2 2 8 6 6" xfId="39152" xr:uid="{00000000-0005-0000-0000-000020990000}"/>
    <cellStyle name="货币 2 2 8 6 7" xfId="39153" xr:uid="{00000000-0005-0000-0000-000021990000}"/>
    <cellStyle name="货币 2 2 8 6 8" xfId="39154" xr:uid="{00000000-0005-0000-0000-000022990000}"/>
    <cellStyle name="货币 2 2 8 6 9" xfId="39155" xr:uid="{00000000-0005-0000-0000-000023990000}"/>
    <cellStyle name="货币 2 2 8 7" xfId="34270" xr:uid="{00000000-0005-0000-0000-00000E860000}"/>
    <cellStyle name="货币 2 2 8 7 2" xfId="3694" xr:uid="{00000000-0005-0000-0000-00009E0E0000}"/>
    <cellStyle name="货币 2 2 8 7 2 2" xfId="39156" xr:uid="{00000000-0005-0000-0000-000024990000}"/>
    <cellStyle name="货币 2 2 8 7 3" xfId="17491" xr:uid="{00000000-0005-0000-0000-000083440000}"/>
    <cellStyle name="货币 2 2 8 7 4" xfId="16775" xr:uid="{00000000-0005-0000-0000-0000B7410000}"/>
    <cellStyle name="货币 2 2 8 7 5" xfId="16791" xr:uid="{00000000-0005-0000-0000-0000C7410000}"/>
    <cellStyle name="货币 2 2 8 7 6" xfId="16802" xr:uid="{00000000-0005-0000-0000-0000D2410000}"/>
    <cellStyle name="货币 2 2 8 7 7" xfId="39157" xr:uid="{00000000-0005-0000-0000-000025990000}"/>
    <cellStyle name="货币 2 2 8 7 8" xfId="39158" xr:uid="{00000000-0005-0000-0000-000026990000}"/>
    <cellStyle name="货币 2 2 8 7 9" xfId="39159" xr:uid="{00000000-0005-0000-0000-000027990000}"/>
    <cellStyle name="货币 2 2 8 8" xfId="34272" xr:uid="{00000000-0005-0000-0000-000010860000}"/>
    <cellStyle name="货币 2 2 8 8 2" xfId="3700" xr:uid="{00000000-0005-0000-0000-0000A40E0000}"/>
    <cellStyle name="货币 2 2 8 8 3" xfId="17517" xr:uid="{00000000-0005-0000-0000-00009D440000}"/>
    <cellStyle name="货币 2 2 8 8 4" xfId="16817" xr:uid="{00000000-0005-0000-0000-0000E1410000}"/>
    <cellStyle name="货币 2 2 8 8 5" xfId="17523" xr:uid="{00000000-0005-0000-0000-0000A3440000}"/>
    <cellStyle name="货币 2 2 8 8 6" xfId="17528" xr:uid="{00000000-0005-0000-0000-0000A8440000}"/>
    <cellStyle name="货币 2 2 8 9" xfId="34274" xr:uid="{00000000-0005-0000-0000-000012860000}"/>
    <cellStyle name="货币 2 2 8 9 2" xfId="3704" xr:uid="{00000000-0005-0000-0000-0000A80E0000}"/>
    <cellStyle name="货币 2 2 8 9 3" xfId="17560" xr:uid="{00000000-0005-0000-0000-0000C8440000}"/>
    <cellStyle name="货币 2 2 8 9 4" xfId="17562" xr:uid="{00000000-0005-0000-0000-0000CA440000}"/>
    <cellStyle name="货币 2 2 8 9 5" xfId="17564" xr:uid="{00000000-0005-0000-0000-0000CC440000}"/>
    <cellStyle name="货币 2 2 8 9 6" xfId="17566" xr:uid="{00000000-0005-0000-0000-0000CE440000}"/>
    <cellStyle name="货币 2 2 9" xfId="12306" xr:uid="{00000000-0005-0000-0000-000042300000}"/>
    <cellStyle name="货币 2 2 9 10" xfId="36685" xr:uid="{00000000-0005-0000-0000-00007D8F0000}"/>
    <cellStyle name="货币 2 2 9 10 2" xfId="4611" xr:uid="{00000000-0005-0000-0000-000033120000}"/>
    <cellStyle name="货币 2 2 9 10 3" xfId="6630" xr:uid="{00000000-0005-0000-0000-0000161A0000}"/>
    <cellStyle name="货币 2 2 9 10 4" xfId="6638" xr:uid="{00000000-0005-0000-0000-00001E1A0000}"/>
    <cellStyle name="货币 2 2 9 10 5" xfId="6644" xr:uid="{00000000-0005-0000-0000-0000241A0000}"/>
    <cellStyle name="货币 2 2 9 10 6" xfId="39160" xr:uid="{00000000-0005-0000-0000-000028990000}"/>
    <cellStyle name="货币 2 2 9 11" xfId="36687" xr:uid="{00000000-0005-0000-0000-00007F8F0000}"/>
    <cellStyle name="货币 2 2 9 11 2" xfId="6207" xr:uid="{00000000-0005-0000-0000-00006F180000}"/>
    <cellStyle name="货币 2 2 9 11 3" xfId="15893" xr:uid="{00000000-0005-0000-0000-0000453E0000}"/>
    <cellStyle name="货币 2 2 9 11 4" xfId="15898" xr:uid="{00000000-0005-0000-0000-00004A3E0000}"/>
    <cellStyle name="货币 2 2 9 11 5" xfId="15904" xr:uid="{00000000-0005-0000-0000-0000503E0000}"/>
    <cellStyle name="货币 2 2 9 11 6" xfId="39163" xr:uid="{00000000-0005-0000-0000-00002B990000}"/>
    <cellStyle name="货币 2 2 9 12" xfId="36689" xr:uid="{00000000-0005-0000-0000-0000818F0000}"/>
    <cellStyle name="货币 2 2 9 13" xfId="36691" xr:uid="{00000000-0005-0000-0000-0000838F0000}"/>
    <cellStyle name="货币 2 2 9 14" xfId="23374" xr:uid="{00000000-0005-0000-0000-00007E5B0000}"/>
    <cellStyle name="货币 2 2 9 15" xfId="36693" xr:uid="{00000000-0005-0000-0000-0000858F0000}"/>
    <cellStyle name="货币 2 2 9 16" xfId="36697" xr:uid="{00000000-0005-0000-0000-0000898F0000}"/>
    <cellStyle name="货币 2 2 9 17" xfId="36702" xr:uid="{00000000-0005-0000-0000-00008E8F0000}"/>
    <cellStyle name="货币 2 2 9 18" xfId="39166" xr:uid="{00000000-0005-0000-0000-00002E990000}"/>
    <cellStyle name="货币 2 2 9 19" xfId="39169" xr:uid="{00000000-0005-0000-0000-000031990000}"/>
    <cellStyle name="货币 2 2 9 2" xfId="39170" xr:uid="{00000000-0005-0000-0000-000032990000}"/>
    <cellStyle name="货币 2 2 9 2 10" xfId="39171" xr:uid="{00000000-0005-0000-0000-000033990000}"/>
    <cellStyle name="货币 2 2 9 2 11" xfId="39172" xr:uid="{00000000-0005-0000-0000-000034990000}"/>
    <cellStyle name="货币 2 2 9 2 12" xfId="39173" xr:uid="{00000000-0005-0000-0000-000035990000}"/>
    <cellStyle name="货币 2 2 9 2 13" xfId="39174" xr:uid="{00000000-0005-0000-0000-000036990000}"/>
    <cellStyle name="货币 2 2 9 2 14" xfId="39175" xr:uid="{00000000-0005-0000-0000-000037990000}"/>
    <cellStyle name="货币 2 2 9 2 15" xfId="21795" xr:uid="{00000000-0005-0000-0000-000053550000}"/>
    <cellStyle name="货币 2 2 9 2 16" xfId="21798" xr:uid="{00000000-0005-0000-0000-000056550000}"/>
    <cellStyle name="货币 2 2 9 2 17" xfId="21801" xr:uid="{00000000-0005-0000-0000-000059550000}"/>
    <cellStyle name="货币 2 2 9 2 18" xfId="38492" xr:uid="{00000000-0005-0000-0000-00008C960000}"/>
    <cellStyle name="货币 2 2 9 2 2" xfId="14243" xr:uid="{00000000-0005-0000-0000-0000D3370000}"/>
    <cellStyle name="货币 2 2 9 2 2 10" xfId="39176" xr:uid="{00000000-0005-0000-0000-000038990000}"/>
    <cellStyle name="货币 2 2 9 2 2 11" xfId="39177" xr:uid="{00000000-0005-0000-0000-000039990000}"/>
    <cellStyle name="货币 2 2 9 2 2 12" xfId="39178" xr:uid="{00000000-0005-0000-0000-00003A990000}"/>
    <cellStyle name="货币 2 2 9 2 2 2" xfId="39179" xr:uid="{00000000-0005-0000-0000-00003B990000}"/>
    <cellStyle name="货币 2 2 9 2 2 2 2" xfId="39180" xr:uid="{00000000-0005-0000-0000-00003C990000}"/>
    <cellStyle name="货币 2 2 9 2 2 2 2 2" xfId="39181" xr:uid="{00000000-0005-0000-0000-00003D990000}"/>
    <cellStyle name="货币 2 2 9 2 2 2 3" xfId="39182" xr:uid="{00000000-0005-0000-0000-00003E990000}"/>
    <cellStyle name="货币 2 2 9 2 2 2 4" xfId="39183" xr:uid="{00000000-0005-0000-0000-00003F990000}"/>
    <cellStyle name="货币 2 2 9 2 2 2 5" xfId="39184" xr:uid="{00000000-0005-0000-0000-000040990000}"/>
    <cellStyle name="货币 2 2 9 2 2 3" xfId="39185" xr:uid="{00000000-0005-0000-0000-000041990000}"/>
    <cellStyle name="货币 2 2 9 2 2 3 2" xfId="39186" xr:uid="{00000000-0005-0000-0000-000042990000}"/>
    <cellStyle name="货币 2 2 9 2 2 4" xfId="39187" xr:uid="{00000000-0005-0000-0000-000043990000}"/>
    <cellStyle name="货币 2 2 9 2 2 5" xfId="39188" xr:uid="{00000000-0005-0000-0000-000044990000}"/>
    <cellStyle name="货币 2 2 9 2 2 6" xfId="39189" xr:uid="{00000000-0005-0000-0000-000045990000}"/>
    <cellStyle name="货币 2 2 9 2 2 7" xfId="39190" xr:uid="{00000000-0005-0000-0000-000046990000}"/>
    <cellStyle name="货币 2 2 9 2 2 8" xfId="39191" xr:uid="{00000000-0005-0000-0000-000047990000}"/>
    <cellStyle name="货币 2 2 9 2 2 9" xfId="39192" xr:uid="{00000000-0005-0000-0000-000048990000}"/>
    <cellStyle name="货币 2 2 9 2 3" xfId="14246" xr:uid="{00000000-0005-0000-0000-0000D6370000}"/>
    <cellStyle name="货币 2 2 9 2 3 10" xfId="2247" xr:uid="{00000000-0005-0000-0000-0000F7080000}"/>
    <cellStyle name="货币 2 2 9 2 3 11" xfId="14715" xr:uid="{00000000-0005-0000-0000-0000AB390000}"/>
    <cellStyle name="货币 2 2 9 2 3 12" xfId="32824" xr:uid="{00000000-0005-0000-0000-000068800000}"/>
    <cellStyle name="货币 2 2 9 2 3 2" xfId="21805" xr:uid="{00000000-0005-0000-0000-00005D550000}"/>
    <cellStyle name="货币 2 2 9 2 3 2 2" xfId="17785" xr:uid="{00000000-0005-0000-0000-0000A9450000}"/>
    <cellStyle name="货币 2 2 9 2 3 2 2 2" xfId="21469" xr:uid="{00000000-0005-0000-0000-00000D540000}"/>
    <cellStyle name="货币 2 2 9 2 3 2 3" xfId="39193" xr:uid="{00000000-0005-0000-0000-000049990000}"/>
    <cellStyle name="货币 2 2 9 2 3 2 4" xfId="39194" xr:uid="{00000000-0005-0000-0000-00004A990000}"/>
    <cellStyle name="货币 2 2 9 2 3 2 5" xfId="39195" xr:uid="{00000000-0005-0000-0000-00004B990000}"/>
    <cellStyle name="货币 2 2 9 2 3 3" xfId="21811" xr:uid="{00000000-0005-0000-0000-000063550000}"/>
    <cellStyle name="货币 2 2 9 2 3 3 2" xfId="27958" xr:uid="{00000000-0005-0000-0000-0000666D0000}"/>
    <cellStyle name="货币 2 2 9 2 3 4" xfId="21824" xr:uid="{00000000-0005-0000-0000-000070550000}"/>
    <cellStyle name="货币 2 2 9 2 3 5" xfId="21832" xr:uid="{00000000-0005-0000-0000-000078550000}"/>
    <cellStyle name="货币 2 2 9 2 3 6" xfId="21841" xr:uid="{00000000-0005-0000-0000-000081550000}"/>
    <cellStyle name="货币 2 2 9 2 3 7" xfId="21849" xr:uid="{00000000-0005-0000-0000-000089550000}"/>
    <cellStyle name="货币 2 2 9 2 3 8" xfId="21856" xr:uid="{00000000-0005-0000-0000-000090550000}"/>
    <cellStyle name="货币 2 2 9 2 3 9" xfId="21862" xr:uid="{00000000-0005-0000-0000-000096550000}"/>
    <cellStyle name="货币 2 2 9 2 4" xfId="21865" xr:uid="{00000000-0005-0000-0000-000099550000}"/>
    <cellStyle name="货币 2 2 9 2 4 10" xfId="24183" xr:uid="{00000000-0005-0000-0000-0000A75E0000}"/>
    <cellStyle name="货币 2 2 9 2 4 2" xfId="21869" xr:uid="{00000000-0005-0000-0000-00009D550000}"/>
    <cellStyle name="货币 2 2 9 2 4 2 2" xfId="33353" xr:uid="{00000000-0005-0000-0000-000079820000}"/>
    <cellStyle name="货币 2 2 9 2 4 2 2 2" xfId="23183" xr:uid="{00000000-0005-0000-0000-0000BF5A0000}"/>
    <cellStyle name="货币 2 2 9 2 4 2 3" xfId="33355" xr:uid="{00000000-0005-0000-0000-00007B820000}"/>
    <cellStyle name="货币 2 2 9 2 4 2 4" xfId="39196" xr:uid="{00000000-0005-0000-0000-00004C990000}"/>
    <cellStyle name="货币 2 2 9 2 4 2 5" xfId="39197" xr:uid="{00000000-0005-0000-0000-00004D990000}"/>
    <cellStyle name="货币 2 2 9 2 4 3" xfId="21874" xr:uid="{00000000-0005-0000-0000-0000A2550000}"/>
    <cellStyle name="货币 2 2 9 2 4 3 2" xfId="39198" xr:uid="{00000000-0005-0000-0000-00004E990000}"/>
    <cellStyle name="货币 2 2 9 2 4 4" xfId="21881" xr:uid="{00000000-0005-0000-0000-0000A9550000}"/>
    <cellStyle name="货币 2 2 9 2 4 5" xfId="21886" xr:uid="{00000000-0005-0000-0000-0000AE550000}"/>
    <cellStyle name="货币 2 2 9 2 4 6" xfId="21891" xr:uid="{00000000-0005-0000-0000-0000B3550000}"/>
    <cellStyle name="货币 2 2 9 2 4 7" xfId="39199" xr:uid="{00000000-0005-0000-0000-00004F990000}"/>
    <cellStyle name="货币 2 2 9 2 4 8" xfId="39200" xr:uid="{00000000-0005-0000-0000-000050990000}"/>
    <cellStyle name="货币 2 2 9 2 4 9" xfId="7001" xr:uid="{00000000-0005-0000-0000-0000891B0000}"/>
    <cellStyle name="货币 2 2 9 2 5" xfId="21893" xr:uid="{00000000-0005-0000-0000-0000B5550000}"/>
    <cellStyle name="货币 2 2 9 2 5 10" xfId="39201" xr:uid="{00000000-0005-0000-0000-000051990000}"/>
    <cellStyle name="货币 2 2 9 2 5 2" xfId="4770" xr:uid="{00000000-0005-0000-0000-0000D2120000}"/>
    <cellStyle name="货币 2 2 9 2 5 2 2" xfId="5434" xr:uid="{00000000-0005-0000-0000-00006A150000}"/>
    <cellStyle name="货币 2 2 9 2 5 2 2 2" xfId="13025" xr:uid="{00000000-0005-0000-0000-000011330000}"/>
    <cellStyle name="货币 2 2 9 2 5 2 3" xfId="36214" xr:uid="{00000000-0005-0000-0000-0000A68D0000}"/>
    <cellStyle name="货币 2 2 9 2 5 2 4" xfId="36216" xr:uid="{00000000-0005-0000-0000-0000A88D0000}"/>
    <cellStyle name="货币 2 2 9 2 5 2 5" xfId="29267" xr:uid="{00000000-0005-0000-0000-000083720000}"/>
    <cellStyle name="货币 2 2 9 2 5 3" xfId="5438" xr:uid="{00000000-0005-0000-0000-00006E150000}"/>
    <cellStyle name="货币 2 2 9 2 5 3 2" xfId="5441" xr:uid="{00000000-0005-0000-0000-000071150000}"/>
    <cellStyle name="货币 2 2 9 2 5 4" xfId="2062" xr:uid="{00000000-0005-0000-0000-00003E080000}"/>
    <cellStyle name="货币 2 2 9 2 5 5" xfId="5449" xr:uid="{00000000-0005-0000-0000-000079150000}"/>
    <cellStyle name="货币 2 2 9 2 5 6" xfId="5374" xr:uid="{00000000-0005-0000-0000-00002E150000}"/>
    <cellStyle name="货币 2 2 9 2 5 7" xfId="39202" xr:uid="{00000000-0005-0000-0000-000052990000}"/>
    <cellStyle name="货币 2 2 9 2 5 8" xfId="39203" xr:uid="{00000000-0005-0000-0000-000053990000}"/>
    <cellStyle name="货币 2 2 9 2 5 9" xfId="5114" xr:uid="{00000000-0005-0000-0000-00002A140000}"/>
    <cellStyle name="货币 2 2 9 2 6" xfId="21895" xr:uid="{00000000-0005-0000-0000-0000B7550000}"/>
    <cellStyle name="货币 2 2 9 2 6 2" xfId="4782" xr:uid="{00000000-0005-0000-0000-0000DE120000}"/>
    <cellStyle name="货币 2 2 9 2 6 2 2" xfId="5487" xr:uid="{00000000-0005-0000-0000-00009F150000}"/>
    <cellStyle name="货币 2 2 9 2 6 3" xfId="5493" xr:uid="{00000000-0005-0000-0000-0000A5150000}"/>
    <cellStyle name="货币 2 2 9 2 6 4" xfId="5505" xr:uid="{00000000-0005-0000-0000-0000B1150000}"/>
    <cellStyle name="货币 2 2 9 2 6 5" xfId="5514" xr:uid="{00000000-0005-0000-0000-0000BA150000}"/>
    <cellStyle name="货币 2 2 9 2 6 6" xfId="5520" xr:uid="{00000000-0005-0000-0000-0000C0150000}"/>
    <cellStyle name="货币 2 2 9 2 6 7" xfId="1508" xr:uid="{00000000-0005-0000-0000-000014060000}"/>
    <cellStyle name="货币 2 2 9 2 6 8" xfId="8310" xr:uid="{00000000-0005-0000-0000-0000A6200000}"/>
    <cellStyle name="货币 2 2 9 2 6 9" xfId="5135" xr:uid="{00000000-0005-0000-0000-00003F140000}"/>
    <cellStyle name="货币 2 2 9 2 7" xfId="21899" xr:uid="{00000000-0005-0000-0000-0000BB550000}"/>
    <cellStyle name="货币 2 2 9 2 7 2" xfId="39205" xr:uid="{00000000-0005-0000-0000-000055990000}"/>
    <cellStyle name="货币 2 2 9 2 8" xfId="21901" xr:uid="{00000000-0005-0000-0000-0000BD550000}"/>
    <cellStyle name="货币 2 2 9 2 9" xfId="21903" xr:uid="{00000000-0005-0000-0000-0000BF550000}"/>
    <cellStyle name="货币 2 2 9 20" xfId="36694" xr:uid="{00000000-0005-0000-0000-0000868F0000}"/>
    <cellStyle name="货币 2 2 9 21" xfId="36698" xr:uid="{00000000-0005-0000-0000-00008A8F0000}"/>
    <cellStyle name="货币 2 2 9 22" xfId="36703" xr:uid="{00000000-0005-0000-0000-00008F8F0000}"/>
    <cellStyle name="货币 2 2 9 23" xfId="39167" xr:uid="{00000000-0005-0000-0000-00002F990000}"/>
    <cellStyle name="货币 2 2 9 3" xfId="39206" xr:uid="{00000000-0005-0000-0000-000056990000}"/>
    <cellStyle name="货币 2 2 9 3 10" xfId="39207" xr:uid="{00000000-0005-0000-0000-000057990000}"/>
    <cellStyle name="货币 2 2 9 3 11" xfId="28092" xr:uid="{00000000-0005-0000-0000-0000EC6D0000}"/>
    <cellStyle name="货币 2 2 9 3 12" xfId="39208" xr:uid="{00000000-0005-0000-0000-000058990000}"/>
    <cellStyle name="货币 2 2 9 3 13" xfId="39209" xr:uid="{00000000-0005-0000-0000-000059990000}"/>
    <cellStyle name="货币 2 2 9 3 14" xfId="39210" xr:uid="{00000000-0005-0000-0000-00005A990000}"/>
    <cellStyle name="货币 2 2 9 3 15" xfId="39211" xr:uid="{00000000-0005-0000-0000-00005B990000}"/>
    <cellStyle name="货币 2 2 9 3 16" xfId="479" xr:uid="{00000000-0005-0000-0000-0000FE010000}"/>
    <cellStyle name="货币 2 2 9 3 17" xfId="2660" xr:uid="{00000000-0005-0000-0000-0000940A0000}"/>
    <cellStyle name="货币 2 2 9 3 18" xfId="2983" xr:uid="{00000000-0005-0000-0000-0000D70B0000}"/>
    <cellStyle name="货币 2 2 9 3 2" xfId="14272" xr:uid="{00000000-0005-0000-0000-0000F0370000}"/>
    <cellStyle name="货币 2 2 9 3 2 10" xfId="21534" xr:uid="{00000000-0005-0000-0000-00004E540000}"/>
    <cellStyle name="货币 2 2 9 3 2 2" xfId="39212" xr:uid="{00000000-0005-0000-0000-00005C990000}"/>
    <cellStyle name="货币 2 2 9 3 2 2 2" xfId="957" xr:uid="{00000000-0005-0000-0000-0000ED030000}"/>
    <cellStyle name="货币 2 2 9 3 2 3" xfId="39213" xr:uid="{00000000-0005-0000-0000-00005D990000}"/>
    <cellStyle name="货币 2 2 9 3 2 4" xfId="39214" xr:uid="{00000000-0005-0000-0000-00005E990000}"/>
    <cellStyle name="货币 2 2 9 3 2 5" xfId="39215" xr:uid="{00000000-0005-0000-0000-00005F990000}"/>
    <cellStyle name="货币 2 2 9 3 2 6" xfId="32305" xr:uid="{00000000-0005-0000-0000-0000617E0000}"/>
    <cellStyle name="货币 2 2 9 3 2 7" xfId="31901" xr:uid="{00000000-0005-0000-0000-0000CD7C0000}"/>
    <cellStyle name="货币 2 2 9 3 2 8" xfId="32337" xr:uid="{00000000-0005-0000-0000-0000817E0000}"/>
    <cellStyle name="货币 2 2 9 3 2 9" xfId="28559" xr:uid="{00000000-0005-0000-0000-0000BF6F0000}"/>
    <cellStyle name="货币 2 2 9 3 3" xfId="14277" xr:uid="{00000000-0005-0000-0000-0000F5370000}"/>
    <cellStyle name="货币 2 2 9 3 3 2" xfId="21908" xr:uid="{00000000-0005-0000-0000-0000C4550000}"/>
    <cellStyle name="货币 2 2 9 3 3 3" xfId="27982" xr:uid="{00000000-0005-0000-0000-00007E6D0000}"/>
    <cellStyle name="货币 2 2 9 3 3 4" xfId="27987" xr:uid="{00000000-0005-0000-0000-0000836D0000}"/>
    <cellStyle name="货币 2 2 9 3 3 5" xfId="27990" xr:uid="{00000000-0005-0000-0000-0000866D0000}"/>
    <cellStyle name="货币 2 2 9 3 3 6" xfId="27994" xr:uid="{00000000-0005-0000-0000-00008A6D0000}"/>
    <cellStyle name="货币 2 2 9 3 4" xfId="4432" xr:uid="{00000000-0005-0000-0000-000080110000}"/>
    <cellStyle name="货币 2 2 9 3 4 2" xfId="39217" xr:uid="{00000000-0005-0000-0000-000061990000}"/>
    <cellStyle name="货币 2 2 9 3 4 3" xfId="27999" xr:uid="{00000000-0005-0000-0000-00008F6D0000}"/>
    <cellStyle name="货币 2 2 9 3 4 4" xfId="39219" xr:uid="{00000000-0005-0000-0000-000063990000}"/>
    <cellStyle name="货币 2 2 9 3 4 5" xfId="39221" xr:uid="{00000000-0005-0000-0000-000065990000}"/>
    <cellStyle name="货币 2 2 9 3 4 6" xfId="32358" xr:uid="{00000000-0005-0000-0000-0000967E0000}"/>
    <cellStyle name="货币 2 2 9 3 5" xfId="21911" xr:uid="{00000000-0005-0000-0000-0000C7550000}"/>
    <cellStyle name="货币 2 2 9 3 5 2" xfId="39222" xr:uid="{00000000-0005-0000-0000-000066990000}"/>
    <cellStyle name="货币 2 2 9 3 5 3" xfId="39223" xr:uid="{00000000-0005-0000-0000-000067990000}"/>
    <cellStyle name="货币 2 2 9 3 5 4" xfId="39224" xr:uid="{00000000-0005-0000-0000-000068990000}"/>
    <cellStyle name="货币 2 2 9 3 5 5" xfId="39225" xr:uid="{00000000-0005-0000-0000-000069990000}"/>
    <cellStyle name="货币 2 2 9 3 5 6" xfId="39226" xr:uid="{00000000-0005-0000-0000-00006A990000}"/>
    <cellStyle name="货币 2 2 9 3 6" xfId="39227" xr:uid="{00000000-0005-0000-0000-00006B990000}"/>
    <cellStyle name="货币 2 2 9 3 6 2" xfId="39228" xr:uid="{00000000-0005-0000-0000-00006C990000}"/>
    <cellStyle name="货币 2 2 9 3 6 3" xfId="39229" xr:uid="{00000000-0005-0000-0000-00006D990000}"/>
    <cellStyle name="货币 2 2 9 3 6 4" xfId="39230" xr:uid="{00000000-0005-0000-0000-00006E990000}"/>
    <cellStyle name="货币 2 2 9 3 6 5" xfId="39231" xr:uid="{00000000-0005-0000-0000-00006F990000}"/>
    <cellStyle name="货币 2 2 9 3 6 6" xfId="39232" xr:uid="{00000000-0005-0000-0000-000070990000}"/>
    <cellStyle name="货币 2 2 9 3 7" xfId="39233" xr:uid="{00000000-0005-0000-0000-000071990000}"/>
    <cellStyle name="货币 2 2 9 3 8" xfId="39234" xr:uid="{00000000-0005-0000-0000-000072990000}"/>
    <cellStyle name="货币 2 2 9 3 9" xfId="39235" xr:uid="{00000000-0005-0000-0000-000073990000}"/>
    <cellStyle name="货币 2 2 9 4" xfId="39236" xr:uid="{00000000-0005-0000-0000-000074990000}"/>
    <cellStyle name="货币 2 2 9 4 10" xfId="39237" xr:uid="{00000000-0005-0000-0000-000075990000}"/>
    <cellStyle name="货币 2 2 9 4 11" xfId="39238" xr:uid="{00000000-0005-0000-0000-000076990000}"/>
    <cellStyle name="货币 2 2 9 4 12" xfId="39239" xr:uid="{00000000-0005-0000-0000-000077990000}"/>
    <cellStyle name="货币 2 2 9 4 13" xfId="6960" xr:uid="{00000000-0005-0000-0000-0000601B0000}"/>
    <cellStyle name="货币 2 2 9 4 14" xfId="6975" xr:uid="{00000000-0005-0000-0000-00006F1B0000}"/>
    <cellStyle name="货币 2 2 9 4 15" xfId="6987" xr:uid="{00000000-0005-0000-0000-00007B1B0000}"/>
    <cellStyle name="货币 2 2 9 4 2" xfId="14292" xr:uid="{00000000-0005-0000-0000-000004380000}"/>
    <cellStyle name="货币 2 2 9 4 2 2" xfId="39240" xr:uid="{00000000-0005-0000-0000-000078990000}"/>
    <cellStyle name="货币 2 2 9 4 2 2 2" xfId="22327" xr:uid="{00000000-0005-0000-0000-000067570000}"/>
    <cellStyle name="货币 2 2 9 4 2 3" xfId="39241" xr:uid="{00000000-0005-0000-0000-000079990000}"/>
    <cellStyle name="货币 2 2 9 4 2 4" xfId="39242" xr:uid="{00000000-0005-0000-0000-00007A990000}"/>
    <cellStyle name="货币 2 2 9 4 2 5" xfId="39243" xr:uid="{00000000-0005-0000-0000-00007B990000}"/>
    <cellStyle name="货币 2 2 9 4 2 6" xfId="39244" xr:uid="{00000000-0005-0000-0000-00007C990000}"/>
    <cellStyle name="货币 2 2 9 4 2 7" xfId="39245" xr:uid="{00000000-0005-0000-0000-00007D990000}"/>
    <cellStyle name="货币 2 2 9 4 2 8" xfId="39246" xr:uid="{00000000-0005-0000-0000-00007E990000}"/>
    <cellStyle name="货币 2 2 9 4 2 9" xfId="39247" xr:uid="{00000000-0005-0000-0000-00007F990000}"/>
    <cellStyle name="货币 2 2 9 4 3" xfId="14295" xr:uid="{00000000-0005-0000-0000-000007380000}"/>
    <cellStyle name="货币 2 2 9 4 3 2" xfId="39249" xr:uid="{00000000-0005-0000-0000-000081990000}"/>
    <cellStyle name="货币 2 2 9 4 3 3" xfId="28011" xr:uid="{00000000-0005-0000-0000-00009B6D0000}"/>
    <cellStyle name="货币 2 2 9 4 3 4" xfId="39251" xr:uid="{00000000-0005-0000-0000-000083990000}"/>
    <cellStyle name="货币 2 2 9 4 3 5" xfId="39253" xr:uid="{00000000-0005-0000-0000-000085990000}"/>
    <cellStyle name="货币 2 2 9 4 3 6" xfId="39255" xr:uid="{00000000-0005-0000-0000-000087990000}"/>
    <cellStyle name="货币 2 2 9 4 4" xfId="39256" xr:uid="{00000000-0005-0000-0000-000088990000}"/>
    <cellStyle name="货币 2 2 9 4 4 2" xfId="39258" xr:uid="{00000000-0005-0000-0000-00008A990000}"/>
    <cellStyle name="货币 2 2 9 4 5" xfId="39259" xr:uid="{00000000-0005-0000-0000-00008B990000}"/>
    <cellStyle name="货币 2 2 9 4 6" xfId="39260" xr:uid="{00000000-0005-0000-0000-00008C990000}"/>
    <cellStyle name="货币 2 2 9 4 7" xfId="39261" xr:uid="{00000000-0005-0000-0000-00008D990000}"/>
    <cellStyle name="货币 2 2 9 4 8" xfId="39262" xr:uid="{00000000-0005-0000-0000-00008E990000}"/>
    <cellStyle name="货币 2 2 9 4 9" xfId="39263" xr:uid="{00000000-0005-0000-0000-00008F990000}"/>
    <cellStyle name="货币 2 2 9 5" xfId="34276" xr:uid="{00000000-0005-0000-0000-000014860000}"/>
    <cellStyle name="货币 2 2 9 5 10" xfId="39265" xr:uid="{00000000-0005-0000-0000-000091990000}"/>
    <cellStyle name="货币 2 2 9 5 11" xfId="39267" xr:uid="{00000000-0005-0000-0000-000093990000}"/>
    <cellStyle name="货币 2 2 9 5 12" xfId="39269" xr:uid="{00000000-0005-0000-0000-000095990000}"/>
    <cellStyle name="货币 2 2 9 5 13" xfId="39271" xr:uid="{00000000-0005-0000-0000-000097990000}"/>
    <cellStyle name="货币 2 2 9 5 2" xfId="39272" xr:uid="{00000000-0005-0000-0000-000098990000}"/>
    <cellStyle name="货币 2 2 9 5 2 2" xfId="39274" xr:uid="{00000000-0005-0000-0000-00009A990000}"/>
    <cellStyle name="货币 2 2 9 5 2 2 2" xfId="37183" xr:uid="{00000000-0005-0000-0000-00006F910000}"/>
    <cellStyle name="货币 2 2 9 5 2 3" xfId="39276" xr:uid="{00000000-0005-0000-0000-00009C990000}"/>
    <cellStyle name="货币 2 2 9 5 2 4" xfId="39278" xr:uid="{00000000-0005-0000-0000-00009E990000}"/>
    <cellStyle name="货币 2 2 9 5 2 5" xfId="39279" xr:uid="{00000000-0005-0000-0000-00009F990000}"/>
    <cellStyle name="货币 2 2 9 5 2 6" xfId="29711" xr:uid="{00000000-0005-0000-0000-00003F740000}"/>
    <cellStyle name="货币 2 2 9 5 2 7" xfId="39280" xr:uid="{00000000-0005-0000-0000-0000A0990000}"/>
    <cellStyle name="货币 2 2 9 5 2 8" xfId="39281" xr:uid="{00000000-0005-0000-0000-0000A1990000}"/>
    <cellStyle name="货币 2 2 9 5 2 9" xfId="39282" xr:uid="{00000000-0005-0000-0000-0000A2990000}"/>
    <cellStyle name="货币 2 2 9 5 3" xfId="39283" xr:uid="{00000000-0005-0000-0000-0000A3990000}"/>
    <cellStyle name="货币 2 2 9 5 3 2" xfId="39285" xr:uid="{00000000-0005-0000-0000-0000A5990000}"/>
    <cellStyle name="货币 2 2 9 5 3 3" xfId="39287" xr:uid="{00000000-0005-0000-0000-0000A7990000}"/>
    <cellStyle name="货币 2 2 9 5 3 4" xfId="39289" xr:uid="{00000000-0005-0000-0000-0000A9990000}"/>
    <cellStyle name="货币 2 2 9 5 3 5" xfId="39291" xr:uid="{00000000-0005-0000-0000-0000AB990000}"/>
    <cellStyle name="货币 2 2 9 5 3 6" xfId="39293" xr:uid="{00000000-0005-0000-0000-0000AD990000}"/>
    <cellStyle name="货币 2 2 9 5 4" xfId="39294" xr:uid="{00000000-0005-0000-0000-0000AE990000}"/>
    <cellStyle name="货币 2 2 9 5 4 2" xfId="39296" xr:uid="{00000000-0005-0000-0000-0000B0990000}"/>
    <cellStyle name="货币 2 2 9 5 5" xfId="39297" xr:uid="{00000000-0005-0000-0000-0000B1990000}"/>
    <cellStyle name="货币 2 2 9 5 6" xfId="39298" xr:uid="{00000000-0005-0000-0000-0000B2990000}"/>
    <cellStyle name="货币 2 2 9 5 7" xfId="39299" xr:uid="{00000000-0005-0000-0000-0000B3990000}"/>
    <cellStyle name="货币 2 2 9 5 8" xfId="39300" xr:uid="{00000000-0005-0000-0000-0000B4990000}"/>
    <cellStyle name="货币 2 2 9 5 9" xfId="39301" xr:uid="{00000000-0005-0000-0000-0000B5990000}"/>
    <cellStyle name="货币 2 2 9 6" xfId="34278" xr:uid="{00000000-0005-0000-0000-000016860000}"/>
    <cellStyle name="货币 2 2 9 6 10" xfId="39302" xr:uid="{00000000-0005-0000-0000-0000B6990000}"/>
    <cellStyle name="货币 2 2 9 6 11" xfId="39303" xr:uid="{00000000-0005-0000-0000-0000B7990000}"/>
    <cellStyle name="货币 2 2 9 6 12" xfId="39304" xr:uid="{00000000-0005-0000-0000-0000B8990000}"/>
    <cellStyle name="货币 2 2 9 6 2" xfId="39305" xr:uid="{00000000-0005-0000-0000-0000B9990000}"/>
    <cellStyle name="货币 2 2 9 6 2 2" xfId="39306" xr:uid="{00000000-0005-0000-0000-0000BA990000}"/>
    <cellStyle name="货币 2 2 9 6 2 2 2" xfId="37366" xr:uid="{00000000-0005-0000-0000-000026920000}"/>
    <cellStyle name="货币 2 2 9 6 2 3" xfId="39307" xr:uid="{00000000-0005-0000-0000-0000BB990000}"/>
    <cellStyle name="货币 2 2 9 6 2 4" xfId="39308" xr:uid="{00000000-0005-0000-0000-0000BC990000}"/>
    <cellStyle name="货币 2 2 9 6 2 5" xfId="36578" xr:uid="{00000000-0005-0000-0000-0000128F0000}"/>
    <cellStyle name="货币 2 2 9 6 2 6" xfId="32491" xr:uid="{00000000-0005-0000-0000-00001B7F0000}"/>
    <cellStyle name="货币 2 2 9 6 2 7" xfId="32498" xr:uid="{00000000-0005-0000-0000-0000227F0000}"/>
    <cellStyle name="货币 2 2 9 6 2 8" xfId="39309" xr:uid="{00000000-0005-0000-0000-0000BD990000}"/>
    <cellStyle name="货币 2 2 9 6 2 9" xfId="39310" xr:uid="{00000000-0005-0000-0000-0000BE990000}"/>
    <cellStyle name="货币 2 2 9 6 3" xfId="39311" xr:uid="{00000000-0005-0000-0000-0000BF990000}"/>
    <cellStyle name="货币 2 2 9 6 3 2" xfId="39312" xr:uid="{00000000-0005-0000-0000-0000C0990000}"/>
    <cellStyle name="货币 2 2 9 6 3 3" xfId="39313" xr:uid="{00000000-0005-0000-0000-0000C1990000}"/>
    <cellStyle name="货币 2 2 9 6 3 4" xfId="39314" xr:uid="{00000000-0005-0000-0000-0000C2990000}"/>
    <cellStyle name="货币 2 2 9 6 3 5" xfId="39315" xr:uid="{00000000-0005-0000-0000-0000C3990000}"/>
    <cellStyle name="货币 2 2 9 6 3 6" xfId="39316" xr:uid="{00000000-0005-0000-0000-0000C4990000}"/>
    <cellStyle name="货币 2 2 9 6 4" xfId="39317" xr:uid="{00000000-0005-0000-0000-0000C5990000}"/>
    <cellStyle name="货币 2 2 9 6 4 2" xfId="39318" xr:uid="{00000000-0005-0000-0000-0000C6990000}"/>
    <cellStyle name="货币 2 2 9 6 5" xfId="39319" xr:uid="{00000000-0005-0000-0000-0000C7990000}"/>
    <cellStyle name="货币 2 2 9 6 6" xfId="39320" xr:uid="{00000000-0005-0000-0000-0000C8990000}"/>
    <cellStyle name="货币 2 2 9 6 7" xfId="39321" xr:uid="{00000000-0005-0000-0000-0000C9990000}"/>
    <cellStyle name="货币 2 2 9 6 8" xfId="39322" xr:uid="{00000000-0005-0000-0000-0000CA990000}"/>
    <cellStyle name="货币 2 2 9 6 9" xfId="39323" xr:uid="{00000000-0005-0000-0000-0000CB990000}"/>
    <cellStyle name="货币 2 2 9 7" xfId="34280" xr:uid="{00000000-0005-0000-0000-000018860000}"/>
    <cellStyle name="货币 2 2 9 7 2" xfId="17642" xr:uid="{00000000-0005-0000-0000-00001A450000}"/>
    <cellStyle name="货币 2 2 9 7 2 2" xfId="39324" xr:uid="{00000000-0005-0000-0000-0000CC990000}"/>
    <cellStyle name="货币 2 2 9 7 3" xfId="17646" xr:uid="{00000000-0005-0000-0000-00001E450000}"/>
    <cellStyle name="货币 2 2 9 7 4" xfId="7465" xr:uid="{00000000-0005-0000-0000-0000591D0000}"/>
    <cellStyle name="货币 2 2 9 7 5" xfId="17649" xr:uid="{00000000-0005-0000-0000-000021450000}"/>
    <cellStyle name="货币 2 2 9 7 6" xfId="17652" xr:uid="{00000000-0005-0000-0000-000024450000}"/>
    <cellStyle name="货币 2 2 9 7 7" xfId="39325" xr:uid="{00000000-0005-0000-0000-0000CD990000}"/>
    <cellStyle name="货币 2 2 9 7 8" xfId="39327" xr:uid="{00000000-0005-0000-0000-0000CF990000}"/>
    <cellStyle name="货币 2 2 9 7 9" xfId="39328" xr:uid="{00000000-0005-0000-0000-0000D0990000}"/>
    <cellStyle name="货币 2 2 9 8" xfId="34282" xr:uid="{00000000-0005-0000-0000-00001A860000}"/>
    <cellStyle name="货币 2 2 9 8 2" xfId="4835" xr:uid="{00000000-0005-0000-0000-000013130000}"/>
    <cellStyle name="货币 2 2 9 8 3" xfId="8150" xr:uid="{00000000-0005-0000-0000-000006200000}"/>
    <cellStyle name="货币 2 2 9 8 4" xfId="39329" xr:uid="{00000000-0005-0000-0000-0000D1990000}"/>
    <cellStyle name="货币 2 2 9 8 5" xfId="39330" xr:uid="{00000000-0005-0000-0000-0000D2990000}"/>
    <cellStyle name="货币 2 2 9 8 6" xfId="39331" xr:uid="{00000000-0005-0000-0000-0000D3990000}"/>
    <cellStyle name="货币 2 2 9 9" xfId="34284" xr:uid="{00000000-0005-0000-0000-00001C860000}"/>
    <cellStyle name="货币 2 2 9 9 2" xfId="17450" xr:uid="{00000000-0005-0000-0000-00005A440000}"/>
    <cellStyle name="货币 2 2 9 9 3" xfId="17454" xr:uid="{00000000-0005-0000-0000-00005E440000}"/>
    <cellStyle name="货币 2 2 9 9 4" xfId="39332" xr:uid="{00000000-0005-0000-0000-0000D4990000}"/>
    <cellStyle name="货币 2 2 9 9 5" xfId="39333" xr:uid="{00000000-0005-0000-0000-0000D5990000}"/>
    <cellStyle name="货币 2 2 9 9 6" xfId="39334" xr:uid="{00000000-0005-0000-0000-0000D6990000}"/>
    <cellStyle name="货币 2 20" xfId="33488" xr:uid="{00000000-0005-0000-0000-000000830000}"/>
    <cellStyle name="货币 2 20 2" xfId="20089" xr:uid="{00000000-0005-0000-0000-0000A94E0000}"/>
    <cellStyle name="货币 2 20 2 2" xfId="4305" xr:uid="{00000000-0005-0000-0000-000001110000}"/>
    <cellStyle name="货币 2 20 3" xfId="20097" xr:uid="{00000000-0005-0000-0000-0000B14E0000}"/>
    <cellStyle name="货币 2 20 4" xfId="20105" xr:uid="{00000000-0005-0000-0000-0000B94E0000}"/>
    <cellStyle name="货币 2 20 5" xfId="20113" xr:uid="{00000000-0005-0000-0000-0000C14E0000}"/>
    <cellStyle name="货币 2 20 6" xfId="20117" xr:uid="{00000000-0005-0000-0000-0000C54E0000}"/>
    <cellStyle name="货币 2 20 7" xfId="33517" xr:uid="{00000000-0005-0000-0000-00001D830000}"/>
    <cellStyle name="货币 2 20 8" xfId="33519" xr:uid="{00000000-0005-0000-0000-00001F830000}"/>
    <cellStyle name="货币 2 20 9" xfId="33521" xr:uid="{00000000-0005-0000-0000-000021830000}"/>
    <cellStyle name="货币 2 21" xfId="33524" xr:uid="{00000000-0005-0000-0000-000024830000}"/>
    <cellStyle name="货币 2 21 2" xfId="17013" xr:uid="{00000000-0005-0000-0000-0000A5420000}"/>
    <cellStyle name="货币 2 21 3" xfId="17020" xr:uid="{00000000-0005-0000-0000-0000AC420000}"/>
    <cellStyle name="货币 2 21 4" xfId="17027" xr:uid="{00000000-0005-0000-0000-0000B3420000}"/>
    <cellStyle name="货币 2 21 5" xfId="17033" xr:uid="{00000000-0005-0000-0000-0000B9420000}"/>
    <cellStyle name="货币 2 21 6" xfId="17038" xr:uid="{00000000-0005-0000-0000-0000BE420000}"/>
    <cellStyle name="货币 2 22" xfId="33545" xr:uid="{00000000-0005-0000-0000-000039830000}"/>
    <cellStyle name="货币 2 22 2" xfId="9704" xr:uid="{00000000-0005-0000-0000-000018260000}"/>
    <cellStyle name="货币 2 22 3" xfId="17051" xr:uid="{00000000-0005-0000-0000-0000CB420000}"/>
    <cellStyle name="货币 2 22 4" xfId="17058" xr:uid="{00000000-0005-0000-0000-0000D2420000}"/>
    <cellStyle name="货币 2 22 5" xfId="17063" xr:uid="{00000000-0005-0000-0000-0000D7420000}"/>
    <cellStyle name="货币 2 22 6" xfId="33557" xr:uid="{00000000-0005-0000-0000-000045830000}"/>
    <cellStyle name="货币 2 23" xfId="33562" xr:uid="{00000000-0005-0000-0000-00004A830000}"/>
    <cellStyle name="货币 2 24" xfId="33577" xr:uid="{00000000-0005-0000-0000-000059830000}"/>
    <cellStyle name="货币 2 25" xfId="39336" xr:uid="{00000000-0005-0000-0000-0000D8990000}"/>
    <cellStyle name="货币 2 26" xfId="39338" xr:uid="{00000000-0005-0000-0000-0000DA990000}"/>
    <cellStyle name="货币 2 27" xfId="39340" xr:uid="{00000000-0005-0000-0000-0000DC990000}"/>
    <cellStyle name="货币 2 28" xfId="39342" xr:uid="{00000000-0005-0000-0000-0000DE990000}"/>
    <cellStyle name="货币 2 29" xfId="36206" xr:uid="{00000000-0005-0000-0000-00009E8D0000}"/>
    <cellStyle name="货币 2 3" xfId="39343" xr:uid="{00000000-0005-0000-0000-0000DF990000}"/>
    <cellStyle name="货币 2 3 10" xfId="39344" xr:uid="{00000000-0005-0000-0000-0000E0990000}"/>
    <cellStyle name="货币 2 3 10 10" xfId="22950" xr:uid="{00000000-0005-0000-0000-0000D6590000}"/>
    <cellStyle name="货币 2 3 10 11" xfId="22953" xr:uid="{00000000-0005-0000-0000-0000D9590000}"/>
    <cellStyle name="货币 2 3 10 12" xfId="22956" xr:uid="{00000000-0005-0000-0000-0000DC590000}"/>
    <cellStyle name="货币 2 3 10 13" xfId="22959" xr:uid="{00000000-0005-0000-0000-0000DF590000}"/>
    <cellStyle name="货币 2 3 10 14" xfId="22962" xr:uid="{00000000-0005-0000-0000-0000E2590000}"/>
    <cellStyle name="货币 2 3 10 15" xfId="29781" xr:uid="{00000000-0005-0000-0000-000085740000}"/>
    <cellStyle name="货币 2 3 10 16" xfId="29785" xr:uid="{00000000-0005-0000-0000-000089740000}"/>
    <cellStyle name="货币 2 3 10 17" xfId="39345" xr:uid="{00000000-0005-0000-0000-0000E1990000}"/>
    <cellStyle name="货币 2 3 10 18" xfId="39346" xr:uid="{00000000-0005-0000-0000-0000E2990000}"/>
    <cellStyle name="货币 2 3 10 19" xfId="39347" xr:uid="{00000000-0005-0000-0000-0000E3990000}"/>
    <cellStyle name="货币 2 3 10 2" xfId="19766" xr:uid="{00000000-0005-0000-0000-0000664D0000}"/>
    <cellStyle name="货币 2 3 10 2 10" xfId="39348" xr:uid="{00000000-0005-0000-0000-0000E4990000}"/>
    <cellStyle name="货币 2 3 10 2 11" xfId="39349" xr:uid="{00000000-0005-0000-0000-0000E5990000}"/>
    <cellStyle name="货币 2 3 10 2 12" xfId="39350" xr:uid="{00000000-0005-0000-0000-0000E6990000}"/>
    <cellStyle name="货币 2 3 10 2 13" xfId="8975" xr:uid="{00000000-0005-0000-0000-00003F230000}"/>
    <cellStyle name="货币 2 3 10 2 14" xfId="8978" xr:uid="{00000000-0005-0000-0000-000042230000}"/>
    <cellStyle name="货币 2 3 10 2 15" xfId="30986" xr:uid="{00000000-0005-0000-0000-00003A790000}"/>
    <cellStyle name="货币 2 3 10 2 16" xfId="17493" xr:uid="{00000000-0005-0000-0000-000085440000}"/>
    <cellStyle name="货币 2 3 10 2 17" xfId="17508" xr:uid="{00000000-0005-0000-0000-000094440000}"/>
    <cellStyle name="货币 2 3 10 2 18" xfId="17513" xr:uid="{00000000-0005-0000-0000-000099440000}"/>
    <cellStyle name="货币 2 3 10 2 2" xfId="8351" xr:uid="{00000000-0005-0000-0000-0000CF200000}"/>
    <cellStyle name="货币 2 3 10 2 2 10" xfId="27788" xr:uid="{00000000-0005-0000-0000-0000BC6C0000}"/>
    <cellStyle name="货币 2 3 10 2 2 2" xfId="39351" xr:uid="{00000000-0005-0000-0000-0000E7990000}"/>
    <cellStyle name="货币 2 3 10 2 2 2 2" xfId="39352" xr:uid="{00000000-0005-0000-0000-0000E8990000}"/>
    <cellStyle name="货币 2 3 10 2 2 3" xfId="39353" xr:uid="{00000000-0005-0000-0000-0000E9990000}"/>
    <cellStyle name="货币 2 3 10 2 2 4" xfId="39354" xr:uid="{00000000-0005-0000-0000-0000EA990000}"/>
    <cellStyle name="货币 2 3 10 2 2 5" xfId="39355" xr:uid="{00000000-0005-0000-0000-0000EB990000}"/>
    <cellStyle name="货币 2 3 10 2 2 6" xfId="39356" xr:uid="{00000000-0005-0000-0000-0000EC990000}"/>
    <cellStyle name="货币 2 3 10 2 2 7" xfId="30925" xr:uid="{00000000-0005-0000-0000-0000FD780000}"/>
    <cellStyle name="货币 2 3 10 2 2 8" xfId="30927" xr:uid="{00000000-0005-0000-0000-0000FF780000}"/>
    <cellStyle name="货币 2 3 10 2 2 9" xfId="39357" xr:uid="{00000000-0005-0000-0000-0000ED990000}"/>
    <cellStyle name="货币 2 3 10 2 3" xfId="8358" xr:uid="{00000000-0005-0000-0000-0000D6200000}"/>
    <cellStyle name="货币 2 3 10 2 3 2" xfId="39358" xr:uid="{00000000-0005-0000-0000-0000EE990000}"/>
    <cellStyle name="货币 2 3 10 2 3 3" xfId="39359" xr:uid="{00000000-0005-0000-0000-0000EF990000}"/>
    <cellStyle name="货币 2 3 10 2 3 4" xfId="39360" xr:uid="{00000000-0005-0000-0000-0000F0990000}"/>
    <cellStyle name="货币 2 3 10 2 3 5" xfId="39361" xr:uid="{00000000-0005-0000-0000-0000F1990000}"/>
    <cellStyle name="货币 2 3 10 2 3 6" xfId="39362" xr:uid="{00000000-0005-0000-0000-0000F2990000}"/>
    <cellStyle name="货币 2 3 10 2 4" xfId="8365" xr:uid="{00000000-0005-0000-0000-0000DD200000}"/>
    <cellStyle name="货币 2 3 10 2 4 2" xfId="39364" xr:uid="{00000000-0005-0000-0000-0000F4990000}"/>
    <cellStyle name="货币 2 3 10 2 4 3" xfId="39366" xr:uid="{00000000-0005-0000-0000-0000F6990000}"/>
    <cellStyle name="货币 2 3 10 2 4 4" xfId="39368" xr:uid="{00000000-0005-0000-0000-0000F8990000}"/>
    <cellStyle name="货币 2 3 10 2 4 5" xfId="39370" xr:uid="{00000000-0005-0000-0000-0000FA990000}"/>
    <cellStyle name="货币 2 3 10 2 4 6" xfId="39372" xr:uid="{00000000-0005-0000-0000-0000FC990000}"/>
    <cellStyle name="货币 2 3 10 2 5" xfId="8370" xr:uid="{00000000-0005-0000-0000-0000E2200000}"/>
    <cellStyle name="货币 2 3 10 2 5 2" xfId="39374" xr:uid="{00000000-0005-0000-0000-0000FE990000}"/>
    <cellStyle name="货币 2 3 10 2 5 3" xfId="39376" xr:uid="{00000000-0005-0000-0000-0000009A0000}"/>
    <cellStyle name="货币 2 3 10 2 5 4" xfId="39378" xr:uid="{00000000-0005-0000-0000-0000029A0000}"/>
    <cellStyle name="货币 2 3 10 2 5 5" xfId="17117" xr:uid="{00000000-0005-0000-0000-00000D430000}"/>
    <cellStyle name="货币 2 3 10 2 5 6" xfId="17121" xr:uid="{00000000-0005-0000-0000-000011430000}"/>
    <cellStyle name="货币 2 3 10 2 6" xfId="22773" xr:uid="{00000000-0005-0000-0000-000025590000}"/>
    <cellStyle name="货币 2 3 10 2 6 2" xfId="39380" xr:uid="{00000000-0005-0000-0000-0000049A0000}"/>
    <cellStyle name="货币 2 3 10 2 6 3" xfId="39382" xr:uid="{00000000-0005-0000-0000-0000069A0000}"/>
    <cellStyle name="货币 2 3 10 2 6 4" xfId="39383" xr:uid="{00000000-0005-0000-0000-0000079A0000}"/>
    <cellStyle name="货币 2 3 10 2 6 5" xfId="39384" xr:uid="{00000000-0005-0000-0000-0000089A0000}"/>
    <cellStyle name="货币 2 3 10 2 6 6" xfId="39385" xr:uid="{00000000-0005-0000-0000-0000099A0000}"/>
    <cellStyle name="货币 2 3 10 2 7" xfId="39386" xr:uid="{00000000-0005-0000-0000-00000A9A0000}"/>
    <cellStyle name="货币 2 3 10 2 8" xfId="39387" xr:uid="{00000000-0005-0000-0000-00000B9A0000}"/>
    <cellStyle name="货币 2 3 10 2 9" xfId="39388" xr:uid="{00000000-0005-0000-0000-00000C9A0000}"/>
    <cellStyle name="货币 2 3 10 3" xfId="22870" xr:uid="{00000000-0005-0000-0000-000086590000}"/>
    <cellStyle name="货币 2 3 10 3 10" xfId="39389" xr:uid="{00000000-0005-0000-0000-00000D9A0000}"/>
    <cellStyle name="货币 2 3 10 3 11" xfId="39390" xr:uid="{00000000-0005-0000-0000-00000E9A0000}"/>
    <cellStyle name="货币 2 3 10 3 12" xfId="39391" xr:uid="{00000000-0005-0000-0000-00000F9A0000}"/>
    <cellStyle name="货币 2 3 10 3 2" xfId="39392" xr:uid="{00000000-0005-0000-0000-0000109A0000}"/>
    <cellStyle name="货币 2 3 10 3 2 2" xfId="39393" xr:uid="{00000000-0005-0000-0000-0000119A0000}"/>
    <cellStyle name="货币 2 3 10 3 2 2 2" xfId="39394" xr:uid="{00000000-0005-0000-0000-0000129A0000}"/>
    <cellStyle name="货币 2 3 10 3 2 3" xfId="39395" xr:uid="{00000000-0005-0000-0000-0000139A0000}"/>
    <cellStyle name="货币 2 3 10 3 2 4" xfId="39396" xr:uid="{00000000-0005-0000-0000-0000149A0000}"/>
    <cellStyle name="货币 2 3 10 3 2 5" xfId="39397" xr:uid="{00000000-0005-0000-0000-0000159A0000}"/>
    <cellStyle name="货币 2 3 10 3 3" xfId="39398" xr:uid="{00000000-0005-0000-0000-0000169A0000}"/>
    <cellStyle name="货币 2 3 10 3 3 2" xfId="39399" xr:uid="{00000000-0005-0000-0000-0000179A0000}"/>
    <cellStyle name="货币 2 3 10 3 4" xfId="39400" xr:uid="{00000000-0005-0000-0000-0000189A0000}"/>
    <cellStyle name="货币 2 3 10 3 5" xfId="39401" xr:uid="{00000000-0005-0000-0000-0000199A0000}"/>
    <cellStyle name="货币 2 3 10 3 6" xfId="39402" xr:uid="{00000000-0005-0000-0000-00001A9A0000}"/>
    <cellStyle name="货币 2 3 10 3 7" xfId="39403" xr:uid="{00000000-0005-0000-0000-00001B9A0000}"/>
    <cellStyle name="货币 2 3 10 3 8" xfId="8961" xr:uid="{00000000-0005-0000-0000-000031230000}"/>
    <cellStyle name="货币 2 3 10 3 9" xfId="39404" xr:uid="{00000000-0005-0000-0000-00001C9A0000}"/>
    <cellStyle name="货币 2 3 10 4" xfId="20539" xr:uid="{00000000-0005-0000-0000-00006B500000}"/>
    <cellStyle name="货币 2 3 10 4 10" xfId="39405" xr:uid="{00000000-0005-0000-0000-00001D9A0000}"/>
    <cellStyle name="货币 2 3 10 4 11" xfId="39406" xr:uid="{00000000-0005-0000-0000-00001E9A0000}"/>
    <cellStyle name="货币 2 3 10 4 2" xfId="23642" xr:uid="{00000000-0005-0000-0000-00008A5C0000}"/>
    <cellStyle name="货币 2 3 10 4 2 2" xfId="23645" xr:uid="{00000000-0005-0000-0000-00008D5C0000}"/>
    <cellStyle name="货币 2 3 10 4 2 2 2" xfId="39407" xr:uid="{00000000-0005-0000-0000-00001F9A0000}"/>
    <cellStyle name="货币 2 3 10 4 2 3" xfId="38255" xr:uid="{00000000-0005-0000-0000-00009F950000}"/>
    <cellStyle name="货币 2 3 10 4 2 4" xfId="21126" xr:uid="{00000000-0005-0000-0000-0000B6520000}"/>
    <cellStyle name="货币 2 3 10 4 2 5" xfId="38257" xr:uid="{00000000-0005-0000-0000-0000A1950000}"/>
    <cellStyle name="货币 2 3 10 4 3" xfId="23652" xr:uid="{00000000-0005-0000-0000-0000945C0000}"/>
    <cellStyle name="货币 2 3 10 4 3 2" xfId="23044" xr:uid="{00000000-0005-0000-0000-0000345A0000}"/>
    <cellStyle name="货币 2 3 10 4 4" xfId="23659" xr:uid="{00000000-0005-0000-0000-00009B5C0000}"/>
    <cellStyle name="货币 2 3 10 4 5" xfId="39409" xr:uid="{00000000-0005-0000-0000-0000219A0000}"/>
    <cellStyle name="货币 2 3 10 4 6" xfId="39411" xr:uid="{00000000-0005-0000-0000-0000239A0000}"/>
    <cellStyle name="货币 2 3 10 4 7" xfId="39413" xr:uid="{00000000-0005-0000-0000-0000259A0000}"/>
    <cellStyle name="货币 2 3 10 4 8" xfId="39415" xr:uid="{00000000-0005-0000-0000-0000279A0000}"/>
    <cellStyle name="货币 2 3 10 4 9" xfId="39416" xr:uid="{00000000-0005-0000-0000-0000289A0000}"/>
    <cellStyle name="货币 2 3 10 5" xfId="20548" xr:uid="{00000000-0005-0000-0000-000074500000}"/>
    <cellStyle name="货币 2 3 10 5 10" xfId="11428" xr:uid="{00000000-0005-0000-0000-0000D42C0000}"/>
    <cellStyle name="货币 2 3 10 5 2" xfId="39418" xr:uid="{00000000-0005-0000-0000-00002A9A0000}"/>
    <cellStyle name="货币 2 3 10 5 2 2" xfId="38357" xr:uid="{00000000-0005-0000-0000-000005960000}"/>
    <cellStyle name="货币 2 3 10 5 2 2 2" xfId="39419" xr:uid="{00000000-0005-0000-0000-00002B9A0000}"/>
    <cellStyle name="货币 2 3 10 5 2 3" xfId="38359" xr:uid="{00000000-0005-0000-0000-000007960000}"/>
    <cellStyle name="货币 2 3 10 5 2 4" xfId="38361" xr:uid="{00000000-0005-0000-0000-000009960000}"/>
    <cellStyle name="货币 2 3 10 5 2 5" xfId="38363" xr:uid="{00000000-0005-0000-0000-00000B960000}"/>
    <cellStyle name="货币 2 3 10 5 3" xfId="39421" xr:uid="{00000000-0005-0000-0000-00002D9A0000}"/>
    <cellStyle name="货币 2 3 10 5 3 2" xfId="35999" xr:uid="{00000000-0005-0000-0000-0000CF8C0000}"/>
    <cellStyle name="货币 2 3 10 5 4" xfId="19983" xr:uid="{00000000-0005-0000-0000-00003F4E0000}"/>
    <cellStyle name="货币 2 3 10 5 5" xfId="19986" xr:uid="{00000000-0005-0000-0000-0000424E0000}"/>
    <cellStyle name="货币 2 3 10 5 6" xfId="19989" xr:uid="{00000000-0005-0000-0000-0000454E0000}"/>
    <cellStyle name="货币 2 3 10 5 7" xfId="19992" xr:uid="{00000000-0005-0000-0000-0000484E0000}"/>
    <cellStyle name="货币 2 3 10 5 8" xfId="39422" xr:uid="{00000000-0005-0000-0000-00002E9A0000}"/>
    <cellStyle name="货币 2 3 10 5 9" xfId="39423" xr:uid="{00000000-0005-0000-0000-00002F9A0000}"/>
    <cellStyle name="货币 2 3 10 6" xfId="20552" xr:uid="{00000000-0005-0000-0000-000078500000}"/>
    <cellStyle name="货币 2 3 10 6 2" xfId="39425" xr:uid="{00000000-0005-0000-0000-0000319A0000}"/>
    <cellStyle name="货币 2 3 10 6 2 2" xfId="38501" xr:uid="{00000000-0005-0000-0000-000095960000}"/>
    <cellStyle name="货币 2 3 10 6 3" xfId="39427" xr:uid="{00000000-0005-0000-0000-0000339A0000}"/>
    <cellStyle name="货币 2 3 10 6 4" xfId="20002" xr:uid="{00000000-0005-0000-0000-0000524E0000}"/>
    <cellStyle name="货币 2 3 10 6 5" xfId="39429" xr:uid="{00000000-0005-0000-0000-0000359A0000}"/>
    <cellStyle name="货币 2 3 10 6 6" xfId="39430" xr:uid="{00000000-0005-0000-0000-0000369A0000}"/>
    <cellStyle name="货币 2 3 10 6 7" xfId="39431" xr:uid="{00000000-0005-0000-0000-0000379A0000}"/>
    <cellStyle name="货币 2 3 10 6 8" xfId="39432" xr:uid="{00000000-0005-0000-0000-0000389A0000}"/>
    <cellStyle name="货币 2 3 10 6 9" xfId="39433" xr:uid="{00000000-0005-0000-0000-0000399A0000}"/>
    <cellStyle name="货币 2 3 10 7" xfId="14666" xr:uid="{00000000-0005-0000-0000-00007A390000}"/>
    <cellStyle name="货币 2 3 10 7 2" xfId="9134" xr:uid="{00000000-0005-0000-0000-0000DE230000}"/>
    <cellStyle name="货币 2 3 10 7 3" xfId="9145" xr:uid="{00000000-0005-0000-0000-0000E9230000}"/>
    <cellStyle name="货币 2 3 10 7 4" xfId="9151" xr:uid="{00000000-0005-0000-0000-0000EF230000}"/>
    <cellStyle name="货币 2 3 10 7 5" xfId="9154" xr:uid="{00000000-0005-0000-0000-0000F2230000}"/>
    <cellStyle name="货币 2 3 10 7 6" xfId="39434" xr:uid="{00000000-0005-0000-0000-00003A9A0000}"/>
    <cellStyle name="货币 2 3 10 8" xfId="20558" xr:uid="{00000000-0005-0000-0000-00007E500000}"/>
    <cellStyle name="货币 2 3 10 9" xfId="20567" xr:uid="{00000000-0005-0000-0000-000087500000}"/>
    <cellStyle name="货币 2 3 11" xfId="39435" xr:uid="{00000000-0005-0000-0000-00003B9A0000}"/>
    <cellStyle name="货币 2 3 11 10" xfId="17019" xr:uid="{00000000-0005-0000-0000-0000AB420000}"/>
    <cellStyle name="货币 2 3 11 11" xfId="17026" xr:uid="{00000000-0005-0000-0000-0000B2420000}"/>
    <cellStyle name="货币 2 3 11 12" xfId="17032" xr:uid="{00000000-0005-0000-0000-0000B8420000}"/>
    <cellStyle name="货币 2 3 11 13" xfId="17037" xr:uid="{00000000-0005-0000-0000-0000BD420000}"/>
    <cellStyle name="货币 2 3 11 14" xfId="17042" xr:uid="{00000000-0005-0000-0000-0000C2420000}"/>
    <cellStyle name="货币 2 3 11 15" xfId="15081" xr:uid="{00000000-0005-0000-0000-0000193B0000}"/>
    <cellStyle name="货币 2 3 11 16" xfId="33543" xr:uid="{00000000-0005-0000-0000-000037830000}"/>
    <cellStyle name="货币 2 3 11 17" xfId="39436" xr:uid="{00000000-0005-0000-0000-00003C9A0000}"/>
    <cellStyle name="货币 2 3 11 18" xfId="39437" xr:uid="{00000000-0005-0000-0000-00003D9A0000}"/>
    <cellStyle name="货币 2 3 11 2" xfId="39438" xr:uid="{00000000-0005-0000-0000-00003E9A0000}"/>
    <cellStyle name="货币 2 3 11 2 10" xfId="39439" xr:uid="{00000000-0005-0000-0000-00003F9A0000}"/>
    <cellStyle name="货币 2 3 11 2 2" xfId="39440" xr:uid="{00000000-0005-0000-0000-0000409A0000}"/>
    <cellStyle name="货币 2 3 11 2 2 2" xfId="39441" xr:uid="{00000000-0005-0000-0000-0000419A0000}"/>
    <cellStyle name="货币 2 3 11 2 3" xfId="39442" xr:uid="{00000000-0005-0000-0000-0000429A0000}"/>
    <cellStyle name="货币 2 3 11 2 4" xfId="39443" xr:uid="{00000000-0005-0000-0000-0000439A0000}"/>
    <cellStyle name="货币 2 3 11 2 5" xfId="39444" xr:uid="{00000000-0005-0000-0000-0000449A0000}"/>
    <cellStyle name="货币 2 3 11 2 6" xfId="39445" xr:uid="{00000000-0005-0000-0000-0000459A0000}"/>
    <cellStyle name="货币 2 3 11 2 7" xfId="39446" xr:uid="{00000000-0005-0000-0000-0000469A0000}"/>
    <cellStyle name="货币 2 3 11 2 8" xfId="30132" xr:uid="{00000000-0005-0000-0000-0000E4750000}"/>
    <cellStyle name="货币 2 3 11 2 9" xfId="30135" xr:uid="{00000000-0005-0000-0000-0000E7750000}"/>
    <cellStyle name="货币 2 3 11 3" xfId="29751" xr:uid="{00000000-0005-0000-0000-000067740000}"/>
    <cellStyle name="货币 2 3 11 3 2" xfId="39447" xr:uid="{00000000-0005-0000-0000-0000479A0000}"/>
    <cellStyle name="货币 2 3 11 3 3" xfId="39448" xr:uid="{00000000-0005-0000-0000-0000489A0000}"/>
    <cellStyle name="货币 2 3 11 3 4" xfId="39449" xr:uid="{00000000-0005-0000-0000-0000499A0000}"/>
    <cellStyle name="货币 2 3 11 3 5" xfId="39450" xr:uid="{00000000-0005-0000-0000-00004A9A0000}"/>
    <cellStyle name="货币 2 3 11 3 6" xfId="39451" xr:uid="{00000000-0005-0000-0000-00004B9A0000}"/>
    <cellStyle name="货币 2 3 11 4" xfId="39452" xr:uid="{00000000-0005-0000-0000-00004C9A0000}"/>
    <cellStyle name="货币 2 3 11 4 2" xfId="39454" xr:uid="{00000000-0005-0000-0000-00004E9A0000}"/>
    <cellStyle name="货币 2 3 11 4 3" xfId="39456" xr:uid="{00000000-0005-0000-0000-0000509A0000}"/>
    <cellStyle name="货币 2 3 11 4 4" xfId="39458" xr:uid="{00000000-0005-0000-0000-0000529A0000}"/>
    <cellStyle name="货币 2 3 11 4 5" xfId="39459" xr:uid="{00000000-0005-0000-0000-0000539A0000}"/>
    <cellStyle name="货币 2 3 11 4 6" xfId="39460" xr:uid="{00000000-0005-0000-0000-0000549A0000}"/>
    <cellStyle name="货币 2 3 11 5" xfId="39461" xr:uid="{00000000-0005-0000-0000-0000559A0000}"/>
    <cellStyle name="货币 2 3 11 5 2" xfId="39462" xr:uid="{00000000-0005-0000-0000-0000569A0000}"/>
    <cellStyle name="货币 2 3 11 5 3" xfId="39463" xr:uid="{00000000-0005-0000-0000-0000579A0000}"/>
    <cellStyle name="货币 2 3 11 5 4" xfId="20035" xr:uid="{00000000-0005-0000-0000-0000734E0000}"/>
    <cellStyle name="货币 2 3 11 5 5" xfId="39464" xr:uid="{00000000-0005-0000-0000-0000589A0000}"/>
    <cellStyle name="货币 2 3 11 5 6" xfId="39465" xr:uid="{00000000-0005-0000-0000-0000599A0000}"/>
    <cellStyle name="货币 2 3 11 6" xfId="39466" xr:uid="{00000000-0005-0000-0000-00005A9A0000}"/>
    <cellStyle name="货币 2 3 11 6 2" xfId="39467" xr:uid="{00000000-0005-0000-0000-00005B9A0000}"/>
    <cellStyle name="货币 2 3 11 6 3" xfId="39468" xr:uid="{00000000-0005-0000-0000-00005C9A0000}"/>
    <cellStyle name="货币 2 3 11 6 4" xfId="39469" xr:uid="{00000000-0005-0000-0000-00005D9A0000}"/>
    <cellStyle name="货币 2 3 11 6 5" xfId="39470" xr:uid="{00000000-0005-0000-0000-00005E9A0000}"/>
    <cellStyle name="货币 2 3 11 6 6" xfId="39471" xr:uid="{00000000-0005-0000-0000-00005F9A0000}"/>
    <cellStyle name="货币 2 3 11 7" xfId="23707" xr:uid="{00000000-0005-0000-0000-0000CB5C0000}"/>
    <cellStyle name="货币 2 3 11 8" xfId="23711" xr:uid="{00000000-0005-0000-0000-0000CF5C0000}"/>
    <cellStyle name="货币 2 3 11 9" xfId="23714" xr:uid="{00000000-0005-0000-0000-0000D25C0000}"/>
    <cellStyle name="货币 2 3 12" xfId="39472" xr:uid="{00000000-0005-0000-0000-0000609A0000}"/>
    <cellStyle name="货币 2 3 12 10" xfId="39473" xr:uid="{00000000-0005-0000-0000-0000619A0000}"/>
    <cellStyle name="货币 2 3 12 11" xfId="39474" xr:uid="{00000000-0005-0000-0000-0000629A0000}"/>
    <cellStyle name="货币 2 3 12 12" xfId="39475" xr:uid="{00000000-0005-0000-0000-0000639A0000}"/>
    <cellStyle name="货币 2 3 12 13" xfId="39476" xr:uid="{00000000-0005-0000-0000-0000649A0000}"/>
    <cellStyle name="货币 2 3 12 14" xfId="39477" xr:uid="{00000000-0005-0000-0000-0000659A0000}"/>
    <cellStyle name="货币 2 3 12 15" xfId="39478" xr:uid="{00000000-0005-0000-0000-0000669A0000}"/>
    <cellStyle name="货币 2 3 12 16" xfId="39479" xr:uid="{00000000-0005-0000-0000-0000679A0000}"/>
    <cellStyle name="货币 2 3 12 17" xfId="39480" xr:uid="{00000000-0005-0000-0000-0000689A0000}"/>
    <cellStyle name="货币 2 3 12 18" xfId="39481" xr:uid="{00000000-0005-0000-0000-0000699A0000}"/>
    <cellStyle name="货币 2 3 12 2" xfId="38445" xr:uid="{00000000-0005-0000-0000-00005D960000}"/>
    <cellStyle name="货币 2 3 12 2 10" xfId="39482" xr:uid="{00000000-0005-0000-0000-00006A9A0000}"/>
    <cellStyle name="货币 2 3 12 2 2" xfId="39483" xr:uid="{00000000-0005-0000-0000-00006B9A0000}"/>
    <cellStyle name="货币 2 3 12 2 2 2" xfId="39484" xr:uid="{00000000-0005-0000-0000-00006C9A0000}"/>
    <cellStyle name="货币 2 3 12 2 3" xfId="39485" xr:uid="{00000000-0005-0000-0000-00006D9A0000}"/>
    <cellStyle name="货币 2 3 12 2 4" xfId="39486" xr:uid="{00000000-0005-0000-0000-00006E9A0000}"/>
    <cellStyle name="货币 2 3 12 2 5" xfId="39487" xr:uid="{00000000-0005-0000-0000-00006F9A0000}"/>
    <cellStyle name="货币 2 3 12 2 6" xfId="39488" xr:uid="{00000000-0005-0000-0000-0000709A0000}"/>
    <cellStyle name="货币 2 3 12 2 7" xfId="39489" xr:uid="{00000000-0005-0000-0000-0000719A0000}"/>
    <cellStyle name="货币 2 3 12 2 8" xfId="27496" xr:uid="{00000000-0005-0000-0000-0000986B0000}"/>
    <cellStyle name="货币 2 3 12 2 9" xfId="27503" xr:uid="{00000000-0005-0000-0000-00009F6B0000}"/>
    <cellStyle name="货币 2 3 12 3" xfId="31943" xr:uid="{00000000-0005-0000-0000-0000F77C0000}"/>
    <cellStyle name="货币 2 3 12 3 2" xfId="39490" xr:uid="{00000000-0005-0000-0000-0000729A0000}"/>
    <cellStyle name="货币 2 3 12 3 3" xfId="39491" xr:uid="{00000000-0005-0000-0000-0000739A0000}"/>
    <cellStyle name="货币 2 3 12 3 4" xfId="5813" xr:uid="{00000000-0005-0000-0000-0000E5160000}"/>
    <cellStyle name="货币 2 3 12 3 5" xfId="39492" xr:uid="{00000000-0005-0000-0000-0000749A0000}"/>
    <cellStyle name="货币 2 3 12 3 6" xfId="39493" xr:uid="{00000000-0005-0000-0000-0000759A0000}"/>
    <cellStyle name="货币 2 3 12 4" xfId="23722" xr:uid="{00000000-0005-0000-0000-0000DA5C0000}"/>
    <cellStyle name="货币 2 3 12 4 2" xfId="23726" xr:uid="{00000000-0005-0000-0000-0000DE5C0000}"/>
    <cellStyle name="货币 2 3 12 4 3" xfId="35395" xr:uid="{00000000-0005-0000-0000-0000738A0000}"/>
    <cellStyle name="货币 2 3 12 4 4" xfId="35399" xr:uid="{00000000-0005-0000-0000-0000778A0000}"/>
    <cellStyle name="货币 2 3 12 4 5" xfId="39494" xr:uid="{00000000-0005-0000-0000-0000769A0000}"/>
    <cellStyle name="货币 2 3 12 4 6" xfId="39495" xr:uid="{00000000-0005-0000-0000-0000779A0000}"/>
    <cellStyle name="货币 2 3 12 5" xfId="39496" xr:uid="{00000000-0005-0000-0000-0000789A0000}"/>
    <cellStyle name="货币 2 3 12 5 2" xfId="39497" xr:uid="{00000000-0005-0000-0000-0000799A0000}"/>
    <cellStyle name="货币 2 3 12 5 3" xfId="39499" xr:uid="{00000000-0005-0000-0000-00007B9A0000}"/>
    <cellStyle name="货币 2 3 12 5 4" xfId="39501" xr:uid="{00000000-0005-0000-0000-00007D9A0000}"/>
    <cellStyle name="货币 2 3 12 5 5" xfId="39503" xr:uid="{00000000-0005-0000-0000-00007F9A0000}"/>
    <cellStyle name="货币 2 3 12 5 6" xfId="39505" xr:uid="{00000000-0005-0000-0000-0000819A0000}"/>
    <cellStyle name="货币 2 3 12 6" xfId="39506" xr:uid="{00000000-0005-0000-0000-0000829A0000}"/>
    <cellStyle name="货币 2 3 12 6 2" xfId="39507" xr:uid="{00000000-0005-0000-0000-0000839A0000}"/>
    <cellStyle name="货币 2 3 12 6 3" xfId="39508" xr:uid="{00000000-0005-0000-0000-0000849A0000}"/>
    <cellStyle name="货币 2 3 12 6 4" xfId="39509" xr:uid="{00000000-0005-0000-0000-0000859A0000}"/>
    <cellStyle name="货币 2 3 12 6 5" xfId="39510" xr:uid="{00000000-0005-0000-0000-0000869A0000}"/>
    <cellStyle name="货币 2 3 12 6 6" xfId="39511" xr:uid="{00000000-0005-0000-0000-0000879A0000}"/>
    <cellStyle name="货币 2 3 12 7" xfId="23732" xr:uid="{00000000-0005-0000-0000-0000E45C0000}"/>
    <cellStyle name="货币 2 3 12 8" xfId="23235" xr:uid="{00000000-0005-0000-0000-0000F35A0000}"/>
    <cellStyle name="货币 2 3 12 9" xfId="23735" xr:uid="{00000000-0005-0000-0000-0000E75C0000}"/>
    <cellStyle name="货币 2 3 13" xfId="870" xr:uid="{00000000-0005-0000-0000-000096030000}"/>
    <cellStyle name="货币 2 3 13 10" xfId="39512" xr:uid="{00000000-0005-0000-0000-0000889A0000}"/>
    <cellStyle name="货币 2 3 13 11" xfId="39513" xr:uid="{00000000-0005-0000-0000-0000899A0000}"/>
    <cellStyle name="货币 2 3 13 12" xfId="39514" xr:uid="{00000000-0005-0000-0000-00008A9A0000}"/>
    <cellStyle name="货币 2 3 13 13" xfId="39515" xr:uid="{00000000-0005-0000-0000-00008B9A0000}"/>
    <cellStyle name="货币 2 3 13 14" xfId="39516" xr:uid="{00000000-0005-0000-0000-00008C9A0000}"/>
    <cellStyle name="货币 2 3 13 15" xfId="39517" xr:uid="{00000000-0005-0000-0000-00008D9A0000}"/>
    <cellStyle name="货币 2 3 13 2" xfId="39518" xr:uid="{00000000-0005-0000-0000-00008E9A0000}"/>
    <cellStyle name="货币 2 3 13 2 2" xfId="39519" xr:uid="{00000000-0005-0000-0000-00008F9A0000}"/>
    <cellStyle name="货币 2 3 13 2 2 2" xfId="39520" xr:uid="{00000000-0005-0000-0000-0000909A0000}"/>
    <cellStyle name="货币 2 3 13 2 3" xfId="39363" xr:uid="{00000000-0005-0000-0000-0000F3990000}"/>
    <cellStyle name="货币 2 3 13 2 4" xfId="39365" xr:uid="{00000000-0005-0000-0000-0000F5990000}"/>
    <cellStyle name="货币 2 3 13 2 5" xfId="39367" xr:uid="{00000000-0005-0000-0000-0000F7990000}"/>
    <cellStyle name="货币 2 3 13 2 6" xfId="39369" xr:uid="{00000000-0005-0000-0000-0000F9990000}"/>
    <cellStyle name="货币 2 3 13 2 7" xfId="39371" xr:uid="{00000000-0005-0000-0000-0000FB990000}"/>
    <cellStyle name="货币 2 3 13 2 8" xfId="27524" xr:uid="{00000000-0005-0000-0000-0000B46B0000}"/>
    <cellStyle name="货币 2 3 13 2 9" xfId="27530" xr:uid="{00000000-0005-0000-0000-0000BA6B0000}"/>
    <cellStyle name="货币 2 3 13 3" xfId="31946" xr:uid="{00000000-0005-0000-0000-0000FA7C0000}"/>
    <cellStyle name="货币 2 3 13 3 2" xfId="39521" xr:uid="{00000000-0005-0000-0000-0000919A0000}"/>
    <cellStyle name="货币 2 3 13 3 3" xfId="39373" xr:uid="{00000000-0005-0000-0000-0000FD990000}"/>
    <cellStyle name="货币 2 3 13 3 4" xfId="39375" xr:uid="{00000000-0005-0000-0000-0000FF990000}"/>
    <cellStyle name="货币 2 3 13 3 5" xfId="39377" xr:uid="{00000000-0005-0000-0000-0000019A0000}"/>
    <cellStyle name="货币 2 3 13 3 6" xfId="17116" xr:uid="{00000000-0005-0000-0000-00000C430000}"/>
    <cellStyle name="货币 2 3 13 4" xfId="39522" xr:uid="{00000000-0005-0000-0000-0000929A0000}"/>
    <cellStyle name="货币 2 3 13 4 2" xfId="39524" xr:uid="{00000000-0005-0000-0000-0000949A0000}"/>
    <cellStyle name="货币 2 3 13 5" xfId="39525" xr:uid="{00000000-0005-0000-0000-0000959A0000}"/>
    <cellStyle name="货币 2 3 13 6" xfId="39526" xr:uid="{00000000-0005-0000-0000-0000969A0000}"/>
    <cellStyle name="货币 2 3 13 7" xfId="23744" xr:uid="{00000000-0005-0000-0000-0000F05C0000}"/>
    <cellStyle name="货币 2 3 13 8" xfId="23747" xr:uid="{00000000-0005-0000-0000-0000F35C0000}"/>
    <cellStyle name="货币 2 3 13 9" xfId="32811" xr:uid="{00000000-0005-0000-0000-00005B800000}"/>
    <cellStyle name="货币 2 3 14" xfId="39527" xr:uid="{00000000-0005-0000-0000-0000979A0000}"/>
    <cellStyle name="货币 2 3 14 10" xfId="27911" xr:uid="{00000000-0005-0000-0000-0000376D0000}"/>
    <cellStyle name="货币 2 3 14 11" xfId="27913" xr:uid="{00000000-0005-0000-0000-0000396D0000}"/>
    <cellStyle name="货币 2 3 14 12" xfId="27916" xr:uid="{00000000-0005-0000-0000-00003C6D0000}"/>
    <cellStyle name="货币 2 3 14 13" xfId="27918" xr:uid="{00000000-0005-0000-0000-00003E6D0000}"/>
    <cellStyle name="货币 2 3 14 14" xfId="27920" xr:uid="{00000000-0005-0000-0000-0000406D0000}"/>
    <cellStyle name="货币 2 3 14 2" xfId="39528" xr:uid="{00000000-0005-0000-0000-0000989A0000}"/>
    <cellStyle name="货币 2 3 14 2 2" xfId="27931" xr:uid="{00000000-0005-0000-0000-00004B6D0000}"/>
    <cellStyle name="货币 2 3 14 2 2 2" xfId="39529" xr:uid="{00000000-0005-0000-0000-0000999A0000}"/>
    <cellStyle name="货币 2 3 14 2 3" xfId="27933" xr:uid="{00000000-0005-0000-0000-00004D6D0000}"/>
    <cellStyle name="货币 2 3 14 2 4" xfId="27935" xr:uid="{00000000-0005-0000-0000-00004F6D0000}"/>
    <cellStyle name="货币 2 3 14 2 5" xfId="39530" xr:uid="{00000000-0005-0000-0000-00009A9A0000}"/>
    <cellStyle name="货币 2 3 14 2 6" xfId="39531" xr:uid="{00000000-0005-0000-0000-00009B9A0000}"/>
    <cellStyle name="货币 2 3 14 2 7" xfId="39532" xr:uid="{00000000-0005-0000-0000-00009C9A0000}"/>
    <cellStyle name="货币 2 3 14 2 8" xfId="27553" xr:uid="{00000000-0005-0000-0000-0000D16B0000}"/>
    <cellStyle name="货币 2 3 14 2 9" xfId="27567" xr:uid="{00000000-0005-0000-0000-0000DF6B0000}"/>
    <cellStyle name="货币 2 3 14 3" xfId="31948" xr:uid="{00000000-0005-0000-0000-0000FC7C0000}"/>
    <cellStyle name="货币 2 3 14 3 2" xfId="27946" xr:uid="{00000000-0005-0000-0000-00005A6D0000}"/>
    <cellStyle name="货币 2 3 14 3 3" xfId="27948" xr:uid="{00000000-0005-0000-0000-00005C6D0000}"/>
    <cellStyle name="货币 2 3 14 3 4" xfId="27950" xr:uid="{00000000-0005-0000-0000-00005E6D0000}"/>
    <cellStyle name="货币 2 3 14 3 5" xfId="39533" xr:uid="{00000000-0005-0000-0000-00009D9A0000}"/>
    <cellStyle name="货币 2 3 14 3 6" xfId="39534" xr:uid="{00000000-0005-0000-0000-00009E9A0000}"/>
    <cellStyle name="货币 2 3 14 4" xfId="39535" xr:uid="{00000000-0005-0000-0000-00009F9A0000}"/>
    <cellStyle name="货币 2 3 14 4 2" xfId="27969" xr:uid="{00000000-0005-0000-0000-0000716D0000}"/>
    <cellStyle name="货币 2 3 14 5" xfId="39536" xr:uid="{00000000-0005-0000-0000-0000A09A0000}"/>
    <cellStyle name="货币 2 3 14 6" xfId="39537" xr:uid="{00000000-0005-0000-0000-0000A19A0000}"/>
    <cellStyle name="货币 2 3 14 7" xfId="18298" xr:uid="{00000000-0005-0000-0000-0000AA470000}"/>
    <cellStyle name="货币 2 3 14 8" xfId="18333" xr:uid="{00000000-0005-0000-0000-0000CD470000}"/>
    <cellStyle name="货币 2 3 14 9" xfId="18372" xr:uid="{00000000-0005-0000-0000-0000F4470000}"/>
    <cellStyle name="货币 2 3 15" xfId="39539" xr:uid="{00000000-0005-0000-0000-0000A39A0000}"/>
    <cellStyle name="货币 2 3 15 10" xfId="23126" xr:uid="{00000000-0005-0000-0000-0000865A0000}"/>
    <cellStyle name="货币 2 3 15 2" xfId="23051" xr:uid="{00000000-0005-0000-0000-00003B5A0000}"/>
    <cellStyle name="货币 2 3 15 2 2" xfId="11039" xr:uid="{00000000-0005-0000-0000-00004F2B0000}"/>
    <cellStyle name="货币 2 3 15 2 2 2" xfId="39540" xr:uid="{00000000-0005-0000-0000-0000A49A0000}"/>
    <cellStyle name="货币 2 3 15 2 3" xfId="11045" xr:uid="{00000000-0005-0000-0000-0000552B0000}"/>
    <cellStyle name="货币 2 3 15 2 4" xfId="11051" xr:uid="{00000000-0005-0000-0000-00005B2B0000}"/>
    <cellStyle name="货币 2 3 15 2 5" xfId="23053" xr:uid="{00000000-0005-0000-0000-00003D5A0000}"/>
    <cellStyle name="货币 2 3 15 3" xfId="23055" xr:uid="{00000000-0005-0000-0000-00003F5A0000}"/>
    <cellStyle name="货币 2 3 15 3 2" xfId="39541" xr:uid="{00000000-0005-0000-0000-0000A59A0000}"/>
    <cellStyle name="货币 2 3 15 4" xfId="20615" xr:uid="{00000000-0005-0000-0000-0000B7500000}"/>
    <cellStyle name="货币 2 3 15 5" xfId="20618" xr:uid="{00000000-0005-0000-0000-0000BA500000}"/>
    <cellStyle name="货币 2 3 15 6" xfId="20621" xr:uid="{00000000-0005-0000-0000-0000BD500000}"/>
    <cellStyle name="货币 2 3 15 7" xfId="18465" xr:uid="{00000000-0005-0000-0000-000051480000}"/>
    <cellStyle name="货币 2 3 15 8" xfId="18483" xr:uid="{00000000-0005-0000-0000-000063480000}"/>
    <cellStyle name="货币 2 3 15 9" xfId="18503" xr:uid="{00000000-0005-0000-0000-000077480000}"/>
    <cellStyle name="货币 2 3 16" xfId="39543" xr:uid="{00000000-0005-0000-0000-0000A79A0000}"/>
    <cellStyle name="货币 2 3 16 2" xfId="39544" xr:uid="{00000000-0005-0000-0000-0000A89A0000}"/>
    <cellStyle name="货币 2 3 16 2 2" xfId="28062" xr:uid="{00000000-0005-0000-0000-0000CE6D0000}"/>
    <cellStyle name="货币 2 3 16 3" xfId="39545" xr:uid="{00000000-0005-0000-0000-0000A99A0000}"/>
    <cellStyle name="货币 2 3 16 4" xfId="39546" xr:uid="{00000000-0005-0000-0000-0000AA9A0000}"/>
    <cellStyle name="货币 2 3 16 5" xfId="39547" xr:uid="{00000000-0005-0000-0000-0000AB9A0000}"/>
    <cellStyle name="货币 2 3 16 6" xfId="39548" xr:uid="{00000000-0005-0000-0000-0000AC9A0000}"/>
    <cellStyle name="货币 2 3 16 7" xfId="39549" xr:uid="{00000000-0005-0000-0000-0000AD9A0000}"/>
    <cellStyle name="货币 2 3 16 8" xfId="39550" xr:uid="{00000000-0005-0000-0000-0000AE9A0000}"/>
    <cellStyle name="货币 2 3 16 9" xfId="39552" xr:uid="{00000000-0005-0000-0000-0000B09A0000}"/>
    <cellStyle name="货币 2 3 17" xfId="39554" xr:uid="{00000000-0005-0000-0000-0000B29A0000}"/>
    <cellStyle name="货币 2 3 17 2" xfId="39555" xr:uid="{00000000-0005-0000-0000-0000B39A0000}"/>
    <cellStyle name="货币 2 3 17 2 2" xfId="580" xr:uid="{00000000-0005-0000-0000-00006C020000}"/>
    <cellStyle name="货币 2 3 17 3" xfId="39556" xr:uid="{00000000-0005-0000-0000-0000B49A0000}"/>
    <cellStyle name="货币 2 3 17 4" xfId="39557" xr:uid="{00000000-0005-0000-0000-0000B59A0000}"/>
    <cellStyle name="货币 2 3 17 5" xfId="39558" xr:uid="{00000000-0005-0000-0000-0000B69A0000}"/>
    <cellStyle name="货币 2 3 17 6" xfId="39559" xr:uid="{00000000-0005-0000-0000-0000B79A0000}"/>
    <cellStyle name="货币 2 3 17 7" xfId="39560" xr:uid="{00000000-0005-0000-0000-0000B89A0000}"/>
    <cellStyle name="货币 2 3 17 8" xfId="39562" xr:uid="{00000000-0005-0000-0000-0000BA9A0000}"/>
    <cellStyle name="货币 2 3 17 9" xfId="39564" xr:uid="{00000000-0005-0000-0000-0000BC9A0000}"/>
    <cellStyle name="货币 2 3 18" xfId="39566" xr:uid="{00000000-0005-0000-0000-0000BE9A0000}"/>
    <cellStyle name="货币 2 3 18 2" xfId="34371" xr:uid="{00000000-0005-0000-0000-000073860000}"/>
    <cellStyle name="货币 2 3 18 3" xfId="39567" xr:uid="{00000000-0005-0000-0000-0000BF9A0000}"/>
    <cellStyle name="货币 2 3 18 4" xfId="34303" xr:uid="{00000000-0005-0000-0000-00002F860000}"/>
    <cellStyle name="货币 2 3 18 5" xfId="34306" xr:uid="{00000000-0005-0000-0000-000032860000}"/>
    <cellStyle name="货币 2 3 18 6" xfId="25265" xr:uid="{00000000-0005-0000-0000-0000E1620000}"/>
    <cellStyle name="货币 2 3 19" xfId="39569" xr:uid="{00000000-0005-0000-0000-0000C19A0000}"/>
    <cellStyle name="货币 2 3 19 2" xfId="39570" xr:uid="{00000000-0005-0000-0000-0000C29A0000}"/>
    <cellStyle name="货币 2 3 19 3" xfId="39571" xr:uid="{00000000-0005-0000-0000-0000C39A0000}"/>
    <cellStyle name="货币 2 3 19 4" xfId="34309" xr:uid="{00000000-0005-0000-0000-000035860000}"/>
    <cellStyle name="货币 2 3 19 5" xfId="39572" xr:uid="{00000000-0005-0000-0000-0000C49A0000}"/>
    <cellStyle name="货币 2 3 19 6" xfId="39573" xr:uid="{00000000-0005-0000-0000-0000C59A0000}"/>
    <cellStyle name="货币 2 3 2" xfId="39574" xr:uid="{00000000-0005-0000-0000-0000C69A0000}"/>
    <cellStyle name="货币 2 3 2 10" xfId="28113" xr:uid="{00000000-0005-0000-0000-0000016E0000}"/>
    <cellStyle name="货币 2 3 2 10 10" xfId="39575" xr:uid="{00000000-0005-0000-0000-0000C79A0000}"/>
    <cellStyle name="货币 2 3 2 10 11" xfId="39576" xr:uid="{00000000-0005-0000-0000-0000C89A0000}"/>
    <cellStyle name="货币 2 3 2 10 12" xfId="39577" xr:uid="{00000000-0005-0000-0000-0000C99A0000}"/>
    <cellStyle name="货币 2 3 2 10 13" xfId="39578" xr:uid="{00000000-0005-0000-0000-0000CA9A0000}"/>
    <cellStyle name="货币 2 3 2 10 14" xfId="39579" xr:uid="{00000000-0005-0000-0000-0000CB9A0000}"/>
    <cellStyle name="货币 2 3 2 10 15" xfId="39580" xr:uid="{00000000-0005-0000-0000-0000CC9A0000}"/>
    <cellStyle name="货币 2 3 2 10 2" xfId="39581" xr:uid="{00000000-0005-0000-0000-0000CD9A0000}"/>
    <cellStyle name="货币 2 3 2 10 2 2" xfId="665" xr:uid="{00000000-0005-0000-0000-0000C9020000}"/>
    <cellStyle name="货币 2 3 2 10 2 2 2" xfId="680" xr:uid="{00000000-0005-0000-0000-0000D8020000}"/>
    <cellStyle name="货币 2 3 2 10 2 3" xfId="690" xr:uid="{00000000-0005-0000-0000-0000E2020000}"/>
    <cellStyle name="货币 2 3 2 10 2 4" xfId="157" xr:uid="{00000000-0005-0000-0000-0000A9000000}"/>
    <cellStyle name="货币 2 3 2 10 2 5" xfId="704" xr:uid="{00000000-0005-0000-0000-0000F0020000}"/>
    <cellStyle name="货币 2 3 2 10 2 6" xfId="11387" xr:uid="{00000000-0005-0000-0000-0000AB2C0000}"/>
    <cellStyle name="货币 2 3 2 10 2 7" xfId="39582" xr:uid="{00000000-0005-0000-0000-0000CE9A0000}"/>
    <cellStyle name="货币 2 3 2 10 2 8" xfId="39583" xr:uid="{00000000-0005-0000-0000-0000CF9A0000}"/>
    <cellStyle name="货币 2 3 2 10 2 9" xfId="39584" xr:uid="{00000000-0005-0000-0000-0000D09A0000}"/>
    <cellStyle name="货币 2 3 2 10 3" xfId="32217" xr:uid="{00000000-0005-0000-0000-0000097E0000}"/>
    <cellStyle name="货币 2 3 2 10 3 2" xfId="385" xr:uid="{00000000-0005-0000-0000-00009A010000}"/>
    <cellStyle name="货币 2 3 2 10 3 3" xfId="1260" xr:uid="{00000000-0005-0000-0000-00001C050000}"/>
    <cellStyle name="货币 2 3 2 10 3 4" xfId="1272" xr:uid="{00000000-0005-0000-0000-000028050000}"/>
    <cellStyle name="货币 2 3 2 10 3 5" xfId="1283" xr:uid="{00000000-0005-0000-0000-000033050000}"/>
    <cellStyle name="货币 2 3 2 10 3 6" xfId="1302" xr:uid="{00000000-0005-0000-0000-000046050000}"/>
    <cellStyle name="货币 2 3 2 10 4" xfId="39587" xr:uid="{00000000-0005-0000-0000-0000D39A0000}"/>
    <cellStyle name="货币 2 3 2 10 4 2" xfId="1373" xr:uid="{00000000-0005-0000-0000-00008D050000}"/>
    <cellStyle name="货币 2 3 2 10 5" xfId="39590" xr:uid="{00000000-0005-0000-0000-0000D69A0000}"/>
    <cellStyle name="货币 2 3 2 10 6" xfId="39593" xr:uid="{00000000-0005-0000-0000-0000D99A0000}"/>
    <cellStyle name="货币 2 3 2 10 7" xfId="11415" xr:uid="{00000000-0005-0000-0000-0000C72C0000}"/>
    <cellStyle name="货币 2 3 2 10 8" xfId="39596" xr:uid="{00000000-0005-0000-0000-0000DC9A0000}"/>
    <cellStyle name="货币 2 3 2 10 9" xfId="39599" xr:uid="{00000000-0005-0000-0000-0000DF9A0000}"/>
    <cellStyle name="货币 2 3 2 11" xfId="28116" xr:uid="{00000000-0005-0000-0000-0000046E0000}"/>
    <cellStyle name="货币 2 3 2 11 10" xfId="39600" xr:uid="{00000000-0005-0000-0000-0000E09A0000}"/>
    <cellStyle name="货币 2 3 2 11 11" xfId="16080" xr:uid="{00000000-0005-0000-0000-0000003F0000}"/>
    <cellStyle name="货币 2 3 2 11 12" xfId="16085" xr:uid="{00000000-0005-0000-0000-0000053F0000}"/>
    <cellStyle name="货币 2 3 2 11 13" xfId="16091" xr:uid="{00000000-0005-0000-0000-00000B3F0000}"/>
    <cellStyle name="货币 2 3 2 11 14" xfId="16097" xr:uid="{00000000-0005-0000-0000-0000113F0000}"/>
    <cellStyle name="货币 2 3 2 11 2" xfId="39601" xr:uid="{00000000-0005-0000-0000-0000E19A0000}"/>
    <cellStyle name="货币 2 3 2 11 2 2" xfId="1720" xr:uid="{00000000-0005-0000-0000-0000E8060000}"/>
    <cellStyle name="货币 2 3 2 11 2 2 2" xfId="1739" xr:uid="{00000000-0005-0000-0000-0000FB060000}"/>
    <cellStyle name="货币 2 3 2 11 2 3" xfId="1753" xr:uid="{00000000-0005-0000-0000-000009070000}"/>
    <cellStyle name="货币 2 3 2 11 2 4" xfId="1776" xr:uid="{00000000-0005-0000-0000-000020070000}"/>
    <cellStyle name="货币 2 3 2 11 2 5" xfId="48" xr:uid="{00000000-0005-0000-0000-000033000000}"/>
    <cellStyle name="货币 2 3 2 11 2 6" xfId="20748" xr:uid="{00000000-0005-0000-0000-00003C510000}"/>
    <cellStyle name="货币 2 3 2 11 2 7" xfId="39603" xr:uid="{00000000-0005-0000-0000-0000E39A0000}"/>
    <cellStyle name="货币 2 3 2 11 2 8" xfId="39605" xr:uid="{00000000-0005-0000-0000-0000E59A0000}"/>
    <cellStyle name="货币 2 3 2 11 2 9" xfId="39607" xr:uid="{00000000-0005-0000-0000-0000E79A0000}"/>
    <cellStyle name="货币 2 3 2 11 3" xfId="32220" xr:uid="{00000000-0005-0000-0000-00000C7E0000}"/>
    <cellStyle name="货币 2 3 2 11 3 2" xfId="2080" xr:uid="{00000000-0005-0000-0000-000050080000}"/>
    <cellStyle name="货币 2 3 2 11 3 3" xfId="2258" xr:uid="{00000000-0005-0000-0000-000002090000}"/>
    <cellStyle name="货币 2 3 2 11 3 4" xfId="2293" xr:uid="{00000000-0005-0000-0000-000025090000}"/>
    <cellStyle name="货币 2 3 2 11 3 5" xfId="2308" xr:uid="{00000000-0005-0000-0000-000034090000}"/>
    <cellStyle name="货币 2 3 2 11 3 6" xfId="2323" xr:uid="{00000000-0005-0000-0000-000043090000}"/>
    <cellStyle name="货币 2 3 2 11 4" xfId="39609" xr:uid="{00000000-0005-0000-0000-0000E99A0000}"/>
    <cellStyle name="货币 2 3 2 11 4 2" xfId="2410" xr:uid="{00000000-0005-0000-0000-00009A090000}"/>
    <cellStyle name="货币 2 3 2 11 5" xfId="39611" xr:uid="{00000000-0005-0000-0000-0000EB9A0000}"/>
    <cellStyle name="货币 2 3 2 11 6" xfId="39613" xr:uid="{00000000-0005-0000-0000-0000ED9A0000}"/>
    <cellStyle name="货币 2 3 2 11 7" xfId="39616" xr:uid="{00000000-0005-0000-0000-0000F09A0000}"/>
    <cellStyle name="货币 2 3 2 11 8" xfId="39618" xr:uid="{00000000-0005-0000-0000-0000F29A0000}"/>
    <cellStyle name="货币 2 3 2 11 9" xfId="39620" xr:uid="{00000000-0005-0000-0000-0000F49A0000}"/>
    <cellStyle name="货币 2 3 2 12" xfId="28119" xr:uid="{00000000-0005-0000-0000-0000076E0000}"/>
    <cellStyle name="货币 2 3 2 12 10" xfId="39621" xr:uid="{00000000-0005-0000-0000-0000F59A0000}"/>
    <cellStyle name="货币 2 3 2 12 2" xfId="39622" xr:uid="{00000000-0005-0000-0000-0000F69A0000}"/>
    <cellStyle name="货币 2 3 2 12 2 2" xfId="2593" xr:uid="{00000000-0005-0000-0000-0000510A0000}"/>
    <cellStyle name="货币 2 3 2 12 2 2 2" xfId="2610" xr:uid="{00000000-0005-0000-0000-0000620A0000}"/>
    <cellStyle name="货币 2 3 2 12 2 3" xfId="2621" xr:uid="{00000000-0005-0000-0000-00006D0A0000}"/>
    <cellStyle name="货币 2 3 2 12 2 4" xfId="2633" xr:uid="{00000000-0005-0000-0000-0000790A0000}"/>
    <cellStyle name="货币 2 3 2 12 2 5" xfId="2639" xr:uid="{00000000-0005-0000-0000-00007F0A0000}"/>
    <cellStyle name="货币 2 3 2 12 3" xfId="32223" xr:uid="{00000000-0005-0000-0000-00000F7E0000}"/>
    <cellStyle name="货币 2 3 2 12 3 2" xfId="2840" xr:uid="{00000000-0005-0000-0000-0000480B0000}"/>
    <cellStyle name="货币 2 3 2 12 4" xfId="39624" xr:uid="{00000000-0005-0000-0000-0000F89A0000}"/>
    <cellStyle name="货币 2 3 2 12 5" xfId="39626" xr:uid="{00000000-0005-0000-0000-0000FA9A0000}"/>
    <cellStyle name="货币 2 3 2 12 6" xfId="39628" xr:uid="{00000000-0005-0000-0000-0000FC9A0000}"/>
    <cellStyle name="货币 2 3 2 12 7" xfId="39630" xr:uid="{00000000-0005-0000-0000-0000FE9A0000}"/>
    <cellStyle name="货币 2 3 2 12 8" xfId="39632" xr:uid="{00000000-0005-0000-0000-0000009B0000}"/>
    <cellStyle name="货币 2 3 2 12 9" xfId="39634" xr:uid="{00000000-0005-0000-0000-0000029B0000}"/>
    <cellStyle name="货币 2 3 2 13" xfId="39635" xr:uid="{00000000-0005-0000-0000-0000039B0000}"/>
    <cellStyle name="货币 2 3 2 13 2" xfId="39636" xr:uid="{00000000-0005-0000-0000-0000049B0000}"/>
    <cellStyle name="货币 2 3 2 13 2 2" xfId="3165" xr:uid="{00000000-0005-0000-0000-00008D0C0000}"/>
    <cellStyle name="货币 2 3 2 13 3" xfId="32225" xr:uid="{00000000-0005-0000-0000-0000117E0000}"/>
    <cellStyle name="货币 2 3 2 13 4" xfId="39638" xr:uid="{00000000-0005-0000-0000-0000069B0000}"/>
    <cellStyle name="货币 2 3 2 13 5" xfId="39639" xr:uid="{00000000-0005-0000-0000-0000079B0000}"/>
    <cellStyle name="货币 2 3 2 13 6" xfId="39640" xr:uid="{00000000-0005-0000-0000-0000089B0000}"/>
    <cellStyle name="货币 2 3 2 13 7" xfId="39641" xr:uid="{00000000-0005-0000-0000-0000099B0000}"/>
    <cellStyle name="货币 2 3 2 13 8" xfId="39642" xr:uid="{00000000-0005-0000-0000-00000A9B0000}"/>
    <cellStyle name="货币 2 3 2 13 9" xfId="39643" xr:uid="{00000000-0005-0000-0000-00000B9B0000}"/>
    <cellStyle name="货币 2 3 2 14" xfId="39644" xr:uid="{00000000-0005-0000-0000-00000C9B0000}"/>
    <cellStyle name="货币 2 3 2 14 2" xfId="39645" xr:uid="{00000000-0005-0000-0000-00000D9B0000}"/>
    <cellStyle name="货币 2 3 2 14 3" xfId="39646" xr:uid="{00000000-0005-0000-0000-00000E9B0000}"/>
    <cellStyle name="货币 2 3 2 14 4" xfId="39647" xr:uid="{00000000-0005-0000-0000-00000F9B0000}"/>
    <cellStyle name="货币 2 3 2 14 5" xfId="39648" xr:uid="{00000000-0005-0000-0000-0000109B0000}"/>
    <cellStyle name="货币 2 3 2 14 6" xfId="39649" xr:uid="{00000000-0005-0000-0000-0000119B0000}"/>
    <cellStyle name="货币 2 3 2 15" xfId="39651" xr:uid="{00000000-0005-0000-0000-0000139B0000}"/>
    <cellStyle name="货币 2 3 2 15 2" xfId="5031" xr:uid="{00000000-0005-0000-0000-0000D7130000}"/>
    <cellStyle name="货币 2 3 2 15 3" xfId="5289" xr:uid="{00000000-0005-0000-0000-0000D9140000}"/>
    <cellStyle name="货币 2 3 2 15 4" xfId="7651" xr:uid="{00000000-0005-0000-0000-0000131E0000}"/>
    <cellStyle name="货币 2 3 2 15 5" xfId="19348" xr:uid="{00000000-0005-0000-0000-0000C44B0000}"/>
    <cellStyle name="货币 2 3 2 15 6" xfId="19351" xr:uid="{00000000-0005-0000-0000-0000C74B0000}"/>
    <cellStyle name="货币 2 3 2 16" xfId="39653" xr:uid="{00000000-0005-0000-0000-0000159B0000}"/>
    <cellStyle name="货币 2 3 2 16 2" xfId="19358" xr:uid="{00000000-0005-0000-0000-0000CE4B0000}"/>
    <cellStyle name="货币 2 3 2 16 3" xfId="19360" xr:uid="{00000000-0005-0000-0000-0000D04B0000}"/>
    <cellStyle name="货币 2 3 2 16 4" xfId="19362" xr:uid="{00000000-0005-0000-0000-0000D24B0000}"/>
    <cellStyle name="货币 2 3 2 16 5" xfId="39654" xr:uid="{00000000-0005-0000-0000-0000169B0000}"/>
    <cellStyle name="货币 2 3 2 16 6" xfId="39655" xr:uid="{00000000-0005-0000-0000-0000179B0000}"/>
    <cellStyle name="货币 2 3 2 17" xfId="39657" xr:uid="{00000000-0005-0000-0000-0000199B0000}"/>
    <cellStyle name="货币 2 3 2 18" xfId="37701" xr:uid="{00000000-0005-0000-0000-000075930000}"/>
    <cellStyle name="货币 2 3 2 19" xfId="37704" xr:uid="{00000000-0005-0000-0000-000078930000}"/>
    <cellStyle name="货币 2 3 2 2" xfId="38369" xr:uid="{00000000-0005-0000-0000-000011960000}"/>
    <cellStyle name="货币 2 3 2 2 10" xfId="29117" xr:uid="{00000000-0005-0000-0000-0000ED710000}"/>
    <cellStyle name="货币 2 3 2 2 10 2" xfId="39659" xr:uid="{00000000-0005-0000-0000-00001B9B0000}"/>
    <cellStyle name="货币 2 3 2 2 10 2 2" xfId="33216" xr:uid="{00000000-0005-0000-0000-0000F0810000}"/>
    <cellStyle name="货币 2 3 2 2 10 3" xfId="37657" xr:uid="{00000000-0005-0000-0000-000049930000}"/>
    <cellStyle name="货币 2 3 2 2 10 4" xfId="32644" xr:uid="{00000000-0005-0000-0000-0000B47F0000}"/>
    <cellStyle name="货币 2 3 2 2 10 5" xfId="18340" xr:uid="{00000000-0005-0000-0000-0000D4470000}"/>
    <cellStyle name="货币 2 3 2 2 10 6" xfId="18344" xr:uid="{00000000-0005-0000-0000-0000D8470000}"/>
    <cellStyle name="货币 2 3 2 2 10 7" xfId="18348" xr:uid="{00000000-0005-0000-0000-0000DC470000}"/>
    <cellStyle name="货币 2 3 2 2 10 8" xfId="39661" xr:uid="{00000000-0005-0000-0000-00001D9B0000}"/>
    <cellStyle name="货币 2 3 2 2 10 9" xfId="39663" xr:uid="{00000000-0005-0000-0000-00001F9B0000}"/>
    <cellStyle name="货币 2 3 2 2 11" xfId="39664" xr:uid="{00000000-0005-0000-0000-0000209B0000}"/>
    <cellStyle name="货币 2 3 2 2 11 2" xfId="12100" xr:uid="{00000000-0005-0000-0000-0000742F0000}"/>
    <cellStyle name="货币 2 3 2 2 11 3" xfId="12105" xr:uid="{00000000-0005-0000-0000-0000792F0000}"/>
    <cellStyle name="货币 2 3 2 2 11 4" xfId="1734" xr:uid="{00000000-0005-0000-0000-0000F6060000}"/>
    <cellStyle name="货币 2 3 2 2 11 5" xfId="12110" xr:uid="{00000000-0005-0000-0000-00007E2F0000}"/>
    <cellStyle name="货币 2 3 2 2 11 6" xfId="12114" xr:uid="{00000000-0005-0000-0000-0000822F0000}"/>
    <cellStyle name="货币 2 3 2 2 12" xfId="39665" xr:uid="{00000000-0005-0000-0000-0000219B0000}"/>
    <cellStyle name="货币 2 3 2 2 12 2" xfId="12121" xr:uid="{00000000-0005-0000-0000-0000892F0000}"/>
    <cellStyle name="货币 2 3 2 2 12 3" xfId="12125" xr:uid="{00000000-0005-0000-0000-00008D2F0000}"/>
    <cellStyle name="货币 2 3 2 2 12 4" xfId="1760" xr:uid="{00000000-0005-0000-0000-000010070000}"/>
    <cellStyle name="货币 2 3 2 2 12 5" xfId="39667" xr:uid="{00000000-0005-0000-0000-0000239B0000}"/>
    <cellStyle name="货币 2 3 2 2 12 6" xfId="39669" xr:uid="{00000000-0005-0000-0000-0000259B0000}"/>
    <cellStyle name="货币 2 3 2 2 13" xfId="39670" xr:uid="{00000000-0005-0000-0000-0000269B0000}"/>
    <cellStyle name="货币 2 3 2 2 13 2" xfId="12134" xr:uid="{00000000-0005-0000-0000-0000962F0000}"/>
    <cellStyle name="货币 2 3 2 2 13 3" xfId="12137" xr:uid="{00000000-0005-0000-0000-0000992F0000}"/>
    <cellStyle name="货币 2 3 2 2 13 4" xfId="32654" xr:uid="{00000000-0005-0000-0000-0000BE7F0000}"/>
    <cellStyle name="货币 2 3 2 2 13 5" xfId="39671" xr:uid="{00000000-0005-0000-0000-0000279B0000}"/>
    <cellStyle name="货币 2 3 2 2 13 6" xfId="39672" xr:uid="{00000000-0005-0000-0000-0000289B0000}"/>
    <cellStyle name="货币 2 3 2 2 14" xfId="39673" xr:uid="{00000000-0005-0000-0000-0000299B0000}"/>
    <cellStyle name="货币 2 3 2 2 14 2" xfId="39674" xr:uid="{00000000-0005-0000-0000-00002A9B0000}"/>
    <cellStyle name="货币 2 3 2 2 14 3" xfId="39675" xr:uid="{00000000-0005-0000-0000-00002B9B0000}"/>
    <cellStyle name="货币 2 3 2 2 14 4" xfId="32658" xr:uid="{00000000-0005-0000-0000-0000C27F0000}"/>
    <cellStyle name="货币 2 3 2 2 14 5" xfId="39676" xr:uid="{00000000-0005-0000-0000-00002C9B0000}"/>
    <cellStyle name="货币 2 3 2 2 14 6" xfId="39677" xr:uid="{00000000-0005-0000-0000-00002D9B0000}"/>
    <cellStyle name="货币 2 3 2 2 15" xfId="39679" xr:uid="{00000000-0005-0000-0000-00002F9B0000}"/>
    <cellStyle name="货币 2 3 2 2 16" xfId="39681" xr:uid="{00000000-0005-0000-0000-0000319B0000}"/>
    <cellStyle name="货币 2 3 2 2 17" xfId="39683" xr:uid="{00000000-0005-0000-0000-0000339B0000}"/>
    <cellStyle name="货币 2 3 2 2 18" xfId="39685" xr:uid="{00000000-0005-0000-0000-0000359B0000}"/>
    <cellStyle name="货币 2 3 2 2 19" xfId="39688" xr:uid="{00000000-0005-0000-0000-0000389B0000}"/>
    <cellStyle name="货币 2 3 2 2 2" xfId="39689" xr:uid="{00000000-0005-0000-0000-0000399B0000}"/>
    <cellStyle name="货币 2 3 2 2 2 10" xfId="31274" xr:uid="{00000000-0005-0000-0000-00005A7A0000}"/>
    <cellStyle name="货币 2 3 2 2 2 10 2" xfId="39691" xr:uid="{00000000-0005-0000-0000-00003B9B0000}"/>
    <cellStyle name="货币 2 3 2 2 2 10 3" xfId="39693" xr:uid="{00000000-0005-0000-0000-00003D9B0000}"/>
    <cellStyle name="货币 2 3 2 2 2 10 4" xfId="39695" xr:uid="{00000000-0005-0000-0000-00003F9B0000}"/>
    <cellStyle name="货币 2 3 2 2 2 10 5" xfId="39697" xr:uid="{00000000-0005-0000-0000-0000419B0000}"/>
    <cellStyle name="货币 2 3 2 2 2 10 6" xfId="39699" xr:uid="{00000000-0005-0000-0000-0000439B0000}"/>
    <cellStyle name="货币 2 3 2 2 2 11" xfId="39700" xr:uid="{00000000-0005-0000-0000-0000449B0000}"/>
    <cellStyle name="货币 2 3 2 2 2 11 2" xfId="39011" xr:uid="{00000000-0005-0000-0000-000093980000}"/>
    <cellStyle name="货币 2 3 2 2 2 11 3" xfId="39014" xr:uid="{00000000-0005-0000-0000-000096980000}"/>
    <cellStyle name="货币 2 3 2 2 2 11 4" xfId="39017" xr:uid="{00000000-0005-0000-0000-000099980000}"/>
    <cellStyle name="货币 2 3 2 2 2 11 5" xfId="39702" xr:uid="{00000000-0005-0000-0000-0000469B0000}"/>
    <cellStyle name="货币 2 3 2 2 2 11 6" xfId="39704" xr:uid="{00000000-0005-0000-0000-0000489B0000}"/>
    <cellStyle name="货币 2 3 2 2 2 12" xfId="14519" xr:uid="{00000000-0005-0000-0000-0000E7380000}"/>
    <cellStyle name="货币 2 3 2 2 2 13" xfId="39705" xr:uid="{00000000-0005-0000-0000-0000499B0000}"/>
    <cellStyle name="货币 2 3 2 2 2 14" xfId="14524" xr:uid="{00000000-0005-0000-0000-0000EC380000}"/>
    <cellStyle name="货币 2 3 2 2 2 15" xfId="39707" xr:uid="{00000000-0005-0000-0000-00004B9B0000}"/>
    <cellStyle name="货币 2 3 2 2 2 16" xfId="39709" xr:uid="{00000000-0005-0000-0000-00004D9B0000}"/>
    <cellStyle name="货币 2 3 2 2 2 17" xfId="39711" xr:uid="{00000000-0005-0000-0000-00004F9B0000}"/>
    <cellStyle name="货币 2 3 2 2 2 18" xfId="39713" xr:uid="{00000000-0005-0000-0000-0000519B0000}"/>
    <cellStyle name="货币 2 3 2 2 2 19" xfId="39716" xr:uid="{00000000-0005-0000-0000-0000549B0000}"/>
    <cellStyle name="货币 2 3 2 2 2 2" xfId="19497" xr:uid="{00000000-0005-0000-0000-0000594C0000}"/>
    <cellStyle name="货币 2 3 2 2 2 2 10" xfId="39717" xr:uid="{00000000-0005-0000-0000-0000559B0000}"/>
    <cellStyle name="货币 2 3 2 2 2 2 11" xfId="39718" xr:uid="{00000000-0005-0000-0000-0000569B0000}"/>
    <cellStyle name="货币 2 3 2 2 2 2 12" xfId="39719" xr:uid="{00000000-0005-0000-0000-0000579B0000}"/>
    <cellStyle name="货币 2 3 2 2 2 2 13" xfId="39720" xr:uid="{00000000-0005-0000-0000-0000589B0000}"/>
    <cellStyle name="货币 2 3 2 2 2 2 14" xfId="39721" xr:uid="{00000000-0005-0000-0000-0000599B0000}"/>
    <cellStyle name="货币 2 3 2 2 2 2 15" xfId="39722" xr:uid="{00000000-0005-0000-0000-00005A9B0000}"/>
    <cellStyle name="货币 2 3 2 2 2 2 16" xfId="39723" xr:uid="{00000000-0005-0000-0000-00005B9B0000}"/>
    <cellStyle name="货币 2 3 2 2 2 2 17" xfId="39724" xr:uid="{00000000-0005-0000-0000-00005C9B0000}"/>
    <cellStyle name="货币 2 3 2 2 2 2 18" xfId="39725" xr:uid="{00000000-0005-0000-0000-00005D9B0000}"/>
    <cellStyle name="货币 2 3 2 2 2 2 2" xfId="39726" xr:uid="{00000000-0005-0000-0000-00005E9B0000}"/>
    <cellStyle name="货币 2 3 2 2 2 2 2 10" xfId="39727" xr:uid="{00000000-0005-0000-0000-00005F9B0000}"/>
    <cellStyle name="货币 2 3 2 2 2 2 2 11" xfId="39728" xr:uid="{00000000-0005-0000-0000-0000609B0000}"/>
    <cellStyle name="货币 2 3 2 2 2 2 2 12" xfId="38223" xr:uid="{00000000-0005-0000-0000-00007F950000}"/>
    <cellStyle name="货币 2 3 2 2 2 2 2 2" xfId="20638" xr:uid="{00000000-0005-0000-0000-0000CE500000}"/>
    <cellStyle name="货币 2 3 2 2 2 2 2 2 2" xfId="39729" xr:uid="{00000000-0005-0000-0000-0000619B0000}"/>
    <cellStyle name="货币 2 3 2 2 2 2 2 2 2 2" xfId="33523" xr:uid="{00000000-0005-0000-0000-000023830000}"/>
    <cellStyle name="货币 2 3 2 2 2 2 2 2 3" xfId="39730" xr:uid="{00000000-0005-0000-0000-0000629B0000}"/>
    <cellStyle name="货币 2 3 2 2 2 2 2 2 4" xfId="39731" xr:uid="{00000000-0005-0000-0000-0000639B0000}"/>
    <cellStyle name="货币 2 3 2 2 2 2 2 2 5" xfId="39732" xr:uid="{00000000-0005-0000-0000-0000649B0000}"/>
    <cellStyle name="货币 2 3 2 2 2 2 2 3" xfId="20644" xr:uid="{00000000-0005-0000-0000-0000D4500000}"/>
    <cellStyle name="货币 2 3 2 2 2 2 2 3 2" xfId="39733" xr:uid="{00000000-0005-0000-0000-0000659B0000}"/>
    <cellStyle name="货币 2 3 2 2 2 2 2 4" xfId="20650" xr:uid="{00000000-0005-0000-0000-0000DA500000}"/>
    <cellStyle name="货币 2 3 2 2 2 2 2 5" xfId="20656" xr:uid="{00000000-0005-0000-0000-0000E0500000}"/>
    <cellStyle name="货币 2 3 2 2 2 2 2 6" xfId="38181" xr:uid="{00000000-0005-0000-0000-000055950000}"/>
    <cellStyle name="货币 2 3 2 2 2 2 2 7" xfId="39734" xr:uid="{00000000-0005-0000-0000-0000669B0000}"/>
    <cellStyle name="货币 2 3 2 2 2 2 2 8" xfId="8318" xr:uid="{00000000-0005-0000-0000-0000AE200000}"/>
    <cellStyle name="货币 2 3 2 2 2 2 2 9" xfId="8327" xr:uid="{00000000-0005-0000-0000-0000B7200000}"/>
    <cellStyle name="货币 2 3 2 2 2 2 3" xfId="39735" xr:uid="{00000000-0005-0000-0000-0000679B0000}"/>
    <cellStyle name="货币 2 3 2 2 2 2 3 10" xfId="7170" xr:uid="{00000000-0005-0000-0000-0000321C0000}"/>
    <cellStyle name="货币 2 3 2 2 2 2 3 11" xfId="7110" xr:uid="{00000000-0005-0000-0000-0000F61B0000}"/>
    <cellStyle name="货币 2 3 2 2 2 2 3 12" xfId="11038" xr:uid="{00000000-0005-0000-0000-00004E2B0000}"/>
    <cellStyle name="货币 2 3 2 2 2 2 3 2" xfId="39736" xr:uid="{00000000-0005-0000-0000-0000689B0000}"/>
    <cellStyle name="货币 2 3 2 2 2 2 3 2 2" xfId="22610" xr:uid="{00000000-0005-0000-0000-000082580000}"/>
    <cellStyle name="货币 2 3 2 2 2 2 3 2 2 2" xfId="39737" xr:uid="{00000000-0005-0000-0000-0000699B0000}"/>
    <cellStyle name="货币 2 3 2 2 2 2 3 2 3" xfId="22612" xr:uid="{00000000-0005-0000-0000-000084580000}"/>
    <cellStyle name="货币 2 3 2 2 2 2 3 2 4" xfId="22614" xr:uid="{00000000-0005-0000-0000-000086580000}"/>
    <cellStyle name="货币 2 3 2 2 2 2 3 2 5" xfId="22616" xr:uid="{00000000-0005-0000-0000-000088580000}"/>
    <cellStyle name="货币 2 3 2 2 2 2 3 3" xfId="39738" xr:uid="{00000000-0005-0000-0000-00006A9B0000}"/>
    <cellStyle name="货币 2 3 2 2 2 2 3 3 2" xfId="31438" xr:uid="{00000000-0005-0000-0000-0000FE7A0000}"/>
    <cellStyle name="货币 2 3 2 2 2 2 3 4" xfId="39739" xr:uid="{00000000-0005-0000-0000-00006B9B0000}"/>
    <cellStyle name="货币 2 3 2 2 2 2 3 5" xfId="39740" xr:uid="{00000000-0005-0000-0000-00006C9B0000}"/>
    <cellStyle name="货币 2 3 2 2 2 2 3 6" xfId="39741" xr:uid="{00000000-0005-0000-0000-00006D9B0000}"/>
    <cellStyle name="货币 2 3 2 2 2 2 3 7" xfId="39742" xr:uid="{00000000-0005-0000-0000-00006E9B0000}"/>
    <cellStyle name="货币 2 3 2 2 2 2 3 8" xfId="15591" xr:uid="{00000000-0005-0000-0000-0000173D0000}"/>
    <cellStyle name="货币 2 3 2 2 2 2 3 9" xfId="23119" xr:uid="{00000000-0005-0000-0000-00007F5A0000}"/>
    <cellStyle name="货币 2 3 2 2 2 2 4" xfId="39743" xr:uid="{00000000-0005-0000-0000-00006F9B0000}"/>
    <cellStyle name="货币 2 3 2 2 2 2 4 10" xfId="39744" xr:uid="{00000000-0005-0000-0000-0000709B0000}"/>
    <cellStyle name="货币 2 3 2 2 2 2 4 2" xfId="39745" xr:uid="{00000000-0005-0000-0000-0000719B0000}"/>
    <cellStyle name="货币 2 3 2 2 2 2 4 2 2" xfId="39746" xr:uid="{00000000-0005-0000-0000-0000729B0000}"/>
    <cellStyle name="货币 2 3 2 2 2 2 4 2 2 2" xfId="34460" xr:uid="{00000000-0005-0000-0000-0000CC860000}"/>
    <cellStyle name="货币 2 3 2 2 2 2 4 2 3" xfId="39747" xr:uid="{00000000-0005-0000-0000-0000739B0000}"/>
    <cellStyle name="货币 2 3 2 2 2 2 4 2 4" xfId="39748" xr:uid="{00000000-0005-0000-0000-0000749B0000}"/>
    <cellStyle name="货币 2 3 2 2 2 2 4 2 5" xfId="39749" xr:uid="{00000000-0005-0000-0000-0000759B0000}"/>
    <cellStyle name="货币 2 3 2 2 2 2 4 3" xfId="39750" xr:uid="{00000000-0005-0000-0000-0000769B0000}"/>
    <cellStyle name="货币 2 3 2 2 2 2 4 3 2" xfId="39751" xr:uid="{00000000-0005-0000-0000-0000779B0000}"/>
    <cellStyle name="货币 2 3 2 2 2 2 4 4" xfId="39752" xr:uid="{00000000-0005-0000-0000-0000789B0000}"/>
    <cellStyle name="货币 2 3 2 2 2 2 4 5" xfId="39753" xr:uid="{00000000-0005-0000-0000-0000799B0000}"/>
    <cellStyle name="货币 2 3 2 2 2 2 4 6" xfId="39754" xr:uid="{00000000-0005-0000-0000-00007A9B0000}"/>
    <cellStyle name="货币 2 3 2 2 2 2 4 7" xfId="39755" xr:uid="{00000000-0005-0000-0000-00007B9B0000}"/>
    <cellStyle name="货币 2 3 2 2 2 2 4 8" xfId="6065" xr:uid="{00000000-0005-0000-0000-0000E1170000}"/>
    <cellStyle name="货币 2 3 2 2 2 2 4 9" xfId="23140" xr:uid="{00000000-0005-0000-0000-0000945A0000}"/>
    <cellStyle name="货币 2 3 2 2 2 2 5" xfId="39756" xr:uid="{00000000-0005-0000-0000-00007C9B0000}"/>
    <cellStyle name="货币 2 3 2 2 2 2 5 10" xfId="39757" xr:uid="{00000000-0005-0000-0000-00007D9B0000}"/>
    <cellStyle name="货币 2 3 2 2 2 2 5 2" xfId="39760" xr:uid="{00000000-0005-0000-0000-0000809B0000}"/>
    <cellStyle name="货币 2 3 2 2 2 2 5 2 2" xfId="39761" xr:uid="{00000000-0005-0000-0000-0000819B0000}"/>
    <cellStyle name="货币 2 3 2 2 2 2 5 2 2 2" xfId="39762" xr:uid="{00000000-0005-0000-0000-0000829B0000}"/>
    <cellStyle name="货币 2 3 2 2 2 2 5 2 3" xfId="39763" xr:uid="{00000000-0005-0000-0000-0000839B0000}"/>
    <cellStyle name="货币 2 3 2 2 2 2 5 2 4" xfId="39764" xr:uid="{00000000-0005-0000-0000-0000849B0000}"/>
    <cellStyle name="货币 2 3 2 2 2 2 5 2 5" xfId="39765" xr:uid="{00000000-0005-0000-0000-0000859B0000}"/>
    <cellStyle name="货币 2 3 2 2 2 2 5 3" xfId="39767" xr:uid="{00000000-0005-0000-0000-0000879B0000}"/>
    <cellStyle name="货币 2 3 2 2 2 2 5 3 2" xfId="39768" xr:uid="{00000000-0005-0000-0000-0000889B0000}"/>
    <cellStyle name="货币 2 3 2 2 2 2 5 4" xfId="39769" xr:uid="{00000000-0005-0000-0000-0000899B0000}"/>
    <cellStyle name="货币 2 3 2 2 2 2 5 5" xfId="39770" xr:uid="{00000000-0005-0000-0000-00008A9B0000}"/>
    <cellStyle name="货币 2 3 2 2 2 2 5 6" xfId="39771" xr:uid="{00000000-0005-0000-0000-00008B9B0000}"/>
    <cellStyle name="货币 2 3 2 2 2 2 5 7" xfId="39772" xr:uid="{00000000-0005-0000-0000-00008C9B0000}"/>
    <cellStyle name="货币 2 3 2 2 2 2 5 8" xfId="6076" xr:uid="{00000000-0005-0000-0000-0000EC170000}"/>
    <cellStyle name="货币 2 3 2 2 2 2 5 9" xfId="23151" xr:uid="{00000000-0005-0000-0000-00009F5A0000}"/>
    <cellStyle name="货币 2 3 2 2 2 2 6" xfId="39773" xr:uid="{00000000-0005-0000-0000-00008D9B0000}"/>
    <cellStyle name="货币 2 3 2 2 2 2 6 2" xfId="39775" xr:uid="{00000000-0005-0000-0000-00008F9B0000}"/>
    <cellStyle name="货币 2 3 2 2 2 2 6 2 2" xfId="39776" xr:uid="{00000000-0005-0000-0000-0000909B0000}"/>
    <cellStyle name="货币 2 3 2 2 2 2 6 3" xfId="27878" xr:uid="{00000000-0005-0000-0000-0000166D0000}"/>
    <cellStyle name="货币 2 3 2 2 2 2 6 4" xfId="27880" xr:uid="{00000000-0005-0000-0000-0000186D0000}"/>
    <cellStyle name="货币 2 3 2 2 2 2 6 5" xfId="27882" xr:uid="{00000000-0005-0000-0000-00001A6D0000}"/>
    <cellStyle name="货币 2 3 2 2 2 2 6 6" xfId="27884" xr:uid="{00000000-0005-0000-0000-00001C6D0000}"/>
    <cellStyle name="货币 2 3 2 2 2 2 6 7" xfId="4896" xr:uid="{00000000-0005-0000-0000-000050130000}"/>
    <cellStyle name="货币 2 3 2 2 2 2 6 8" xfId="6088" xr:uid="{00000000-0005-0000-0000-0000F8170000}"/>
    <cellStyle name="货币 2 3 2 2 2 2 6 9" xfId="13575" xr:uid="{00000000-0005-0000-0000-000037350000}"/>
    <cellStyle name="货币 2 3 2 2 2 2 7" xfId="39777" xr:uid="{00000000-0005-0000-0000-0000919B0000}"/>
    <cellStyle name="货币 2 3 2 2 2 2 7 2" xfId="27205" xr:uid="{00000000-0005-0000-0000-0000756A0000}"/>
    <cellStyle name="货币 2 3 2 2 2 2 8" xfId="39778" xr:uid="{00000000-0005-0000-0000-0000929B0000}"/>
    <cellStyle name="货币 2 3 2 2 2 2 9" xfId="39779" xr:uid="{00000000-0005-0000-0000-0000939B0000}"/>
    <cellStyle name="货币 2 3 2 2 2 20" xfId="39706" xr:uid="{00000000-0005-0000-0000-00004A9B0000}"/>
    <cellStyle name="货币 2 3 2 2 2 21" xfId="39708" xr:uid="{00000000-0005-0000-0000-00004C9B0000}"/>
    <cellStyle name="货币 2 3 2 2 2 22" xfId="39710" xr:uid="{00000000-0005-0000-0000-00004E9B0000}"/>
    <cellStyle name="货币 2 3 2 2 2 23" xfId="39712" xr:uid="{00000000-0005-0000-0000-0000509B0000}"/>
    <cellStyle name="货币 2 3 2 2 2 3" xfId="19499" xr:uid="{00000000-0005-0000-0000-00005B4C0000}"/>
    <cellStyle name="货币 2 3 2 2 2 3 10" xfId="39780" xr:uid="{00000000-0005-0000-0000-0000949B0000}"/>
    <cellStyle name="货币 2 3 2 2 2 3 11" xfId="39781" xr:uid="{00000000-0005-0000-0000-0000959B0000}"/>
    <cellStyle name="货币 2 3 2 2 2 3 12" xfId="39782" xr:uid="{00000000-0005-0000-0000-0000969B0000}"/>
    <cellStyle name="货币 2 3 2 2 2 3 13" xfId="39783" xr:uid="{00000000-0005-0000-0000-0000979B0000}"/>
    <cellStyle name="货币 2 3 2 2 2 3 14" xfId="39784" xr:uid="{00000000-0005-0000-0000-0000989B0000}"/>
    <cellStyle name="货币 2 3 2 2 2 3 15" xfId="39785" xr:uid="{00000000-0005-0000-0000-0000999B0000}"/>
    <cellStyle name="货币 2 3 2 2 2 3 16" xfId="39786" xr:uid="{00000000-0005-0000-0000-00009A9B0000}"/>
    <cellStyle name="货币 2 3 2 2 2 3 17" xfId="39787" xr:uid="{00000000-0005-0000-0000-00009B9B0000}"/>
    <cellStyle name="货币 2 3 2 2 2 3 18" xfId="39788" xr:uid="{00000000-0005-0000-0000-00009C9B0000}"/>
    <cellStyle name="货币 2 3 2 2 2 3 2" xfId="39789" xr:uid="{00000000-0005-0000-0000-00009D9B0000}"/>
    <cellStyle name="货币 2 3 2 2 2 3 2 10" xfId="23447" xr:uid="{00000000-0005-0000-0000-0000C75B0000}"/>
    <cellStyle name="货币 2 3 2 2 2 3 2 2" xfId="38602" xr:uid="{00000000-0005-0000-0000-0000FA960000}"/>
    <cellStyle name="货币 2 3 2 2 2 3 2 2 2" xfId="12459" xr:uid="{00000000-0005-0000-0000-0000DB300000}"/>
    <cellStyle name="货币 2 3 2 2 2 3 2 3" xfId="38604" xr:uid="{00000000-0005-0000-0000-0000FC960000}"/>
    <cellStyle name="货币 2 3 2 2 2 3 2 4" xfId="38606" xr:uid="{00000000-0005-0000-0000-0000FE960000}"/>
    <cellStyle name="货币 2 3 2 2 2 3 2 5" xfId="38608" xr:uid="{00000000-0005-0000-0000-000000970000}"/>
    <cellStyle name="货币 2 3 2 2 2 3 2 6" xfId="39790" xr:uid="{00000000-0005-0000-0000-00009E9B0000}"/>
    <cellStyle name="货币 2 3 2 2 2 3 2 7" xfId="39791" xr:uid="{00000000-0005-0000-0000-00009F9B0000}"/>
    <cellStyle name="货币 2 3 2 2 2 3 2 8" xfId="10784" xr:uid="{00000000-0005-0000-0000-0000502A0000}"/>
    <cellStyle name="货币 2 3 2 2 2 3 2 9" xfId="10790" xr:uid="{00000000-0005-0000-0000-0000562A0000}"/>
    <cellStyle name="货币 2 3 2 2 2 3 3" xfId="39792" xr:uid="{00000000-0005-0000-0000-0000A09B0000}"/>
    <cellStyle name="货币 2 3 2 2 2 3 3 2" xfId="39793" xr:uid="{00000000-0005-0000-0000-0000A19B0000}"/>
    <cellStyle name="货币 2 3 2 2 2 3 3 3" xfId="39794" xr:uid="{00000000-0005-0000-0000-0000A29B0000}"/>
    <cellStyle name="货币 2 3 2 2 2 3 3 4" xfId="39795" xr:uid="{00000000-0005-0000-0000-0000A39B0000}"/>
    <cellStyle name="货币 2 3 2 2 2 3 3 5" xfId="39796" xr:uid="{00000000-0005-0000-0000-0000A49B0000}"/>
    <cellStyle name="货币 2 3 2 2 2 3 3 6" xfId="39797" xr:uid="{00000000-0005-0000-0000-0000A59B0000}"/>
    <cellStyle name="货币 2 3 2 2 2 3 4" xfId="39798" xr:uid="{00000000-0005-0000-0000-0000A69B0000}"/>
    <cellStyle name="货币 2 3 2 2 2 3 4 2" xfId="39799" xr:uid="{00000000-0005-0000-0000-0000A79B0000}"/>
    <cellStyle name="货币 2 3 2 2 2 3 4 3" xfId="39800" xr:uid="{00000000-0005-0000-0000-0000A89B0000}"/>
    <cellStyle name="货币 2 3 2 2 2 3 4 4" xfId="39801" xr:uid="{00000000-0005-0000-0000-0000A99B0000}"/>
    <cellStyle name="货币 2 3 2 2 2 3 4 5" xfId="39802" xr:uid="{00000000-0005-0000-0000-0000AA9B0000}"/>
    <cellStyle name="货币 2 3 2 2 2 3 4 6" xfId="39803" xr:uid="{00000000-0005-0000-0000-0000AB9B0000}"/>
    <cellStyle name="货币 2 3 2 2 2 3 5" xfId="39804" xr:uid="{00000000-0005-0000-0000-0000AC9B0000}"/>
    <cellStyle name="货币 2 3 2 2 2 3 5 2" xfId="3775" xr:uid="{00000000-0005-0000-0000-0000EF0E0000}"/>
    <cellStyle name="货币 2 3 2 2 2 3 5 3" xfId="677" xr:uid="{00000000-0005-0000-0000-0000D5020000}"/>
    <cellStyle name="货币 2 3 2 2 2 3 5 4" xfId="3843" xr:uid="{00000000-0005-0000-0000-0000330F0000}"/>
    <cellStyle name="货币 2 3 2 2 2 3 5 5" xfId="3829" xr:uid="{00000000-0005-0000-0000-0000250F0000}"/>
    <cellStyle name="货币 2 3 2 2 2 3 5 6" xfId="3872" xr:uid="{00000000-0005-0000-0000-0000500F0000}"/>
    <cellStyle name="货币 2 3 2 2 2 3 6" xfId="39805" xr:uid="{00000000-0005-0000-0000-0000AD9B0000}"/>
    <cellStyle name="货币 2 3 2 2 2 3 6 2" xfId="3920" xr:uid="{00000000-0005-0000-0000-0000800F0000}"/>
    <cellStyle name="货币 2 3 2 2 2 3 6 3" xfId="207" xr:uid="{00000000-0005-0000-0000-0000DF000000}"/>
    <cellStyle name="货币 2 3 2 2 2 3 6 4" xfId="11384" xr:uid="{00000000-0005-0000-0000-0000A82C0000}"/>
    <cellStyle name="货币 2 3 2 2 2 3 6 5" xfId="11423" xr:uid="{00000000-0005-0000-0000-0000CF2C0000}"/>
    <cellStyle name="货币 2 3 2 2 2 3 6 6" xfId="4938" xr:uid="{00000000-0005-0000-0000-00007A130000}"/>
    <cellStyle name="货币 2 3 2 2 2 3 7" xfId="39806" xr:uid="{00000000-0005-0000-0000-0000AE9B0000}"/>
    <cellStyle name="货币 2 3 2 2 2 3 8" xfId="39807" xr:uid="{00000000-0005-0000-0000-0000AF9B0000}"/>
    <cellStyle name="货币 2 3 2 2 2 3 9" xfId="39808" xr:uid="{00000000-0005-0000-0000-0000B09B0000}"/>
    <cellStyle name="货币 2 3 2 2 2 4" xfId="25160" xr:uid="{00000000-0005-0000-0000-000078620000}"/>
    <cellStyle name="货币 2 3 2 2 2 4 10" xfId="7335" xr:uid="{00000000-0005-0000-0000-0000D71C0000}"/>
    <cellStyle name="货币 2 3 2 2 2 4 11" xfId="8767" xr:uid="{00000000-0005-0000-0000-00006F220000}"/>
    <cellStyle name="货币 2 3 2 2 2 4 12" xfId="13535" xr:uid="{00000000-0005-0000-0000-00000F350000}"/>
    <cellStyle name="货币 2 3 2 2 2 4 13" xfId="13540" xr:uid="{00000000-0005-0000-0000-000014350000}"/>
    <cellStyle name="货币 2 3 2 2 2 4 14" xfId="32862" xr:uid="{00000000-0005-0000-0000-00008E800000}"/>
    <cellStyle name="货币 2 3 2 2 2 4 15" xfId="38205" xr:uid="{00000000-0005-0000-0000-00006D950000}"/>
    <cellStyle name="货币 2 3 2 2 2 4 2" xfId="39809" xr:uid="{00000000-0005-0000-0000-0000B19B0000}"/>
    <cellStyle name="货币 2 3 2 2 2 4 2 2" xfId="39810" xr:uid="{00000000-0005-0000-0000-0000B29B0000}"/>
    <cellStyle name="货币 2 3 2 2 2 4 2 2 2" xfId="24420" xr:uid="{00000000-0005-0000-0000-0000945F0000}"/>
    <cellStyle name="货币 2 3 2 2 2 4 2 3" xfId="39811" xr:uid="{00000000-0005-0000-0000-0000B39B0000}"/>
    <cellStyle name="货币 2 3 2 2 2 4 2 4" xfId="39812" xr:uid="{00000000-0005-0000-0000-0000B49B0000}"/>
    <cellStyle name="货币 2 3 2 2 2 4 2 5" xfId="39813" xr:uid="{00000000-0005-0000-0000-0000B59B0000}"/>
    <cellStyle name="货币 2 3 2 2 2 4 2 6" xfId="39814" xr:uid="{00000000-0005-0000-0000-0000B69B0000}"/>
    <cellStyle name="货币 2 3 2 2 2 4 2 7" xfId="39815" xr:uid="{00000000-0005-0000-0000-0000B79B0000}"/>
    <cellStyle name="货币 2 3 2 2 2 4 2 8" xfId="39816" xr:uid="{00000000-0005-0000-0000-0000B89B0000}"/>
    <cellStyle name="货币 2 3 2 2 2 4 2 9" xfId="23250" xr:uid="{00000000-0005-0000-0000-0000025B0000}"/>
    <cellStyle name="货币 2 3 2 2 2 4 3" xfId="39817" xr:uid="{00000000-0005-0000-0000-0000B99B0000}"/>
    <cellStyle name="货币 2 3 2 2 2 4 3 2" xfId="39818" xr:uid="{00000000-0005-0000-0000-0000BA9B0000}"/>
    <cellStyle name="货币 2 3 2 2 2 4 3 3" xfId="39819" xr:uid="{00000000-0005-0000-0000-0000BB9B0000}"/>
    <cellStyle name="货币 2 3 2 2 2 4 3 4" xfId="39820" xr:uid="{00000000-0005-0000-0000-0000BC9B0000}"/>
    <cellStyle name="货币 2 3 2 2 2 4 3 5" xfId="39821" xr:uid="{00000000-0005-0000-0000-0000BD9B0000}"/>
    <cellStyle name="货币 2 3 2 2 2 4 3 6" xfId="39822" xr:uid="{00000000-0005-0000-0000-0000BE9B0000}"/>
    <cellStyle name="货币 2 3 2 2 2 4 4" xfId="39823" xr:uid="{00000000-0005-0000-0000-0000BF9B0000}"/>
    <cellStyle name="货币 2 3 2 2 2 4 4 2" xfId="38193" xr:uid="{00000000-0005-0000-0000-000061950000}"/>
    <cellStyle name="货币 2 3 2 2 2 4 5" xfId="39824" xr:uid="{00000000-0005-0000-0000-0000C09B0000}"/>
    <cellStyle name="货币 2 3 2 2 2 4 6" xfId="39825" xr:uid="{00000000-0005-0000-0000-0000C19B0000}"/>
    <cellStyle name="货币 2 3 2 2 2 4 7" xfId="39826" xr:uid="{00000000-0005-0000-0000-0000C29B0000}"/>
    <cellStyle name="货币 2 3 2 2 2 4 8" xfId="39827" xr:uid="{00000000-0005-0000-0000-0000C39B0000}"/>
    <cellStyle name="货币 2 3 2 2 2 4 9" xfId="39828" xr:uid="{00000000-0005-0000-0000-0000C49B0000}"/>
    <cellStyle name="货币 2 3 2 2 2 5" xfId="36954" xr:uid="{00000000-0005-0000-0000-00008A900000}"/>
    <cellStyle name="货币 2 3 2 2 2 5 10" xfId="38246" xr:uid="{00000000-0005-0000-0000-000096950000}"/>
    <cellStyle name="货币 2 3 2 2 2 5 11" xfId="38248" xr:uid="{00000000-0005-0000-0000-000098950000}"/>
    <cellStyle name="货币 2 3 2 2 2 5 12" xfId="38251" xr:uid="{00000000-0005-0000-0000-00009B950000}"/>
    <cellStyle name="货币 2 3 2 2 2 5 13" xfId="16819" xr:uid="{00000000-0005-0000-0000-0000E3410000}"/>
    <cellStyle name="货币 2 3 2 2 2 5 2" xfId="39830" xr:uid="{00000000-0005-0000-0000-0000C69B0000}"/>
    <cellStyle name="货币 2 3 2 2 2 5 2 2" xfId="39831" xr:uid="{00000000-0005-0000-0000-0000C79B0000}"/>
    <cellStyle name="货币 2 3 2 2 2 5 2 2 2" xfId="24586" xr:uid="{00000000-0005-0000-0000-00003A600000}"/>
    <cellStyle name="货币 2 3 2 2 2 5 2 3" xfId="39832" xr:uid="{00000000-0005-0000-0000-0000C89B0000}"/>
    <cellStyle name="货币 2 3 2 2 2 5 2 4" xfId="39833" xr:uid="{00000000-0005-0000-0000-0000C99B0000}"/>
    <cellStyle name="货币 2 3 2 2 2 5 2 5" xfId="39834" xr:uid="{00000000-0005-0000-0000-0000CA9B0000}"/>
    <cellStyle name="货币 2 3 2 2 2 5 2 6" xfId="39835" xr:uid="{00000000-0005-0000-0000-0000CB9B0000}"/>
    <cellStyle name="货币 2 3 2 2 2 5 2 7" xfId="39836" xr:uid="{00000000-0005-0000-0000-0000CC9B0000}"/>
    <cellStyle name="货币 2 3 2 2 2 5 2 8" xfId="39837" xr:uid="{00000000-0005-0000-0000-0000CD9B0000}"/>
    <cellStyle name="货币 2 3 2 2 2 5 2 9" xfId="23269" xr:uid="{00000000-0005-0000-0000-0000155B0000}"/>
    <cellStyle name="货币 2 3 2 2 2 5 3" xfId="39838" xr:uid="{00000000-0005-0000-0000-0000CE9B0000}"/>
    <cellStyle name="货币 2 3 2 2 2 5 3 2" xfId="39839" xr:uid="{00000000-0005-0000-0000-0000CF9B0000}"/>
    <cellStyle name="货币 2 3 2 2 2 5 3 3" xfId="39840" xr:uid="{00000000-0005-0000-0000-0000D09B0000}"/>
    <cellStyle name="货币 2 3 2 2 2 5 3 4" xfId="39841" xr:uid="{00000000-0005-0000-0000-0000D19B0000}"/>
    <cellStyle name="货币 2 3 2 2 2 5 3 5" xfId="39842" xr:uid="{00000000-0005-0000-0000-0000D29B0000}"/>
    <cellStyle name="货币 2 3 2 2 2 5 3 6" xfId="39843" xr:uid="{00000000-0005-0000-0000-0000D39B0000}"/>
    <cellStyle name="货币 2 3 2 2 2 5 4" xfId="39844" xr:uid="{00000000-0005-0000-0000-0000D49B0000}"/>
    <cellStyle name="货币 2 3 2 2 2 5 4 2" xfId="39845" xr:uid="{00000000-0005-0000-0000-0000D59B0000}"/>
    <cellStyle name="货币 2 3 2 2 2 5 5" xfId="328" xr:uid="{00000000-0005-0000-0000-00005E010000}"/>
    <cellStyle name="货币 2 3 2 2 2 5 6" xfId="12670" xr:uid="{00000000-0005-0000-0000-0000AE310000}"/>
    <cellStyle name="货币 2 3 2 2 2 5 7" xfId="12680" xr:uid="{00000000-0005-0000-0000-0000B8310000}"/>
    <cellStyle name="货币 2 3 2 2 2 5 8" xfId="14495" xr:uid="{00000000-0005-0000-0000-0000CF380000}"/>
    <cellStyle name="货币 2 3 2 2 2 5 9" xfId="39847" xr:uid="{00000000-0005-0000-0000-0000D79B0000}"/>
    <cellStyle name="货币 2 3 2 2 2 6" xfId="36956" xr:uid="{00000000-0005-0000-0000-00008C900000}"/>
    <cellStyle name="货币 2 3 2 2 2 6 10" xfId="39848" xr:uid="{00000000-0005-0000-0000-0000D89B0000}"/>
    <cellStyle name="货币 2 3 2 2 2 6 11" xfId="39849" xr:uid="{00000000-0005-0000-0000-0000D99B0000}"/>
    <cellStyle name="货币 2 3 2 2 2 6 12" xfId="39850" xr:uid="{00000000-0005-0000-0000-0000DA9B0000}"/>
    <cellStyle name="货币 2 3 2 2 2 6 2" xfId="39851" xr:uid="{00000000-0005-0000-0000-0000DB9B0000}"/>
    <cellStyle name="货币 2 3 2 2 2 6 2 2" xfId="39852" xr:uid="{00000000-0005-0000-0000-0000DC9B0000}"/>
    <cellStyle name="货币 2 3 2 2 2 6 2 2 2" xfId="701" xr:uid="{00000000-0005-0000-0000-0000ED020000}"/>
    <cellStyle name="货币 2 3 2 2 2 6 2 3" xfId="39853" xr:uid="{00000000-0005-0000-0000-0000DD9B0000}"/>
    <cellStyle name="货币 2 3 2 2 2 6 2 4" xfId="39854" xr:uid="{00000000-0005-0000-0000-0000DE9B0000}"/>
    <cellStyle name="货币 2 3 2 2 2 6 2 5" xfId="39855" xr:uid="{00000000-0005-0000-0000-0000DF9B0000}"/>
    <cellStyle name="货币 2 3 2 2 2 6 2 6" xfId="39856" xr:uid="{00000000-0005-0000-0000-0000E09B0000}"/>
    <cellStyle name="货币 2 3 2 2 2 6 2 7" xfId="10062" xr:uid="{00000000-0005-0000-0000-00007E270000}"/>
    <cellStyle name="货币 2 3 2 2 2 6 2 8" xfId="39857" xr:uid="{00000000-0005-0000-0000-0000E19B0000}"/>
    <cellStyle name="货币 2 3 2 2 2 6 2 9" xfId="23308" xr:uid="{00000000-0005-0000-0000-00003C5B0000}"/>
    <cellStyle name="货币 2 3 2 2 2 6 3" xfId="39858" xr:uid="{00000000-0005-0000-0000-0000E29B0000}"/>
    <cellStyle name="货币 2 3 2 2 2 6 3 2" xfId="39859" xr:uid="{00000000-0005-0000-0000-0000E39B0000}"/>
    <cellStyle name="货币 2 3 2 2 2 6 3 3" xfId="39860" xr:uid="{00000000-0005-0000-0000-0000E49B0000}"/>
    <cellStyle name="货币 2 3 2 2 2 6 3 4" xfId="39861" xr:uid="{00000000-0005-0000-0000-0000E59B0000}"/>
    <cellStyle name="货币 2 3 2 2 2 6 3 5" xfId="39862" xr:uid="{00000000-0005-0000-0000-0000E69B0000}"/>
    <cellStyle name="货币 2 3 2 2 2 6 3 6" xfId="39863" xr:uid="{00000000-0005-0000-0000-0000E79B0000}"/>
    <cellStyle name="货币 2 3 2 2 2 6 4" xfId="39864" xr:uid="{00000000-0005-0000-0000-0000E89B0000}"/>
    <cellStyle name="货币 2 3 2 2 2 6 4 2" xfId="39865" xr:uid="{00000000-0005-0000-0000-0000E99B0000}"/>
    <cellStyle name="货币 2 3 2 2 2 6 5" xfId="4070" xr:uid="{00000000-0005-0000-0000-000016100000}"/>
    <cellStyle name="货币 2 3 2 2 2 6 6" xfId="39866" xr:uid="{00000000-0005-0000-0000-0000EA9B0000}"/>
    <cellStyle name="货币 2 3 2 2 2 6 7" xfId="39867" xr:uid="{00000000-0005-0000-0000-0000EB9B0000}"/>
    <cellStyle name="货币 2 3 2 2 2 6 8" xfId="39868" xr:uid="{00000000-0005-0000-0000-0000EC9B0000}"/>
    <cellStyle name="货币 2 3 2 2 2 6 9" xfId="39869" xr:uid="{00000000-0005-0000-0000-0000ED9B0000}"/>
    <cellStyle name="货币 2 3 2 2 2 7" xfId="36958" xr:uid="{00000000-0005-0000-0000-00008E900000}"/>
    <cellStyle name="货币 2 3 2 2 2 7 2" xfId="39870" xr:uid="{00000000-0005-0000-0000-0000EE9B0000}"/>
    <cellStyle name="货币 2 3 2 2 2 7 2 2" xfId="38655" xr:uid="{00000000-0005-0000-0000-00002F970000}"/>
    <cellStyle name="货币 2 3 2 2 2 7 3" xfId="39871" xr:uid="{00000000-0005-0000-0000-0000EF9B0000}"/>
    <cellStyle name="货币 2 3 2 2 2 7 4" xfId="39872" xr:uid="{00000000-0005-0000-0000-0000F09B0000}"/>
    <cellStyle name="货币 2 3 2 2 2 7 5" xfId="39873" xr:uid="{00000000-0005-0000-0000-0000F19B0000}"/>
    <cellStyle name="货币 2 3 2 2 2 7 6" xfId="39874" xr:uid="{00000000-0005-0000-0000-0000F29B0000}"/>
    <cellStyle name="货币 2 3 2 2 2 7 7" xfId="39875" xr:uid="{00000000-0005-0000-0000-0000F39B0000}"/>
    <cellStyle name="货币 2 3 2 2 2 7 8" xfId="39876" xr:uid="{00000000-0005-0000-0000-0000F49B0000}"/>
    <cellStyle name="货币 2 3 2 2 2 7 9" xfId="39877" xr:uid="{00000000-0005-0000-0000-0000F59B0000}"/>
    <cellStyle name="货币 2 3 2 2 2 8" xfId="36960" xr:uid="{00000000-0005-0000-0000-000090900000}"/>
    <cellStyle name="货币 2 3 2 2 2 8 2" xfId="39878" xr:uid="{00000000-0005-0000-0000-0000F69B0000}"/>
    <cellStyle name="货币 2 3 2 2 2 8 3" xfId="31706" xr:uid="{00000000-0005-0000-0000-00000A7C0000}"/>
    <cellStyle name="货币 2 3 2 2 2 8 4" xfId="31710" xr:uid="{00000000-0005-0000-0000-00000E7C0000}"/>
    <cellStyle name="货币 2 3 2 2 2 8 5" xfId="31712" xr:uid="{00000000-0005-0000-0000-0000107C0000}"/>
    <cellStyle name="货币 2 3 2 2 2 8 6" xfId="31714" xr:uid="{00000000-0005-0000-0000-0000127C0000}"/>
    <cellStyle name="货币 2 3 2 2 2 9" xfId="39879" xr:uid="{00000000-0005-0000-0000-0000F79B0000}"/>
    <cellStyle name="货币 2 3 2 2 2 9 2" xfId="28142" xr:uid="{00000000-0005-0000-0000-00001E6E0000}"/>
    <cellStyle name="货币 2 3 2 2 2 9 3" xfId="28144" xr:uid="{00000000-0005-0000-0000-0000206E0000}"/>
    <cellStyle name="货币 2 3 2 2 2 9 4" xfId="28147" xr:uid="{00000000-0005-0000-0000-0000236E0000}"/>
    <cellStyle name="货币 2 3 2 2 2 9 5" xfId="28150" xr:uid="{00000000-0005-0000-0000-0000266E0000}"/>
    <cellStyle name="货币 2 3 2 2 2 9 6" xfId="39880" xr:uid="{00000000-0005-0000-0000-0000F89B0000}"/>
    <cellStyle name="货币 2 3 2 2 20" xfId="39678" xr:uid="{00000000-0005-0000-0000-00002E9B0000}"/>
    <cellStyle name="货币 2 3 2 2 21" xfId="39680" xr:uid="{00000000-0005-0000-0000-0000309B0000}"/>
    <cellStyle name="货币 2 3 2 2 22" xfId="39682" xr:uid="{00000000-0005-0000-0000-0000329B0000}"/>
    <cellStyle name="货币 2 3 2 2 23" xfId="39684" xr:uid="{00000000-0005-0000-0000-0000349B0000}"/>
    <cellStyle name="货币 2 3 2 2 24" xfId="39687" xr:uid="{00000000-0005-0000-0000-0000379B0000}"/>
    <cellStyle name="货币 2 3 2 2 25" xfId="39882" xr:uid="{00000000-0005-0000-0000-0000FA9B0000}"/>
    <cellStyle name="货币 2 3 2 2 26" xfId="39884" xr:uid="{00000000-0005-0000-0000-0000FC9B0000}"/>
    <cellStyle name="货币 2 3 2 2 3" xfId="39885" xr:uid="{00000000-0005-0000-0000-0000FD9B0000}"/>
    <cellStyle name="货币 2 3 2 2 3 10" xfId="24998" xr:uid="{00000000-0005-0000-0000-0000D6610000}"/>
    <cellStyle name="货币 2 3 2 2 3 10 2" xfId="25076" xr:uid="{00000000-0005-0000-0000-000024620000}"/>
    <cellStyle name="货币 2 3 2 2 3 10 3" xfId="25081" xr:uid="{00000000-0005-0000-0000-000029620000}"/>
    <cellStyle name="货币 2 3 2 2 3 10 4" xfId="25085" xr:uid="{00000000-0005-0000-0000-00002D620000}"/>
    <cellStyle name="货币 2 3 2 2 3 10 5" xfId="25087" xr:uid="{00000000-0005-0000-0000-00002F620000}"/>
    <cellStyle name="货币 2 3 2 2 3 10 6" xfId="25090" xr:uid="{00000000-0005-0000-0000-000032620000}"/>
    <cellStyle name="货币 2 3 2 2 3 11" xfId="25094" xr:uid="{00000000-0005-0000-0000-000036620000}"/>
    <cellStyle name="货币 2 3 2 2 3 11 2" xfId="25097" xr:uid="{00000000-0005-0000-0000-000039620000}"/>
    <cellStyle name="货币 2 3 2 2 3 11 3" xfId="25100" xr:uid="{00000000-0005-0000-0000-00003C620000}"/>
    <cellStyle name="货币 2 3 2 2 3 11 4" xfId="25102" xr:uid="{00000000-0005-0000-0000-00003E620000}"/>
    <cellStyle name="货币 2 3 2 2 3 11 5" xfId="25104" xr:uid="{00000000-0005-0000-0000-000040620000}"/>
    <cellStyle name="货币 2 3 2 2 3 11 6" xfId="13647" xr:uid="{00000000-0005-0000-0000-00007F350000}"/>
    <cellStyle name="货币 2 3 2 2 3 12" xfId="25106" xr:uid="{00000000-0005-0000-0000-000042620000}"/>
    <cellStyle name="货币 2 3 2 2 3 13" xfId="25120" xr:uid="{00000000-0005-0000-0000-000050620000}"/>
    <cellStyle name="货币 2 3 2 2 3 14" xfId="25123" xr:uid="{00000000-0005-0000-0000-000053620000}"/>
    <cellStyle name="货币 2 3 2 2 3 15" xfId="24856" xr:uid="{00000000-0005-0000-0000-000048610000}"/>
    <cellStyle name="货币 2 3 2 2 3 16" xfId="24861" xr:uid="{00000000-0005-0000-0000-00004D610000}"/>
    <cellStyle name="货币 2 3 2 2 3 17" xfId="13376" xr:uid="{00000000-0005-0000-0000-000070340000}"/>
    <cellStyle name="货币 2 3 2 2 3 18" xfId="39887" xr:uid="{00000000-0005-0000-0000-0000FF9B0000}"/>
    <cellStyle name="货币 2 3 2 2 3 19" xfId="39888" xr:uid="{00000000-0005-0000-0000-0000009C0000}"/>
    <cellStyle name="货币 2 3 2 2 3 2" xfId="39889" xr:uid="{00000000-0005-0000-0000-0000019C0000}"/>
    <cellStyle name="货币 2 3 2 2 3 2 10" xfId="39890" xr:uid="{00000000-0005-0000-0000-0000029C0000}"/>
    <cellStyle name="货币 2 3 2 2 3 2 11" xfId="39891" xr:uid="{00000000-0005-0000-0000-0000039C0000}"/>
    <cellStyle name="货币 2 3 2 2 3 2 12" xfId="39892" xr:uid="{00000000-0005-0000-0000-0000049C0000}"/>
    <cellStyle name="货币 2 3 2 2 3 2 13" xfId="39893" xr:uid="{00000000-0005-0000-0000-0000059C0000}"/>
    <cellStyle name="货币 2 3 2 2 3 2 14" xfId="39894" xr:uid="{00000000-0005-0000-0000-0000069C0000}"/>
    <cellStyle name="货币 2 3 2 2 3 2 15" xfId="38664" xr:uid="{00000000-0005-0000-0000-000038970000}"/>
    <cellStyle name="货币 2 3 2 2 3 2 16" xfId="38666" xr:uid="{00000000-0005-0000-0000-00003A970000}"/>
    <cellStyle name="货币 2 3 2 2 3 2 17" xfId="38668" xr:uid="{00000000-0005-0000-0000-00003C970000}"/>
    <cellStyle name="货币 2 3 2 2 3 2 18" xfId="39895" xr:uid="{00000000-0005-0000-0000-0000079C0000}"/>
    <cellStyle name="货币 2 3 2 2 3 2 2" xfId="39896" xr:uid="{00000000-0005-0000-0000-0000089C0000}"/>
    <cellStyle name="货币 2 3 2 2 3 2 2 10" xfId="39897" xr:uid="{00000000-0005-0000-0000-0000099C0000}"/>
    <cellStyle name="货币 2 3 2 2 3 2 2 11" xfId="39899" xr:uid="{00000000-0005-0000-0000-00000B9C0000}"/>
    <cellStyle name="货币 2 3 2 2 3 2 2 12" xfId="39901" xr:uid="{00000000-0005-0000-0000-00000D9C0000}"/>
    <cellStyle name="货币 2 3 2 2 3 2 2 2" xfId="39903" xr:uid="{00000000-0005-0000-0000-00000F9C0000}"/>
    <cellStyle name="货币 2 3 2 2 3 2 2 2 2" xfId="28481" xr:uid="{00000000-0005-0000-0000-0000716F0000}"/>
    <cellStyle name="货币 2 3 2 2 3 2 2 2 2 2" xfId="39904" xr:uid="{00000000-0005-0000-0000-0000109C0000}"/>
    <cellStyle name="货币 2 3 2 2 3 2 2 2 3" xfId="28484" xr:uid="{00000000-0005-0000-0000-0000746F0000}"/>
    <cellStyle name="货币 2 3 2 2 3 2 2 2 4" xfId="28487" xr:uid="{00000000-0005-0000-0000-0000776F0000}"/>
    <cellStyle name="货币 2 3 2 2 3 2 2 2 5" xfId="28490" xr:uid="{00000000-0005-0000-0000-00007A6F0000}"/>
    <cellStyle name="货币 2 3 2 2 3 2 2 3" xfId="39905" xr:uid="{00000000-0005-0000-0000-0000119C0000}"/>
    <cellStyle name="货币 2 3 2 2 3 2 2 3 2" xfId="28502" xr:uid="{00000000-0005-0000-0000-0000866F0000}"/>
    <cellStyle name="货币 2 3 2 2 3 2 2 4" xfId="39906" xr:uid="{00000000-0005-0000-0000-0000129C0000}"/>
    <cellStyle name="货币 2 3 2 2 3 2 2 5" xfId="39907" xr:uid="{00000000-0005-0000-0000-0000139C0000}"/>
    <cellStyle name="货币 2 3 2 2 3 2 2 6" xfId="39908" xr:uid="{00000000-0005-0000-0000-0000149C0000}"/>
    <cellStyle name="货币 2 3 2 2 3 2 2 7" xfId="39909" xr:uid="{00000000-0005-0000-0000-0000159C0000}"/>
    <cellStyle name="货币 2 3 2 2 3 2 2 8" xfId="15869" xr:uid="{00000000-0005-0000-0000-00002D3E0000}"/>
    <cellStyle name="货币 2 3 2 2 3 2 2 9" xfId="24893" xr:uid="{00000000-0005-0000-0000-00006D610000}"/>
    <cellStyle name="货币 2 3 2 2 3 2 3" xfId="9563" xr:uid="{00000000-0005-0000-0000-00008B250000}"/>
    <cellStyle name="货币 2 3 2 2 3 2 3 10" xfId="39911" xr:uid="{00000000-0005-0000-0000-0000179C0000}"/>
    <cellStyle name="货币 2 3 2 2 3 2 3 11" xfId="39914" xr:uid="{00000000-0005-0000-0000-00001A9C0000}"/>
    <cellStyle name="货币 2 3 2 2 3 2 3 12" xfId="14390" xr:uid="{00000000-0005-0000-0000-000066380000}"/>
    <cellStyle name="货币 2 3 2 2 3 2 3 2" xfId="23462" xr:uid="{00000000-0005-0000-0000-0000D65B0000}"/>
    <cellStyle name="货币 2 3 2 2 3 2 3 2 2" xfId="35960" xr:uid="{00000000-0005-0000-0000-0000A88C0000}"/>
    <cellStyle name="货币 2 3 2 2 3 2 3 2 2 2" xfId="39915" xr:uid="{00000000-0005-0000-0000-00001B9C0000}"/>
    <cellStyle name="货币 2 3 2 2 3 2 3 2 3" xfId="39916" xr:uid="{00000000-0005-0000-0000-00001C9C0000}"/>
    <cellStyle name="货币 2 3 2 2 3 2 3 2 4" xfId="39917" xr:uid="{00000000-0005-0000-0000-00001D9C0000}"/>
    <cellStyle name="货币 2 3 2 2 3 2 3 2 5" xfId="39918" xr:uid="{00000000-0005-0000-0000-00001E9C0000}"/>
    <cellStyle name="货币 2 3 2 2 3 2 3 3" xfId="31928" xr:uid="{00000000-0005-0000-0000-0000E87C0000}"/>
    <cellStyle name="货币 2 3 2 2 3 2 3 3 2" xfId="39919" xr:uid="{00000000-0005-0000-0000-00001F9C0000}"/>
    <cellStyle name="货币 2 3 2 2 3 2 3 4" xfId="35970" xr:uid="{00000000-0005-0000-0000-0000B28C0000}"/>
    <cellStyle name="货币 2 3 2 2 3 2 3 5" xfId="38119" xr:uid="{00000000-0005-0000-0000-000017950000}"/>
    <cellStyle name="货币 2 3 2 2 3 2 3 6" xfId="39920" xr:uid="{00000000-0005-0000-0000-0000209C0000}"/>
    <cellStyle name="货币 2 3 2 2 3 2 3 7" xfId="39921" xr:uid="{00000000-0005-0000-0000-0000219C0000}"/>
    <cellStyle name="货币 2 3 2 2 3 2 3 8" xfId="37647" xr:uid="{00000000-0005-0000-0000-00003F930000}"/>
    <cellStyle name="货币 2 3 2 2 3 2 3 9" xfId="24949" xr:uid="{00000000-0005-0000-0000-0000A5610000}"/>
    <cellStyle name="货币 2 3 2 2 3 2 4" xfId="9570" xr:uid="{00000000-0005-0000-0000-000092250000}"/>
    <cellStyle name="货币 2 3 2 2 3 2 4 10" xfId="39922" xr:uid="{00000000-0005-0000-0000-0000229C0000}"/>
    <cellStyle name="货币 2 3 2 2 3 2 4 2" xfId="36063" xr:uid="{00000000-0005-0000-0000-00000F8D0000}"/>
    <cellStyle name="货币 2 3 2 2 3 2 4 2 2" xfId="32972" xr:uid="{00000000-0005-0000-0000-0000FC800000}"/>
    <cellStyle name="货币 2 3 2 2 3 2 4 2 2 2" xfId="39923" xr:uid="{00000000-0005-0000-0000-0000239C0000}"/>
    <cellStyle name="货币 2 3 2 2 3 2 4 2 3" xfId="32975" xr:uid="{00000000-0005-0000-0000-0000FF800000}"/>
    <cellStyle name="货币 2 3 2 2 3 2 4 2 4" xfId="32978" xr:uid="{00000000-0005-0000-0000-000002810000}"/>
    <cellStyle name="货币 2 3 2 2 3 2 4 2 5" xfId="32981" xr:uid="{00000000-0005-0000-0000-000005810000}"/>
    <cellStyle name="货币 2 3 2 2 3 2 4 3" xfId="39924" xr:uid="{00000000-0005-0000-0000-0000249C0000}"/>
    <cellStyle name="货币 2 3 2 2 3 2 4 3 2" xfId="39925" xr:uid="{00000000-0005-0000-0000-0000259C0000}"/>
    <cellStyle name="货币 2 3 2 2 3 2 4 4" xfId="39926" xr:uid="{00000000-0005-0000-0000-0000269C0000}"/>
    <cellStyle name="货币 2 3 2 2 3 2 4 5" xfId="39927" xr:uid="{00000000-0005-0000-0000-0000279C0000}"/>
    <cellStyle name="货币 2 3 2 2 3 2 4 6" xfId="39928" xr:uid="{00000000-0005-0000-0000-0000289C0000}"/>
    <cellStyle name="货币 2 3 2 2 3 2 4 7" xfId="39929" xr:uid="{00000000-0005-0000-0000-0000299C0000}"/>
    <cellStyle name="货币 2 3 2 2 3 2 4 8" xfId="39930" xr:uid="{00000000-0005-0000-0000-00002A9C0000}"/>
    <cellStyle name="货币 2 3 2 2 3 2 4 9" xfId="23605" xr:uid="{00000000-0005-0000-0000-0000655C0000}"/>
    <cellStyle name="货币 2 3 2 2 3 2 5" xfId="9576" xr:uid="{00000000-0005-0000-0000-000098250000}"/>
    <cellStyle name="货币 2 3 2 2 3 2 5 10" xfId="14642" xr:uid="{00000000-0005-0000-0000-000062390000}"/>
    <cellStyle name="货币 2 3 2 2 3 2 5 2" xfId="39931" xr:uid="{00000000-0005-0000-0000-00002B9C0000}"/>
    <cellStyle name="货币 2 3 2 2 3 2 5 2 2" xfId="19743" xr:uid="{00000000-0005-0000-0000-00004F4D0000}"/>
    <cellStyle name="货币 2 3 2 2 3 2 5 2 2 2" xfId="39932" xr:uid="{00000000-0005-0000-0000-00002C9C0000}"/>
    <cellStyle name="货币 2 3 2 2 3 2 5 2 3" xfId="39933" xr:uid="{00000000-0005-0000-0000-00002D9C0000}"/>
    <cellStyle name="货币 2 3 2 2 3 2 5 2 4" xfId="39934" xr:uid="{00000000-0005-0000-0000-00002E9C0000}"/>
    <cellStyle name="货币 2 3 2 2 3 2 5 2 5" xfId="39935" xr:uid="{00000000-0005-0000-0000-00002F9C0000}"/>
    <cellStyle name="货币 2 3 2 2 3 2 5 3" xfId="39936" xr:uid="{00000000-0005-0000-0000-0000309C0000}"/>
    <cellStyle name="货币 2 3 2 2 3 2 5 3 2" xfId="39937" xr:uid="{00000000-0005-0000-0000-0000319C0000}"/>
    <cellStyle name="货币 2 3 2 2 3 2 5 4" xfId="39938" xr:uid="{00000000-0005-0000-0000-0000329C0000}"/>
    <cellStyle name="货币 2 3 2 2 3 2 5 5" xfId="39939" xr:uid="{00000000-0005-0000-0000-0000339C0000}"/>
    <cellStyle name="货币 2 3 2 2 3 2 5 6" xfId="39940" xr:uid="{00000000-0005-0000-0000-0000349C0000}"/>
    <cellStyle name="货币 2 3 2 2 3 2 5 7" xfId="39941" xr:uid="{00000000-0005-0000-0000-0000359C0000}"/>
    <cellStyle name="货币 2 3 2 2 3 2 5 8" xfId="39942" xr:uid="{00000000-0005-0000-0000-0000369C0000}"/>
    <cellStyle name="货币 2 3 2 2 3 2 5 9" xfId="25041" xr:uid="{00000000-0005-0000-0000-000001620000}"/>
    <cellStyle name="货币 2 3 2 2 3 2 6" xfId="14009" xr:uid="{00000000-0005-0000-0000-0000E9360000}"/>
    <cellStyle name="货币 2 3 2 2 3 2 6 2" xfId="31218" xr:uid="{00000000-0005-0000-0000-0000227A0000}"/>
    <cellStyle name="货币 2 3 2 2 3 2 6 2 2" xfId="39943" xr:uid="{00000000-0005-0000-0000-0000379C0000}"/>
    <cellStyle name="货币 2 3 2 2 3 2 6 3" xfId="31222" xr:uid="{00000000-0005-0000-0000-0000267A0000}"/>
    <cellStyle name="货币 2 3 2 2 3 2 6 4" xfId="31226" xr:uid="{00000000-0005-0000-0000-00002A7A0000}"/>
    <cellStyle name="货币 2 3 2 2 3 2 6 5" xfId="31228" xr:uid="{00000000-0005-0000-0000-00002C7A0000}"/>
    <cellStyle name="货币 2 3 2 2 3 2 6 6" xfId="31230" xr:uid="{00000000-0005-0000-0000-00002E7A0000}"/>
    <cellStyle name="货币 2 3 2 2 3 2 6 7" xfId="39944" xr:uid="{00000000-0005-0000-0000-0000389C0000}"/>
    <cellStyle name="货币 2 3 2 2 3 2 6 8" xfId="39945" xr:uid="{00000000-0005-0000-0000-0000399C0000}"/>
    <cellStyle name="货币 2 3 2 2 3 2 6 9" xfId="25064" xr:uid="{00000000-0005-0000-0000-000018620000}"/>
    <cellStyle name="货币 2 3 2 2 3 2 7" xfId="6129" xr:uid="{00000000-0005-0000-0000-000021180000}"/>
    <cellStyle name="货币 2 3 2 2 3 2 7 2" xfId="39947" xr:uid="{00000000-0005-0000-0000-00003B9C0000}"/>
    <cellStyle name="货币 2 3 2 2 3 2 8" xfId="27227" xr:uid="{00000000-0005-0000-0000-00008B6A0000}"/>
    <cellStyle name="货币 2 3 2 2 3 2 9" xfId="26521" xr:uid="{00000000-0005-0000-0000-0000C9670000}"/>
    <cellStyle name="货币 2 3 2 2 3 20" xfId="24855" xr:uid="{00000000-0005-0000-0000-000047610000}"/>
    <cellStyle name="货币 2 3 2 2 3 21" xfId="24860" xr:uid="{00000000-0005-0000-0000-00004C610000}"/>
    <cellStyle name="货币 2 3 2 2 3 22" xfId="13375" xr:uid="{00000000-0005-0000-0000-00006F340000}"/>
    <cellStyle name="货币 2 3 2 2 3 23" xfId="39886" xr:uid="{00000000-0005-0000-0000-0000FE9B0000}"/>
    <cellStyle name="货币 2 3 2 2 3 3" xfId="39948" xr:uid="{00000000-0005-0000-0000-00003C9C0000}"/>
    <cellStyle name="货币 2 3 2 2 3 3 10" xfId="34905" xr:uid="{00000000-0005-0000-0000-000089880000}"/>
    <cellStyle name="货币 2 3 2 2 3 3 11" xfId="34908" xr:uid="{00000000-0005-0000-0000-00008C880000}"/>
    <cellStyle name="货币 2 3 2 2 3 3 12" xfId="34911" xr:uid="{00000000-0005-0000-0000-00008F880000}"/>
    <cellStyle name="货币 2 3 2 2 3 3 13" xfId="5306" xr:uid="{00000000-0005-0000-0000-0000EA140000}"/>
    <cellStyle name="货币 2 3 2 2 3 3 14" xfId="39950" xr:uid="{00000000-0005-0000-0000-00003E9C0000}"/>
    <cellStyle name="货币 2 3 2 2 3 3 15" xfId="38671" xr:uid="{00000000-0005-0000-0000-00003F970000}"/>
    <cellStyle name="货币 2 3 2 2 3 3 16" xfId="39952" xr:uid="{00000000-0005-0000-0000-0000409C0000}"/>
    <cellStyle name="货币 2 3 2 2 3 3 17" xfId="39954" xr:uid="{00000000-0005-0000-0000-0000429C0000}"/>
    <cellStyle name="货币 2 3 2 2 3 3 18" xfId="18180" xr:uid="{00000000-0005-0000-0000-000034470000}"/>
    <cellStyle name="货币 2 3 2 2 3 3 2" xfId="39955" xr:uid="{00000000-0005-0000-0000-0000439C0000}"/>
    <cellStyle name="货币 2 3 2 2 3 3 2 10" xfId="8631" xr:uid="{00000000-0005-0000-0000-0000E7210000}"/>
    <cellStyle name="货币 2 3 2 2 3 3 2 2" xfId="39956" xr:uid="{00000000-0005-0000-0000-0000449C0000}"/>
    <cellStyle name="货币 2 3 2 2 3 3 2 2 2" xfId="22723" xr:uid="{00000000-0005-0000-0000-0000F3580000}"/>
    <cellStyle name="货币 2 3 2 2 3 3 2 3" xfId="32620" xr:uid="{00000000-0005-0000-0000-00009C7F0000}"/>
    <cellStyle name="货币 2 3 2 2 3 3 2 4" xfId="39957" xr:uid="{00000000-0005-0000-0000-0000459C0000}"/>
    <cellStyle name="货币 2 3 2 2 3 3 2 5" xfId="39958" xr:uid="{00000000-0005-0000-0000-0000469C0000}"/>
    <cellStyle name="货币 2 3 2 2 3 3 2 6" xfId="39959" xr:uid="{00000000-0005-0000-0000-0000479C0000}"/>
    <cellStyle name="货币 2 3 2 2 3 3 2 7" xfId="39960" xr:uid="{00000000-0005-0000-0000-0000489C0000}"/>
    <cellStyle name="货币 2 3 2 2 3 3 2 8" xfId="39961" xr:uid="{00000000-0005-0000-0000-0000499C0000}"/>
    <cellStyle name="货币 2 3 2 2 3 3 2 9" xfId="25134" xr:uid="{00000000-0005-0000-0000-00005E620000}"/>
    <cellStyle name="货币 2 3 2 2 3 3 3" xfId="38673" xr:uid="{00000000-0005-0000-0000-000041970000}"/>
    <cellStyle name="货币 2 3 2 2 3 3 3 2" xfId="37590" xr:uid="{00000000-0005-0000-0000-000006930000}"/>
    <cellStyle name="货币 2 3 2 2 3 3 3 3" xfId="32625" xr:uid="{00000000-0005-0000-0000-0000A17F0000}"/>
    <cellStyle name="货币 2 3 2 2 3 3 3 4" xfId="37602" xr:uid="{00000000-0005-0000-0000-000012930000}"/>
    <cellStyle name="货币 2 3 2 2 3 3 3 5" xfId="38675" xr:uid="{00000000-0005-0000-0000-000043970000}"/>
    <cellStyle name="货币 2 3 2 2 3 3 3 6" xfId="39962" xr:uid="{00000000-0005-0000-0000-00004A9C0000}"/>
    <cellStyle name="货币 2 3 2 2 3 3 4" xfId="27179" xr:uid="{00000000-0005-0000-0000-00005B6A0000}"/>
    <cellStyle name="货币 2 3 2 2 3 3 4 2" xfId="37656" xr:uid="{00000000-0005-0000-0000-000048930000}"/>
    <cellStyle name="货币 2 3 2 2 3 3 4 3" xfId="32643" xr:uid="{00000000-0005-0000-0000-0000B37F0000}"/>
    <cellStyle name="货币 2 3 2 2 3 3 4 4" xfId="18339" xr:uid="{00000000-0005-0000-0000-0000D3470000}"/>
    <cellStyle name="货币 2 3 2 2 3 3 4 5" xfId="18343" xr:uid="{00000000-0005-0000-0000-0000D7470000}"/>
    <cellStyle name="货币 2 3 2 2 3 3 4 6" xfId="18347" xr:uid="{00000000-0005-0000-0000-0000DB470000}"/>
    <cellStyle name="货币 2 3 2 2 3 3 5" xfId="27182" xr:uid="{00000000-0005-0000-0000-00005E6A0000}"/>
    <cellStyle name="货币 2 3 2 2 3 3 5 2" xfId="12104" xr:uid="{00000000-0005-0000-0000-0000782F0000}"/>
    <cellStyle name="货币 2 3 2 2 3 3 5 3" xfId="1733" xr:uid="{00000000-0005-0000-0000-0000F5060000}"/>
    <cellStyle name="货币 2 3 2 2 3 3 5 4" xfId="12109" xr:uid="{00000000-0005-0000-0000-00007D2F0000}"/>
    <cellStyle name="货币 2 3 2 2 3 3 5 5" xfId="12113" xr:uid="{00000000-0005-0000-0000-0000812F0000}"/>
    <cellStyle name="货币 2 3 2 2 3 3 5 6" xfId="841" xr:uid="{00000000-0005-0000-0000-000079030000}"/>
    <cellStyle name="货币 2 3 2 2 3 3 6" xfId="27185" xr:uid="{00000000-0005-0000-0000-0000616A0000}"/>
    <cellStyle name="货币 2 3 2 2 3 3 6 2" xfId="12124" xr:uid="{00000000-0005-0000-0000-00008C2F0000}"/>
    <cellStyle name="货币 2 3 2 2 3 3 6 3" xfId="1759" xr:uid="{00000000-0005-0000-0000-00000F070000}"/>
    <cellStyle name="货币 2 3 2 2 3 3 6 4" xfId="39666" xr:uid="{00000000-0005-0000-0000-0000229B0000}"/>
    <cellStyle name="货币 2 3 2 2 3 3 6 5" xfId="39668" xr:uid="{00000000-0005-0000-0000-0000249B0000}"/>
    <cellStyle name="货币 2 3 2 2 3 3 6 6" xfId="39963" xr:uid="{00000000-0005-0000-0000-00004B9C0000}"/>
    <cellStyle name="货币 2 3 2 2 3 3 7" xfId="27189" xr:uid="{00000000-0005-0000-0000-0000656A0000}"/>
    <cellStyle name="货币 2 3 2 2 3 3 8" xfId="27195" xr:uid="{00000000-0005-0000-0000-00006B6A0000}"/>
    <cellStyle name="货币 2 3 2 2 3 3 9" xfId="27200" xr:uid="{00000000-0005-0000-0000-0000706A0000}"/>
    <cellStyle name="货币 2 3 2 2 3 4" xfId="36963" xr:uid="{00000000-0005-0000-0000-000093900000}"/>
    <cellStyle name="货币 2 3 2 2 3 4 10" xfId="16226" xr:uid="{00000000-0005-0000-0000-0000923F0000}"/>
    <cellStyle name="货币 2 3 2 2 3 4 11" xfId="16239" xr:uid="{00000000-0005-0000-0000-00009F3F0000}"/>
    <cellStyle name="货币 2 3 2 2 3 4 12" xfId="16247" xr:uid="{00000000-0005-0000-0000-0000A73F0000}"/>
    <cellStyle name="货币 2 3 2 2 3 4 13" xfId="7520" xr:uid="{00000000-0005-0000-0000-0000901D0000}"/>
    <cellStyle name="货币 2 3 2 2 3 4 14" xfId="3124" xr:uid="{00000000-0005-0000-0000-0000640C0000}"/>
    <cellStyle name="货币 2 3 2 2 3 4 15" xfId="4981" xr:uid="{00000000-0005-0000-0000-0000A5130000}"/>
    <cellStyle name="货币 2 3 2 2 3 4 2" xfId="4430" xr:uid="{00000000-0005-0000-0000-00007E110000}"/>
    <cellStyle name="货币 2 3 2 2 3 4 2 2" xfId="39964" xr:uid="{00000000-0005-0000-0000-00004C9C0000}"/>
    <cellStyle name="货币 2 3 2 2 3 4 2 2 2" xfId="24354" xr:uid="{00000000-0005-0000-0000-0000525F0000}"/>
    <cellStyle name="货币 2 3 2 2 3 4 2 3" xfId="39965" xr:uid="{00000000-0005-0000-0000-00004D9C0000}"/>
    <cellStyle name="货币 2 3 2 2 3 4 2 4" xfId="39966" xr:uid="{00000000-0005-0000-0000-00004E9C0000}"/>
    <cellStyle name="货币 2 3 2 2 3 4 2 5" xfId="39967" xr:uid="{00000000-0005-0000-0000-00004F9C0000}"/>
    <cellStyle name="货币 2 3 2 2 3 4 2 6" xfId="39968" xr:uid="{00000000-0005-0000-0000-0000509C0000}"/>
    <cellStyle name="货币 2 3 2 2 3 4 2 7" xfId="39969" xr:uid="{00000000-0005-0000-0000-0000519C0000}"/>
    <cellStyle name="货币 2 3 2 2 3 4 2 8" xfId="39970" xr:uid="{00000000-0005-0000-0000-0000529C0000}"/>
    <cellStyle name="货币 2 3 2 2 3 4 2 9" xfId="25215" xr:uid="{00000000-0005-0000-0000-0000AF620000}"/>
    <cellStyle name="货币 2 3 2 2 3 4 3" xfId="4441" xr:uid="{00000000-0005-0000-0000-000089110000}"/>
    <cellStyle name="货币 2 3 2 2 3 4 3 2" xfId="4445" xr:uid="{00000000-0005-0000-0000-00008D110000}"/>
    <cellStyle name="货币 2 3 2 2 3 4 3 3" xfId="38084" xr:uid="{00000000-0005-0000-0000-0000F4940000}"/>
    <cellStyle name="货币 2 3 2 2 3 4 3 4" xfId="38087" xr:uid="{00000000-0005-0000-0000-0000F7940000}"/>
    <cellStyle name="货币 2 3 2 2 3 4 3 5" xfId="38677" xr:uid="{00000000-0005-0000-0000-000045970000}"/>
    <cellStyle name="货币 2 3 2 2 3 4 3 6" xfId="39971" xr:uid="{00000000-0005-0000-0000-0000539C0000}"/>
    <cellStyle name="货币 2 3 2 2 3 4 4" xfId="4450" xr:uid="{00000000-0005-0000-0000-000092110000}"/>
    <cellStyle name="货币 2 3 2 2 3 4 4 2" xfId="4454" xr:uid="{00000000-0005-0000-0000-000096110000}"/>
    <cellStyle name="货币 2 3 2 2 3 4 5" xfId="4090" xr:uid="{00000000-0005-0000-0000-00002A100000}"/>
    <cellStyle name="货币 2 3 2 2 3 4 6" xfId="2374" xr:uid="{00000000-0005-0000-0000-000076090000}"/>
    <cellStyle name="货币 2 3 2 2 3 4 7" xfId="4479" xr:uid="{00000000-0005-0000-0000-0000AF110000}"/>
    <cellStyle name="货币 2 3 2 2 3 4 8" xfId="2600" xr:uid="{00000000-0005-0000-0000-0000580A0000}"/>
    <cellStyle name="货币 2 3 2 2 3 4 9" xfId="36188" xr:uid="{00000000-0005-0000-0000-00008C8D0000}"/>
    <cellStyle name="货币 2 3 2 2 3 5" xfId="39972" xr:uid="{00000000-0005-0000-0000-0000549C0000}"/>
    <cellStyle name="货币 2 3 2 2 3 5 10" xfId="39973" xr:uid="{00000000-0005-0000-0000-0000559C0000}"/>
    <cellStyle name="货币 2 3 2 2 3 5 11" xfId="39974" xr:uid="{00000000-0005-0000-0000-0000569C0000}"/>
    <cellStyle name="货币 2 3 2 2 3 5 12" xfId="39975" xr:uid="{00000000-0005-0000-0000-0000579C0000}"/>
    <cellStyle name="货币 2 3 2 2 3 5 13" xfId="39976" xr:uid="{00000000-0005-0000-0000-0000589C0000}"/>
    <cellStyle name="货币 2 3 2 2 3 5 2" xfId="39977" xr:uid="{00000000-0005-0000-0000-0000599C0000}"/>
    <cellStyle name="货币 2 3 2 2 3 5 2 2" xfId="39978" xr:uid="{00000000-0005-0000-0000-00005A9C0000}"/>
    <cellStyle name="货币 2 3 2 2 3 5 2 2 2" xfId="25584" xr:uid="{00000000-0005-0000-0000-000020640000}"/>
    <cellStyle name="货币 2 3 2 2 3 5 2 3" xfId="39979" xr:uid="{00000000-0005-0000-0000-00005B9C0000}"/>
    <cellStyle name="货币 2 3 2 2 3 5 2 4" xfId="39981" xr:uid="{00000000-0005-0000-0000-00005D9C0000}"/>
    <cellStyle name="货币 2 3 2 2 3 5 2 5" xfId="39983" xr:uid="{00000000-0005-0000-0000-00005F9C0000}"/>
    <cellStyle name="货币 2 3 2 2 3 5 2 6" xfId="39985" xr:uid="{00000000-0005-0000-0000-0000619C0000}"/>
    <cellStyle name="货币 2 3 2 2 3 5 2 7" xfId="39987" xr:uid="{00000000-0005-0000-0000-0000639C0000}"/>
    <cellStyle name="货币 2 3 2 2 3 5 2 8" xfId="39988" xr:uid="{00000000-0005-0000-0000-0000649C0000}"/>
    <cellStyle name="货币 2 3 2 2 3 5 2 9" xfId="25268" xr:uid="{00000000-0005-0000-0000-0000E4620000}"/>
    <cellStyle name="货币 2 3 2 2 3 5 3" xfId="4494" xr:uid="{00000000-0005-0000-0000-0000BE110000}"/>
    <cellStyle name="货币 2 3 2 2 3 5 3 2" xfId="4499" xr:uid="{00000000-0005-0000-0000-0000C3110000}"/>
    <cellStyle name="货币 2 3 2 2 3 5 3 3" xfId="39989" xr:uid="{00000000-0005-0000-0000-0000659C0000}"/>
    <cellStyle name="货币 2 3 2 2 3 5 3 4" xfId="39990" xr:uid="{00000000-0005-0000-0000-0000669C0000}"/>
    <cellStyle name="货币 2 3 2 2 3 5 3 5" xfId="39991" xr:uid="{00000000-0005-0000-0000-0000679C0000}"/>
    <cellStyle name="货币 2 3 2 2 3 5 3 6" xfId="39992" xr:uid="{00000000-0005-0000-0000-0000689C0000}"/>
    <cellStyle name="货币 2 3 2 2 3 5 4" xfId="4503" xr:uid="{00000000-0005-0000-0000-0000C7110000}"/>
    <cellStyle name="货币 2 3 2 2 3 5 4 2" xfId="39993" xr:uid="{00000000-0005-0000-0000-0000699C0000}"/>
    <cellStyle name="货币 2 3 2 2 3 5 5" xfId="4096" xr:uid="{00000000-0005-0000-0000-000030100000}"/>
    <cellStyle name="货币 2 3 2 2 3 5 6" xfId="3232" xr:uid="{00000000-0005-0000-0000-0000D00C0000}"/>
    <cellStyle name="货币 2 3 2 2 3 5 7" xfId="4525" xr:uid="{00000000-0005-0000-0000-0000DD110000}"/>
    <cellStyle name="货币 2 3 2 2 3 5 8" xfId="14497" xr:uid="{00000000-0005-0000-0000-0000D1380000}"/>
    <cellStyle name="货币 2 3 2 2 3 5 9" xfId="36192" xr:uid="{00000000-0005-0000-0000-0000908D0000}"/>
    <cellStyle name="货币 2 3 2 2 3 6" xfId="39994" xr:uid="{00000000-0005-0000-0000-00006A9C0000}"/>
    <cellStyle name="货币 2 3 2 2 3 6 10" xfId="39995" xr:uid="{00000000-0005-0000-0000-00006B9C0000}"/>
    <cellStyle name="货币 2 3 2 2 3 6 11" xfId="39996" xr:uid="{00000000-0005-0000-0000-00006C9C0000}"/>
    <cellStyle name="货币 2 3 2 2 3 6 12" xfId="39997" xr:uid="{00000000-0005-0000-0000-00006D9C0000}"/>
    <cellStyle name="货币 2 3 2 2 3 6 2" xfId="39998" xr:uid="{00000000-0005-0000-0000-00006E9C0000}"/>
    <cellStyle name="货币 2 3 2 2 3 6 2 2" xfId="39999" xr:uid="{00000000-0005-0000-0000-00006F9C0000}"/>
    <cellStyle name="货币 2 3 2 2 3 6 2 2 2" xfId="26024" xr:uid="{00000000-0005-0000-0000-0000D8650000}"/>
    <cellStyle name="货币 2 3 2 2 3 6 2 3" xfId="40000" xr:uid="{00000000-0005-0000-0000-0000709C0000}"/>
    <cellStyle name="货币 2 3 2 2 3 6 2 4" xfId="40001" xr:uid="{00000000-0005-0000-0000-0000719C0000}"/>
    <cellStyle name="货币 2 3 2 2 3 6 2 5" xfId="40002" xr:uid="{00000000-0005-0000-0000-0000729C0000}"/>
    <cellStyle name="货币 2 3 2 2 3 6 2 6" xfId="40004" xr:uid="{00000000-0005-0000-0000-0000749C0000}"/>
    <cellStyle name="货币 2 3 2 2 3 6 2 7" xfId="40005" xr:uid="{00000000-0005-0000-0000-0000759C0000}"/>
    <cellStyle name="货币 2 3 2 2 3 6 2 8" xfId="8809" xr:uid="{00000000-0005-0000-0000-000099220000}"/>
    <cellStyle name="货币 2 3 2 2 3 6 2 9" xfId="8814" xr:uid="{00000000-0005-0000-0000-00009E220000}"/>
    <cellStyle name="货币 2 3 2 2 3 6 3" xfId="38680" xr:uid="{00000000-0005-0000-0000-000048970000}"/>
    <cellStyle name="货币 2 3 2 2 3 6 3 2" xfId="40006" xr:uid="{00000000-0005-0000-0000-0000769C0000}"/>
    <cellStyle name="货币 2 3 2 2 3 6 3 3" xfId="40007" xr:uid="{00000000-0005-0000-0000-0000779C0000}"/>
    <cellStyle name="货币 2 3 2 2 3 6 3 4" xfId="40008" xr:uid="{00000000-0005-0000-0000-0000789C0000}"/>
    <cellStyle name="货币 2 3 2 2 3 6 3 5" xfId="40009" xr:uid="{00000000-0005-0000-0000-0000799C0000}"/>
    <cellStyle name="货币 2 3 2 2 3 6 3 6" xfId="40010" xr:uid="{00000000-0005-0000-0000-00007A9C0000}"/>
    <cellStyle name="货币 2 3 2 2 3 6 4" xfId="40012" xr:uid="{00000000-0005-0000-0000-00007C9C0000}"/>
    <cellStyle name="货币 2 3 2 2 3 6 4 2" xfId="40013" xr:uid="{00000000-0005-0000-0000-00007D9C0000}"/>
    <cellStyle name="货币 2 3 2 2 3 6 5" xfId="4111" xr:uid="{00000000-0005-0000-0000-00003F100000}"/>
    <cellStyle name="货币 2 3 2 2 3 6 6" xfId="40014" xr:uid="{00000000-0005-0000-0000-00007E9C0000}"/>
    <cellStyle name="货币 2 3 2 2 3 6 7" xfId="40015" xr:uid="{00000000-0005-0000-0000-00007F9C0000}"/>
    <cellStyle name="货币 2 3 2 2 3 6 8" xfId="9245" xr:uid="{00000000-0005-0000-0000-00004D240000}"/>
    <cellStyle name="货币 2 3 2 2 3 6 9" xfId="9252" xr:uid="{00000000-0005-0000-0000-000054240000}"/>
    <cellStyle name="货币 2 3 2 2 3 7" xfId="14841" xr:uid="{00000000-0005-0000-0000-0000293A0000}"/>
    <cellStyle name="货币 2 3 2 2 3 7 2" xfId="40016" xr:uid="{00000000-0005-0000-0000-0000809C0000}"/>
    <cellStyle name="货币 2 3 2 2 3 7 2 2" xfId="40017" xr:uid="{00000000-0005-0000-0000-0000819C0000}"/>
    <cellStyle name="货币 2 3 2 2 3 7 3" xfId="40018" xr:uid="{00000000-0005-0000-0000-0000829C0000}"/>
    <cellStyle name="货币 2 3 2 2 3 7 4" xfId="40019" xr:uid="{00000000-0005-0000-0000-0000839C0000}"/>
    <cellStyle name="货币 2 3 2 2 3 7 5" xfId="40020" xr:uid="{00000000-0005-0000-0000-0000849C0000}"/>
    <cellStyle name="货币 2 3 2 2 3 7 6" xfId="21204" xr:uid="{00000000-0005-0000-0000-000004530000}"/>
    <cellStyle name="货币 2 3 2 2 3 7 7" xfId="40021" xr:uid="{00000000-0005-0000-0000-0000859C0000}"/>
    <cellStyle name="货币 2 3 2 2 3 7 8" xfId="40022" xr:uid="{00000000-0005-0000-0000-0000869C0000}"/>
    <cellStyle name="货币 2 3 2 2 3 7 9" xfId="40023" xr:uid="{00000000-0005-0000-0000-0000879C0000}"/>
    <cellStyle name="货币 2 3 2 2 3 8" xfId="11451" xr:uid="{00000000-0005-0000-0000-0000EB2C0000}"/>
    <cellStyle name="货币 2 3 2 2 3 8 2" xfId="40024" xr:uid="{00000000-0005-0000-0000-0000889C0000}"/>
    <cellStyle name="货币 2 3 2 2 3 8 3" xfId="40025" xr:uid="{00000000-0005-0000-0000-0000899C0000}"/>
    <cellStyle name="货币 2 3 2 2 3 8 4" xfId="40026" xr:uid="{00000000-0005-0000-0000-00008A9C0000}"/>
    <cellStyle name="货币 2 3 2 2 3 8 5" xfId="40027" xr:uid="{00000000-0005-0000-0000-00008B9C0000}"/>
    <cellStyle name="货币 2 3 2 2 3 8 6" xfId="40028" xr:uid="{00000000-0005-0000-0000-00008C9C0000}"/>
    <cellStyle name="货币 2 3 2 2 3 9" xfId="11474" xr:uid="{00000000-0005-0000-0000-0000022D0000}"/>
    <cellStyle name="货币 2 3 2 2 3 9 2" xfId="25131" xr:uid="{00000000-0005-0000-0000-00005B620000}"/>
    <cellStyle name="货币 2 3 2 2 3 9 3" xfId="28291" xr:uid="{00000000-0005-0000-0000-0000B36E0000}"/>
    <cellStyle name="货币 2 3 2 2 3 9 4" xfId="28293" xr:uid="{00000000-0005-0000-0000-0000B56E0000}"/>
    <cellStyle name="货币 2 3 2 2 3 9 5" xfId="28295" xr:uid="{00000000-0005-0000-0000-0000B76E0000}"/>
    <cellStyle name="货币 2 3 2 2 3 9 6" xfId="40029" xr:uid="{00000000-0005-0000-0000-00008D9C0000}"/>
    <cellStyle name="货币 2 3 2 2 4" xfId="40030" xr:uid="{00000000-0005-0000-0000-00008E9C0000}"/>
    <cellStyle name="货币 2 3 2 2 4 10" xfId="21416" xr:uid="{00000000-0005-0000-0000-0000D8530000}"/>
    <cellStyle name="货币 2 3 2 2 4 10 2" xfId="40031" xr:uid="{00000000-0005-0000-0000-00008F9C0000}"/>
    <cellStyle name="货币 2 3 2 2 4 10 3" xfId="21420" xr:uid="{00000000-0005-0000-0000-0000DC530000}"/>
    <cellStyle name="货币 2 3 2 2 4 10 4" xfId="40032" xr:uid="{00000000-0005-0000-0000-0000909C0000}"/>
    <cellStyle name="货币 2 3 2 2 4 10 5" xfId="40033" xr:uid="{00000000-0005-0000-0000-0000919C0000}"/>
    <cellStyle name="货币 2 3 2 2 4 10 6" xfId="40034" xr:uid="{00000000-0005-0000-0000-0000929C0000}"/>
    <cellStyle name="货币 2 3 2 2 4 11" xfId="40035" xr:uid="{00000000-0005-0000-0000-0000939C0000}"/>
    <cellStyle name="货币 2 3 2 2 4 11 2" xfId="40036" xr:uid="{00000000-0005-0000-0000-0000949C0000}"/>
    <cellStyle name="货币 2 3 2 2 4 11 3" xfId="40037" xr:uid="{00000000-0005-0000-0000-0000959C0000}"/>
    <cellStyle name="货币 2 3 2 2 4 11 4" xfId="40038" xr:uid="{00000000-0005-0000-0000-0000969C0000}"/>
    <cellStyle name="货币 2 3 2 2 4 11 5" xfId="40039" xr:uid="{00000000-0005-0000-0000-0000979C0000}"/>
    <cellStyle name="货币 2 3 2 2 4 11 6" xfId="40040" xr:uid="{00000000-0005-0000-0000-0000989C0000}"/>
    <cellStyle name="货币 2 3 2 2 4 12" xfId="2064" xr:uid="{00000000-0005-0000-0000-000040080000}"/>
    <cellStyle name="货币 2 3 2 2 4 13" xfId="40041" xr:uid="{00000000-0005-0000-0000-0000999C0000}"/>
    <cellStyle name="货币 2 3 2 2 4 14" xfId="40042" xr:uid="{00000000-0005-0000-0000-00009A9C0000}"/>
    <cellStyle name="货币 2 3 2 2 4 15" xfId="40044" xr:uid="{00000000-0005-0000-0000-00009C9C0000}"/>
    <cellStyle name="货币 2 3 2 2 4 16" xfId="40046" xr:uid="{00000000-0005-0000-0000-00009E9C0000}"/>
    <cellStyle name="货币 2 3 2 2 4 17" xfId="40048" xr:uid="{00000000-0005-0000-0000-0000A09C0000}"/>
    <cellStyle name="货币 2 3 2 2 4 18" xfId="40050" xr:uid="{00000000-0005-0000-0000-0000A29C0000}"/>
    <cellStyle name="货币 2 3 2 2 4 19" xfId="40051" xr:uid="{00000000-0005-0000-0000-0000A39C0000}"/>
    <cellStyle name="货币 2 3 2 2 4 2" xfId="40053" xr:uid="{00000000-0005-0000-0000-0000A59C0000}"/>
    <cellStyle name="货币 2 3 2 2 4 2 10" xfId="40054" xr:uid="{00000000-0005-0000-0000-0000A69C0000}"/>
    <cellStyle name="货币 2 3 2 2 4 2 11" xfId="40055" xr:uid="{00000000-0005-0000-0000-0000A79C0000}"/>
    <cellStyle name="货币 2 3 2 2 4 2 12" xfId="40056" xr:uid="{00000000-0005-0000-0000-0000A89C0000}"/>
    <cellStyle name="货币 2 3 2 2 4 2 13" xfId="40057" xr:uid="{00000000-0005-0000-0000-0000A99C0000}"/>
    <cellStyle name="货币 2 3 2 2 4 2 14" xfId="11836" xr:uid="{00000000-0005-0000-0000-00006C2E0000}"/>
    <cellStyle name="货币 2 3 2 2 4 2 15" xfId="40058" xr:uid="{00000000-0005-0000-0000-0000AA9C0000}"/>
    <cellStyle name="货币 2 3 2 2 4 2 16" xfId="40059" xr:uid="{00000000-0005-0000-0000-0000AB9C0000}"/>
    <cellStyle name="货币 2 3 2 2 4 2 17" xfId="40060" xr:uid="{00000000-0005-0000-0000-0000AC9C0000}"/>
    <cellStyle name="货币 2 3 2 2 4 2 18" xfId="40061" xr:uid="{00000000-0005-0000-0000-0000AD9C0000}"/>
    <cellStyle name="货币 2 3 2 2 4 2 2" xfId="40062" xr:uid="{00000000-0005-0000-0000-0000AE9C0000}"/>
    <cellStyle name="货币 2 3 2 2 4 2 2 10" xfId="40063" xr:uid="{00000000-0005-0000-0000-0000AF9C0000}"/>
    <cellStyle name="货币 2 3 2 2 4 2 2 11" xfId="40064" xr:uid="{00000000-0005-0000-0000-0000B09C0000}"/>
    <cellStyle name="货币 2 3 2 2 4 2 2 12" xfId="40065" xr:uid="{00000000-0005-0000-0000-0000B19C0000}"/>
    <cellStyle name="货币 2 3 2 2 4 2 2 2" xfId="40066" xr:uid="{00000000-0005-0000-0000-0000B29C0000}"/>
    <cellStyle name="货币 2 3 2 2 4 2 2 2 2" xfId="29484" xr:uid="{00000000-0005-0000-0000-00005C730000}"/>
    <cellStyle name="货币 2 3 2 2 4 2 2 2 2 2" xfId="40067" xr:uid="{00000000-0005-0000-0000-0000B39C0000}"/>
    <cellStyle name="货币 2 3 2 2 4 2 2 2 3" xfId="40068" xr:uid="{00000000-0005-0000-0000-0000B49C0000}"/>
    <cellStyle name="货币 2 3 2 2 4 2 2 2 4" xfId="40070" xr:uid="{00000000-0005-0000-0000-0000B69C0000}"/>
    <cellStyle name="货币 2 3 2 2 4 2 2 2 5" xfId="40071" xr:uid="{00000000-0005-0000-0000-0000B79C0000}"/>
    <cellStyle name="货币 2 3 2 2 4 2 2 3" xfId="40072" xr:uid="{00000000-0005-0000-0000-0000B89C0000}"/>
    <cellStyle name="货币 2 3 2 2 4 2 2 3 2" xfId="40074" xr:uid="{00000000-0005-0000-0000-0000BA9C0000}"/>
    <cellStyle name="货币 2 3 2 2 4 2 2 4" xfId="40075" xr:uid="{00000000-0005-0000-0000-0000BB9C0000}"/>
    <cellStyle name="货币 2 3 2 2 4 2 2 5" xfId="40076" xr:uid="{00000000-0005-0000-0000-0000BC9C0000}"/>
    <cellStyle name="货币 2 3 2 2 4 2 2 6" xfId="40077" xr:uid="{00000000-0005-0000-0000-0000BD9C0000}"/>
    <cellStyle name="货币 2 3 2 2 4 2 2 7" xfId="40078" xr:uid="{00000000-0005-0000-0000-0000BE9C0000}"/>
    <cellStyle name="货币 2 3 2 2 4 2 2 8" xfId="40079" xr:uid="{00000000-0005-0000-0000-0000BF9C0000}"/>
    <cellStyle name="货币 2 3 2 2 4 2 2 9" xfId="26041" xr:uid="{00000000-0005-0000-0000-0000E9650000}"/>
    <cellStyle name="货币 2 3 2 2 4 2 3" xfId="38695" xr:uid="{00000000-0005-0000-0000-000057970000}"/>
    <cellStyle name="货币 2 3 2 2 4 2 3 10" xfId="40081" xr:uid="{00000000-0005-0000-0000-0000C19C0000}"/>
    <cellStyle name="货币 2 3 2 2 4 2 3 11" xfId="40084" xr:uid="{00000000-0005-0000-0000-0000C49C0000}"/>
    <cellStyle name="货币 2 3 2 2 4 2 3 12" xfId="40086" xr:uid="{00000000-0005-0000-0000-0000C69C0000}"/>
    <cellStyle name="货币 2 3 2 2 4 2 3 2" xfId="40087" xr:uid="{00000000-0005-0000-0000-0000C79C0000}"/>
    <cellStyle name="货币 2 3 2 2 4 2 3 2 2" xfId="29496" xr:uid="{00000000-0005-0000-0000-000068730000}"/>
    <cellStyle name="货币 2 3 2 2 4 2 3 2 2 2" xfId="40088" xr:uid="{00000000-0005-0000-0000-0000C89C0000}"/>
    <cellStyle name="货币 2 3 2 2 4 2 3 2 3" xfId="40089" xr:uid="{00000000-0005-0000-0000-0000C99C0000}"/>
    <cellStyle name="货币 2 3 2 2 4 2 3 2 4" xfId="40090" xr:uid="{00000000-0005-0000-0000-0000CA9C0000}"/>
    <cellStyle name="货币 2 3 2 2 4 2 3 2 5" xfId="40091" xr:uid="{00000000-0005-0000-0000-0000CB9C0000}"/>
    <cellStyle name="货币 2 3 2 2 4 2 3 3" xfId="40092" xr:uid="{00000000-0005-0000-0000-0000CC9C0000}"/>
    <cellStyle name="货币 2 3 2 2 4 2 3 3 2" xfId="40093" xr:uid="{00000000-0005-0000-0000-0000CD9C0000}"/>
    <cellStyle name="货币 2 3 2 2 4 2 3 4" xfId="40094" xr:uid="{00000000-0005-0000-0000-0000CE9C0000}"/>
    <cellStyle name="货币 2 3 2 2 4 2 3 5" xfId="40095" xr:uid="{00000000-0005-0000-0000-0000CF9C0000}"/>
    <cellStyle name="货币 2 3 2 2 4 2 3 6" xfId="40096" xr:uid="{00000000-0005-0000-0000-0000D09C0000}"/>
    <cellStyle name="货币 2 3 2 2 4 2 3 7" xfId="40097" xr:uid="{00000000-0005-0000-0000-0000D19C0000}"/>
    <cellStyle name="货币 2 3 2 2 4 2 3 8" xfId="40098" xr:uid="{00000000-0005-0000-0000-0000D29C0000}"/>
    <cellStyle name="货币 2 3 2 2 4 2 3 9" xfId="26074" xr:uid="{00000000-0005-0000-0000-00000A660000}"/>
    <cellStyle name="货币 2 3 2 2 4 2 4" xfId="38697" xr:uid="{00000000-0005-0000-0000-000059970000}"/>
    <cellStyle name="货币 2 3 2 2 4 2 4 10" xfId="40099" xr:uid="{00000000-0005-0000-0000-0000D39C0000}"/>
    <cellStyle name="货币 2 3 2 2 4 2 4 2" xfId="40100" xr:uid="{00000000-0005-0000-0000-0000D49C0000}"/>
    <cellStyle name="货币 2 3 2 2 4 2 4 2 2" xfId="3925" xr:uid="{00000000-0005-0000-0000-0000850F0000}"/>
    <cellStyle name="货币 2 3 2 2 4 2 4 2 2 2" xfId="40101" xr:uid="{00000000-0005-0000-0000-0000D59C0000}"/>
    <cellStyle name="货币 2 3 2 2 4 2 4 2 3" xfId="40102" xr:uid="{00000000-0005-0000-0000-0000D69C0000}"/>
    <cellStyle name="货币 2 3 2 2 4 2 4 2 4" xfId="40103" xr:uid="{00000000-0005-0000-0000-0000D79C0000}"/>
    <cellStyle name="货币 2 3 2 2 4 2 4 2 5" xfId="40105" xr:uid="{00000000-0005-0000-0000-0000D99C0000}"/>
    <cellStyle name="货币 2 3 2 2 4 2 4 3" xfId="40106" xr:uid="{00000000-0005-0000-0000-0000DA9C0000}"/>
    <cellStyle name="货币 2 3 2 2 4 2 4 3 2" xfId="40107" xr:uid="{00000000-0005-0000-0000-0000DB9C0000}"/>
    <cellStyle name="货币 2 3 2 2 4 2 4 4" xfId="40108" xr:uid="{00000000-0005-0000-0000-0000DC9C0000}"/>
    <cellStyle name="货币 2 3 2 2 4 2 4 5" xfId="40109" xr:uid="{00000000-0005-0000-0000-0000DD9C0000}"/>
    <cellStyle name="货币 2 3 2 2 4 2 4 6" xfId="40110" xr:uid="{00000000-0005-0000-0000-0000DE9C0000}"/>
    <cellStyle name="货币 2 3 2 2 4 2 4 7" xfId="40111" xr:uid="{00000000-0005-0000-0000-0000DF9C0000}"/>
    <cellStyle name="货币 2 3 2 2 4 2 4 8" xfId="40112" xr:uid="{00000000-0005-0000-0000-0000E09C0000}"/>
    <cellStyle name="货币 2 3 2 2 4 2 4 9" xfId="26085" xr:uid="{00000000-0005-0000-0000-000015660000}"/>
    <cellStyle name="货币 2 3 2 2 4 2 5" xfId="38699" xr:uid="{00000000-0005-0000-0000-00005B970000}"/>
    <cellStyle name="货币 2 3 2 2 4 2 5 10" xfId="40113" xr:uid="{00000000-0005-0000-0000-0000E19C0000}"/>
    <cellStyle name="货币 2 3 2 2 4 2 5 2" xfId="40114" xr:uid="{00000000-0005-0000-0000-0000E29C0000}"/>
    <cellStyle name="货币 2 3 2 2 4 2 5 2 2" xfId="29509" xr:uid="{00000000-0005-0000-0000-000075730000}"/>
    <cellStyle name="货币 2 3 2 2 4 2 5 2 2 2" xfId="40115" xr:uid="{00000000-0005-0000-0000-0000E39C0000}"/>
    <cellStyle name="货币 2 3 2 2 4 2 5 2 3" xfId="40116" xr:uid="{00000000-0005-0000-0000-0000E49C0000}"/>
    <cellStyle name="货币 2 3 2 2 4 2 5 2 4" xfId="40117" xr:uid="{00000000-0005-0000-0000-0000E59C0000}"/>
    <cellStyle name="货币 2 3 2 2 4 2 5 2 5" xfId="40118" xr:uid="{00000000-0005-0000-0000-0000E69C0000}"/>
    <cellStyle name="货币 2 3 2 2 4 2 5 3" xfId="40120" xr:uid="{00000000-0005-0000-0000-0000E89C0000}"/>
    <cellStyle name="货币 2 3 2 2 4 2 5 3 2" xfId="40121" xr:uid="{00000000-0005-0000-0000-0000E99C0000}"/>
    <cellStyle name="货币 2 3 2 2 4 2 5 4" xfId="40122" xr:uid="{00000000-0005-0000-0000-0000EA9C0000}"/>
    <cellStyle name="货币 2 3 2 2 4 2 5 5" xfId="40123" xr:uid="{00000000-0005-0000-0000-0000EB9C0000}"/>
    <cellStyle name="货币 2 3 2 2 4 2 5 6" xfId="40124" xr:uid="{00000000-0005-0000-0000-0000EC9C0000}"/>
    <cellStyle name="货币 2 3 2 2 4 2 5 7" xfId="40125" xr:uid="{00000000-0005-0000-0000-0000ED9C0000}"/>
    <cellStyle name="货币 2 3 2 2 4 2 5 8" xfId="11498" xr:uid="{00000000-0005-0000-0000-00001A2D0000}"/>
    <cellStyle name="货币 2 3 2 2 4 2 5 9" xfId="11503" xr:uid="{00000000-0005-0000-0000-00001F2D0000}"/>
    <cellStyle name="货币 2 3 2 2 4 2 6" xfId="38701" xr:uid="{00000000-0005-0000-0000-00005D970000}"/>
    <cellStyle name="货币 2 3 2 2 4 2 6 2" xfId="40126" xr:uid="{00000000-0005-0000-0000-0000EE9C0000}"/>
    <cellStyle name="货币 2 3 2 2 4 2 6 2 2" xfId="29518" xr:uid="{00000000-0005-0000-0000-00007E730000}"/>
    <cellStyle name="货币 2 3 2 2 4 2 6 3" xfId="40127" xr:uid="{00000000-0005-0000-0000-0000EF9C0000}"/>
    <cellStyle name="货币 2 3 2 2 4 2 6 4" xfId="40128" xr:uid="{00000000-0005-0000-0000-0000F09C0000}"/>
    <cellStyle name="货币 2 3 2 2 4 2 6 5" xfId="40129" xr:uid="{00000000-0005-0000-0000-0000F19C0000}"/>
    <cellStyle name="货币 2 3 2 2 4 2 6 6" xfId="40130" xr:uid="{00000000-0005-0000-0000-0000F29C0000}"/>
    <cellStyle name="货币 2 3 2 2 4 2 6 7" xfId="40131" xr:uid="{00000000-0005-0000-0000-0000F39C0000}"/>
    <cellStyle name="货币 2 3 2 2 4 2 6 8" xfId="40132" xr:uid="{00000000-0005-0000-0000-0000F49C0000}"/>
    <cellStyle name="货币 2 3 2 2 4 2 6 9" xfId="26106" xr:uid="{00000000-0005-0000-0000-00002A660000}"/>
    <cellStyle name="货币 2 3 2 2 4 2 7" xfId="27244" xr:uid="{00000000-0005-0000-0000-00009C6A0000}"/>
    <cellStyle name="货币 2 3 2 2 4 2 7 2" xfId="40133" xr:uid="{00000000-0005-0000-0000-0000F59C0000}"/>
    <cellStyle name="货币 2 3 2 2 4 2 8" xfId="19462" xr:uid="{00000000-0005-0000-0000-0000364C0000}"/>
    <cellStyle name="货币 2 3 2 2 4 2 9" xfId="19466" xr:uid="{00000000-0005-0000-0000-00003A4C0000}"/>
    <cellStyle name="货币 2 3 2 2 4 20" xfId="40043" xr:uid="{00000000-0005-0000-0000-00009B9C0000}"/>
    <cellStyle name="货币 2 3 2 2 4 21" xfId="40045" xr:uid="{00000000-0005-0000-0000-00009D9C0000}"/>
    <cellStyle name="货币 2 3 2 2 4 22" xfId="40047" xr:uid="{00000000-0005-0000-0000-00009F9C0000}"/>
    <cellStyle name="货币 2 3 2 2 4 23" xfId="40049" xr:uid="{00000000-0005-0000-0000-0000A19C0000}"/>
    <cellStyle name="货币 2 3 2 2 4 3" xfId="40135" xr:uid="{00000000-0005-0000-0000-0000F79C0000}"/>
    <cellStyle name="货币 2 3 2 2 4 3 10" xfId="40137" xr:uid="{00000000-0005-0000-0000-0000F99C0000}"/>
    <cellStyle name="货币 2 3 2 2 4 3 11" xfId="29736" xr:uid="{00000000-0005-0000-0000-000058740000}"/>
    <cellStyle name="货币 2 3 2 2 4 3 12" xfId="29739" xr:uid="{00000000-0005-0000-0000-00005B740000}"/>
    <cellStyle name="货币 2 3 2 2 4 3 13" xfId="23576" xr:uid="{00000000-0005-0000-0000-0000485C0000}"/>
    <cellStyle name="货币 2 3 2 2 4 3 14" xfId="23591" xr:uid="{00000000-0005-0000-0000-0000575C0000}"/>
    <cellStyle name="货币 2 3 2 2 4 3 15" xfId="12483" xr:uid="{00000000-0005-0000-0000-0000F3300000}"/>
    <cellStyle name="货币 2 3 2 2 4 3 16" xfId="12514" xr:uid="{00000000-0005-0000-0000-000012310000}"/>
    <cellStyle name="货币 2 3 2 2 4 3 17" xfId="2944" xr:uid="{00000000-0005-0000-0000-0000B00B0000}"/>
    <cellStyle name="货币 2 3 2 2 4 3 18" xfId="12546" xr:uid="{00000000-0005-0000-0000-000032310000}"/>
    <cellStyle name="货币 2 3 2 2 4 3 2" xfId="40138" xr:uid="{00000000-0005-0000-0000-0000FA9C0000}"/>
    <cellStyle name="货币 2 3 2 2 4 3 2 10" xfId="22127" xr:uid="{00000000-0005-0000-0000-00009F560000}"/>
    <cellStyle name="货币 2 3 2 2 4 3 2 2" xfId="29133" xr:uid="{00000000-0005-0000-0000-0000FD710000}"/>
    <cellStyle name="货币 2 3 2 2 4 3 2 2 2" xfId="26455" xr:uid="{00000000-0005-0000-0000-000087670000}"/>
    <cellStyle name="货币 2 3 2 2 4 3 2 3" xfId="29135" xr:uid="{00000000-0005-0000-0000-0000FF710000}"/>
    <cellStyle name="货币 2 3 2 2 4 3 2 4" xfId="29139" xr:uid="{00000000-0005-0000-0000-000003720000}"/>
    <cellStyle name="货币 2 3 2 2 4 3 2 5" xfId="29141" xr:uid="{00000000-0005-0000-0000-000005720000}"/>
    <cellStyle name="货币 2 3 2 2 4 3 2 6" xfId="29143" xr:uid="{00000000-0005-0000-0000-000007720000}"/>
    <cellStyle name="货币 2 3 2 2 4 3 2 7" xfId="40139" xr:uid="{00000000-0005-0000-0000-0000FB9C0000}"/>
    <cellStyle name="货币 2 3 2 2 4 3 2 8" xfId="40140" xr:uid="{00000000-0005-0000-0000-0000FC9C0000}"/>
    <cellStyle name="货币 2 3 2 2 4 3 2 9" xfId="26135" xr:uid="{00000000-0005-0000-0000-000047660000}"/>
    <cellStyle name="货币 2 3 2 2 4 3 3" xfId="38703" xr:uid="{00000000-0005-0000-0000-00005F970000}"/>
    <cellStyle name="货币 2 3 2 2 4 3 3 2" xfId="40141" xr:uid="{00000000-0005-0000-0000-0000FD9C0000}"/>
    <cellStyle name="货币 2 3 2 2 4 3 3 3" xfId="40142" xr:uid="{00000000-0005-0000-0000-0000FE9C0000}"/>
    <cellStyle name="货币 2 3 2 2 4 3 3 4" xfId="40143" xr:uid="{00000000-0005-0000-0000-0000FF9C0000}"/>
    <cellStyle name="货币 2 3 2 2 4 3 3 5" xfId="40144" xr:uid="{00000000-0005-0000-0000-0000009D0000}"/>
    <cellStyle name="货币 2 3 2 2 4 3 3 6" xfId="25329" xr:uid="{00000000-0005-0000-0000-000021630000}"/>
    <cellStyle name="货币 2 3 2 2 4 3 4" xfId="38705" xr:uid="{00000000-0005-0000-0000-000061970000}"/>
    <cellStyle name="货币 2 3 2 2 4 3 4 2" xfId="40145" xr:uid="{00000000-0005-0000-0000-0000019D0000}"/>
    <cellStyle name="货币 2 3 2 2 4 3 4 3" xfId="40146" xr:uid="{00000000-0005-0000-0000-0000029D0000}"/>
    <cellStyle name="货币 2 3 2 2 4 3 4 4" xfId="40147" xr:uid="{00000000-0005-0000-0000-0000039D0000}"/>
    <cellStyle name="货币 2 3 2 2 4 3 4 5" xfId="40148" xr:uid="{00000000-0005-0000-0000-0000049D0000}"/>
    <cellStyle name="货币 2 3 2 2 4 3 4 6" xfId="7295" xr:uid="{00000000-0005-0000-0000-0000AF1C0000}"/>
    <cellStyle name="货币 2 3 2 2 4 3 5" xfId="38707" xr:uid="{00000000-0005-0000-0000-000063970000}"/>
    <cellStyle name="货币 2 3 2 2 4 3 5 2" xfId="40150" xr:uid="{00000000-0005-0000-0000-0000069D0000}"/>
    <cellStyle name="货币 2 3 2 2 4 3 5 3" xfId="40152" xr:uid="{00000000-0005-0000-0000-0000089D0000}"/>
    <cellStyle name="货币 2 3 2 2 4 3 5 4" xfId="40154" xr:uid="{00000000-0005-0000-0000-00000A9D0000}"/>
    <cellStyle name="货币 2 3 2 2 4 3 5 5" xfId="40156" xr:uid="{00000000-0005-0000-0000-00000C9D0000}"/>
    <cellStyle name="货币 2 3 2 2 4 3 5 6" xfId="40158" xr:uid="{00000000-0005-0000-0000-00000E9D0000}"/>
    <cellStyle name="货币 2 3 2 2 4 3 6" xfId="38709" xr:uid="{00000000-0005-0000-0000-000065970000}"/>
    <cellStyle name="货币 2 3 2 2 4 3 6 2" xfId="40159" xr:uid="{00000000-0005-0000-0000-00000F9D0000}"/>
    <cellStyle name="货币 2 3 2 2 4 3 6 3" xfId="40160" xr:uid="{00000000-0005-0000-0000-0000109D0000}"/>
    <cellStyle name="货币 2 3 2 2 4 3 6 4" xfId="40161" xr:uid="{00000000-0005-0000-0000-0000119D0000}"/>
    <cellStyle name="货币 2 3 2 2 4 3 6 5" xfId="40162" xr:uid="{00000000-0005-0000-0000-0000129D0000}"/>
    <cellStyle name="货币 2 3 2 2 4 3 6 6" xfId="40163" xr:uid="{00000000-0005-0000-0000-0000139D0000}"/>
    <cellStyle name="货币 2 3 2 2 4 3 7" xfId="27250" xr:uid="{00000000-0005-0000-0000-0000A26A0000}"/>
    <cellStyle name="货币 2 3 2 2 4 3 8" xfId="40164" xr:uid="{00000000-0005-0000-0000-0000149D0000}"/>
    <cellStyle name="货币 2 3 2 2 4 3 9" xfId="40165" xr:uid="{00000000-0005-0000-0000-0000159D0000}"/>
    <cellStyle name="货币 2 3 2 2 4 4" xfId="40167" xr:uid="{00000000-0005-0000-0000-0000179D0000}"/>
    <cellStyle name="货币 2 3 2 2 4 4 10" xfId="40168" xr:uid="{00000000-0005-0000-0000-0000189D0000}"/>
    <cellStyle name="货币 2 3 2 2 4 4 11" xfId="40169" xr:uid="{00000000-0005-0000-0000-0000199D0000}"/>
    <cellStyle name="货币 2 3 2 2 4 4 12" xfId="40170" xr:uid="{00000000-0005-0000-0000-00001A9D0000}"/>
    <cellStyle name="货币 2 3 2 2 4 4 13" xfId="23738" xr:uid="{00000000-0005-0000-0000-0000EA5C0000}"/>
    <cellStyle name="货币 2 3 2 2 4 4 14" xfId="23740" xr:uid="{00000000-0005-0000-0000-0000EC5C0000}"/>
    <cellStyle name="货币 2 3 2 2 4 4 15" xfId="23742" xr:uid="{00000000-0005-0000-0000-0000EE5C0000}"/>
    <cellStyle name="货币 2 3 2 2 4 4 2" xfId="40171" xr:uid="{00000000-0005-0000-0000-00001B9D0000}"/>
    <cellStyle name="货币 2 3 2 2 4 4 2 2" xfId="29163" xr:uid="{00000000-0005-0000-0000-00001B720000}"/>
    <cellStyle name="货币 2 3 2 2 4 4 2 2 2" xfId="26709" xr:uid="{00000000-0005-0000-0000-000085680000}"/>
    <cellStyle name="货币 2 3 2 2 4 4 2 3" xfId="29166" xr:uid="{00000000-0005-0000-0000-00001E720000}"/>
    <cellStyle name="货币 2 3 2 2 4 4 2 4" xfId="29168" xr:uid="{00000000-0005-0000-0000-000020720000}"/>
    <cellStyle name="货币 2 3 2 2 4 4 2 5" xfId="29170" xr:uid="{00000000-0005-0000-0000-000022720000}"/>
    <cellStyle name="货币 2 3 2 2 4 4 2 6" xfId="29172" xr:uid="{00000000-0005-0000-0000-000024720000}"/>
    <cellStyle name="货币 2 3 2 2 4 4 2 7" xfId="40172" xr:uid="{00000000-0005-0000-0000-00001C9D0000}"/>
    <cellStyle name="货币 2 3 2 2 4 4 2 8" xfId="40173" xr:uid="{00000000-0005-0000-0000-00001D9D0000}"/>
    <cellStyle name="货币 2 3 2 2 4 4 2 9" xfId="26177" xr:uid="{00000000-0005-0000-0000-000071660000}"/>
    <cellStyle name="货币 2 3 2 2 4 4 3" xfId="38711" xr:uid="{00000000-0005-0000-0000-000067970000}"/>
    <cellStyle name="货币 2 3 2 2 4 4 3 2" xfId="40174" xr:uid="{00000000-0005-0000-0000-00001E9D0000}"/>
    <cellStyle name="货币 2 3 2 2 4 4 3 3" xfId="40175" xr:uid="{00000000-0005-0000-0000-00001F9D0000}"/>
    <cellStyle name="货币 2 3 2 2 4 4 3 4" xfId="40176" xr:uid="{00000000-0005-0000-0000-0000209D0000}"/>
    <cellStyle name="货币 2 3 2 2 4 4 3 5" xfId="40177" xr:uid="{00000000-0005-0000-0000-0000219D0000}"/>
    <cellStyle name="货币 2 3 2 2 4 4 3 6" xfId="40178" xr:uid="{00000000-0005-0000-0000-0000229D0000}"/>
    <cellStyle name="货币 2 3 2 2 4 4 4" xfId="38713" xr:uid="{00000000-0005-0000-0000-000069970000}"/>
    <cellStyle name="货币 2 3 2 2 4 4 4 2" xfId="40179" xr:uid="{00000000-0005-0000-0000-0000239D0000}"/>
    <cellStyle name="货币 2 3 2 2 4 4 5" xfId="38715" xr:uid="{00000000-0005-0000-0000-00006B970000}"/>
    <cellStyle name="货币 2 3 2 2 4 4 6" xfId="38717" xr:uid="{00000000-0005-0000-0000-00006D970000}"/>
    <cellStyle name="货币 2 3 2 2 4 4 7" xfId="38719" xr:uid="{00000000-0005-0000-0000-00006F970000}"/>
    <cellStyle name="货币 2 3 2 2 4 4 8" xfId="40180" xr:uid="{00000000-0005-0000-0000-0000249D0000}"/>
    <cellStyle name="货币 2 3 2 2 4 4 9" xfId="40181" xr:uid="{00000000-0005-0000-0000-0000259D0000}"/>
    <cellStyle name="货币 2 3 2 2 4 5" xfId="40182" xr:uid="{00000000-0005-0000-0000-0000269D0000}"/>
    <cellStyle name="货币 2 3 2 2 4 5 10" xfId="39980" xr:uid="{00000000-0005-0000-0000-00005C9C0000}"/>
    <cellStyle name="货币 2 3 2 2 4 5 11" xfId="39982" xr:uid="{00000000-0005-0000-0000-00005E9C0000}"/>
    <cellStyle name="货币 2 3 2 2 4 5 12" xfId="39984" xr:uid="{00000000-0005-0000-0000-0000609C0000}"/>
    <cellStyle name="货币 2 3 2 2 4 5 13" xfId="39986" xr:uid="{00000000-0005-0000-0000-0000629C0000}"/>
    <cellStyle name="货币 2 3 2 2 4 5 2" xfId="40183" xr:uid="{00000000-0005-0000-0000-0000279D0000}"/>
    <cellStyle name="货币 2 3 2 2 4 5 2 2" xfId="13690" xr:uid="{00000000-0005-0000-0000-0000AA350000}"/>
    <cellStyle name="货币 2 3 2 2 4 5 2 2 2" xfId="25421" xr:uid="{00000000-0005-0000-0000-00007D630000}"/>
    <cellStyle name="货币 2 3 2 2 4 5 2 3" xfId="40184" xr:uid="{00000000-0005-0000-0000-0000289D0000}"/>
    <cellStyle name="货币 2 3 2 2 4 5 2 4" xfId="40185" xr:uid="{00000000-0005-0000-0000-0000299D0000}"/>
    <cellStyle name="货币 2 3 2 2 4 5 2 5" xfId="40186" xr:uid="{00000000-0005-0000-0000-00002A9D0000}"/>
    <cellStyle name="货币 2 3 2 2 4 5 2 6" xfId="40187" xr:uid="{00000000-0005-0000-0000-00002B9D0000}"/>
    <cellStyle name="货币 2 3 2 2 4 5 2 7" xfId="40188" xr:uid="{00000000-0005-0000-0000-00002C9D0000}"/>
    <cellStyle name="货币 2 3 2 2 4 5 2 8" xfId="40189" xr:uid="{00000000-0005-0000-0000-00002D9D0000}"/>
    <cellStyle name="货币 2 3 2 2 4 5 2 9" xfId="21337" xr:uid="{00000000-0005-0000-0000-000089530000}"/>
    <cellStyle name="货币 2 3 2 2 4 5 3" xfId="30249" xr:uid="{00000000-0005-0000-0000-000059760000}"/>
    <cellStyle name="货币 2 3 2 2 4 5 3 2" xfId="40190" xr:uid="{00000000-0005-0000-0000-00002E9D0000}"/>
    <cellStyle name="货币 2 3 2 2 4 5 3 3" xfId="40191" xr:uid="{00000000-0005-0000-0000-00002F9D0000}"/>
    <cellStyle name="货币 2 3 2 2 4 5 3 4" xfId="40192" xr:uid="{00000000-0005-0000-0000-0000309D0000}"/>
    <cellStyle name="货币 2 3 2 2 4 5 3 5" xfId="40193" xr:uid="{00000000-0005-0000-0000-0000319D0000}"/>
    <cellStyle name="货币 2 3 2 2 4 5 3 6" xfId="40194" xr:uid="{00000000-0005-0000-0000-0000329D0000}"/>
    <cellStyle name="货币 2 3 2 2 4 5 4" xfId="30252" xr:uid="{00000000-0005-0000-0000-00005C760000}"/>
    <cellStyle name="货币 2 3 2 2 4 5 4 2" xfId="12583" xr:uid="{00000000-0005-0000-0000-000057310000}"/>
    <cellStyle name="货币 2 3 2 2 4 5 5" xfId="14514" xr:uid="{00000000-0005-0000-0000-0000E2380000}"/>
    <cellStyle name="货币 2 3 2 2 4 5 6" xfId="30256" xr:uid="{00000000-0005-0000-0000-000060760000}"/>
    <cellStyle name="货币 2 3 2 2 4 5 7" xfId="30260" xr:uid="{00000000-0005-0000-0000-000064760000}"/>
    <cellStyle name="货币 2 3 2 2 4 5 8" xfId="40195" xr:uid="{00000000-0005-0000-0000-0000339D0000}"/>
    <cellStyle name="货币 2 3 2 2 4 5 9" xfId="40196" xr:uid="{00000000-0005-0000-0000-0000349D0000}"/>
    <cellStyle name="货币 2 3 2 2 4 6" xfId="40197" xr:uid="{00000000-0005-0000-0000-0000359D0000}"/>
    <cellStyle name="货币 2 3 2 2 4 6 10" xfId="40198" xr:uid="{00000000-0005-0000-0000-0000369D0000}"/>
    <cellStyle name="货币 2 3 2 2 4 6 11" xfId="40199" xr:uid="{00000000-0005-0000-0000-0000379D0000}"/>
    <cellStyle name="货币 2 3 2 2 4 6 12" xfId="40200" xr:uid="{00000000-0005-0000-0000-0000389D0000}"/>
    <cellStyle name="货币 2 3 2 2 4 6 2" xfId="40201" xr:uid="{00000000-0005-0000-0000-0000399D0000}"/>
    <cellStyle name="货币 2 3 2 2 4 6 2 2" xfId="40202" xr:uid="{00000000-0005-0000-0000-00003A9D0000}"/>
    <cellStyle name="货币 2 3 2 2 4 6 2 2 2" xfId="26512" xr:uid="{00000000-0005-0000-0000-0000C0670000}"/>
    <cellStyle name="货币 2 3 2 2 4 6 2 3" xfId="40203" xr:uid="{00000000-0005-0000-0000-00003B9D0000}"/>
    <cellStyle name="货币 2 3 2 2 4 6 2 4" xfId="40204" xr:uid="{00000000-0005-0000-0000-00003C9D0000}"/>
    <cellStyle name="货币 2 3 2 2 4 6 2 5" xfId="40205" xr:uid="{00000000-0005-0000-0000-00003D9D0000}"/>
    <cellStyle name="货币 2 3 2 2 4 6 2 6" xfId="40206" xr:uid="{00000000-0005-0000-0000-00003E9D0000}"/>
    <cellStyle name="货币 2 3 2 2 4 6 2 7" xfId="40207" xr:uid="{00000000-0005-0000-0000-00003F9D0000}"/>
    <cellStyle name="货币 2 3 2 2 4 6 2 8" xfId="40208" xr:uid="{00000000-0005-0000-0000-0000409D0000}"/>
    <cellStyle name="货币 2 3 2 2 4 6 2 9" xfId="21450" xr:uid="{00000000-0005-0000-0000-0000FA530000}"/>
    <cellStyle name="货币 2 3 2 2 4 6 3" xfId="40209" xr:uid="{00000000-0005-0000-0000-0000419D0000}"/>
    <cellStyle name="货币 2 3 2 2 4 6 3 2" xfId="40210" xr:uid="{00000000-0005-0000-0000-0000429D0000}"/>
    <cellStyle name="货币 2 3 2 2 4 6 3 3" xfId="40211" xr:uid="{00000000-0005-0000-0000-0000439D0000}"/>
    <cellStyle name="货币 2 3 2 2 4 6 3 4" xfId="40212" xr:uid="{00000000-0005-0000-0000-0000449D0000}"/>
    <cellStyle name="货币 2 3 2 2 4 6 3 5" xfId="40213" xr:uid="{00000000-0005-0000-0000-0000459D0000}"/>
    <cellStyle name="货币 2 3 2 2 4 6 3 6" xfId="40214" xr:uid="{00000000-0005-0000-0000-0000469D0000}"/>
    <cellStyle name="货币 2 3 2 2 4 6 4" xfId="40215" xr:uid="{00000000-0005-0000-0000-0000479D0000}"/>
    <cellStyle name="货币 2 3 2 2 4 6 4 2" xfId="22760" xr:uid="{00000000-0005-0000-0000-000018590000}"/>
    <cellStyle name="货币 2 3 2 2 4 6 5" xfId="40216" xr:uid="{00000000-0005-0000-0000-0000489D0000}"/>
    <cellStyle name="货币 2 3 2 2 4 6 6" xfId="40217" xr:uid="{00000000-0005-0000-0000-0000499D0000}"/>
    <cellStyle name="货币 2 3 2 2 4 6 7" xfId="40218" xr:uid="{00000000-0005-0000-0000-00004A9D0000}"/>
    <cellStyle name="货币 2 3 2 2 4 6 8" xfId="40219" xr:uid="{00000000-0005-0000-0000-00004B9D0000}"/>
    <cellStyle name="货币 2 3 2 2 4 6 9" xfId="40220" xr:uid="{00000000-0005-0000-0000-00004C9D0000}"/>
    <cellStyle name="货币 2 3 2 2 4 7" xfId="40221" xr:uid="{00000000-0005-0000-0000-00004D9D0000}"/>
    <cellStyle name="货币 2 3 2 2 4 7 2" xfId="40222" xr:uid="{00000000-0005-0000-0000-00004E9D0000}"/>
    <cellStyle name="货币 2 3 2 2 4 7 2 2" xfId="40223" xr:uid="{00000000-0005-0000-0000-00004F9D0000}"/>
    <cellStyle name="货币 2 3 2 2 4 7 3" xfId="40224" xr:uid="{00000000-0005-0000-0000-0000509D0000}"/>
    <cellStyle name="货币 2 3 2 2 4 7 4" xfId="40225" xr:uid="{00000000-0005-0000-0000-0000519D0000}"/>
    <cellStyle name="货币 2 3 2 2 4 7 5" xfId="40226" xr:uid="{00000000-0005-0000-0000-0000529D0000}"/>
    <cellStyle name="货币 2 3 2 2 4 7 6" xfId="40227" xr:uid="{00000000-0005-0000-0000-0000539D0000}"/>
    <cellStyle name="货币 2 3 2 2 4 7 7" xfId="40228" xr:uid="{00000000-0005-0000-0000-0000549D0000}"/>
    <cellStyle name="货币 2 3 2 2 4 7 8" xfId="40229" xr:uid="{00000000-0005-0000-0000-0000559D0000}"/>
    <cellStyle name="货币 2 3 2 2 4 7 9" xfId="40230" xr:uid="{00000000-0005-0000-0000-0000569D0000}"/>
    <cellStyle name="货币 2 3 2 2 4 8" xfId="40231" xr:uid="{00000000-0005-0000-0000-0000579D0000}"/>
    <cellStyle name="货币 2 3 2 2 4 8 2" xfId="40232" xr:uid="{00000000-0005-0000-0000-0000589D0000}"/>
    <cellStyle name="货币 2 3 2 2 4 8 3" xfId="40233" xr:uid="{00000000-0005-0000-0000-0000599D0000}"/>
    <cellStyle name="货币 2 3 2 2 4 8 4" xfId="40234" xr:uid="{00000000-0005-0000-0000-00005A9D0000}"/>
    <cellStyle name="货币 2 3 2 2 4 8 5" xfId="40235" xr:uid="{00000000-0005-0000-0000-00005B9D0000}"/>
    <cellStyle name="货币 2 3 2 2 4 8 6" xfId="40236" xr:uid="{00000000-0005-0000-0000-00005C9D0000}"/>
    <cellStyle name="货币 2 3 2 2 4 9" xfId="40238" xr:uid="{00000000-0005-0000-0000-00005E9D0000}"/>
    <cellStyle name="货币 2 3 2 2 4 9 2" xfId="8662" xr:uid="{00000000-0005-0000-0000-000006220000}"/>
    <cellStyle name="货币 2 3 2 2 4 9 3" xfId="8703" xr:uid="{00000000-0005-0000-0000-00002F220000}"/>
    <cellStyle name="货币 2 3 2 2 4 9 4" xfId="28353" xr:uid="{00000000-0005-0000-0000-0000F16E0000}"/>
    <cellStyle name="货币 2 3 2 2 4 9 5" xfId="28355" xr:uid="{00000000-0005-0000-0000-0000F36E0000}"/>
    <cellStyle name="货币 2 3 2 2 4 9 6" xfId="40239" xr:uid="{00000000-0005-0000-0000-00005F9D0000}"/>
    <cellStyle name="货币 2 3 2 2 5" xfId="40240" xr:uid="{00000000-0005-0000-0000-0000609D0000}"/>
    <cellStyle name="货币 2 3 2 2 5 10" xfId="40241" xr:uid="{00000000-0005-0000-0000-0000619D0000}"/>
    <cellStyle name="货币 2 3 2 2 5 11" xfId="40242" xr:uid="{00000000-0005-0000-0000-0000629D0000}"/>
    <cellStyle name="货币 2 3 2 2 5 12" xfId="40243" xr:uid="{00000000-0005-0000-0000-0000639D0000}"/>
    <cellStyle name="货币 2 3 2 2 5 13" xfId="40244" xr:uid="{00000000-0005-0000-0000-0000649D0000}"/>
    <cellStyle name="货币 2 3 2 2 5 14" xfId="40246" xr:uid="{00000000-0005-0000-0000-0000669D0000}"/>
    <cellStyle name="货币 2 3 2 2 5 15" xfId="40248" xr:uid="{00000000-0005-0000-0000-0000689D0000}"/>
    <cellStyle name="货币 2 3 2 2 5 16" xfId="40250" xr:uid="{00000000-0005-0000-0000-00006A9D0000}"/>
    <cellStyle name="货币 2 3 2 2 5 17" xfId="40252" xr:uid="{00000000-0005-0000-0000-00006C9D0000}"/>
    <cellStyle name="货币 2 3 2 2 5 18" xfId="6084" xr:uid="{00000000-0005-0000-0000-0000F4170000}"/>
    <cellStyle name="货币 2 3 2 2 5 2" xfId="35049" xr:uid="{00000000-0005-0000-0000-000019890000}"/>
    <cellStyle name="货币 2 3 2 2 5 2 10" xfId="40254" xr:uid="{00000000-0005-0000-0000-00006E9D0000}"/>
    <cellStyle name="货币 2 3 2 2 5 2 11" xfId="40257" xr:uid="{00000000-0005-0000-0000-0000719D0000}"/>
    <cellStyle name="货币 2 3 2 2 5 2 12" xfId="40260" xr:uid="{00000000-0005-0000-0000-0000749D0000}"/>
    <cellStyle name="货币 2 3 2 2 5 2 13" xfId="40263" xr:uid="{00000000-0005-0000-0000-0000779D0000}"/>
    <cellStyle name="货币 2 3 2 2 5 2 14" xfId="40266" xr:uid="{00000000-0005-0000-0000-00007A9D0000}"/>
    <cellStyle name="货币 2 3 2 2 5 2 2" xfId="40267" xr:uid="{00000000-0005-0000-0000-00007B9D0000}"/>
    <cellStyle name="货币 2 3 2 2 5 2 2 10" xfId="37076" xr:uid="{00000000-0005-0000-0000-000004910000}"/>
    <cellStyle name="货币 2 3 2 2 5 2 2 2" xfId="40268" xr:uid="{00000000-0005-0000-0000-00007C9D0000}"/>
    <cellStyle name="货币 2 3 2 2 5 2 2 2 2" xfId="40269" xr:uid="{00000000-0005-0000-0000-00007D9D0000}"/>
    <cellStyle name="货币 2 3 2 2 5 2 2 3" xfId="40270" xr:uid="{00000000-0005-0000-0000-00007E9D0000}"/>
    <cellStyle name="货币 2 3 2 2 5 2 2 4" xfId="40271" xr:uid="{00000000-0005-0000-0000-00007F9D0000}"/>
    <cellStyle name="货币 2 3 2 2 5 2 2 5" xfId="40272" xr:uid="{00000000-0005-0000-0000-0000809D0000}"/>
    <cellStyle name="货币 2 3 2 2 5 2 2 6" xfId="18169" xr:uid="{00000000-0005-0000-0000-000029470000}"/>
    <cellStyle name="货币 2 3 2 2 5 2 2 7" xfId="18172" xr:uid="{00000000-0005-0000-0000-00002C470000}"/>
    <cellStyle name="货币 2 3 2 2 5 2 2 8" xfId="6090" xr:uid="{00000000-0005-0000-0000-0000FA170000}"/>
    <cellStyle name="货币 2 3 2 2 5 2 2 9" xfId="6119" xr:uid="{00000000-0005-0000-0000-000017180000}"/>
    <cellStyle name="货币 2 3 2 2 5 2 3" xfId="38727" xr:uid="{00000000-0005-0000-0000-000077970000}"/>
    <cellStyle name="货币 2 3 2 2 5 2 3 2" xfId="40273" xr:uid="{00000000-0005-0000-0000-0000819D0000}"/>
    <cellStyle name="货币 2 3 2 2 5 2 3 3" xfId="40274" xr:uid="{00000000-0005-0000-0000-0000829D0000}"/>
    <cellStyle name="货币 2 3 2 2 5 2 3 4" xfId="40275" xr:uid="{00000000-0005-0000-0000-0000839D0000}"/>
    <cellStyle name="货币 2 3 2 2 5 2 3 5" xfId="40276" xr:uid="{00000000-0005-0000-0000-0000849D0000}"/>
    <cellStyle name="货币 2 3 2 2 5 2 3 6" xfId="40277" xr:uid="{00000000-0005-0000-0000-0000859D0000}"/>
    <cellStyle name="货币 2 3 2 2 5 2 4" xfId="38729" xr:uid="{00000000-0005-0000-0000-000079970000}"/>
    <cellStyle name="货币 2 3 2 2 5 2 4 2" xfId="40278" xr:uid="{00000000-0005-0000-0000-0000869D0000}"/>
    <cellStyle name="货币 2 3 2 2 5 2 4 3" xfId="40279" xr:uid="{00000000-0005-0000-0000-0000879D0000}"/>
    <cellStyle name="货币 2 3 2 2 5 2 4 4" xfId="40280" xr:uid="{00000000-0005-0000-0000-0000889D0000}"/>
    <cellStyle name="货币 2 3 2 2 5 2 4 5" xfId="40281" xr:uid="{00000000-0005-0000-0000-0000899D0000}"/>
    <cellStyle name="货币 2 3 2 2 5 2 5" xfId="38731" xr:uid="{00000000-0005-0000-0000-00007B970000}"/>
    <cellStyle name="货币 2 3 2 2 5 2 6" xfId="38733" xr:uid="{00000000-0005-0000-0000-00007D970000}"/>
    <cellStyle name="货币 2 3 2 2 5 2 7" xfId="719" xr:uid="{00000000-0005-0000-0000-0000FF020000}"/>
    <cellStyle name="货币 2 3 2 2 5 2 8" xfId="40282" xr:uid="{00000000-0005-0000-0000-00008A9D0000}"/>
    <cellStyle name="货币 2 3 2 2 5 2 9" xfId="40283" xr:uid="{00000000-0005-0000-0000-00008B9D0000}"/>
    <cellStyle name="货币 2 3 2 2 5 3" xfId="40285" xr:uid="{00000000-0005-0000-0000-00008D9D0000}"/>
    <cellStyle name="货币 2 3 2 2 5 3 10" xfId="31019" xr:uid="{00000000-0005-0000-0000-00005B790000}"/>
    <cellStyle name="货币 2 3 2 2 5 3 11" xfId="40286" xr:uid="{00000000-0005-0000-0000-00008E9D0000}"/>
    <cellStyle name="货币 2 3 2 2 5 3 12" xfId="40287" xr:uid="{00000000-0005-0000-0000-00008F9D0000}"/>
    <cellStyle name="货币 2 3 2 2 5 3 2" xfId="40288" xr:uid="{00000000-0005-0000-0000-0000909D0000}"/>
    <cellStyle name="货币 2 3 2 2 5 3 2 2" xfId="40289" xr:uid="{00000000-0005-0000-0000-0000919D0000}"/>
    <cellStyle name="货币 2 3 2 2 5 3 2 2 2" xfId="40291" xr:uid="{00000000-0005-0000-0000-0000939D0000}"/>
    <cellStyle name="货币 2 3 2 2 5 3 2 3" xfId="40292" xr:uid="{00000000-0005-0000-0000-0000949D0000}"/>
    <cellStyle name="货币 2 3 2 2 5 3 2 4" xfId="40293" xr:uid="{00000000-0005-0000-0000-0000959D0000}"/>
    <cellStyle name="货币 2 3 2 2 5 3 2 5" xfId="40294" xr:uid="{00000000-0005-0000-0000-0000969D0000}"/>
    <cellStyle name="货币 2 3 2 2 5 3 3" xfId="38735" xr:uid="{00000000-0005-0000-0000-00007F970000}"/>
    <cellStyle name="货币 2 3 2 2 5 3 3 2" xfId="40295" xr:uid="{00000000-0005-0000-0000-0000979D0000}"/>
    <cellStyle name="货币 2 3 2 2 5 3 4" xfId="40296" xr:uid="{00000000-0005-0000-0000-0000989D0000}"/>
    <cellStyle name="货币 2 3 2 2 5 3 5" xfId="40297" xr:uid="{00000000-0005-0000-0000-0000999D0000}"/>
    <cellStyle name="货币 2 3 2 2 5 3 6" xfId="40298" xr:uid="{00000000-0005-0000-0000-00009A9D0000}"/>
    <cellStyle name="货币 2 3 2 2 5 3 7" xfId="40299" xr:uid="{00000000-0005-0000-0000-00009B9D0000}"/>
    <cellStyle name="货币 2 3 2 2 5 3 8" xfId="40300" xr:uid="{00000000-0005-0000-0000-00009C9D0000}"/>
    <cellStyle name="货币 2 3 2 2 5 3 9" xfId="40301" xr:uid="{00000000-0005-0000-0000-00009D9D0000}"/>
    <cellStyle name="货币 2 3 2 2 5 4" xfId="1318" xr:uid="{00000000-0005-0000-0000-000056050000}"/>
    <cellStyle name="货币 2 3 2 2 5 4 10" xfId="11368" xr:uid="{00000000-0005-0000-0000-0000982C0000}"/>
    <cellStyle name="货币 2 3 2 2 5 4 11" xfId="11374" xr:uid="{00000000-0005-0000-0000-00009E2C0000}"/>
    <cellStyle name="货币 2 3 2 2 5 4 2" xfId="40302" xr:uid="{00000000-0005-0000-0000-00009E9D0000}"/>
    <cellStyle name="货币 2 3 2 2 5 4 2 2" xfId="40303" xr:uid="{00000000-0005-0000-0000-00009F9D0000}"/>
    <cellStyle name="货币 2 3 2 2 5 4 2 2 2" xfId="40305" xr:uid="{00000000-0005-0000-0000-0000A19D0000}"/>
    <cellStyle name="货币 2 3 2 2 5 4 2 3" xfId="40306" xr:uid="{00000000-0005-0000-0000-0000A29D0000}"/>
    <cellStyle name="货币 2 3 2 2 5 4 2 4" xfId="40307" xr:uid="{00000000-0005-0000-0000-0000A39D0000}"/>
    <cellStyle name="货币 2 3 2 2 5 4 2 5" xfId="40308" xr:uid="{00000000-0005-0000-0000-0000A49D0000}"/>
    <cellStyle name="货币 2 3 2 2 5 4 3" xfId="40309" xr:uid="{00000000-0005-0000-0000-0000A59D0000}"/>
    <cellStyle name="货币 2 3 2 2 5 4 3 2" xfId="40310" xr:uid="{00000000-0005-0000-0000-0000A69D0000}"/>
    <cellStyle name="货币 2 3 2 2 5 4 4" xfId="40311" xr:uid="{00000000-0005-0000-0000-0000A79D0000}"/>
    <cellStyle name="货币 2 3 2 2 5 4 5" xfId="40312" xr:uid="{00000000-0005-0000-0000-0000A89D0000}"/>
    <cellStyle name="货币 2 3 2 2 5 4 6" xfId="40313" xr:uid="{00000000-0005-0000-0000-0000A99D0000}"/>
    <cellStyle name="货币 2 3 2 2 5 4 7" xfId="40314" xr:uid="{00000000-0005-0000-0000-0000AA9D0000}"/>
    <cellStyle name="货币 2 3 2 2 5 4 8" xfId="40315" xr:uid="{00000000-0005-0000-0000-0000AB9D0000}"/>
    <cellStyle name="货币 2 3 2 2 5 4 9" xfId="40316" xr:uid="{00000000-0005-0000-0000-0000AC9D0000}"/>
    <cellStyle name="货币 2 3 2 2 5 5" xfId="40317" xr:uid="{00000000-0005-0000-0000-0000AD9D0000}"/>
    <cellStyle name="货币 2 3 2 2 5 5 10" xfId="40319" xr:uid="{00000000-0005-0000-0000-0000AF9D0000}"/>
    <cellStyle name="货币 2 3 2 2 5 5 2" xfId="40320" xr:uid="{00000000-0005-0000-0000-0000B09D0000}"/>
    <cellStyle name="货币 2 3 2 2 5 5 2 2" xfId="40321" xr:uid="{00000000-0005-0000-0000-0000B19D0000}"/>
    <cellStyle name="货币 2 3 2 2 5 5 2 2 2" xfId="40322" xr:uid="{00000000-0005-0000-0000-0000B29D0000}"/>
    <cellStyle name="货币 2 3 2 2 5 5 2 3" xfId="40323" xr:uid="{00000000-0005-0000-0000-0000B39D0000}"/>
    <cellStyle name="货币 2 3 2 2 5 5 2 4" xfId="40324" xr:uid="{00000000-0005-0000-0000-0000B49D0000}"/>
    <cellStyle name="货币 2 3 2 2 5 5 2 5" xfId="40325" xr:uid="{00000000-0005-0000-0000-0000B59D0000}"/>
    <cellStyle name="货币 2 3 2 2 5 5 3" xfId="40326" xr:uid="{00000000-0005-0000-0000-0000B69D0000}"/>
    <cellStyle name="货币 2 3 2 2 5 5 3 2" xfId="40327" xr:uid="{00000000-0005-0000-0000-0000B79D0000}"/>
    <cellStyle name="货币 2 3 2 2 5 5 4" xfId="40328" xr:uid="{00000000-0005-0000-0000-0000B89D0000}"/>
    <cellStyle name="货币 2 3 2 2 5 5 5" xfId="40329" xr:uid="{00000000-0005-0000-0000-0000B99D0000}"/>
    <cellStyle name="货币 2 3 2 2 5 5 6" xfId="40330" xr:uid="{00000000-0005-0000-0000-0000BA9D0000}"/>
    <cellStyle name="货币 2 3 2 2 5 5 7" xfId="40331" xr:uid="{00000000-0005-0000-0000-0000BB9D0000}"/>
    <cellStyle name="货币 2 3 2 2 5 5 8" xfId="40332" xr:uid="{00000000-0005-0000-0000-0000BC9D0000}"/>
    <cellStyle name="货币 2 3 2 2 5 5 9" xfId="40333" xr:uid="{00000000-0005-0000-0000-0000BD9D0000}"/>
    <cellStyle name="货币 2 3 2 2 5 6" xfId="40335" xr:uid="{00000000-0005-0000-0000-0000BF9D0000}"/>
    <cellStyle name="货币 2 3 2 2 5 6 2" xfId="40336" xr:uid="{00000000-0005-0000-0000-0000C09D0000}"/>
    <cellStyle name="货币 2 3 2 2 5 6 2 2" xfId="25360" xr:uid="{00000000-0005-0000-0000-000040630000}"/>
    <cellStyle name="货币 2 3 2 2 5 6 3" xfId="40337" xr:uid="{00000000-0005-0000-0000-0000C19D0000}"/>
    <cellStyle name="货币 2 3 2 2 5 6 4" xfId="40338" xr:uid="{00000000-0005-0000-0000-0000C29D0000}"/>
    <cellStyle name="货币 2 3 2 2 5 6 5" xfId="40339" xr:uid="{00000000-0005-0000-0000-0000C39D0000}"/>
    <cellStyle name="货币 2 3 2 2 5 6 6" xfId="40340" xr:uid="{00000000-0005-0000-0000-0000C49D0000}"/>
    <cellStyle name="货币 2 3 2 2 5 6 7" xfId="40341" xr:uid="{00000000-0005-0000-0000-0000C59D0000}"/>
    <cellStyle name="货币 2 3 2 2 5 6 8" xfId="40342" xr:uid="{00000000-0005-0000-0000-0000C69D0000}"/>
    <cellStyle name="货币 2 3 2 2 5 6 9" xfId="40343" xr:uid="{00000000-0005-0000-0000-0000C79D0000}"/>
    <cellStyle name="货币 2 3 2 2 5 7" xfId="40344" xr:uid="{00000000-0005-0000-0000-0000C89D0000}"/>
    <cellStyle name="货币 2 3 2 2 5 7 2" xfId="40345" xr:uid="{00000000-0005-0000-0000-0000C99D0000}"/>
    <cellStyle name="货币 2 3 2 2 5 8" xfId="40346" xr:uid="{00000000-0005-0000-0000-0000CA9D0000}"/>
    <cellStyle name="货币 2 3 2 2 5 9" xfId="40347" xr:uid="{00000000-0005-0000-0000-0000CB9D0000}"/>
    <cellStyle name="货币 2 3 2 2 6" xfId="40348" xr:uid="{00000000-0005-0000-0000-0000CC9D0000}"/>
    <cellStyle name="货币 2 3 2 2 6 10" xfId="40350" xr:uid="{00000000-0005-0000-0000-0000CE9D0000}"/>
    <cellStyle name="货币 2 3 2 2 6 11" xfId="40352" xr:uid="{00000000-0005-0000-0000-0000D09D0000}"/>
    <cellStyle name="货币 2 3 2 2 6 12" xfId="40354" xr:uid="{00000000-0005-0000-0000-0000D29D0000}"/>
    <cellStyle name="货币 2 3 2 2 6 13" xfId="40355" xr:uid="{00000000-0005-0000-0000-0000D39D0000}"/>
    <cellStyle name="货币 2 3 2 2 6 14" xfId="40356" xr:uid="{00000000-0005-0000-0000-0000D49D0000}"/>
    <cellStyle name="货币 2 3 2 2 6 15" xfId="40357" xr:uid="{00000000-0005-0000-0000-0000D59D0000}"/>
    <cellStyle name="货币 2 3 2 2 6 16" xfId="40358" xr:uid="{00000000-0005-0000-0000-0000D69D0000}"/>
    <cellStyle name="货币 2 3 2 2 6 17" xfId="40359" xr:uid="{00000000-0005-0000-0000-0000D79D0000}"/>
    <cellStyle name="货币 2 3 2 2 6 18" xfId="40360" xr:uid="{00000000-0005-0000-0000-0000D89D0000}"/>
    <cellStyle name="货币 2 3 2 2 6 2" xfId="35095" xr:uid="{00000000-0005-0000-0000-000047890000}"/>
    <cellStyle name="货币 2 3 2 2 6 2 10" xfId="40361" xr:uid="{00000000-0005-0000-0000-0000D99D0000}"/>
    <cellStyle name="货币 2 3 2 2 6 2 2" xfId="40362" xr:uid="{00000000-0005-0000-0000-0000DA9D0000}"/>
    <cellStyle name="货币 2 3 2 2 6 2 2 2" xfId="34010" xr:uid="{00000000-0005-0000-0000-00000A850000}"/>
    <cellStyle name="货币 2 3 2 2 6 2 3" xfId="38753" xr:uid="{00000000-0005-0000-0000-000091970000}"/>
    <cellStyle name="货币 2 3 2 2 6 2 4" xfId="38755" xr:uid="{00000000-0005-0000-0000-000093970000}"/>
    <cellStyle name="货币 2 3 2 2 6 2 5" xfId="38757" xr:uid="{00000000-0005-0000-0000-000095970000}"/>
    <cellStyle name="货币 2 3 2 2 6 2 6" xfId="38760" xr:uid="{00000000-0005-0000-0000-000098970000}"/>
    <cellStyle name="货币 2 3 2 2 6 2 7" xfId="27275" xr:uid="{00000000-0005-0000-0000-0000BB6A0000}"/>
    <cellStyle name="货币 2 3 2 2 6 2 8" xfId="40364" xr:uid="{00000000-0005-0000-0000-0000DC9D0000}"/>
    <cellStyle name="货币 2 3 2 2 6 2 9" xfId="40366" xr:uid="{00000000-0005-0000-0000-0000DE9D0000}"/>
    <cellStyle name="货币 2 3 2 2 6 3" xfId="40367" xr:uid="{00000000-0005-0000-0000-0000DF9D0000}"/>
    <cellStyle name="货币 2 3 2 2 6 3 2" xfId="40369" xr:uid="{00000000-0005-0000-0000-0000E19D0000}"/>
    <cellStyle name="货币 2 3 2 2 6 3 3" xfId="38763" xr:uid="{00000000-0005-0000-0000-00009B970000}"/>
    <cellStyle name="货币 2 3 2 2 6 3 4" xfId="40370" xr:uid="{00000000-0005-0000-0000-0000E29D0000}"/>
    <cellStyle name="货币 2 3 2 2 6 3 5" xfId="40371" xr:uid="{00000000-0005-0000-0000-0000E39D0000}"/>
    <cellStyle name="货币 2 3 2 2 6 3 6" xfId="40373" xr:uid="{00000000-0005-0000-0000-0000E59D0000}"/>
    <cellStyle name="货币 2 3 2 2 6 4" xfId="40374" xr:uid="{00000000-0005-0000-0000-0000E69D0000}"/>
    <cellStyle name="货币 2 3 2 2 6 4 2" xfId="40376" xr:uid="{00000000-0005-0000-0000-0000E89D0000}"/>
    <cellStyle name="货币 2 3 2 2 6 4 3" xfId="40379" xr:uid="{00000000-0005-0000-0000-0000EB9D0000}"/>
    <cellStyle name="货币 2 3 2 2 6 4 4" xfId="40382" xr:uid="{00000000-0005-0000-0000-0000EE9D0000}"/>
    <cellStyle name="货币 2 3 2 2 6 4 5" xfId="40385" xr:uid="{00000000-0005-0000-0000-0000F19D0000}"/>
    <cellStyle name="货币 2 3 2 2 6 4 6" xfId="40388" xr:uid="{00000000-0005-0000-0000-0000F49D0000}"/>
    <cellStyle name="货币 2 3 2 2 6 5" xfId="40389" xr:uid="{00000000-0005-0000-0000-0000F59D0000}"/>
    <cellStyle name="货币 2 3 2 2 6 5 2" xfId="40390" xr:uid="{00000000-0005-0000-0000-0000F69D0000}"/>
    <cellStyle name="货币 2 3 2 2 6 5 3" xfId="40391" xr:uid="{00000000-0005-0000-0000-0000F79D0000}"/>
    <cellStyle name="货币 2 3 2 2 6 5 4" xfId="40392" xr:uid="{00000000-0005-0000-0000-0000F89D0000}"/>
    <cellStyle name="货币 2 3 2 2 6 5 5" xfId="40393" xr:uid="{00000000-0005-0000-0000-0000F99D0000}"/>
    <cellStyle name="货币 2 3 2 2 6 5 6" xfId="40394" xr:uid="{00000000-0005-0000-0000-0000FA9D0000}"/>
    <cellStyle name="货币 2 3 2 2 6 6" xfId="40395" xr:uid="{00000000-0005-0000-0000-0000FB9D0000}"/>
    <cellStyle name="货币 2 3 2 2 6 6 2" xfId="40396" xr:uid="{00000000-0005-0000-0000-0000FC9D0000}"/>
    <cellStyle name="货币 2 3 2 2 6 6 3" xfId="40397" xr:uid="{00000000-0005-0000-0000-0000FD9D0000}"/>
    <cellStyle name="货币 2 3 2 2 6 6 4" xfId="40398" xr:uid="{00000000-0005-0000-0000-0000FE9D0000}"/>
    <cellStyle name="货币 2 3 2 2 6 6 5" xfId="40399" xr:uid="{00000000-0005-0000-0000-0000FF9D0000}"/>
    <cellStyle name="货币 2 3 2 2 6 6 6" xfId="40400" xr:uid="{00000000-0005-0000-0000-0000009E0000}"/>
    <cellStyle name="货币 2 3 2 2 6 7" xfId="40401" xr:uid="{00000000-0005-0000-0000-0000019E0000}"/>
    <cellStyle name="货币 2 3 2 2 6 8" xfId="40402" xr:uid="{00000000-0005-0000-0000-0000029E0000}"/>
    <cellStyle name="货币 2 3 2 2 6 9" xfId="9648" xr:uid="{00000000-0005-0000-0000-0000E0250000}"/>
    <cellStyle name="货币 2 3 2 2 7" xfId="40403" xr:uid="{00000000-0005-0000-0000-0000039E0000}"/>
    <cellStyle name="货币 2 3 2 2 7 10" xfId="40404" xr:uid="{00000000-0005-0000-0000-0000049E0000}"/>
    <cellStyle name="货币 2 3 2 2 7 11" xfId="40405" xr:uid="{00000000-0005-0000-0000-0000059E0000}"/>
    <cellStyle name="货币 2 3 2 2 7 12" xfId="40406" xr:uid="{00000000-0005-0000-0000-0000069E0000}"/>
    <cellStyle name="货币 2 3 2 2 7 13" xfId="40407" xr:uid="{00000000-0005-0000-0000-0000079E0000}"/>
    <cellStyle name="货币 2 3 2 2 7 14" xfId="40408" xr:uid="{00000000-0005-0000-0000-0000089E0000}"/>
    <cellStyle name="货币 2 3 2 2 7 15" xfId="40409" xr:uid="{00000000-0005-0000-0000-0000099E0000}"/>
    <cellStyle name="货币 2 3 2 2 7 16" xfId="26403" xr:uid="{00000000-0005-0000-0000-000053670000}"/>
    <cellStyle name="货币 2 3 2 2 7 17" xfId="13686" xr:uid="{00000000-0005-0000-0000-0000A6350000}"/>
    <cellStyle name="货币 2 3 2 2 7 18" xfId="2760" xr:uid="{00000000-0005-0000-0000-0000F80A0000}"/>
    <cellStyle name="货币 2 3 2 2 7 2" xfId="19630" xr:uid="{00000000-0005-0000-0000-0000DE4C0000}"/>
    <cellStyle name="货币 2 3 2 2 7 2 10" xfId="18319" xr:uid="{00000000-0005-0000-0000-0000BF470000}"/>
    <cellStyle name="货币 2 3 2 2 7 2 2" xfId="40410" xr:uid="{00000000-0005-0000-0000-00000A9E0000}"/>
    <cellStyle name="货币 2 3 2 2 7 2 2 2" xfId="40413" xr:uid="{00000000-0005-0000-0000-00000D9E0000}"/>
    <cellStyle name="货币 2 3 2 2 7 2 3" xfId="38774" xr:uid="{00000000-0005-0000-0000-0000A6970000}"/>
    <cellStyle name="货币 2 3 2 2 7 2 4" xfId="38776" xr:uid="{00000000-0005-0000-0000-0000A8970000}"/>
    <cellStyle name="货币 2 3 2 2 7 2 5" xfId="38427" xr:uid="{00000000-0005-0000-0000-00004B960000}"/>
    <cellStyle name="货币 2 3 2 2 7 2 6" xfId="34228" xr:uid="{00000000-0005-0000-0000-0000E4850000}"/>
    <cellStyle name="货币 2 3 2 2 7 2 7" xfId="34231" xr:uid="{00000000-0005-0000-0000-0000E7850000}"/>
    <cellStyle name="货币 2 3 2 2 7 2 8" xfId="34234" xr:uid="{00000000-0005-0000-0000-0000EA850000}"/>
    <cellStyle name="货币 2 3 2 2 7 2 9" xfId="34236" xr:uid="{00000000-0005-0000-0000-0000EC850000}"/>
    <cellStyle name="货币 2 3 2 2 7 3" xfId="19636" xr:uid="{00000000-0005-0000-0000-0000E44C0000}"/>
    <cellStyle name="货币 2 3 2 2 7 3 2" xfId="40414" xr:uid="{00000000-0005-0000-0000-00000E9E0000}"/>
    <cellStyle name="货币 2 3 2 2 7 3 3" xfId="38778" xr:uid="{00000000-0005-0000-0000-0000AA970000}"/>
    <cellStyle name="货币 2 3 2 2 7 3 4" xfId="40415" xr:uid="{00000000-0005-0000-0000-00000F9E0000}"/>
    <cellStyle name="货币 2 3 2 2 7 3 5" xfId="40416" xr:uid="{00000000-0005-0000-0000-0000109E0000}"/>
    <cellStyle name="货币 2 3 2 2 7 3 6" xfId="34241" xr:uid="{00000000-0005-0000-0000-0000F1850000}"/>
    <cellStyle name="货币 2 3 2 2 7 4" xfId="40417" xr:uid="{00000000-0005-0000-0000-0000119E0000}"/>
    <cellStyle name="货币 2 3 2 2 7 4 2" xfId="40419" xr:uid="{00000000-0005-0000-0000-0000139E0000}"/>
    <cellStyle name="货币 2 3 2 2 7 4 3" xfId="40421" xr:uid="{00000000-0005-0000-0000-0000159E0000}"/>
    <cellStyle name="货币 2 3 2 2 7 4 4" xfId="40423" xr:uid="{00000000-0005-0000-0000-0000179E0000}"/>
    <cellStyle name="货币 2 3 2 2 7 4 5" xfId="40425" xr:uid="{00000000-0005-0000-0000-0000199E0000}"/>
    <cellStyle name="货币 2 3 2 2 7 4 6" xfId="30426" xr:uid="{00000000-0005-0000-0000-00000A770000}"/>
    <cellStyle name="货币 2 3 2 2 7 5" xfId="40426" xr:uid="{00000000-0005-0000-0000-00001A9E0000}"/>
    <cellStyle name="货币 2 3 2 2 7 5 2" xfId="40427" xr:uid="{00000000-0005-0000-0000-00001B9E0000}"/>
    <cellStyle name="货币 2 3 2 2 7 5 3" xfId="40428" xr:uid="{00000000-0005-0000-0000-00001C9E0000}"/>
    <cellStyle name="货币 2 3 2 2 7 5 4" xfId="40429" xr:uid="{00000000-0005-0000-0000-00001D9E0000}"/>
    <cellStyle name="货币 2 3 2 2 7 5 5" xfId="40430" xr:uid="{00000000-0005-0000-0000-00001E9E0000}"/>
    <cellStyle name="货币 2 3 2 2 7 5 6" xfId="34249" xr:uid="{00000000-0005-0000-0000-0000F9850000}"/>
    <cellStyle name="货币 2 3 2 2 7 6" xfId="40431" xr:uid="{00000000-0005-0000-0000-00001F9E0000}"/>
    <cellStyle name="货币 2 3 2 2 7 6 2" xfId="40432" xr:uid="{00000000-0005-0000-0000-0000209E0000}"/>
    <cellStyle name="货币 2 3 2 2 7 6 3" xfId="40433" xr:uid="{00000000-0005-0000-0000-0000219E0000}"/>
    <cellStyle name="货币 2 3 2 2 7 6 4" xfId="40434" xr:uid="{00000000-0005-0000-0000-0000229E0000}"/>
    <cellStyle name="货币 2 3 2 2 7 6 5" xfId="40435" xr:uid="{00000000-0005-0000-0000-0000239E0000}"/>
    <cellStyle name="货币 2 3 2 2 7 6 6" xfId="34253" xr:uid="{00000000-0005-0000-0000-0000FD850000}"/>
    <cellStyle name="货币 2 3 2 2 7 7" xfId="40436" xr:uid="{00000000-0005-0000-0000-0000249E0000}"/>
    <cellStyle name="货币 2 3 2 2 7 8" xfId="40437" xr:uid="{00000000-0005-0000-0000-0000259E0000}"/>
    <cellStyle name="货币 2 3 2 2 7 9" xfId="40438" xr:uid="{00000000-0005-0000-0000-0000269E0000}"/>
    <cellStyle name="货币 2 3 2 2 8" xfId="40439" xr:uid="{00000000-0005-0000-0000-0000279E0000}"/>
    <cellStyle name="货币 2 3 2 2 8 10" xfId="25032" xr:uid="{00000000-0005-0000-0000-0000F8610000}"/>
    <cellStyle name="货币 2 3 2 2 8 11" xfId="18068" xr:uid="{00000000-0005-0000-0000-0000C4460000}"/>
    <cellStyle name="货币 2 3 2 2 8 12" xfId="18082" xr:uid="{00000000-0005-0000-0000-0000D2460000}"/>
    <cellStyle name="货币 2 3 2 2 8 13" xfId="18099" xr:uid="{00000000-0005-0000-0000-0000E3460000}"/>
    <cellStyle name="货币 2 3 2 2 8 14" xfId="18111" xr:uid="{00000000-0005-0000-0000-0000EF460000}"/>
    <cellStyle name="货币 2 3 2 2 8 15" xfId="18122" xr:uid="{00000000-0005-0000-0000-0000FA460000}"/>
    <cellStyle name="货币 2 3 2 2 8 2" xfId="35138" xr:uid="{00000000-0005-0000-0000-000072890000}"/>
    <cellStyle name="货币 2 3 2 2 8 2 2" xfId="40440" xr:uid="{00000000-0005-0000-0000-0000289E0000}"/>
    <cellStyle name="货币 2 3 2 2 8 2 2 2" xfId="40442" xr:uid="{00000000-0005-0000-0000-00002A9E0000}"/>
    <cellStyle name="货币 2 3 2 2 8 2 3" xfId="2385" xr:uid="{00000000-0005-0000-0000-000081090000}"/>
    <cellStyle name="货币 2 3 2 2 8 2 4" xfId="7473" xr:uid="{00000000-0005-0000-0000-0000611D0000}"/>
    <cellStyle name="货币 2 3 2 2 8 2 5" xfId="2606" xr:uid="{00000000-0005-0000-0000-00005E0A0000}"/>
    <cellStyle name="货币 2 3 2 2 8 2 6" xfId="7480" xr:uid="{00000000-0005-0000-0000-0000681D0000}"/>
    <cellStyle name="货币 2 3 2 2 8 2 7" xfId="4720" xr:uid="{00000000-0005-0000-0000-0000A0120000}"/>
    <cellStyle name="货币 2 3 2 2 8 2 8" xfId="16854" xr:uid="{00000000-0005-0000-0000-000006420000}"/>
    <cellStyle name="货币 2 3 2 2 8 2 9" xfId="16858" xr:uid="{00000000-0005-0000-0000-00000A420000}"/>
    <cellStyle name="货币 2 3 2 2 8 3" xfId="40443" xr:uid="{00000000-0005-0000-0000-00002B9E0000}"/>
    <cellStyle name="货币 2 3 2 2 8 3 2" xfId="40444" xr:uid="{00000000-0005-0000-0000-00002C9E0000}"/>
    <cellStyle name="货币 2 3 2 2 8 3 3" xfId="16735" xr:uid="{00000000-0005-0000-0000-00008F410000}"/>
    <cellStyle name="货币 2 3 2 2 8 3 4" xfId="40445" xr:uid="{00000000-0005-0000-0000-00002D9E0000}"/>
    <cellStyle name="货币 2 3 2 2 8 3 5" xfId="40446" xr:uid="{00000000-0005-0000-0000-00002E9E0000}"/>
    <cellStyle name="货币 2 3 2 2 8 3 6" xfId="40447" xr:uid="{00000000-0005-0000-0000-00002F9E0000}"/>
    <cellStyle name="货币 2 3 2 2 8 4" xfId="40448" xr:uid="{00000000-0005-0000-0000-0000309E0000}"/>
    <cellStyle name="货币 2 3 2 2 8 4 2" xfId="40450" xr:uid="{00000000-0005-0000-0000-0000329E0000}"/>
    <cellStyle name="货币 2 3 2 2 8 5" xfId="40451" xr:uid="{00000000-0005-0000-0000-0000339E0000}"/>
    <cellStyle name="货币 2 3 2 2 8 6" xfId="40452" xr:uid="{00000000-0005-0000-0000-0000349E0000}"/>
    <cellStyle name="货币 2 3 2 2 8 7" xfId="40453" xr:uid="{00000000-0005-0000-0000-0000359E0000}"/>
    <cellStyle name="货币 2 3 2 2 8 8" xfId="40454" xr:uid="{00000000-0005-0000-0000-0000369E0000}"/>
    <cellStyle name="货币 2 3 2 2 8 9" xfId="40455" xr:uid="{00000000-0005-0000-0000-0000379E0000}"/>
    <cellStyle name="货币 2 3 2 2 9" xfId="40456" xr:uid="{00000000-0005-0000-0000-0000389E0000}"/>
    <cellStyle name="货币 2 3 2 2 9 10" xfId="40457" xr:uid="{00000000-0005-0000-0000-0000399E0000}"/>
    <cellStyle name="货币 2 3 2 2 9 11" xfId="40458" xr:uid="{00000000-0005-0000-0000-00003A9E0000}"/>
    <cellStyle name="货币 2 3 2 2 9 12" xfId="40459" xr:uid="{00000000-0005-0000-0000-00003B9E0000}"/>
    <cellStyle name="货币 2 3 2 2 9 13" xfId="40460" xr:uid="{00000000-0005-0000-0000-00003C9E0000}"/>
    <cellStyle name="货币 2 3 2 2 9 14" xfId="40461" xr:uid="{00000000-0005-0000-0000-00003D9E0000}"/>
    <cellStyle name="货币 2 3 2 2 9 2" xfId="29969" xr:uid="{00000000-0005-0000-0000-000041750000}"/>
    <cellStyle name="货币 2 3 2 2 9 2 2" xfId="40462" xr:uid="{00000000-0005-0000-0000-00003E9E0000}"/>
    <cellStyle name="货币 2 3 2 2 9 2 2 2" xfId="40463" xr:uid="{00000000-0005-0000-0000-00003F9E0000}"/>
    <cellStyle name="货币 2 3 2 2 9 2 3" xfId="16898" xr:uid="{00000000-0005-0000-0000-000032420000}"/>
    <cellStyle name="货币 2 3 2 2 9 2 4" xfId="16901" xr:uid="{00000000-0005-0000-0000-000035420000}"/>
    <cellStyle name="货币 2 3 2 2 9 2 5" xfId="16904" xr:uid="{00000000-0005-0000-0000-000038420000}"/>
    <cellStyle name="货币 2 3 2 2 9 2 6" xfId="16907" xr:uid="{00000000-0005-0000-0000-00003B420000}"/>
    <cellStyle name="货币 2 3 2 2 9 2 7" xfId="16910" xr:uid="{00000000-0005-0000-0000-00003E420000}"/>
    <cellStyle name="货币 2 3 2 2 9 2 8" xfId="19870" xr:uid="{00000000-0005-0000-0000-0000CE4D0000}"/>
    <cellStyle name="货币 2 3 2 2 9 2 9" xfId="19872" xr:uid="{00000000-0005-0000-0000-0000D04D0000}"/>
    <cellStyle name="货币 2 3 2 2 9 3" xfId="40464" xr:uid="{00000000-0005-0000-0000-0000409E0000}"/>
    <cellStyle name="货币 2 3 2 2 9 3 2" xfId="40465" xr:uid="{00000000-0005-0000-0000-0000419E0000}"/>
    <cellStyle name="货币 2 3 2 2 9 3 3" xfId="7799" xr:uid="{00000000-0005-0000-0000-0000A71E0000}"/>
    <cellStyle name="货币 2 3 2 2 9 3 4" xfId="40466" xr:uid="{00000000-0005-0000-0000-0000429E0000}"/>
    <cellStyle name="货币 2 3 2 2 9 3 5" xfId="40467" xr:uid="{00000000-0005-0000-0000-0000439E0000}"/>
    <cellStyle name="货币 2 3 2 2 9 3 6" xfId="40468" xr:uid="{00000000-0005-0000-0000-0000449E0000}"/>
    <cellStyle name="货币 2 3 2 2 9 4" xfId="40469" xr:uid="{00000000-0005-0000-0000-0000459E0000}"/>
    <cellStyle name="货币 2 3 2 2 9 4 2" xfId="40470" xr:uid="{00000000-0005-0000-0000-0000469E0000}"/>
    <cellStyle name="货币 2 3 2 2 9 5" xfId="40471" xr:uid="{00000000-0005-0000-0000-0000479E0000}"/>
    <cellStyle name="货币 2 3 2 2 9 6" xfId="40472" xr:uid="{00000000-0005-0000-0000-0000489E0000}"/>
    <cellStyle name="货币 2 3 2 2 9 7" xfId="38686" xr:uid="{00000000-0005-0000-0000-00004E970000}"/>
    <cellStyle name="货币 2 3 2 2 9 8" xfId="38689" xr:uid="{00000000-0005-0000-0000-000051970000}"/>
    <cellStyle name="货币 2 3 2 2 9 9" xfId="38691" xr:uid="{00000000-0005-0000-0000-000053970000}"/>
    <cellStyle name="货币 2 3 2 20" xfId="39650" xr:uid="{00000000-0005-0000-0000-0000129B0000}"/>
    <cellStyle name="货币 2 3 2 21" xfId="39652" xr:uid="{00000000-0005-0000-0000-0000149B0000}"/>
    <cellStyle name="货币 2 3 2 22" xfId="39656" xr:uid="{00000000-0005-0000-0000-0000189B0000}"/>
    <cellStyle name="货币 2 3 2 23" xfId="37700" xr:uid="{00000000-0005-0000-0000-000074930000}"/>
    <cellStyle name="货币 2 3 2 24" xfId="37703" xr:uid="{00000000-0005-0000-0000-000077930000}"/>
    <cellStyle name="货币 2 3 2 25" xfId="37706" xr:uid="{00000000-0005-0000-0000-00007A930000}"/>
    <cellStyle name="货币 2 3 2 26" xfId="37708" xr:uid="{00000000-0005-0000-0000-00007C930000}"/>
    <cellStyle name="货币 2 3 2 27" xfId="37710" xr:uid="{00000000-0005-0000-0000-00007E930000}"/>
    <cellStyle name="货币 2 3 2 28" xfId="9068" xr:uid="{00000000-0005-0000-0000-00009C230000}"/>
    <cellStyle name="货币 2 3 2 3" xfId="38371" xr:uid="{00000000-0005-0000-0000-000013960000}"/>
    <cellStyle name="货币 2 3 2 3 10" xfId="40473" xr:uid="{00000000-0005-0000-0000-0000499E0000}"/>
    <cellStyle name="货币 2 3 2 3 10 2" xfId="40476" xr:uid="{00000000-0005-0000-0000-00004C9E0000}"/>
    <cellStyle name="货币 2 3 2 3 10 3" xfId="40479" xr:uid="{00000000-0005-0000-0000-00004F9E0000}"/>
    <cellStyle name="货币 2 3 2 3 10 4" xfId="40481" xr:uid="{00000000-0005-0000-0000-0000519E0000}"/>
    <cellStyle name="货币 2 3 2 3 10 5" xfId="40483" xr:uid="{00000000-0005-0000-0000-0000539E0000}"/>
    <cellStyle name="货币 2 3 2 3 10 6" xfId="40485" xr:uid="{00000000-0005-0000-0000-0000559E0000}"/>
    <cellStyle name="货币 2 3 2 3 11" xfId="40486" xr:uid="{00000000-0005-0000-0000-0000569E0000}"/>
    <cellStyle name="货币 2 3 2 3 11 2" xfId="17530" xr:uid="{00000000-0005-0000-0000-0000AA440000}"/>
    <cellStyle name="货币 2 3 2 3 11 3" xfId="18789" xr:uid="{00000000-0005-0000-0000-000095490000}"/>
    <cellStyle name="货币 2 3 2 3 11 4" xfId="18792" xr:uid="{00000000-0005-0000-0000-000098490000}"/>
    <cellStyle name="货币 2 3 2 3 11 5" xfId="12944" xr:uid="{00000000-0005-0000-0000-0000C0320000}"/>
    <cellStyle name="货币 2 3 2 3 11 6" xfId="40488" xr:uid="{00000000-0005-0000-0000-0000589E0000}"/>
    <cellStyle name="货币 2 3 2 3 12" xfId="40489" xr:uid="{00000000-0005-0000-0000-0000599E0000}"/>
    <cellStyle name="货币 2 3 2 3 13" xfId="38633" xr:uid="{00000000-0005-0000-0000-000019970000}"/>
    <cellStyle name="货币 2 3 2 3 14" xfId="38635" xr:uid="{00000000-0005-0000-0000-00001B970000}"/>
    <cellStyle name="货币 2 3 2 3 15" xfId="38638" xr:uid="{00000000-0005-0000-0000-00001E970000}"/>
    <cellStyle name="货币 2 3 2 3 16" xfId="22544" xr:uid="{00000000-0005-0000-0000-000040580000}"/>
    <cellStyle name="货币 2 3 2 3 17" xfId="22550" xr:uid="{00000000-0005-0000-0000-000046580000}"/>
    <cellStyle name="货币 2 3 2 3 18" xfId="40491" xr:uid="{00000000-0005-0000-0000-00005B9E0000}"/>
    <cellStyle name="货币 2 3 2 3 19" xfId="40493" xr:uid="{00000000-0005-0000-0000-00005D9E0000}"/>
    <cellStyle name="货币 2 3 2 3 2" xfId="40494" xr:uid="{00000000-0005-0000-0000-00005E9E0000}"/>
    <cellStyle name="货币 2 3 2 3 2 10" xfId="40495" xr:uid="{00000000-0005-0000-0000-00005F9E0000}"/>
    <cellStyle name="货币 2 3 2 3 2 11" xfId="25453" xr:uid="{00000000-0005-0000-0000-00009D630000}"/>
    <cellStyle name="货币 2 3 2 3 2 12" xfId="40496" xr:uid="{00000000-0005-0000-0000-0000609E0000}"/>
    <cellStyle name="货币 2 3 2 3 2 13" xfId="3887" xr:uid="{00000000-0005-0000-0000-00005F0F0000}"/>
    <cellStyle name="货币 2 3 2 3 2 14" xfId="10960" xr:uid="{00000000-0005-0000-0000-0000002B0000}"/>
    <cellStyle name="货币 2 3 2 3 2 15" xfId="10976" xr:uid="{00000000-0005-0000-0000-0000102B0000}"/>
    <cellStyle name="货币 2 3 2 3 2 16" xfId="10978" xr:uid="{00000000-0005-0000-0000-0000122B0000}"/>
    <cellStyle name="货币 2 3 2 3 2 17" xfId="10980" xr:uid="{00000000-0005-0000-0000-0000142B0000}"/>
    <cellStyle name="货币 2 3 2 3 2 18" xfId="10048" xr:uid="{00000000-0005-0000-0000-000070270000}"/>
    <cellStyle name="货币 2 3 2 3 2 2" xfId="40497" xr:uid="{00000000-0005-0000-0000-0000619E0000}"/>
    <cellStyle name="货币 2 3 2 3 2 2 10" xfId="40498" xr:uid="{00000000-0005-0000-0000-0000629E0000}"/>
    <cellStyle name="货币 2 3 2 3 2 2 11" xfId="40499" xr:uid="{00000000-0005-0000-0000-0000639E0000}"/>
    <cellStyle name="货币 2 3 2 3 2 2 12" xfId="40501" xr:uid="{00000000-0005-0000-0000-0000659E0000}"/>
    <cellStyle name="货币 2 3 2 3 2 2 2" xfId="40502" xr:uid="{00000000-0005-0000-0000-0000669E0000}"/>
    <cellStyle name="货币 2 3 2 3 2 2 2 2" xfId="40503" xr:uid="{00000000-0005-0000-0000-0000679E0000}"/>
    <cellStyle name="货币 2 3 2 3 2 2 2 2 2" xfId="40504" xr:uid="{00000000-0005-0000-0000-0000689E0000}"/>
    <cellStyle name="货币 2 3 2 3 2 2 2 3" xfId="40505" xr:uid="{00000000-0005-0000-0000-0000699E0000}"/>
    <cellStyle name="货币 2 3 2 3 2 2 2 4" xfId="26938" xr:uid="{00000000-0005-0000-0000-00006A690000}"/>
    <cellStyle name="货币 2 3 2 3 2 2 2 5" xfId="25910" xr:uid="{00000000-0005-0000-0000-000066650000}"/>
    <cellStyle name="货币 2 3 2 3 2 2 3" xfId="36394" xr:uid="{00000000-0005-0000-0000-00005A8E0000}"/>
    <cellStyle name="货币 2 3 2 3 2 2 3 2" xfId="26948" xr:uid="{00000000-0005-0000-0000-000074690000}"/>
    <cellStyle name="货币 2 3 2 3 2 2 4" xfId="36399" xr:uid="{00000000-0005-0000-0000-00005F8E0000}"/>
    <cellStyle name="货币 2 3 2 3 2 2 5" xfId="36403" xr:uid="{00000000-0005-0000-0000-0000638E0000}"/>
    <cellStyle name="货币 2 3 2 3 2 2 6" xfId="35823" xr:uid="{00000000-0005-0000-0000-00001F8C0000}"/>
    <cellStyle name="货币 2 3 2 3 2 2 7" xfId="10112" xr:uid="{00000000-0005-0000-0000-0000B0270000}"/>
    <cellStyle name="货币 2 3 2 3 2 2 8" xfId="10124" xr:uid="{00000000-0005-0000-0000-0000BC270000}"/>
    <cellStyle name="货币 2 3 2 3 2 2 9" xfId="25458" xr:uid="{00000000-0005-0000-0000-0000A2630000}"/>
    <cellStyle name="货币 2 3 2 3 2 3" xfId="40506" xr:uid="{00000000-0005-0000-0000-00006A9E0000}"/>
    <cellStyle name="货币 2 3 2 3 2 3 10" xfId="40508" xr:uid="{00000000-0005-0000-0000-00006C9E0000}"/>
    <cellStyle name="货币 2 3 2 3 2 3 11" xfId="40509" xr:uid="{00000000-0005-0000-0000-00006D9E0000}"/>
    <cellStyle name="货币 2 3 2 3 2 3 12" xfId="40510" xr:uid="{00000000-0005-0000-0000-00006E9E0000}"/>
    <cellStyle name="货币 2 3 2 3 2 3 2" xfId="40511" xr:uid="{00000000-0005-0000-0000-00006F9E0000}"/>
    <cellStyle name="货币 2 3 2 3 2 3 2 2" xfId="40512" xr:uid="{00000000-0005-0000-0000-0000709E0000}"/>
    <cellStyle name="货币 2 3 2 3 2 3 2 2 2" xfId="40513" xr:uid="{00000000-0005-0000-0000-0000719E0000}"/>
    <cellStyle name="货币 2 3 2 3 2 3 2 3" xfId="40514" xr:uid="{00000000-0005-0000-0000-0000729E0000}"/>
    <cellStyle name="货币 2 3 2 3 2 3 2 4" xfId="36462" xr:uid="{00000000-0005-0000-0000-00009E8E0000}"/>
    <cellStyle name="货币 2 3 2 3 2 3 2 5" xfId="36464" xr:uid="{00000000-0005-0000-0000-0000A08E0000}"/>
    <cellStyle name="货币 2 3 2 3 2 3 3" xfId="40515" xr:uid="{00000000-0005-0000-0000-0000739E0000}"/>
    <cellStyle name="货币 2 3 2 3 2 3 3 2" xfId="40516" xr:uid="{00000000-0005-0000-0000-0000749E0000}"/>
    <cellStyle name="货币 2 3 2 3 2 3 4" xfId="40517" xr:uid="{00000000-0005-0000-0000-0000759E0000}"/>
    <cellStyle name="货币 2 3 2 3 2 3 5" xfId="40518" xr:uid="{00000000-0005-0000-0000-0000769E0000}"/>
    <cellStyle name="货币 2 3 2 3 2 3 6" xfId="40519" xr:uid="{00000000-0005-0000-0000-0000779E0000}"/>
    <cellStyle name="货币 2 3 2 3 2 3 7" xfId="25465" xr:uid="{00000000-0005-0000-0000-0000A9630000}"/>
    <cellStyle name="货币 2 3 2 3 2 3 8" xfId="40520" xr:uid="{00000000-0005-0000-0000-0000789E0000}"/>
    <cellStyle name="货币 2 3 2 3 2 3 9" xfId="40521" xr:uid="{00000000-0005-0000-0000-0000799E0000}"/>
    <cellStyle name="货币 2 3 2 3 2 4" xfId="40522" xr:uid="{00000000-0005-0000-0000-00007A9E0000}"/>
    <cellStyle name="货币 2 3 2 3 2 4 10" xfId="40523" xr:uid="{00000000-0005-0000-0000-00007B9E0000}"/>
    <cellStyle name="货币 2 3 2 3 2 4 2" xfId="5422" xr:uid="{00000000-0005-0000-0000-00005E150000}"/>
    <cellStyle name="货币 2 3 2 3 2 4 2 2" xfId="3896" xr:uid="{00000000-0005-0000-0000-0000680F0000}"/>
    <cellStyle name="货币 2 3 2 3 2 4 2 2 2" xfId="40524" xr:uid="{00000000-0005-0000-0000-00007C9E0000}"/>
    <cellStyle name="货币 2 3 2 3 2 4 2 3" xfId="40525" xr:uid="{00000000-0005-0000-0000-00007D9E0000}"/>
    <cellStyle name="货币 2 3 2 3 2 4 2 4" xfId="6824" xr:uid="{00000000-0005-0000-0000-0000D81A0000}"/>
    <cellStyle name="货币 2 3 2 3 2 4 2 5" xfId="40526" xr:uid="{00000000-0005-0000-0000-00007E9E0000}"/>
    <cellStyle name="货币 2 3 2 3 2 4 3" xfId="5424" xr:uid="{00000000-0005-0000-0000-000060150000}"/>
    <cellStyle name="货币 2 3 2 3 2 4 3 2" xfId="5027" xr:uid="{00000000-0005-0000-0000-0000D3130000}"/>
    <cellStyle name="货币 2 3 2 3 2 4 4" xfId="5426" xr:uid="{00000000-0005-0000-0000-000062150000}"/>
    <cellStyle name="货币 2 3 2 3 2 4 5" xfId="40527" xr:uid="{00000000-0005-0000-0000-00007F9E0000}"/>
    <cellStyle name="货币 2 3 2 3 2 4 6" xfId="40528" xr:uid="{00000000-0005-0000-0000-0000809E0000}"/>
    <cellStyle name="货币 2 3 2 3 2 4 7" xfId="40529" xr:uid="{00000000-0005-0000-0000-0000819E0000}"/>
    <cellStyle name="货币 2 3 2 3 2 4 8" xfId="40530" xr:uid="{00000000-0005-0000-0000-0000829E0000}"/>
    <cellStyle name="货币 2 3 2 3 2 4 9" xfId="40531" xr:uid="{00000000-0005-0000-0000-0000839E0000}"/>
    <cellStyle name="货币 2 3 2 3 2 5" xfId="40532" xr:uid="{00000000-0005-0000-0000-0000849E0000}"/>
    <cellStyle name="货币 2 3 2 3 2 5 10" xfId="40535" xr:uid="{00000000-0005-0000-0000-0000879E0000}"/>
    <cellStyle name="货币 2 3 2 3 2 5 2" xfId="36201" xr:uid="{00000000-0005-0000-0000-0000998D0000}"/>
    <cellStyle name="货币 2 3 2 3 2 5 2 2" xfId="40536" xr:uid="{00000000-0005-0000-0000-0000889E0000}"/>
    <cellStyle name="货币 2 3 2 3 2 5 2 2 2" xfId="40537" xr:uid="{00000000-0005-0000-0000-0000899E0000}"/>
    <cellStyle name="货币 2 3 2 3 2 5 2 3" xfId="40538" xr:uid="{00000000-0005-0000-0000-00008A9E0000}"/>
    <cellStyle name="货币 2 3 2 3 2 5 2 4" xfId="36521" xr:uid="{00000000-0005-0000-0000-0000D98E0000}"/>
    <cellStyle name="货币 2 3 2 3 2 5 2 5" xfId="40539" xr:uid="{00000000-0005-0000-0000-00008B9E0000}"/>
    <cellStyle name="货币 2 3 2 3 2 5 3" xfId="40540" xr:uid="{00000000-0005-0000-0000-00008C9E0000}"/>
    <cellStyle name="货币 2 3 2 3 2 5 3 2" xfId="40541" xr:uid="{00000000-0005-0000-0000-00008D9E0000}"/>
    <cellStyle name="货币 2 3 2 3 2 5 4" xfId="40542" xr:uid="{00000000-0005-0000-0000-00008E9E0000}"/>
    <cellStyle name="货币 2 3 2 3 2 5 5" xfId="40543" xr:uid="{00000000-0005-0000-0000-00008F9E0000}"/>
    <cellStyle name="货币 2 3 2 3 2 5 6" xfId="32730" xr:uid="{00000000-0005-0000-0000-00000A800000}"/>
    <cellStyle name="货币 2 3 2 3 2 5 7" xfId="32857" xr:uid="{00000000-0005-0000-0000-000089800000}"/>
    <cellStyle name="货币 2 3 2 3 2 5 8" xfId="28902" xr:uid="{00000000-0005-0000-0000-000016710000}"/>
    <cellStyle name="货币 2 3 2 3 2 5 9" xfId="33341" xr:uid="{00000000-0005-0000-0000-00006D820000}"/>
    <cellStyle name="货币 2 3 2 3 2 6" xfId="40544" xr:uid="{00000000-0005-0000-0000-0000909E0000}"/>
    <cellStyle name="货币 2 3 2 3 2 6 2" xfId="40545" xr:uid="{00000000-0005-0000-0000-0000919E0000}"/>
    <cellStyle name="货币 2 3 2 3 2 6 2 2" xfId="27909" xr:uid="{00000000-0005-0000-0000-0000356D0000}"/>
    <cellStyle name="货币 2 3 2 3 2 6 3" xfId="40546" xr:uid="{00000000-0005-0000-0000-0000929E0000}"/>
    <cellStyle name="货币 2 3 2 3 2 6 4" xfId="40547" xr:uid="{00000000-0005-0000-0000-0000939E0000}"/>
    <cellStyle name="货币 2 3 2 3 2 6 5" xfId="40548" xr:uid="{00000000-0005-0000-0000-0000949E0000}"/>
    <cellStyle name="货币 2 3 2 3 2 6 6" xfId="40549" xr:uid="{00000000-0005-0000-0000-0000959E0000}"/>
    <cellStyle name="货币 2 3 2 3 2 6 7" xfId="40550" xr:uid="{00000000-0005-0000-0000-0000969E0000}"/>
    <cellStyle name="货币 2 3 2 3 2 6 8" xfId="40551" xr:uid="{00000000-0005-0000-0000-0000979E0000}"/>
    <cellStyle name="货币 2 3 2 3 2 6 9" xfId="40552" xr:uid="{00000000-0005-0000-0000-0000989E0000}"/>
    <cellStyle name="货币 2 3 2 3 2 7" xfId="40553" xr:uid="{00000000-0005-0000-0000-0000999E0000}"/>
    <cellStyle name="货币 2 3 2 3 2 7 2" xfId="40554" xr:uid="{00000000-0005-0000-0000-00009A9E0000}"/>
    <cellStyle name="货币 2 3 2 3 2 8" xfId="40555" xr:uid="{00000000-0005-0000-0000-00009B9E0000}"/>
    <cellStyle name="货币 2 3 2 3 2 9" xfId="40556" xr:uid="{00000000-0005-0000-0000-00009C9E0000}"/>
    <cellStyle name="货币 2 3 2 3 20" xfId="38637" xr:uid="{00000000-0005-0000-0000-00001D970000}"/>
    <cellStyle name="货币 2 3 2 3 21" xfId="22543" xr:uid="{00000000-0005-0000-0000-00003F580000}"/>
    <cellStyle name="货币 2 3 2 3 22" xfId="22549" xr:uid="{00000000-0005-0000-0000-000045580000}"/>
    <cellStyle name="货币 2 3 2 3 23" xfId="40490" xr:uid="{00000000-0005-0000-0000-00005A9E0000}"/>
    <cellStyle name="货币 2 3 2 3 3" xfId="40557" xr:uid="{00000000-0005-0000-0000-00009D9E0000}"/>
    <cellStyle name="货币 2 3 2 3 3 10" xfId="40559" xr:uid="{00000000-0005-0000-0000-00009F9E0000}"/>
    <cellStyle name="货币 2 3 2 3 3 11" xfId="6777" xr:uid="{00000000-0005-0000-0000-0000A91A0000}"/>
    <cellStyle name="货币 2 3 2 3 3 12" xfId="8185" xr:uid="{00000000-0005-0000-0000-000029200000}"/>
    <cellStyle name="货币 2 3 2 3 3 13" xfId="8455" xr:uid="{00000000-0005-0000-0000-000037210000}"/>
    <cellStyle name="货币 2 3 2 3 3 14" xfId="8516" xr:uid="{00000000-0005-0000-0000-000074210000}"/>
    <cellStyle name="货币 2 3 2 3 3 15" xfId="8590" xr:uid="{00000000-0005-0000-0000-0000BE210000}"/>
    <cellStyle name="货币 2 3 2 3 3 16" xfId="8636" xr:uid="{00000000-0005-0000-0000-0000EC210000}"/>
    <cellStyle name="货币 2 3 2 3 3 17" xfId="8646" xr:uid="{00000000-0005-0000-0000-0000F6210000}"/>
    <cellStyle name="货币 2 3 2 3 3 18" xfId="8654" xr:uid="{00000000-0005-0000-0000-0000FE210000}"/>
    <cellStyle name="货币 2 3 2 3 3 2" xfId="40560" xr:uid="{00000000-0005-0000-0000-0000A09E0000}"/>
    <cellStyle name="货币 2 3 2 3 3 2 10" xfId="40561" xr:uid="{00000000-0005-0000-0000-0000A19E0000}"/>
    <cellStyle name="货币 2 3 2 3 3 2 2" xfId="40562" xr:uid="{00000000-0005-0000-0000-0000A29E0000}"/>
    <cellStyle name="货币 2 3 2 3 3 2 2 2" xfId="40563" xr:uid="{00000000-0005-0000-0000-0000A39E0000}"/>
    <cellStyle name="货币 2 3 2 3 3 2 3" xfId="36913" xr:uid="{00000000-0005-0000-0000-000061900000}"/>
    <cellStyle name="货币 2 3 2 3 3 2 4" xfId="35381" xr:uid="{00000000-0005-0000-0000-0000658A0000}"/>
    <cellStyle name="货币 2 3 2 3 3 2 5" xfId="36916" xr:uid="{00000000-0005-0000-0000-000064900000}"/>
    <cellStyle name="货币 2 3 2 3 3 2 6" xfId="36919" xr:uid="{00000000-0005-0000-0000-000067900000}"/>
    <cellStyle name="货币 2 3 2 3 3 2 7" xfId="25482" xr:uid="{00000000-0005-0000-0000-0000BA630000}"/>
    <cellStyle name="货币 2 3 2 3 3 2 8" xfId="36922" xr:uid="{00000000-0005-0000-0000-00006A900000}"/>
    <cellStyle name="货币 2 3 2 3 3 2 9" xfId="38821" xr:uid="{00000000-0005-0000-0000-0000D5970000}"/>
    <cellStyle name="货币 2 3 2 3 3 3" xfId="40564" xr:uid="{00000000-0005-0000-0000-0000A49E0000}"/>
    <cellStyle name="货币 2 3 2 3 3 3 2" xfId="40565" xr:uid="{00000000-0005-0000-0000-0000A59E0000}"/>
    <cellStyle name="货币 2 3 2 3 3 3 3" xfId="30779" xr:uid="{00000000-0005-0000-0000-00006B780000}"/>
    <cellStyle name="货币 2 3 2 3 3 3 4" xfId="30783" xr:uid="{00000000-0005-0000-0000-00006F780000}"/>
    <cellStyle name="货币 2 3 2 3 3 3 5" xfId="30786" xr:uid="{00000000-0005-0000-0000-000072780000}"/>
    <cellStyle name="货币 2 3 2 3 3 3 6" xfId="30789" xr:uid="{00000000-0005-0000-0000-000075780000}"/>
    <cellStyle name="货币 2 3 2 3 3 4" xfId="40566" xr:uid="{00000000-0005-0000-0000-0000A69E0000}"/>
    <cellStyle name="货币 2 3 2 3 3 4 2" xfId="40567" xr:uid="{00000000-0005-0000-0000-0000A79E0000}"/>
    <cellStyle name="货币 2 3 2 3 3 4 3" xfId="4762" xr:uid="{00000000-0005-0000-0000-0000CA120000}"/>
    <cellStyle name="货币 2 3 2 3 3 4 4" xfId="1076" xr:uid="{00000000-0005-0000-0000-000064040000}"/>
    <cellStyle name="货币 2 3 2 3 3 4 5" xfId="4785" xr:uid="{00000000-0005-0000-0000-0000E1120000}"/>
    <cellStyle name="货币 2 3 2 3 3 4 6" xfId="215" xr:uid="{00000000-0005-0000-0000-0000E7000000}"/>
    <cellStyle name="货币 2 3 2 3 3 5" xfId="40568" xr:uid="{00000000-0005-0000-0000-0000A89E0000}"/>
    <cellStyle name="货币 2 3 2 3 3 5 2" xfId="40569" xr:uid="{00000000-0005-0000-0000-0000A99E0000}"/>
    <cellStyle name="货币 2 3 2 3 3 5 3" xfId="4243" xr:uid="{00000000-0005-0000-0000-0000C3100000}"/>
    <cellStyle name="货币 2 3 2 3 3 5 4" xfId="1093" xr:uid="{00000000-0005-0000-0000-000075040000}"/>
    <cellStyle name="货币 2 3 2 3 3 5 5" xfId="4338" xr:uid="{00000000-0005-0000-0000-000022110000}"/>
    <cellStyle name="货币 2 3 2 3 3 5 6" xfId="3445" xr:uid="{00000000-0005-0000-0000-0000A50D0000}"/>
    <cellStyle name="货币 2 3 2 3 3 6" xfId="30809" xr:uid="{00000000-0005-0000-0000-000089780000}"/>
    <cellStyle name="货币 2 3 2 3 3 6 2" xfId="34985" xr:uid="{00000000-0005-0000-0000-0000D9880000}"/>
    <cellStyle name="货币 2 3 2 3 3 6 3" xfId="34988" xr:uid="{00000000-0005-0000-0000-0000DC880000}"/>
    <cellStyle name="货币 2 3 2 3 3 6 4" xfId="34992" xr:uid="{00000000-0005-0000-0000-0000E0880000}"/>
    <cellStyle name="货币 2 3 2 3 3 6 5" xfId="34994" xr:uid="{00000000-0005-0000-0000-0000E2880000}"/>
    <cellStyle name="货币 2 3 2 3 3 6 6" xfId="40570" xr:uid="{00000000-0005-0000-0000-0000AA9E0000}"/>
    <cellStyle name="货币 2 3 2 3 3 7" xfId="30508" xr:uid="{00000000-0005-0000-0000-00005C770000}"/>
    <cellStyle name="货币 2 3 2 3 3 8" xfId="30514" xr:uid="{00000000-0005-0000-0000-000062770000}"/>
    <cellStyle name="货币 2 3 2 3 3 9" xfId="30521" xr:uid="{00000000-0005-0000-0000-000069770000}"/>
    <cellStyle name="货币 2 3 2 3 4" xfId="40571" xr:uid="{00000000-0005-0000-0000-0000AB9E0000}"/>
    <cellStyle name="货币 2 3 2 3 4 10" xfId="40572" xr:uid="{00000000-0005-0000-0000-0000AC9E0000}"/>
    <cellStyle name="货币 2 3 2 3 4 11" xfId="6723" xr:uid="{00000000-0005-0000-0000-0000731A0000}"/>
    <cellStyle name="货币 2 3 2 3 4 12" xfId="6729" xr:uid="{00000000-0005-0000-0000-0000791A0000}"/>
    <cellStyle name="货币 2 3 2 3 4 13" xfId="6732" xr:uid="{00000000-0005-0000-0000-00007C1A0000}"/>
    <cellStyle name="货币 2 3 2 3 4 14" xfId="6739" xr:uid="{00000000-0005-0000-0000-0000831A0000}"/>
    <cellStyle name="货币 2 3 2 3 4 15" xfId="9010" xr:uid="{00000000-0005-0000-0000-000062230000}"/>
    <cellStyle name="货币 2 3 2 3 4 2" xfId="40574" xr:uid="{00000000-0005-0000-0000-0000AE9E0000}"/>
    <cellStyle name="货币 2 3 2 3 4 2 2" xfId="40575" xr:uid="{00000000-0005-0000-0000-0000AF9E0000}"/>
    <cellStyle name="货币 2 3 2 3 4 2 2 2" xfId="40576" xr:uid="{00000000-0005-0000-0000-0000B09E0000}"/>
    <cellStyle name="货币 2 3 2 3 4 2 3" xfId="38843" xr:uid="{00000000-0005-0000-0000-0000EB970000}"/>
    <cellStyle name="货币 2 3 2 3 4 2 4" xfId="29818" xr:uid="{00000000-0005-0000-0000-0000AA740000}"/>
    <cellStyle name="货币 2 3 2 3 4 2 5" xfId="38846" xr:uid="{00000000-0005-0000-0000-0000EE970000}"/>
    <cellStyle name="货币 2 3 2 3 4 2 6" xfId="38848" xr:uid="{00000000-0005-0000-0000-0000F0970000}"/>
    <cellStyle name="货币 2 3 2 3 4 2 7" xfId="38850" xr:uid="{00000000-0005-0000-0000-0000F2970000}"/>
    <cellStyle name="货币 2 3 2 3 4 2 8" xfId="40577" xr:uid="{00000000-0005-0000-0000-0000B19E0000}"/>
    <cellStyle name="货币 2 3 2 3 4 2 9" xfId="40578" xr:uid="{00000000-0005-0000-0000-0000B29E0000}"/>
    <cellStyle name="货币 2 3 2 3 4 3" xfId="40580" xr:uid="{00000000-0005-0000-0000-0000B49E0000}"/>
    <cellStyle name="货币 2 3 2 3 4 3 2" xfId="40581" xr:uid="{00000000-0005-0000-0000-0000B59E0000}"/>
    <cellStyle name="货币 2 3 2 3 4 3 3" xfId="38852" xr:uid="{00000000-0005-0000-0000-0000F4970000}"/>
    <cellStyle name="货币 2 3 2 3 4 3 4" xfId="38854" xr:uid="{00000000-0005-0000-0000-0000F6970000}"/>
    <cellStyle name="货币 2 3 2 3 4 3 5" xfId="38856" xr:uid="{00000000-0005-0000-0000-0000F8970000}"/>
    <cellStyle name="货币 2 3 2 3 4 3 6" xfId="38858" xr:uid="{00000000-0005-0000-0000-0000FA970000}"/>
    <cellStyle name="货币 2 3 2 3 4 4" xfId="40583" xr:uid="{00000000-0005-0000-0000-0000B79E0000}"/>
    <cellStyle name="货币 2 3 2 3 4 4 2" xfId="40584" xr:uid="{00000000-0005-0000-0000-0000B89E0000}"/>
    <cellStyle name="货币 2 3 2 3 4 5" xfId="40585" xr:uid="{00000000-0005-0000-0000-0000B99E0000}"/>
    <cellStyle name="货币 2 3 2 3 4 6" xfId="30956" xr:uid="{00000000-0005-0000-0000-00001C790000}"/>
    <cellStyle name="货币 2 3 2 3 4 7" xfId="30960" xr:uid="{00000000-0005-0000-0000-000020790000}"/>
    <cellStyle name="货币 2 3 2 3 4 8" xfId="30968" xr:uid="{00000000-0005-0000-0000-000028790000}"/>
    <cellStyle name="货币 2 3 2 3 4 9" xfId="30973" xr:uid="{00000000-0005-0000-0000-00002D790000}"/>
    <cellStyle name="货币 2 3 2 3 5" xfId="40586" xr:uid="{00000000-0005-0000-0000-0000BA9E0000}"/>
    <cellStyle name="货币 2 3 2 3 5 10" xfId="40588" xr:uid="{00000000-0005-0000-0000-0000BC9E0000}"/>
    <cellStyle name="货币 2 3 2 3 5 11" xfId="40590" xr:uid="{00000000-0005-0000-0000-0000BE9E0000}"/>
    <cellStyle name="货币 2 3 2 3 5 12" xfId="40592" xr:uid="{00000000-0005-0000-0000-0000C09E0000}"/>
    <cellStyle name="货币 2 3 2 3 5 13" xfId="40594" xr:uid="{00000000-0005-0000-0000-0000C29E0000}"/>
    <cellStyle name="货币 2 3 2 3 5 2" xfId="27617" xr:uid="{00000000-0005-0000-0000-0000116C0000}"/>
    <cellStyle name="货币 2 3 2 3 5 2 2" xfId="40595" xr:uid="{00000000-0005-0000-0000-0000C39E0000}"/>
    <cellStyle name="货币 2 3 2 3 5 2 2 2" xfId="7503" xr:uid="{00000000-0005-0000-0000-00007F1D0000}"/>
    <cellStyle name="货币 2 3 2 3 5 2 3" xfId="38889" xr:uid="{00000000-0005-0000-0000-000019980000}"/>
    <cellStyle name="货币 2 3 2 3 5 2 4" xfId="38891" xr:uid="{00000000-0005-0000-0000-00001B980000}"/>
    <cellStyle name="货币 2 3 2 3 5 2 5" xfId="38893" xr:uid="{00000000-0005-0000-0000-00001D980000}"/>
    <cellStyle name="货币 2 3 2 3 5 2 6" xfId="38895" xr:uid="{00000000-0005-0000-0000-00001F980000}"/>
    <cellStyle name="货币 2 3 2 3 5 2 7" xfId="38897" xr:uid="{00000000-0005-0000-0000-000021980000}"/>
    <cellStyle name="货币 2 3 2 3 5 2 8" xfId="40596" xr:uid="{00000000-0005-0000-0000-0000C49E0000}"/>
    <cellStyle name="货币 2 3 2 3 5 2 9" xfId="40597" xr:uid="{00000000-0005-0000-0000-0000C59E0000}"/>
    <cellStyle name="货币 2 3 2 3 5 3" xfId="40598" xr:uid="{00000000-0005-0000-0000-0000C69E0000}"/>
    <cellStyle name="货币 2 3 2 3 5 3 2" xfId="40599" xr:uid="{00000000-0005-0000-0000-0000C79E0000}"/>
    <cellStyle name="货币 2 3 2 3 5 3 3" xfId="38899" xr:uid="{00000000-0005-0000-0000-000023980000}"/>
    <cellStyle name="货币 2 3 2 3 5 3 4" xfId="40600" xr:uid="{00000000-0005-0000-0000-0000C89E0000}"/>
    <cellStyle name="货币 2 3 2 3 5 3 5" xfId="40602" xr:uid="{00000000-0005-0000-0000-0000CA9E0000}"/>
    <cellStyle name="货币 2 3 2 3 5 3 6" xfId="40603" xr:uid="{00000000-0005-0000-0000-0000CB9E0000}"/>
    <cellStyle name="货币 2 3 2 3 5 4" xfId="40604" xr:uid="{00000000-0005-0000-0000-0000CC9E0000}"/>
    <cellStyle name="货币 2 3 2 3 5 4 2" xfId="40605" xr:uid="{00000000-0005-0000-0000-0000CD9E0000}"/>
    <cellStyle name="货币 2 3 2 3 5 5" xfId="40606" xr:uid="{00000000-0005-0000-0000-0000CE9E0000}"/>
    <cellStyle name="货币 2 3 2 3 5 6" xfId="35005" xr:uid="{00000000-0005-0000-0000-0000ED880000}"/>
    <cellStyle name="货币 2 3 2 3 5 7" xfId="35012" xr:uid="{00000000-0005-0000-0000-0000F4880000}"/>
    <cellStyle name="货币 2 3 2 3 5 8" xfId="35015" xr:uid="{00000000-0005-0000-0000-0000F7880000}"/>
    <cellStyle name="货币 2 3 2 3 5 9" xfId="35017" xr:uid="{00000000-0005-0000-0000-0000F9880000}"/>
    <cellStyle name="货币 2 3 2 3 6" xfId="40607" xr:uid="{00000000-0005-0000-0000-0000CF9E0000}"/>
    <cellStyle name="货币 2 3 2 3 6 10" xfId="2489" xr:uid="{00000000-0005-0000-0000-0000E9090000}"/>
    <cellStyle name="货币 2 3 2 3 6 11" xfId="797" xr:uid="{00000000-0005-0000-0000-00004D030000}"/>
    <cellStyle name="货币 2 3 2 3 6 12" xfId="993" xr:uid="{00000000-0005-0000-0000-000011040000}"/>
    <cellStyle name="货币 2 3 2 3 6 2" xfId="27671" xr:uid="{00000000-0005-0000-0000-0000476C0000}"/>
    <cellStyle name="货币 2 3 2 3 6 2 2" xfId="40608" xr:uid="{00000000-0005-0000-0000-0000D09E0000}"/>
    <cellStyle name="货币 2 3 2 3 6 2 2 2" xfId="37606" xr:uid="{00000000-0005-0000-0000-000016930000}"/>
    <cellStyle name="货币 2 3 2 3 6 2 3" xfId="38911" xr:uid="{00000000-0005-0000-0000-00002F980000}"/>
    <cellStyle name="货币 2 3 2 3 6 2 4" xfId="38913" xr:uid="{00000000-0005-0000-0000-000031980000}"/>
    <cellStyle name="货币 2 3 2 3 6 2 5" xfId="38915" xr:uid="{00000000-0005-0000-0000-000033980000}"/>
    <cellStyle name="货币 2 3 2 3 6 2 6" xfId="38917" xr:uid="{00000000-0005-0000-0000-000035980000}"/>
    <cellStyle name="货币 2 3 2 3 6 2 7" xfId="10991" xr:uid="{00000000-0005-0000-0000-00001F2B0000}"/>
    <cellStyle name="货币 2 3 2 3 6 2 8" xfId="10995" xr:uid="{00000000-0005-0000-0000-0000232B0000}"/>
    <cellStyle name="货币 2 3 2 3 6 2 9" xfId="2354" xr:uid="{00000000-0005-0000-0000-000062090000}"/>
    <cellStyle name="货币 2 3 2 3 6 3" xfId="40609" xr:uid="{00000000-0005-0000-0000-0000D19E0000}"/>
    <cellStyle name="货币 2 3 2 3 6 3 2" xfId="40610" xr:uid="{00000000-0005-0000-0000-0000D29E0000}"/>
    <cellStyle name="货币 2 3 2 3 6 3 3" xfId="38919" xr:uid="{00000000-0005-0000-0000-000037980000}"/>
    <cellStyle name="货币 2 3 2 3 6 3 4" xfId="40611" xr:uid="{00000000-0005-0000-0000-0000D39E0000}"/>
    <cellStyle name="货币 2 3 2 3 6 3 5" xfId="40612" xr:uid="{00000000-0005-0000-0000-0000D49E0000}"/>
    <cellStyle name="货币 2 3 2 3 6 3 6" xfId="40613" xr:uid="{00000000-0005-0000-0000-0000D59E0000}"/>
    <cellStyle name="货币 2 3 2 3 6 4" xfId="40614" xr:uid="{00000000-0005-0000-0000-0000D69E0000}"/>
    <cellStyle name="货币 2 3 2 3 6 4 2" xfId="40616" xr:uid="{00000000-0005-0000-0000-0000D89E0000}"/>
    <cellStyle name="货币 2 3 2 3 6 5" xfId="40617" xr:uid="{00000000-0005-0000-0000-0000D99E0000}"/>
    <cellStyle name="货币 2 3 2 3 6 6" xfId="35023" xr:uid="{00000000-0005-0000-0000-0000FF880000}"/>
    <cellStyle name="货币 2 3 2 3 6 7" xfId="989" xr:uid="{00000000-0005-0000-0000-00000D040000}"/>
    <cellStyle name="货币 2 3 2 3 6 8" xfId="1022" xr:uid="{00000000-0005-0000-0000-00002E040000}"/>
    <cellStyle name="货币 2 3 2 3 6 9" xfId="9731" xr:uid="{00000000-0005-0000-0000-000033260000}"/>
    <cellStyle name="货币 2 3 2 3 7" xfId="40618" xr:uid="{00000000-0005-0000-0000-0000DA9E0000}"/>
    <cellStyle name="货币 2 3 2 3 7 2" xfId="27704" xr:uid="{00000000-0005-0000-0000-0000686C0000}"/>
    <cellStyle name="货币 2 3 2 3 7 2 2" xfId="21616" xr:uid="{00000000-0005-0000-0000-0000A0540000}"/>
    <cellStyle name="货币 2 3 2 3 7 3" xfId="40619" xr:uid="{00000000-0005-0000-0000-0000DB9E0000}"/>
    <cellStyle name="货币 2 3 2 3 7 4" xfId="40620" xr:uid="{00000000-0005-0000-0000-0000DC9E0000}"/>
    <cellStyle name="货币 2 3 2 3 7 5" xfId="40621" xr:uid="{00000000-0005-0000-0000-0000DD9E0000}"/>
    <cellStyle name="货币 2 3 2 3 7 6" xfId="35034" xr:uid="{00000000-0005-0000-0000-00000A890000}"/>
    <cellStyle name="货币 2 3 2 3 7 7" xfId="1178" xr:uid="{00000000-0005-0000-0000-0000CA040000}"/>
    <cellStyle name="货币 2 3 2 3 7 8" xfId="1202" xr:uid="{00000000-0005-0000-0000-0000E2040000}"/>
    <cellStyle name="货币 2 3 2 3 7 9" xfId="9766" xr:uid="{00000000-0005-0000-0000-000056260000}"/>
    <cellStyle name="货币 2 3 2 3 8" xfId="40622" xr:uid="{00000000-0005-0000-0000-0000DE9E0000}"/>
    <cellStyle name="货币 2 3 2 3 8 2" xfId="35190" xr:uid="{00000000-0005-0000-0000-0000A6890000}"/>
    <cellStyle name="货币 2 3 2 3 8 3" xfId="40623" xr:uid="{00000000-0005-0000-0000-0000DF9E0000}"/>
    <cellStyle name="货币 2 3 2 3 8 4" xfId="40624" xr:uid="{00000000-0005-0000-0000-0000E09E0000}"/>
    <cellStyle name="货币 2 3 2 3 8 5" xfId="40625" xr:uid="{00000000-0005-0000-0000-0000E19E0000}"/>
    <cellStyle name="货币 2 3 2 3 8 6" xfId="531" xr:uid="{00000000-0005-0000-0000-000037020000}"/>
    <cellStyle name="货币 2 3 2 3 9" xfId="40626" xr:uid="{00000000-0005-0000-0000-0000E29E0000}"/>
    <cellStyle name="货币 2 3 2 3 9 2" xfId="31111" xr:uid="{00000000-0005-0000-0000-0000B7790000}"/>
    <cellStyle name="货币 2 3 2 3 9 3" xfId="40627" xr:uid="{00000000-0005-0000-0000-0000E39E0000}"/>
    <cellStyle name="货币 2 3 2 3 9 4" xfId="40628" xr:uid="{00000000-0005-0000-0000-0000E49E0000}"/>
    <cellStyle name="货币 2 3 2 3 9 5" xfId="40629" xr:uid="{00000000-0005-0000-0000-0000E59E0000}"/>
    <cellStyle name="货币 2 3 2 3 9 6" xfId="40630" xr:uid="{00000000-0005-0000-0000-0000E69E0000}"/>
    <cellStyle name="货币 2 3 2 4" xfId="38373" xr:uid="{00000000-0005-0000-0000-000015960000}"/>
    <cellStyle name="货币 2 3 2 4 10" xfId="40632" xr:uid="{00000000-0005-0000-0000-0000E89E0000}"/>
    <cellStyle name="货币 2 3 2 4 10 2" xfId="40634" xr:uid="{00000000-0005-0000-0000-0000EA9E0000}"/>
    <cellStyle name="货币 2 3 2 4 10 3" xfId="30151" xr:uid="{00000000-0005-0000-0000-0000F7750000}"/>
    <cellStyle name="货币 2 3 2 4 10 4" xfId="40635" xr:uid="{00000000-0005-0000-0000-0000EB9E0000}"/>
    <cellStyle name="货币 2 3 2 4 10 5" xfId="40636" xr:uid="{00000000-0005-0000-0000-0000EC9E0000}"/>
    <cellStyle name="货币 2 3 2 4 10 6" xfId="40637" xr:uid="{00000000-0005-0000-0000-0000ED9E0000}"/>
    <cellStyle name="货币 2 3 2 4 11" xfId="40639" xr:uid="{00000000-0005-0000-0000-0000EF9E0000}"/>
    <cellStyle name="货币 2 3 2 4 11 2" xfId="40640" xr:uid="{00000000-0005-0000-0000-0000F09E0000}"/>
    <cellStyle name="货币 2 3 2 4 11 3" xfId="40641" xr:uid="{00000000-0005-0000-0000-0000F19E0000}"/>
    <cellStyle name="货币 2 3 2 4 11 4" xfId="40642" xr:uid="{00000000-0005-0000-0000-0000F29E0000}"/>
    <cellStyle name="货币 2 3 2 4 11 5" xfId="40643" xr:uid="{00000000-0005-0000-0000-0000F39E0000}"/>
    <cellStyle name="货币 2 3 2 4 11 6" xfId="40644" xr:uid="{00000000-0005-0000-0000-0000F49E0000}"/>
    <cellStyle name="货币 2 3 2 4 12" xfId="40645" xr:uid="{00000000-0005-0000-0000-0000F59E0000}"/>
    <cellStyle name="货币 2 3 2 4 13" xfId="40646" xr:uid="{00000000-0005-0000-0000-0000F69E0000}"/>
    <cellStyle name="货币 2 3 2 4 14" xfId="40647" xr:uid="{00000000-0005-0000-0000-0000F79E0000}"/>
    <cellStyle name="货币 2 3 2 4 15" xfId="40649" xr:uid="{00000000-0005-0000-0000-0000F99E0000}"/>
    <cellStyle name="货币 2 3 2 4 16" xfId="40651" xr:uid="{00000000-0005-0000-0000-0000FB9E0000}"/>
    <cellStyle name="货币 2 3 2 4 17" xfId="40653" xr:uid="{00000000-0005-0000-0000-0000FD9E0000}"/>
    <cellStyle name="货币 2 3 2 4 18" xfId="40655" xr:uid="{00000000-0005-0000-0000-0000FF9E0000}"/>
    <cellStyle name="货币 2 3 2 4 19" xfId="40657" xr:uid="{00000000-0005-0000-0000-0000019F0000}"/>
    <cellStyle name="货币 2 3 2 4 2" xfId="40658" xr:uid="{00000000-0005-0000-0000-0000029F0000}"/>
    <cellStyle name="货币 2 3 2 4 2 10" xfId="35846" xr:uid="{00000000-0005-0000-0000-0000368C0000}"/>
    <cellStyle name="货币 2 3 2 4 2 11" xfId="22422" xr:uid="{00000000-0005-0000-0000-0000C6570000}"/>
    <cellStyle name="货币 2 3 2 4 2 12" xfId="22432" xr:uid="{00000000-0005-0000-0000-0000D0570000}"/>
    <cellStyle name="货币 2 3 2 4 2 13" xfId="22438" xr:uid="{00000000-0005-0000-0000-0000D6570000}"/>
    <cellStyle name="货币 2 3 2 4 2 14" xfId="22444" xr:uid="{00000000-0005-0000-0000-0000DC570000}"/>
    <cellStyle name="货币 2 3 2 4 2 15" xfId="40659" xr:uid="{00000000-0005-0000-0000-0000039F0000}"/>
    <cellStyle name="货币 2 3 2 4 2 16" xfId="40660" xr:uid="{00000000-0005-0000-0000-0000049F0000}"/>
    <cellStyle name="货币 2 3 2 4 2 17" xfId="40661" xr:uid="{00000000-0005-0000-0000-0000059F0000}"/>
    <cellStyle name="货币 2 3 2 4 2 18" xfId="40662" xr:uid="{00000000-0005-0000-0000-0000069F0000}"/>
    <cellStyle name="货币 2 3 2 4 2 2" xfId="40663" xr:uid="{00000000-0005-0000-0000-0000079F0000}"/>
    <cellStyle name="货币 2 3 2 4 2 2 10" xfId="40664" xr:uid="{00000000-0005-0000-0000-0000089F0000}"/>
    <cellStyle name="货币 2 3 2 4 2 2 11" xfId="40665" xr:uid="{00000000-0005-0000-0000-0000099F0000}"/>
    <cellStyle name="货币 2 3 2 4 2 2 12" xfId="40666" xr:uid="{00000000-0005-0000-0000-00000A9F0000}"/>
    <cellStyle name="货币 2 3 2 4 2 2 2" xfId="40667" xr:uid="{00000000-0005-0000-0000-00000B9F0000}"/>
    <cellStyle name="货币 2 3 2 4 2 2 2 2" xfId="40668" xr:uid="{00000000-0005-0000-0000-00000C9F0000}"/>
    <cellStyle name="货币 2 3 2 4 2 2 2 2 2" xfId="40669" xr:uid="{00000000-0005-0000-0000-00000D9F0000}"/>
    <cellStyle name="货币 2 3 2 4 2 2 2 3" xfId="40670" xr:uid="{00000000-0005-0000-0000-00000E9F0000}"/>
    <cellStyle name="货币 2 3 2 4 2 2 2 4" xfId="40671" xr:uid="{00000000-0005-0000-0000-00000F9F0000}"/>
    <cellStyle name="货币 2 3 2 4 2 2 2 5" xfId="29115" xr:uid="{00000000-0005-0000-0000-0000EB710000}"/>
    <cellStyle name="货币 2 3 2 4 2 2 3" xfId="37631" xr:uid="{00000000-0005-0000-0000-00002F930000}"/>
    <cellStyle name="货币 2 3 2 4 2 2 3 2" xfId="40673" xr:uid="{00000000-0005-0000-0000-0000119F0000}"/>
    <cellStyle name="货币 2 3 2 4 2 2 4" xfId="37633" xr:uid="{00000000-0005-0000-0000-000031930000}"/>
    <cellStyle name="货币 2 3 2 4 2 2 5" xfId="37635" xr:uid="{00000000-0005-0000-0000-000033930000}"/>
    <cellStyle name="货币 2 3 2 4 2 2 6" xfId="40674" xr:uid="{00000000-0005-0000-0000-0000129F0000}"/>
    <cellStyle name="货币 2 3 2 4 2 2 7" xfId="40675" xr:uid="{00000000-0005-0000-0000-0000139F0000}"/>
    <cellStyle name="货币 2 3 2 4 2 2 8" xfId="40676" xr:uid="{00000000-0005-0000-0000-0000149F0000}"/>
    <cellStyle name="货币 2 3 2 4 2 2 9" xfId="40677" xr:uid="{00000000-0005-0000-0000-0000159F0000}"/>
    <cellStyle name="货币 2 3 2 4 2 3" xfId="40678" xr:uid="{00000000-0005-0000-0000-0000169F0000}"/>
    <cellStyle name="货币 2 3 2 4 2 3 10" xfId="40679" xr:uid="{00000000-0005-0000-0000-0000179F0000}"/>
    <cellStyle name="货币 2 3 2 4 2 3 11" xfId="40680" xr:uid="{00000000-0005-0000-0000-0000189F0000}"/>
    <cellStyle name="货币 2 3 2 4 2 3 12" xfId="15260" xr:uid="{00000000-0005-0000-0000-0000CC3B0000}"/>
    <cellStyle name="货币 2 3 2 4 2 3 2" xfId="40681" xr:uid="{00000000-0005-0000-0000-0000199F0000}"/>
    <cellStyle name="货币 2 3 2 4 2 3 2 2" xfId="40683" xr:uid="{00000000-0005-0000-0000-00001B9F0000}"/>
    <cellStyle name="货币 2 3 2 4 2 3 2 2 2" xfId="40685" xr:uid="{00000000-0005-0000-0000-00001D9F0000}"/>
    <cellStyle name="货币 2 3 2 4 2 3 2 3" xfId="40687" xr:uid="{00000000-0005-0000-0000-00001F9F0000}"/>
    <cellStyle name="货币 2 3 2 4 2 3 2 4" xfId="40689" xr:uid="{00000000-0005-0000-0000-0000219F0000}"/>
    <cellStyle name="货币 2 3 2 4 2 3 2 5" xfId="40691" xr:uid="{00000000-0005-0000-0000-0000239F0000}"/>
    <cellStyle name="货币 2 3 2 4 2 3 3" xfId="40692" xr:uid="{00000000-0005-0000-0000-0000249F0000}"/>
    <cellStyle name="货币 2 3 2 4 2 3 3 2" xfId="40694" xr:uid="{00000000-0005-0000-0000-0000269F0000}"/>
    <cellStyle name="货币 2 3 2 4 2 3 4" xfId="40695" xr:uid="{00000000-0005-0000-0000-0000279F0000}"/>
    <cellStyle name="货币 2 3 2 4 2 3 5" xfId="35831" xr:uid="{00000000-0005-0000-0000-0000278C0000}"/>
    <cellStyle name="货币 2 3 2 4 2 3 6" xfId="35833" xr:uid="{00000000-0005-0000-0000-0000298C0000}"/>
    <cellStyle name="货币 2 3 2 4 2 3 7" xfId="35835" xr:uid="{00000000-0005-0000-0000-00002B8C0000}"/>
    <cellStyle name="货币 2 3 2 4 2 3 8" xfId="40696" xr:uid="{00000000-0005-0000-0000-0000289F0000}"/>
    <cellStyle name="货币 2 3 2 4 2 3 9" xfId="40697" xr:uid="{00000000-0005-0000-0000-0000299F0000}"/>
    <cellStyle name="货币 2 3 2 4 2 4" xfId="40698" xr:uid="{00000000-0005-0000-0000-00002A9F0000}"/>
    <cellStyle name="货币 2 3 2 4 2 4 10" xfId="40700" xr:uid="{00000000-0005-0000-0000-00002C9F0000}"/>
    <cellStyle name="货币 2 3 2 4 2 4 2" xfId="40701" xr:uid="{00000000-0005-0000-0000-00002D9F0000}"/>
    <cellStyle name="货币 2 3 2 4 2 4 2 2" xfId="40703" xr:uid="{00000000-0005-0000-0000-00002F9F0000}"/>
    <cellStyle name="货币 2 3 2 4 2 4 2 2 2" xfId="40705" xr:uid="{00000000-0005-0000-0000-0000319F0000}"/>
    <cellStyle name="货币 2 3 2 4 2 4 2 3" xfId="40707" xr:uid="{00000000-0005-0000-0000-0000339F0000}"/>
    <cellStyle name="货币 2 3 2 4 2 4 2 4" xfId="7191" xr:uid="{00000000-0005-0000-0000-0000471C0000}"/>
    <cellStyle name="货币 2 3 2 4 2 4 2 5" xfId="40709" xr:uid="{00000000-0005-0000-0000-0000359F0000}"/>
    <cellStyle name="货币 2 3 2 4 2 4 3" xfId="40710" xr:uid="{00000000-0005-0000-0000-0000369F0000}"/>
    <cellStyle name="货币 2 3 2 4 2 4 3 2" xfId="40712" xr:uid="{00000000-0005-0000-0000-0000389F0000}"/>
    <cellStyle name="货币 2 3 2 4 2 4 4" xfId="40713" xr:uid="{00000000-0005-0000-0000-0000399F0000}"/>
    <cellStyle name="货币 2 3 2 4 2 4 5" xfId="40714" xr:uid="{00000000-0005-0000-0000-00003A9F0000}"/>
    <cellStyle name="货币 2 3 2 4 2 4 6" xfId="40715" xr:uid="{00000000-0005-0000-0000-00003B9F0000}"/>
    <cellStyle name="货币 2 3 2 4 2 4 7" xfId="40716" xr:uid="{00000000-0005-0000-0000-00003C9F0000}"/>
    <cellStyle name="货币 2 3 2 4 2 4 8" xfId="40717" xr:uid="{00000000-0005-0000-0000-00003D9F0000}"/>
    <cellStyle name="货币 2 3 2 4 2 4 9" xfId="40718" xr:uid="{00000000-0005-0000-0000-00003E9F0000}"/>
    <cellStyle name="货币 2 3 2 4 2 5" xfId="40719" xr:uid="{00000000-0005-0000-0000-00003F9F0000}"/>
    <cellStyle name="货币 2 3 2 4 2 5 10" xfId="40720" xr:uid="{00000000-0005-0000-0000-0000409F0000}"/>
    <cellStyle name="货币 2 3 2 4 2 5 2" xfId="40721" xr:uid="{00000000-0005-0000-0000-0000419F0000}"/>
    <cellStyle name="货币 2 3 2 4 2 5 2 2" xfId="40723" xr:uid="{00000000-0005-0000-0000-0000439F0000}"/>
    <cellStyle name="货币 2 3 2 4 2 5 2 2 2" xfId="40726" xr:uid="{00000000-0005-0000-0000-0000469F0000}"/>
    <cellStyle name="货币 2 3 2 4 2 5 2 3" xfId="40728" xr:uid="{00000000-0005-0000-0000-0000489F0000}"/>
    <cellStyle name="货币 2 3 2 4 2 5 2 4" xfId="40730" xr:uid="{00000000-0005-0000-0000-00004A9F0000}"/>
    <cellStyle name="货币 2 3 2 4 2 5 2 5" xfId="40732" xr:uid="{00000000-0005-0000-0000-00004C9F0000}"/>
    <cellStyle name="货币 2 3 2 4 2 5 3" xfId="40733" xr:uid="{00000000-0005-0000-0000-00004D9F0000}"/>
    <cellStyle name="货币 2 3 2 4 2 5 3 2" xfId="40735" xr:uid="{00000000-0005-0000-0000-00004F9F0000}"/>
    <cellStyle name="货币 2 3 2 4 2 5 4" xfId="40736" xr:uid="{00000000-0005-0000-0000-0000509F0000}"/>
    <cellStyle name="货币 2 3 2 4 2 5 5" xfId="40737" xr:uid="{00000000-0005-0000-0000-0000519F0000}"/>
    <cellStyle name="货币 2 3 2 4 2 5 6" xfId="40739" xr:uid="{00000000-0005-0000-0000-0000539F0000}"/>
    <cellStyle name="货币 2 3 2 4 2 5 7" xfId="40740" xr:uid="{00000000-0005-0000-0000-0000549F0000}"/>
    <cellStyle name="货币 2 3 2 4 2 5 8" xfId="40741" xr:uid="{00000000-0005-0000-0000-0000559F0000}"/>
    <cellStyle name="货币 2 3 2 4 2 5 9" xfId="22780" xr:uid="{00000000-0005-0000-0000-00002C590000}"/>
    <cellStyle name="货币 2 3 2 4 2 6" xfId="40742" xr:uid="{00000000-0005-0000-0000-0000569F0000}"/>
    <cellStyle name="货币 2 3 2 4 2 6 2" xfId="40744" xr:uid="{00000000-0005-0000-0000-0000589F0000}"/>
    <cellStyle name="货币 2 3 2 4 2 6 2 2" xfId="40746" xr:uid="{00000000-0005-0000-0000-00005A9F0000}"/>
    <cellStyle name="货币 2 3 2 4 2 6 3" xfId="40748" xr:uid="{00000000-0005-0000-0000-00005C9F0000}"/>
    <cellStyle name="货币 2 3 2 4 2 6 4" xfId="40749" xr:uid="{00000000-0005-0000-0000-00005D9F0000}"/>
    <cellStyle name="货币 2 3 2 4 2 6 5" xfId="40750" xr:uid="{00000000-0005-0000-0000-00005E9F0000}"/>
    <cellStyle name="货币 2 3 2 4 2 6 6" xfId="40751" xr:uid="{00000000-0005-0000-0000-00005F9F0000}"/>
    <cellStyle name="货币 2 3 2 4 2 6 7" xfId="40752" xr:uid="{00000000-0005-0000-0000-0000609F0000}"/>
    <cellStyle name="货币 2 3 2 4 2 6 8" xfId="40753" xr:uid="{00000000-0005-0000-0000-0000619F0000}"/>
    <cellStyle name="货币 2 3 2 4 2 6 9" xfId="40754" xr:uid="{00000000-0005-0000-0000-0000629F0000}"/>
    <cellStyle name="货币 2 3 2 4 2 7" xfId="40755" xr:uid="{00000000-0005-0000-0000-0000639F0000}"/>
    <cellStyle name="货币 2 3 2 4 2 7 2" xfId="24008" xr:uid="{00000000-0005-0000-0000-0000F85D0000}"/>
    <cellStyle name="货币 2 3 2 4 2 8" xfId="40756" xr:uid="{00000000-0005-0000-0000-0000649F0000}"/>
    <cellStyle name="货币 2 3 2 4 2 9" xfId="40757" xr:uid="{00000000-0005-0000-0000-0000659F0000}"/>
    <cellStyle name="货币 2 3 2 4 20" xfId="40648" xr:uid="{00000000-0005-0000-0000-0000F89E0000}"/>
    <cellStyle name="货币 2 3 2 4 21" xfId="40650" xr:uid="{00000000-0005-0000-0000-0000FA9E0000}"/>
    <cellStyle name="货币 2 3 2 4 22" xfId="40652" xr:uid="{00000000-0005-0000-0000-0000FC9E0000}"/>
    <cellStyle name="货币 2 3 2 4 23" xfId="40654" xr:uid="{00000000-0005-0000-0000-0000FE9E0000}"/>
    <cellStyle name="货币 2 3 2 4 3" xfId="40758" xr:uid="{00000000-0005-0000-0000-0000669F0000}"/>
    <cellStyle name="货币 2 3 2 4 3 10" xfId="40759" xr:uid="{00000000-0005-0000-0000-0000679F0000}"/>
    <cellStyle name="货币 2 3 2 4 3 11" xfId="10800" xr:uid="{00000000-0005-0000-0000-0000602A0000}"/>
    <cellStyle name="货币 2 3 2 4 3 12" xfId="7003" xr:uid="{00000000-0005-0000-0000-00008B1B0000}"/>
    <cellStyle name="货币 2 3 2 4 3 13" xfId="7017" xr:uid="{00000000-0005-0000-0000-0000991B0000}"/>
    <cellStyle name="货币 2 3 2 4 3 14" xfId="238" xr:uid="{00000000-0005-0000-0000-0000FF000000}"/>
    <cellStyle name="货币 2 3 2 4 3 15" xfId="10802" xr:uid="{00000000-0005-0000-0000-0000622A0000}"/>
    <cellStyle name="货币 2 3 2 4 3 16" xfId="10805" xr:uid="{00000000-0005-0000-0000-0000652A0000}"/>
    <cellStyle name="货币 2 3 2 4 3 17" xfId="10808" xr:uid="{00000000-0005-0000-0000-0000682A0000}"/>
    <cellStyle name="货币 2 3 2 4 3 18" xfId="10813" xr:uid="{00000000-0005-0000-0000-00006D2A0000}"/>
    <cellStyle name="货币 2 3 2 4 3 2" xfId="40760" xr:uid="{00000000-0005-0000-0000-0000689F0000}"/>
    <cellStyle name="货币 2 3 2 4 3 2 10" xfId="40761" xr:uid="{00000000-0005-0000-0000-0000699F0000}"/>
    <cellStyle name="货币 2 3 2 4 3 2 2" xfId="40762" xr:uid="{00000000-0005-0000-0000-00006A9F0000}"/>
    <cellStyle name="货币 2 3 2 4 3 2 2 2" xfId="40763" xr:uid="{00000000-0005-0000-0000-00006B9F0000}"/>
    <cellStyle name="货币 2 3 2 4 3 2 3" xfId="38989" xr:uid="{00000000-0005-0000-0000-00007D980000}"/>
    <cellStyle name="货币 2 3 2 4 3 2 4" xfId="35422" xr:uid="{00000000-0005-0000-0000-00008E8A0000}"/>
    <cellStyle name="货币 2 3 2 4 3 2 5" xfId="38996" xr:uid="{00000000-0005-0000-0000-000084980000}"/>
    <cellStyle name="货币 2 3 2 4 3 2 6" xfId="38998" xr:uid="{00000000-0005-0000-0000-000086980000}"/>
    <cellStyle name="货币 2 3 2 4 3 2 7" xfId="39000" xr:uid="{00000000-0005-0000-0000-000088980000}"/>
    <cellStyle name="货币 2 3 2 4 3 2 8" xfId="39002" xr:uid="{00000000-0005-0000-0000-00008A980000}"/>
    <cellStyle name="货币 2 3 2 4 3 2 9" xfId="39004" xr:uid="{00000000-0005-0000-0000-00008C980000}"/>
    <cellStyle name="货币 2 3 2 4 3 3" xfId="40764" xr:uid="{00000000-0005-0000-0000-00006C9F0000}"/>
    <cellStyle name="货币 2 3 2 4 3 3 2" xfId="1808" xr:uid="{00000000-0005-0000-0000-000040070000}"/>
    <cellStyle name="货币 2 3 2 4 3 3 3" xfId="3889" xr:uid="{00000000-0005-0000-0000-0000610F0000}"/>
    <cellStyle name="货币 2 3 2 4 3 3 4" xfId="39019" xr:uid="{00000000-0005-0000-0000-00009B980000}"/>
    <cellStyle name="货币 2 3 2 4 3 3 5" xfId="39022" xr:uid="{00000000-0005-0000-0000-00009E980000}"/>
    <cellStyle name="货币 2 3 2 4 3 3 6" xfId="39024" xr:uid="{00000000-0005-0000-0000-0000A0980000}"/>
    <cellStyle name="货币 2 3 2 4 3 4" xfId="40765" xr:uid="{00000000-0005-0000-0000-00006D9F0000}"/>
    <cellStyle name="货币 2 3 2 4 3 4 2" xfId="40766" xr:uid="{00000000-0005-0000-0000-00006E9F0000}"/>
    <cellStyle name="货币 2 3 2 4 3 4 3" xfId="5022" xr:uid="{00000000-0005-0000-0000-0000CE130000}"/>
    <cellStyle name="货币 2 3 2 4 3 4 4" xfId="5038" xr:uid="{00000000-0005-0000-0000-0000DE130000}"/>
    <cellStyle name="货币 2 3 2 4 3 4 5" xfId="5047" xr:uid="{00000000-0005-0000-0000-0000E7130000}"/>
    <cellStyle name="货币 2 3 2 4 3 4 6" xfId="5069" xr:uid="{00000000-0005-0000-0000-0000FD130000}"/>
    <cellStyle name="货币 2 3 2 4 3 5" xfId="40767" xr:uid="{00000000-0005-0000-0000-00006F9F0000}"/>
    <cellStyle name="货币 2 3 2 4 3 5 2" xfId="40768" xr:uid="{00000000-0005-0000-0000-0000709F0000}"/>
    <cellStyle name="货币 2 3 2 4 3 5 3" xfId="5142" xr:uid="{00000000-0005-0000-0000-000046140000}"/>
    <cellStyle name="货币 2 3 2 4 3 5 4" xfId="5150" xr:uid="{00000000-0005-0000-0000-00004E140000}"/>
    <cellStyle name="货币 2 3 2 4 3 5 5" xfId="5162" xr:uid="{00000000-0005-0000-0000-00005A140000}"/>
    <cellStyle name="货币 2 3 2 4 3 5 6" xfId="5170" xr:uid="{00000000-0005-0000-0000-000062140000}"/>
    <cellStyle name="货币 2 3 2 4 3 6" xfId="35056" xr:uid="{00000000-0005-0000-0000-000020890000}"/>
    <cellStyle name="货币 2 3 2 4 3 6 2" xfId="35058" xr:uid="{00000000-0005-0000-0000-000022890000}"/>
    <cellStyle name="货币 2 3 2 4 3 6 3" xfId="39039" xr:uid="{00000000-0005-0000-0000-0000AF980000}"/>
    <cellStyle name="货币 2 3 2 4 3 6 4" xfId="40770" xr:uid="{00000000-0005-0000-0000-0000729F0000}"/>
    <cellStyle name="货币 2 3 2 4 3 6 5" xfId="40771" xr:uid="{00000000-0005-0000-0000-0000739F0000}"/>
    <cellStyle name="货币 2 3 2 4 3 6 6" xfId="40772" xr:uid="{00000000-0005-0000-0000-0000749F0000}"/>
    <cellStyle name="货币 2 3 2 4 3 7" xfId="35060" xr:uid="{00000000-0005-0000-0000-000024890000}"/>
    <cellStyle name="货币 2 3 2 4 3 8" xfId="35062" xr:uid="{00000000-0005-0000-0000-000026890000}"/>
    <cellStyle name="货币 2 3 2 4 3 9" xfId="35065" xr:uid="{00000000-0005-0000-0000-000029890000}"/>
    <cellStyle name="货币 2 3 2 4 4" xfId="38037" xr:uid="{00000000-0005-0000-0000-0000C5940000}"/>
    <cellStyle name="货币 2 3 2 4 4 10" xfId="40773" xr:uid="{00000000-0005-0000-0000-0000759F0000}"/>
    <cellStyle name="货币 2 3 2 4 4 11" xfId="40774" xr:uid="{00000000-0005-0000-0000-0000769F0000}"/>
    <cellStyle name="货币 2 3 2 4 4 12" xfId="40775" xr:uid="{00000000-0005-0000-0000-0000779F0000}"/>
    <cellStyle name="货币 2 3 2 4 4 13" xfId="40776" xr:uid="{00000000-0005-0000-0000-0000789F0000}"/>
    <cellStyle name="货币 2 3 2 4 4 14" xfId="31544" xr:uid="{00000000-0005-0000-0000-0000687B0000}"/>
    <cellStyle name="货币 2 3 2 4 4 15" xfId="40777" xr:uid="{00000000-0005-0000-0000-0000799F0000}"/>
    <cellStyle name="货币 2 3 2 4 4 2" xfId="40779" xr:uid="{00000000-0005-0000-0000-00007B9F0000}"/>
    <cellStyle name="货币 2 3 2 4 4 2 2" xfId="40780" xr:uid="{00000000-0005-0000-0000-00007C9F0000}"/>
    <cellStyle name="货币 2 3 2 4 4 2 2 2" xfId="34664" xr:uid="{00000000-0005-0000-0000-000098870000}"/>
    <cellStyle name="货币 2 3 2 4 4 2 3" xfId="39052" xr:uid="{00000000-0005-0000-0000-0000BC980000}"/>
    <cellStyle name="货币 2 3 2 4 4 2 4" xfId="39054" xr:uid="{00000000-0005-0000-0000-0000BE980000}"/>
    <cellStyle name="货币 2 3 2 4 4 2 5" xfId="39056" xr:uid="{00000000-0005-0000-0000-0000C0980000}"/>
    <cellStyle name="货币 2 3 2 4 4 2 6" xfId="39058" xr:uid="{00000000-0005-0000-0000-0000C2980000}"/>
    <cellStyle name="货币 2 3 2 4 4 2 7" xfId="39060" xr:uid="{00000000-0005-0000-0000-0000C4980000}"/>
    <cellStyle name="货币 2 3 2 4 4 2 8" xfId="40781" xr:uid="{00000000-0005-0000-0000-00007D9F0000}"/>
    <cellStyle name="货币 2 3 2 4 4 2 9" xfId="40782" xr:uid="{00000000-0005-0000-0000-00007E9F0000}"/>
    <cellStyle name="货币 2 3 2 4 4 3" xfId="40784" xr:uid="{00000000-0005-0000-0000-0000809F0000}"/>
    <cellStyle name="货币 2 3 2 4 4 3 2" xfId="40785" xr:uid="{00000000-0005-0000-0000-0000819F0000}"/>
    <cellStyle name="货币 2 3 2 4 4 3 3" xfId="19527" xr:uid="{00000000-0005-0000-0000-0000774C0000}"/>
    <cellStyle name="货币 2 3 2 4 4 3 4" xfId="19531" xr:uid="{00000000-0005-0000-0000-00007B4C0000}"/>
    <cellStyle name="货币 2 3 2 4 4 3 5" xfId="19535" xr:uid="{00000000-0005-0000-0000-00007F4C0000}"/>
    <cellStyle name="货币 2 3 2 4 4 3 6" xfId="39062" xr:uid="{00000000-0005-0000-0000-0000C6980000}"/>
    <cellStyle name="货币 2 3 2 4 4 4" xfId="40787" xr:uid="{00000000-0005-0000-0000-0000839F0000}"/>
    <cellStyle name="货币 2 3 2 4 4 4 2" xfId="40788" xr:uid="{00000000-0005-0000-0000-0000849F0000}"/>
    <cellStyle name="货币 2 3 2 4 4 5" xfId="40789" xr:uid="{00000000-0005-0000-0000-0000859F0000}"/>
    <cellStyle name="货币 2 3 2 4 4 6" xfId="35069" xr:uid="{00000000-0005-0000-0000-00002D890000}"/>
    <cellStyle name="货币 2 3 2 4 4 7" xfId="35071" xr:uid="{00000000-0005-0000-0000-00002F890000}"/>
    <cellStyle name="货币 2 3 2 4 4 8" xfId="35073" xr:uid="{00000000-0005-0000-0000-000031890000}"/>
    <cellStyle name="货币 2 3 2 4 4 9" xfId="35076" xr:uid="{00000000-0005-0000-0000-000034890000}"/>
    <cellStyle name="货币 2 3 2 4 5" xfId="40790" xr:uid="{00000000-0005-0000-0000-0000869F0000}"/>
    <cellStyle name="货币 2 3 2 4 5 10" xfId="33528" xr:uid="{00000000-0005-0000-0000-000028830000}"/>
    <cellStyle name="货币 2 3 2 4 5 11" xfId="33531" xr:uid="{00000000-0005-0000-0000-00002B830000}"/>
    <cellStyle name="货币 2 3 2 4 5 12" xfId="33535" xr:uid="{00000000-0005-0000-0000-00002F830000}"/>
    <cellStyle name="货币 2 3 2 4 5 13" xfId="33538" xr:uid="{00000000-0005-0000-0000-000032830000}"/>
    <cellStyle name="货币 2 3 2 4 5 2" xfId="21105" xr:uid="{00000000-0005-0000-0000-0000A1520000}"/>
    <cellStyle name="货币 2 3 2 4 5 2 2" xfId="40791" xr:uid="{00000000-0005-0000-0000-0000879F0000}"/>
    <cellStyle name="货币 2 3 2 4 5 2 2 2" xfId="35369" xr:uid="{00000000-0005-0000-0000-0000598A0000}"/>
    <cellStyle name="货币 2 3 2 4 5 2 3" xfId="39095" xr:uid="{00000000-0005-0000-0000-0000E7980000}"/>
    <cellStyle name="货币 2 3 2 4 5 2 4" xfId="39097" xr:uid="{00000000-0005-0000-0000-0000E9980000}"/>
    <cellStyle name="货币 2 3 2 4 5 2 5" xfId="39099" xr:uid="{00000000-0005-0000-0000-0000EB980000}"/>
    <cellStyle name="货币 2 3 2 4 5 2 6" xfId="39101" xr:uid="{00000000-0005-0000-0000-0000ED980000}"/>
    <cellStyle name="货币 2 3 2 4 5 2 7" xfId="39103" xr:uid="{00000000-0005-0000-0000-0000EF980000}"/>
    <cellStyle name="货币 2 3 2 4 5 2 8" xfId="36196" xr:uid="{00000000-0005-0000-0000-0000948D0000}"/>
    <cellStyle name="货币 2 3 2 4 5 2 9" xfId="36203" xr:uid="{00000000-0005-0000-0000-00009B8D0000}"/>
    <cellStyle name="货币 2 3 2 4 5 3" xfId="40792" xr:uid="{00000000-0005-0000-0000-0000889F0000}"/>
    <cellStyle name="货币 2 3 2 4 5 3 2" xfId="40793" xr:uid="{00000000-0005-0000-0000-0000899F0000}"/>
    <cellStyle name="货币 2 3 2 4 5 3 3" xfId="39106" xr:uid="{00000000-0005-0000-0000-0000F2980000}"/>
    <cellStyle name="货币 2 3 2 4 5 3 4" xfId="40794" xr:uid="{00000000-0005-0000-0000-00008A9F0000}"/>
    <cellStyle name="货币 2 3 2 4 5 3 5" xfId="40795" xr:uid="{00000000-0005-0000-0000-00008B9F0000}"/>
    <cellStyle name="货币 2 3 2 4 5 3 6" xfId="40796" xr:uid="{00000000-0005-0000-0000-00008C9F0000}"/>
    <cellStyle name="货币 2 3 2 4 5 4" xfId="40797" xr:uid="{00000000-0005-0000-0000-00008D9F0000}"/>
    <cellStyle name="货币 2 3 2 4 5 4 2" xfId="18890" xr:uid="{00000000-0005-0000-0000-0000FA490000}"/>
    <cellStyle name="货币 2 3 2 4 5 5" xfId="40798" xr:uid="{00000000-0005-0000-0000-00008E9F0000}"/>
    <cellStyle name="货币 2 3 2 4 5 6" xfId="21111" xr:uid="{00000000-0005-0000-0000-0000A7520000}"/>
    <cellStyle name="货币 2 3 2 4 5 7" xfId="21114" xr:uid="{00000000-0005-0000-0000-0000AA520000}"/>
    <cellStyle name="货币 2 3 2 4 5 8" xfId="35079" xr:uid="{00000000-0005-0000-0000-000037890000}"/>
    <cellStyle name="货币 2 3 2 4 5 9" xfId="35081" xr:uid="{00000000-0005-0000-0000-000039890000}"/>
    <cellStyle name="货币 2 3 2 4 6" xfId="40799" xr:uid="{00000000-0005-0000-0000-00008F9F0000}"/>
    <cellStyle name="货币 2 3 2 4 6 10" xfId="40800" xr:uid="{00000000-0005-0000-0000-0000909F0000}"/>
    <cellStyle name="货币 2 3 2 4 6 11" xfId="40801" xr:uid="{00000000-0005-0000-0000-0000919F0000}"/>
    <cellStyle name="货币 2 3 2 4 6 12" xfId="40802" xr:uid="{00000000-0005-0000-0000-0000929F0000}"/>
    <cellStyle name="货币 2 3 2 4 6 2" xfId="40803" xr:uid="{00000000-0005-0000-0000-0000939F0000}"/>
    <cellStyle name="货币 2 3 2 4 6 2 2" xfId="40804" xr:uid="{00000000-0005-0000-0000-0000949F0000}"/>
    <cellStyle name="货币 2 3 2 4 6 2 2 2" xfId="35537" xr:uid="{00000000-0005-0000-0000-0000018B0000}"/>
    <cellStyle name="货币 2 3 2 4 6 2 3" xfId="25394" xr:uid="{00000000-0005-0000-0000-000062630000}"/>
    <cellStyle name="货币 2 3 2 4 6 2 4" xfId="39125" xr:uid="{00000000-0005-0000-0000-000005990000}"/>
    <cellStyle name="货币 2 3 2 4 6 2 5" xfId="36328" xr:uid="{00000000-0005-0000-0000-0000188E0000}"/>
    <cellStyle name="货币 2 3 2 4 6 2 6" xfId="36331" xr:uid="{00000000-0005-0000-0000-00001B8E0000}"/>
    <cellStyle name="货币 2 3 2 4 6 2 7" xfId="36334" xr:uid="{00000000-0005-0000-0000-00001E8E0000}"/>
    <cellStyle name="货币 2 3 2 4 6 2 8" xfId="36337" xr:uid="{00000000-0005-0000-0000-0000218E0000}"/>
    <cellStyle name="货币 2 3 2 4 6 2 9" xfId="36340" xr:uid="{00000000-0005-0000-0000-0000248E0000}"/>
    <cellStyle name="货币 2 3 2 4 6 3" xfId="40805" xr:uid="{00000000-0005-0000-0000-0000959F0000}"/>
    <cellStyle name="货币 2 3 2 4 6 3 2" xfId="40806" xr:uid="{00000000-0005-0000-0000-0000969F0000}"/>
    <cellStyle name="货币 2 3 2 4 6 3 3" xfId="39128" xr:uid="{00000000-0005-0000-0000-000008990000}"/>
    <cellStyle name="货币 2 3 2 4 6 3 4" xfId="15011" xr:uid="{00000000-0005-0000-0000-0000D33A0000}"/>
    <cellStyle name="货币 2 3 2 4 6 3 5" xfId="15016" xr:uid="{00000000-0005-0000-0000-0000D83A0000}"/>
    <cellStyle name="货币 2 3 2 4 6 3 6" xfId="15019" xr:uid="{00000000-0005-0000-0000-0000DB3A0000}"/>
    <cellStyle name="货币 2 3 2 4 6 4" xfId="40808" xr:uid="{00000000-0005-0000-0000-0000989F0000}"/>
    <cellStyle name="货币 2 3 2 4 6 4 2" xfId="27393" xr:uid="{00000000-0005-0000-0000-0000316B0000}"/>
    <cellStyle name="货币 2 3 2 4 6 5" xfId="40810" xr:uid="{00000000-0005-0000-0000-00009A9F0000}"/>
    <cellStyle name="货币 2 3 2 4 6 6" xfId="35085" xr:uid="{00000000-0005-0000-0000-00003D890000}"/>
    <cellStyle name="货币 2 3 2 4 6 7" xfId="7617" xr:uid="{00000000-0005-0000-0000-0000F11D0000}"/>
    <cellStyle name="货币 2 3 2 4 6 8" xfId="7830" xr:uid="{00000000-0005-0000-0000-0000C61E0000}"/>
    <cellStyle name="货币 2 3 2 4 6 9" xfId="9802" xr:uid="{00000000-0005-0000-0000-00007A260000}"/>
    <cellStyle name="货币 2 3 2 4 7" xfId="40811" xr:uid="{00000000-0005-0000-0000-00009B9F0000}"/>
    <cellStyle name="货币 2 3 2 4 7 2" xfId="40812" xr:uid="{00000000-0005-0000-0000-00009C9F0000}"/>
    <cellStyle name="货币 2 3 2 4 7 2 2" xfId="40813" xr:uid="{00000000-0005-0000-0000-00009D9F0000}"/>
    <cellStyle name="货币 2 3 2 4 7 3" xfId="40814" xr:uid="{00000000-0005-0000-0000-00009E9F0000}"/>
    <cellStyle name="货币 2 3 2 4 7 4" xfId="40815" xr:uid="{00000000-0005-0000-0000-00009F9F0000}"/>
    <cellStyle name="货币 2 3 2 4 7 5" xfId="40816" xr:uid="{00000000-0005-0000-0000-0000A09F0000}"/>
    <cellStyle name="货币 2 3 2 4 7 6" xfId="35089" xr:uid="{00000000-0005-0000-0000-000041890000}"/>
    <cellStyle name="货币 2 3 2 4 7 7" xfId="4724" xr:uid="{00000000-0005-0000-0000-0000A4120000}"/>
    <cellStyle name="货币 2 3 2 4 7 8" xfId="4745" xr:uid="{00000000-0005-0000-0000-0000B9120000}"/>
    <cellStyle name="货币 2 3 2 4 7 9" xfId="9827" xr:uid="{00000000-0005-0000-0000-000093260000}"/>
    <cellStyle name="货币 2 3 2 4 8" xfId="40817" xr:uid="{00000000-0005-0000-0000-0000A19F0000}"/>
    <cellStyle name="货币 2 3 2 4 8 2" xfId="40818" xr:uid="{00000000-0005-0000-0000-0000A29F0000}"/>
    <cellStyle name="货币 2 3 2 4 8 3" xfId="40819" xr:uid="{00000000-0005-0000-0000-0000A39F0000}"/>
    <cellStyle name="货币 2 3 2 4 8 4" xfId="40820" xr:uid="{00000000-0005-0000-0000-0000A49F0000}"/>
    <cellStyle name="货币 2 3 2 4 8 5" xfId="40821" xr:uid="{00000000-0005-0000-0000-0000A59F0000}"/>
    <cellStyle name="货币 2 3 2 4 8 6" xfId="40822" xr:uid="{00000000-0005-0000-0000-0000A69F0000}"/>
    <cellStyle name="货币 2 3 2 4 9" xfId="40823" xr:uid="{00000000-0005-0000-0000-0000A79F0000}"/>
    <cellStyle name="货币 2 3 2 4 9 2" xfId="40824" xr:uid="{00000000-0005-0000-0000-0000A89F0000}"/>
    <cellStyle name="货币 2 3 2 4 9 3" xfId="40825" xr:uid="{00000000-0005-0000-0000-0000A99F0000}"/>
    <cellStyle name="货币 2 3 2 4 9 4" xfId="40826" xr:uid="{00000000-0005-0000-0000-0000AA9F0000}"/>
    <cellStyle name="货币 2 3 2 4 9 5" xfId="40827" xr:uid="{00000000-0005-0000-0000-0000AB9F0000}"/>
    <cellStyle name="货币 2 3 2 4 9 6" xfId="40828" xr:uid="{00000000-0005-0000-0000-0000AC9F0000}"/>
    <cellStyle name="货币 2 3 2 5" xfId="33939" xr:uid="{00000000-0005-0000-0000-0000C3840000}"/>
    <cellStyle name="货币 2 3 2 5 10" xfId="40829" xr:uid="{00000000-0005-0000-0000-0000AD9F0000}"/>
    <cellStyle name="货币 2 3 2 5 10 2" xfId="40831" xr:uid="{00000000-0005-0000-0000-0000AF9F0000}"/>
    <cellStyle name="货币 2 3 2 5 10 3" xfId="40833" xr:uid="{00000000-0005-0000-0000-0000B19F0000}"/>
    <cellStyle name="货币 2 3 2 5 10 4" xfId="40834" xr:uid="{00000000-0005-0000-0000-0000B29F0000}"/>
    <cellStyle name="货币 2 3 2 5 10 5" xfId="40835" xr:uid="{00000000-0005-0000-0000-0000B39F0000}"/>
    <cellStyle name="货币 2 3 2 5 10 6" xfId="40836" xr:uid="{00000000-0005-0000-0000-0000B49F0000}"/>
    <cellStyle name="货币 2 3 2 5 11" xfId="40837" xr:uid="{00000000-0005-0000-0000-0000B59F0000}"/>
    <cellStyle name="货币 2 3 2 5 11 2" xfId="40838" xr:uid="{00000000-0005-0000-0000-0000B69F0000}"/>
    <cellStyle name="货币 2 3 2 5 11 3" xfId="40839" xr:uid="{00000000-0005-0000-0000-0000B79F0000}"/>
    <cellStyle name="货币 2 3 2 5 11 4" xfId="31659" xr:uid="{00000000-0005-0000-0000-0000DB7B0000}"/>
    <cellStyle name="货币 2 3 2 5 11 5" xfId="31663" xr:uid="{00000000-0005-0000-0000-0000DF7B0000}"/>
    <cellStyle name="货币 2 3 2 5 11 6" xfId="31665" xr:uid="{00000000-0005-0000-0000-0000E17B0000}"/>
    <cellStyle name="货币 2 3 2 5 12" xfId="40840" xr:uid="{00000000-0005-0000-0000-0000B89F0000}"/>
    <cellStyle name="货币 2 3 2 5 13" xfId="40841" xr:uid="{00000000-0005-0000-0000-0000B99F0000}"/>
    <cellStyle name="货币 2 3 2 5 14" xfId="7455" xr:uid="{00000000-0005-0000-0000-00004F1D0000}"/>
    <cellStyle name="货币 2 3 2 5 15" xfId="17856" xr:uid="{00000000-0005-0000-0000-0000F0450000}"/>
    <cellStyle name="货币 2 3 2 5 16" xfId="17861" xr:uid="{00000000-0005-0000-0000-0000F5450000}"/>
    <cellStyle name="货币 2 3 2 5 17" xfId="40843" xr:uid="{00000000-0005-0000-0000-0000BB9F0000}"/>
    <cellStyle name="货币 2 3 2 5 18" xfId="40845" xr:uid="{00000000-0005-0000-0000-0000BD9F0000}"/>
    <cellStyle name="货币 2 3 2 5 19" xfId="40847" xr:uid="{00000000-0005-0000-0000-0000BF9F0000}"/>
    <cellStyle name="货币 2 3 2 5 2" xfId="29994" xr:uid="{00000000-0005-0000-0000-00005A750000}"/>
    <cellStyle name="货币 2 3 2 5 2 10" xfId="33802" xr:uid="{00000000-0005-0000-0000-00003A840000}"/>
    <cellStyle name="货币 2 3 2 5 2 11" xfId="33804" xr:uid="{00000000-0005-0000-0000-00003C840000}"/>
    <cellStyle name="货币 2 3 2 5 2 12" xfId="33807" xr:uid="{00000000-0005-0000-0000-00003F840000}"/>
    <cellStyle name="货币 2 3 2 5 2 13" xfId="33810" xr:uid="{00000000-0005-0000-0000-000042840000}"/>
    <cellStyle name="货币 2 3 2 5 2 14" xfId="33813" xr:uid="{00000000-0005-0000-0000-000045840000}"/>
    <cellStyle name="货币 2 3 2 5 2 15" xfId="33816" xr:uid="{00000000-0005-0000-0000-000048840000}"/>
    <cellStyle name="货币 2 3 2 5 2 16" xfId="33819" xr:uid="{00000000-0005-0000-0000-00004B840000}"/>
    <cellStyle name="货币 2 3 2 5 2 17" xfId="33822" xr:uid="{00000000-0005-0000-0000-00004E840000}"/>
    <cellStyle name="货币 2 3 2 5 2 18" xfId="34475" xr:uid="{00000000-0005-0000-0000-0000DB860000}"/>
    <cellStyle name="货币 2 3 2 5 2 2" xfId="34298" xr:uid="{00000000-0005-0000-0000-00002A860000}"/>
    <cellStyle name="货币 2 3 2 5 2 2 10" xfId="15043" xr:uid="{00000000-0005-0000-0000-0000F33A0000}"/>
    <cellStyle name="货币 2 3 2 5 2 2 11" xfId="15049" xr:uid="{00000000-0005-0000-0000-0000F93A0000}"/>
    <cellStyle name="货币 2 3 2 5 2 2 12" xfId="15054" xr:uid="{00000000-0005-0000-0000-0000FE3A0000}"/>
    <cellStyle name="货币 2 3 2 5 2 2 2" xfId="40848" xr:uid="{00000000-0005-0000-0000-0000C09F0000}"/>
    <cellStyle name="货币 2 3 2 5 2 2 2 2" xfId="40849" xr:uid="{00000000-0005-0000-0000-0000C19F0000}"/>
    <cellStyle name="货币 2 3 2 5 2 2 2 2 2" xfId="40850" xr:uid="{00000000-0005-0000-0000-0000C29F0000}"/>
    <cellStyle name="货币 2 3 2 5 2 2 2 3" xfId="40851" xr:uid="{00000000-0005-0000-0000-0000C39F0000}"/>
    <cellStyle name="货币 2 3 2 5 2 2 2 4" xfId="40852" xr:uid="{00000000-0005-0000-0000-0000C49F0000}"/>
    <cellStyle name="货币 2 3 2 5 2 2 2 5" xfId="40853" xr:uid="{00000000-0005-0000-0000-0000C59F0000}"/>
    <cellStyle name="货币 2 3 2 5 2 2 3" xfId="40854" xr:uid="{00000000-0005-0000-0000-0000C69F0000}"/>
    <cellStyle name="货币 2 3 2 5 2 2 3 2" xfId="40855" xr:uid="{00000000-0005-0000-0000-0000C79F0000}"/>
    <cellStyle name="货币 2 3 2 5 2 2 4" xfId="21734" xr:uid="{00000000-0005-0000-0000-000016550000}"/>
    <cellStyle name="货币 2 3 2 5 2 2 5" xfId="21743" xr:uid="{00000000-0005-0000-0000-00001F550000}"/>
    <cellStyle name="货币 2 3 2 5 2 2 6" xfId="21747" xr:uid="{00000000-0005-0000-0000-000023550000}"/>
    <cellStyle name="货币 2 3 2 5 2 2 7" xfId="21755" xr:uid="{00000000-0005-0000-0000-00002B550000}"/>
    <cellStyle name="货币 2 3 2 5 2 2 8" xfId="40856" xr:uid="{00000000-0005-0000-0000-0000C89F0000}"/>
    <cellStyle name="货币 2 3 2 5 2 2 9" xfId="40857" xr:uid="{00000000-0005-0000-0000-0000C99F0000}"/>
    <cellStyle name="货币 2 3 2 5 2 3" xfId="40859" xr:uid="{00000000-0005-0000-0000-0000CB9F0000}"/>
    <cellStyle name="货币 2 3 2 5 2 3 10" xfId="40860" xr:uid="{00000000-0005-0000-0000-0000CC9F0000}"/>
    <cellStyle name="货币 2 3 2 5 2 3 11" xfId="40861" xr:uid="{00000000-0005-0000-0000-0000CD9F0000}"/>
    <cellStyle name="货币 2 3 2 5 2 3 12" xfId="40862" xr:uid="{00000000-0005-0000-0000-0000CE9F0000}"/>
    <cellStyle name="货币 2 3 2 5 2 3 2" xfId="40863" xr:uid="{00000000-0005-0000-0000-0000CF9F0000}"/>
    <cellStyle name="货币 2 3 2 5 2 3 2 2" xfId="40864" xr:uid="{00000000-0005-0000-0000-0000D09F0000}"/>
    <cellStyle name="货币 2 3 2 5 2 3 2 2 2" xfId="11035" xr:uid="{00000000-0005-0000-0000-00004B2B0000}"/>
    <cellStyle name="货币 2 3 2 5 2 3 2 3" xfId="40865" xr:uid="{00000000-0005-0000-0000-0000D19F0000}"/>
    <cellStyle name="货币 2 3 2 5 2 3 2 4" xfId="40866" xr:uid="{00000000-0005-0000-0000-0000D29F0000}"/>
    <cellStyle name="货币 2 3 2 5 2 3 2 5" xfId="40867" xr:uid="{00000000-0005-0000-0000-0000D39F0000}"/>
    <cellStyle name="货币 2 3 2 5 2 3 3" xfId="40868" xr:uid="{00000000-0005-0000-0000-0000D49F0000}"/>
    <cellStyle name="货币 2 3 2 5 2 3 3 2" xfId="40869" xr:uid="{00000000-0005-0000-0000-0000D59F0000}"/>
    <cellStyle name="货币 2 3 2 5 2 3 4" xfId="21769" xr:uid="{00000000-0005-0000-0000-000039550000}"/>
    <cellStyle name="货币 2 3 2 5 2 3 5" xfId="40870" xr:uid="{00000000-0005-0000-0000-0000D69F0000}"/>
    <cellStyle name="货币 2 3 2 5 2 3 6" xfId="40871" xr:uid="{00000000-0005-0000-0000-0000D79F0000}"/>
    <cellStyle name="货币 2 3 2 5 2 3 7" xfId="40872" xr:uid="{00000000-0005-0000-0000-0000D89F0000}"/>
    <cellStyle name="货币 2 3 2 5 2 3 8" xfId="40873" xr:uid="{00000000-0005-0000-0000-0000D99F0000}"/>
    <cellStyle name="货币 2 3 2 5 2 3 9" xfId="40874" xr:uid="{00000000-0005-0000-0000-0000DA9F0000}"/>
    <cellStyle name="货币 2 3 2 5 2 4" xfId="40876" xr:uid="{00000000-0005-0000-0000-0000DC9F0000}"/>
    <cellStyle name="货币 2 3 2 5 2 4 10" xfId="19608" xr:uid="{00000000-0005-0000-0000-0000C84C0000}"/>
    <cellStyle name="货币 2 3 2 5 2 4 2" xfId="40877" xr:uid="{00000000-0005-0000-0000-0000DD9F0000}"/>
    <cellStyle name="货币 2 3 2 5 2 4 2 2" xfId="40878" xr:uid="{00000000-0005-0000-0000-0000DE9F0000}"/>
    <cellStyle name="货币 2 3 2 5 2 4 2 2 2" xfId="19273" xr:uid="{00000000-0005-0000-0000-0000794B0000}"/>
    <cellStyle name="货币 2 3 2 5 2 4 2 3" xfId="40879" xr:uid="{00000000-0005-0000-0000-0000DF9F0000}"/>
    <cellStyle name="货币 2 3 2 5 2 4 2 4" xfId="40880" xr:uid="{00000000-0005-0000-0000-0000E09F0000}"/>
    <cellStyle name="货币 2 3 2 5 2 4 2 5" xfId="1309" xr:uid="{00000000-0005-0000-0000-00004D050000}"/>
    <cellStyle name="货币 2 3 2 5 2 4 3" xfId="40881" xr:uid="{00000000-0005-0000-0000-0000E19F0000}"/>
    <cellStyle name="货币 2 3 2 5 2 4 3 2" xfId="40882" xr:uid="{00000000-0005-0000-0000-0000E29F0000}"/>
    <cellStyle name="货币 2 3 2 5 2 4 4" xfId="40883" xr:uid="{00000000-0005-0000-0000-0000E39F0000}"/>
    <cellStyle name="货币 2 3 2 5 2 4 5" xfId="40884" xr:uid="{00000000-0005-0000-0000-0000E49F0000}"/>
    <cellStyle name="货币 2 3 2 5 2 4 6" xfId="38375" xr:uid="{00000000-0005-0000-0000-000017960000}"/>
    <cellStyle name="货币 2 3 2 5 2 4 7" xfId="38377" xr:uid="{00000000-0005-0000-0000-000019960000}"/>
    <cellStyle name="货币 2 3 2 5 2 4 8" xfId="29000" xr:uid="{00000000-0005-0000-0000-000078710000}"/>
    <cellStyle name="货币 2 3 2 5 2 4 9" xfId="38379" xr:uid="{00000000-0005-0000-0000-00001B960000}"/>
    <cellStyle name="货币 2 3 2 5 2 5" xfId="40886" xr:uid="{00000000-0005-0000-0000-0000E69F0000}"/>
    <cellStyle name="货币 2 3 2 5 2 5 10" xfId="32618" xr:uid="{00000000-0005-0000-0000-00009A7F0000}"/>
    <cellStyle name="货币 2 3 2 5 2 5 2" xfId="40887" xr:uid="{00000000-0005-0000-0000-0000E79F0000}"/>
    <cellStyle name="货币 2 3 2 5 2 5 2 2" xfId="40889" xr:uid="{00000000-0005-0000-0000-0000E99F0000}"/>
    <cellStyle name="货币 2 3 2 5 2 5 2 2 2" xfId="38461" xr:uid="{00000000-0005-0000-0000-00006D960000}"/>
    <cellStyle name="货币 2 3 2 5 2 5 2 3" xfId="40890" xr:uid="{00000000-0005-0000-0000-0000EA9F0000}"/>
    <cellStyle name="货币 2 3 2 5 2 5 2 4" xfId="40891" xr:uid="{00000000-0005-0000-0000-0000EB9F0000}"/>
    <cellStyle name="货币 2 3 2 5 2 5 2 5" xfId="2334" xr:uid="{00000000-0005-0000-0000-00004E090000}"/>
    <cellStyle name="货币 2 3 2 5 2 5 3" xfId="40892" xr:uid="{00000000-0005-0000-0000-0000EC9F0000}"/>
    <cellStyle name="货币 2 3 2 5 2 5 3 2" xfId="37319" xr:uid="{00000000-0005-0000-0000-0000F7910000}"/>
    <cellStyle name="货币 2 3 2 5 2 5 4" xfId="40893" xr:uid="{00000000-0005-0000-0000-0000ED9F0000}"/>
    <cellStyle name="货币 2 3 2 5 2 5 5" xfId="40894" xr:uid="{00000000-0005-0000-0000-0000EE9F0000}"/>
    <cellStyle name="货币 2 3 2 5 2 5 6" xfId="40896" xr:uid="{00000000-0005-0000-0000-0000F09F0000}"/>
    <cellStyle name="货币 2 3 2 5 2 5 7" xfId="40897" xr:uid="{00000000-0005-0000-0000-0000F19F0000}"/>
    <cellStyle name="货币 2 3 2 5 2 5 8" xfId="40898" xr:uid="{00000000-0005-0000-0000-0000F29F0000}"/>
    <cellStyle name="货币 2 3 2 5 2 5 9" xfId="40899" xr:uid="{00000000-0005-0000-0000-0000F39F0000}"/>
    <cellStyle name="货币 2 3 2 5 2 6" xfId="40901" xr:uid="{00000000-0005-0000-0000-0000F59F0000}"/>
    <cellStyle name="货币 2 3 2 5 2 6 2" xfId="6614" xr:uid="{00000000-0005-0000-0000-0000061A0000}"/>
    <cellStyle name="货币 2 3 2 5 2 6 2 2" xfId="40902" xr:uid="{00000000-0005-0000-0000-0000F69F0000}"/>
    <cellStyle name="货币 2 3 2 5 2 6 3" xfId="6622" xr:uid="{00000000-0005-0000-0000-00000E1A0000}"/>
    <cellStyle name="货币 2 3 2 5 2 6 4" xfId="40903" xr:uid="{00000000-0005-0000-0000-0000F79F0000}"/>
    <cellStyle name="货币 2 3 2 5 2 6 5" xfId="40904" xr:uid="{00000000-0005-0000-0000-0000F89F0000}"/>
    <cellStyle name="货币 2 3 2 5 2 6 6" xfId="40905" xr:uid="{00000000-0005-0000-0000-0000F99F0000}"/>
    <cellStyle name="货币 2 3 2 5 2 6 7" xfId="40906" xr:uid="{00000000-0005-0000-0000-0000FA9F0000}"/>
    <cellStyle name="货币 2 3 2 5 2 6 8" xfId="40907" xr:uid="{00000000-0005-0000-0000-0000FB9F0000}"/>
    <cellStyle name="货币 2 3 2 5 2 6 9" xfId="40908" xr:uid="{00000000-0005-0000-0000-0000FC9F0000}"/>
    <cellStyle name="货币 2 3 2 5 2 7" xfId="40910" xr:uid="{00000000-0005-0000-0000-0000FE9F0000}"/>
    <cellStyle name="货币 2 3 2 5 2 7 2" xfId="40911" xr:uid="{00000000-0005-0000-0000-0000FF9F0000}"/>
    <cellStyle name="货币 2 3 2 5 2 8" xfId="40913" xr:uid="{00000000-0005-0000-0000-000001A00000}"/>
    <cellStyle name="货币 2 3 2 5 2 9" xfId="40915" xr:uid="{00000000-0005-0000-0000-000003A00000}"/>
    <cellStyle name="货币 2 3 2 5 20" xfId="17855" xr:uid="{00000000-0005-0000-0000-0000EF450000}"/>
    <cellStyle name="货币 2 3 2 5 21" xfId="17860" xr:uid="{00000000-0005-0000-0000-0000F4450000}"/>
    <cellStyle name="货币 2 3 2 5 22" xfId="40842" xr:uid="{00000000-0005-0000-0000-0000BA9F0000}"/>
    <cellStyle name="货币 2 3 2 5 23" xfId="40844" xr:uid="{00000000-0005-0000-0000-0000BC9F0000}"/>
    <cellStyle name="货币 2 3 2 5 3" xfId="26099" xr:uid="{00000000-0005-0000-0000-000023660000}"/>
    <cellStyle name="货币 2 3 2 5 3 10" xfId="40916" xr:uid="{00000000-0005-0000-0000-000004A00000}"/>
    <cellStyle name="货币 2 3 2 5 3 11" xfId="40917" xr:uid="{00000000-0005-0000-0000-000005A00000}"/>
    <cellStyle name="货币 2 3 2 5 3 12" xfId="40918" xr:uid="{00000000-0005-0000-0000-000006A00000}"/>
    <cellStyle name="货币 2 3 2 5 3 13" xfId="40919" xr:uid="{00000000-0005-0000-0000-000007A00000}"/>
    <cellStyle name="货币 2 3 2 5 3 14" xfId="40920" xr:uid="{00000000-0005-0000-0000-000008A00000}"/>
    <cellStyle name="货币 2 3 2 5 3 15" xfId="40921" xr:uid="{00000000-0005-0000-0000-000009A00000}"/>
    <cellStyle name="货币 2 3 2 5 3 16" xfId="40922" xr:uid="{00000000-0005-0000-0000-00000AA00000}"/>
    <cellStyle name="货币 2 3 2 5 3 17" xfId="40924" xr:uid="{00000000-0005-0000-0000-00000CA00000}"/>
    <cellStyle name="货币 2 3 2 5 3 18" xfId="40926" xr:uid="{00000000-0005-0000-0000-00000EA00000}"/>
    <cellStyle name="货币 2 3 2 5 3 2" xfId="40927" xr:uid="{00000000-0005-0000-0000-00000FA00000}"/>
    <cellStyle name="货币 2 3 2 5 3 2 10" xfId="40928" xr:uid="{00000000-0005-0000-0000-000010A00000}"/>
    <cellStyle name="货币 2 3 2 5 3 2 2" xfId="22917" xr:uid="{00000000-0005-0000-0000-0000B5590000}"/>
    <cellStyle name="货币 2 3 2 5 3 2 2 2" xfId="40929" xr:uid="{00000000-0005-0000-0000-000011A00000}"/>
    <cellStyle name="货币 2 3 2 5 3 2 3" xfId="21803" xr:uid="{00000000-0005-0000-0000-00005B550000}"/>
    <cellStyle name="货币 2 3 2 5 3 2 4" xfId="21808" xr:uid="{00000000-0005-0000-0000-000060550000}"/>
    <cellStyle name="货币 2 3 2 5 3 2 5" xfId="21821" xr:uid="{00000000-0005-0000-0000-00006D550000}"/>
    <cellStyle name="货币 2 3 2 5 3 2 6" xfId="21830" xr:uid="{00000000-0005-0000-0000-000076550000}"/>
    <cellStyle name="货币 2 3 2 5 3 2 7" xfId="21838" xr:uid="{00000000-0005-0000-0000-00007E550000}"/>
    <cellStyle name="货币 2 3 2 5 3 2 8" xfId="21847" xr:uid="{00000000-0005-0000-0000-000087550000}"/>
    <cellStyle name="货币 2 3 2 5 3 2 9" xfId="21854" xr:uid="{00000000-0005-0000-0000-00008E550000}"/>
    <cellStyle name="货币 2 3 2 5 3 3" xfId="40930" xr:uid="{00000000-0005-0000-0000-000012A00000}"/>
    <cellStyle name="货币 2 3 2 5 3 3 2" xfId="40931" xr:uid="{00000000-0005-0000-0000-000013A00000}"/>
    <cellStyle name="货币 2 3 2 5 3 3 3" xfId="21868" xr:uid="{00000000-0005-0000-0000-00009C550000}"/>
    <cellStyle name="货币 2 3 2 5 3 3 4" xfId="21872" xr:uid="{00000000-0005-0000-0000-0000A0550000}"/>
    <cellStyle name="货币 2 3 2 5 3 3 5" xfId="21880" xr:uid="{00000000-0005-0000-0000-0000A8550000}"/>
    <cellStyle name="货币 2 3 2 5 3 3 6" xfId="21885" xr:uid="{00000000-0005-0000-0000-0000AD550000}"/>
    <cellStyle name="货币 2 3 2 5 3 4" xfId="40932" xr:uid="{00000000-0005-0000-0000-000014A00000}"/>
    <cellStyle name="货币 2 3 2 5 3 4 2" xfId="40933" xr:uid="{00000000-0005-0000-0000-000015A00000}"/>
    <cellStyle name="货币 2 3 2 5 3 4 3" xfId="4769" xr:uid="{00000000-0005-0000-0000-0000D1120000}"/>
    <cellStyle name="货币 2 3 2 5 3 4 4" xfId="5437" xr:uid="{00000000-0005-0000-0000-00006D150000}"/>
    <cellStyle name="货币 2 3 2 5 3 4 5" xfId="2061" xr:uid="{00000000-0005-0000-0000-00003D080000}"/>
    <cellStyle name="货币 2 3 2 5 3 4 6" xfId="5448" xr:uid="{00000000-0005-0000-0000-000078150000}"/>
    <cellStyle name="货币 2 3 2 5 3 5" xfId="40934" xr:uid="{00000000-0005-0000-0000-000016A00000}"/>
    <cellStyle name="货币 2 3 2 5 3 5 2" xfId="40935" xr:uid="{00000000-0005-0000-0000-000017A00000}"/>
    <cellStyle name="货币 2 3 2 5 3 5 3" xfId="4781" xr:uid="{00000000-0005-0000-0000-0000DD120000}"/>
    <cellStyle name="货币 2 3 2 5 3 5 4" xfId="5492" xr:uid="{00000000-0005-0000-0000-0000A4150000}"/>
    <cellStyle name="货币 2 3 2 5 3 5 5" xfId="5504" xr:uid="{00000000-0005-0000-0000-0000B0150000}"/>
    <cellStyle name="货币 2 3 2 5 3 5 6" xfId="5513" xr:uid="{00000000-0005-0000-0000-0000B9150000}"/>
    <cellStyle name="货币 2 3 2 5 3 6" xfId="35097" xr:uid="{00000000-0005-0000-0000-000049890000}"/>
    <cellStyle name="货币 2 3 2 5 3 6 2" xfId="35099" xr:uid="{00000000-0005-0000-0000-00004B890000}"/>
    <cellStyle name="货币 2 3 2 5 3 6 3" xfId="39204" xr:uid="{00000000-0005-0000-0000-000054990000}"/>
    <cellStyle name="货币 2 3 2 5 3 6 4" xfId="40936" xr:uid="{00000000-0005-0000-0000-000018A00000}"/>
    <cellStyle name="货币 2 3 2 5 3 6 5" xfId="40937" xr:uid="{00000000-0005-0000-0000-000019A00000}"/>
    <cellStyle name="货币 2 3 2 5 3 6 6" xfId="40938" xr:uid="{00000000-0005-0000-0000-00001AA00000}"/>
    <cellStyle name="货币 2 3 2 5 3 7" xfId="30533" xr:uid="{00000000-0005-0000-0000-000075770000}"/>
    <cellStyle name="货币 2 3 2 5 3 8" xfId="30536" xr:uid="{00000000-0005-0000-0000-000078770000}"/>
    <cellStyle name="货币 2 3 2 5 3 9" xfId="30540" xr:uid="{00000000-0005-0000-0000-00007C770000}"/>
    <cellStyle name="货币 2 3 2 5 4" xfId="34683" xr:uid="{00000000-0005-0000-0000-0000AB870000}"/>
    <cellStyle name="货币 2 3 2 5 4 10" xfId="40939" xr:uid="{00000000-0005-0000-0000-00001BA00000}"/>
    <cellStyle name="货币 2 3 2 5 4 11" xfId="23349" xr:uid="{00000000-0005-0000-0000-0000655B0000}"/>
    <cellStyle name="货币 2 3 2 5 4 12" xfId="40940" xr:uid="{00000000-0005-0000-0000-00001CA00000}"/>
    <cellStyle name="货币 2 3 2 5 4 13" xfId="40941" xr:uid="{00000000-0005-0000-0000-00001DA00000}"/>
    <cellStyle name="货币 2 3 2 5 4 14" xfId="40942" xr:uid="{00000000-0005-0000-0000-00001EA00000}"/>
    <cellStyle name="货币 2 3 2 5 4 15" xfId="40943" xr:uid="{00000000-0005-0000-0000-00001FA00000}"/>
    <cellStyle name="货币 2 3 2 5 4 2" xfId="40945" xr:uid="{00000000-0005-0000-0000-000021A00000}"/>
    <cellStyle name="货币 2 3 2 5 4 2 2" xfId="40946" xr:uid="{00000000-0005-0000-0000-000022A00000}"/>
    <cellStyle name="货币 2 3 2 5 4 2 2 2" xfId="36503" xr:uid="{00000000-0005-0000-0000-0000C78E0000}"/>
    <cellStyle name="货币 2 3 2 5 4 2 3" xfId="21907" xr:uid="{00000000-0005-0000-0000-0000C3550000}"/>
    <cellStyle name="货币 2 3 2 5 4 2 4" xfId="27980" xr:uid="{00000000-0005-0000-0000-00007C6D0000}"/>
    <cellStyle name="货币 2 3 2 5 4 2 5" xfId="27985" xr:uid="{00000000-0005-0000-0000-0000816D0000}"/>
    <cellStyle name="货币 2 3 2 5 4 2 6" xfId="27988" xr:uid="{00000000-0005-0000-0000-0000846D0000}"/>
    <cellStyle name="货币 2 3 2 5 4 2 7" xfId="27991" xr:uid="{00000000-0005-0000-0000-0000876D0000}"/>
    <cellStyle name="货币 2 3 2 5 4 2 8" xfId="31904" xr:uid="{00000000-0005-0000-0000-0000D07C0000}"/>
    <cellStyle name="货币 2 3 2 5 4 2 9" xfId="33490" xr:uid="{00000000-0005-0000-0000-000002830000}"/>
    <cellStyle name="货币 2 3 2 5 4 3" xfId="40948" xr:uid="{00000000-0005-0000-0000-000024A00000}"/>
    <cellStyle name="货币 2 3 2 5 4 3 2" xfId="40949" xr:uid="{00000000-0005-0000-0000-000025A00000}"/>
    <cellStyle name="货币 2 3 2 5 4 3 3" xfId="39216" xr:uid="{00000000-0005-0000-0000-000060990000}"/>
    <cellStyle name="货币 2 3 2 5 4 3 4" xfId="27997" xr:uid="{00000000-0005-0000-0000-00008D6D0000}"/>
    <cellStyle name="货币 2 3 2 5 4 3 5" xfId="39218" xr:uid="{00000000-0005-0000-0000-000062990000}"/>
    <cellStyle name="货币 2 3 2 5 4 3 6" xfId="39220" xr:uid="{00000000-0005-0000-0000-000064990000}"/>
    <cellStyle name="货币 2 3 2 5 4 4" xfId="40951" xr:uid="{00000000-0005-0000-0000-000027A00000}"/>
    <cellStyle name="货币 2 3 2 5 4 4 2" xfId="40952" xr:uid="{00000000-0005-0000-0000-000028A00000}"/>
    <cellStyle name="货币 2 3 2 5 4 5" xfId="40953" xr:uid="{00000000-0005-0000-0000-000029A00000}"/>
    <cellStyle name="货币 2 3 2 5 4 6" xfId="35102" xr:uid="{00000000-0005-0000-0000-00004E890000}"/>
    <cellStyle name="货币 2 3 2 5 4 7" xfId="35104" xr:uid="{00000000-0005-0000-0000-000050890000}"/>
    <cellStyle name="货币 2 3 2 5 4 8" xfId="35106" xr:uid="{00000000-0005-0000-0000-000052890000}"/>
    <cellStyle name="货币 2 3 2 5 4 9" xfId="35108" xr:uid="{00000000-0005-0000-0000-000054890000}"/>
    <cellStyle name="货币 2 3 2 5 5" xfId="34685" xr:uid="{00000000-0005-0000-0000-0000AD870000}"/>
    <cellStyle name="货币 2 3 2 5 5 10" xfId="40955" xr:uid="{00000000-0005-0000-0000-00002BA00000}"/>
    <cellStyle name="货币 2 3 2 5 5 11" xfId="40957" xr:uid="{00000000-0005-0000-0000-00002DA00000}"/>
    <cellStyle name="货币 2 3 2 5 5 12" xfId="40959" xr:uid="{00000000-0005-0000-0000-00002FA00000}"/>
    <cellStyle name="货币 2 3 2 5 5 13" xfId="40961" xr:uid="{00000000-0005-0000-0000-000031A00000}"/>
    <cellStyle name="货币 2 3 2 5 5 2" xfId="35230" xr:uid="{00000000-0005-0000-0000-0000CE890000}"/>
    <cellStyle name="货币 2 3 2 5 5 2 2" xfId="40962" xr:uid="{00000000-0005-0000-0000-000032A00000}"/>
    <cellStyle name="货币 2 3 2 5 5 2 2 2" xfId="4875" xr:uid="{00000000-0005-0000-0000-00003B130000}"/>
    <cellStyle name="货币 2 3 2 5 5 2 3" xfId="39248" xr:uid="{00000000-0005-0000-0000-000080990000}"/>
    <cellStyle name="货币 2 3 2 5 5 2 4" xfId="28010" xr:uid="{00000000-0005-0000-0000-00009A6D0000}"/>
    <cellStyle name="货币 2 3 2 5 5 2 5" xfId="39250" xr:uid="{00000000-0005-0000-0000-000082990000}"/>
    <cellStyle name="货币 2 3 2 5 5 2 6" xfId="39252" xr:uid="{00000000-0005-0000-0000-000084990000}"/>
    <cellStyle name="货币 2 3 2 5 5 2 7" xfId="39254" xr:uid="{00000000-0005-0000-0000-000086990000}"/>
    <cellStyle name="货币 2 3 2 5 5 2 8" xfId="38958" xr:uid="{00000000-0005-0000-0000-00005E980000}"/>
    <cellStyle name="货币 2 3 2 5 5 2 9" xfId="38960" xr:uid="{00000000-0005-0000-0000-000060980000}"/>
    <cellStyle name="货币 2 3 2 5 5 3" xfId="40963" xr:uid="{00000000-0005-0000-0000-000033A00000}"/>
    <cellStyle name="货币 2 3 2 5 5 3 2" xfId="40964" xr:uid="{00000000-0005-0000-0000-000034A00000}"/>
    <cellStyle name="货币 2 3 2 5 5 3 3" xfId="39257" xr:uid="{00000000-0005-0000-0000-000089990000}"/>
    <cellStyle name="货币 2 3 2 5 5 3 4" xfId="40965" xr:uid="{00000000-0005-0000-0000-000035A00000}"/>
    <cellStyle name="货币 2 3 2 5 5 3 5" xfId="40966" xr:uid="{00000000-0005-0000-0000-000036A00000}"/>
    <cellStyle name="货币 2 3 2 5 5 3 6" xfId="40967" xr:uid="{00000000-0005-0000-0000-000037A00000}"/>
    <cellStyle name="货币 2 3 2 5 5 4" xfId="40968" xr:uid="{00000000-0005-0000-0000-000038A00000}"/>
    <cellStyle name="货币 2 3 2 5 5 4 2" xfId="40969" xr:uid="{00000000-0005-0000-0000-000039A00000}"/>
    <cellStyle name="货币 2 3 2 5 5 5" xfId="40970" xr:uid="{00000000-0005-0000-0000-00003AA00000}"/>
    <cellStyle name="货币 2 3 2 5 5 6" xfId="35111" xr:uid="{00000000-0005-0000-0000-000057890000}"/>
    <cellStyle name="货币 2 3 2 5 5 7" xfId="40971" xr:uid="{00000000-0005-0000-0000-00003BA00000}"/>
    <cellStyle name="货币 2 3 2 5 5 8" xfId="40972" xr:uid="{00000000-0005-0000-0000-00003CA00000}"/>
    <cellStyle name="货币 2 3 2 5 5 9" xfId="40973" xr:uid="{00000000-0005-0000-0000-00003DA00000}"/>
    <cellStyle name="货币 2 3 2 5 6" xfId="34687" xr:uid="{00000000-0005-0000-0000-0000AF870000}"/>
    <cellStyle name="货币 2 3 2 5 6 10" xfId="40975" xr:uid="{00000000-0005-0000-0000-00003FA00000}"/>
    <cellStyle name="货币 2 3 2 5 6 11" xfId="40977" xr:uid="{00000000-0005-0000-0000-000041A00000}"/>
    <cellStyle name="货币 2 3 2 5 6 12" xfId="40979" xr:uid="{00000000-0005-0000-0000-000043A00000}"/>
    <cellStyle name="货币 2 3 2 5 6 2" xfId="40980" xr:uid="{00000000-0005-0000-0000-000044A00000}"/>
    <cellStyle name="货币 2 3 2 5 6 2 2" xfId="40981" xr:uid="{00000000-0005-0000-0000-000045A00000}"/>
    <cellStyle name="货币 2 3 2 5 6 2 2 2" xfId="5293" xr:uid="{00000000-0005-0000-0000-0000DD140000}"/>
    <cellStyle name="货币 2 3 2 5 6 2 3" xfId="39284" xr:uid="{00000000-0005-0000-0000-0000A4990000}"/>
    <cellStyle name="货币 2 3 2 5 6 2 4" xfId="39286" xr:uid="{00000000-0005-0000-0000-0000A6990000}"/>
    <cellStyle name="货币 2 3 2 5 6 2 5" xfId="39288" xr:uid="{00000000-0005-0000-0000-0000A8990000}"/>
    <cellStyle name="货币 2 3 2 5 6 2 6" xfId="39290" xr:uid="{00000000-0005-0000-0000-0000AA990000}"/>
    <cellStyle name="货币 2 3 2 5 6 2 7" xfId="39292" xr:uid="{00000000-0005-0000-0000-0000AC990000}"/>
    <cellStyle name="货币 2 3 2 5 6 2 8" xfId="40982" xr:uid="{00000000-0005-0000-0000-000046A00000}"/>
    <cellStyle name="货币 2 3 2 5 6 2 9" xfId="40983" xr:uid="{00000000-0005-0000-0000-000047A00000}"/>
    <cellStyle name="货币 2 3 2 5 6 3" xfId="40984" xr:uid="{00000000-0005-0000-0000-000048A00000}"/>
    <cellStyle name="货币 2 3 2 5 6 3 2" xfId="40985" xr:uid="{00000000-0005-0000-0000-000049A00000}"/>
    <cellStyle name="货币 2 3 2 5 6 3 3" xfId="39295" xr:uid="{00000000-0005-0000-0000-0000AF990000}"/>
    <cellStyle name="货币 2 3 2 5 6 3 4" xfId="40986" xr:uid="{00000000-0005-0000-0000-00004AA00000}"/>
    <cellStyle name="货币 2 3 2 5 6 3 5" xfId="40987" xr:uid="{00000000-0005-0000-0000-00004BA00000}"/>
    <cellStyle name="货币 2 3 2 5 6 3 6" xfId="40988" xr:uid="{00000000-0005-0000-0000-00004CA00000}"/>
    <cellStyle name="货币 2 3 2 5 6 4" xfId="40989" xr:uid="{00000000-0005-0000-0000-00004DA00000}"/>
    <cellStyle name="货币 2 3 2 5 6 4 2" xfId="40990" xr:uid="{00000000-0005-0000-0000-00004EA00000}"/>
    <cellStyle name="货币 2 3 2 5 6 5" xfId="40991" xr:uid="{00000000-0005-0000-0000-00004FA00000}"/>
    <cellStyle name="货币 2 3 2 5 6 6" xfId="40992" xr:uid="{00000000-0005-0000-0000-000050A00000}"/>
    <cellStyle name="货币 2 3 2 5 6 7" xfId="40993" xr:uid="{00000000-0005-0000-0000-000051A00000}"/>
    <cellStyle name="货币 2 3 2 5 6 8" xfId="40994" xr:uid="{00000000-0005-0000-0000-000052A00000}"/>
    <cellStyle name="货币 2 3 2 5 6 9" xfId="40995" xr:uid="{00000000-0005-0000-0000-000053A00000}"/>
    <cellStyle name="货币 2 3 2 5 7" xfId="34689" xr:uid="{00000000-0005-0000-0000-0000B1870000}"/>
    <cellStyle name="货币 2 3 2 5 7 2" xfId="29482" xr:uid="{00000000-0005-0000-0000-00005A730000}"/>
    <cellStyle name="货币 2 3 2 5 7 2 2" xfId="40996" xr:uid="{00000000-0005-0000-0000-000054A00000}"/>
    <cellStyle name="货币 2 3 2 5 7 3" xfId="40999" xr:uid="{00000000-0005-0000-0000-000057A00000}"/>
    <cellStyle name="货币 2 3 2 5 7 4" xfId="41001" xr:uid="{00000000-0005-0000-0000-000059A00000}"/>
    <cellStyle name="货币 2 3 2 5 7 5" xfId="41003" xr:uid="{00000000-0005-0000-0000-00005BA00000}"/>
    <cellStyle name="货币 2 3 2 5 7 6" xfId="41005" xr:uid="{00000000-0005-0000-0000-00005DA00000}"/>
    <cellStyle name="货币 2 3 2 5 7 7" xfId="41007" xr:uid="{00000000-0005-0000-0000-00005FA00000}"/>
    <cellStyle name="货币 2 3 2 5 7 8" xfId="41009" xr:uid="{00000000-0005-0000-0000-000061A00000}"/>
    <cellStyle name="货币 2 3 2 5 7 9" xfId="41011" xr:uid="{00000000-0005-0000-0000-000063A00000}"/>
    <cellStyle name="货币 2 3 2 5 8" xfId="41012" xr:uid="{00000000-0005-0000-0000-000064A00000}"/>
    <cellStyle name="货币 2 3 2 5 8 2" xfId="41013" xr:uid="{00000000-0005-0000-0000-000065A00000}"/>
    <cellStyle name="货币 2 3 2 5 8 3" xfId="41014" xr:uid="{00000000-0005-0000-0000-000066A00000}"/>
    <cellStyle name="货币 2 3 2 5 8 4" xfId="41015" xr:uid="{00000000-0005-0000-0000-000067A00000}"/>
    <cellStyle name="货币 2 3 2 5 8 5" xfId="41017" xr:uid="{00000000-0005-0000-0000-000069A00000}"/>
    <cellStyle name="货币 2 3 2 5 8 6" xfId="41018" xr:uid="{00000000-0005-0000-0000-00006AA00000}"/>
    <cellStyle name="货币 2 3 2 5 9" xfId="41019" xr:uid="{00000000-0005-0000-0000-00006BA00000}"/>
    <cellStyle name="货币 2 3 2 5 9 2" xfId="41020" xr:uid="{00000000-0005-0000-0000-00006CA00000}"/>
    <cellStyle name="货币 2 3 2 5 9 3" xfId="41021" xr:uid="{00000000-0005-0000-0000-00006DA00000}"/>
    <cellStyle name="货币 2 3 2 5 9 4" xfId="41022" xr:uid="{00000000-0005-0000-0000-00006EA00000}"/>
    <cellStyle name="货币 2 3 2 5 9 5" xfId="41023" xr:uid="{00000000-0005-0000-0000-00006FA00000}"/>
    <cellStyle name="货币 2 3 2 5 9 6" xfId="41024" xr:uid="{00000000-0005-0000-0000-000070A00000}"/>
    <cellStyle name="货币 2 3 2 6" xfId="41025" xr:uid="{00000000-0005-0000-0000-000071A00000}"/>
    <cellStyle name="货币 2 3 2 6 10" xfId="41026" xr:uid="{00000000-0005-0000-0000-000072A00000}"/>
    <cellStyle name="货币 2 3 2 6 10 2" xfId="41028" xr:uid="{00000000-0005-0000-0000-000074A00000}"/>
    <cellStyle name="货币 2 3 2 6 10 3" xfId="41030" xr:uid="{00000000-0005-0000-0000-000076A00000}"/>
    <cellStyle name="货币 2 3 2 6 10 4" xfId="41031" xr:uid="{00000000-0005-0000-0000-000077A00000}"/>
    <cellStyle name="货币 2 3 2 6 10 5" xfId="41032" xr:uid="{00000000-0005-0000-0000-000078A00000}"/>
    <cellStyle name="货币 2 3 2 6 10 6" xfId="41033" xr:uid="{00000000-0005-0000-0000-000079A00000}"/>
    <cellStyle name="货币 2 3 2 6 11" xfId="17445" xr:uid="{00000000-0005-0000-0000-000055440000}"/>
    <cellStyle name="货币 2 3 2 6 11 2" xfId="13142" xr:uid="{00000000-0005-0000-0000-000086330000}"/>
    <cellStyle name="货币 2 3 2 6 11 3" xfId="10155" xr:uid="{00000000-0005-0000-0000-0000DB270000}"/>
    <cellStyle name="货币 2 3 2 6 11 4" xfId="4913" xr:uid="{00000000-0005-0000-0000-000061130000}"/>
    <cellStyle name="货币 2 3 2 6 11 5" xfId="28397" xr:uid="{00000000-0005-0000-0000-00001D6F0000}"/>
    <cellStyle name="货币 2 3 2 6 11 6" xfId="28401" xr:uid="{00000000-0005-0000-0000-0000216F0000}"/>
    <cellStyle name="货币 2 3 2 6 12" xfId="41034" xr:uid="{00000000-0005-0000-0000-00007AA00000}"/>
    <cellStyle name="货币 2 3 2 6 13" xfId="41035" xr:uid="{00000000-0005-0000-0000-00007BA00000}"/>
    <cellStyle name="货币 2 3 2 6 14" xfId="17458" xr:uid="{00000000-0005-0000-0000-000062440000}"/>
    <cellStyle name="货币 2 3 2 6 15" xfId="17464" xr:uid="{00000000-0005-0000-0000-000068440000}"/>
    <cellStyle name="货币 2 3 2 6 16" xfId="17880" xr:uid="{00000000-0005-0000-0000-000008460000}"/>
    <cellStyle name="货币 2 3 2 6 17" xfId="392" xr:uid="{00000000-0005-0000-0000-0000A1010000}"/>
    <cellStyle name="货币 2 3 2 6 18" xfId="41037" xr:uid="{00000000-0005-0000-0000-00007DA00000}"/>
    <cellStyle name="货币 2 3 2 6 19" xfId="41038" xr:uid="{00000000-0005-0000-0000-00007EA00000}"/>
    <cellStyle name="货币 2 3 2 6 2" xfId="30001" xr:uid="{00000000-0005-0000-0000-000061750000}"/>
    <cellStyle name="货币 2 3 2 6 2 10" xfId="41040" xr:uid="{00000000-0005-0000-0000-000080A00000}"/>
    <cellStyle name="货币 2 3 2 6 2 11" xfId="41042" xr:uid="{00000000-0005-0000-0000-000082A00000}"/>
    <cellStyle name="货币 2 3 2 6 2 12" xfId="41043" xr:uid="{00000000-0005-0000-0000-000083A00000}"/>
    <cellStyle name="货币 2 3 2 6 2 13" xfId="41044" xr:uid="{00000000-0005-0000-0000-000084A00000}"/>
    <cellStyle name="货币 2 3 2 6 2 14" xfId="36766" xr:uid="{00000000-0005-0000-0000-0000CE8F0000}"/>
    <cellStyle name="货币 2 3 2 6 2 15" xfId="36769" xr:uid="{00000000-0005-0000-0000-0000D18F0000}"/>
    <cellStyle name="货币 2 3 2 6 2 16" xfId="36771" xr:uid="{00000000-0005-0000-0000-0000D38F0000}"/>
    <cellStyle name="货币 2 3 2 6 2 17" xfId="35204" xr:uid="{00000000-0005-0000-0000-0000B4890000}"/>
    <cellStyle name="货币 2 3 2 6 2 18" xfId="35207" xr:uid="{00000000-0005-0000-0000-0000B7890000}"/>
    <cellStyle name="货币 2 3 2 6 2 2" xfId="41045" xr:uid="{00000000-0005-0000-0000-000085A00000}"/>
    <cellStyle name="货币 2 3 2 6 2 2 10" xfId="18579" xr:uid="{00000000-0005-0000-0000-0000C3480000}"/>
    <cellStyle name="货币 2 3 2 6 2 2 11" xfId="18582" xr:uid="{00000000-0005-0000-0000-0000C6480000}"/>
    <cellStyle name="货币 2 3 2 6 2 2 12" xfId="18585" xr:uid="{00000000-0005-0000-0000-0000C9480000}"/>
    <cellStyle name="货币 2 3 2 6 2 2 2" xfId="10880" xr:uid="{00000000-0005-0000-0000-0000B02A0000}"/>
    <cellStyle name="货币 2 3 2 6 2 2 2 2" xfId="3060" xr:uid="{00000000-0005-0000-0000-0000240C0000}"/>
    <cellStyle name="货币 2 3 2 6 2 2 2 2 2" xfId="41046" xr:uid="{00000000-0005-0000-0000-000086A00000}"/>
    <cellStyle name="货币 2 3 2 6 2 2 2 3" xfId="3080" xr:uid="{00000000-0005-0000-0000-0000380C0000}"/>
    <cellStyle name="货币 2 3 2 6 2 2 2 4" xfId="41047" xr:uid="{00000000-0005-0000-0000-000087A00000}"/>
    <cellStyle name="货币 2 3 2 6 2 2 2 5" xfId="41048" xr:uid="{00000000-0005-0000-0000-000088A00000}"/>
    <cellStyle name="货币 2 3 2 6 2 2 3" xfId="10883" xr:uid="{00000000-0005-0000-0000-0000B32A0000}"/>
    <cellStyle name="货币 2 3 2 6 2 2 3 2" xfId="41050" xr:uid="{00000000-0005-0000-0000-00008AA00000}"/>
    <cellStyle name="货币 2 3 2 6 2 2 4" xfId="41052" xr:uid="{00000000-0005-0000-0000-00008CA00000}"/>
    <cellStyle name="货币 2 3 2 6 2 2 5" xfId="41054" xr:uid="{00000000-0005-0000-0000-00008EA00000}"/>
    <cellStyle name="货币 2 3 2 6 2 2 6" xfId="41056" xr:uid="{00000000-0005-0000-0000-000090A00000}"/>
    <cellStyle name="货币 2 3 2 6 2 2 7" xfId="41057" xr:uid="{00000000-0005-0000-0000-000091A00000}"/>
    <cellStyle name="货币 2 3 2 6 2 2 8" xfId="41058" xr:uid="{00000000-0005-0000-0000-000092A00000}"/>
    <cellStyle name="货币 2 3 2 6 2 2 9" xfId="41059" xr:uid="{00000000-0005-0000-0000-000093A00000}"/>
    <cellStyle name="货币 2 3 2 6 2 3" xfId="41060" xr:uid="{00000000-0005-0000-0000-000094A00000}"/>
    <cellStyle name="货币 2 3 2 6 2 3 10" xfId="41061" xr:uid="{00000000-0005-0000-0000-000095A00000}"/>
    <cellStyle name="货币 2 3 2 6 2 3 11" xfId="41062" xr:uid="{00000000-0005-0000-0000-000096A00000}"/>
    <cellStyle name="货币 2 3 2 6 2 3 12" xfId="3118" xr:uid="{00000000-0005-0000-0000-00005E0C0000}"/>
    <cellStyle name="货币 2 3 2 6 2 3 2" xfId="41063" xr:uid="{00000000-0005-0000-0000-000097A00000}"/>
    <cellStyle name="货币 2 3 2 6 2 3 2 2" xfId="3530" xr:uid="{00000000-0005-0000-0000-0000FA0D0000}"/>
    <cellStyle name="货币 2 3 2 6 2 3 2 2 2" xfId="41065" xr:uid="{00000000-0005-0000-0000-000099A00000}"/>
    <cellStyle name="货币 2 3 2 6 2 3 2 3" xfId="41066" xr:uid="{00000000-0005-0000-0000-00009AA00000}"/>
    <cellStyle name="货币 2 3 2 6 2 3 2 4" xfId="41067" xr:uid="{00000000-0005-0000-0000-00009BA00000}"/>
    <cellStyle name="货币 2 3 2 6 2 3 2 5" xfId="41068" xr:uid="{00000000-0005-0000-0000-00009CA00000}"/>
    <cellStyle name="货币 2 3 2 6 2 3 3" xfId="41070" xr:uid="{00000000-0005-0000-0000-00009EA00000}"/>
    <cellStyle name="货币 2 3 2 6 2 3 3 2" xfId="4630" xr:uid="{00000000-0005-0000-0000-000046120000}"/>
    <cellStyle name="货币 2 3 2 6 2 3 4" xfId="41071" xr:uid="{00000000-0005-0000-0000-00009FA00000}"/>
    <cellStyle name="货币 2 3 2 6 2 3 5" xfId="22155" xr:uid="{00000000-0005-0000-0000-0000BB560000}"/>
    <cellStyle name="货币 2 3 2 6 2 3 6" xfId="41072" xr:uid="{00000000-0005-0000-0000-0000A0A00000}"/>
    <cellStyle name="货币 2 3 2 6 2 3 7" xfId="41073" xr:uid="{00000000-0005-0000-0000-0000A1A00000}"/>
    <cellStyle name="货币 2 3 2 6 2 3 8" xfId="41074" xr:uid="{00000000-0005-0000-0000-0000A2A00000}"/>
    <cellStyle name="货币 2 3 2 6 2 3 9" xfId="41075" xr:uid="{00000000-0005-0000-0000-0000A3A00000}"/>
    <cellStyle name="货币 2 3 2 6 2 4" xfId="41076" xr:uid="{00000000-0005-0000-0000-0000A4A00000}"/>
    <cellStyle name="货币 2 3 2 6 2 4 10" xfId="26104" xr:uid="{00000000-0005-0000-0000-000028660000}"/>
    <cellStyle name="货币 2 3 2 6 2 4 2" xfId="41077" xr:uid="{00000000-0005-0000-0000-0000A5A00000}"/>
    <cellStyle name="货币 2 3 2 6 2 4 2 2" xfId="41079" xr:uid="{00000000-0005-0000-0000-0000A7A00000}"/>
    <cellStyle name="货币 2 3 2 6 2 4 2 2 2" xfId="41081" xr:uid="{00000000-0005-0000-0000-0000A9A00000}"/>
    <cellStyle name="货币 2 3 2 6 2 4 2 3" xfId="3724" xr:uid="{00000000-0005-0000-0000-0000BC0E0000}"/>
    <cellStyle name="货币 2 3 2 6 2 4 2 4" xfId="34183" xr:uid="{00000000-0005-0000-0000-0000B7850000}"/>
    <cellStyle name="货币 2 3 2 6 2 4 2 5" xfId="33703" xr:uid="{00000000-0005-0000-0000-0000D7830000}"/>
    <cellStyle name="货币 2 3 2 6 2 4 3" xfId="41082" xr:uid="{00000000-0005-0000-0000-0000AAA00000}"/>
    <cellStyle name="货币 2 3 2 6 2 4 3 2" xfId="25981" xr:uid="{00000000-0005-0000-0000-0000AD650000}"/>
    <cellStyle name="货币 2 3 2 6 2 4 4" xfId="41083" xr:uid="{00000000-0005-0000-0000-0000ABA00000}"/>
    <cellStyle name="货币 2 3 2 6 2 4 5" xfId="41084" xr:uid="{00000000-0005-0000-0000-0000ACA00000}"/>
    <cellStyle name="货币 2 3 2 6 2 4 6" xfId="41085" xr:uid="{00000000-0005-0000-0000-0000ADA00000}"/>
    <cellStyle name="货币 2 3 2 6 2 4 7" xfId="41086" xr:uid="{00000000-0005-0000-0000-0000AEA00000}"/>
    <cellStyle name="货币 2 3 2 6 2 4 8" xfId="41087" xr:uid="{00000000-0005-0000-0000-0000AFA00000}"/>
    <cellStyle name="货币 2 3 2 6 2 4 9" xfId="41088" xr:uid="{00000000-0005-0000-0000-0000B0A00000}"/>
    <cellStyle name="货币 2 3 2 6 2 5" xfId="41089" xr:uid="{00000000-0005-0000-0000-0000B1A00000}"/>
    <cellStyle name="货币 2 3 2 6 2 5 10" xfId="41091" xr:uid="{00000000-0005-0000-0000-0000B3A00000}"/>
    <cellStyle name="货币 2 3 2 6 2 5 2" xfId="41092" xr:uid="{00000000-0005-0000-0000-0000B4A00000}"/>
    <cellStyle name="货币 2 3 2 6 2 5 2 2" xfId="41093" xr:uid="{00000000-0005-0000-0000-0000B5A00000}"/>
    <cellStyle name="货币 2 3 2 6 2 5 2 2 2" xfId="41095" xr:uid="{00000000-0005-0000-0000-0000B7A00000}"/>
    <cellStyle name="货币 2 3 2 6 2 5 2 3" xfId="41096" xr:uid="{00000000-0005-0000-0000-0000B8A00000}"/>
    <cellStyle name="货币 2 3 2 6 2 5 2 4" xfId="41097" xr:uid="{00000000-0005-0000-0000-0000B9A00000}"/>
    <cellStyle name="货币 2 3 2 6 2 5 2 5" xfId="41098" xr:uid="{00000000-0005-0000-0000-0000BAA00000}"/>
    <cellStyle name="货币 2 3 2 6 2 5 3" xfId="41099" xr:uid="{00000000-0005-0000-0000-0000BBA00000}"/>
    <cellStyle name="货币 2 3 2 6 2 5 3 2" xfId="41100" xr:uid="{00000000-0005-0000-0000-0000BCA00000}"/>
    <cellStyle name="货币 2 3 2 6 2 5 4" xfId="41101" xr:uid="{00000000-0005-0000-0000-0000BDA00000}"/>
    <cellStyle name="货币 2 3 2 6 2 5 5" xfId="41102" xr:uid="{00000000-0005-0000-0000-0000BEA00000}"/>
    <cellStyle name="货币 2 3 2 6 2 5 6" xfId="41103" xr:uid="{00000000-0005-0000-0000-0000BFA00000}"/>
    <cellStyle name="货币 2 3 2 6 2 5 7" xfId="41104" xr:uid="{00000000-0005-0000-0000-0000C0A00000}"/>
    <cellStyle name="货币 2 3 2 6 2 5 8" xfId="41105" xr:uid="{00000000-0005-0000-0000-0000C1A00000}"/>
    <cellStyle name="货币 2 3 2 6 2 5 9" xfId="1351" xr:uid="{00000000-0005-0000-0000-000077050000}"/>
    <cellStyle name="货币 2 3 2 6 2 6" xfId="41106" xr:uid="{00000000-0005-0000-0000-0000C2A00000}"/>
    <cellStyle name="货币 2 3 2 6 2 6 2" xfId="41107" xr:uid="{00000000-0005-0000-0000-0000C3A00000}"/>
    <cellStyle name="货币 2 3 2 6 2 6 2 2" xfId="41108" xr:uid="{00000000-0005-0000-0000-0000C4A00000}"/>
    <cellStyle name="货币 2 3 2 6 2 6 3" xfId="41109" xr:uid="{00000000-0005-0000-0000-0000C5A00000}"/>
    <cellStyle name="货币 2 3 2 6 2 6 4" xfId="41110" xr:uid="{00000000-0005-0000-0000-0000C6A00000}"/>
    <cellStyle name="货币 2 3 2 6 2 6 5" xfId="41111" xr:uid="{00000000-0005-0000-0000-0000C7A00000}"/>
    <cellStyle name="货币 2 3 2 6 2 6 6" xfId="41112" xr:uid="{00000000-0005-0000-0000-0000C8A00000}"/>
    <cellStyle name="货币 2 3 2 6 2 6 7" xfId="41113" xr:uid="{00000000-0005-0000-0000-0000C9A00000}"/>
    <cellStyle name="货币 2 3 2 6 2 6 8" xfId="41114" xr:uid="{00000000-0005-0000-0000-0000CAA00000}"/>
    <cellStyle name="货币 2 3 2 6 2 6 9" xfId="41115" xr:uid="{00000000-0005-0000-0000-0000CBA00000}"/>
    <cellStyle name="货币 2 3 2 6 2 7" xfId="41116" xr:uid="{00000000-0005-0000-0000-0000CCA00000}"/>
    <cellStyle name="货币 2 3 2 6 2 7 2" xfId="41117" xr:uid="{00000000-0005-0000-0000-0000CDA00000}"/>
    <cellStyle name="货币 2 3 2 6 2 8" xfId="41119" xr:uid="{00000000-0005-0000-0000-0000CFA00000}"/>
    <cellStyle name="货币 2 3 2 6 2 9" xfId="41121" xr:uid="{00000000-0005-0000-0000-0000D1A00000}"/>
    <cellStyle name="货币 2 3 2 6 20" xfId="17463" xr:uid="{00000000-0005-0000-0000-000067440000}"/>
    <cellStyle name="货币 2 3 2 6 21" xfId="17879" xr:uid="{00000000-0005-0000-0000-000007460000}"/>
    <cellStyle name="货币 2 3 2 6 22" xfId="391" xr:uid="{00000000-0005-0000-0000-0000A0010000}"/>
    <cellStyle name="货币 2 3 2 6 23" xfId="41036" xr:uid="{00000000-0005-0000-0000-00007CA00000}"/>
    <cellStyle name="货币 2 3 2 6 3" xfId="34692" xr:uid="{00000000-0005-0000-0000-0000B4870000}"/>
    <cellStyle name="货币 2 3 2 6 3 10" xfId="41122" xr:uid="{00000000-0005-0000-0000-0000D2A00000}"/>
    <cellStyle name="货币 2 3 2 6 3 11" xfId="8969" xr:uid="{00000000-0005-0000-0000-000039230000}"/>
    <cellStyle name="货币 2 3 2 6 3 12" xfId="41123" xr:uid="{00000000-0005-0000-0000-0000D3A00000}"/>
    <cellStyle name="货币 2 3 2 6 3 13" xfId="41124" xr:uid="{00000000-0005-0000-0000-0000D4A00000}"/>
    <cellStyle name="货币 2 3 2 6 3 14" xfId="41125" xr:uid="{00000000-0005-0000-0000-0000D5A00000}"/>
    <cellStyle name="货币 2 3 2 6 3 15" xfId="41126" xr:uid="{00000000-0005-0000-0000-0000D6A00000}"/>
    <cellStyle name="货币 2 3 2 6 3 16" xfId="41127" xr:uid="{00000000-0005-0000-0000-0000D7A00000}"/>
    <cellStyle name="货币 2 3 2 6 3 17" xfId="41128" xr:uid="{00000000-0005-0000-0000-0000D8A00000}"/>
    <cellStyle name="货币 2 3 2 6 3 18" xfId="41129" xr:uid="{00000000-0005-0000-0000-0000D9A00000}"/>
    <cellStyle name="货币 2 3 2 6 3 2" xfId="41130" xr:uid="{00000000-0005-0000-0000-0000DAA00000}"/>
    <cellStyle name="货币 2 3 2 6 3 2 10" xfId="41131" xr:uid="{00000000-0005-0000-0000-0000DBA00000}"/>
    <cellStyle name="货币 2 3 2 6 3 2 2" xfId="10956" xr:uid="{00000000-0005-0000-0000-0000FC2A0000}"/>
    <cellStyle name="货币 2 3 2 6 3 2 2 2" xfId="41132" xr:uid="{00000000-0005-0000-0000-0000DCA00000}"/>
    <cellStyle name="货币 2 3 2 6 3 2 3" xfId="8396" xr:uid="{00000000-0005-0000-0000-0000FC200000}"/>
    <cellStyle name="货币 2 3 2 6 3 2 4" xfId="41134" xr:uid="{00000000-0005-0000-0000-0000DEA00000}"/>
    <cellStyle name="货币 2 3 2 6 3 2 5" xfId="41136" xr:uid="{00000000-0005-0000-0000-0000E0A00000}"/>
    <cellStyle name="货币 2 3 2 6 3 2 6" xfId="41138" xr:uid="{00000000-0005-0000-0000-0000E2A00000}"/>
    <cellStyle name="货币 2 3 2 6 3 2 7" xfId="41139" xr:uid="{00000000-0005-0000-0000-0000E3A00000}"/>
    <cellStyle name="货币 2 3 2 6 3 2 8" xfId="41140" xr:uid="{00000000-0005-0000-0000-0000E4A00000}"/>
    <cellStyle name="货币 2 3 2 6 3 2 9" xfId="41141" xr:uid="{00000000-0005-0000-0000-0000E5A00000}"/>
    <cellStyle name="货币 2 3 2 6 3 3" xfId="41142" xr:uid="{00000000-0005-0000-0000-0000E6A00000}"/>
    <cellStyle name="货币 2 3 2 6 3 3 2" xfId="41143" xr:uid="{00000000-0005-0000-0000-0000E7A00000}"/>
    <cellStyle name="货币 2 3 2 6 3 3 3" xfId="41145" xr:uid="{00000000-0005-0000-0000-0000E9A00000}"/>
    <cellStyle name="货币 2 3 2 6 3 3 4" xfId="41146" xr:uid="{00000000-0005-0000-0000-0000EAA00000}"/>
    <cellStyle name="货币 2 3 2 6 3 3 5" xfId="41147" xr:uid="{00000000-0005-0000-0000-0000EBA00000}"/>
    <cellStyle name="货币 2 3 2 6 3 3 6" xfId="41148" xr:uid="{00000000-0005-0000-0000-0000ECA00000}"/>
    <cellStyle name="货币 2 3 2 6 3 4" xfId="41149" xr:uid="{00000000-0005-0000-0000-0000EDA00000}"/>
    <cellStyle name="货币 2 3 2 6 3 4 2" xfId="39898" xr:uid="{00000000-0005-0000-0000-00000A9C0000}"/>
    <cellStyle name="货币 2 3 2 6 3 4 3" xfId="39900" xr:uid="{00000000-0005-0000-0000-00000C9C0000}"/>
    <cellStyle name="货币 2 3 2 6 3 4 4" xfId="41150" xr:uid="{00000000-0005-0000-0000-0000EEA00000}"/>
    <cellStyle name="货币 2 3 2 6 3 4 5" xfId="41151" xr:uid="{00000000-0005-0000-0000-0000EFA00000}"/>
    <cellStyle name="货币 2 3 2 6 3 4 6" xfId="41152" xr:uid="{00000000-0005-0000-0000-0000F0A00000}"/>
    <cellStyle name="货币 2 3 2 6 3 5" xfId="41153" xr:uid="{00000000-0005-0000-0000-0000F1A00000}"/>
    <cellStyle name="货币 2 3 2 6 3 5 2" xfId="5818" xr:uid="{00000000-0005-0000-0000-0000EA160000}"/>
    <cellStyle name="货币 2 3 2 6 3 5 3" xfId="5836" xr:uid="{00000000-0005-0000-0000-0000FC160000}"/>
    <cellStyle name="货币 2 3 2 6 3 5 4" xfId="5848" xr:uid="{00000000-0005-0000-0000-000008170000}"/>
    <cellStyle name="货币 2 3 2 6 3 5 5" xfId="5858" xr:uid="{00000000-0005-0000-0000-000012170000}"/>
    <cellStyle name="货币 2 3 2 6 3 5 6" xfId="5873" xr:uid="{00000000-0005-0000-0000-000021170000}"/>
    <cellStyle name="货币 2 3 2 6 3 6" xfId="35114" xr:uid="{00000000-0005-0000-0000-00005A890000}"/>
    <cellStyle name="货币 2 3 2 6 3 6 2" xfId="35117" xr:uid="{00000000-0005-0000-0000-00005D890000}"/>
    <cellStyle name="货币 2 3 2 6 3 6 3" xfId="41155" xr:uid="{00000000-0005-0000-0000-0000F3A00000}"/>
    <cellStyle name="货币 2 3 2 6 3 6 4" xfId="40534" xr:uid="{00000000-0005-0000-0000-0000869E0000}"/>
    <cellStyle name="货币 2 3 2 6 3 6 5" xfId="41157" xr:uid="{00000000-0005-0000-0000-0000F5A00000}"/>
    <cellStyle name="货币 2 3 2 6 3 6 6" xfId="41159" xr:uid="{00000000-0005-0000-0000-0000F7A00000}"/>
    <cellStyle name="货币 2 3 2 6 3 7" xfId="35119" xr:uid="{00000000-0005-0000-0000-00005F890000}"/>
    <cellStyle name="货币 2 3 2 6 3 8" xfId="35122" xr:uid="{00000000-0005-0000-0000-000062890000}"/>
    <cellStyle name="货币 2 3 2 6 3 9" xfId="35125" xr:uid="{00000000-0005-0000-0000-000065890000}"/>
    <cellStyle name="货币 2 3 2 6 4" xfId="34694" xr:uid="{00000000-0005-0000-0000-0000B6870000}"/>
    <cellStyle name="货币 2 3 2 6 4 10" xfId="41160" xr:uid="{00000000-0005-0000-0000-0000F8A00000}"/>
    <cellStyle name="货币 2 3 2 6 4 11" xfId="41161" xr:uid="{00000000-0005-0000-0000-0000F9A00000}"/>
    <cellStyle name="货币 2 3 2 6 4 12" xfId="41162" xr:uid="{00000000-0005-0000-0000-0000FAA00000}"/>
    <cellStyle name="货币 2 3 2 6 4 13" xfId="41163" xr:uid="{00000000-0005-0000-0000-0000FBA00000}"/>
    <cellStyle name="货币 2 3 2 6 4 14" xfId="41164" xr:uid="{00000000-0005-0000-0000-0000FCA00000}"/>
    <cellStyle name="货币 2 3 2 6 4 15" xfId="41165" xr:uid="{00000000-0005-0000-0000-0000FDA00000}"/>
    <cellStyle name="货币 2 3 2 6 4 2" xfId="41166" xr:uid="{00000000-0005-0000-0000-0000FEA00000}"/>
    <cellStyle name="货币 2 3 2 6 4 2 2" xfId="41167" xr:uid="{00000000-0005-0000-0000-0000FFA00000}"/>
    <cellStyle name="货币 2 3 2 6 4 2 2 2" xfId="37766" xr:uid="{00000000-0005-0000-0000-0000B6930000}"/>
    <cellStyle name="货币 2 3 2 6 4 2 3" xfId="41169" xr:uid="{00000000-0005-0000-0000-000001A10000}"/>
    <cellStyle name="货币 2 3 2 6 4 2 4" xfId="41171" xr:uid="{00000000-0005-0000-0000-000003A10000}"/>
    <cellStyle name="货币 2 3 2 6 4 2 5" xfId="41173" xr:uid="{00000000-0005-0000-0000-000005A10000}"/>
    <cellStyle name="货币 2 3 2 6 4 2 6" xfId="41175" xr:uid="{00000000-0005-0000-0000-000007A10000}"/>
    <cellStyle name="货币 2 3 2 6 4 2 7" xfId="41176" xr:uid="{00000000-0005-0000-0000-000008A10000}"/>
    <cellStyle name="货币 2 3 2 6 4 2 8" xfId="41177" xr:uid="{00000000-0005-0000-0000-000009A10000}"/>
    <cellStyle name="货币 2 3 2 6 4 2 9" xfId="41178" xr:uid="{00000000-0005-0000-0000-00000AA10000}"/>
    <cellStyle name="货币 2 3 2 6 4 3" xfId="41179" xr:uid="{00000000-0005-0000-0000-00000BA10000}"/>
    <cellStyle name="货币 2 3 2 6 4 3 2" xfId="41180" xr:uid="{00000000-0005-0000-0000-00000CA10000}"/>
    <cellStyle name="货币 2 3 2 6 4 3 3" xfId="41182" xr:uid="{00000000-0005-0000-0000-00000EA10000}"/>
    <cellStyle name="货币 2 3 2 6 4 3 4" xfId="41183" xr:uid="{00000000-0005-0000-0000-00000FA10000}"/>
    <cellStyle name="货币 2 3 2 6 4 3 5" xfId="41184" xr:uid="{00000000-0005-0000-0000-000010A10000}"/>
    <cellStyle name="货币 2 3 2 6 4 3 6" xfId="41185" xr:uid="{00000000-0005-0000-0000-000011A10000}"/>
    <cellStyle name="货币 2 3 2 6 4 4" xfId="3266" xr:uid="{00000000-0005-0000-0000-0000F20C0000}"/>
    <cellStyle name="货币 2 3 2 6 4 4 2" xfId="41186" xr:uid="{00000000-0005-0000-0000-000012A10000}"/>
    <cellStyle name="货币 2 3 2 6 4 5" xfId="3277" xr:uid="{00000000-0005-0000-0000-0000FD0C0000}"/>
    <cellStyle name="货币 2 3 2 6 4 6" xfId="3289" xr:uid="{00000000-0005-0000-0000-0000090D0000}"/>
    <cellStyle name="货币 2 3 2 6 4 7" xfId="2095" xr:uid="{00000000-0005-0000-0000-00005F080000}"/>
    <cellStyle name="货币 2 3 2 6 4 8" xfId="7977" xr:uid="{00000000-0005-0000-0000-0000591F0000}"/>
    <cellStyle name="货币 2 3 2 6 4 9" xfId="7984" xr:uid="{00000000-0005-0000-0000-0000601F0000}"/>
    <cellStyle name="货币 2 3 2 6 5" xfId="41187" xr:uid="{00000000-0005-0000-0000-000013A10000}"/>
    <cellStyle name="货币 2 3 2 6 5 10" xfId="41189" xr:uid="{00000000-0005-0000-0000-000015A10000}"/>
    <cellStyle name="货币 2 3 2 6 5 11" xfId="41191" xr:uid="{00000000-0005-0000-0000-000017A10000}"/>
    <cellStyle name="货币 2 3 2 6 5 12" xfId="41193" xr:uid="{00000000-0005-0000-0000-000019A10000}"/>
    <cellStyle name="货币 2 3 2 6 5 13" xfId="41195" xr:uid="{00000000-0005-0000-0000-00001BA10000}"/>
    <cellStyle name="货币 2 3 2 6 5 2" xfId="27476" xr:uid="{00000000-0005-0000-0000-0000846B0000}"/>
    <cellStyle name="货币 2 3 2 6 5 2 2" xfId="41196" xr:uid="{00000000-0005-0000-0000-00001CA10000}"/>
    <cellStyle name="货币 2 3 2 6 5 2 2 2" xfId="36796" xr:uid="{00000000-0005-0000-0000-0000EC8F0000}"/>
    <cellStyle name="货币 2 3 2 6 5 2 3" xfId="41198" xr:uid="{00000000-0005-0000-0000-00001EA10000}"/>
    <cellStyle name="货币 2 3 2 6 5 2 4" xfId="41199" xr:uid="{00000000-0005-0000-0000-00001FA10000}"/>
    <cellStyle name="货币 2 3 2 6 5 2 5" xfId="41200" xr:uid="{00000000-0005-0000-0000-000020A10000}"/>
    <cellStyle name="货币 2 3 2 6 5 2 6" xfId="41201" xr:uid="{00000000-0005-0000-0000-000021A10000}"/>
    <cellStyle name="货币 2 3 2 6 5 2 7" xfId="41202" xr:uid="{00000000-0005-0000-0000-000022A10000}"/>
    <cellStyle name="货币 2 3 2 6 5 2 8" xfId="41203" xr:uid="{00000000-0005-0000-0000-000023A10000}"/>
    <cellStyle name="货币 2 3 2 6 5 2 9" xfId="41204" xr:uid="{00000000-0005-0000-0000-000024A10000}"/>
    <cellStyle name="货币 2 3 2 6 5 3" xfId="41205" xr:uid="{00000000-0005-0000-0000-000025A10000}"/>
    <cellStyle name="货币 2 3 2 6 5 3 2" xfId="41206" xr:uid="{00000000-0005-0000-0000-000026A10000}"/>
    <cellStyle name="货币 2 3 2 6 5 3 3" xfId="41207" xr:uid="{00000000-0005-0000-0000-000027A10000}"/>
    <cellStyle name="货币 2 3 2 6 5 3 4" xfId="41208" xr:uid="{00000000-0005-0000-0000-000028A10000}"/>
    <cellStyle name="货币 2 3 2 6 5 3 5" xfId="41209" xr:uid="{00000000-0005-0000-0000-000029A10000}"/>
    <cellStyle name="货币 2 3 2 6 5 3 6" xfId="41210" xr:uid="{00000000-0005-0000-0000-00002AA10000}"/>
    <cellStyle name="货币 2 3 2 6 5 4" xfId="41211" xr:uid="{00000000-0005-0000-0000-00002BA10000}"/>
    <cellStyle name="货币 2 3 2 6 5 4 2" xfId="41212" xr:uid="{00000000-0005-0000-0000-00002CA10000}"/>
    <cellStyle name="货币 2 3 2 6 5 5" xfId="41213" xr:uid="{00000000-0005-0000-0000-00002DA10000}"/>
    <cellStyle name="货币 2 3 2 6 5 6" xfId="35134" xr:uid="{00000000-0005-0000-0000-00006E890000}"/>
    <cellStyle name="货币 2 3 2 6 5 7" xfId="41214" xr:uid="{00000000-0005-0000-0000-00002EA10000}"/>
    <cellStyle name="货币 2 3 2 6 5 8" xfId="41216" xr:uid="{00000000-0005-0000-0000-000030A10000}"/>
    <cellStyle name="货币 2 3 2 6 5 9" xfId="41218" xr:uid="{00000000-0005-0000-0000-000032A10000}"/>
    <cellStyle name="货币 2 3 2 6 6" xfId="41219" xr:uid="{00000000-0005-0000-0000-000033A10000}"/>
    <cellStyle name="货币 2 3 2 6 6 10" xfId="33952" xr:uid="{00000000-0005-0000-0000-0000D0840000}"/>
    <cellStyle name="货币 2 3 2 6 6 11" xfId="41220" xr:uid="{00000000-0005-0000-0000-000034A10000}"/>
    <cellStyle name="货币 2 3 2 6 6 12" xfId="41221" xr:uid="{00000000-0005-0000-0000-000035A10000}"/>
    <cellStyle name="货币 2 3 2 6 6 2" xfId="41222" xr:uid="{00000000-0005-0000-0000-000036A10000}"/>
    <cellStyle name="货币 2 3 2 6 6 2 2" xfId="40923" xr:uid="{00000000-0005-0000-0000-00000BA00000}"/>
    <cellStyle name="货币 2 3 2 6 6 2 2 2" xfId="13811" xr:uid="{00000000-0005-0000-0000-000023360000}"/>
    <cellStyle name="货币 2 3 2 6 6 2 3" xfId="40925" xr:uid="{00000000-0005-0000-0000-00000DA00000}"/>
    <cellStyle name="货币 2 3 2 6 6 2 4" xfId="41223" xr:uid="{00000000-0005-0000-0000-000037A10000}"/>
    <cellStyle name="货币 2 3 2 6 6 2 5" xfId="41224" xr:uid="{00000000-0005-0000-0000-000038A10000}"/>
    <cellStyle name="货币 2 3 2 6 6 2 6" xfId="41225" xr:uid="{00000000-0005-0000-0000-000039A10000}"/>
    <cellStyle name="货币 2 3 2 6 6 2 7" xfId="41226" xr:uid="{00000000-0005-0000-0000-00003AA10000}"/>
    <cellStyle name="货币 2 3 2 6 6 2 8" xfId="41227" xr:uid="{00000000-0005-0000-0000-00003BA10000}"/>
    <cellStyle name="货币 2 3 2 6 6 2 9" xfId="41228" xr:uid="{00000000-0005-0000-0000-00003CA10000}"/>
    <cellStyle name="货币 2 3 2 6 6 3" xfId="41229" xr:uid="{00000000-0005-0000-0000-00003DA10000}"/>
    <cellStyle name="货币 2 3 2 6 6 3 2" xfId="41230" xr:uid="{00000000-0005-0000-0000-00003EA10000}"/>
    <cellStyle name="货币 2 3 2 6 6 3 3" xfId="41231" xr:uid="{00000000-0005-0000-0000-00003FA10000}"/>
    <cellStyle name="货币 2 3 2 6 6 3 4" xfId="41232" xr:uid="{00000000-0005-0000-0000-000040A10000}"/>
    <cellStyle name="货币 2 3 2 6 6 3 5" xfId="41233" xr:uid="{00000000-0005-0000-0000-000041A10000}"/>
    <cellStyle name="货币 2 3 2 6 6 3 6" xfId="41234" xr:uid="{00000000-0005-0000-0000-000042A10000}"/>
    <cellStyle name="货币 2 3 2 6 6 4" xfId="41235" xr:uid="{00000000-0005-0000-0000-000043A10000}"/>
    <cellStyle name="货币 2 3 2 6 6 4 2" xfId="41236" xr:uid="{00000000-0005-0000-0000-000044A10000}"/>
    <cellStyle name="货币 2 3 2 6 6 5" xfId="41237" xr:uid="{00000000-0005-0000-0000-000045A10000}"/>
    <cellStyle name="货币 2 3 2 6 6 6" xfId="41238" xr:uid="{00000000-0005-0000-0000-000046A10000}"/>
    <cellStyle name="货币 2 3 2 6 6 7" xfId="16723" xr:uid="{00000000-0005-0000-0000-000083410000}"/>
    <cellStyle name="货币 2 3 2 6 6 8" xfId="12157" xr:uid="{00000000-0005-0000-0000-0000AD2F0000}"/>
    <cellStyle name="货币 2 3 2 6 6 9" xfId="12169" xr:uid="{00000000-0005-0000-0000-0000B92F0000}"/>
    <cellStyle name="货币 2 3 2 6 7" xfId="41239" xr:uid="{00000000-0005-0000-0000-000047A10000}"/>
    <cellStyle name="货币 2 3 2 6 7 2" xfId="41241" xr:uid="{00000000-0005-0000-0000-000049A10000}"/>
    <cellStyle name="货币 2 3 2 6 7 2 2" xfId="41242" xr:uid="{00000000-0005-0000-0000-00004AA10000}"/>
    <cellStyle name="货币 2 3 2 6 7 3" xfId="41244" xr:uid="{00000000-0005-0000-0000-00004CA10000}"/>
    <cellStyle name="货币 2 3 2 6 7 4" xfId="41246" xr:uid="{00000000-0005-0000-0000-00004EA10000}"/>
    <cellStyle name="货币 2 3 2 6 7 5" xfId="41248" xr:uid="{00000000-0005-0000-0000-000050A10000}"/>
    <cellStyle name="货币 2 3 2 6 7 6" xfId="41250" xr:uid="{00000000-0005-0000-0000-000052A10000}"/>
    <cellStyle name="货币 2 3 2 6 7 7" xfId="16725" xr:uid="{00000000-0005-0000-0000-000085410000}"/>
    <cellStyle name="货币 2 3 2 6 7 8" xfId="757" xr:uid="{00000000-0005-0000-0000-000025030000}"/>
    <cellStyle name="货币 2 3 2 6 7 9" xfId="375" xr:uid="{00000000-0005-0000-0000-000090010000}"/>
    <cellStyle name="货币 2 3 2 6 8" xfId="41251" xr:uid="{00000000-0005-0000-0000-000053A10000}"/>
    <cellStyle name="货币 2 3 2 6 8 2" xfId="41252" xr:uid="{00000000-0005-0000-0000-000054A10000}"/>
    <cellStyle name="货币 2 3 2 6 8 3" xfId="41253" xr:uid="{00000000-0005-0000-0000-000055A10000}"/>
    <cellStyle name="货币 2 3 2 6 8 4" xfId="13699" xr:uid="{00000000-0005-0000-0000-0000B3350000}"/>
    <cellStyle name="货币 2 3 2 6 8 5" xfId="41254" xr:uid="{00000000-0005-0000-0000-000056A10000}"/>
    <cellStyle name="货币 2 3 2 6 8 6" xfId="41255" xr:uid="{00000000-0005-0000-0000-000057A10000}"/>
    <cellStyle name="货币 2 3 2 6 9" xfId="41256" xr:uid="{00000000-0005-0000-0000-000058A10000}"/>
    <cellStyle name="货币 2 3 2 6 9 2" xfId="41257" xr:uid="{00000000-0005-0000-0000-000059A10000}"/>
    <cellStyle name="货币 2 3 2 6 9 3" xfId="41258" xr:uid="{00000000-0005-0000-0000-00005AA10000}"/>
    <cellStyle name="货币 2 3 2 6 9 4" xfId="13195" xr:uid="{00000000-0005-0000-0000-0000BB330000}"/>
    <cellStyle name="货币 2 3 2 6 9 5" xfId="13199" xr:uid="{00000000-0005-0000-0000-0000BF330000}"/>
    <cellStyle name="货币 2 3 2 6 9 6" xfId="13203" xr:uid="{00000000-0005-0000-0000-0000C3330000}"/>
    <cellStyle name="货币 2 3 2 7" xfId="41259" xr:uid="{00000000-0005-0000-0000-00005BA10000}"/>
    <cellStyle name="货币 2 3 2 7 10" xfId="29146" xr:uid="{00000000-0005-0000-0000-00000A720000}"/>
    <cellStyle name="货币 2 3 2 7 11" xfId="29149" xr:uid="{00000000-0005-0000-0000-00000D720000}"/>
    <cellStyle name="货币 2 3 2 7 12" xfId="3228" xr:uid="{00000000-0005-0000-0000-0000CC0C0000}"/>
    <cellStyle name="货币 2 3 2 7 13" xfId="3242" xr:uid="{00000000-0005-0000-0000-0000DA0C0000}"/>
    <cellStyle name="货币 2 3 2 7 14" xfId="3250" xr:uid="{00000000-0005-0000-0000-0000E20C0000}"/>
    <cellStyle name="货币 2 3 2 7 15" xfId="29159" xr:uid="{00000000-0005-0000-0000-000017720000}"/>
    <cellStyle name="货币 2 3 2 7 16" xfId="41260" xr:uid="{00000000-0005-0000-0000-00005CA10000}"/>
    <cellStyle name="货币 2 3 2 7 17" xfId="41261" xr:uid="{00000000-0005-0000-0000-00005DA10000}"/>
    <cellStyle name="货币 2 3 2 7 18" xfId="41262" xr:uid="{00000000-0005-0000-0000-00005EA10000}"/>
    <cellStyle name="货币 2 3 2 7 19" xfId="41263" xr:uid="{00000000-0005-0000-0000-00005FA10000}"/>
    <cellStyle name="货币 2 3 2 7 2" xfId="41264" xr:uid="{00000000-0005-0000-0000-000060A10000}"/>
    <cellStyle name="货币 2 3 2 7 2 10" xfId="41266" xr:uid="{00000000-0005-0000-0000-000062A10000}"/>
    <cellStyle name="货币 2 3 2 7 2 11" xfId="41268" xr:uid="{00000000-0005-0000-0000-000064A10000}"/>
    <cellStyle name="货币 2 3 2 7 2 12" xfId="29274" xr:uid="{00000000-0005-0000-0000-00008A720000}"/>
    <cellStyle name="货币 2 3 2 7 2 13" xfId="41269" xr:uid="{00000000-0005-0000-0000-000065A10000}"/>
    <cellStyle name="货币 2 3 2 7 2 14" xfId="41270" xr:uid="{00000000-0005-0000-0000-000066A10000}"/>
    <cellStyle name="货币 2 3 2 7 2 15" xfId="35764" xr:uid="{00000000-0005-0000-0000-0000E48B0000}"/>
    <cellStyle name="货币 2 3 2 7 2 16" xfId="35781" xr:uid="{00000000-0005-0000-0000-0000F58B0000}"/>
    <cellStyle name="货币 2 3 2 7 2 17" xfId="35788" xr:uid="{00000000-0005-0000-0000-0000FC8B0000}"/>
    <cellStyle name="货币 2 3 2 7 2 18" xfId="35791" xr:uid="{00000000-0005-0000-0000-0000FF8B0000}"/>
    <cellStyle name="货币 2 3 2 7 2 2" xfId="307" xr:uid="{00000000-0005-0000-0000-000047010000}"/>
    <cellStyle name="货币 2 3 2 7 2 2 10" xfId="32847" xr:uid="{00000000-0005-0000-0000-00007F800000}"/>
    <cellStyle name="货币 2 3 2 7 2 2 2" xfId="7564" xr:uid="{00000000-0005-0000-0000-0000BC1D0000}"/>
    <cellStyle name="货币 2 3 2 7 2 2 2 2" xfId="7571" xr:uid="{00000000-0005-0000-0000-0000C31D0000}"/>
    <cellStyle name="货币 2 3 2 7 2 2 3" xfId="7581" xr:uid="{00000000-0005-0000-0000-0000CD1D0000}"/>
    <cellStyle name="货币 2 3 2 7 2 2 4" xfId="7594" xr:uid="{00000000-0005-0000-0000-0000DA1D0000}"/>
    <cellStyle name="货币 2 3 2 7 2 2 5" xfId="41271" xr:uid="{00000000-0005-0000-0000-000067A10000}"/>
    <cellStyle name="货币 2 3 2 7 2 2 6" xfId="41272" xr:uid="{00000000-0005-0000-0000-000068A10000}"/>
    <cellStyle name="货币 2 3 2 7 2 2 7" xfId="41273" xr:uid="{00000000-0005-0000-0000-000069A10000}"/>
    <cellStyle name="货币 2 3 2 7 2 2 8" xfId="41274" xr:uid="{00000000-0005-0000-0000-00006AA10000}"/>
    <cellStyle name="货币 2 3 2 7 2 2 9" xfId="41275" xr:uid="{00000000-0005-0000-0000-00006BA10000}"/>
    <cellStyle name="货币 2 3 2 7 2 3" xfId="180" xr:uid="{00000000-0005-0000-0000-0000C1000000}"/>
    <cellStyle name="货币 2 3 2 7 2 3 2" xfId="41276" xr:uid="{00000000-0005-0000-0000-00006CA10000}"/>
    <cellStyle name="货币 2 3 2 7 2 3 3" xfId="41277" xr:uid="{00000000-0005-0000-0000-00006DA10000}"/>
    <cellStyle name="货币 2 3 2 7 2 3 4" xfId="41278" xr:uid="{00000000-0005-0000-0000-00006EA10000}"/>
    <cellStyle name="货币 2 3 2 7 2 3 5" xfId="41279" xr:uid="{00000000-0005-0000-0000-00006FA10000}"/>
    <cellStyle name="货币 2 3 2 7 2 3 6" xfId="41280" xr:uid="{00000000-0005-0000-0000-000070A10000}"/>
    <cellStyle name="货币 2 3 2 7 2 4" xfId="100" xr:uid="{00000000-0005-0000-0000-00006D000000}"/>
    <cellStyle name="货币 2 3 2 7 2 4 2" xfId="41281" xr:uid="{00000000-0005-0000-0000-000071A10000}"/>
    <cellStyle name="货币 2 3 2 7 2 4 3" xfId="41282" xr:uid="{00000000-0005-0000-0000-000072A10000}"/>
    <cellStyle name="货币 2 3 2 7 2 4 4" xfId="41283" xr:uid="{00000000-0005-0000-0000-000073A10000}"/>
    <cellStyle name="货币 2 3 2 7 2 4 5" xfId="41284" xr:uid="{00000000-0005-0000-0000-000074A10000}"/>
    <cellStyle name="货币 2 3 2 7 2 4 6" xfId="41285" xr:uid="{00000000-0005-0000-0000-000075A10000}"/>
    <cellStyle name="货币 2 3 2 7 2 5" xfId="41286" xr:uid="{00000000-0005-0000-0000-000076A10000}"/>
    <cellStyle name="货币 2 3 2 7 2 5 2" xfId="4706" xr:uid="{00000000-0005-0000-0000-000092120000}"/>
    <cellStyle name="货币 2 3 2 7 2 5 3" xfId="1391" xr:uid="{00000000-0005-0000-0000-00009F050000}"/>
    <cellStyle name="货币 2 3 2 7 2 5 4" xfId="41287" xr:uid="{00000000-0005-0000-0000-000077A10000}"/>
    <cellStyle name="货币 2 3 2 7 2 5 5" xfId="41288" xr:uid="{00000000-0005-0000-0000-000078A10000}"/>
    <cellStyle name="货币 2 3 2 7 2 5 6" xfId="41289" xr:uid="{00000000-0005-0000-0000-000079A10000}"/>
    <cellStyle name="货币 2 3 2 7 2 6" xfId="41290" xr:uid="{00000000-0005-0000-0000-00007AA10000}"/>
    <cellStyle name="货币 2 3 2 7 2 6 2" xfId="41291" xr:uid="{00000000-0005-0000-0000-00007BA10000}"/>
    <cellStyle name="货币 2 3 2 7 2 6 3" xfId="41292" xr:uid="{00000000-0005-0000-0000-00007CA10000}"/>
    <cellStyle name="货币 2 3 2 7 2 6 4" xfId="41293" xr:uid="{00000000-0005-0000-0000-00007DA10000}"/>
    <cellStyle name="货币 2 3 2 7 2 6 5" xfId="41294" xr:uid="{00000000-0005-0000-0000-00007EA10000}"/>
    <cellStyle name="货币 2 3 2 7 2 6 6" xfId="41295" xr:uid="{00000000-0005-0000-0000-00007FA10000}"/>
    <cellStyle name="货币 2 3 2 7 2 7" xfId="41296" xr:uid="{00000000-0005-0000-0000-000080A10000}"/>
    <cellStyle name="货币 2 3 2 7 2 8" xfId="41298" xr:uid="{00000000-0005-0000-0000-000082A10000}"/>
    <cellStyle name="货币 2 3 2 7 2 9" xfId="41300" xr:uid="{00000000-0005-0000-0000-000084A10000}"/>
    <cellStyle name="货币 2 3 2 7 3" xfId="41301" xr:uid="{00000000-0005-0000-0000-000085A10000}"/>
    <cellStyle name="货币 2 3 2 7 3 10" xfId="26124" xr:uid="{00000000-0005-0000-0000-00003C660000}"/>
    <cellStyle name="货币 2 3 2 7 3 11" xfId="26128" xr:uid="{00000000-0005-0000-0000-000040660000}"/>
    <cellStyle name="货币 2 3 2 7 3 12" xfId="26130" xr:uid="{00000000-0005-0000-0000-000042660000}"/>
    <cellStyle name="货币 2 3 2 7 3 2" xfId="25685" xr:uid="{00000000-0005-0000-0000-000085640000}"/>
    <cellStyle name="货币 2 3 2 7 3 2 2" xfId="35660" xr:uid="{00000000-0005-0000-0000-00007C8B0000}"/>
    <cellStyle name="货币 2 3 2 7 3 2 2 2" xfId="14784" xr:uid="{00000000-0005-0000-0000-0000F0390000}"/>
    <cellStyle name="货币 2 3 2 7 3 2 3" xfId="22457" xr:uid="{00000000-0005-0000-0000-0000E9570000}"/>
    <cellStyle name="货币 2 3 2 7 3 2 4" xfId="22461" xr:uid="{00000000-0005-0000-0000-0000ED570000}"/>
    <cellStyle name="货币 2 3 2 7 3 2 5" xfId="41302" xr:uid="{00000000-0005-0000-0000-000086A10000}"/>
    <cellStyle name="货币 2 3 2 7 3 3" xfId="41303" xr:uid="{00000000-0005-0000-0000-000087A10000}"/>
    <cellStyle name="货币 2 3 2 7 3 3 2" xfId="41304" xr:uid="{00000000-0005-0000-0000-000088A10000}"/>
    <cellStyle name="货币 2 3 2 7 3 4" xfId="41305" xr:uid="{00000000-0005-0000-0000-000089A10000}"/>
    <cellStyle name="货币 2 3 2 7 3 5" xfId="41306" xr:uid="{00000000-0005-0000-0000-00008AA10000}"/>
    <cellStyle name="货币 2 3 2 7 3 6" xfId="35140" xr:uid="{00000000-0005-0000-0000-000074890000}"/>
    <cellStyle name="货币 2 3 2 7 3 7" xfId="15183" xr:uid="{00000000-0005-0000-0000-00007F3B0000}"/>
    <cellStyle name="货币 2 3 2 7 3 8" xfId="15187" xr:uid="{00000000-0005-0000-0000-0000833B0000}"/>
    <cellStyle name="货币 2 3 2 7 3 9" xfId="15191" xr:uid="{00000000-0005-0000-0000-0000873B0000}"/>
    <cellStyle name="货币 2 3 2 7 4" xfId="41307" xr:uid="{00000000-0005-0000-0000-00008BA10000}"/>
    <cellStyle name="货币 2 3 2 7 4 10" xfId="41308" xr:uid="{00000000-0005-0000-0000-00008CA10000}"/>
    <cellStyle name="货币 2 3 2 7 4 11" xfId="41309" xr:uid="{00000000-0005-0000-0000-00008DA10000}"/>
    <cellStyle name="货币 2 3 2 7 4 2" xfId="25702" xr:uid="{00000000-0005-0000-0000-000096640000}"/>
    <cellStyle name="货币 2 3 2 7 4 2 2" xfId="35672" xr:uid="{00000000-0005-0000-0000-0000888B0000}"/>
    <cellStyle name="货币 2 3 2 7 4 2 2 2" xfId="17110" xr:uid="{00000000-0005-0000-0000-000006430000}"/>
    <cellStyle name="货币 2 3 2 7 4 2 3" xfId="22500" xr:uid="{00000000-0005-0000-0000-000014580000}"/>
    <cellStyle name="货币 2 3 2 7 4 2 4" xfId="35674" xr:uid="{00000000-0005-0000-0000-00008A8B0000}"/>
    <cellStyle name="货币 2 3 2 7 4 2 5" xfId="41310" xr:uid="{00000000-0005-0000-0000-00008EA10000}"/>
    <cellStyle name="货币 2 3 2 7 4 3" xfId="41311" xr:uid="{00000000-0005-0000-0000-00008FA10000}"/>
    <cellStyle name="货币 2 3 2 7 4 3 2" xfId="41312" xr:uid="{00000000-0005-0000-0000-000090A10000}"/>
    <cellStyle name="货币 2 3 2 7 4 4" xfId="41313" xr:uid="{00000000-0005-0000-0000-000091A10000}"/>
    <cellStyle name="货币 2 3 2 7 4 5" xfId="41314" xr:uid="{00000000-0005-0000-0000-000092A10000}"/>
    <cellStyle name="货币 2 3 2 7 4 6" xfId="35143" xr:uid="{00000000-0005-0000-0000-000077890000}"/>
    <cellStyle name="货币 2 3 2 7 4 7" xfId="8038" xr:uid="{00000000-0005-0000-0000-0000961F0000}"/>
    <cellStyle name="货币 2 3 2 7 4 8" xfId="10667" xr:uid="{00000000-0005-0000-0000-0000DB290000}"/>
    <cellStyle name="货币 2 3 2 7 4 9" xfId="7656" xr:uid="{00000000-0005-0000-0000-0000181E0000}"/>
    <cellStyle name="货币 2 3 2 7 5" xfId="41315" xr:uid="{00000000-0005-0000-0000-000093A10000}"/>
    <cellStyle name="货币 2 3 2 7 5 10" xfId="29760" xr:uid="{00000000-0005-0000-0000-000070740000}"/>
    <cellStyle name="货币 2 3 2 7 5 2" xfId="41317" xr:uid="{00000000-0005-0000-0000-000095A10000}"/>
    <cellStyle name="货币 2 3 2 7 5 2 2" xfId="35687" xr:uid="{00000000-0005-0000-0000-0000978B0000}"/>
    <cellStyle name="货币 2 3 2 7 5 2 2 2" xfId="18719" xr:uid="{00000000-0005-0000-0000-00004F490000}"/>
    <cellStyle name="货币 2 3 2 7 5 2 3" xfId="35689" xr:uid="{00000000-0005-0000-0000-0000998B0000}"/>
    <cellStyle name="货币 2 3 2 7 5 2 4" xfId="35691" xr:uid="{00000000-0005-0000-0000-00009B8B0000}"/>
    <cellStyle name="货币 2 3 2 7 5 2 5" xfId="41318" xr:uid="{00000000-0005-0000-0000-000096A10000}"/>
    <cellStyle name="货币 2 3 2 7 5 3" xfId="41319" xr:uid="{00000000-0005-0000-0000-000097A10000}"/>
    <cellStyle name="货币 2 3 2 7 5 3 2" xfId="41320" xr:uid="{00000000-0005-0000-0000-000098A10000}"/>
    <cellStyle name="货币 2 3 2 7 5 4" xfId="34790" xr:uid="{00000000-0005-0000-0000-000016880000}"/>
    <cellStyle name="货币 2 3 2 7 5 5" xfId="41321" xr:uid="{00000000-0005-0000-0000-000099A10000}"/>
    <cellStyle name="货币 2 3 2 7 5 6" xfId="35145" xr:uid="{00000000-0005-0000-0000-000079890000}"/>
    <cellStyle name="货币 2 3 2 7 5 7" xfId="41322" xr:uid="{00000000-0005-0000-0000-00009AA10000}"/>
    <cellStyle name="货币 2 3 2 7 5 8" xfId="41324" xr:uid="{00000000-0005-0000-0000-00009CA10000}"/>
    <cellStyle name="货币 2 3 2 7 5 9" xfId="41326" xr:uid="{00000000-0005-0000-0000-00009EA10000}"/>
    <cellStyle name="货币 2 3 2 7 6" xfId="41327" xr:uid="{00000000-0005-0000-0000-00009FA10000}"/>
    <cellStyle name="货币 2 3 2 7 6 2" xfId="41328" xr:uid="{00000000-0005-0000-0000-0000A0A10000}"/>
    <cellStyle name="货币 2 3 2 7 6 2 2" xfId="41329" xr:uid="{00000000-0005-0000-0000-0000A1A10000}"/>
    <cellStyle name="货币 2 3 2 7 6 3" xfId="41330" xr:uid="{00000000-0005-0000-0000-0000A2A10000}"/>
    <cellStyle name="货币 2 3 2 7 6 4" xfId="41331" xr:uid="{00000000-0005-0000-0000-0000A3A10000}"/>
    <cellStyle name="货币 2 3 2 7 6 5" xfId="41332" xr:uid="{00000000-0005-0000-0000-0000A4A10000}"/>
    <cellStyle name="货币 2 3 2 7 6 6" xfId="41333" xr:uid="{00000000-0005-0000-0000-0000A5A10000}"/>
    <cellStyle name="货币 2 3 2 7 6 7" xfId="16886" xr:uid="{00000000-0005-0000-0000-000026420000}"/>
    <cellStyle name="货币 2 3 2 7 6 8" xfId="12321" xr:uid="{00000000-0005-0000-0000-000051300000}"/>
    <cellStyle name="货币 2 3 2 7 6 9" xfId="12325" xr:uid="{00000000-0005-0000-0000-000055300000}"/>
    <cellStyle name="货币 2 3 2 7 7" xfId="41334" xr:uid="{00000000-0005-0000-0000-0000A6A10000}"/>
    <cellStyle name="货币 2 3 2 7 7 2" xfId="3928" xr:uid="{00000000-0005-0000-0000-0000880F0000}"/>
    <cellStyle name="货币 2 3 2 7 7 3" xfId="20062" xr:uid="{00000000-0005-0000-0000-00008E4E0000}"/>
    <cellStyle name="货币 2 3 2 7 7 4" xfId="41335" xr:uid="{00000000-0005-0000-0000-0000A7A10000}"/>
    <cellStyle name="货币 2 3 2 7 7 5" xfId="41336" xr:uid="{00000000-0005-0000-0000-0000A8A10000}"/>
    <cellStyle name="货币 2 3 2 7 7 6" xfId="41337" xr:uid="{00000000-0005-0000-0000-0000A9A10000}"/>
    <cellStyle name="货币 2 3 2 7 8" xfId="41338" xr:uid="{00000000-0005-0000-0000-0000AAA10000}"/>
    <cellStyle name="货币 2 3 2 7 9" xfId="3955" xr:uid="{00000000-0005-0000-0000-0000A30F0000}"/>
    <cellStyle name="货币 2 3 2 8" xfId="41339" xr:uid="{00000000-0005-0000-0000-0000ABA10000}"/>
    <cellStyle name="货币 2 3 2 8 10" xfId="41340" xr:uid="{00000000-0005-0000-0000-0000ACA10000}"/>
    <cellStyle name="货币 2 3 2 8 11" xfId="41341" xr:uid="{00000000-0005-0000-0000-0000ADA10000}"/>
    <cellStyle name="货币 2 3 2 8 12" xfId="41342" xr:uid="{00000000-0005-0000-0000-0000AEA10000}"/>
    <cellStyle name="货币 2 3 2 8 13" xfId="41343" xr:uid="{00000000-0005-0000-0000-0000AFA10000}"/>
    <cellStyle name="货币 2 3 2 8 14" xfId="11740" xr:uid="{00000000-0005-0000-0000-00000C2E0000}"/>
    <cellStyle name="货币 2 3 2 8 15" xfId="41344" xr:uid="{00000000-0005-0000-0000-0000B0A10000}"/>
    <cellStyle name="货币 2 3 2 8 16" xfId="41345" xr:uid="{00000000-0005-0000-0000-0000B1A10000}"/>
    <cellStyle name="货币 2 3 2 8 17" xfId="41346" xr:uid="{00000000-0005-0000-0000-0000B2A10000}"/>
    <cellStyle name="货币 2 3 2 8 18" xfId="41347" xr:uid="{00000000-0005-0000-0000-0000B3A10000}"/>
    <cellStyle name="货币 2 3 2 8 2" xfId="41348" xr:uid="{00000000-0005-0000-0000-0000B4A10000}"/>
    <cellStyle name="货币 2 3 2 8 2 10" xfId="41350" xr:uid="{00000000-0005-0000-0000-0000B6A10000}"/>
    <cellStyle name="货币 2 3 2 8 2 2" xfId="29682" xr:uid="{00000000-0005-0000-0000-000022740000}"/>
    <cellStyle name="货币 2 3 2 8 2 2 2" xfId="41351" xr:uid="{00000000-0005-0000-0000-0000B7A10000}"/>
    <cellStyle name="货币 2 3 2 8 2 3" xfId="41352" xr:uid="{00000000-0005-0000-0000-0000B8A10000}"/>
    <cellStyle name="货币 2 3 2 8 2 4" xfId="41353" xr:uid="{00000000-0005-0000-0000-0000B9A10000}"/>
    <cellStyle name="货币 2 3 2 8 2 5" xfId="41354" xr:uid="{00000000-0005-0000-0000-0000BAA10000}"/>
    <cellStyle name="货币 2 3 2 8 2 6" xfId="41355" xr:uid="{00000000-0005-0000-0000-0000BBA10000}"/>
    <cellStyle name="货币 2 3 2 8 2 7" xfId="41356" xr:uid="{00000000-0005-0000-0000-0000BCA10000}"/>
    <cellStyle name="货币 2 3 2 8 2 8" xfId="41358" xr:uid="{00000000-0005-0000-0000-0000BEA10000}"/>
    <cellStyle name="货币 2 3 2 8 2 9" xfId="41360" xr:uid="{00000000-0005-0000-0000-0000C0A10000}"/>
    <cellStyle name="货币 2 3 2 8 3" xfId="41361" xr:uid="{00000000-0005-0000-0000-0000C1A10000}"/>
    <cellStyle name="货币 2 3 2 8 3 2" xfId="41362" xr:uid="{00000000-0005-0000-0000-0000C2A10000}"/>
    <cellStyle name="货币 2 3 2 8 3 3" xfId="41363" xr:uid="{00000000-0005-0000-0000-0000C3A10000}"/>
    <cellStyle name="货币 2 3 2 8 3 4" xfId="41364" xr:uid="{00000000-0005-0000-0000-0000C4A10000}"/>
    <cellStyle name="货币 2 3 2 8 3 5" xfId="41365" xr:uid="{00000000-0005-0000-0000-0000C5A10000}"/>
    <cellStyle name="货币 2 3 2 8 3 6" xfId="15397" xr:uid="{00000000-0005-0000-0000-0000553C0000}"/>
    <cellStyle name="货币 2 3 2 8 4" xfId="41366" xr:uid="{00000000-0005-0000-0000-0000C6A10000}"/>
    <cellStyle name="货币 2 3 2 8 4 2" xfId="41367" xr:uid="{00000000-0005-0000-0000-0000C7A10000}"/>
    <cellStyle name="货币 2 3 2 8 4 3" xfId="41368" xr:uid="{00000000-0005-0000-0000-0000C8A10000}"/>
    <cellStyle name="货币 2 3 2 8 4 4" xfId="41369" xr:uid="{00000000-0005-0000-0000-0000C9A10000}"/>
    <cellStyle name="货币 2 3 2 8 4 5" xfId="41370" xr:uid="{00000000-0005-0000-0000-0000CAA10000}"/>
    <cellStyle name="货币 2 3 2 8 4 6" xfId="41371" xr:uid="{00000000-0005-0000-0000-0000CBA10000}"/>
    <cellStyle name="货币 2 3 2 8 5" xfId="41372" xr:uid="{00000000-0005-0000-0000-0000CCA10000}"/>
    <cellStyle name="货币 2 3 2 8 5 2" xfId="41373" xr:uid="{00000000-0005-0000-0000-0000CDA10000}"/>
    <cellStyle name="货币 2 3 2 8 5 3" xfId="41374" xr:uid="{00000000-0005-0000-0000-0000CEA10000}"/>
    <cellStyle name="货币 2 3 2 8 5 4" xfId="41375" xr:uid="{00000000-0005-0000-0000-0000CFA10000}"/>
    <cellStyle name="货币 2 3 2 8 5 5" xfId="41376" xr:uid="{00000000-0005-0000-0000-0000D0A10000}"/>
    <cellStyle name="货币 2 3 2 8 5 6" xfId="41377" xr:uid="{00000000-0005-0000-0000-0000D1A10000}"/>
    <cellStyle name="货币 2 3 2 8 6" xfId="41378" xr:uid="{00000000-0005-0000-0000-0000D2A10000}"/>
    <cellStyle name="货币 2 3 2 8 6 2" xfId="41379" xr:uid="{00000000-0005-0000-0000-0000D3A10000}"/>
    <cellStyle name="货币 2 3 2 8 6 3" xfId="41380" xr:uid="{00000000-0005-0000-0000-0000D4A10000}"/>
    <cellStyle name="货币 2 3 2 8 6 4" xfId="41381" xr:uid="{00000000-0005-0000-0000-0000D5A10000}"/>
    <cellStyle name="货币 2 3 2 8 6 5" xfId="41382" xr:uid="{00000000-0005-0000-0000-0000D6A10000}"/>
    <cellStyle name="货币 2 3 2 8 6 6" xfId="41383" xr:uid="{00000000-0005-0000-0000-0000D7A10000}"/>
    <cellStyle name="货币 2 3 2 8 7" xfId="41384" xr:uid="{00000000-0005-0000-0000-0000D8A10000}"/>
    <cellStyle name="货币 2 3 2 8 8" xfId="41385" xr:uid="{00000000-0005-0000-0000-0000D9A10000}"/>
    <cellStyle name="货币 2 3 2 8 9" xfId="4038" xr:uid="{00000000-0005-0000-0000-0000F60F0000}"/>
    <cellStyle name="货币 2 3 2 9" xfId="41386" xr:uid="{00000000-0005-0000-0000-0000DAA10000}"/>
    <cellStyle name="货币 2 3 2 9 10" xfId="41387" xr:uid="{00000000-0005-0000-0000-0000DBA10000}"/>
    <cellStyle name="货币 2 3 2 9 11" xfId="41388" xr:uid="{00000000-0005-0000-0000-0000DCA10000}"/>
    <cellStyle name="货币 2 3 2 9 12" xfId="41389" xr:uid="{00000000-0005-0000-0000-0000DDA10000}"/>
    <cellStyle name="货币 2 3 2 9 13" xfId="41390" xr:uid="{00000000-0005-0000-0000-0000DEA10000}"/>
    <cellStyle name="货币 2 3 2 9 14" xfId="41391" xr:uid="{00000000-0005-0000-0000-0000DFA10000}"/>
    <cellStyle name="货币 2 3 2 9 15" xfId="41392" xr:uid="{00000000-0005-0000-0000-0000E0A10000}"/>
    <cellStyle name="货币 2 3 2 9 16" xfId="41393" xr:uid="{00000000-0005-0000-0000-0000E1A10000}"/>
    <cellStyle name="货币 2 3 2 9 17" xfId="41394" xr:uid="{00000000-0005-0000-0000-0000E2A10000}"/>
    <cellStyle name="货币 2 3 2 9 18" xfId="41395" xr:uid="{00000000-0005-0000-0000-0000E3A10000}"/>
    <cellStyle name="货币 2 3 2 9 2" xfId="41396" xr:uid="{00000000-0005-0000-0000-0000E4A10000}"/>
    <cellStyle name="货币 2 3 2 9 2 10" xfId="20300" xr:uid="{00000000-0005-0000-0000-00007C4F0000}"/>
    <cellStyle name="货币 2 3 2 9 2 2" xfId="41397" xr:uid="{00000000-0005-0000-0000-0000E5A10000}"/>
    <cellStyle name="货币 2 3 2 9 2 2 2" xfId="20458" xr:uid="{00000000-0005-0000-0000-00001A500000}"/>
    <cellStyle name="货币 2 3 2 9 2 3" xfId="25654" xr:uid="{00000000-0005-0000-0000-000066640000}"/>
    <cellStyle name="货币 2 3 2 9 2 4" xfId="6688" xr:uid="{00000000-0005-0000-0000-0000501A0000}"/>
    <cellStyle name="货币 2 3 2 9 2 5" xfId="5226" xr:uid="{00000000-0005-0000-0000-00009A140000}"/>
    <cellStyle name="货币 2 3 2 9 2 6" xfId="41398" xr:uid="{00000000-0005-0000-0000-0000E6A10000}"/>
    <cellStyle name="货币 2 3 2 9 2 7" xfId="41399" xr:uid="{00000000-0005-0000-0000-0000E7A10000}"/>
    <cellStyle name="货币 2 3 2 9 2 8" xfId="41401" xr:uid="{00000000-0005-0000-0000-0000E9A10000}"/>
    <cellStyle name="货币 2 3 2 9 2 9" xfId="41403" xr:uid="{00000000-0005-0000-0000-0000EBA10000}"/>
    <cellStyle name="货币 2 3 2 9 3" xfId="41404" xr:uid="{00000000-0005-0000-0000-0000ECA10000}"/>
    <cellStyle name="货币 2 3 2 9 3 2" xfId="41405" xr:uid="{00000000-0005-0000-0000-0000EDA10000}"/>
    <cellStyle name="货币 2 3 2 9 3 3" xfId="41406" xr:uid="{00000000-0005-0000-0000-0000EEA10000}"/>
    <cellStyle name="货币 2 3 2 9 3 4" xfId="41407" xr:uid="{00000000-0005-0000-0000-0000EFA10000}"/>
    <cellStyle name="货币 2 3 2 9 3 5" xfId="41408" xr:uid="{00000000-0005-0000-0000-0000F0A10000}"/>
    <cellStyle name="货币 2 3 2 9 3 6" xfId="41409" xr:uid="{00000000-0005-0000-0000-0000F1A10000}"/>
    <cellStyle name="货币 2 3 2 9 4" xfId="6749" xr:uid="{00000000-0005-0000-0000-00008D1A0000}"/>
    <cellStyle name="货币 2 3 2 9 4 2" xfId="6758" xr:uid="{00000000-0005-0000-0000-0000961A0000}"/>
    <cellStyle name="货币 2 3 2 9 4 3" xfId="41410" xr:uid="{00000000-0005-0000-0000-0000F2A10000}"/>
    <cellStyle name="货币 2 3 2 9 4 4" xfId="41411" xr:uid="{00000000-0005-0000-0000-0000F3A10000}"/>
    <cellStyle name="货币 2 3 2 9 4 5" xfId="41412" xr:uid="{00000000-0005-0000-0000-0000F4A10000}"/>
    <cellStyle name="货币 2 3 2 9 4 6" xfId="41413" xr:uid="{00000000-0005-0000-0000-0000F5A10000}"/>
    <cellStyle name="货币 2 3 2 9 5" xfId="6768" xr:uid="{00000000-0005-0000-0000-0000A01A0000}"/>
    <cellStyle name="货币 2 3 2 9 5 2" xfId="6771" xr:uid="{00000000-0005-0000-0000-0000A31A0000}"/>
    <cellStyle name="货币 2 3 2 9 5 3" xfId="41414" xr:uid="{00000000-0005-0000-0000-0000F6A10000}"/>
    <cellStyle name="货币 2 3 2 9 5 4" xfId="41415" xr:uid="{00000000-0005-0000-0000-0000F7A10000}"/>
    <cellStyle name="货币 2 3 2 9 5 5" xfId="19891" xr:uid="{00000000-0005-0000-0000-0000E34D0000}"/>
    <cellStyle name="货币 2 3 2 9 5 6" xfId="19906" xr:uid="{00000000-0005-0000-0000-0000F24D0000}"/>
    <cellStyle name="货币 2 3 2 9 6" xfId="6795" xr:uid="{00000000-0005-0000-0000-0000BB1A0000}"/>
    <cellStyle name="货币 2 3 2 9 6 2" xfId="41416" xr:uid="{00000000-0005-0000-0000-0000F8A10000}"/>
    <cellStyle name="货币 2 3 2 9 6 3" xfId="41417" xr:uid="{00000000-0005-0000-0000-0000F9A10000}"/>
    <cellStyle name="货币 2 3 2 9 6 4" xfId="41419" xr:uid="{00000000-0005-0000-0000-0000FBA10000}"/>
    <cellStyle name="货币 2 3 2 9 6 5" xfId="19954" xr:uid="{00000000-0005-0000-0000-0000224E0000}"/>
    <cellStyle name="货币 2 3 2 9 6 6" xfId="19964" xr:uid="{00000000-0005-0000-0000-00002C4E0000}"/>
    <cellStyle name="货币 2 3 2 9 7" xfId="6799" xr:uid="{00000000-0005-0000-0000-0000BF1A0000}"/>
    <cellStyle name="货币 2 3 2 9 8" xfId="5371" xr:uid="{00000000-0005-0000-0000-00002B150000}"/>
    <cellStyle name="货币 2 3 2 9 9" xfId="5392" xr:uid="{00000000-0005-0000-0000-000040150000}"/>
    <cellStyle name="货币 2 3 20" xfId="39538" xr:uid="{00000000-0005-0000-0000-0000A29A0000}"/>
    <cellStyle name="货币 2 3 21" xfId="39542" xr:uid="{00000000-0005-0000-0000-0000A69A0000}"/>
    <cellStyle name="货币 2 3 22" xfId="39553" xr:uid="{00000000-0005-0000-0000-0000B19A0000}"/>
    <cellStyle name="货币 2 3 23" xfId="39565" xr:uid="{00000000-0005-0000-0000-0000BD9A0000}"/>
    <cellStyle name="货币 2 3 24" xfId="39568" xr:uid="{00000000-0005-0000-0000-0000C09A0000}"/>
    <cellStyle name="货币 2 3 25" xfId="41421" xr:uid="{00000000-0005-0000-0000-0000FDA10000}"/>
    <cellStyle name="货币 2 3 26" xfId="41423" xr:uid="{00000000-0005-0000-0000-0000FFA10000}"/>
    <cellStyle name="货币 2 3 27" xfId="41424" xr:uid="{00000000-0005-0000-0000-000000A20000}"/>
    <cellStyle name="货币 2 3 28" xfId="41425" xr:uid="{00000000-0005-0000-0000-000001A20000}"/>
    <cellStyle name="货币 2 3 29" xfId="41426" xr:uid="{00000000-0005-0000-0000-000002A20000}"/>
    <cellStyle name="货币 2 3 3" xfId="35116" xr:uid="{00000000-0005-0000-0000-00005C890000}"/>
    <cellStyle name="货币 2 3 3 10" xfId="12464" xr:uid="{00000000-0005-0000-0000-0000E0300000}"/>
    <cellStyle name="货币 2 3 3 10 10" xfId="35505" xr:uid="{00000000-0005-0000-0000-0000E18A0000}"/>
    <cellStyle name="货币 2 3 3 10 11" xfId="41427" xr:uid="{00000000-0005-0000-0000-000003A20000}"/>
    <cellStyle name="货币 2 3 3 10 12" xfId="41428" xr:uid="{00000000-0005-0000-0000-000004A20000}"/>
    <cellStyle name="货币 2 3 3 10 13" xfId="41429" xr:uid="{00000000-0005-0000-0000-000005A20000}"/>
    <cellStyle name="货币 2 3 3 10 14" xfId="41430" xr:uid="{00000000-0005-0000-0000-000006A20000}"/>
    <cellStyle name="货币 2 3 3 10 15" xfId="41431" xr:uid="{00000000-0005-0000-0000-000007A20000}"/>
    <cellStyle name="货币 2 3 3 10 2" xfId="41432" xr:uid="{00000000-0005-0000-0000-000008A20000}"/>
    <cellStyle name="货币 2 3 3 10 2 2" xfId="41433" xr:uid="{00000000-0005-0000-0000-000009A20000}"/>
    <cellStyle name="货币 2 3 3 10 2 2 2" xfId="41434" xr:uid="{00000000-0005-0000-0000-00000AA20000}"/>
    <cellStyle name="货币 2 3 3 10 2 3" xfId="20544" xr:uid="{00000000-0005-0000-0000-000070500000}"/>
    <cellStyle name="货币 2 3 3 10 2 4" xfId="20550" xr:uid="{00000000-0005-0000-0000-000076500000}"/>
    <cellStyle name="货币 2 3 3 10 2 5" xfId="20556" xr:uid="{00000000-0005-0000-0000-00007C500000}"/>
    <cellStyle name="货币 2 3 3 10 2 6" xfId="14672" xr:uid="{00000000-0005-0000-0000-000080390000}"/>
    <cellStyle name="货币 2 3 3 10 2 7" xfId="20565" xr:uid="{00000000-0005-0000-0000-000085500000}"/>
    <cellStyle name="货币 2 3 3 10 2 8" xfId="20573" xr:uid="{00000000-0005-0000-0000-00008D500000}"/>
    <cellStyle name="货币 2 3 3 10 2 9" xfId="41435" xr:uid="{00000000-0005-0000-0000-00000BA20000}"/>
    <cellStyle name="货币 2 3 3 10 3" xfId="41437" xr:uid="{00000000-0005-0000-0000-00000DA20000}"/>
    <cellStyle name="货币 2 3 3 10 3 2" xfId="41439" xr:uid="{00000000-0005-0000-0000-00000FA20000}"/>
    <cellStyle name="货币 2 3 3 10 3 3" xfId="41441" xr:uid="{00000000-0005-0000-0000-000011A20000}"/>
    <cellStyle name="货币 2 3 3 10 3 4" xfId="41442" xr:uid="{00000000-0005-0000-0000-000012A20000}"/>
    <cellStyle name="货币 2 3 3 10 3 5" xfId="41443" xr:uid="{00000000-0005-0000-0000-000013A20000}"/>
    <cellStyle name="货币 2 3 3 10 3 6" xfId="41444" xr:uid="{00000000-0005-0000-0000-000014A20000}"/>
    <cellStyle name="货币 2 3 3 10 4" xfId="41446" xr:uid="{00000000-0005-0000-0000-000016A20000}"/>
    <cellStyle name="货币 2 3 3 10 4 2" xfId="26294" xr:uid="{00000000-0005-0000-0000-0000E6660000}"/>
    <cellStyle name="货币 2 3 3 10 5" xfId="41448" xr:uid="{00000000-0005-0000-0000-000018A20000}"/>
    <cellStyle name="货币 2 3 3 10 6" xfId="41450" xr:uid="{00000000-0005-0000-0000-00001AA20000}"/>
    <cellStyle name="货币 2 3 3 10 7" xfId="41452" xr:uid="{00000000-0005-0000-0000-00001CA20000}"/>
    <cellStyle name="货币 2 3 3 10 8" xfId="41454" xr:uid="{00000000-0005-0000-0000-00001EA20000}"/>
    <cellStyle name="货币 2 3 3 10 9" xfId="41455" xr:uid="{00000000-0005-0000-0000-00001FA20000}"/>
    <cellStyle name="货币 2 3 3 11" xfId="10612" xr:uid="{00000000-0005-0000-0000-0000A4290000}"/>
    <cellStyle name="货币 2 3 3 11 10" xfId="41456" xr:uid="{00000000-0005-0000-0000-000020A20000}"/>
    <cellStyle name="货币 2 3 3 11 11" xfId="12900" xr:uid="{00000000-0005-0000-0000-000094320000}"/>
    <cellStyle name="货币 2 3 3 11 12" xfId="41457" xr:uid="{00000000-0005-0000-0000-000021A20000}"/>
    <cellStyle name="货币 2 3 3 11 13" xfId="41458" xr:uid="{00000000-0005-0000-0000-000022A20000}"/>
    <cellStyle name="货币 2 3 3 11 14" xfId="41459" xr:uid="{00000000-0005-0000-0000-000023A20000}"/>
    <cellStyle name="货币 2 3 3 11 2" xfId="41460" xr:uid="{00000000-0005-0000-0000-000024A20000}"/>
    <cellStyle name="货币 2 3 3 11 2 2" xfId="41461" xr:uid="{00000000-0005-0000-0000-000025A20000}"/>
    <cellStyle name="货币 2 3 3 11 2 2 2" xfId="41462" xr:uid="{00000000-0005-0000-0000-000026A20000}"/>
    <cellStyle name="货币 2 3 3 11 2 3" xfId="41463" xr:uid="{00000000-0005-0000-0000-000027A20000}"/>
    <cellStyle name="货币 2 3 3 11 2 4" xfId="41464" xr:uid="{00000000-0005-0000-0000-000028A20000}"/>
    <cellStyle name="货币 2 3 3 11 2 5" xfId="41465" xr:uid="{00000000-0005-0000-0000-000029A20000}"/>
    <cellStyle name="货币 2 3 3 11 2 6" xfId="2197" xr:uid="{00000000-0005-0000-0000-0000C5080000}"/>
    <cellStyle name="货币 2 3 3 11 2 7" xfId="41466" xr:uid="{00000000-0005-0000-0000-00002AA20000}"/>
    <cellStyle name="货币 2 3 3 11 2 8" xfId="41467" xr:uid="{00000000-0005-0000-0000-00002BA20000}"/>
    <cellStyle name="货币 2 3 3 11 2 9" xfId="41468" xr:uid="{00000000-0005-0000-0000-00002CA20000}"/>
    <cellStyle name="货币 2 3 3 11 3" xfId="41469" xr:uid="{00000000-0005-0000-0000-00002DA20000}"/>
    <cellStyle name="货币 2 3 3 11 3 2" xfId="41471" xr:uid="{00000000-0005-0000-0000-00002FA20000}"/>
    <cellStyle name="货币 2 3 3 11 3 3" xfId="41473" xr:uid="{00000000-0005-0000-0000-000031A20000}"/>
    <cellStyle name="货币 2 3 3 11 3 4" xfId="41474" xr:uid="{00000000-0005-0000-0000-000032A20000}"/>
    <cellStyle name="货币 2 3 3 11 3 5" xfId="41475" xr:uid="{00000000-0005-0000-0000-000033A20000}"/>
    <cellStyle name="货币 2 3 3 11 3 6" xfId="41476" xr:uid="{00000000-0005-0000-0000-000034A20000}"/>
    <cellStyle name="货币 2 3 3 11 4" xfId="41477" xr:uid="{00000000-0005-0000-0000-000035A20000}"/>
    <cellStyle name="货币 2 3 3 11 4 2" xfId="41478" xr:uid="{00000000-0005-0000-0000-000036A20000}"/>
    <cellStyle name="货币 2 3 3 11 5" xfId="41479" xr:uid="{00000000-0005-0000-0000-000037A20000}"/>
    <cellStyle name="货币 2 3 3 11 6" xfId="41480" xr:uid="{00000000-0005-0000-0000-000038A20000}"/>
    <cellStyle name="货币 2 3 3 11 7" xfId="30724" xr:uid="{00000000-0005-0000-0000-000034780000}"/>
    <cellStyle name="货币 2 3 3 11 8" xfId="26732" xr:uid="{00000000-0005-0000-0000-00009C680000}"/>
    <cellStyle name="货币 2 3 3 11 9" xfId="41481" xr:uid="{00000000-0005-0000-0000-000039A20000}"/>
    <cellStyle name="货币 2 3 3 12" xfId="41482" xr:uid="{00000000-0005-0000-0000-00003AA20000}"/>
    <cellStyle name="货币 2 3 3 12 10" xfId="41483" xr:uid="{00000000-0005-0000-0000-00003BA20000}"/>
    <cellStyle name="货币 2 3 3 12 2" xfId="41485" xr:uid="{00000000-0005-0000-0000-00003DA20000}"/>
    <cellStyle name="货币 2 3 3 12 2 2" xfId="23767" xr:uid="{00000000-0005-0000-0000-0000075D0000}"/>
    <cellStyle name="货币 2 3 3 12 2 2 2" xfId="41486" xr:uid="{00000000-0005-0000-0000-00003EA20000}"/>
    <cellStyle name="货币 2 3 3 12 2 3" xfId="23773" xr:uid="{00000000-0005-0000-0000-00000D5D0000}"/>
    <cellStyle name="货币 2 3 3 12 2 4" xfId="23780" xr:uid="{00000000-0005-0000-0000-0000145D0000}"/>
    <cellStyle name="货币 2 3 3 12 2 5" xfId="23786" xr:uid="{00000000-0005-0000-0000-00001A5D0000}"/>
    <cellStyle name="货币 2 3 3 12 3" xfId="41487" xr:uid="{00000000-0005-0000-0000-00003FA20000}"/>
    <cellStyle name="货币 2 3 3 12 3 2" xfId="41489" xr:uid="{00000000-0005-0000-0000-000041A20000}"/>
    <cellStyle name="货币 2 3 3 12 4" xfId="41490" xr:uid="{00000000-0005-0000-0000-000042A20000}"/>
    <cellStyle name="货币 2 3 3 12 5" xfId="41491" xr:uid="{00000000-0005-0000-0000-000043A20000}"/>
    <cellStyle name="货币 2 3 3 12 6" xfId="41492" xr:uid="{00000000-0005-0000-0000-000044A20000}"/>
    <cellStyle name="货币 2 3 3 12 7" xfId="30727" xr:uid="{00000000-0005-0000-0000-000037780000}"/>
    <cellStyle name="货币 2 3 3 12 8" xfId="41493" xr:uid="{00000000-0005-0000-0000-000045A20000}"/>
    <cellStyle name="货币 2 3 3 12 9" xfId="41494" xr:uid="{00000000-0005-0000-0000-000046A20000}"/>
    <cellStyle name="货币 2 3 3 13" xfId="40725" xr:uid="{00000000-0005-0000-0000-0000459F0000}"/>
    <cellStyle name="货币 2 3 3 13 2" xfId="22471" xr:uid="{00000000-0005-0000-0000-0000F7570000}"/>
    <cellStyle name="货币 2 3 3 13 2 2" xfId="35557" xr:uid="{00000000-0005-0000-0000-0000158B0000}"/>
    <cellStyle name="货币 2 3 3 13 3" xfId="22473" xr:uid="{00000000-0005-0000-0000-0000F9570000}"/>
    <cellStyle name="货币 2 3 3 13 4" xfId="22475" xr:uid="{00000000-0005-0000-0000-0000FB570000}"/>
    <cellStyle name="货币 2 3 3 13 5" xfId="22477" xr:uid="{00000000-0005-0000-0000-0000FD570000}"/>
    <cellStyle name="货币 2 3 3 13 6" xfId="41495" xr:uid="{00000000-0005-0000-0000-000047A20000}"/>
    <cellStyle name="货币 2 3 3 13 7" xfId="30730" xr:uid="{00000000-0005-0000-0000-00003A780000}"/>
    <cellStyle name="货币 2 3 3 13 8" xfId="41496" xr:uid="{00000000-0005-0000-0000-000048A20000}"/>
    <cellStyle name="货币 2 3 3 13 9" xfId="41497" xr:uid="{00000000-0005-0000-0000-000049A20000}"/>
    <cellStyle name="货币 2 3 3 14" xfId="41498" xr:uid="{00000000-0005-0000-0000-00004AA20000}"/>
    <cellStyle name="货币 2 3 3 14 2" xfId="22487" xr:uid="{00000000-0005-0000-0000-000007580000}"/>
    <cellStyle name="货币 2 3 3 14 3" xfId="41499" xr:uid="{00000000-0005-0000-0000-00004BA20000}"/>
    <cellStyle name="货币 2 3 3 14 4" xfId="41500" xr:uid="{00000000-0005-0000-0000-00004CA20000}"/>
    <cellStyle name="货币 2 3 3 14 5" xfId="41501" xr:uid="{00000000-0005-0000-0000-00004DA20000}"/>
    <cellStyle name="货币 2 3 3 14 6" xfId="41502" xr:uid="{00000000-0005-0000-0000-00004EA20000}"/>
    <cellStyle name="货币 2 3 3 15" xfId="41504" xr:uid="{00000000-0005-0000-0000-000050A20000}"/>
    <cellStyle name="货币 2 3 3 15 2" xfId="6192" xr:uid="{00000000-0005-0000-0000-000060180000}"/>
    <cellStyle name="货币 2 3 3 15 3" xfId="3032" xr:uid="{00000000-0005-0000-0000-0000080C0000}"/>
    <cellStyle name="货币 2 3 3 15 4" xfId="41506" xr:uid="{00000000-0005-0000-0000-000052A20000}"/>
    <cellStyle name="货币 2 3 3 15 5" xfId="41508" xr:uid="{00000000-0005-0000-0000-000054A20000}"/>
    <cellStyle name="货币 2 3 3 15 6" xfId="41510" xr:uid="{00000000-0005-0000-0000-000056A20000}"/>
    <cellStyle name="货币 2 3 3 16" xfId="41512" xr:uid="{00000000-0005-0000-0000-000058A20000}"/>
    <cellStyle name="货币 2 3 3 16 2" xfId="6226" xr:uid="{00000000-0005-0000-0000-000082180000}"/>
    <cellStyle name="货币 2 3 3 16 3" xfId="41513" xr:uid="{00000000-0005-0000-0000-000059A20000}"/>
    <cellStyle name="货币 2 3 3 16 4" xfId="41514" xr:uid="{00000000-0005-0000-0000-00005AA20000}"/>
    <cellStyle name="货币 2 3 3 16 5" xfId="41515" xr:uid="{00000000-0005-0000-0000-00005BA20000}"/>
    <cellStyle name="货币 2 3 3 16 6" xfId="41516" xr:uid="{00000000-0005-0000-0000-00005CA20000}"/>
    <cellStyle name="货币 2 3 3 17" xfId="41518" xr:uid="{00000000-0005-0000-0000-00005EA20000}"/>
    <cellStyle name="货币 2 3 3 18" xfId="5397" xr:uid="{00000000-0005-0000-0000-000045150000}"/>
    <cellStyle name="货币 2 3 3 19" xfId="21389" xr:uid="{00000000-0005-0000-0000-0000BD530000}"/>
    <cellStyle name="货币 2 3 3 2" xfId="6509" xr:uid="{00000000-0005-0000-0000-00009D190000}"/>
    <cellStyle name="货币 2 3 3 2 10" xfId="4878" xr:uid="{00000000-0005-0000-0000-00003E130000}"/>
    <cellStyle name="货币 2 3 3 2 10 2" xfId="41520" xr:uid="{00000000-0005-0000-0000-000060A20000}"/>
    <cellStyle name="货币 2 3 3 2 10 2 2" xfId="41521" xr:uid="{00000000-0005-0000-0000-000061A20000}"/>
    <cellStyle name="货币 2 3 3 2 10 3" xfId="41523" xr:uid="{00000000-0005-0000-0000-000063A20000}"/>
    <cellStyle name="货币 2 3 3 2 10 4" xfId="41525" xr:uid="{00000000-0005-0000-0000-000065A20000}"/>
    <cellStyle name="货币 2 3 3 2 10 5" xfId="12083" xr:uid="{00000000-0005-0000-0000-0000632F0000}"/>
    <cellStyle name="货币 2 3 3 2 10 6" xfId="18816" xr:uid="{00000000-0005-0000-0000-0000B0490000}"/>
    <cellStyle name="货币 2 3 3 2 10 7" xfId="18819" xr:uid="{00000000-0005-0000-0000-0000B3490000}"/>
    <cellStyle name="货币 2 3 3 2 10 8" xfId="41527" xr:uid="{00000000-0005-0000-0000-000067A20000}"/>
    <cellStyle name="货币 2 3 3 2 10 9" xfId="41529" xr:uid="{00000000-0005-0000-0000-000069A20000}"/>
    <cellStyle name="货币 2 3 3 2 11" xfId="41530" xr:uid="{00000000-0005-0000-0000-00006AA20000}"/>
    <cellStyle name="货币 2 3 3 2 11 2" xfId="41531" xr:uid="{00000000-0005-0000-0000-00006BA20000}"/>
    <cellStyle name="货币 2 3 3 2 11 3" xfId="41532" xr:uid="{00000000-0005-0000-0000-00006CA20000}"/>
    <cellStyle name="货币 2 3 3 2 11 4" xfId="41533" xr:uid="{00000000-0005-0000-0000-00006DA20000}"/>
    <cellStyle name="货币 2 3 3 2 11 5" xfId="41534" xr:uid="{00000000-0005-0000-0000-00006EA20000}"/>
    <cellStyle name="货币 2 3 3 2 11 6" xfId="41535" xr:uid="{00000000-0005-0000-0000-00006FA20000}"/>
    <cellStyle name="货币 2 3 3 2 12" xfId="41536" xr:uid="{00000000-0005-0000-0000-000070A20000}"/>
    <cellStyle name="货币 2 3 3 2 12 2" xfId="41537" xr:uid="{00000000-0005-0000-0000-000071A20000}"/>
    <cellStyle name="货币 2 3 3 2 12 3" xfId="41538" xr:uid="{00000000-0005-0000-0000-000072A20000}"/>
    <cellStyle name="货币 2 3 3 2 12 4" xfId="41539" xr:uid="{00000000-0005-0000-0000-000073A20000}"/>
    <cellStyle name="货币 2 3 3 2 12 5" xfId="41540" xr:uid="{00000000-0005-0000-0000-000074A20000}"/>
    <cellStyle name="货币 2 3 3 2 12 6" xfId="41541" xr:uid="{00000000-0005-0000-0000-000075A20000}"/>
    <cellStyle name="货币 2 3 3 2 13" xfId="6547" xr:uid="{00000000-0005-0000-0000-0000C3190000}"/>
    <cellStyle name="货币 2 3 3 2 13 2" xfId="41542" xr:uid="{00000000-0005-0000-0000-000076A20000}"/>
    <cellStyle name="货币 2 3 3 2 13 3" xfId="41543" xr:uid="{00000000-0005-0000-0000-000077A20000}"/>
    <cellStyle name="货币 2 3 3 2 13 4" xfId="41544" xr:uid="{00000000-0005-0000-0000-000078A20000}"/>
    <cellStyle name="货币 2 3 3 2 13 5" xfId="41545" xr:uid="{00000000-0005-0000-0000-000079A20000}"/>
    <cellStyle name="货币 2 3 3 2 13 6" xfId="41546" xr:uid="{00000000-0005-0000-0000-00007AA20000}"/>
    <cellStyle name="货币 2 3 3 2 14" xfId="6556" xr:uid="{00000000-0005-0000-0000-0000CC190000}"/>
    <cellStyle name="货币 2 3 3 2 14 2" xfId="41547" xr:uid="{00000000-0005-0000-0000-00007BA20000}"/>
    <cellStyle name="货币 2 3 3 2 14 3" xfId="41548" xr:uid="{00000000-0005-0000-0000-00007CA20000}"/>
    <cellStyle name="货币 2 3 3 2 14 4" xfId="41549" xr:uid="{00000000-0005-0000-0000-00007DA20000}"/>
    <cellStyle name="货币 2 3 3 2 14 5" xfId="41550" xr:uid="{00000000-0005-0000-0000-00007EA20000}"/>
    <cellStyle name="货币 2 3 3 2 14 6" xfId="41551" xr:uid="{00000000-0005-0000-0000-00007FA20000}"/>
    <cellStyle name="货币 2 3 3 2 15" xfId="6566" xr:uid="{00000000-0005-0000-0000-0000D6190000}"/>
    <cellStyle name="货币 2 3 3 2 16" xfId="6438" xr:uid="{00000000-0005-0000-0000-000056190000}"/>
    <cellStyle name="货币 2 3 3 2 17" xfId="21649" xr:uid="{00000000-0005-0000-0000-0000C1540000}"/>
    <cellStyle name="货币 2 3 3 2 18" xfId="13854" xr:uid="{00000000-0005-0000-0000-00004E360000}"/>
    <cellStyle name="货币 2 3 3 2 19" xfId="41553" xr:uid="{00000000-0005-0000-0000-000081A20000}"/>
    <cellStyle name="货币 2 3 3 2 2" xfId="41554" xr:uid="{00000000-0005-0000-0000-000082A20000}"/>
    <cellStyle name="货币 2 3 3 2 2 10" xfId="41555" xr:uid="{00000000-0005-0000-0000-000083A20000}"/>
    <cellStyle name="货币 2 3 3 2 2 10 2" xfId="6407" xr:uid="{00000000-0005-0000-0000-000037190000}"/>
    <cellStyle name="货币 2 3 3 2 2 10 3" xfId="34037" xr:uid="{00000000-0005-0000-0000-000025850000}"/>
    <cellStyle name="货币 2 3 3 2 2 10 4" xfId="34039" xr:uid="{00000000-0005-0000-0000-000027850000}"/>
    <cellStyle name="货币 2 3 3 2 2 10 5" xfId="34042" xr:uid="{00000000-0005-0000-0000-00002A850000}"/>
    <cellStyle name="货币 2 3 3 2 2 10 6" xfId="34044" xr:uid="{00000000-0005-0000-0000-00002C850000}"/>
    <cellStyle name="货币 2 3 3 2 2 11" xfId="41556" xr:uid="{00000000-0005-0000-0000-000084A20000}"/>
    <cellStyle name="货币 2 3 3 2 2 11 2" xfId="6418" xr:uid="{00000000-0005-0000-0000-000042190000}"/>
    <cellStyle name="货币 2 3 3 2 2 11 3" xfId="34047" xr:uid="{00000000-0005-0000-0000-00002F850000}"/>
    <cellStyle name="货币 2 3 3 2 2 11 4" xfId="34049" xr:uid="{00000000-0005-0000-0000-000031850000}"/>
    <cellStyle name="货币 2 3 3 2 2 11 5" xfId="41557" xr:uid="{00000000-0005-0000-0000-000085A20000}"/>
    <cellStyle name="货币 2 3 3 2 2 11 6" xfId="41558" xr:uid="{00000000-0005-0000-0000-000086A20000}"/>
    <cellStyle name="货币 2 3 3 2 2 12" xfId="29308" xr:uid="{00000000-0005-0000-0000-0000AC720000}"/>
    <cellStyle name="货币 2 3 3 2 2 13" xfId="41559" xr:uid="{00000000-0005-0000-0000-000087A20000}"/>
    <cellStyle name="货币 2 3 3 2 2 14" xfId="40375" xr:uid="{00000000-0005-0000-0000-0000E79D0000}"/>
    <cellStyle name="货币 2 3 3 2 2 15" xfId="40378" xr:uid="{00000000-0005-0000-0000-0000EA9D0000}"/>
    <cellStyle name="货币 2 3 3 2 2 16" xfId="40381" xr:uid="{00000000-0005-0000-0000-0000ED9D0000}"/>
    <cellStyle name="货币 2 3 3 2 2 17" xfId="40384" xr:uid="{00000000-0005-0000-0000-0000F09D0000}"/>
    <cellStyle name="货币 2 3 3 2 2 18" xfId="40387" xr:uid="{00000000-0005-0000-0000-0000F39D0000}"/>
    <cellStyle name="货币 2 3 3 2 2 19" xfId="41561" xr:uid="{00000000-0005-0000-0000-000089A20000}"/>
    <cellStyle name="货币 2 3 3 2 2 2" xfId="26680" xr:uid="{00000000-0005-0000-0000-000068680000}"/>
    <cellStyle name="货币 2 3 3 2 2 2 10" xfId="41562" xr:uid="{00000000-0005-0000-0000-00008AA20000}"/>
    <cellStyle name="货币 2 3 3 2 2 2 11" xfId="4998" xr:uid="{00000000-0005-0000-0000-0000B6130000}"/>
    <cellStyle name="货币 2 3 3 2 2 2 12" xfId="41563" xr:uid="{00000000-0005-0000-0000-00008BA20000}"/>
    <cellStyle name="货币 2 3 3 2 2 2 13" xfId="41564" xr:uid="{00000000-0005-0000-0000-00008CA20000}"/>
    <cellStyle name="货币 2 3 3 2 2 2 14" xfId="41565" xr:uid="{00000000-0005-0000-0000-00008DA20000}"/>
    <cellStyle name="货币 2 3 3 2 2 2 15" xfId="41566" xr:uid="{00000000-0005-0000-0000-00008EA20000}"/>
    <cellStyle name="货币 2 3 3 2 2 2 16" xfId="41567" xr:uid="{00000000-0005-0000-0000-00008FA20000}"/>
    <cellStyle name="货币 2 3 3 2 2 2 17" xfId="41568" xr:uid="{00000000-0005-0000-0000-000090A20000}"/>
    <cellStyle name="货币 2 3 3 2 2 2 18" xfId="41569" xr:uid="{00000000-0005-0000-0000-000091A20000}"/>
    <cellStyle name="货币 2 3 3 2 2 2 2" xfId="41570" xr:uid="{00000000-0005-0000-0000-000092A20000}"/>
    <cellStyle name="货币 2 3 3 2 2 2 2 10" xfId="41571" xr:uid="{00000000-0005-0000-0000-000093A20000}"/>
    <cellStyle name="货币 2 3 3 2 2 2 2 11" xfId="41572" xr:uid="{00000000-0005-0000-0000-000094A20000}"/>
    <cellStyle name="货币 2 3 3 2 2 2 2 12" xfId="1403" xr:uid="{00000000-0005-0000-0000-0000AB050000}"/>
    <cellStyle name="货币 2 3 3 2 2 2 2 2" xfId="41573" xr:uid="{00000000-0005-0000-0000-000095A20000}"/>
    <cellStyle name="货币 2 3 3 2 2 2 2 2 2" xfId="10171" xr:uid="{00000000-0005-0000-0000-0000EB270000}"/>
    <cellStyle name="货币 2 3 3 2 2 2 2 2 2 2" xfId="10173" xr:uid="{00000000-0005-0000-0000-0000ED270000}"/>
    <cellStyle name="货币 2 3 3 2 2 2 2 2 3" xfId="6139" xr:uid="{00000000-0005-0000-0000-00002B180000}"/>
    <cellStyle name="货币 2 3 3 2 2 2 2 2 4" xfId="10181" xr:uid="{00000000-0005-0000-0000-0000F5270000}"/>
    <cellStyle name="货币 2 3 3 2 2 2 2 2 5" xfId="10206" xr:uid="{00000000-0005-0000-0000-00000E280000}"/>
    <cellStyle name="货币 2 3 3 2 2 2 2 3" xfId="41575" xr:uid="{00000000-0005-0000-0000-000097A20000}"/>
    <cellStyle name="货币 2 3 3 2 2 2 2 3 2" xfId="10258" xr:uid="{00000000-0005-0000-0000-000042280000}"/>
    <cellStyle name="货币 2 3 3 2 2 2 2 4" xfId="41577" xr:uid="{00000000-0005-0000-0000-000099A20000}"/>
    <cellStyle name="货币 2 3 3 2 2 2 2 5" xfId="41579" xr:uid="{00000000-0005-0000-0000-00009BA20000}"/>
    <cellStyle name="货币 2 3 3 2 2 2 2 6" xfId="41581" xr:uid="{00000000-0005-0000-0000-00009DA20000}"/>
    <cellStyle name="货币 2 3 3 2 2 2 2 7" xfId="10025" xr:uid="{00000000-0005-0000-0000-000059270000}"/>
    <cellStyle name="货币 2 3 3 2 2 2 2 8" xfId="10035" xr:uid="{00000000-0005-0000-0000-000063270000}"/>
    <cellStyle name="货币 2 3 3 2 2 2 2 9" xfId="41583" xr:uid="{00000000-0005-0000-0000-00009FA20000}"/>
    <cellStyle name="货币 2 3 3 2 2 2 3" xfId="41584" xr:uid="{00000000-0005-0000-0000-0000A0A20000}"/>
    <cellStyle name="货币 2 3 3 2 2 2 3 10" xfId="41585" xr:uid="{00000000-0005-0000-0000-0000A1A20000}"/>
    <cellStyle name="货币 2 3 3 2 2 2 3 11" xfId="41586" xr:uid="{00000000-0005-0000-0000-0000A2A20000}"/>
    <cellStyle name="货币 2 3 3 2 2 2 3 12" xfId="41587" xr:uid="{00000000-0005-0000-0000-0000A3A20000}"/>
    <cellStyle name="货币 2 3 3 2 2 2 3 2" xfId="41588" xr:uid="{00000000-0005-0000-0000-0000A4A20000}"/>
    <cellStyle name="货币 2 3 3 2 2 2 3 2 2" xfId="10480" xr:uid="{00000000-0005-0000-0000-000020290000}"/>
    <cellStyle name="货币 2 3 3 2 2 2 3 2 2 2" xfId="10778" xr:uid="{00000000-0005-0000-0000-00004A2A0000}"/>
    <cellStyle name="货币 2 3 3 2 2 2 3 2 3" xfId="10483" xr:uid="{00000000-0005-0000-0000-000023290000}"/>
    <cellStyle name="货币 2 3 3 2 2 2 3 2 4" xfId="10487" xr:uid="{00000000-0005-0000-0000-000027290000}"/>
    <cellStyle name="货币 2 3 3 2 2 2 3 2 5" xfId="10491" xr:uid="{00000000-0005-0000-0000-00002B290000}"/>
    <cellStyle name="货币 2 3 3 2 2 2 3 3" xfId="41590" xr:uid="{00000000-0005-0000-0000-0000A6A20000}"/>
    <cellStyle name="货币 2 3 3 2 2 2 3 3 2" xfId="10546" xr:uid="{00000000-0005-0000-0000-000062290000}"/>
    <cellStyle name="货币 2 3 3 2 2 2 3 4" xfId="41592" xr:uid="{00000000-0005-0000-0000-0000A8A20000}"/>
    <cellStyle name="货币 2 3 3 2 2 2 3 5" xfId="41594" xr:uid="{00000000-0005-0000-0000-0000AAA20000}"/>
    <cellStyle name="货币 2 3 3 2 2 2 3 6" xfId="10074" xr:uid="{00000000-0005-0000-0000-00008A270000}"/>
    <cellStyle name="货币 2 3 3 2 2 2 3 7" xfId="24463" xr:uid="{00000000-0005-0000-0000-0000BF5F0000}"/>
    <cellStyle name="货币 2 3 3 2 2 2 3 8" xfId="33017" xr:uid="{00000000-0005-0000-0000-000029810000}"/>
    <cellStyle name="货币 2 3 3 2 2 2 3 9" xfId="33019" xr:uid="{00000000-0005-0000-0000-00002B810000}"/>
    <cellStyle name="货币 2 3 3 2 2 2 4" xfId="41595" xr:uid="{00000000-0005-0000-0000-0000ABA20000}"/>
    <cellStyle name="货币 2 3 3 2 2 2 4 10" xfId="41596" xr:uid="{00000000-0005-0000-0000-0000ACA20000}"/>
    <cellStyle name="货币 2 3 3 2 2 2 4 2" xfId="41597" xr:uid="{00000000-0005-0000-0000-0000ADA20000}"/>
    <cellStyle name="货币 2 3 3 2 2 2 4 2 2" xfId="10702" xr:uid="{00000000-0005-0000-0000-0000FE290000}"/>
    <cellStyle name="货币 2 3 3 2 2 2 4 2 2 2" xfId="19129" xr:uid="{00000000-0005-0000-0000-0000E94A0000}"/>
    <cellStyle name="货币 2 3 3 2 2 2 4 2 3" xfId="10707" xr:uid="{00000000-0005-0000-0000-0000032A0000}"/>
    <cellStyle name="货币 2 3 3 2 2 2 4 2 4" xfId="10712" xr:uid="{00000000-0005-0000-0000-0000082A0000}"/>
    <cellStyle name="货币 2 3 3 2 2 2 4 2 5" xfId="41598" xr:uid="{00000000-0005-0000-0000-0000AEA20000}"/>
    <cellStyle name="货币 2 3 3 2 2 2 4 3" xfId="41600" xr:uid="{00000000-0005-0000-0000-0000B0A20000}"/>
    <cellStyle name="货币 2 3 3 2 2 2 4 3 2" xfId="10728" xr:uid="{00000000-0005-0000-0000-0000182A0000}"/>
    <cellStyle name="货币 2 3 3 2 2 2 4 4" xfId="41602" xr:uid="{00000000-0005-0000-0000-0000B2A20000}"/>
    <cellStyle name="货币 2 3 3 2 2 2 4 5" xfId="41604" xr:uid="{00000000-0005-0000-0000-0000B4A20000}"/>
    <cellStyle name="货币 2 3 3 2 2 2 4 6" xfId="24471" xr:uid="{00000000-0005-0000-0000-0000C75F0000}"/>
    <cellStyle name="货币 2 3 3 2 2 2 4 7" xfId="24475" xr:uid="{00000000-0005-0000-0000-0000CB5F0000}"/>
    <cellStyle name="货币 2 3 3 2 2 2 4 8" xfId="33025" xr:uid="{00000000-0005-0000-0000-000031810000}"/>
    <cellStyle name="货币 2 3 3 2 2 2 4 9" xfId="33027" xr:uid="{00000000-0005-0000-0000-000033810000}"/>
    <cellStyle name="货币 2 3 3 2 2 2 5" xfId="41605" xr:uid="{00000000-0005-0000-0000-0000B5A20000}"/>
    <cellStyle name="货币 2 3 3 2 2 2 5 10" xfId="41607" xr:uid="{00000000-0005-0000-0000-0000B7A20000}"/>
    <cellStyle name="货币 2 3 3 2 2 2 5 2" xfId="6915" xr:uid="{00000000-0005-0000-0000-0000331B0000}"/>
    <cellStyle name="货币 2 3 3 2 2 2 5 2 2" xfId="10821" xr:uid="{00000000-0005-0000-0000-0000752A0000}"/>
    <cellStyle name="货币 2 3 3 2 2 2 5 2 2 2" xfId="41608" xr:uid="{00000000-0005-0000-0000-0000B8A20000}"/>
    <cellStyle name="货币 2 3 3 2 2 2 5 2 3" xfId="10823" xr:uid="{00000000-0005-0000-0000-0000772A0000}"/>
    <cellStyle name="货币 2 3 3 2 2 2 5 2 4" xfId="10826" xr:uid="{00000000-0005-0000-0000-00007A2A0000}"/>
    <cellStyle name="货币 2 3 3 2 2 2 5 2 5" xfId="31522" xr:uid="{00000000-0005-0000-0000-0000527B0000}"/>
    <cellStyle name="货币 2 3 3 2 2 2 5 3" xfId="6925" xr:uid="{00000000-0005-0000-0000-00003D1B0000}"/>
    <cellStyle name="货币 2 3 3 2 2 2 5 3 2" xfId="10834" xr:uid="{00000000-0005-0000-0000-0000822A0000}"/>
    <cellStyle name="货币 2 3 3 2 2 2 5 4" xfId="41611" xr:uid="{00000000-0005-0000-0000-0000BBA20000}"/>
    <cellStyle name="货币 2 3 3 2 2 2 5 5" xfId="41613" xr:uid="{00000000-0005-0000-0000-0000BDA20000}"/>
    <cellStyle name="货币 2 3 3 2 2 2 5 6" xfId="33033" xr:uid="{00000000-0005-0000-0000-000039810000}"/>
    <cellStyle name="货币 2 3 3 2 2 2 5 7" xfId="33036" xr:uid="{00000000-0005-0000-0000-00003C810000}"/>
    <cellStyle name="货币 2 3 3 2 2 2 5 8" xfId="33038" xr:uid="{00000000-0005-0000-0000-00003E810000}"/>
    <cellStyle name="货币 2 3 3 2 2 2 5 9" xfId="33040" xr:uid="{00000000-0005-0000-0000-000040810000}"/>
    <cellStyle name="货币 2 3 3 2 2 2 6" xfId="41614" xr:uid="{00000000-0005-0000-0000-0000BEA20000}"/>
    <cellStyle name="货币 2 3 3 2 2 2 6 2" xfId="41615" xr:uid="{00000000-0005-0000-0000-0000BFA20000}"/>
    <cellStyle name="货币 2 3 3 2 2 2 6 2 2" xfId="4042" xr:uid="{00000000-0005-0000-0000-0000FA0F0000}"/>
    <cellStyle name="货币 2 3 3 2 2 2 6 3" xfId="41617" xr:uid="{00000000-0005-0000-0000-0000C1A20000}"/>
    <cellStyle name="货币 2 3 3 2 2 2 6 4" xfId="41619" xr:uid="{00000000-0005-0000-0000-0000C3A20000}"/>
    <cellStyle name="货币 2 3 3 2 2 2 6 5" xfId="41621" xr:uid="{00000000-0005-0000-0000-0000C5A20000}"/>
    <cellStyle name="货币 2 3 3 2 2 2 6 6" xfId="20281" xr:uid="{00000000-0005-0000-0000-0000694F0000}"/>
    <cellStyle name="货币 2 3 3 2 2 2 6 7" xfId="20286" xr:uid="{00000000-0005-0000-0000-00006E4F0000}"/>
    <cellStyle name="货币 2 3 3 2 2 2 6 8" xfId="20291" xr:uid="{00000000-0005-0000-0000-0000734F0000}"/>
    <cellStyle name="货币 2 3 3 2 2 2 6 9" xfId="33046" xr:uid="{00000000-0005-0000-0000-000046810000}"/>
    <cellStyle name="货币 2 3 3 2 2 2 7" xfId="41622" xr:uid="{00000000-0005-0000-0000-0000C6A20000}"/>
    <cellStyle name="货币 2 3 3 2 2 2 7 2" xfId="41623" xr:uid="{00000000-0005-0000-0000-0000C7A20000}"/>
    <cellStyle name="货币 2 3 3 2 2 2 8" xfId="41624" xr:uid="{00000000-0005-0000-0000-0000C8A20000}"/>
    <cellStyle name="货币 2 3 3 2 2 2 9" xfId="41625" xr:uid="{00000000-0005-0000-0000-0000C9A20000}"/>
    <cellStyle name="货币 2 3 3 2 2 20" xfId="40377" xr:uid="{00000000-0005-0000-0000-0000E99D0000}"/>
    <cellStyle name="货币 2 3 3 2 2 21" xfId="40380" xr:uid="{00000000-0005-0000-0000-0000EC9D0000}"/>
    <cellStyle name="货币 2 3 3 2 2 22" xfId="40383" xr:uid="{00000000-0005-0000-0000-0000EF9D0000}"/>
    <cellStyle name="货币 2 3 3 2 2 23" xfId="40386" xr:uid="{00000000-0005-0000-0000-0000F29D0000}"/>
    <cellStyle name="货币 2 3 3 2 2 3" xfId="26682" xr:uid="{00000000-0005-0000-0000-00006A680000}"/>
    <cellStyle name="货币 2 3 3 2 2 3 10" xfId="41626" xr:uid="{00000000-0005-0000-0000-0000CAA20000}"/>
    <cellStyle name="货币 2 3 3 2 2 3 11" xfId="41627" xr:uid="{00000000-0005-0000-0000-0000CBA20000}"/>
    <cellStyle name="货币 2 3 3 2 2 3 12" xfId="41628" xr:uid="{00000000-0005-0000-0000-0000CCA20000}"/>
    <cellStyle name="货币 2 3 3 2 2 3 13" xfId="41629" xr:uid="{00000000-0005-0000-0000-0000CDA20000}"/>
    <cellStyle name="货币 2 3 3 2 2 3 14" xfId="38066" xr:uid="{00000000-0005-0000-0000-0000E2940000}"/>
    <cellStyle name="货币 2 3 3 2 2 3 15" xfId="38068" xr:uid="{00000000-0005-0000-0000-0000E4940000}"/>
    <cellStyle name="货币 2 3 3 2 2 3 16" xfId="38070" xr:uid="{00000000-0005-0000-0000-0000E6940000}"/>
    <cellStyle name="货币 2 3 3 2 2 3 17" xfId="38072" xr:uid="{00000000-0005-0000-0000-0000E8940000}"/>
    <cellStyle name="货币 2 3 3 2 2 3 18" xfId="38074" xr:uid="{00000000-0005-0000-0000-0000EA940000}"/>
    <cellStyle name="货币 2 3 3 2 2 3 2" xfId="41630" xr:uid="{00000000-0005-0000-0000-0000CEA20000}"/>
    <cellStyle name="货币 2 3 3 2 2 3 2 10" xfId="40003" xr:uid="{00000000-0005-0000-0000-0000739C0000}"/>
    <cellStyle name="货币 2 3 3 2 2 3 2 2" xfId="41631" xr:uid="{00000000-0005-0000-0000-0000CFA20000}"/>
    <cellStyle name="货币 2 3 3 2 2 3 2 2 2" xfId="6605" xr:uid="{00000000-0005-0000-0000-0000FD190000}"/>
    <cellStyle name="货币 2 3 3 2 2 3 2 3" xfId="41633" xr:uid="{00000000-0005-0000-0000-0000D1A20000}"/>
    <cellStyle name="货币 2 3 3 2 2 3 2 4" xfId="41635" xr:uid="{00000000-0005-0000-0000-0000D3A20000}"/>
    <cellStyle name="货币 2 3 3 2 2 3 2 5" xfId="41637" xr:uid="{00000000-0005-0000-0000-0000D5A20000}"/>
    <cellStyle name="货币 2 3 3 2 2 3 2 6" xfId="41639" xr:uid="{00000000-0005-0000-0000-0000D7A20000}"/>
    <cellStyle name="货币 2 3 3 2 2 3 2 7" xfId="41640" xr:uid="{00000000-0005-0000-0000-0000D8A20000}"/>
    <cellStyle name="货币 2 3 3 2 2 3 2 8" xfId="41641" xr:uid="{00000000-0005-0000-0000-0000D9A20000}"/>
    <cellStyle name="货币 2 3 3 2 2 3 2 9" xfId="41642" xr:uid="{00000000-0005-0000-0000-0000DAA20000}"/>
    <cellStyle name="货币 2 3 3 2 2 3 3" xfId="41643" xr:uid="{00000000-0005-0000-0000-0000DBA20000}"/>
    <cellStyle name="货币 2 3 3 2 2 3 3 2" xfId="41644" xr:uid="{00000000-0005-0000-0000-0000DCA20000}"/>
    <cellStyle name="货币 2 3 3 2 2 3 3 3" xfId="41646" xr:uid="{00000000-0005-0000-0000-0000DEA20000}"/>
    <cellStyle name="货币 2 3 3 2 2 3 3 4" xfId="41647" xr:uid="{00000000-0005-0000-0000-0000DFA20000}"/>
    <cellStyle name="货币 2 3 3 2 2 3 3 5" xfId="41648" xr:uid="{00000000-0005-0000-0000-0000E0A20000}"/>
    <cellStyle name="货币 2 3 3 2 2 3 3 6" xfId="33061" xr:uid="{00000000-0005-0000-0000-000055810000}"/>
    <cellStyle name="货币 2 3 3 2 2 3 4" xfId="41649" xr:uid="{00000000-0005-0000-0000-0000E1A20000}"/>
    <cellStyle name="货币 2 3 3 2 2 3 4 2" xfId="41650" xr:uid="{00000000-0005-0000-0000-0000E2A20000}"/>
    <cellStyle name="货币 2 3 3 2 2 3 4 3" xfId="41651" xr:uid="{00000000-0005-0000-0000-0000E3A20000}"/>
    <cellStyle name="货币 2 3 3 2 2 3 4 4" xfId="41652" xr:uid="{00000000-0005-0000-0000-0000E4A20000}"/>
    <cellStyle name="货币 2 3 3 2 2 3 4 5" xfId="41653" xr:uid="{00000000-0005-0000-0000-0000E5A20000}"/>
    <cellStyle name="货币 2 3 3 2 2 3 4 6" xfId="33078" xr:uid="{00000000-0005-0000-0000-000066810000}"/>
    <cellStyle name="货币 2 3 3 2 2 3 5" xfId="41654" xr:uid="{00000000-0005-0000-0000-0000E6A20000}"/>
    <cellStyle name="货币 2 3 3 2 2 3 5 2" xfId="41655" xr:uid="{00000000-0005-0000-0000-0000E7A20000}"/>
    <cellStyle name="货币 2 3 3 2 2 3 5 3" xfId="41656" xr:uid="{00000000-0005-0000-0000-0000E8A20000}"/>
    <cellStyle name="货币 2 3 3 2 2 3 5 4" xfId="41657" xr:uid="{00000000-0005-0000-0000-0000E9A20000}"/>
    <cellStyle name="货币 2 3 3 2 2 3 5 5" xfId="41658" xr:uid="{00000000-0005-0000-0000-0000EAA20000}"/>
    <cellStyle name="货币 2 3 3 2 2 3 5 6" xfId="33086" xr:uid="{00000000-0005-0000-0000-00006E810000}"/>
    <cellStyle name="货币 2 3 3 2 2 3 6" xfId="41659" xr:uid="{00000000-0005-0000-0000-0000EBA20000}"/>
    <cellStyle name="货币 2 3 3 2 2 3 6 2" xfId="38169" xr:uid="{00000000-0005-0000-0000-000049950000}"/>
    <cellStyle name="货币 2 3 3 2 2 3 6 3" xfId="38171" xr:uid="{00000000-0005-0000-0000-00004B950000}"/>
    <cellStyle name="货币 2 3 3 2 2 3 6 4" xfId="38173" xr:uid="{00000000-0005-0000-0000-00004D950000}"/>
    <cellStyle name="货币 2 3 3 2 2 3 6 5" xfId="38175" xr:uid="{00000000-0005-0000-0000-00004F950000}"/>
    <cellStyle name="货币 2 3 3 2 2 3 6 6" xfId="41660" xr:uid="{00000000-0005-0000-0000-0000ECA20000}"/>
    <cellStyle name="货币 2 3 3 2 2 3 7" xfId="41661" xr:uid="{00000000-0005-0000-0000-0000EDA20000}"/>
    <cellStyle name="货币 2 3 3 2 2 3 8" xfId="41662" xr:uid="{00000000-0005-0000-0000-0000EEA20000}"/>
    <cellStyle name="货币 2 3 3 2 2 3 9" xfId="40507" xr:uid="{00000000-0005-0000-0000-00006B9E0000}"/>
    <cellStyle name="货币 2 3 3 2 2 4" xfId="41663" xr:uid="{00000000-0005-0000-0000-0000EFA20000}"/>
    <cellStyle name="货币 2 3 3 2 2 4 10" xfId="41666" xr:uid="{00000000-0005-0000-0000-0000F2A20000}"/>
    <cellStyle name="货币 2 3 3 2 2 4 11" xfId="41669" xr:uid="{00000000-0005-0000-0000-0000F5A20000}"/>
    <cellStyle name="货币 2 3 3 2 2 4 12" xfId="41671" xr:uid="{00000000-0005-0000-0000-0000F7A20000}"/>
    <cellStyle name="货币 2 3 3 2 2 4 13" xfId="41673" xr:uid="{00000000-0005-0000-0000-0000F9A20000}"/>
    <cellStyle name="货币 2 3 3 2 2 4 14" xfId="41675" xr:uid="{00000000-0005-0000-0000-0000FBA20000}"/>
    <cellStyle name="货币 2 3 3 2 2 4 15" xfId="41677" xr:uid="{00000000-0005-0000-0000-0000FDA20000}"/>
    <cellStyle name="货币 2 3 3 2 2 4 2" xfId="33663" xr:uid="{00000000-0005-0000-0000-0000AF830000}"/>
    <cellStyle name="货币 2 3 3 2 2 4 2 2" xfId="41678" xr:uid="{00000000-0005-0000-0000-0000FEA20000}"/>
    <cellStyle name="货币 2 3 3 2 2 4 2 2 2" xfId="10359" xr:uid="{00000000-0005-0000-0000-0000A7280000}"/>
    <cellStyle name="货币 2 3 3 2 2 4 2 3" xfId="41680" xr:uid="{00000000-0005-0000-0000-000000A30000}"/>
    <cellStyle name="货币 2 3 3 2 2 4 2 4" xfId="41682" xr:uid="{00000000-0005-0000-0000-000002A30000}"/>
    <cellStyle name="货币 2 3 3 2 2 4 2 5" xfId="41684" xr:uid="{00000000-0005-0000-0000-000004A30000}"/>
    <cellStyle name="货币 2 3 3 2 2 4 2 6" xfId="41686" xr:uid="{00000000-0005-0000-0000-000006A30000}"/>
    <cellStyle name="货币 2 3 3 2 2 4 2 7" xfId="41687" xr:uid="{00000000-0005-0000-0000-000007A30000}"/>
    <cellStyle name="货币 2 3 3 2 2 4 2 8" xfId="41688" xr:uid="{00000000-0005-0000-0000-000008A30000}"/>
    <cellStyle name="货币 2 3 3 2 2 4 2 9" xfId="41689" xr:uid="{00000000-0005-0000-0000-000009A30000}"/>
    <cellStyle name="货币 2 3 3 2 2 4 3" xfId="33668" xr:uid="{00000000-0005-0000-0000-0000B4830000}"/>
    <cellStyle name="货币 2 3 3 2 2 4 3 2" xfId="41690" xr:uid="{00000000-0005-0000-0000-00000AA30000}"/>
    <cellStyle name="货币 2 3 3 2 2 4 3 3" xfId="41692" xr:uid="{00000000-0005-0000-0000-00000CA30000}"/>
    <cellStyle name="货币 2 3 3 2 2 4 3 4" xfId="41693" xr:uid="{00000000-0005-0000-0000-00000DA30000}"/>
    <cellStyle name="货币 2 3 3 2 2 4 3 5" xfId="41694" xr:uid="{00000000-0005-0000-0000-00000EA30000}"/>
    <cellStyle name="货币 2 3 3 2 2 4 3 6" xfId="33097" xr:uid="{00000000-0005-0000-0000-000079810000}"/>
    <cellStyle name="货币 2 3 3 2 2 4 4" xfId="33675" xr:uid="{00000000-0005-0000-0000-0000BB830000}"/>
    <cellStyle name="货币 2 3 3 2 2 4 4 2" xfId="41695" xr:uid="{00000000-0005-0000-0000-00000FA30000}"/>
    <cellStyle name="货币 2 3 3 2 2 4 5" xfId="33679" xr:uid="{00000000-0005-0000-0000-0000BF830000}"/>
    <cellStyle name="货币 2 3 3 2 2 4 6" xfId="33681" xr:uid="{00000000-0005-0000-0000-0000C1830000}"/>
    <cellStyle name="货币 2 3 3 2 2 4 7" xfId="17300" xr:uid="{00000000-0005-0000-0000-0000C4430000}"/>
    <cellStyle name="货币 2 3 3 2 2 4 8" xfId="41696" xr:uid="{00000000-0005-0000-0000-000010A30000}"/>
    <cellStyle name="货币 2 3 3 2 2 4 9" xfId="41697" xr:uid="{00000000-0005-0000-0000-000011A30000}"/>
    <cellStyle name="货币 2 3 3 2 2 5" xfId="41698" xr:uid="{00000000-0005-0000-0000-000012A30000}"/>
    <cellStyle name="货币 2 3 3 2 2 5 10" xfId="41699" xr:uid="{00000000-0005-0000-0000-000013A30000}"/>
    <cellStyle name="货币 2 3 3 2 2 5 11" xfId="41700" xr:uid="{00000000-0005-0000-0000-000014A30000}"/>
    <cellStyle name="货币 2 3 3 2 2 5 12" xfId="41701" xr:uid="{00000000-0005-0000-0000-000015A30000}"/>
    <cellStyle name="货币 2 3 3 2 2 5 13" xfId="41702" xr:uid="{00000000-0005-0000-0000-000016A30000}"/>
    <cellStyle name="货币 2 3 3 2 2 5 2" xfId="33693" xr:uid="{00000000-0005-0000-0000-0000CD830000}"/>
    <cellStyle name="货币 2 3 3 2 2 5 2 2" xfId="41703" xr:uid="{00000000-0005-0000-0000-000017A30000}"/>
    <cellStyle name="货币 2 3 3 2 2 5 2 2 2" xfId="11963" xr:uid="{00000000-0005-0000-0000-0000EB2E0000}"/>
    <cellStyle name="货币 2 3 3 2 2 5 2 3" xfId="41705" xr:uid="{00000000-0005-0000-0000-000019A30000}"/>
    <cellStyle name="货币 2 3 3 2 2 5 2 4" xfId="41707" xr:uid="{00000000-0005-0000-0000-00001BA30000}"/>
    <cellStyle name="货币 2 3 3 2 2 5 2 5" xfId="41709" xr:uid="{00000000-0005-0000-0000-00001DA30000}"/>
    <cellStyle name="货币 2 3 3 2 2 5 2 6" xfId="41711" xr:uid="{00000000-0005-0000-0000-00001FA30000}"/>
    <cellStyle name="货币 2 3 3 2 2 5 2 7" xfId="41712" xr:uid="{00000000-0005-0000-0000-000020A30000}"/>
    <cellStyle name="货币 2 3 3 2 2 5 2 8" xfId="41713" xr:uid="{00000000-0005-0000-0000-000021A30000}"/>
    <cellStyle name="货币 2 3 3 2 2 5 2 9" xfId="41714" xr:uid="{00000000-0005-0000-0000-000022A30000}"/>
    <cellStyle name="货币 2 3 3 2 2 5 3" xfId="33697" xr:uid="{00000000-0005-0000-0000-0000D1830000}"/>
    <cellStyle name="货币 2 3 3 2 2 5 3 2" xfId="41715" xr:uid="{00000000-0005-0000-0000-000023A30000}"/>
    <cellStyle name="货币 2 3 3 2 2 5 3 3" xfId="41717" xr:uid="{00000000-0005-0000-0000-000025A30000}"/>
    <cellStyle name="货币 2 3 3 2 2 5 3 4" xfId="41718" xr:uid="{00000000-0005-0000-0000-000026A30000}"/>
    <cellStyle name="货币 2 3 3 2 2 5 3 5" xfId="41719" xr:uid="{00000000-0005-0000-0000-000027A30000}"/>
    <cellStyle name="货币 2 3 3 2 2 5 3 6" xfId="33109" xr:uid="{00000000-0005-0000-0000-000085810000}"/>
    <cellStyle name="货币 2 3 3 2 2 5 4" xfId="33700" xr:uid="{00000000-0005-0000-0000-0000D4830000}"/>
    <cellStyle name="货币 2 3 3 2 2 5 4 2" xfId="41720" xr:uid="{00000000-0005-0000-0000-000028A30000}"/>
    <cellStyle name="货币 2 3 3 2 2 5 5" xfId="12382" xr:uid="{00000000-0005-0000-0000-00008E300000}"/>
    <cellStyle name="货币 2 3 3 2 2 5 6" xfId="5750" xr:uid="{00000000-0005-0000-0000-0000A6160000}"/>
    <cellStyle name="货币 2 3 3 2 2 5 7" xfId="12388" xr:uid="{00000000-0005-0000-0000-000094300000}"/>
    <cellStyle name="货币 2 3 3 2 2 5 8" xfId="14934" xr:uid="{00000000-0005-0000-0000-0000863A0000}"/>
    <cellStyle name="货币 2 3 3 2 2 5 9" xfId="41721" xr:uid="{00000000-0005-0000-0000-000029A30000}"/>
    <cellStyle name="货币 2 3 3 2 2 6" xfId="41722" xr:uid="{00000000-0005-0000-0000-00002AA30000}"/>
    <cellStyle name="货币 2 3 3 2 2 6 10" xfId="228" xr:uid="{00000000-0005-0000-0000-0000F5000000}"/>
    <cellStyle name="货币 2 3 3 2 2 6 11" xfId="3311" xr:uid="{00000000-0005-0000-0000-00001F0D0000}"/>
    <cellStyle name="货币 2 3 3 2 2 6 12" xfId="28360" xr:uid="{00000000-0005-0000-0000-0000F86E0000}"/>
    <cellStyle name="货币 2 3 3 2 2 6 2" xfId="33711" xr:uid="{00000000-0005-0000-0000-0000DF830000}"/>
    <cellStyle name="货币 2 3 3 2 2 6 2 2" xfId="41723" xr:uid="{00000000-0005-0000-0000-00002BA30000}"/>
    <cellStyle name="货币 2 3 3 2 2 6 2 2 2" xfId="41724" xr:uid="{00000000-0005-0000-0000-00002CA30000}"/>
    <cellStyle name="货币 2 3 3 2 2 6 2 3" xfId="41726" xr:uid="{00000000-0005-0000-0000-00002EA30000}"/>
    <cellStyle name="货币 2 3 3 2 2 6 2 4" xfId="41727" xr:uid="{00000000-0005-0000-0000-00002FA30000}"/>
    <cellStyle name="货币 2 3 3 2 2 6 2 5" xfId="41728" xr:uid="{00000000-0005-0000-0000-000030A30000}"/>
    <cellStyle name="货币 2 3 3 2 2 6 2 6" xfId="41729" xr:uid="{00000000-0005-0000-0000-000031A30000}"/>
    <cellStyle name="货币 2 3 3 2 2 6 2 7" xfId="41730" xr:uid="{00000000-0005-0000-0000-000032A30000}"/>
    <cellStyle name="货币 2 3 3 2 2 6 2 8" xfId="41731" xr:uid="{00000000-0005-0000-0000-000033A30000}"/>
    <cellStyle name="货币 2 3 3 2 2 6 2 9" xfId="41732" xr:uid="{00000000-0005-0000-0000-000034A30000}"/>
    <cellStyle name="货币 2 3 3 2 2 6 3" xfId="33715" xr:uid="{00000000-0005-0000-0000-0000E3830000}"/>
    <cellStyle name="货币 2 3 3 2 2 6 3 2" xfId="28341" xr:uid="{00000000-0005-0000-0000-0000E56E0000}"/>
    <cellStyle name="货币 2 3 3 2 2 6 3 3" xfId="28344" xr:uid="{00000000-0005-0000-0000-0000E86E0000}"/>
    <cellStyle name="货币 2 3 3 2 2 6 3 4" xfId="28347" xr:uid="{00000000-0005-0000-0000-0000EB6E0000}"/>
    <cellStyle name="货币 2 3 3 2 2 6 3 5" xfId="28350" xr:uid="{00000000-0005-0000-0000-0000EE6E0000}"/>
    <cellStyle name="货币 2 3 3 2 2 6 3 6" xfId="33117" xr:uid="{00000000-0005-0000-0000-00008D810000}"/>
    <cellStyle name="货币 2 3 3 2 2 6 4" xfId="33718" xr:uid="{00000000-0005-0000-0000-0000E6830000}"/>
    <cellStyle name="货币 2 3 3 2 2 6 4 2" xfId="41734" xr:uid="{00000000-0005-0000-0000-000036A30000}"/>
    <cellStyle name="货币 2 3 3 2 2 6 5" xfId="14942" xr:uid="{00000000-0005-0000-0000-00008E3A0000}"/>
    <cellStyle name="货币 2 3 3 2 2 6 6" xfId="41735" xr:uid="{00000000-0005-0000-0000-000037A30000}"/>
    <cellStyle name="货币 2 3 3 2 2 6 7" xfId="41736" xr:uid="{00000000-0005-0000-0000-000038A30000}"/>
    <cellStyle name="货币 2 3 3 2 2 6 8" xfId="41737" xr:uid="{00000000-0005-0000-0000-000039A30000}"/>
    <cellStyle name="货币 2 3 3 2 2 6 9" xfId="41738" xr:uid="{00000000-0005-0000-0000-00003AA30000}"/>
    <cellStyle name="货币 2 3 3 2 2 7" xfId="41739" xr:uid="{00000000-0005-0000-0000-00003BA30000}"/>
    <cellStyle name="货币 2 3 3 2 2 7 2" xfId="25998" xr:uid="{00000000-0005-0000-0000-0000BE650000}"/>
    <cellStyle name="货币 2 3 3 2 2 7 2 2" xfId="1135" xr:uid="{00000000-0005-0000-0000-00009F040000}"/>
    <cellStyle name="货币 2 3 3 2 2 7 3" xfId="26002" xr:uid="{00000000-0005-0000-0000-0000C2650000}"/>
    <cellStyle name="货币 2 3 3 2 2 7 4" xfId="33722" xr:uid="{00000000-0005-0000-0000-0000EA830000}"/>
    <cellStyle name="货币 2 3 3 2 2 7 5" xfId="41740" xr:uid="{00000000-0005-0000-0000-00003CA30000}"/>
    <cellStyle name="货币 2 3 3 2 2 7 6" xfId="41741" xr:uid="{00000000-0005-0000-0000-00003DA30000}"/>
    <cellStyle name="货币 2 3 3 2 2 7 7" xfId="41742" xr:uid="{00000000-0005-0000-0000-00003EA30000}"/>
    <cellStyle name="货币 2 3 3 2 2 7 8" xfId="41743" xr:uid="{00000000-0005-0000-0000-00003FA30000}"/>
    <cellStyle name="货币 2 3 3 2 2 7 9" xfId="41744" xr:uid="{00000000-0005-0000-0000-000040A30000}"/>
    <cellStyle name="货币 2 3 3 2 2 8" xfId="41745" xr:uid="{00000000-0005-0000-0000-000041A30000}"/>
    <cellStyle name="货币 2 3 3 2 2 8 2" xfId="33731" xr:uid="{00000000-0005-0000-0000-0000F3830000}"/>
    <cellStyle name="货币 2 3 3 2 2 8 3" xfId="33733" xr:uid="{00000000-0005-0000-0000-0000F5830000}"/>
    <cellStyle name="货币 2 3 3 2 2 8 4" xfId="33735" xr:uid="{00000000-0005-0000-0000-0000F7830000}"/>
    <cellStyle name="货币 2 3 3 2 2 8 5" xfId="41746" xr:uid="{00000000-0005-0000-0000-000042A30000}"/>
    <cellStyle name="货币 2 3 3 2 2 8 6" xfId="41747" xr:uid="{00000000-0005-0000-0000-000043A30000}"/>
    <cellStyle name="货币 2 3 3 2 2 9" xfId="656" xr:uid="{00000000-0005-0000-0000-0000BF020000}"/>
    <cellStyle name="货币 2 3 3 2 2 9 2" xfId="2578" xr:uid="{00000000-0005-0000-0000-0000420A0000}"/>
    <cellStyle name="货币 2 3 3 2 2 9 3" xfId="2589" xr:uid="{00000000-0005-0000-0000-00004D0A0000}"/>
    <cellStyle name="货币 2 3 3 2 2 9 4" xfId="10952" xr:uid="{00000000-0005-0000-0000-0000F82A0000}"/>
    <cellStyle name="货币 2 3 3 2 2 9 5" xfId="7299" xr:uid="{00000000-0005-0000-0000-0000B31C0000}"/>
    <cellStyle name="货币 2 3 3 2 2 9 6" xfId="7306" xr:uid="{00000000-0005-0000-0000-0000BA1C0000}"/>
    <cellStyle name="货币 2 3 3 2 20" xfId="6565" xr:uid="{00000000-0005-0000-0000-0000D5190000}"/>
    <cellStyle name="货币 2 3 3 2 21" xfId="6437" xr:uid="{00000000-0005-0000-0000-000055190000}"/>
    <cellStyle name="货币 2 3 3 2 22" xfId="21648" xr:uid="{00000000-0005-0000-0000-0000C0540000}"/>
    <cellStyle name="货币 2 3 3 2 23" xfId="13853" xr:uid="{00000000-0005-0000-0000-00004D360000}"/>
    <cellStyle name="货币 2 3 3 2 24" xfId="41552" xr:uid="{00000000-0005-0000-0000-000080A20000}"/>
    <cellStyle name="货币 2 3 3 2 25" xfId="41748" xr:uid="{00000000-0005-0000-0000-000044A30000}"/>
    <cellStyle name="货币 2 3 3 2 26" xfId="41749" xr:uid="{00000000-0005-0000-0000-000045A30000}"/>
    <cellStyle name="货币 2 3 3 2 3" xfId="41750" xr:uid="{00000000-0005-0000-0000-000046A30000}"/>
    <cellStyle name="货币 2 3 3 2 3 10" xfId="13131" xr:uid="{00000000-0005-0000-0000-00007B330000}"/>
    <cellStyle name="货币 2 3 3 2 3 10 2" xfId="16506" xr:uid="{00000000-0005-0000-0000-0000AA400000}"/>
    <cellStyle name="货币 2 3 3 2 3 10 3" xfId="16514" xr:uid="{00000000-0005-0000-0000-0000B2400000}"/>
    <cellStyle name="货币 2 3 3 2 3 10 4" xfId="23089" xr:uid="{00000000-0005-0000-0000-0000615A0000}"/>
    <cellStyle name="货币 2 3 3 2 3 10 5" xfId="23091" xr:uid="{00000000-0005-0000-0000-0000635A0000}"/>
    <cellStyle name="货币 2 3 3 2 3 10 6" xfId="41751" xr:uid="{00000000-0005-0000-0000-000047A30000}"/>
    <cellStyle name="货币 2 3 3 2 3 11" xfId="13135" xr:uid="{00000000-0005-0000-0000-00007F330000}"/>
    <cellStyle name="货币 2 3 3 2 3 11 2" xfId="16617" xr:uid="{00000000-0005-0000-0000-000019410000}"/>
    <cellStyle name="货币 2 3 3 2 3 11 3" xfId="16623" xr:uid="{00000000-0005-0000-0000-00001F410000}"/>
    <cellStyle name="货币 2 3 3 2 3 11 4" xfId="23093" xr:uid="{00000000-0005-0000-0000-0000655A0000}"/>
    <cellStyle name="货币 2 3 3 2 3 11 5" xfId="23095" xr:uid="{00000000-0005-0000-0000-0000675A0000}"/>
    <cellStyle name="货币 2 3 3 2 3 11 6" xfId="41752" xr:uid="{00000000-0005-0000-0000-000048A30000}"/>
    <cellStyle name="货币 2 3 3 2 3 12" xfId="13138" xr:uid="{00000000-0005-0000-0000-000082330000}"/>
    <cellStyle name="货币 2 3 3 2 3 13" xfId="13141" xr:uid="{00000000-0005-0000-0000-000085330000}"/>
    <cellStyle name="货币 2 3 3 2 3 14" xfId="10154" xr:uid="{00000000-0005-0000-0000-0000DA270000}"/>
    <cellStyle name="货币 2 3 3 2 3 15" xfId="4912" xr:uid="{00000000-0005-0000-0000-000060130000}"/>
    <cellStyle name="货币 2 3 3 2 3 16" xfId="28396" xr:uid="{00000000-0005-0000-0000-00001C6F0000}"/>
    <cellStyle name="货币 2 3 3 2 3 17" xfId="28400" xr:uid="{00000000-0005-0000-0000-0000206F0000}"/>
    <cellStyle name="货币 2 3 3 2 3 18" xfId="41754" xr:uid="{00000000-0005-0000-0000-00004AA30000}"/>
    <cellStyle name="货币 2 3 3 2 3 19" xfId="41755" xr:uid="{00000000-0005-0000-0000-00004BA30000}"/>
    <cellStyle name="货币 2 3 3 2 3 2" xfId="26687" xr:uid="{00000000-0005-0000-0000-00006F680000}"/>
    <cellStyle name="货币 2 3 3 2 3 2 10" xfId="41756" xr:uid="{00000000-0005-0000-0000-00004CA30000}"/>
    <cellStyle name="货币 2 3 3 2 3 2 11" xfId="41757" xr:uid="{00000000-0005-0000-0000-00004DA30000}"/>
    <cellStyle name="货币 2 3 3 2 3 2 12" xfId="18469" xr:uid="{00000000-0005-0000-0000-000055480000}"/>
    <cellStyle name="货币 2 3 3 2 3 2 13" xfId="18486" xr:uid="{00000000-0005-0000-0000-000066480000}"/>
    <cellStyle name="货币 2 3 3 2 3 2 14" xfId="18507" xr:uid="{00000000-0005-0000-0000-00007B480000}"/>
    <cellStyle name="货币 2 3 3 2 3 2 15" xfId="14479" xr:uid="{00000000-0005-0000-0000-0000BF380000}"/>
    <cellStyle name="货币 2 3 3 2 3 2 16" xfId="18525" xr:uid="{00000000-0005-0000-0000-00008D480000}"/>
    <cellStyle name="货币 2 3 3 2 3 2 17" xfId="18540" xr:uid="{00000000-0005-0000-0000-00009C480000}"/>
    <cellStyle name="货币 2 3 3 2 3 2 18" xfId="18543" xr:uid="{00000000-0005-0000-0000-00009F480000}"/>
    <cellStyle name="货币 2 3 3 2 3 2 2" xfId="41758" xr:uid="{00000000-0005-0000-0000-00004EA30000}"/>
    <cellStyle name="货币 2 3 3 2 3 2 2 10" xfId="41759" xr:uid="{00000000-0005-0000-0000-00004FA30000}"/>
    <cellStyle name="货币 2 3 3 2 3 2 2 11" xfId="12908" xr:uid="{00000000-0005-0000-0000-00009C320000}"/>
    <cellStyle name="货币 2 3 3 2 3 2 2 12" xfId="12913" xr:uid="{00000000-0005-0000-0000-0000A1320000}"/>
    <cellStyle name="货币 2 3 3 2 3 2 2 2" xfId="41760" xr:uid="{00000000-0005-0000-0000-000050A30000}"/>
    <cellStyle name="货币 2 3 3 2 3 2 2 2 2" xfId="13989" xr:uid="{00000000-0005-0000-0000-0000D5360000}"/>
    <cellStyle name="货币 2 3 3 2 3 2 2 2 2 2" xfId="9519" xr:uid="{00000000-0005-0000-0000-00005F250000}"/>
    <cellStyle name="货币 2 3 3 2 3 2 2 2 3" xfId="14001" xr:uid="{00000000-0005-0000-0000-0000E1360000}"/>
    <cellStyle name="货币 2 3 3 2 3 2 2 2 4" xfId="14007" xr:uid="{00000000-0005-0000-0000-0000E7360000}"/>
    <cellStyle name="货币 2 3 3 2 3 2 2 2 5" xfId="4844" xr:uid="{00000000-0005-0000-0000-00001C130000}"/>
    <cellStyle name="货币 2 3 3 2 3 2 2 3" xfId="41762" xr:uid="{00000000-0005-0000-0000-000052A30000}"/>
    <cellStyle name="货币 2 3 3 2 3 2 2 3 2" xfId="8287" xr:uid="{00000000-0005-0000-0000-00008F200000}"/>
    <cellStyle name="货币 2 3 3 2 3 2 2 4" xfId="41763" xr:uid="{00000000-0005-0000-0000-000053A30000}"/>
    <cellStyle name="货币 2 3 3 2 3 2 2 5" xfId="41764" xr:uid="{00000000-0005-0000-0000-000054A30000}"/>
    <cellStyle name="货币 2 3 3 2 3 2 2 6" xfId="41765" xr:uid="{00000000-0005-0000-0000-000055A30000}"/>
    <cellStyle name="货币 2 3 3 2 3 2 2 7" xfId="41766" xr:uid="{00000000-0005-0000-0000-000056A30000}"/>
    <cellStyle name="货币 2 3 3 2 3 2 2 8" xfId="41767" xr:uid="{00000000-0005-0000-0000-000057A30000}"/>
    <cellStyle name="货币 2 3 3 2 3 2 2 9" xfId="41768" xr:uid="{00000000-0005-0000-0000-000058A30000}"/>
    <cellStyle name="货币 2 3 3 2 3 2 3" xfId="31999" xr:uid="{00000000-0005-0000-0000-00002F7D0000}"/>
    <cellStyle name="货币 2 3 3 2 3 2 3 10" xfId="41770" xr:uid="{00000000-0005-0000-0000-00005AA30000}"/>
    <cellStyle name="货币 2 3 3 2 3 2 3 11" xfId="41772" xr:uid="{00000000-0005-0000-0000-00005CA30000}"/>
    <cellStyle name="货币 2 3 3 2 3 2 3 12" xfId="41774" xr:uid="{00000000-0005-0000-0000-00005EA30000}"/>
    <cellStyle name="货币 2 3 3 2 3 2 3 2" xfId="41776" xr:uid="{00000000-0005-0000-0000-000060A30000}"/>
    <cellStyle name="货币 2 3 3 2 3 2 3 2 2" xfId="7260" xr:uid="{00000000-0005-0000-0000-00008C1C0000}"/>
    <cellStyle name="货币 2 3 3 2 3 2 3 2 2 2" xfId="41777" xr:uid="{00000000-0005-0000-0000-000061A30000}"/>
    <cellStyle name="货币 2 3 3 2 3 2 3 2 3" xfId="8479" xr:uid="{00000000-0005-0000-0000-00004F210000}"/>
    <cellStyle name="货币 2 3 3 2 3 2 3 2 4" xfId="8489" xr:uid="{00000000-0005-0000-0000-000059210000}"/>
    <cellStyle name="货币 2 3 3 2 3 2 3 2 5" xfId="8499" xr:uid="{00000000-0005-0000-0000-000063210000}"/>
    <cellStyle name="货币 2 3 3 2 3 2 3 3" xfId="41779" xr:uid="{00000000-0005-0000-0000-000063A30000}"/>
    <cellStyle name="货币 2 3 3 2 3 2 3 3 2" xfId="7271" xr:uid="{00000000-0005-0000-0000-0000971C0000}"/>
    <cellStyle name="货币 2 3 3 2 3 2 3 4" xfId="41781" xr:uid="{00000000-0005-0000-0000-000065A30000}"/>
    <cellStyle name="货币 2 3 3 2 3 2 3 5" xfId="41783" xr:uid="{00000000-0005-0000-0000-000067A30000}"/>
    <cellStyle name="货币 2 3 3 2 3 2 3 6" xfId="15588" xr:uid="{00000000-0005-0000-0000-0000143D0000}"/>
    <cellStyle name="货币 2 3 3 2 3 2 3 7" xfId="23116" xr:uid="{00000000-0005-0000-0000-00007C5A0000}"/>
    <cellStyle name="货币 2 3 3 2 3 2 3 8" xfId="33243" xr:uid="{00000000-0005-0000-0000-00000B820000}"/>
    <cellStyle name="货币 2 3 3 2 3 2 3 9" xfId="33245" xr:uid="{00000000-0005-0000-0000-00000D820000}"/>
    <cellStyle name="货币 2 3 3 2 3 2 4" xfId="32003" xr:uid="{00000000-0005-0000-0000-0000337D0000}"/>
    <cellStyle name="货币 2 3 3 2 3 2 4 10" xfId="41784" xr:uid="{00000000-0005-0000-0000-000068A30000}"/>
    <cellStyle name="货币 2 3 3 2 3 2 4 2" xfId="41787" xr:uid="{00000000-0005-0000-0000-00006BA30000}"/>
    <cellStyle name="货币 2 3 3 2 3 2 4 2 2" xfId="969" xr:uid="{00000000-0005-0000-0000-0000F9030000}"/>
    <cellStyle name="货币 2 3 3 2 3 2 4 2 2 2" xfId="41788" xr:uid="{00000000-0005-0000-0000-00006CA30000}"/>
    <cellStyle name="货币 2 3 3 2 3 2 4 2 3" xfId="8732" xr:uid="{00000000-0005-0000-0000-00004C220000}"/>
    <cellStyle name="货币 2 3 3 2 3 2 4 2 4" xfId="13515" xr:uid="{00000000-0005-0000-0000-0000FB340000}"/>
    <cellStyle name="货币 2 3 3 2 3 2 4 2 5" xfId="37149" xr:uid="{00000000-0005-0000-0000-00004D910000}"/>
    <cellStyle name="货币 2 3 3 2 3 2 4 3" xfId="41790" xr:uid="{00000000-0005-0000-0000-00006EA30000}"/>
    <cellStyle name="货币 2 3 3 2 3 2 4 3 2" xfId="7330" xr:uid="{00000000-0005-0000-0000-0000D21C0000}"/>
    <cellStyle name="货币 2 3 3 2 3 2 4 4" xfId="41791" xr:uid="{00000000-0005-0000-0000-00006FA30000}"/>
    <cellStyle name="货币 2 3 3 2 3 2 4 5" xfId="41792" xr:uid="{00000000-0005-0000-0000-000070A30000}"/>
    <cellStyle name="货币 2 3 3 2 3 2 4 6" xfId="6062" xr:uid="{00000000-0005-0000-0000-0000DE170000}"/>
    <cellStyle name="货币 2 3 3 2 3 2 4 7" xfId="23137" xr:uid="{00000000-0005-0000-0000-0000915A0000}"/>
    <cellStyle name="货币 2 3 3 2 3 2 4 8" xfId="33255" xr:uid="{00000000-0005-0000-0000-000017820000}"/>
    <cellStyle name="货币 2 3 3 2 3 2 4 9" xfId="33257" xr:uid="{00000000-0005-0000-0000-000019820000}"/>
    <cellStyle name="货币 2 3 3 2 3 2 5" xfId="41794" xr:uid="{00000000-0005-0000-0000-000072A30000}"/>
    <cellStyle name="货币 2 3 3 2 3 2 5 10" xfId="35187" xr:uid="{00000000-0005-0000-0000-0000A3890000}"/>
    <cellStyle name="货币 2 3 3 2 3 2 5 2" xfId="41795" xr:uid="{00000000-0005-0000-0000-000073A30000}"/>
    <cellStyle name="货币 2 3 3 2 3 2 5 2 2" xfId="14241" xr:uid="{00000000-0005-0000-0000-0000D1370000}"/>
    <cellStyle name="货币 2 3 3 2 3 2 5 2 2 2" xfId="41796" xr:uid="{00000000-0005-0000-0000-000074A30000}"/>
    <cellStyle name="货币 2 3 3 2 3 2 5 2 3" xfId="14244" xr:uid="{00000000-0005-0000-0000-0000D4370000}"/>
    <cellStyle name="货币 2 3 3 2 3 2 5 2 4" xfId="14247" xr:uid="{00000000-0005-0000-0000-0000D7370000}"/>
    <cellStyle name="货币 2 3 3 2 3 2 5 2 5" xfId="21866" xr:uid="{00000000-0005-0000-0000-00009A550000}"/>
    <cellStyle name="货币 2 3 3 2 3 2 5 3" xfId="41797" xr:uid="{00000000-0005-0000-0000-000075A30000}"/>
    <cellStyle name="货币 2 3 3 2 3 2 5 3 2" xfId="14267" xr:uid="{00000000-0005-0000-0000-0000EB370000}"/>
    <cellStyle name="货币 2 3 3 2 3 2 5 4" xfId="41798" xr:uid="{00000000-0005-0000-0000-000076A30000}"/>
    <cellStyle name="货币 2 3 3 2 3 2 5 5" xfId="41799" xr:uid="{00000000-0005-0000-0000-000077A30000}"/>
    <cellStyle name="货币 2 3 3 2 3 2 5 6" xfId="33259" xr:uid="{00000000-0005-0000-0000-00001B820000}"/>
    <cellStyle name="货币 2 3 3 2 3 2 5 7" xfId="33261" xr:uid="{00000000-0005-0000-0000-00001D820000}"/>
    <cellStyle name="货币 2 3 3 2 3 2 5 8" xfId="33263" xr:uid="{00000000-0005-0000-0000-00001F820000}"/>
    <cellStyle name="货币 2 3 3 2 3 2 5 9" xfId="33265" xr:uid="{00000000-0005-0000-0000-000021820000}"/>
    <cellStyle name="货币 2 3 3 2 3 2 6" xfId="41801" xr:uid="{00000000-0005-0000-0000-000079A30000}"/>
    <cellStyle name="货币 2 3 3 2 3 2 6 2" xfId="40245" xr:uid="{00000000-0005-0000-0000-0000659D0000}"/>
    <cellStyle name="货币 2 3 3 2 3 2 6 2 2" xfId="14340" xr:uid="{00000000-0005-0000-0000-000034380000}"/>
    <cellStyle name="货币 2 3 3 2 3 2 6 3" xfId="40247" xr:uid="{00000000-0005-0000-0000-0000679D0000}"/>
    <cellStyle name="货币 2 3 3 2 3 2 6 4" xfId="40249" xr:uid="{00000000-0005-0000-0000-0000699D0000}"/>
    <cellStyle name="货币 2 3 3 2 3 2 6 5" xfId="40251" xr:uid="{00000000-0005-0000-0000-00006B9D0000}"/>
    <cellStyle name="货币 2 3 3 2 3 2 6 6" xfId="6083" xr:uid="{00000000-0005-0000-0000-0000F3170000}"/>
    <cellStyle name="货币 2 3 3 2 3 2 6 7" xfId="13571" xr:uid="{00000000-0005-0000-0000-000033350000}"/>
    <cellStyle name="货币 2 3 3 2 3 2 6 8" xfId="33269" xr:uid="{00000000-0005-0000-0000-000025820000}"/>
    <cellStyle name="货币 2 3 3 2 3 2 6 9" xfId="33271" xr:uid="{00000000-0005-0000-0000-000027820000}"/>
    <cellStyle name="货币 2 3 3 2 3 2 7" xfId="18263" xr:uid="{00000000-0005-0000-0000-000087470000}"/>
    <cellStyle name="货币 2 3 3 2 3 2 7 2" xfId="18265" xr:uid="{00000000-0005-0000-0000-000089470000}"/>
    <cellStyle name="货币 2 3 3 2 3 2 8" xfId="18268" xr:uid="{00000000-0005-0000-0000-00008C470000}"/>
    <cellStyle name="货币 2 3 3 2 3 2 9" xfId="12010" xr:uid="{00000000-0005-0000-0000-00001A2F0000}"/>
    <cellStyle name="货币 2 3 3 2 3 20" xfId="4911" xr:uid="{00000000-0005-0000-0000-00005F130000}"/>
    <cellStyle name="货币 2 3 3 2 3 21" xfId="28395" xr:uid="{00000000-0005-0000-0000-00001B6F0000}"/>
    <cellStyle name="货币 2 3 3 2 3 22" xfId="28399" xr:uid="{00000000-0005-0000-0000-00001F6F0000}"/>
    <cellStyle name="货币 2 3 3 2 3 23" xfId="41753" xr:uid="{00000000-0005-0000-0000-000049A30000}"/>
    <cellStyle name="货币 2 3 3 2 3 3" xfId="26689" xr:uid="{00000000-0005-0000-0000-000071680000}"/>
    <cellStyle name="货币 2 3 3 2 3 3 10" xfId="20681" xr:uid="{00000000-0005-0000-0000-0000F9500000}"/>
    <cellStyle name="货币 2 3 3 2 3 3 11" xfId="20690" xr:uid="{00000000-0005-0000-0000-000002510000}"/>
    <cellStyle name="货币 2 3 3 2 3 3 12" xfId="18731" xr:uid="{00000000-0005-0000-0000-00005B490000}"/>
    <cellStyle name="货币 2 3 3 2 3 3 13" xfId="18739" xr:uid="{00000000-0005-0000-0000-000063490000}"/>
    <cellStyle name="货币 2 3 3 2 3 3 14" xfId="18746" xr:uid="{00000000-0005-0000-0000-00006A490000}"/>
    <cellStyle name="货币 2 3 3 2 3 3 15" xfId="18754" xr:uid="{00000000-0005-0000-0000-000072490000}"/>
    <cellStyle name="货币 2 3 3 2 3 3 16" xfId="18756" xr:uid="{00000000-0005-0000-0000-000074490000}"/>
    <cellStyle name="货币 2 3 3 2 3 3 17" xfId="41802" xr:uid="{00000000-0005-0000-0000-00007AA30000}"/>
    <cellStyle name="货币 2 3 3 2 3 3 18" xfId="41803" xr:uid="{00000000-0005-0000-0000-00007BA30000}"/>
    <cellStyle name="货币 2 3 3 2 3 3 2" xfId="41804" xr:uid="{00000000-0005-0000-0000-00007CA30000}"/>
    <cellStyle name="货币 2 3 3 2 3 3 2 10" xfId="41805" xr:uid="{00000000-0005-0000-0000-00007DA30000}"/>
    <cellStyle name="货币 2 3 3 2 3 3 2 2" xfId="41806" xr:uid="{00000000-0005-0000-0000-00007EA30000}"/>
    <cellStyle name="货币 2 3 3 2 3 3 2 2 2" xfId="14654" xr:uid="{00000000-0005-0000-0000-00006E390000}"/>
    <cellStyle name="货币 2 3 3 2 3 3 2 3" xfId="41807" xr:uid="{00000000-0005-0000-0000-00007FA30000}"/>
    <cellStyle name="货币 2 3 3 2 3 3 2 4" xfId="41808" xr:uid="{00000000-0005-0000-0000-000080A30000}"/>
    <cellStyle name="货币 2 3 3 2 3 3 2 5" xfId="41809" xr:uid="{00000000-0005-0000-0000-000081A30000}"/>
    <cellStyle name="货币 2 3 3 2 3 3 2 6" xfId="41810" xr:uid="{00000000-0005-0000-0000-000082A30000}"/>
    <cellStyle name="货币 2 3 3 2 3 3 2 7" xfId="41811" xr:uid="{00000000-0005-0000-0000-000083A30000}"/>
    <cellStyle name="货币 2 3 3 2 3 3 2 8" xfId="41812" xr:uid="{00000000-0005-0000-0000-000084A30000}"/>
    <cellStyle name="货币 2 3 3 2 3 3 2 9" xfId="41813" xr:uid="{00000000-0005-0000-0000-000085A30000}"/>
    <cellStyle name="货币 2 3 3 2 3 3 3" xfId="32008" xr:uid="{00000000-0005-0000-0000-0000387D0000}"/>
    <cellStyle name="货币 2 3 3 2 3 3 3 2" xfId="41815" xr:uid="{00000000-0005-0000-0000-000087A30000}"/>
    <cellStyle name="货币 2 3 3 2 3 3 3 3" xfId="41817" xr:uid="{00000000-0005-0000-0000-000089A30000}"/>
    <cellStyle name="货币 2 3 3 2 3 3 3 4" xfId="41819" xr:uid="{00000000-0005-0000-0000-00008BA30000}"/>
    <cellStyle name="货币 2 3 3 2 3 3 3 5" xfId="41821" xr:uid="{00000000-0005-0000-0000-00008DA30000}"/>
    <cellStyle name="货币 2 3 3 2 3 3 3 6" xfId="33292" xr:uid="{00000000-0005-0000-0000-00003C820000}"/>
    <cellStyle name="货币 2 3 3 2 3 3 4" xfId="41823" xr:uid="{00000000-0005-0000-0000-00008FA30000}"/>
    <cellStyle name="货币 2 3 3 2 3 3 4 2" xfId="41826" xr:uid="{00000000-0005-0000-0000-000092A30000}"/>
    <cellStyle name="货币 2 3 3 2 3 3 4 3" xfId="41828" xr:uid="{00000000-0005-0000-0000-000094A30000}"/>
    <cellStyle name="货币 2 3 3 2 3 3 4 4" xfId="41829" xr:uid="{00000000-0005-0000-0000-000095A30000}"/>
    <cellStyle name="货币 2 3 3 2 3 3 4 5" xfId="41830" xr:uid="{00000000-0005-0000-0000-000096A30000}"/>
    <cellStyle name="货币 2 3 3 2 3 3 4 6" xfId="33307" xr:uid="{00000000-0005-0000-0000-00004B820000}"/>
    <cellStyle name="货币 2 3 3 2 3 3 5" xfId="41832" xr:uid="{00000000-0005-0000-0000-000098A30000}"/>
    <cellStyle name="货币 2 3 3 2 3 3 5 2" xfId="41833" xr:uid="{00000000-0005-0000-0000-000099A30000}"/>
    <cellStyle name="货币 2 3 3 2 3 3 5 3" xfId="41834" xr:uid="{00000000-0005-0000-0000-00009AA30000}"/>
    <cellStyle name="货币 2 3 3 2 3 3 5 4" xfId="41835" xr:uid="{00000000-0005-0000-0000-00009BA30000}"/>
    <cellStyle name="货币 2 3 3 2 3 3 5 5" xfId="41836" xr:uid="{00000000-0005-0000-0000-00009CA30000}"/>
    <cellStyle name="货币 2 3 3 2 3 3 5 6" xfId="33315" xr:uid="{00000000-0005-0000-0000-000053820000}"/>
    <cellStyle name="货币 2 3 3 2 3 3 6" xfId="41838" xr:uid="{00000000-0005-0000-0000-00009EA30000}"/>
    <cellStyle name="货币 2 3 3 2 3 3 6 2" xfId="41839" xr:uid="{00000000-0005-0000-0000-00009FA30000}"/>
    <cellStyle name="货币 2 3 3 2 3 3 6 3" xfId="41840" xr:uid="{00000000-0005-0000-0000-0000A0A30000}"/>
    <cellStyle name="货币 2 3 3 2 3 3 6 4" xfId="41841" xr:uid="{00000000-0005-0000-0000-0000A1A30000}"/>
    <cellStyle name="货币 2 3 3 2 3 3 6 5" xfId="41842" xr:uid="{00000000-0005-0000-0000-0000A2A30000}"/>
    <cellStyle name="货币 2 3 3 2 3 3 6 6" xfId="41843" xr:uid="{00000000-0005-0000-0000-0000A3A30000}"/>
    <cellStyle name="货币 2 3 3 2 3 3 7" xfId="41845" xr:uid="{00000000-0005-0000-0000-0000A5A30000}"/>
    <cellStyle name="货币 2 3 3 2 3 3 8" xfId="31233" xr:uid="{00000000-0005-0000-0000-0000317A0000}"/>
    <cellStyle name="货币 2 3 3 2 3 3 9" xfId="31238" xr:uid="{00000000-0005-0000-0000-0000367A0000}"/>
    <cellStyle name="货币 2 3 3 2 3 4" xfId="41846" xr:uid="{00000000-0005-0000-0000-0000A6A30000}"/>
    <cellStyle name="货币 2 3 3 2 3 4 10" xfId="38186" xr:uid="{00000000-0005-0000-0000-00005A950000}"/>
    <cellStyle name="货币 2 3 3 2 3 4 11" xfId="38188" xr:uid="{00000000-0005-0000-0000-00005C950000}"/>
    <cellStyle name="货币 2 3 3 2 3 4 12" xfId="38190" xr:uid="{00000000-0005-0000-0000-00005E950000}"/>
    <cellStyle name="货币 2 3 3 2 3 4 13" xfId="38192" xr:uid="{00000000-0005-0000-0000-000060950000}"/>
    <cellStyle name="货币 2 3 3 2 3 4 14" xfId="38195" xr:uid="{00000000-0005-0000-0000-000063950000}"/>
    <cellStyle name="货币 2 3 3 2 3 4 15" xfId="41848" xr:uid="{00000000-0005-0000-0000-0000A8A30000}"/>
    <cellStyle name="货币 2 3 3 2 3 4 2" xfId="32381" xr:uid="{00000000-0005-0000-0000-0000AD7E0000}"/>
    <cellStyle name="货币 2 3 3 2 3 4 2 2" xfId="41849" xr:uid="{00000000-0005-0000-0000-0000A9A30000}"/>
    <cellStyle name="货币 2 3 3 2 3 4 2 2 2" xfId="15114" xr:uid="{00000000-0005-0000-0000-00003A3B0000}"/>
    <cellStyle name="货币 2 3 3 2 3 4 2 3" xfId="41850" xr:uid="{00000000-0005-0000-0000-0000AAA30000}"/>
    <cellStyle name="货币 2 3 3 2 3 4 2 4" xfId="41851" xr:uid="{00000000-0005-0000-0000-0000ABA30000}"/>
    <cellStyle name="货币 2 3 3 2 3 4 2 5" xfId="41852" xr:uid="{00000000-0005-0000-0000-0000ACA30000}"/>
    <cellStyle name="货币 2 3 3 2 3 4 2 6" xfId="24386" xr:uid="{00000000-0005-0000-0000-0000725F0000}"/>
    <cellStyle name="货币 2 3 3 2 3 4 2 7" xfId="23245" xr:uid="{00000000-0005-0000-0000-0000FD5A0000}"/>
    <cellStyle name="货币 2 3 3 2 3 4 2 8" xfId="16531" xr:uid="{00000000-0005-0000-0000-0000C3400000}"/>
    <cellStyle name="货币 2 3 3 2 3 4 2 9" xfId="16553" xr:uid="{00000000-0005-0000-0000-0000D9400000}"/>
    <cellStyle name="货币 2 3 3 2 3 4 3" xfId="32013" xr:uid="{00000000-0005-0000-0000-00003D7D0000}"/>
    <cellStyle name="货币 2 3 3 2 3 4 3 2" xfId="41854" xr:uid="{00000000-0005-0000-0000-0000AEA30000}"/>
    <cellStyle name="货币 2 3 3 2 3 4 3 3" xfId="41856" xr:uid="{00000000-0005-0000-0000-0000B0A30000}"/>
    <cellStyle name="货币 2 3 3 2 3 4 3 4" xfId="41858" xr:uid="{00000000-0005-0000-0000-0000B2A30000}"/>
    <cellStyle name="货币 2 3 3 2 3 4 3 5" xfId="41860" xr:uid="{00000000-0005-0000-0000-0000B4A30000}"/>
    <cellStyle name="货币 2 3 3 2 3 4 3 6" xfId="24388" xr:uid="{00000000-0005-0000-0000-0000745F0000}"/>
    <cellStyle name="货币 2 3 3 2 3 4 4" xfId="33746" xr:uid="{00000000-0005-0000-0000-000002840000}"/>
    <cellStyle name="货币 2 3 3 2 3 4 4 2" xfId="41863" xr:uid="{00000000-0005-0000-0000-0000B7A30000}"/>
    <cellStyle name="货币 2 3 3 2 3 4 5" xfId="33749" xr:uid="{00000000-0005-0000-0000-000005840000}"/>
    <cellStyle name="货币 2 3 3 2 3 4 6" xfId="33753" xr:uid="{00000000-0005-0000-0000-000009840000}"/>
    <cellStyle name="货币 2 3 3 2 3 4 7" xfId="33756" xr:uid="{00000000-0005-0000-0000-00000C840000}"/>
    <cellStyle name="货币 2 3 3 2 3 4 8" xfId="31243" xr:uid="{00000000-0005-0000-0000-00003B7A0000}"/>
    <cellStyle name="货币 2 3 3 2 3 4 9" xfId="31247" xr:uid="{00000000-0005-0000-0000-00003F7A0000}"/>
    <cellStyle name="货币 2 3 3 2 3 5" xfId="41864" xr:uid="{00000000-0005-0000-0000-0000B8A30000}"/>
    <cellStyle name="货币 2 3 3 2 3 5 10" xfId="11923" xr:uid="{00000000-0005-0000-0000-0000C32E0000}"/>
    <cellStyle name="货币 2 3 3 2 3 5 11" xfId="11929" xr:uid="{00000000-0005-0000-0000-0000C92E0000}"/>
    <cellStyle name="货币 2 3 3 2 3 5 12" xfId="11935" xr:uid="{00000000-0005-0000-0000-0000CF2E0000}"/>
    <cellStyle name="货币 2 3 3 2 3 5 13" xfId="4047" xr:uid="{00000000-0005-0000-0000-0000FF0F0000}"/>
    <cellStyle name="货币 2 3 3 2 3 5 2" xfId="10137" xr:uid="{00000000-0005-0000-0000-0000C9270000}"/>
    <cellStyle name="货币 2 3 3 2 3 5 2 2" xfId="41865" xr:uid="{00000000-0005-0000-0000-0000B9A30000}"/>
    <cellStyle name="货币 2 3 3 2 3 5 2 2 2" xfId="15547" xr:uid="{00000000-0005-0000-0000-0000EB3C0000}"/>
    <cellStyle name="货币 2 3 3 2 3 5 2 3" xfId="41866" xr:uid="{00000000-0005-0000-0000-0000BAA30000}"/>
    <cellStyle name="货币 2 3 3 2 3 5 2 4" xfId="41867" xr:uid="{00000000-0005-0000-0000-0000BBA30000}"/>
    <cellStyle name="货币 2 3 3 2 3 5 2 5" xfId="41868" xr:uid="{00000000-0005-0000-0000-0000BCA30000}"/>
    <cellStyle name="货币 2 3 3 2 3 5 2 6" xfId="41869" xr:uid="{00000000-0005-0000-0000-0000BDA30000}"/>
    <cellStyle name="货币 2 3 3 2 3 5 2 7" xfId="35287" xr:uid="{00000000-0005-0000-0000-0000078A0000}"/>
    <cellStyle name="货币 2 3 3 2 3 5 2 8" xfId="17004" xr:uid="{00000000-0005-0000-0000-00009C420000}"/>
    <cellStyle name="货币 2 3 3 2 3 5 2 9" xfId="17047" xr:uid="{00000000-0005-0000-0000-0000C7420000}"/>
    <cellStyle name="货币 2 3 3 2 3 5 3" xfId="10145" xr:uid="{00000000-0005-0000-0000-0000D1270000}"/>
    <cellStyle name="货币 2 3 3 2 3 5 3 2" xfId="41871" xr:uid="{00000000-0005-0000-0000-0000BFA30000}"/>
    <cellStyle name="货币 2 3 3 2 3 5 3 3" xfId="41872" xr:uid="{00000000-0005-0000-0000-0000C0A30000}"/>
    <cellStyle name="货币 2 3 3 2 3 5 3 4" xfId="41873" xr:uid="{00000000-0005-0000-0000-0000C1A30000}"/>
    <cellStyle name="货币 2 3 3 2 3 5 3 5" xfId="41874" xr:uid="{00000000-0005-0000-0000-0000C2A30000}"/>
    <cellStyle name="货币 2 3 3 2 3 5 3 6" xfId="28757" xr:uid="{00000000-0005-0000-0000-000085700000}"/>
    <cellStyle name="货币 2 3 3 2 3 5 4" xfId="17788" xr:uid="{00000000-0005-0000-0000-0000AC450000}"/>
    <cellStyle name="货币 2 3 3 2 3 5 4 2" xfId="41876" xr:uid="{00000000-0005-0000-0000-0000C4A30000}"/>
    <cellStyle name="货币 2 3 3 2 3 5 5" xfId="14964" xr:uid="{00000000-0005-0000-0000-0000A43A0000}"/>
    <cellStyle name="货币 2 3 3 2 3 5 6" xfId="14969" xr:uid="{00000000-0005-0000-0000-0000A93A0000}"/>
    <cellStyle name="货币 2 3 3 2 3 5 7" xfId="14974" xr:uid="{00000000-0005-0000-0000-0000AE3A0000}"/>
    <cellStyle name="货币 2 3 3 2 3 5 8" xfId="14978" xr:uid="{00000000-0005-0000-0000-0000B23A0000}"/>
    <cellStyle name="货币 2 3 3 2 3 5 9" xfId="31254" xr:uid="{00000000-0005-0000-0000-0000467A0000}"/>
    <cellStyle name="货币 2 3 3 2 3 6" xfId="41877" xr:uid="{00000000-0005-0000-0000-0000C5A30000}"/>
    <cellStyle name="货币 2 3 3 2 3 6 10" xfId="37986" xr:uid="{00000000-0005-0000-0000-000092940000}"/>
    <cellStyle name="货币 2 3 3 2 3 6 11" xfId="37989" xr:uid="{00000000-0005-0000-0000-000095940000}"/>
    <cellStyle name="货币 2 3 3 2 3 6 12" xfId="2195" xr:uid="{00000000-0005-0000-0000-0000C3080000}"/>
    <cellStyle name="货币 2 3 3 2 3 6 2" xfId="14679" xr:uid="{00000000-0005-0000-0000-000087390000}"/>
    <cellStyle name="货币 2 3 3 2 3 6 2 2" xfId="41878" xr:uid="{00000000-0005-0000-0000-0000C6A30000}"/>
    <cellStyle name="货币 2 3 3 2 3 6 2 2 2" xfId="1458" xr:uid="{00000000-0005-0000-0000-0000E2050000}"/>
    <cellStyle name="货币 2 3 3 2 3 6 2 3" xfId="41879" xr:uid="{00000000-0005-0000-0000-0000C7A30000}"/>
    <cellStyle name="货币 2 3 3 2 3 6 2 4" xfId="41880" xr:uid="{00000000-0005-0000-0000-0000C8A30000}"/>
    <cellStyle name="货币 2 3 3 2 3 6 2 5" xfId="41881" xr:uid="{00000000-0005-0000-0000-0000C9A30000}"/>
    <cellStyle name="货币 2 3 3 2 3 6 2 6" xfId="41882" xr:uid="{00000000-0005-0000-0000-0000CAA30000}"/>
    <cellStyle name="货币 2 3 3 2 3 6 2 7" xfId="38214" xr:uid="{00000000-0005-0000-0000-000076950000}"/>
    <cellStyle name="货币 2 3 3 2 3 6 2 8" xfId="17352" xr:uid="{00000000-0005-0000-0000-0000F8430000}"/>
    <cellStyle name="货币 2 3 3 2 3 6 2 9" xfId="17363" xr:uid="{00000000-0005-0000-0000-000003440000}"/>
    <cellStyle name="货币 2 3 3 2 3 6 3" xfId="14683" xr:uid="{00000000-0005-0000-0000-00008B390000}"/>
    <cellStyle name="货币 2 3 3 2 3 6 3 2" xfId="41883" xr:uid="{00000000-0005-0000-0000-0000CBA30000}"/>
    <cellStyle name="货币 2 3 3 2 3 6 3 3" xfId="41884" xr:uid="{00000000-0005-0000-0000-0000CCA30000}"/>
    <cellStyle name="货币 2 3 3 2 3 6 3 4" xfId="41885" xr:uid="{00000000-0005-0000-0000-0000CDA30000}"/>
    <cellStyle name="货币 2 3 3 2 3 6 3 5" xfId="41886" xr:uid="{00000000-0005-0000-0000-0000CEA30000}"/>
    <cellStyle name="货币 2 3 3 2 3 6 3 6" xfId="33332" xr:uid="{00000000-0005-0000-0000-000064820000}"/>
    <cellStyle name="货币 2 3 3 2 3 6 4" xfId="14689" xr:uid="{00000000-0005-0000-0000-000091390000}"/>
    <cellStyle name="货币 2 3 3 2 3 6 4 2" xfId="41887" xr:uid="{00000000-0005-0000-0000-0000CFA30000}"/>
    <cellStyle name="货币 2 3 3 2 3 6 5" xfId="14692" xr:uid="{00000000-0005-0000-0000-000094390000}"/>
    <cellStyle name="货币 2 3 3 2 3 6 6" xfId="28233" xr:uid="{00000000-0005-0000-0000-0000796E0000}"/>
    <cellStyle name="货币 2 3 3 2 3 6 7" xfId="41888" xr:uid="{00000000-0005-0000-0000-0000D0A30000}"/>
    <cellStyle name="货币 2 3 3 2 3 6 8" xfId="31263" xr:uid="{00000000-0005-0000-0000-00004F7A0000}"/>
    <cellStyle name="货币 2 3 3 2 3 6 9" xfId="31265" xr:uid="{00000000-0005-0000-0000-0000517A0000}"/>
    <cellStyle name="货币 2 3 3 2 3 7" xfId="27527" xr:uid="{00000000-0005-0000-0000-0000B76B0000}"/>
    <cellStyle name="货币 2 3 3 2 3 7 2" xfId="17795" xr:uid="{00000000-0005-0000-0000-0000B3450000}"/>
    <cellStyle name="货币 2 3 3 2 3 7 2 2" xfId="2101" xr:uid="{00000000-0005-0000-0000-000065080000}"/>
    <cellStyle name="货币 2 3 3 2 3 7 3" xfId="17800" xr:uid="{00000000-0005-0000-0000-0000B8450000}"/>
    <cellStyle name="货币 2 3 3 2 3 7 4" xfId="23900" xr:uid="{00000000-0005-0000-0000-00008C5D0000}"/>
    <cellStyle name="货币 2 3 3 2 3 7 5" xfId="31594" xr:uid="{00000000-0005-0000-0000-00009A7B0000}"/>
    <cellStyle name="货币 2 3 3 2 3 7 6" xfId="31597" xr:uid="{00000000-0005-0000-0000-00009D7B0000}"/>
    <cellStyle name="货币 2 3 3 2 3 7 7" xfId="18763" xr:uid="{00000000-0005-0000-0000-00007B490000}"/>
    <cellStyle name="货币 2 3 3 2 3 7 8" xfId="18771" xr:uid="{00000000-0005-0000-0000-000083490000}"/>
    <cellStyle name="货币 2 3 3 2 3 7 9" xfId="18779" xr:uid="{00000000-0005-0000-0000-00008B490000}"/>
    <cellStyle name="货币 2 3 3 2 3 8" xfId="27533" xr:uid="{00000000-0005-0000-0000-0000BD6B0000}"/>
    <cellStyle name="货币 2 3 3 2 3 8 2" xfId="17809" xr:uid="{00000000-0005-0000-0000-0000C1450000}"/>
    <cellStyle name="货币 2 3 3 2 3 8 3" xfId="17812" xr:uid="{00000000-0005-0000-0000-0000C4450000}"/>
    <cellStyle name="货币 2 3 3 2 3 8 4" xfId="31600" xr:uid="{00000000-0005-0000-0000-0000A07B0000}"/>
    <cellStyle name="货币 2 3 3 2 3 8 5" xfId="31602" xr:uid="{00000000-0005-0000-0000-0000A27B0000}"/>
    <cellStyle name="货币 2 3 3 2 3 8 6" xfId="41889" xr:uid="{00000000-0005-0000-0000-0000D1A30000}"/>
    <cellStyle name="货币 2 3 3 2 3 9" xfId="26222" xr:uid="{00000000-0005-0000-0000-00009E660000}"/>
    <cellStyle name="货币 2 3 3 2 3 9 2" xfId="17818" xr:uid="{00000000-0005-0000-0000-0000CA450000}"/>
    <cellStyle name="货币 2 3 3 2 3 9 3" xfId="17821" xr:uid="{00000000-0005-0000-0000-0000CD450000}"/>
    <cellStyle name="货币 2 3 3 2 3 9 4" xfId="31604" xr:uid="{00000000-0005-0000-0000-0000A47B0000}"/>
    <cellStyle name="货币 2 3 3 2 3 9 5" xfId="41890" xr:uid="{00000000-0005-0000-0000-0000D2A30000}"/>
    <cellStyle name="货币 2 3 3 2 3 9 6" xfId="41891" xr:uid="{00000000-0005-0000-0000-0000D3A30000}"/>
    <cellStyle name="货币 2 3 3 2 4" xfId="41892" xr:uid="{00000000-0005-0000-0000-0000D4A30000}"/>
    <cellStyle name="货币 2 3 3 2 4 10" xfId="41893" xr:uid="{00000000-0005-0000-0000-0000D5A30000}"/>
    <cellStyle name="货币 2 3 3 2 4 10 2" xfId="28844" xr:uid="{00000000-0005-0000-0000-0000DC700000}"/>
    <cellStyle name="货币 2 3 3 2 4 10 3" xfId="28846" xr:uid="{00000000-0005-0000-0000-0000DE700000}"/>
    <cellStyle name="货币 2 3 3 2 4 10 4" xfId="28849" xr:uid="{00000000-0005-0000-0000-0000E1700000}"/>
    <cellStyle name="货币 2 3 3 2 4 10 5" xfId="28853" xr:uid="{00000000-0005-0000-0000-0000E5700000}"/>
    <cellStyle name="货币 2 3 3 2 4 10 6" xfId="28858" xr:uid="{00000000-0005-0000-0000-0000EA700000}"/>
    <cellStyle name="货币 2 3 3 2 4 11" xfId="41895" xr:uid="{00000000-0005-0000-0000-0000D7A30000}"/>
    <cellStyle name="货币 2 3 3 2 4 11 2" xfId="28871" xr:uid="{00000000-0005-0000-0000-0000F7700000}"/>
    <cellStyle name="货币 2 3 3 2 4 11 3" xfId="36280" xr:uid="{00000000-0005-0000-0000-0000E88D0000}"/>
    <cellStyle name="货币 2 3 3 2 4 11 4" xfId="41896" xr:uid="{00000000-0005-0000-0000-0000D8A30000}"/>
    <cellStyle name="货币 2 3 3 2 4 11 5" xfId="41897" xr:uid="{00000000-0005-0000-0000-0000D9A30000}"/>
    <cellStyle name="货币 2 3 3 2 4 11 6" xfId="41898" xr:uid="{00000000-0005-0000-0000-0000DAA30000}"/>
    <cellStyle name="货币 2 3 3 2 4 12" xfId="26859" xr:uid="{00000000-0005-0000-0000-00001B690000}"/>
    <cellStyle name="货币 2 3 3 2 4 13" xfId="26863" xr:uid="{00000000-0005-0000-0000-00001F690000}"/>
    <cellStyle name="货币 2 3 3 2 4 14" xfId="26867" xr:uid="{00000000-0005-0000-0000-000023690000}"/>
    <cellStyle name="货币 2 3 3 2 4 15" xfId="19073" xr:uid="{00000000-0005-0000-0000-0000B14A0000}"/>
    <cellStyle name="货币 2 3 3 2 4 16" xfId="19078" xr:uid="{00000000-0005-0000-0000-0000B64A0000}"/>
    <cellStyle name="货币 2 3 3 2 4 17" xfId="41900" xr:uid="{00000000-0005-0000-0000-0000DCA30000}"/>
    <cellStyle name="货币 2 3 3 2 4 18" xfId="41902" xr:uid="{00000000-0005-0000-0000-0000DEA30000}"/>
    <cellStyle name="货币 2 3 3 2 4 19" xfId="16108" xr:uid="{00000000-0005-0000-0000-00001C3F0000}"/>
    <cellStyle name="货币 2 3 3 2 4 2" xfId="41903" xr:uid="{00000000-0005-0000-0000-0000DFA30000}"/>
    <cellStyle name="货币 2 3 3 2 4 2 10" xfId="7390" xr:uid="{00000000-0005-0000-0000-00000E1D0000}"/>
    <cellStyle name="货币 2 3 3 2 4 2 11" xfId="7398" xr:uid="{00000000-0005-0000-0000-0000161D0000}"/>
    <cellStyle name="货币 2 3 3 2 4 2 12" xfId="19408" xr:uid="{00000000-0005-0000-0000-0000004C0000}"/>
    <cellStyle name="货币 2 3 3 2 4 2 13" xfId="19188" xr:uid="{00000000-0005-0000-0000-0000244B0000}"/>
    <cellStyle name="货币 2 3 3 2 4 2 14" xfId="19413" xr:uid="{00000000-0005-0000-0000-0000054C0000}"/>
    <cellStyle name="货币 2 3 3 2 4 2 15" xfId="19417" xr:uid="{00000000-0005-0000-0000-0000094C0000}"/>
    <cellStyle name="货币 2 3 3 2 4 2 16" xfId="19420" xr:uid="{00000000-0005-0000-0000-00000C4C0000}"/>
    <cellStyle name="货币 2 3 3 2 4 2 17" xfId="22380" xr:uid="{00000000-0005-0000-0000-00009C570000}"/>
    <cellStyle name="货币 2 3 3 2 4 2 18" xfId="41904" xr:uid="{00000000-0005-0000-0000-0000E0A30000}"/>
    <cellStyle name="货币 2 3 3 2 4 2 2" xfId="41905" xr:uid="{00000000-0005-0000-0000-0000E1A30000}"/>
    <cellStyle name="货币 2 3 3 2 4 2 2 10" xfId="41906" xr:uid="{00000000-0005-0000-0000-0000E2A30000}"/>
    <cellStyle name="货币 2 3 3 2 4 2 2 11" xfId="41907" xr:uid="{00000000-0005-0000-0000-0000E3A30000}"/>
    <cellStyle name="货币 2 3 3 2 4 2 2 12" xfId="41908" xr:uid="{00000000-0005-0000-0000-0000E4A30000}"/>
    <cellStyle name="货币 2 3 3 2 4 2 2 2" xfId="36517" xr:uid="{00000000-0005-0000-0000-0000D58E0000}"/>
    <cellStyle name="货币 2 3 3 2 4 2 2 2 2" xfId="16402" xr:uid="{00000000-0005-0000-0000-000042400000}"/>
    <cellStyle name="货币 2 3 3 2 4 2 2 2 2 2" xfId="8737" xr:uid="{00000000-0005-0000-0000-000051220000}"/>
    <cellStyle name="货币 2 3 3 2 4 2 2 2 3" xfId="16408" xr:uid="{00000000-0005-0000-0000-000048400000}"/>
    <cellStyle name="货币 2 3 3 2 4 2 2 2 4" xfId="23" xr:uid="{00000000-0005-0000-0000-000019000000}"/>
    <cellStyle name="货币 2 3 3 2 4 2 2 2 5" xfId="3672" xr:uid="{00000000-0005-0000-0000-0000880E0000}"/>
    <cellStyle name="货币 2 3 3 2 4 2 2 3" xfId="41911" xr:uid="{00000000-0005-0000-0000-0000E7A30000}"/>
    <cellStyle name="货币 2 3 3 2 4 2 2 3 2" xfId="41912" xr:uid="{00000000-0005-0000-0000-0000E8A30000}"/>
    <cellStyle name="货币 2 3 3 2 4 2 2 4" xfId="41915" xr:uid="{00000000-0005-0000-0000-0000EBA30000}"/>
    <cellStyle name="货币 2 3 3 2 4 2 2 5" xfId="41918" xr:uid="{00000000-0005-0000-0000-0000EEA30000}"/>
    <cellStyle name="货币 2 3 3 2 4 2 2 6" xfId="41920" xr:uid="{00000000-0005-0000-0000-0000F0A30000}"/>
    <cellStyle name="货币 2 3 3 2 4 2 2 7" xfId="41922" xr:uid="{00000000-0005-0000-0000-0000F2A30000}"/>
    <cellStyle name="货币 2 3 3 2 4 2 2 8" xfId="41924" xr:uid="{00000000-0005-0000-0000-0000F4A30000}"/>
    <cellStyle name="货币 2 3 3 2 4 2 2 9" xfId="41925" xr:uid="{00000000-0005-0000-0000-0000F5A30000}"/>
    <cellStyle name="货币 2 3 3 2 4 2 3" xfId="32039" xr:uid="{00000000-0005-0000-0000-0000577D0000}"/>
    <cellStyle name="货币 2 3 3 2 4 2 3 10" xfId="41927" xr:uid="{00000000-0005-0000-0000-0000F7A30000}"/>
    <cellStyle name="货币 2 3 3 2 4 2 3 11" xfId="21271" xr:uid="{00000000-0005-0000-0000-000047530000}"/>
    <cellStyle name="货币 2 3 3 2 4 2 3 12" xfId="41929" xr:uid="{00000000-0005-0000-0000-0000F9A30000}"/>
    <cellStyle name="货币 2 3 3 2 4 2 3 2" xfId="41930" xr:uid="{00000000-0005-0000-0000-0000FAA30000}"/>
    <cellStyle name="货币 2 3 3 2 4 2 3 2 2" xfId="16482" xr:uid="{00000000-0005-0000-0000-000092400000}"/>
    <cellStyle name="货币 2 3 3 2 4 2 3 2 2 2" xfId="41931" xr:uid="{00000000-0005-0000-0000-0000FBA30000}"/>
    <cellStyle name="货币 2 3 3 2 4 2 3 2 3" xfId="16486" xr:uid="{00000000-0005-0000-0000-000096400000}"/>
    <cellStyle name="货币 2 3 3 2 4 2 3 2 4" xfId="4902" xr:uid="{00000000-0005-0000-0000-000056130000}"/>
    <cellStyle name="货币 2 3 3 2 4 2 3 2 5" xfId="19559" xr:uid="{00000000-0005-0000-0000-0000974C0000}"/>
    <cellStyle name="货币 2 3 3 2 4 2 3 3" xfId="41932" xr:uid="{00000000-0005-0000-0000-0000FCA30000}"/>
    <cellStyle name="货币 2 3 3 2 4 2 3 3 2" xfId="19582" xr:uid="{00000000-0005-0000-0000-0000AE4C0000}"/>
    <cellStyle name="货币 2 3 3 2 4 2 3 4" xfId="41934" xr:uid="{00000000-0005-0000-0000-0000FEA30000}"/>
    <cellStyle name="货币 2 3 3 2 4 2 3 5" xfId="41936" xr:uid="{00000000-0005-0000-0000-000000A40000}"/>
    <cellStyle name="货币 2 3 3 2 4 2 3 6" xfId="24946" xr:uid="{00000000-0005-0000-0000-0000A2610000}"/>
    <cellStyle name="货币 2 3 3 2 4 2 3 7" xfId="24952" xr:uid="{00000000-0005-0000-0000-0000A8610000}"/>
    <cellStyle name="货币 2 3 3 2 4 2 3 8" xfId="33395" xr:uid="{00000000-0005-0000-0000-0000A3820000}"/>
    <cellStyle name="货币 2 3 3 2 4 2 3 9" xfId="33397" xr:uid="{00000000-0005-0000-0000-0000A5820000}"/>
    <cellStyle name="货币 2 3 3 2 4 2 4" xfId="41938" xr:uid="{00000000-0005-0000-0000-000002A40000}"/>
    <cellStyle name="货币 2 3 3 2 4 2 4 10" xfId="41939" xr:uid="{00000000-0005-0000-0000-000003A40000}"/>
    <cellStyle name="货币 2 3 3 2 4 2 4 2" xfId="41940" xr:uid="{00000000-0005-0000-0000-000004A40000}"/>
    <cellStyle name="货币 2 3 3 2 4 2 4 2 2" xfId="16568" xr:uid="{00000000-0005-0000-0000-0000E8400000}"/>
    <cellStyle name="货币 2 3 3 2 4 2 4 2 2 2" xfId="41941" xr:uid="{00000000-0005-0000-0000-000005A40000}"/>
    <cellStyle name="货币 2 3 3 2 4 2 4 2 3" xfId="16572" xr:uid="{00000000-0005-0000-0000-0000EC400000}"/>
    <cellStyle name="货币 2 3 3 2 4 2 4 2 4" xfId="16575" xr:uid="{00000000-0005-0000-0000-0000EF400000}"/>
    <cellStyle name="货币 2 3 3 2 4 2 4 2 5" xfId="41943" xr:uid="{00000000-0005-0000-0000-000007A40000}"/>
    <cellStyle name="货币 2 3 3 2 4 2 4 3" xfId="41944" xr:uid="{00000000-0005-0000-0000-000008A40000}"/>
    <cellStyle name="货币 2 3 3 2 4 2 4 3 2" xfId="19695" xr:uid="{00000000-0005-0000-0000-00001F4D0000}"/>
    <cellStyle name="货币 2 3 3 2 4 2 4 4" xfId="1911" xr:uid="{00000000-0005-0000-0000-0000A7070000}"/>
    <cellStyle name="货币 2 3 3 2 4 2 4 5" xfId="23598" xr:uid="{00000000-0005-0000-0000-00005E5C0000}"/>
    <cellStyle name="货币 2 3 3 2 4 2 4 6" xfId="23601" xr:uid="{00000000-0005-0000-0000-0000615C0000}"/>
    <cellStyle name="货币 2 3 3 2 4 2 4 7" xfId="23607" xr:uid="{00000000-0005-0000-0000-0000675C0000}"/>
    <cellStyle name="货币 2 3 3 2 4 2 4 8" xfId="23611" xr:uid="{00000000-0005-0000-0000-00006B5C0000}"/>
    <cellStyle name="货币 2 3 3 2 4 2 4 9" xfId="23614" xr:uid="{00000000-0005-0000-0000-00006E5C0000}"/>
    <cellStyle name="货币 2 3 3 2 4 2 5" xfId="41946" xr:uid="{00000000-0005-0000-0000-00000AA40000}"/>
    <cellStyle name="货币 2 3 3 2 4 2 5 10" xfId="41947" xr:uid="{00000000-0005-0000-0000-00000BA40000}"/>
    <cellStyle name="货币 2 3 3 2 4 2 5 2" xfId="29747" xr:uid="{00000000-0005-0000-0000-000063740000}"/>
    <cellStyle name="货币 2 3 3 2 4 2 5 2 2" xfId="29749" xr:uid="{00000000-0005-0000-0000-000065740000}"/>
    <cellStyle name="货币 2 3 3 2 4 2 5 2 2 2" xfId="5657" xr:uid="{00000000-0005-0000-0000-000049160000}"/>
    <cellStyle name="货币 2 3 3 2 4 2 5 2 3" xfId="29753" xr:uid="{00000000-0005-0000-0000-000069740000}"/>
    <cellStyle name="货币 2 3 3 2 4 2 5 2 4" xfId="23679" xr:uid="{00000000-0005-0000-0000-0000AF5C0000}"/>
    <cellStyle name="货币 2 3 3 2 4 2 5 2 5" xfId="23700" xr:uid="{00000000-0005-0000-0000-0000C45C0000}"/>
    <cellStyle name="货币 2 3 3 2 4 2 5 3" xfId="29755" xr:uid="{00000000-0005-0000-0000-00006B740000}"/>
    <cellStyle name="货币 2 3 3 2 4 2 5 3 2" xfId="41948" xr:uid="{00000000-0005-0000-0000-00000CA40000}"/>
    <cellStyle name="货币 2 3 3 2 4 2 5 4" xfId="868" xr:uid="{00000000-0005-0000-0000-000094030000}"/>
    <cellStyle name="货币 2 3 3 2 4 2 5 5" xfId="29757" xr:uid="{00000000-0005-0000-0000-00006D740000}"/>
    <cellStyle name="货币 2 3 3 2 4 2 5 6" xfId="41949" xr:uid="{00000000-0005-0000-0000-00000DA40000}"/>
    <cellStyle name="货币 2 3 3 2 4 2 5 7" xfId="41950" xr:uid="{00000000-0005-0000-0000-00000EA40000}"/>
    <cellStyle name="货币 2 3 3 2 4 2 5 8" xfId="41951" xr:uid="{00000000-0005-0000-0000-00000FA40000}"/>
    <cellStyle name="货币 2 3 3 2 4 2 5 9" xfId="41952" xr:uid="{00000000-0005-0000-0000-000010A40000}"/>
    <cellStyle name="货币 2 3 3 2 4 2 6" xfId="41954" xr:uid="{00000000-0005-0000-0000-000012A40000}"/>
    <cellStyle name="货币 2 3 3 2 4 2 6 2" xfId="41955" xr:uid="{00000000-0005-0000-0000-000013A40000}"/>
    <cellStyle name="货币 2 3 3 2 4 2 6 2 2" xfId="41956" xr:uid="{00000000-0005-0000-0000-000014A40000}"/>
    <cellStyle name="货币 2 3 3 2 4 2 6 3" xfId="41957" xr:uid="{00000000-0005-0000-0000-000015A40000}"/>
    <cellStyle name="货币 2 3 3 2 4 2 6 4" xfId="41958" xr:uid="{00000000-0005-0000-0000-000016A40000}"/>
    <cellStyle name="货币 2 3 3 2 4 2 6 5" xfId="41959" xr:uid="{00000000-0005-0000-0000-000017A40000}"/>
    <cellStyle name="货币 2 3 3 2 4 2 6 6" xfId="41960" xr:uid="{00000000-0005-0000-0000-000018A40000}"/>
    <cellStyle name="货币 2 3 3 2 4 2 6 7" xfId="41961" xr:uid="{00000000-0005-0000-0000-000019A40000}"/>
    <cellStyle name="货币 2 3 3 2 4 2 6 8" xfId="41962" xr:uid="{00000000-0005-0000-0000-00001AA40000}"/>
    <cellStyle name="货币 2 3 3 2 4 2 6 9" xfId="41963" xr:uid="{00000000-0005-0000-0000-00001BA40000}"/>
    <cellStyle name="货币 2 3 3 2 4 2 7" xfId="19373" xr:uid="{00000000-0005-0000-0000-0000DD4B0000}"/>
    <cellStyle name="货币 2 3 3 2 4 2 7 2" xfId="41964" xr:uid="{00000000-0005-0000-0000-00001CA40000}"/>
    <cellStyle name="货币 2 3 3 2 4 2 8" xfId="19377" xr:uid="{00000000-0005-0000-0000-0000E14B0000}"/>
    <cellStyle name="货币 2 3 3 2 4 2 9" xfId="19381" xr:uid="{00000000-0005-0000-0000-0000E54B0000}"/>
    <cellStyle name="货币 2 3 3 2 4 20" xfId="19072" xr:uid="{00000000-0005-0000-0000-0000B04A0000}"/>
    <cellStyle name="货币 2 3 3 2 4 21" xfId="19077" xr:uid="{00000000-0005-0000-0000-0000B54A0000}"/>
    <cellStyle name="货币 2 3 3 2 4 22" xfId="41899" xr:uid="{00000000-0005-0000-0000-0000DBA30000}"/>
    <cellStyle name="货币 2 3 3 2 4 23" xfId="41901" xr:uid="{00000000-0005-0000-0000-0000DDA30000}"/>
    <cellStyle name="货币 2 3 3 2 4 3" xfId="41965" xr:uid="{00000000-0005-0000-0000-00001DA40000}"/>
    <cellStyle name="货币 2 3 3 2 4 3 10" xfId="41966" xr:uid="{00000000-0005-0000-0000-00001EA40000}"/>
    <cellStyle name="货币 2 3 3 2 4 3 11" xfId="41967" xr:uid="{00000000-0005-0000-0000-00001FA40000}"/>
    <cellStyle name="货币 2 3 3 2 4 3 12" xfId="10266" xr:uid="{00000000-0005-0000-0000-00004A280000}"/>
    <cellStyle name="货币 2 3 3 2 4 3 13" xfId="28138" xr:uid="{00000000-0005-0000-0000-00001A6E0000}"/>
    <cellStyle name="货币 2 3 3 2 4 3 14" xfId="41968" xr:uid="{00000000-0005-0000-0000-000020A40000}"/>
    <cellStyle name="货币 2 3 3 2 4 3 15" xfId="41969" xr:uid="{00000000-0005-0000-0000-000021A40000}"/>
    <cellStyle name="货币 2 3 3 2 4 3 16" xfId="41970" xr:uid="{00000000-0005-0000-0000-000022A40000}"/>
    <cellStyle name="货币 2 3 3 2 4 3 17" xfId="41971" xr:uid="{00000000-0005-0000-0000-000023A40000}"/>
    <cellStyle name="货币 2 3 3 2 4 3 18" xfId="41972" xr:uid="{00000000-0005-0000-0000-000024A40000}"/>
    <cellStyle name="货币 2 3 3 2 4 3 2" xfId="32151" xr:uid="{00000000-0005-0000-0000-0000C77D0000}"/>
    <cellStyle name="货币 2 3 3 2 4 3 2 10" xfId="41973" xr:uid="{00000000-0005-0000-0000-000025A40000}"/>
    <cellStyle name="货币 2 3 3 2 4 3 2 2" xfId="41974" xr:uid="{00000000-0005-0000-0000-000026A40000}"/>
    <cellStyle name="货币 2 3 3 2 4 3 2 2 2" xfId="8272" xr:uid="{00000000-0005-0000-0000-000080200000}"/>
    <cellStyle name="货币 2 3 3 2 4 3 2 3" xfId="41975" xr:uid="{00000000-0005-0000-0000-000027A40000}"/>
    <cellStyle name="货币 2 3 3 2 4 3 2 4" xfId="41976" xr:uid="{00000000-0005-0000-0000-000028A40000}"/>
    <cellStyle name="货币 2 3 3 2 4 3 2 5" xfId="41977" xr:uid="{00000000-0005-0000-0000-000029A40000}"/>
    <cellStyle name="货币 2 3 3 2 4 3 2 6" xfId="41978" xr:uid="{00000000-0005-0000-0000-00002AA40000}"/>
    <cellStyle name="货币 2 3 3 2 4 3 2 7" xfId="41979" xr:uid="{00000000-0005-0000-0000-00002BA40000}"/>
    <cellStyle name="货币 2 3 3 2 4 3 2 8" xfId="41980" xr:uid="{00000000-0005-0000-0000-00002CA40000}"/>
    <cellStyle name="货币 2 3 3 2 4 3 2 9" xfId="41981" xr:uid="{00000000-0005-0000-0000-00002DA40000}"/>
    <cellStyle name="货币 2 3 3 2 4 3 3" xfId="32045" xr:uid="{00000000-0005-0000-0000-00005D7D0000}"/>
    <cellStyle name="货币 2 3 3 2 4 3 3 2" xfId="41982" xr:uid="{00000000-0005-0000-0000-00002EA40000}"/>
    <cellStyle name="货币 2 3 3 2 4 3 3 3" xfId="41983" xr:uid="{00000000-0005-0000-0000-00002FA40000}"/>
    <cellStyle name="货币 2 3 3 2 4 3 3 4" xfId="41984" xr:uid="{00000000-0005-0000-0000-000030A40000}"/>
    <cellStyle name="货币 2 3 3 2 4 3 3 5" xfId="41985" xr:uid="{00000000-0005-0000-0000-000031A40000}"/>
    <cellStyle name="货币 2 3 3 2 4 3 3 6" xfId="33408" xr:uid="{00000000-0005-0000-0000-0000B0820000}"/>
    <cellStyle name="货币 2 3 3 2 4 3 4" xfId="32154" xr:uid="{00000000-0005-0000-0000-0000CA7D0000}"/>
    <cellStyle name="货币 2 3 3 2 4 3 4 2" xfId="41986" xr:uid="{00000000-0005-0000-0000-000032A40000}"/>
    <cellStyle name="货币 2 3 3 2 4 3 4 3" xfId="35433" xr:uid="{00000000-0005-0000-0000-0000998A0000}"/>
    <cellStyle name="货币 2 3 3 2 4 3 4 4" xfId="35435" xr:uid="{00000000-0005-0000-0000-00009B8A0000}"/>
    <cellStyle name="货币 2 3 3 2 4 3 4 5" xfId="35437" xr:uid="{00000000-0005-0000-0000-00009D8A0000}"/>
    <cellStyle name="货币 2 3 3 2 4 3 4 6" xfId="33414" xr:uid="{00000000-0005-0000-0000-0000B6820000}"/>
    <cellStyle name="货币 2 3 3 2 4 3 5" xfId="32157" xr:uid="{00000000-0005-0000-0000-0000CD7D0000}"/>
    <cellStyle name="货币 2 3 3 2 4 3 5 2" xfId="41987" xr:uid="{00000000-0005-0000-0000-000033A40000}"/>
    <cellStyle name="货币 2 3 3 2 4 3 5 3" xfId="41988" xr:uid="{00000000-0005-0000-0000-000034A40000}"/>
    <cellStyle name="货币 2 3 3 2 4 3 5 4" xfId="41989" xr:uid="{00000000-0005-0000-0000-000035A40000}"/>
    <cellStyle name="货币 2 3 3 2 4 3 5 5" xfId="41990" xr:uid="{00000000-0005-0000-0000-000036A40000}"/>
    <cellStyle name="货币 2 3 3 2 4 3 5 6" xfId="41991" xr:uid="{00000000-0005-0000-0000-000037A40000}"/>
    <cellStyle name="货币 2 3 3 2 4 3 6" xfId="41993" xr:uid="{00000000-0005-0000-0000-000039A40000}"/>
    <cellStyle name="货币 2 3 3 2 4 3 6 2" xfId="41994" xr:uid="{00000000-0005-0000-0000-00003AA40000}"/>
    <cellStyle name="货币 2 3 3 2 4 3 6 3" xfId="41995" xr:uid="{00000000-0005-0000-0000-00003BA40000}"/>
    <cellStyle name="货币 2 3 3 2 4 3 6 4" xfId="41996" xr:uid="{00000000-0005-0000-0000-00003CA40000}"/>
    <cellStyle name="货币 2 3 3 2 4 3 6 5" xfId="41997" xr:uid="{00000000-0005-0000-0000-00003DA40000}"/>
    <cellStyle name="货币 2 3 3 2 4 3 6 6" xfId="41998" xr:uid="{00000000-0005-0000-0000-00003EA40000}"/>
    <cellStyle name="货币 2 3 3 2 4 3 7" xfId="42000" xr:uid="{00000000-0005-0000-0000-000040A40000}"/>
    <cellStyle name="货币 2 3 3 2 4 3 8" xfId="31291" xr:uid="{00000000-0005-0000-0000-00006B7A0000}"/>
    <cellStyle name="货币 2 3 3 2 4 3 9" xfId="31294" xr:uid="{00000000-0005-0000-0000-00006E7A0000}"/>
    <cellStyle name="货币 2 3 3 2 4 4" xfId="42001" xr:uid="{00000000-0005-0000-0000-000041A40000}"/>
    <cellStyle name="货币 2 3 3 2 4 4 10" xfId="15795" xr:uid="{00000000-0005-0000-0000-0000E33D0000}"/>
    <cellStyle name="货币 2 3 3 2 4 4 11" xfId="15800" xr:uid="{00000000-0005-0000-0000-0000E83D0000}"/>
    <cellStyle name="货币 2 3 3 2 4 4 12" xfId="15807" xr:uid="{00000000-0005-0000-0000-0000EF3D0000}"/>
    <cellStyle name="货币 2 3 3 2 4 4 13" xfId="38276" xr:uid="{00000000-0005-0000-0000-0000B4950000}"/>
    <cellStyle name="货币 2 3 3 2 4 4 14" xfId="38278" xr:uid="{00000000-0005-0000-0000-0000B6950000}"/>
    <cellStyle name="货币 2 3 3 2 4 4 15" xfId="42002" xr:uid="{00000000-0005-0000-0000-000042A40000}"/>
    <cellStyle name="货币 2 3 3 2 4 4 2" xfId="33771" xr:uid="{00000000-0005-0000-0000-00001B840000}"/>
    <cellStyle name="货币 2 3 3 2 4 4 2 2" xfId="42003" xr:uid="{00000000-0005-0000-0000-000043A40000}"/>
    <cellStyle name="货币 2 3 3 2 4 4 2 2 2" xfId="4329" xr:uid="{00000000-0005-0000-0000-000019110000}"/>
    <cellStyle name="货币 2 3 3 2 4 4 2 3" xfId="42004" xr:uid="{00000000-0005-0000-0000-000044A40000}"/>
    <cellStyle name="货币 2 3 3 2 4 4 2 4" xfId="42005" xr:uid="{00000000-0005-0000-0000-000045A40000}"/>
    <cellStyle name="货币 2 3 3 2 4 4 2 5" xfId="42006" xr:uid="{00000000-0005-0000-0000-000046A40000}"/>
    <cellStyle name="货币 2 3 3 2 4 4 2 6" xfId="42007" xr:uid="{00000000-0005-0000-0000-000047A40000}"/>
    <cellStyle name="货币 2 3 3 2 4 4 2 7" xfId="36633" xr:uid="{00000000-0005-0000-0000-0000498F0000}"/>
    <cellStyle name="货币 2 3 3 2 4 4 2 8" xfId="18154" xr:uid="{00000000-0005-0000-0000-00001A470000}"/>
    <cellStyle name="货币 2 3 3 2 4 4 2 9" xfId="18166" xr:uid="{00000000-0005-0000-0000-000026470000}"/>
    <cellStyle name="货币 2 3 3 2 4 4 3" xfId="32051" xr:uid="{00000000-0005-0000-0000-0000637D0000}"/>
    <cellStyle name="货币 2 3 3 2 4 4 3 2" xfId="42008" xr:uid="{00000000-0005-0000-0000-000048A40000}"/>
    <cellStyle name="货币 2 3 3 2 4 4 3 3" xfId="15736" xr:uid="{00000000-0005-0000-0000-0000A83D0000}"/>
    <cellStyle name="货币 2 3 3 2 4 4 3 4" xfId="15739" xr:uid="{00000000-0005-0000-0000-0000AB3D0000}"/>
    <cellStyle name="货币 2 3 3 2 4 4 3 5" xfId="25897" xr:uid="{00000000-0005-0000-0000-000059650000}"/>
    <cellStyle name="货币 2 3 3 2 4 4 3 6" xfId="25899" xr:uid="{00000000-0005-0000-0000-00005B650000}"/>
    <cellStyle name="货币 2 3 3 2 4 4 4" xfId="33775" xr:uid="{00000000-0005-0000-0000-00001F840000}"/>
    <cellStyle name="货币 2 3 3 2 4 4 4 2" xfId="42009" xr:uid="{00000000-0005-0000-0000-000049A40000}"/>
    <cellStyle name="货币 2 3 3 2 4 4 5" xfId="33778" xr:uid="{00000000-0005-0000-0000-000022840000}"/>
    <cellStyle name="货币 2 3 3 2 4 4 6" xfId="33180" xr:uid="{00000000-0005-0000-0000-0000CC810000}"/>
    <cellStyle name="货币 2 3 3 2 4 4 7" xfId="33781" xr:uid="{00000000-0005-0000-0000-000025840000}"/>
    <cellStyle name="货币 2 3 3 2 4 4 8" xfId="31299" xr:uid="{00000000-0005-0000-0000-0000737A0000}"/>
    <cellStyle name="货币 2 3 3 2 4 4 9" xfId="31301" xr:uid="{00000000-0005-0000-0000-0000757A0000}"/>
    <cellStyle name="货币 2 3 3 2 4 5" xfId="42010" xr:uid="{00000000-0005-0000-0000-00004AA40000}"/>
    <cellStyle name="货币 2 3 3 2 4 5 10" xfId="7903" xr:uid="{00000000-0005-0000-0000-00000F1F0000}"/>
    <cellStyle name="货币 2 3 3 2 4 5 11" xfId="7917" xr:uid="{00000000-0005-0000-0000-00001D1F0000}"/>
    <cellStyle name="货币 2 3 3 2 4 5 12" xfId="7922" xr:uid="{00000000-0005-0000-0000-0000221F0000}"/>
    <cellStyle name="货币 2 3 3 2 4 5 13" xfId="7934" xr:uid="{00000000-0005-0000-0000-00002E1F0000}"/>
    <cellStyle name="货币 2 3 3 2 4 5 2" xfId="33788" xr:uid="{00000000-0005-0000-0000-00002C840000}"/>
    <cellStyle name="货币 2 3 3 2 4 5 2 2" xfId="42011" xr:uid="{00000000-0005-0000-0000-00004BA40000}"/>
    <cellStyle name="货币 2 3 3 2 4 5 2 2 2" xfId="27487" xr:uid="{00000000-0005-0000-0000-00008F6B0000}"/>
    <cellStyle name="货币 2 3 3 2 4 5 2 3" xfId="42012" xr:uid="{00000000-0005-0000-0000-00004CA40000}"/>
    <cellStyle name="货币 2 3 3 2 4 5 2 4" xfId="42013" xr:uid="{00000000-0005-0000-0000-00004DA40000}"/>
    <cellStyle name="货币 2 3 3 2 4 5 2 5" xfId="42014" xr:uid="{00000000-0005-0000-0000-00004EA40000}"/>
    <cellStyle name="货币 2 3 3 2 4 5 2 6" xfId="42015" xr:uid="{00000000-0005-0000-0000-00004FA40000}"/>
    <cellStyle name="货币 2 3 3 2 4 5 2 7" xfId="35297" xr:uid="{00000000-0005-0000-0000-0000118A0000}"/>
    <cellStyle name="货币 2 3 3 2 4 5 2 8" xfId="18660" xr:uid="{00000000-0005-0000-0000-000014490000}"/>
    <cellStyle name="货币 2 3 3 2 4 5 2 9" xfId="18670" xr:uid="{00000000-0005-0000-0000-00001E490000}"/>
    <cellStyle name="货币 2 3 3 2 4 5 3" xfId="32056" xr:uid="{00000000-0005-0000-0000-0000687D0000}"/>
    <cellStyle name="货币 2 3 3 2 4 5 3 2" xfId="42016" xr:uid="{00000000-0005-0000-0000-000050A40000}"/>
    <cellStyle name="货币 2 3 3 2 4 5 3 3" xfId="42017" xr:uid="{00000000-0005-0000-0000-000051A40000}"/>
    <cellStyle name="货币 2 3 3 2 4 5 3 4" xfId="42018" xr:uid="{00000000-0005-0000-0000-000052A40000}"/>
    <cellStyle name="货币 2 3 3 2 4 5 3 5" xfId="42019" xr:uid="{00000000-0005-0000-0000-000053A40000}"/>
    <cellStyle name="货币 2 3 3 2 4 5 3 6" xfId="33426" xr:uid="{00000000-0005-0000-0000-0000C2820000}"/>
    <cellStyle name="货币 2 3 3 2 4 5 4" xfId="33791" xr:uid="{00000000-0005-0000-0000-00002F840000}"/>
    <cellStyle name="货币 2 3 3 2 4 5 4 2" xfId="42020" xr:uid="{00000000-0005-0000-0000-000054A40000}"/>
    <cellStyle name="货币 2 3 3 2 4 5 5" xfId="14998" xr:uid="{00000000-0005-0000-0000-0000C63A0000}"/>
    <cellStyle name="货币 2 3 3 2 4 5 6" xfId="42022" xr:uid="{00000000-0005-0000-0000-000056A40000}"/>
    <cellStyle name="货币 2 3 3 2 4 5 7" xfId="42024" xr:uid="{00000000-0005-0000-0000-000058A40000}"/>
    <cellStyle name="货币 2 3 3 2 4 5 8" xfId="31306" xr:uid="{00000000-0005-0000-0000-00007A7A0000}"/>
    <cellStyle name="货币 2 3 3 2 4 5 9" xfId="42025" xr:uid="{00000000-0005-0000-0000-000059A40000}"/>
    <cellStyle name="货币 2 3 3 2 4 6" xfId="42026" xr:uid="{00000000-0005-0000-0000-00005AA40000}"/>
    <cellStyle name="货币 2 3 3 2 4 6 10" xfId="38307" xr:uid="{00000000-0005-0000-0000-0000D3950000}"/>
    <cellStyle name="货币 2 3 3 2 4 6 11" xfId="38309" xr:uid="{00000000-0005-0000-0000-0000D5950000}"/>
    <cellStyle name="货币 2 3 3 2 4 6 12" xfId="42027" xr:uid="{00000000-0005-0000-0000-00005BA40000}"/>
    <cellStyle name="货币 2 3 3 2 4 6 2" xfId="42028" xr:uid="{00000000-0005-0000-0000-00005CA40000}"/>
    <cellStyle name="货币 2 3 3 2 4 6 2 2" xfId="42029" xr:uid="{00000000-0005-0000-0000-00005DA40000}"/>
    <cellStyle name="货币 2 3 3 2 4 6 2 2 2" xfId="42030" xr:uid="{00000000-0005-0000-0000-00005EA40000}"/>
    <cellStyle name="货币 2 3 3 2 4 6 2 3" xfId="42031" xr:uid="{00000000-0005-0000-0000-00005FA40000}"/>
    <cellStyle name="货币 2 3 3 2 4 6 2 4" xfId="42032" xr:uid="{00000000-0005-0000-0000-000060A40000}"/>
    <cellStyle name="货币 2 3 3 2 4 6 2 5" xfId="42033" xr:uid="{00000000-0005-0000-0000-000061A40000}"/>
    <cellStyle name="货币 2 3 3 2 4 6 2 6" xfId="42034" xr:uid="{00000000-0005-0000-0000-000062A40000}"/>
    <cellStyle name="货币 2 3 3 2 4 6 2 7" xfId="38313" xr:uid="{00000000-0005-0000-0000-0000D9950000}"/>
    <cellStyle name="货币 2 3 3 2 4 6 2 8" xfId="12748" xr:uid="{00000000-0005-0000-0000-0000FC310000}"/>
    <cellStyle name="货币 2 3 3 2 4 6 2 9" xfId="12753" xr:uid="{00000000-0005-0000-0000-000001320000}"/>
    <cellStyle name="货币 2 3 3 2 4 6 3" xfId="30198" xr:uid="{00000000-0005-0000-0000-000026760000}"/>
    <cellStyle name="货币 2 3 3 2 4 6 3 2" xfId="32630" xr:uid="{00000000-0005-0000-0000-0000A67F0000}"/>
    <cellStyle name="货币 2 3 3 2 4 6 3 3" xfId="42035" xr:uid="{00000000-0005-0000-0000-000063A40000}"/>
    <cellStyle name="货币 2 3 3 2 4 6 3 4" xfId="42036" xr:uid="{00000000-0005-0000-0000-000064A40000}"/>
    <cellStyle name="货币 2 3 3 2 4 6 3 5" xfId="42037" xr:uid="{00000000-0005-0000-0000-000065A40000}"/>
    <cellStyle name="货币 2 3 3 2 4 6 3 6" xfId="42038" xr:uid="{00000000-0005-0000-0000-000066A40000}"/>
    <cellStyle name="货币 2 3 3 2 4 6 4" xfId="32632" xr:uid="{00000000-0005-0000-0000-0000A87F0000}"/>
    <cellStyle name="货币 2 3 3 2 4 6 4 2" xfId="42039" xr:uid="{00000000-0005-0000-0000-000067A40000}"/>
    <cellStyle name="货币 2 3 3 2 4 6 5" xfId="42040" xr:uid="{00000000-0005-0000-0000-000068A40000}"/>
    <cellStyle name="货币 2 3 3 2 4 6 6" xfId="42041" xr:uid="{00000000-0005-0000-0000-000069A40000}"/>
    <cellStyle name="货币 2 3 3 2 4 6 7" xfId="42042" xr:uid="{00000000-0005-0000-0000-00006AA40000}"/>
    <cellStyle name="货币 2 3 3 2 4 6 8" xfId="31310" xr:uid="{00000000-0005-0000-0000-00007E7A0000}"/>
    <cellStyle name="货币 2 3 3 2 4 6 9" xfId="42043" xr:uid="{00000000-0005-0000-0000-00006BA40000}"/>
    <cellStyle name="货币 2 3 3 2 4 7" xfId="26822" xr:uid="{00000000-0005-0000-0000-0000F6680000}"/>
    <cellStyle name="货币 2 3 3 2 4 7 2" xfId="42044" xr:uid="{00000000-0005-0000-0000-00006CA40000}"/>
    <cellStyle name="货币 2 3 3 2 4 7 2 2" xfId="42045" xr:uid="{00000000-0005-0000-0000-00006DA40000}"/>
    <cellStyle name="货币 2 3 3 2 4 7 3" xfId="42046" xr:uid="{00000000-0005-0000-0000-00006EA40000}"/>
    <cellStyle name="货币 2 3 3 2 4 7 4" xfId="31608" xr:uid="{00000000-0005-0000-0000-0000A87B0000}"/>
    <cellStyle name="货币 2 3 3 2 4 7 5" xfId="31610" xr:uid="{00000000-0005-0000-0000-0000AA7B0000}"/>
    <cellStyle name="货币 2 3 3 2 4 7 6" xfId="42047" xr:uid="{00000000-0005-0000-0000-00006FA40000}"/>
    <cellStyle name="货币 2 3 3 2 4 7 7" xfId="19429" xr:uid="{00000000-0005-0000-0000-0000154C0000}"/>
    <cellStyle name="货币 2 3 3 2 4 7 8" xfId="19431" xr:uid="{00000000-0005-0000-0000-0000174C0000}"/>
    <cellStyle name="货币 2 3 3 2 4 7 9" xfId="19433" xr:uid="{00000000-0005-0000-0000-0000194C0000}"/>
    <cellStyle name="货币 2 3 3 2 4 8" xfId="26828" xr:uid="{00000000-0005-0000-0000-0000FC680000}"/>
    <cellStyle name="货币 2 3 3 2 4 8 2" xfId="42048" xr:uid="{00000000-0005-0000-0000-000070A40000}"/>
    <cellStyle name="货币 2 3 3 2 4 8 3" xfId="32634" xr:uid="{00000000-0005-0000-0000-0000AA7F0000}"/>
    <cellStyle name="货币 2 3 3 2 4 8 4" xfId="31612" xr:uid="{00000000-0005-0000-0000-0000AC7B0000}"/>
    <cellStyle name="货币 2 3 3 2 4 8 5" xfId="42049" xr:uid="{00000000-0005-0000-0000-000071A40000}"/>
    <cellStyle name="货币 2 3 3 2 4 8 6" xfId="42050" xr:uid="{00000000-0005-0000-0000-000072A40000}"/>
    <cellStyle name="货币 2 3 3 2 4 9" xfId="26831" xr:uid="{00000000-0005-0000-0000-0000FF680000}"/>
    <cellStyle name="货币 2 3 3 2 4 9 2" xfId="42051" xr:uid="{00000000-0005-0000-0000-000073A40000}"/>
    <cellStyle name="货币 2 3 3 2 4 9 3" xfId="42052" xr:uid="{00000000-0005-0000-0000-000074A40000}"/>
    <cellStyle name="货币 2 3 3 2 4 9 4" xfId="31615" xr:uid="{00000000-0005-0000-0000-0000AF7B0000}"/>
    <cellStyle name="货币 2 3 3 2 4 9 5" xfId="42053" xr:uid="{00000000-0005-0000-0000-000075A40000}"/>
    <cellStyle name="货币 2 3 3 2 4 9 6" xfId="33202" xr:uid="{00000000-0005-0000-0000-0000E2810000}"/>
    <cellStyle name="货币 2 3 3 2 5" xfId="38533" xr:uid="{00000000-0005-0000-0000-0000B5960000}"/>
    <cellStyle name="货币 2 3 3 2 5 10" xfId="34297" xr:uid="{00000000-0005-0000-0000-000029860000}"/>
    <cellStyle name="货币 2 3 3 2 5 11" xfId="40858" xr:uid="{00000000-0005-0000-0000-0000CA9F0000}"/>
    <cellStyle name="货币 2 3 3 2 5 12" xfId="40875" xr:uid="{00000000-0005-0000-0000-0000DB9F0000}"/>
    <cellStyle name="货币 2 3 3 2 5 13" xfId="40885" xr:uid="{00000000-0005-0000-0000-0000E59F0000}"/>
    <cellStyle name="货币 2 3 3 2 5 14" xfId="40900" xr:uid="{00000000-0005-0000-0000-0000F49F0000}"/>
    <cellStyle name="货币 2 3 3 2 5 15" xfId="40909" xr:uid="{00000000-0005-0000-0000-0000FD9F0000}"/>
    <cellStyle name="货币 2 3 3 2 5 16" xfId="40912" xr:uid="{00000000-0005-0000-0000-000000A00000}"/>
    <cellStyle name="货币 2 3 3 2 5 17" xfId="40914" xr:uid="{00000000-0005-0000-0000-000002A00000}"/>
    <cellStyle name="货币 2 3 3 2 5 18" xfId="42054" xr:uid="{00000000-0005-0000-0000-000076A40000}"/>
    <cellStyle name="货币 2 3 3 2 5 2" xfId="35429" xr:uid="{00000000-0005-0000-0000-0000958A0000}"/>
    <cellStyle name="货币 2 3 3 2 5 2 10" xfId="42055" xr:uid="{00000000-0005-0000-0000-000077A40000}"/>
    <cellStyle name="货币 2 3 3 2 5 2 11" xfId="42056" xr:uid="{00000000-0005-0000-0000-000078A40000}"/>
    <cellStyle name="货币 2 3 3 2 5 2 12" xfId="42057" xr:uid="{00000000-0005-0000-0000-000079A40000}"/>
    <cellStyle name="货币 2 3 3 2 5 2 13" xfId="42058" xr:uid="{00000000-0005-0000-0000-00007AA40000}"/>
    <cellStyle name="货币 2 3 3 2 5 2 14" xfId="42059" xr:uid="{00000000-0005-0000-0000-00007BA40000}"/>
    <cellStyle name="货币 2 3 3 2 5 2 2" xfId="42060" xr:uid="{00000000-0005-0000-0000-00007CA40000}"/>
    <cellStyle name="货币 2 3 3 2 5 2 2 10" xfId="42061" xr:uid="{00000000-0005-0000-0000-00007DA40000}"/>
    <cellStyle name="货币 2 3 3 2 5 2 2 2" xfId="36701" xr:uid="{00000000-0005-0000-0000-00008D8F0000}"/>
    <cellStyle name="货币 2 3 3 2 5 2 2 2 2" xfId="2253" xr:uid="{00000000-0005-0000-0000-0000FD080000}"/>
    <cellStyle name="货币 2 3 3 2 5 2 2 3" xfId="39165" xr:uid="{00000000-0005-0000-0000-00002D990000}"/>
    <cellStyle name="货币 2 3 3 2 5 2 2 4" xfId="39168" xr:uid="{00000000-0005-0000-0000-000030990000}"/>
    <cellStyle name="货币 2 3 3 2 5 2 2 5" xfId="42062" xr:uid="{00000000-0005-0000-0000-00007EA40000}"/>
    <cellStyle name="货币 2 3 3 2 5 2 2 6" xfId="42063" xr:uid="{00000000-0005-0000-0000-00007FA40000}"/>
    <cellStyle name="货币 2 3 3 2 5 2 2 7" xfId="42064" xr:uid="{00000000-0005-0000-0000-000080A40000}"/>
    <cellStyle name="货币 2 3 3 2 5 2 2 8" xfId="42065" xr:uid="{00000000-0005-0000-0000-000081A40000}"/>
    <cellStyle name="货币 2 3 3 2 5 2 2 9" xfId="42066" xr:uid="{00000000-0005-0000-0000-000082A40000}"/>
    <cellStyle name="货币 2 3 3 2 5 2 3" xfId="42068" xr:uid="{00000000-0005-0000-0000-000084A40000}"/>
    <cellStyle name="货币 2 3 3 2 5 2 3 2" xfId="42070" xr:uid="{00000000-0005-0000-0000-000086A40000}"/>
    <cellStyle name="货币 2 3 3 2 5 2 3 3" xfId="42072" xr:uid="{00000000-0005-0000-0000-000088A40000}"/>
    <cellStyle name="货币 2 3 3 2 5 2 3 4" xfId="42074" xr:uid="{00000000-0005-0000-0000-00008AA40000}"/>
    <cellStyle name="货币 2 3 3 2 5 2 3 5" xfId="42076" xr:uid="{00000000-0005-0000-0000-00008CA40000}"/>
    <cellStyle name="货币 2 3 3 2 5 2 3 6" xfId="33465" xr:uid="{00000000-0005-0000-0000-0000E9820000}"/>
    <cellStyle name="货币 2 3 3 2 5 2 4" xfId="42078" xr:uid="{00000000-0005-0000-0000-00008EA40000}"/>
    <cellStyle name="货币 2 3 3 2 5 2 4 2" xfId="42079" xr:uid="{00000000-0005-0000-0000-00008FA40000}"/>
    <cellStyle name="货币 2 3 3 2 5 2 4 3" xfId="42080" xr:uid="{00000000-0005-0000-0000-000090A40000}"/>
    <cellStyle name="货币 2 3 3 2 5 2 4 4" xfId="42081" xr:uid="{00000000-0005-0000-0000-000091A40000}"/>
    <cellStyle name="货币 2 3 3 2 5 2 4 5" xfId="42082" xr:uid="{00000000-0005-0000-0000-000092A40000}"/>
    <cellStyle name="货币 2 3 3 2 5 2 5" xfId="42084" xr:uid="{00000000-0005-0000-0000-000094A40000}"/>
    <cellStyle name="货币 2 3 3 2 5 2 6" xfId="42086" xr:uid="{00000000-0005-0000-0000-000096A40000}"/>
    <cellStyle name="货币 2 3 3 2 5 2 7" xfId="34415" xr:uid="{00000000-0005-0000-0000-00009F860000}"/>
    <cellStyle name="货币 2 3 3 2 5 2 8" xfId="31317" xr:uid="{00000000-0005-0000-0000-0000857A0000}"/>
    <cellStyle name="货币 2 3 3 2 5 2 9" xfId="34426" xr:uid="{00000000-0005-0000-0000-0000AA860000}"/>
    <cellStyle name="货币 2 3 3 2 5 3" xfId="42087" xr:uid="{00000000-0005-0000-0000-000097A40000}"/>
    <cellStyle name="货币 2 3 3 2 5 3 10" xfId="42088" xr:uid="{00000000-0005-0000-0000-000098A40000}"/>
    <cellStyle name="货币 2 3 3 2 5 3 11" xfId="42090" xr:uid="{00000000-0005-0000-0000-00009AA40000}"/>
    <cellStyle name="货币 2 3 3 2 5 3 12" xfId="42093" xr:uid="{00000000-0005-0000-0000-00009DA40000}"/>
    <cellStyle name="货币 2 3 3 2 5 3 2" xfId="42095" xr:uid="{00000000-0005-0000-0000-00009FA40000}"/>
    <cellStyle name="货币 2 3 3 2 5 3 2 2" xfId="42096" xr:uid="{00000000-0005-0000-0000-0000A0A40000}"/>
    <cellStyle name="货币 2 3 3 2 5 3 2 2 2" xfId="523" xr:uid="{00000000-0005-0000-0000-00002E020000}"/>
    <cellStyle name="货币 2 3 3 2 5 3 2 3" xfId="42097" xr:uid="{00000000-0005-0000-0000-0000A1A40000}"/>
    <cellStyle name="货币 2 3 3 2 5 3 2 4" xfId="42098" xr:uid="{00000000-0005-0000-0000-0000A2A40000}"/>
    <cellStyle name="货币 2 3 3 2 5 3 2 5" xfId="42099" xr:uid="{00000000-0005-0000-0000-0000A3A40000}"/>
    <cellStyle name="货币 2 3 3 2 5 3 3" xfId="42102" xr:uid="{00000000-0005-0000-0000-0000A6A40000}"/>
    <cellStyle name="货币 2 3 3 2 5 3 3 2" xfId="42103" xr:uid="{00000000-0005-0000-0000-0000A7A40000}"/>
    <cellStyle name="货币 2 3 3 2 5 3 4" xfId="42105" xr:uid="{00000000-0005-0000-0000-0000A9A40000}"/>
    <cellStyle name="货币 2 3 3 2 5 3 5" xfId="42107" xr:uid="{00000000-0005-0000-0000-0000ABA40000}"/>
    <cellStyle name="货币 2 3 3 2 5 3 6" xfId="42108" xr:uid="{00000000-0005-0000-0000-0000ACA40000}"/>
    <cellStyle name="货币 2 3 3 2 5 3 7" xfId="34441" xr:uid="{00000000-0005-0000-0000-0000B9860000}"/>
    <cellStyle name="货币 2 3 3 2 5 3 8" xfId="31320" xr:uid="{00000000-0005-0000-0000-0000887A0000}"/>
    <cellStyle name="货币 2 3 3 2 5 3 9" xfId="34452" xr:uid="{00000000-0005-0000-0000-0000C4860000}"/>
    <cellStyle name="货币 2 3 3 2 5 4" xfId="42109" xr:uid="{00000000-0005-0000-0000-0000ADA40000}"/>
    <cellStyle name="货币 2 3 3 2 5 4 10" xfId="38381" xr:uid="{00000000-0005-0000-0000-00001D960000}"/>
    <cellStyle name="货币 2 3 3 2 5 4 11" xfId="38383" xr:uid="{00000000-0005-0000-0000-00001F960000}"/>
    <cellStyle name="货币 2 3 3 2 5 4 2" xfId="33806" xr:uid="{00000000-0005-0000-0000-00003E840000}"/>
    <cellStyle name="货币 2 3 3 2 5 4 2 2" xfId="32557" xr:uid="{00000000-0005-0000-0000-00005D7F0000}"/>
    <cellStyle name="货币 2 3 3 2 5 4 2 2 2" xfId="19008" xr:uid="{00000000-0005-0000-0000-0000704A0000}"/>
    <cellStyle name="货币 2 3 3 2 5 4 2 3" xfId="32559" xr:uid="{00000000-0005-0000-0000-00005F7F0000}"/>
    <cellStyle name="货币 2 3 3 2 5 4 2 4" xfId="32561" xr:uid="{00000000-0005-0000-0000-0000617F0000}"/>
    <cellStyle name="货币 2 3 3 2 5 4 2 5" xfId="42110" xr:uid="{00000000-0005-0000-0000-0000AEA40000}"/>
    <cellStyle name="货币 2 3 3 2 5 4 3" xfId="33809" xr:uid="{00000000-0005-0000-0000-000041840000}"/>
    <cellStyle name="货币 2 3 3 2 5 4 3 2" xfId="32576" xr:uid="{00000000-0005-0000-0000-0000707F0000}"/>
    <cellStyle name="货币 2 3 3 2 5 4 4" xfId="33812" xr:uid="{00000000-0005-0000-0000-000044840000}"/>
    <cellStyle name="货币 2 3 3 2 5 4 5" xfId="33815" xr:uid="{00000000-0005-0000-0000-000047840000}"/>
    <cellStyle name="货币 2 3 3 2 5 4 6" xfId="33818" xr:uid="{00000000-0005-0000-0000-00004A840000}"/>
    <cellStyle name="货币 2 3 3 2 5 4 7" xfId="33821" xr:uid="{00000000-0005-0000-0000-00004D840000}"/>
    <cellStyle name="货币 2 3 3 2 5 4 8" xfId="34474" xr:uid="{00000000-0005-0000-0000-0000DA860000}"/>
    <cellStyle name="货币 2 3 3 2 5 4 9" xfId="34485" xr:uid="{00000000-0005-0000-0000-0000E5860000}"/>
    <cellStyle name="货币 2 3 3 2 5 5" xfId="42111" xr:uid="{00000000-0005-0000-0000-0000AFA40000}"/>
    <cellStyle name="货币 2 3 3 2 5 5 10" xfId="38421" xr:uid="{00000000-0005-0000-0000-000045960000}"/>
    <cellStyle name="货币 2 3 3 2 5 5 2" xfId="33830" xr:uid="{00000000-0005-0000-0000-000056840000}"/>
    <cellStyle name="货币 2 3 3 2 5 5 2 2" xfId="42112" xr:uid="{00000000-0005-0000-0000-0000B0A40000}"/>
    <cellStyle name="货币 2 3 3 2 5 5 2 2 2" xfId="34559" xr:uid="{00000000-0005-0000-0000-00002F870000}"/>
    <cellStyle name="货币 2 3 3 2 5 5 2 3" xfId="42113" xr:uid="{00000000-0005-0000-0000-0000B1A40000}"/>
    <cellStyle name="货币 2 3 3 2 5 5 2 4" xfId="42114" xr:uid="{00000000-0005-0000-0000-0000B2A40000}"/>
    <cellStyle name="货币 2 3 3 2 5 5 2 5" xfId="21333" xr:uid="{00000000-0005-0000-0000-000085530000}"/>
    <cellStyle name="货币 2 3 3 2 5 5 3" xfId="33832" xr:uid="{00000000-0005-0000-0000-000058840000}"/>
    <cellStyle name="货币 2 3 3 2 5 5 3 2" xfId="42115" xr:uid="{00000000-0005-0000-0000-0000B3A40000}"/>
    <cellStyle name="货币 2 3 3 2 5 5 4" xfId="33834" xr:uid="{00000000-0005-0000-0000-00005A840000}"/>
    <cellStyle name="货币 2 3 3 2 5 5 5" xfId="42116" xr:uid="{00000000-0005-0000-0000-0000B4A40000}"/>
    <cellStyle name="货币 2 3 3 2 5 5 6" xfId="42117" xr:uid="{00000000-0005-0000-0000-0000B5A40000}"/>
    <cellStyle name="货币 2 3 3 2 5 5 7" xfId="34493" xr:uid="{00000000-0005-0000-0000-0000ED860000}"/>
    <cellStyle name="货币 2 3 3 2 5 5 8" xfId="34495" xr:uid="{00000000-0005-0000-0000-0000EF860000}"/>
    <cellStyle name="货币 2 3 3 2 5 5 9" xfId="34497" xr:uid="{00000000-0005-0000-0000-0000F1860000}"/>
    <cellStyle name="货币 2 3 3 2 5 6" xfId="42119" xr:uid="{00000000-0005-0000-0000-0000B7A40000}"/>
    <cellStyle name="货币 2 3 3 2 5 6 2" xfId="42120" xr:uid="{00000000-0005-0000-0000-0000B8A40000}"/>
    <cellStyle name="货币 2 3 3 2 5 6 2 2" xfId="42123" xr:uid="{00000000-0005-0000-0000-0000BBA40000}"/>
    <cellStyle name="货币 2 3 3 2 5 6 3" xfId="42124" xr:uid="{00000000-0005-0000-0000-0000BCA40000}"/>
    <cellStyle name="货币 2 3 3 2 5 6 4" xfId="42125" xr:uid="{00000000-0005-0000-0000-0000BDA40000}"/>
    <cellStyle name="货币 2 3 3 2 5 6 5" xfId="42126" xr:uid="{00000000-0005-0000-0000-0000BEA40000}"/>
    <cellStyle name="货币 2 3 3 2 5 6 6" xfId="42127" xr:uid="{00000000-0005-0000-0000-0000BFA40000}"/>
    <cellStyle name="货币 2 3 3 2 5 6 7" xfId="34506" xr:uid="{00000000-0005-0000-0000-0000FA860000}"/>
    <cellStyle name="货币 2 3 3 2 5 6 8" xfId="34508" xr:uid="{00000000-0005-0000-0000-0000FC860000}"/>
    <cellStyle name="货币 2 3 3 2 5 6 9" xfId="34510" xr:uid="{00000000-0005-0000-0000-0000FE860000}"/>
    <cellStyle name="货币 2 3 3 2 5 7" xfId="30206" xr:uid="{00000000-0005-0000-0000-00002E760000}"/>
    <cellStyle name="货币 2 3 3 2 5 7 2" xfId="42128" xr:uid="{00000000-0005-0000-0000-0000C0A40000}"/>
    <cellStyle name="货币 2 3 3 2 5 8" xfId="42129" xr:uid="{00000000-0005-0000-0000-0000C1A40000}"/>
    <cellStyle name="货币 2 3 3 2 5 9" xfId="42131" xr:uid="{00000000-0005-0000-0000-0000C3A40000}"/>
    <cellStyle name="货币 2 3 3 2 6" xfId="38535" xr:uid="{00000000-0005-0000-0000-0000B7960000}"/>
    <cellStyle name="货币 2 3 3 2 6 10" xfId="29481" xr:uid="{00000000-0005-0000-0000-000059730000}"/>
    <cellStyle name="货币 2 3 3 2 6 11" xfId="40998" xr:uid="{00000000-0005-0000-0000-000056A00000}"/>
    <cellStyle name="货币 2 3 3 2 6 12" xfId="41000" xr:uid="{00000000-0005-0000-0000-000058A00000}"/>
    <cellStyle name="货币 2 3 3 2 6 13" xfId="41002" xr:uid="{00000000-0005-0000-0000-00005AA00000}"/>
    <cellStyle name="货币 2 3 3 2 6 14" xfId="41004" xr:uid="{00000000-0005-0000-0000-00005CA00000}"/>
    <cellStyle name="货币 2 3 3 2 6 15" xfId="41006" xr:uid="{00000000-0005-0000-0000-00005EA00000}"/>
    <cellStyle name="货币 2 3 3 2 6 16" xfId="41008" xr:uid="{00000000-0005-0000-0000-000060A00000}"/>
    <cellStyle name="货币 2 3 3 2 6 17" xfId="41010" xr:uid="{00000000-0005-0000-0000-000062A00000}"/>
    <cellStyle name="货币 2 3 3 2 6 18" xfId="42132" xr:uid="{00000000-0005-0000-0000-0000C4A40000}"/>
    <cellStyle name="货币 2 3 3 2 6 2" xfId="42133" xr:uid="{00000000-0005-0000-0000-0000C5A40000}"/>
    <cellStyle name="货币 2 3 3 2 6 2 10" xfId="42134" xr:uid="{00000000-0005-0000-0000-0000C6A40000}"/>
    <cellStyle name="货币 2 3 3 2 6 2 2" xfId="42135" xr:uid="{00000000-0005-0000-0000-0000C7A40000}"/>
    <cellStyle name="货币 2 3 3 2 6 2 2 2" xfId="30054" xr:uid="{00000000-0005-0000-0000-000096750000}"/>
    <cellStyle name="货币 2 3 3 2 6 2 3" xfId="42137" xr:uid="{00000000-0005-0000-0000-0000C9A40000}"/>
    <cellStyle name="货币 2 3 3 2 6 2 4" xfId="42139" xr:uid="{00000000-0005-0000-0000-0000CBA40000}"/>
    <cellStyle name="货币 2 3 3 2 6 2 5" xfId="42141" xr:uid="{00000000-0005-0000-0000-0000CDA40000}"/>
    <cellStyle name="货币 2 3 3 2 6 2 6" xfId="42143" xr:uid="{00000000-0005-0000-0000-0000CFA40000}"/>
    <cellStyle name="货币 2 3 3 2 6 2 7" xfId="34649" xr:uid="{00000000-0005-0000-0000-000089870000}"/>
    <cellStyle name="货币 2 3 3 2 6 2 8" xfId="31339" xr:uid="{00000000-0005-0000-0000-00009B7A0000}"/>
    <cellStyle name="货币 2 3 3 2 6 2 9" xfId="34660" xr:uid="{00000000-0005-0000-0000-000094870000}"/>
    <cellStyle name="货币 2 3 3 2 6 3" xfId="42144" xr:uid="{00000000-0005-0000-0000-0000D0A40000}"/>
    <cellStyle name="货币 2 3 3 2 6 3 2" xfId="42145" xr:uid="{00000000-0005-0000-0000-0000D1A40000}"/>
    <cellStyle name="货币 2 3 3 2 6 3 3" xfId="42147" xr:uid="{00000000-0005-0000-0000-0000D3A40000}"/>
    <cellStyle name="货币 2 3 3 2 6 3 4" xfId="42148" xr:uid="{00000000-0005-0000-0000-0000D4A40000}"/>
    <cellStyle name="货币 2 3 3 2 6 3 5" xfId="42149" xr:uid="{00000000-0005-0000-0000-0000D5A40000}"/>
    <cellStyle name="货币 2 3 3 2 6 3 6" xfId="42150" xr:uid="{00000000-0005-0000-0000-0000D6A40000}"/>
    <cellStyle name="货币 2 3 3 2 6 4" xfId="42151" xr:uid="{00000000-0005-0000-0000-0000D7A40000}"/>
    <cellStyle name="货币 2 3 3 2 6 4 2" xfId="42152" xr:uid="{00000000-0005-0000-0000-0000D8A40000}"/>
    <cellStyle name="货币 2 3 3 2 6 4 3" xfId="42153" xr:uid="{00000000-0005-0000-0000-0000D9A40000}"/>
    <cellStyle name="货币 2 3 3 2 6 4 4" xfId="42154" xr:uid="{00000000-0005-0000-0000-0000DAA40000}"/>
    <cellStyle name="货币 2 3 3 2 6 4 5" xfId="42155" xr:uid="{00000000-0005-0000-0000-0000DBA40000}"/>
    <cellStyle name="货币 2 3 3 2 6 4 6" xfId="42156" xr:uid="{00000000-0005-0000-0000-0000DCA40000}"/>
    <cellStyle name="货币 2 3 3 2 6 5" xfId="42157" xr:uid="{00000000-0005-0000-0000-0000DDA40000}"/>
    <cellStyle name="货币 2 3 3 2 6 5 2" xfId="42158" xr:uid="{00000000-0005-0000-0000-0000DEA40000}"/>
    <cellStyle name="货币 2 3 3 2 6 5 3" xfId="42159" xr:uid="{00000000-0005-0000-0000-0000DFA40000}"/>
    <cellStyle name="货币 2 3 3 2 6 5 4" xfId="42160" xr:uid="{00000000-0005-0000-0000-0000E0A40000}"/>
    <cellStyle name="货币 2 3 3 2 6 5 5" xfId="42161" xr:uid="{00000000-0005-0000-0000-0000E1A40000}"/>
    <cellStyle name="货币 2 3 3 2 6 5 6" xfId="42162" xr:uid="{00000000-0005-0000-0000-0000E2A40000}"/>
    <cellStyle name="货币 2 3 3 2 6 6" xfId="42163" xr:uid="{00000000-0005-0000-0000-0000E3A40000}"/>
    <cellStyle name="货币 2 3 3 2 6 6 2" xfId="42164" xr:uid="{00000000-0005-0000-0000-0000E4A40000}"/>
    <cellStyle name="货币 2 3 3 2 6 6 3" xfId="26509" xr:uid="{00000000-0005-0000-0000-0000BD670000}"/>
    <cellStyle name="货币 2 3 3 2 6 6 4" xfId="5496" xr:uid="{00000000-0005-0000-0000-0000A8150000}"/>
    <cellStyle name="货币 2 3 3 2 6 6 5" xfId="42165" xr:uid="{00000000-0005-0000-0000-0000E5A40000}"/>
    <cellStyle name="货币 2 3 3 2 6 6 6" xfId="42166" xr:uid="{00000000-0005-0000-0000-0000E6A40000}"/>
    <cellStyle name="货币 2 3 3 2 6 7" xfId="42167" xr:uid="{00000000-0005-0000-0000-0000E7A40000}"/>
    <cellStyle name="货币 2 3 3 2 6 8" xfId="42168" xr:uid="{00000000-0005-0000-0000-0000E8A40000}"/>
    <cellStyle name="货币 2 3 3 2 6 9" xfId="42169" xr:uid="{00000000-0005-0000-0000-0000E9A40000}"/>
    <cellStyle name="货币 2 3 3 2 7" xfId="38537" xr:uid="{00000000-0005-0000-0000-0000B9960000}"/>
    <cellStyle name="货币 2 3 3 2 7 10" xfId="34756" xr:uid="{00000000-0005-0000-0000-0000F4870000}"/>
    <cellStyle name="货币 2 3 3 2 7 11" xfId="42170" xr:uid="{00000000-0005-0000-0000-0000EAA40000}"/>
    <cellStyle name="货币 2 3 3 2 7 12" xfId="42171" xr:uid="{00000000-0005-0000-0000-0000EBA40000}"/>
    <cellStyle name="货币 2 3 3 2 7 13" xfId="42172" xr:uid="{00000000-0005-0000-0000-0000ECA40000}"/>
    <cellStyle name="货币 2 3 3 2 7 14" xfId="40418" xr:uid="{00000000-0005-0000-0000-0000129E0000}"/>
    <cellStyle name="货币 2 3 3 2 7 15" xfId="40420" xr:uid="{00000000-0005-0000-0000-0000149E0000}"/>
    <cellStyle name="货币 2 3 3 2 7 16" xfId="40422" xr:uid="{00000000-0005-0000-0000-0000169E0000}"/>
    <cellStyle name="货币 2 3 3 2 7 17" xfId="40424" xr:uid="{00000000-0005-0000-0000-0000189E0000}"/>
    <cellStyle name="货币 2 3 3 2 7 18" xfId="30425" xr:uid="{00000000-0005-0000-0000-000009770000}"/>
    <cellStyle name="货币 2 3 3 2 7 2" xfId="42173" xr:uid="{00000000-0005-0000-0000-0000EDA40000}"/>
    <cellStyle name="货币 2 3 3 2 7 2 10" xfId="42174" xr:uid="{00000000-0005-0000-0000-0000EEA40000}"/>
    <cellStyle name="货币 2 3 3 2 7 2 2" xfId="42175" xr:uid="{00000000-0005-0000-0000-0000EFA40000}"/>
    <cellStyle name="货币 2 3 3 2 7 2 2 2" xfId="42176" xr:uid="{00000000-0005-0000-0000-0000F0A40000}"/>
    <cellStyle name="货币 2 3 3 2 7 2 3" xfId="42178" xr:uid="{00000000-0005-0000-0000-0000F2A40000}"/>
    <cellStyle name="货币 2 3 3 2 7 2 4" xfId="42180" xr:uid="{00000000-0005-0000-0000-0000F4A40000}"/>
    <cellStyle name="货币 2 3 3 2 7 2 5" xfId="42182" xr:uid="{00000000-0005-0000-0000-0000F6A40000}"/>
    <cellStyle name="货币 2 3 3 2 7 2 6" xfId="42184" xr:uid="{00000000-0005-0000-0000-0000F8A40000}"/>
    <cellStyle name="货币 2 3 3 2 7 2 7" xfId="34867" xr:uid="{00000000-0005-0000-0000-000063880000}"/>
    <cellStyle name="货币 2 3 3 2 7 2 8" xfId="31356" xr:uid="{00000000-0005-0000-0000-0000AC7A0000}"/>
    <cellStyle name="货币 2 3 3 2 7 2 9" xfId="34876" xr:uid="{00000000-0005-0000-0000-00006C880000}"/>
    <cellStyle name="货币 2 3 3 2 7 3" xfId="42185" xr:uid="{00000000-0005-0000-0000-0000F9A40000}"/>
    <cellStyle name="货币 2 3 3 2 7 3 2" xfId="42186" xr:uid="{00000000-0005-0000-0000-0000FAA40000}"/>
    <cellStyle name="货币 2 3 3 2 7 3 3" xfId="42188" xr:uid="{00000000-0005-0000-0000-0000FCA40000}"/>
    <cellStyle name="货币 2 3 3 2 7 3 4" xfId="42189" xr:uid="{00000000-0005-0000-0000-0000FDA40000}"/>
    <cellStyle name="货币 2 3 3 2 7 3 5" xfId="42190" xr:uid="{00000000-0005-0000-0000-0000FEA40000}"/>
    <cellStyle name="货币 2 3 3 2 7 3 6" xfId="42191" xr:uid="{00000000-0005-0000-0000-0000FFA40000}"/>
    <cellStyle name="货币 2 3 3 2 7 4" xfId="42192" xr:uid="{00000000-0005-0000-0000-000000A50000}"/>
    <cellStyle name="货币 2 3 3 2 7 4 2" xfId="42193" xr:uid="{00000000-0005-0000-0000-000001A50000}"/>
    <cellStyle name="货币 2 3 3 2 7 4 3" xfId="42194" xr:uid="{00000000-0005-0000-0000-000002A50000}"/>
    <cellStyle name="货币 2 3 3 2 7 4 4" xfId="42195" xr:uid="{00000000-0005-0000-0000-000003A50000}"/>
    <cellStyle name="货币 2 3 3 2 7 4 5" xfId="42196" xr:uid="{00000000-0005-0000-0000-000004A50000}"/>
    <cellStyle name="货币 2 3 3 2 7 4 6" xfId="42197" xr:uid="{00000000-0005-0000-0000-000005A50000}"/>
    <cellStyle name="货币 2 3 3 2 7 5" xfId="28134" xr:uid="{00000000-0005-0000-0000-0000166E0000}"/>
    <cellStyle name="货币 2 3 3 2 7 5 2" xfId="42198" xr:uid="{00000000-0005-0000-0000-000006A50000}"/>
    <cellStyle name="货币 2 3 3 2 7 5 3" xfId="42199" xr:uid="{00000000-0005-0000-0000-000007A50000}"/>
    <cellStyle name="货币 2 3 3 2 7 5 4" xfId="42200" xr:uid="{00000000-0005-0000-0000-000008A50000}"/>
    <cellStyle name="货币 2 3 3 2 7 5 5" xfId="42201" xr:uid="{00000000-0005-0000-0000-000009A50000}"/>
    <cellStyle name="货币 2 3 3 2 7 5 6" xfId="42202" xr:uid="{00000000-0005-0000-0000-00000AA50000}"/>
    <cellStyle name="货币 2 3 3 2 7 6" xfId="42203" xr:uid="{00000000-0005-0000-0000-00000BA50000}"/>
    <cellStyle name="货币 2 3 3 2 7 6 2" xfId="42204" xr:uid="{00000000-0005-0000-0000-00000CA50000}"/>
    <cellStyle name="货币 2 3 3 2 7 6 3" xfId="32699" xr:uid="{00000000-0005-0000-0000-0000EB7F0000}"/>
    <cellStyle name="货币 2 3 3 2 7 6 4" xfId="42205" xr:uid="{00000000-0005-0000-0000-00000DA50000}"/>
    <cellStyle name="货币 2 3 3 2 7 6 5" xfId="42206" xr:uid="{00000000-0005-0000-0000-00000EA50000}"/>
    <cellStyle name="货币 2 3 3 2 7 6 6" xfId="42207" xr:uid="{00000000-0005-0000-0000-00000FA50000}"/>
    <cellStyle name="货币 2 3 3 2 7 7" xfId="42208" xr:uid="{00000000-0005-0000-0000-000010A50000}"/>
    <cellStyle name="货币 2 3 3 2 7 8" xfId="42209" xr:uid="{00000000-0005-0000-0000-000011A50000}"/>
    <cellStyle name="货币 2 3 3 2 7 9" xfId="836" xr:uid="{00000000-0005-0000-0000-000074030000}"/>
    <cellStyle name="货币 2 3 3 2 8" xfId="38539" xr:uid="{00000000-0005-0000-0000-0000BB960000}"/>
    <cellStyle name="货币 2 3 3 2 8 10" xfId="9618" xr:uid="{00000000-0005-0000-0000-0000C2250000}"/>
    <cellStyle name="货币 2 3 3 2 8 11" xfId="3953" xr:uid="{00000000-0005-0000-0000-0000A10F0000}"/>
    <cellStyle name="货币 2 3 3 2 8 12" xfId="9633" xr:uid="{00000000-0005-0000-0000-0000D1250000}"/>
    <cellStyle name="货币 2 3 3 2 8 13" xfId="90" xr:uid="{00000000-0005-0000-0000-000060000000}"/>
    <cellStyle name="货币 2 3 3 2 8 14" xfId="10443" xr:uid="{00000000-0005-0000-0000-0000FB280000}"/>
    <cellStyle name="货币 2 3 3 2 8 15" xfId="5201" xr:uid="{00000000-0005-0000-0000-000081140000}"/>
    <cellStyle name="货币 2 3 3 2 8 2" xfId="42210" xr:uid="{00000000-0005-0000-0000-000012A50000}"/>
    <cellStyle name="货币 2 3 3 2 8 2 2" xfId="42211" xr:uid="{00000000-0005-0000-0000-000013A50000}"/>
    <cellStyle name="货币 2 3 3 2 8 2 2 2" xfId="42212" xr:uid="{00000000-0005-0000-0000-000014A50000}"/>
    <cellStyle name="货币 2 3 3 2 8 2 3" xfId="11682" xr:uid="{00000000-0005-0000-0000-0000D22D0000}"/>
    <cellStyle name="货币 2 3 3 2 8 2 4" xfId="11687" xr:uid="{00000000-0005-0000-0000-0000D72D0000}"/>
    <cellStyle name="货币 2 3 3 2 8 2 5" xfId="18433" xr:uid="{00000000-0005-0000-0000-000031480000}"/>
    <cellStyle name="货币 2 3 3 2 8 2 6" xfId="18435" xr:uid="{00000000-0005-0000-0000-000033480000}"/>
    <cellStyle name="货币 2 3 3 2 8 2 7" xfId="18437" xr:uid="{00000000-0005-0000-0000-000035480000}"/>
    <cellStyle name="货币 2 3 3 2 8 2 8" xfId="18441" xr:uid="{00000000-0005-0000-0000-000039480000}"/>
    <cellStyle name="货币 2 3 3 2 8 2 9" xfId="18446" xr:uid="{00000000-0005-0000-0000-00003E480000}"/>
    <cellStyle name="货币 2 3 3 2 8 3" xfId="23844" xr:uid="{00000000-0005-0000-0000-0000545D0000}"/>
    <cellStyle name="货币 2 3 3 2 8 3 2" xfId="42213" xr:uid="{00000000-0005-0000-0000-000015A50000}"/>
    <cellStyle name="货币 2 3 3 2 8 3 3" xfId="18454" xr:uid="{00000000-0005-0000-0000-000046480000}"/>
    <cellStyle name="货币 2 3 3 2 8 3 4" xfId="42214" xr:uid="{00000000-0005-0000-0000-000016A50000}"/>
    <cellStyle name="货币 2 3 3 2 8 3 5" xfId="42215" xr:uid="{00000000-0005-0000-0000-000017A50000}"/>
    <cellStyle name="货币 2 3 3 2 8 3 6" xfId="42216" xr:uid="{00000000-0005-0000-0000-000018A50000}"/>
    <cellStyle name="货币 2 3 3 2 8 4" xfId="42217" xr:uid="{00000000-0005-0000-0000-000019A50000}"/>
    <cellStyle name="货币 2 3 3 2 8 4 2" xfId="42218" xr:uid="{00000000-0005-0000-0000-00001AA50000}"/>
    <cellStyle name="货币 2 3 3 2 8 5" xfId="42219" xr:uid="{00000000-0005-0000-0000-00001BA50000}"/>
    <cellStyle name="货币 2 3 3 2 8 6" xfId="42220" xr:uid="{00000000-0005-0000-0000-00001CA50000}"/>
    <cellStyle name="货币 2 3 3 2 8 7" xfId="42221" xr:uid="{00000000-0005-0000-0000-00001DA50000}"/>
    <cellStyle name="货币 2 3 3 2 8 8" xfId="42222" xr:uid="{00000000-0005-0000-0000-00001EA50000}"/>
    <cellStyle name="货币 2 3 3 2 8 9" xfId="42223" xr:uid="{00000000-0005-0000-0000-00001FA50000}"/>
    <cellStyle name="货币 2 3 3 2 9" xfId="38541" xr:uid="{00000000-0005-0000-0000-0000BD960000}"/>
    <cellStyle name="货币 2 3 3 2 9 10" xfId="31094" xr:uid="{00000000-0005-0000-0000-0000A6790000}"/>
    <cellStyle name="货币 2 3 3 2 9 11" xfId="42225" xr:uid="{00000000-0005-0000-0000-000021A50000}"/>
    <cellStyle name="货币 2 3 3 2 9 12" xfId="6754" xr:uid="{00000000-0005-0000-0000-0000921A0000}"/>
    <cellStyle name="货币 2 3 3 2 9 13" xfId="8164" xr:uid="{00000000-0005-0000-0000-000014200000}"/>
    <cellStyle name="货币 2 3 3 2 9 14" xfId="8171" xr:uid="{00000000-0005-0000-0000-00001B200000}"/>
    <cellStyle name="货币 2 3 3 2 9 2" xfId="42226" xr:uid="{00000000-0005-0000-0000-000022A50000}"/>
    <cellStyle name="货币 2 3 3 2 9 2 2" xfId="42227" xr:uid="{00000000-0005-0000-0000-000023A50000}"/>
    <cellStyle name="货币 2 3 3 2 9 2 2 2" xfId="37510" xr:uid="{00000000-0005-0000-0000-0000B6920000}"/>
    <cellStyle name="货币 2 3 3 2 9 2 3" xfId="11708" xr:uid="{00000000-0005-0000-0000-0000EC2D0000}"/>
    <cellStyle name="货币 2 3 3 2 9 2 4" xfId="11711" xr:uid="{00000000-0005-0000-0000-0000EF2D0000}"/>
    <cellStyle name="货币 2 3 3 2 9 2 5" xfId="18527" xr:uid="{00000000-0005-0000-0000-00008F480000}"/>
    <cellStyle name="货币 2 3 3 2 9 2 6" xfId="18529" xr:uid="{00000000-0005-0000-0000-000091480000}"/>
    <cellStyle name="货币 2 3 3 2 9 2 7" xfId="18535" xr:uid="{00000000-0005-0000-0000-000097480000}"/>
    <cellStyle name="货币 2 3 3 2 9 2 8" xfId="27687" xr:uid="{00000000-0005-0000-0000-0000576C0000}"/>
    <cellStyle name="货币 2 3 3 2 9 2 9" xfId="27692" xr:uid="{00000000-0005-0000-0000-00005C6C0000}"/>
    <cellStyle name="货币 2 3 3 2 9 3" xfId="42228" xr:uid="{00000000-0005-0000-0000-000024A50000}"/>
    <cellStyle name="货币 2 3 3 2 9 3 2" xfId="32208" xr:uid="{00000000-0005-0000-0000-0000007E0000}"/>
    <cellStyle name="货币 2 3 3 2 9 3 3" xfId="32210" xr:uid="{00000000-0005-0000-0000-0000027E0000}"/>
    <cellStyle name="货币 2 3 3 2 9 3 4" xfId="42229" xr:uid="{00000000-0005-0000-0000-000025A50000}"/>
    <cellStyle name="货币 2 3 3 2 9 3 5" xfId="42230" xr:uid="{00000000-0005-0000-0000-000026A50000}"/>
    <cellStyle name="货币 2 3 3 2 9 3 6" xfId="42231" xr:uid="{00000000-0005-0000-0000-000027A50000}"/>
    <cellStyle name="货币 2 3 3 2 9 4" xfId="42232" xr:uid="{00000000-0005-0000-0000-000028A50000}"/>
    <cellStyle name="货币 2 3 3 2 9 4 2" xfId="42233" xr:uid="{00000000-0005-0000-0000-000029A50000}"/>
    <cellStyle name="货币 2 3 3 2 9 5" xfId="42234" xr:uid="{00000000-0005-0000-0000-00002AA50000}"/>
    <cellStyle name="货币 2 3 3 2 9 6" xfId="42235" xr:uid="{00000000-0005-0000-0000-00002BA50000}"/>
    <cellStyle name="货币 2 3 3 2 9 7" xfId="26880" xr:uid="{00000000-0005-0000-0000-000030690000}"/>
    <cellStyle name="货币 2 3 3 2 9 8" xfId="26883" xr:uid="{00000000-0005-0000-0000-000033690000}"/>
    <cellStyle name="货币 2 3 3 2 9 9" xfId="26324" xr:uid="{00000000-0005-0000-0000-000004670000}"/>
    <cellStyle name="货币 2 3 3 20" xfId="41503" xr:uid="{00000000-0005-0000-0000-00004FA20000}"/>
    <cellStyle name="货币 2 3 3 21" xfId="41511" xr:uid="{00000000-0005-0000-0000-000057A20000}"/>
    <cellStyle name="货币 2 3 3 22" xfId="41517" xr:uid="{00000000-0005-0000-0000-00005DA20000}"/>
    <cellStyle name="货币 2 3 3 23" xfId="5396" xr:uid="{00000000-0005-0000-0000-000044150000}"/>
    <cellStyle name="货币 2 3 3 24" xfId="21388" xr:uid="{00000000-0005-0000-0000-0000BC530000}"/>
    <cellStyle name="货币 2 3 3 25" xfId="21399" xr:uid="{00000000-0005-0000-0000-0000C7530000}"/>
    <cellStyle name="货币 2 3 3 26" xfId="20270" xr:uid="{00000000-0005-0000-0000-00005E4F0000}"/>
    <cellStyle name="货币 2 3 3 27" xfId="20274" xr:uid="{00000000-0005-0000-0000-0000624F0000}"/>
    <cellStyle name="货币 2 3 3 28" xfId="20277" xr:uid="{00000000-0005-0000-0000-0000654F0000}"/>
    <cellStyle name="货币 2 3 3 3" xfId="25436" xr:uid="{00000000-0005-0000-0000-00008C630000}"/>
    <cellStyle name="货币 2 3 3 3 10" xfId="42236" xr:uid="{00000000-0005-0000-0000-00002CA50000}"/>
    <cellStyle name="货币 2 3 3 3 10 2" xfId="41914" xr:uid="{00000000-0005-0000-0000-0000EAA30000}"/>
    <cellStyle name="货币 2 3 3 3 10 3" xfId="41917" xr:uid="{00000000-0005-0000-0000-0000EDA30000}"/>
    <cellStyle name="货币 2 3 3 3 10 4" xfId="41919" xr:uid="{00000000-0005-0000-0000-0000EFA30000}"/>
    <cellStyle name="货币 2 3 3 3 10 5" xfId="41921" xr:uid="{00000000-0005-0000-0000-0000F1A30000}"/>
    <cellStyle name="货币 2 3 3 3 10 6" xfId="41923" xr:uid="{00000000-0005-0000-0000-0000F3A30000}"/>
    <cellStyle name="货币 2 3 3 3 11" xfId="42237" xr:uid="{00000000-0005-0000-0000-00002DA50000}"/>
    <cellStyle name="货币 2 3 3 3 11 2" xfId="41933" xr:uid="{00000000-0005-0000-0000-0000FDA30000}"/>
    <cellStyle name="货币 2 3 3 3 11 3" xfId="41935" xr:uid="{00000000-0005-0000-0000-0000FFA30000}"/>
    <cellStyle name="货币 2 3 3 3 11 4" xfId="24945" xr:uid="{00000000-0005-0000-0000-0000A1610000}"/>
    <cellStyle name="货币 2 3 3 3 11 5" xfId="24951" xr:uid="{00000000-0005-0000-0000-0000A7610000}"/>
    <cellStyle name="货币 2 3 3 3 11 6" xfId="33394" xr:uid="{00000000-0005-0000-0000-0000A2820000}"/>
    <cellStyle name="货币 2 3 3 3 12" xfId="42238" xr:uid="{00000000-0005-0000-0000-00002EA50000}"/>
    <cellStyle name="货币 2 3 3 3 13" xfId="1945" xr:uid="{00000000-0005-0000-0000-0000C9070000}"/>
    <cellStyle name="货币 2 3 3 3 14" xfId="1886" xr:uid="{00000000-0005-0000-0000-00008E070000}"/>
    <cellStyle name="货币 2 3 3 3 15" xfId="2529" xr:uid="{00000000-0005-0000-0000-0000110A0000}"/>
    <cellStyle name="货币 2 3 3 3 16" xfId="5340" xr:uid="{00000000-0005-0000-0000-00000C150000}"/>
    <cellStyle name="货币 2 3 3 3 17" xfId="5349" xr:uid="{00000000-0005-0000-0000-000015150000}"/>
    <cellStyle name="货币 2 3 3 3 18" xfId="5356" xr:uid="{00000000-0005-0000-0000-00001C150000}"/>
    <cellStyle name="货币 2 3 3 3 19" xfId="42239" xr:uid="{00000000-0005-0000-0000-00002FA50000}"/>
    <cellStyle name="货币 2 3 3 3 2" xfId="42240" xr:uid="{00000000-0005-0000-0000-000030A50000}"/>
    <cellStyle name="货币 2 3 3 3 2 10" xfId="23499" xr:uid="{00000000-0005-0000-0000-0000FB5B0000}"/>
    <cellStyle name="货币 2 3 3 3 2 11" xfId="25661" xr:uid="{00000000-0005-0000-0000-00006D640000}"/>
    <cellStyle name="货币 2 3 3 3 2 12" xfId="42241" xr:uid="{00000000-0005-0000-0000-000031A50000}"/>
    <cellStyle name="货币 2 3 3 3 2 13" xfId="42242" xr:uid="{00000000-0005-0000-0000-000032A50000}"/>
    <cellStyle name="货币 2 3 3 3 2 14" xfId="42243" xr:uid="{00000000-0005-0000-0000-000033A50000}"/>
    <cellStyle name="货币 2 3 3 3 2 15" xfId="42244" xr:uid="{00000000-0005-0000-0000-000034A50000}"/>
    <cellStyle name="货币 2 3 3 3 2 16" xfId="6628" xr:uid="{00000000-0005-0000-0000-0000141A0000}"/>
    <cellStyle name="货币 2 3 3 3 2 17" xfId="42245" xr:uid="{00000000-0005-0000-0000-000035A50000}"/>
    <cellStyle name="货币 2 3 3 3 2 18" xfId="42246" xr:uid="{00000000-0005-0000-0000-000036A50000}"/>
    <cellStyle name="货币 2 3 3 3 2 2" xfId="42247" xr:uid="{00000000-0005-0000-0000-000037A50000}"/>
    <cellStyle name="货币 2 3 3 3 2 2 10" xfId="42249" xr:uid="{00000000-0005-0000-0000-000039A50000}"/>
    <cellStyle name="货币 2 3 3 3 2 2 11" xfId="42251" xr:uid="{00000000-0005-0000-0000-00003BA50000}"/>
    <cellStyle name="货币 2 3 3 3 2 2 12" xfId="42254" xr:uid="{00000000-0005-0000-0000-00003EA50000}"/>
    <cellStyle name="货币 2 3 3 3 2 2 2" xfId="42255" xr:uid="{00000000-0005-0000-0000-00003FA50000}"/>
    <cellStyle name="货币 2 3 3 3 2 2 2 2" xfId="42256" xr:uid="{00000000-0005-0000-0000-000040A50000}"/>
    <cellStyle name="货币 2 3 3 3 2 2 2 2 2" xfId="42257" xr:uid="{00000000-0005-0000-0000-000041A50000}"/>
    <cellStyle name="货币 2 3 3 3 2 2 2 3" xfId="42259" xr:uid="{00000000-0005-0000-0000-000043A50000}"/>
    <cellStyle name="货币 2 3 3 3 2 2 2 4" xfId="41665" xr:uid="{00000000-0005-0000-0000-0000F1A20000}"/>
    <cellStyle name="货币 2 3 3 3 2 2 2 5" xfId="41668" xr:uid="{00000000-0005-0000-0000-0000F4A20000}"/>
    <cellStyle name="货币 2 3 3 3 2 2 3" xfId="38983" xr:uid="{00000000-0005-0000-0000-000077980000}"/>
    <cellStyle name="货币 2 3 3 3 2 2 3 2" xfId="42260" xr:uid="{00000000-0005-0000-0000-000044A50000}"/>
    <cellStyle name="货币 2 3 3 3 2 2 4" xfId="38985" xr:uid="{00000000-0005-0000-0000-000079980000}"/>
    <cellStyle name="货币 2 3 3 3 2 2 5" xfId="38987" xr:uid="{00000000-0005-0000-0000-00007B980000}"/>
    <cellStyle name="货币 2 3 3 3 2 2 6" xfId="42261" xr:uid="{00000000-0005-0000-0000-000045A50000}"/>
    <cellStyle name="货币 2 3 3 3 2 2 7" xfId="25671" xr:uid="{00000000-0005-0000-0000-000077640000}"/>
    <cellStyle name="货币 2 3 3 3 2 2 8" xfId="8083" xr:uid="{00000000-0005-0000-0000-0000C31F0000}"/>
    <cellStyle name="货币 2 3 3 3 2 2 9" xfId="25675" xr:uid="{00000000-0005-0000-0000-00007B640000}"/>
    <cellStyle name="货币 2 3 3 3 2 3" xfId="42262" xr:uid="{00000000-0005-0000-0000-000046A50000}"/>
    <cellStyle name="货币 2 3 3 3 2 3 10" xfId="42263" xr:uid="{00000000-0005-0000-0000-000047A50000}"/>
    <cellStyle name="货币 2 3 3 3 2 3 11" xfId="42264" xr:uid="{00000000-0005-0000-0000-000048A50000}"/>
    <cellStyle name="货币 2 3 3 3 2 3 12" xfId="42265" xr:uid="{00000000-0005-0000-0000-000049A50000}"/>
    <cellStyle name="货币 2 3 3 3 2 3 2" xfId="42266" xr:uid="{00000000-0005-0000-0000-00004AA50000}"/>
    <cellStyle name="货币 2 3 3 3 2 3 2 2" xfId="42267" xr:uid="{00000000-0005-0000-0000-00004BA50000}"/>
    <cellStyle name="货币 2 3 3 3 2 3 2 2 2" xfId="42268" xr:uid="{00000000-0005-0000-0000-00004CA50000}"/>
    <cellStyle name="货币 2 3 3 3 2 3 2 3" xfId="42270" xr:uid="{00000000-0005-0000-0000-00004EA50000}"/>
    <cellStyle name="货币 2 3 3 3 2 3 2 4" xfId="42272" xr:uid="{00000000-0005-0000-0000-000050A50000}"/>
    <cellStyle name="货币 2 3 3 3 2 3 2 5" xfId="42274" xr:uid="{00000000-0005-0000-0000-000052A50000}"/>
    <cellStyle name="货币 2 3 3 3 2 3 3" xfId="42275" xr:uid="{00000000-0005-0000-0000-000053A50000}"/>
    <cellStyle name="货币 2 3 3 3 2 3 3 2" xfId="42276" xr:uid="{00000000-0005-0000-0000-000054A50000}"/>
    <cellStyle name="货币 2 3 3 3 2 3 4" xfId="42277" xr:uid="{00000000-0005-0000-0000-000055A50000}"/>
    <cellStyle name="货币 2 3 3 3 2 3 5" xfId="42278" xr:uid="{00000000-0005-0000-0000-000056A50000}"/>
    <cellStyle name="货币 2 3 3 3 2 3 6" xfId="42279" xr:uid="{00000000-0005-0000-0000-000057A50000}"/>
    <cellStyle name="货币 2 3 3 3 2 3 7" xfId="25680" xr:uid="{00000000-0005-0000-0000-000080640000}"/>
    <cellStyle name="货币 2 3 3 3 2 3 8" xfId="42280" xr:uid="{00000000-0005-0000-0000-000058A50000}"/>
    <cellStyle name="货币 2 3 3 3 2 3 9" xfId="42281" xr:uid="{00000000-0005-0000-0000-000059A50000}"/>
    <cellStyle name="货币 2 3 3 3 2 4" xfId="42282" xr:uid="{00000000-0005-0000-0000-00005AA50000}"/>
    <cellStyle name="货币 2 3 3 3 2 4 10" xfId="42283" xr:uid="{00000000-0005-0000-0000-00005BA50000}"/>
    <cellStyle name="货币 2 3 3 3 2 4 2" xfId="5352" xr:uid="{00000000-0005-0000-0000-000018150000}"/>
    <cellStyle name="货币 2 3 3 3 2 4 2 2" xfId="5763" xr:uid="{00000000-0005-0000-0000-0000B3160000}"/>
    <cellStyle name="货币 2 3 3 3 2 4 2 2 2" xfId="42284" xr:uid="{00000000-0005-0000-0000-00005CA50000}"/>
    <cellStyle name="货币 2 3 3 3 2 4 2 3" xfId="42286" xr:uid="{00000000-0005-0000-0000-00005EA50000}"/>
    <cellStyle name="货币 2 3 3 3 2 4 2 4" xfId="42288" xr:uid="{00000000-0005-0000-0000-000060A50000}"/>
    <cellStyle name="货币 2 3 3 3 2 4 2 5" xfId="42290" xr:uid="{00000000-0005-0000-0000-000062A50000}"/>
    <cellStyle name="货币 2 3 3 3 2 4 3" xfId="5358" xr:uid="{00000000-0005-0000-0000-00001E150000}"/>
    <cellStyle name="货币 2 3 3 3 2 4 3 2" xfId="4791" xr:uid="{00000000-0005-0000-0000-0000E7120000}"/>
    <cellStyle name="货币 2 3 3 3 2 4 4" xfId="4561" xr:uid="{00000000-0005-0000-0000-000001120000}"/>
    <cellStyle name="货币 2 3 3 3 2 4 5" xfId="42291" xr:uid="{00000000-0005-0000-0000-000063A50000}"/>
    <cellStyle name="货币 2 3 3 3 2 4 6" xfId="42292" xr:uid="{00000000-0005-0000-0000-000064A50000}"/>
    <cellStyle name="货币 2 3 3 3 2 4 7" xfId="11483" xr:uid="{00000000-0005-0000-0000-00000B2D0000}"/>
    <cellStyle name="货币 2 3 3 3 2 4 8" xfId="42293" xr:uid="{00000000-0005-0000-0000-000065A50000}"/>
    <cellStyle name="货币 2 3 3 3 2 4 9" xfId="42294" xr:uid="{00000000-0005-0000-0000-000066A50000}"/>
    <cellStyle name="货币 2 3 3 3 2 5" xfId="42295" xr:uid="{00000000-0005-0000-0000-000067A50000}"/>
    <cellStyle name="货币 2 3 3 3 2 5 10" xfId="42298" xr:uid="{00000000-0005-0000-0000-00006AA50000}"/>
    <cellStyle name="货币 2 3 3 3 2 5 2" xfId="42299" xr:uid="{00000000-0005-0000-0000-00006BA50000}"/>
    <cellStyle name="货币 2 3 3 3 2 5 2 2" xfId="42300" xr:uid="{00000000-0005-0000-0000-00006CA50000}"/>
    <cellStyle name="货币 2 3 3 3 2 5 2 2 2" xfId="42301" xr:uid="{00000000-0005-0000-0000-00006DA50000}"/>
    <cellStyle name="货币 2 3 3 3 2 5 2 3" xfId="42303" xr:uid="{00000000-0005-0000-0000-00006FA50000}"/>
    <cellStyle name="货币 2 3 3 3 2 5 2 4" xfId="42305" xr:uid="{00000000-0005-0000-0000-000071A50000}"/>
    <cellStyle name="货币 2 3 3 3 2 5 2 5" xfId="13353" xr:uid="{00000000-0005-0000-0000-000059340000}"/>
    <cellStyle name="货币 2 3 3 3 2 5 3" xfId="42306" xr:uid="{00000000-0005-0000-0000-000072A50000}"/>
    <cellStyle name="货币 2 3 3 3 2 5 3 2" xfId="42308" xr:uid="{00000000-0005-0000-0000-000074A50000}"/>
    <cellStyle name="货币 2 3 3 3 2 5 4" xfId="42309" xr:uid="{00000000-0005-0000-0000-000075A50000}"/>
    <cellStyle name="货币 2 3 3 3 2 5 5" xfId="42310" xr:uid="{00000000-0005-0000-0000-000076A50000}"/>
    <cellStyle name="货币 2 3 3 3 2 5 6" xfId="42312" xr:uid="{00000000-0005-0000-0000-000078A50000}"/>
    <cellStyle name="货币 2 3 3 3 2 5 7" xfId="42313" xr:uid="{00000000-0005-0000-0000-000079A50000}"/>
    <cellStyle name="货币 2 3 3 3 2 5 8" xfId="42314" xr:uid="{00000000-0005-0000-0000-00007AA50000}"/>
    <cellStyle name="货币 2 3 3 3 2 5 9" xfId="42315" xr:uid="{00000000-0005-0000-0000-00007BA50000}"/>
    <cellStyle name="货币 2 3 3 3 2 6" xfId="42316" xr:uid="{00000000-0005-0000-0000-00007CA50000}"/>
    <cellStyle name="货币 2 3 3 3 2 6 2" xfId="42317" xr:uid="{00000000-0005-0000-0000-00007DA50000}"/>
    <cellStyle name="货币 2 3 3 3 2 6 2 2" xfId="42318" xr:uid="{00000000-0005-0000-0000-00007EA50000}"/>
    <cellStyle name="货币 2 3 3 3 2 6 3" xfId="42319" xr:uid="{00000000-0005-0000-0000-00007FA50000}"/>
    <cellStyle name="货币 2 3 3 3 2 6 4" xfId="42320" xr:uid="{00000000-0005-0000-0000-000080A50000}"/>
    <cellStyle name="货币 2 3 3 3 2 6 5" xfId="42321" xr:uid="{00000000-0005-0000-0000-000081A50000}"/>
    <cellStyle name="货币 2 3 3 3 2 6 6" xfId="42322" xr:uid="{00000000-0005-0000-0000-000082A50000}"/>
    <cellStyle name="货币 2 3 3 3 2 6 7" xfId="42323" xr:uid="{00000000-0005-0000-0000-000083A50000}"/>
    <cellStyle name="货币 2 3 3 3 2 6 8" xfId="42324" xr:uid="{00000000-0005-0000-0000-000084A50000}"/>
    <cellStyle name="货币 2 3 3 3 2 6 9" xfId="42325" xr:uid="{00000000-0005-0000-0000-000085A50000}"/>
    <cellStyle name="货币 2 3 3 3 2 7" xfId="42326" xr:uid="{00000000-0005-0000-0000-000086A50000}"/>
    <cellStyle name="货币 2 3 3 3 2 7 2" xfId="42327" xr:uid="{00000000-0005-0000-0000-000087A50000}"/>
    <cellStyle name="货币 2 3 3 3 2 8" xfId="42328" xr:uid="{00000000-0005-0000-0000-000088A50000}"/>
    <cellStyle name="货币 2 3 3 3 2 9" xfId="42329" xr:uid="{00000000-0005-0000-0000-000089A50000}"/>
    <cellStyle name="货币 2 3 3 3 20" xfId="2528" xr:uid="{00000000-0005-0000-0000-0000100A0000}"/>
    <cellStyle name="货币 2 3 3 3 21" xfId="5339" xr:uid="{00000000-0005-0000-0000-00000B150000}"/>
    <cellStyle name="货币 2 3 3 3 22" xfId="5348" xr:uid="{00000000-0005-0000-0000-000014150000}"/>
    <cellStyle name="货币 2 3 3 3 23" xfId="5355" xr:uid="{00000000-0005-0000-0000-00001B150000}"/>
    <cellStyle name="货币 2 3 3 3 3" xfId="42330" xr:uid="{00000000-0005-0000-0000-00008AA50000}"/>
    <cellStyle name="货币 2 3 3 3 3 10" xfId="23573" xr:uid="{00000000-0005-0000-0000-0000455C0000}"/>
    <cellStyle name="货币 2 3 3 3 3 11" xfId="12308" xr:uid="{00000000-0005-0000-0000-000044300000}"/>
    <cellStyle name="货币 2 3 3 3 3 12" xfId="42331" xr:uid="{00000000-0005-0000-0000-00008BA50000}"/>
    <cellStyle name="货币 2 3 3 3 3 13" xfId="29151" xr:uid="{00000000-0005-0000-0000-00000F720000}"/>
    <cellStyle name="货币 2 3 3 3 3 14" xfId="40149" xr:uid="{00000000-0005-0000-0000-0000059D0000}"/>
    <cellStyle name="货币 2 3 3 3 3 15" xfId="40151" xr:uid="{00000000-0005-0000-0000-0000079D0000}"/>
    <cellStyle name="货币 2 3 3 3 3 16" xfId="40153" xr:uid="{00000000-0005-0000-0000-0000099D0000}"/>
    <cellStyle name="货币 2 3 3 3 3 17" xfId="40155" xr:uid="{00000000-0005-0000-0000-00000B9D0000}"/>
    <cellStyle name="货币 2 3 3 3 3 18" xfId="40157" xr:uid="{00000000-0005-0000-0000-00000D9D0000}"/>
    <cellStyle name="货币 2 3 3 3 3 2" xfId="42332" xr:uid="{00000000-0005-0000-0000-00008CA50000}"/>
    <cellStyle name="货币 2 3 3 3 3 2 10" xfId="5630" xr:uid="{00000000-0005-0000-0000-00002E160000}"/>
    <cellStyle name="货币 2 3 3 3 3 2 2" xfId="42333" xr:uid="{00000000-0005-0000-0000-00008DA50000}"/>
    <cellStyle name="货币 2 3 3 3 3 2 2 2" xfId="42334" xr:uid="{00000000-0005-0000-0000-00008EA50000}"/>
    <cellStyle name="货币 2 3 3 3 3 2 3" xfId="42336" xr:uid="{00000000-0005-0000-0000-000090A50000}"/>
    <cellStyle name="货币 2 3 3 3 3 2 4" xfId="42338" xr:uid="{00000000-0005-0000-0000-000092A50000}"/>
    <cellStyle name="货币 2 3 3 3 3 2 5" xfId="42340" xr:uid="{00000000-0005-0000-0000-000094A50000}"/>
    <cellStyle name="货币 2 3 3 3 3 2 6" xfId="42342" xr:uid="{00000000-0005-0000-0000-000096A50000}"/>
    <cellStyle name="货币 2 3 3 3 3 2 7" xfId="25634" xr:uid="{00000000-0005-0000-0000-000052640000}"/>
    <cellStyle name="货币 2 3 3 3 3 2 8" xfId="17136" xr:uid="{00000000-0005-0000-0000-000020430000}"/>
    <cellStyle name="货币 2 3 3 3 3 2 9" xfId="42344" xr:uid="{00000000-0005-0000-0000-000098A50000}"/>
    <cellStyle name="货币 2 3 3 3 3 3" xfId="42345" xr:uid="{00000000-0005-0000-0000-000099A50000}"/>
    <cellStyle name="货币 2 3 3 3 3 3 2" xfId="42346" xr:uid="{00000000-0005-0000-0000-00009AA50000}"/>
    <cellStyle name="货币 2 3 3 3 3 3 3" xfId="42348" xr:uid="{00000000-0005-0000-0000-00009CA50000}"/>
    <cellStyle name="货币 2 3 3 3 3 3 4" xfId="42350" xr:uid="{00000000-0005-0000-0000-00009EA50000}"/>
    <cellStyle name="货币 2 3 3 3 3 3 5" xfId="42352" xr:uid="{00000000-0005-0000-0000-0000A0A50000}"/>
    <cellStyle name="货币 2 3 3 3 3 3 6" xfId="42354" xr:uid="{00000000-0005-0000-0000-0000A2A50000}"/>
    <cellStyle name="货币 2 3 3 3 3 4" xfId="42355" xr:uid="{00000000-0005-0000-0000-0000A3A50000}"/>
    <cellStyle name="货币 2 3 3 3 3 4 2" xfId="33915" xr:uid="{00000000-0005-0000-0000-0000AB840000}"/>
    <cellStyle name="货币 2 3 3 3 3 4 3" xfId="33919" xr:uid="{00000000-0005-0000-0000-0000AF840000}"/>
    <cellStyle name="货币 2 3 3 3 3 4 4" xfId="42358" xr:uid="{00000000-0005-0000-0000-0000A6A50000}"/>
    <cellStyle name="货币 2 3 3 3 3 4 5" xfId="42361" xr:uid="{00000000-0005-0000-0000-0000A9A50000}"/>
    <cellStyle name="货币 2 3 3 3 3 4 6" xfId="42364" xr:uid="{00000000-0005-0000-0000-0000ACA50000}"/>
    <cellStyle name="货币 2 3 3 3 3 5" xfId="42365" xr:uid="{00000000-0005-0000-0000-0000ADA50000}"/>
    <cellStyle name="货币 2 3 3 3 3 5 2" xfId="42366" xr:uid="{00000000-0005-0000-0000-0000AEA50000}"/>
    <cellStyle name="货币 2 3 3 3 3 5 3" xfId="42368" xr:uid="{00000000-0005-0000-0000-0000B0A50000}"/>
    <cellStyle name="货币 2 3 3 3 3 5 4" xfId="42370" xr:uid="{00000000-0005-0000-0000-0000B2A50000}"/>
    <cellStyle name="货币 2 3 3 3 3 5 5" xfId="42372" xr:uid="{00000000-0005-0000-0000-0000B4A50000}"/>
    <cellStyle name="货币 2 3 3 3 3 5 6" xfId="42374" xr:uid="{00000000-0005-0000-0000-0000B6A50000}"/>
    <cellStyle name="货币 2 3 3 3 3 6" xfId="27551" xr:uid="{00000000-0005-0000-0000-0000CF6B0000}"/>
    <cellStyle name="货币 2 3 3 3 3 6 2" xfId="27561" xr:uid="{00000000-0005-0000-0000-0000D96B0000}"/>
    <cellStyle name="货币 2 3 3 3 3 6 3" xfId="42376" xr:uid="{00000000-0005-0000-0000-0000B8A50000}"/>
    <cellStyle name="货币 2 3 3 3 3 6 4" xfId="42377" xr:uid="{00000000-0005-0000-0000-0000B9A50000}"/>
    <cellStyle name="货币 2 3 3 3 3 6 5" xfId="42378" xr:uid="{00000000-0005-0000-0000-0000BAA50000}"/>
    <cellStyle name="货币 2 3 3 3 3 6 6" xfId="42379" xr:uid="{00000000-0005-0000-0000-0000BBA50000}"/>
    <cellStyle name="货币 2 3 3 3 3 7" xfId="27563" xr:uid="{00000000-0005-0000-0000-0000DB6B0000}"/>
    <cellStyle name="货币 2 3 3 3 3 8" xfId="27571" xr:uid="{00000000-0005-0000-0000-0000E36B0000}"/>
    <cellStyle name="货币 2 3 3 3 3 9" xfId="27578" xr:uid="{00000000-0005-0000-0000-0000EA6B0000}"/>
    <cellStyle name="货币 2 3 3 3 4" xfId="42380" xr:uid="{00000000-0005-0000-0000-0000BCA50000}"/>
    <cellStyle name="货币 2 3 3 3 4 10" xfId="42381" xr:uid="{00000000-0005-0000-0000-0000BDA50000}"/>
    <cellStyle name="货币 2 3 3 3 4 11" xfId="42382" xr:uid="{00000000-0005-0000-0000-0000BEA50000}"/>
    <cellStyle name="货币 2 3 3 3 4 12" xfId="42383" xr:uid="{00000000-0005-0000-0000-0000BFA50000}"/>
    <cellStyle name="货币 2 3 3 3 4 13" xfId="42384" xr:uid="{00000000-0005-0000-0000-0000C0A50000}"/>
    <cellStyle name="货币 2 3 3 3 4 14" xfId="8674" xr:uid="{00000000-0005-0000-0000-000012220000}"/>
    <cellStyle name="货币 2 3 3 3 4 15" xfId="42385" xr:uid="{00000000-0005-0000-0000-0000C1A50000}"/>
    <cellStyle name="货币 2 3 3 3 4 2" xfId="42386" xr:uid="{00000000-0005-0000-0000-0000C2A50000}"/>
    <cellStyle name="货币 2 3 3 3 4 2 2" xfId="31729" xr:uid="{00000000-0005-0000-0000-0000217C0000}"/>
    <cellStyle name="货币 2 3 3 3 4 2 2 2" xfId="42387" xr:uid="{00000000-0005-0000-0000-0000C3A50000}"/>
    <cellStyle name="货币 2 3 3 3 4 2 3" xfId="31732" xr:uid="{00000000-0005-0000-0000-0000247C0000}"/>
    <cellStyle name="货币 2 3 3 3 4 2 4" xfId="31736" xr:uid="{00000000-0005-0000-0000-0000287C0000}"/>
    <cellStyle name="货币 2 3 3 3 4 2 5" xfId="42389" xr:uid="{00000000-0005-0000-0000-0000C5A50000}"/>
    <cellStyle name="货币 2 3 3 3 4 2 6" xfId="42391" xr:uid="{00000000-0005-0000-0000-0000C7A50000}"/>
    <cellStyle name="货币 2 3 3 3 4 2 7" xfId="42393" xr:uid="{00000000-0005-0000-0000-0000C9A50000}"/>
    <cellStyle name="货币 2 3 3 3 4 2 8" xfId="42394" xr:uid="{00000000-0005-0000-0000-0000CAA50000}"/>
    <cellStyle name="货币 2 3 3 3 4 2 9" xfId="42395" xr:uid="{00000000-0005-0000-0000-0000CBA50000}"/>
    <cellStyle name="货币 2 3 3 3 4 3" xfId="42396" xr:uid="{00000000-0005-0000-0000-0000CCA50000}"/>
    <cellStyle name="货币 2 3 3 3 4 3 2" xfId="42397" xr:uid="{00000000-0005-0000-0000-0000CDA50000}"/>
    <cellStyle name="货币 2 3 3 3 4 3 3" xfId="42399" xr:uid="{00000000-0005-0000-0000-0000CFA50000}"/>
    <cellStyle name="货币 2 3 3 3 4 3 4" xfId="42401" xr:uid="{00000000-0005-0000-0000-0000D1A50000}"/>
    <cellStyle name="货币 2 3 3 3 4 3 5" xfId="42403" xr:uid="{00000000-0005-0000-0000-0000D3A50000}"/>
    <cellStyle name="货币 2 3 3 3 4 3 6" xfId="42405" xr:uid="{00000000-0005-0000-0000-0000D5A50000}"/>
    <cellStyle name="货币 2 3 3 3 4 4" xfId="29605" xr:uid="{00000000-0005-0000-0000-0000D5730000}"/>
    <cellStyle name="货币 2 3 3 3 4 4 2" xfId="29607" xr:uid="{00000000-0005-0000-0000-0000D7730000}"/>
    <cellStyle name="货币 2 3 3 3 4 5" xfId="29653" xr:uid="{00000000-0005-0000-0000-000005740000}"/>
    <cellStyle name="货币 2 3 3 3 4 6" xfId="27589" xr:uid="{00000000-0005-0000-0000-0000F56B0000}"/>
    <cellStyle name="货币 2 3 3 3 4 7" xfId="29655" xr:uid="{00000000-0005-0000-0000-000007740000}"/>
    <cellStyle name="货币 2 3 3 3 4 8" xfId="29661" xr:uid="{00000000-0005-0000-0000-00000D740000}"/>
    <cellStyle name="货币 2 3 3 3 4 9" xfId="35169" xr:uid="{00000000-0005-0000-0000-000091890000}"/>
    <cellStyle name="货币 2 3 3 3 5" xfId="38543" xr:uid="{00000000-0005-0000-0000-0000BF960000}"/>
    <cellStyle name="货币 2 3 3 3 5 10" xfId="42406" xr:uid="{00000000-0005-0000-0000-0000D6A50000}"/>
    <cellStyle name="货币 2 3 3 3 5 11" xfId="42407" xr:uid="{00000000-0005-0000-0000-0000D7A50000}"/>
    <cellStyle name="货币 2 3 3 3 5 12" xfId="42408" xr:uid="{00000000-0005-0000-0000-0000D8A50000}"/>
    <cellStyle name="货币 2 3 3 3 5 13" xfId="42409" xr:uid="{00000000-0005-0000-0000-0000D9A50000}"/>
    <cellStyle name="货币 2 3 3 3 5 2" xfId="27973" xr:uid="{00000000-0005-0000-0000-0000756D0000}"/>
    <cellStyle name="货币 2 3 3 3 5 2 2" xfId="42410" xr:uid="{00000000-0005-0000-0000-0000DAA50000}"/>
    <cellStyle name="货币 2 3 3 3 5 2 2 2" xfId="42411" xr:uid="{00000000-0005-0000-0000-0000DBA50000}"/>
    <cellStyle name="货币 2 3 3 3 5 2 3" xfId="42413" xr:uid="{00000000-0005-0000-0000-0000DDA50000}"/>
    <cellStyle name="货币 2 3 3 3 5 2 4" xfId="42415" xr:uid="{00000000-0005-0000-0000-0000DFA50000}"/>
    <cellStyle name="货币 2 3 3 3 5 2 5" xfId="42417" xr:uid="{00000000-0005-0000-0000-0000E1A50000}"/>
    <cellStyle name="货币 2 3 3 3 5 2 6" xfId="42419" xr:uid="{00000000-0005-0000-0000-0000E3A50000}"/>
    <cellStyle name="货币 2 3 3 3 5 2 7" xfId="35315" xr:uid="{00000000-0005-0000-0000-0000238A0000}"/>
    <cellStyle name="货币 2 3 3 3 5 2 8" xfId="35324" xr:uid="{00000000-0005-0000-0000-00002C8A0000}"/>
    <cellStyle name="货币 2 3 3 3 5 2 9" xfId="34206" xr:uid="{00000000-0005-0000-0000-0000CE850000}"/>
    <cellStyle name="货币 2 3 3 3 5 3" xfId="42420" xr:uid="{00000000-0005-0000-0000-0000E4A50000}"/>
    <cellStyle name="货币 2 3 3 3 5 3 2" xfId="42421" xr:uid="{00000000-0005-0000-0000-0000E5A50000}"/>
    <cellStyle name="货币 2 3 3 3 5 3 3" xfId="42423" xr:uid="{00000000-0005-0000-0000-0000E7A50000}"/>
    <cellStyle name="货币 2 3 3 3 5 3 4" xfId="42424" xr:uid="{00000000-0005-0000-0000-0000E8A50000}"/>
    <cellStyle name="货币 2 3 3 3 5 3 5" xfId="42425" xr:uid="{00000000-0005-0000-0000-0000E9A50000}"/>
    <cellStyle name="货币 2 3 3 3 5 3 6" xfId="9035" xr:uid="{00000000-0005-0000-0000-00007B230000}"/>
    <cellStyle name="货币 2 3 3 3 5 4" xfId="42426" xr:uid="{00000000-0005-0000-0000-0000EAA50000}"/>
    <cellStyle name="货币 2 3 3 3 5 4 2" xfId="42428" xr:uid="{00000000-0005-0000-0000-0000ECA50000}"/>
    <cellStyle name="货币 2 3 3 3 5 5" xfId="42429" xr:uid="{00000000-0005-0000-0000-0000EDA50000}"/>
    <cellStyle name="货币 2 3 3 3 5 6" xfId="13908" xr:uid="{00000000-0005-0000-0000-000084360000}"/>
    <cellStyle name="货币 2 3 3 3 5 7" xfId="30237" xr:uid="{00000000-0005-0000-0000-00004D760000}"/>
    <cellStyle name="货币 2 3 3 3 5 8" xfId="30242" xr:uid="{00000000-0005-0000-0000-000052760000}"/>
    <cellStyle name="货币 2 3 3 3 5 9" xfId="35172" xr:uid="{00000000-0005-0000-0000-000094890000}"/>
    <cellStyle name="货币 2 3 3 3 6" xfId="2275" xr:uid="{00000000-0005-0000-0000-000013090000}"/>
    <cellStyle name="货币 2 3 3 3 6 10" xfId="42430" xr:uid="{00000000-0005-0000-0000-0000EEA50000}"/>
    <cellStyle name="货币 2 3 3 3 6 11" xfId="42431" xr:uid="{00000000-0005-0000-0000-0000EFA50000}"/>
    <cellStyle name="货币 2 3 3 3 6 12" xfId="42432" xr:uid="{00000000-0005-0000-0000-0000F0A50000}"/>
    <cellStyle name="货币 2 3 3 3 6 2" xfId="42433" xr:uid="{00000000-0005-0000-0000-0000F1A50000}"/>
    <cellStyle name="货币 2 3 3 3 6 2 2" xfId="42434" xr:uid="{00000000-0005-0000-0000-0000F2A50000}"/>
    <cellStyle name="货币 2 3 3 3 6 2 2 2" xfId="42435" xr:uid="{00000000-0005-0000-0000-0000F3A50000}"/>
    <cellStyle name="货币 2 3 3 3 6 2 3" xfId="42437" xr:uid="{00000000-0005-0000-0000-0000F5A50000}"/>
    <cellStyle name="货币 2 3 3 3 6 2 4" xfId="42439" xr:uid="{00000000-0005-0000-0000-0000F7A50000}"/>
    <cellStyle name="货币 2 3 3 3 6 2 5" xfId="35905" xr:uid="{00000000-0005-0000-0000-0000718C0000}"/>
    <cellStyle name="货币 2 3 3 3 6 2 6" xfId="35908" xr:uid="{00000000-0005-0000-0000-0000748C0000}"/>
    <cellStyle name="货币 2 3 3 3 6 2 7" xfId="35366" xr:uid="{00000000-0005-0000-0000-0000568A0000}"/>
    <cellStyle name="货币 2 3 3 3 6 2 8" xfId="28608" xr:uid="{00000000-0005-0000-0000-0000F06F0000}"/>
    <cellStyle name="货币 2 3 3 3 6 2 9" xfId="28613" xr:uid="{00000000-0005-0000-0000-0000F56F0000}"/>
    <cellStyle name="货币 2 3 3 3 6 3" xfId="42440" xr:uid="{00000000-0005-0000-0000-0000F8A50000}"/>
    <cellStyle name="货币 2 3 3 3 6 3 2" xfId="42441" xr:uid="{00000000-0005-0000-0000-0000F9A50000}"/>
    <cellStyle name="货币 2 3 3 3 6 3 3" xfId="42443" xr:uid="{00000000-0005-0000-0000-0000FBA50000}"/>
    <cellStyle name="货币 2 3 3 3 6 3 4" xfId="42444" xr:uid="{00000000-0005-0000-0000-0000FCA50000}"/>
    <cellStyle name="货币 2 3 3 3 6 3 5" xfId="42445" xr:uid="{00000000-0005-0000-0000-0000FDA50000}"/>
    <cellStyle name="货币 2 3 3 3 6 3 6" xfId="10388" xr:uid="{00000000-0005-0000-0000-0000C4280000}"/>
    <cellStyle name="货币 2 3 3 3 6 4" xfId="42446" xr:uid="{00000000-0005-0000-0000-0000FEA50000}"/>
    <cellStyle name="货币 2 3 3 3 6 4 2" xfId="42447" xr:uid="{00000000-0005-0000-0000-0000FFA50000}"/>
    <cellStyle name="货币 2 3 3 3 6 5" xfId="42448" xr:uid="{00000000-0005-0000-0000-000000A60000}"/>
    <cellStyle name="货币 2 3 3 3 6 6" xfId="35175" xr:uid="{00000000-0005-0000-0000-000097890000}"/>
    <cellStyle name="货币 2 3 3 3 6 7" xfId="10286" xr:uid="{00000000-0005-0000-0000-00005E280000}"/>
    <cellStyle name="货币 2 3 3 3 6 8" xfId="10292" xr:uid="{00000000-0005-0000-0000-000064280000}"/>
    <cellStyle name="货币 2 3 3 3 6 9" xfId="496" xr:uid="{00000000-0005-0000-0000-000010020000}"/>
    <cellStyle name="货币 2 3 3 3 7" xfId="38545" xr:uid="{00000000-0005-0000-0000-0000C1960000}"/>
    <cellStyle name="货币 2 3 3 3 7 2" xfId="42449" xr:uid="{00000000-0005-0000-0000-000001A60000}"/>
    <cellStyle name="货币 2 3 3 3 7 2 2" xfId="42450" xr:uid="{00000000-0005-0000-0000-000002A60000}"/>
    <cellStyle name="货币 2 3 3 3 7 3" xfId="42451" xr:uid="{00000000-0005-0000-0000-000003A60000}"/>
    <cellStyle name="货币 2 3 3 3 7 4" xfId="42452" xr:uid="{00000000-0005-0000-0000-000004A60000}"/>
    <cellStyle name="货币 2 3 3 3 7 5" xfId="42453" xr:uid="{00000000-0005-0000-0000-000005A60000}"/>
    <cellStyle name="货币 2 3 3 3 7 6" xfId="35177" xr:uid="{00000000-0005-0000-0000-000099890000}"/>
    <cellStyle name="货币 2 3 3 3 7 7" xfId="10303" xr:uid="{00000000-0005-0000-0000-00006F280000}"/>
    <cellStyle name="货币 2 3 3 3 7 8" xfId="35179" xr:uid="{00000000-0005-0000-0000-00009B890000}"/>
    <cellStyle name="货币 2 3 3 3 7 9" xfId="35181" xr:uid="{00000000-0005-0000-0000-00009D890000}"/>
    <cellStyle name="货币 2 3 3 3 8" xfId="38547" xr:uid="{00000000-0005-0000-0000-0000C3960000}"/>
    <cellStyle name="货币 2 3 3 3 8 2" xfId="42454" xr:uid="{00000000-0005-0000-0000-000006A60000}"/>
    <cellStyle name="货币 2 3 3 3 8 3" xfId="42455" xr:uid="{00000000-0005-0000-0000-000007A60000}"/>
    <cellStyle name="货币 2 3 3 3 8 4" xfId="42456" xr:uid="{00000000-0005-0000-0000-000008A60000}"/>
    <cellStyle name="货币 2 3 3 3 8 5" xfId="42457" xr:uid="{00000000-0005-0000-0000-000009A60000}"/>
    <cellStyle name="货币 2 3 3 3 8 6" xfId="42458" xr:uid="{00000000-0005-0000-0000-00000AA60000}"/>
    <cellStyle name="货币 2 3 3 3 9" xfId="6626" xr:uid="{00000000-0005-0000-0000-0000121A0000}"/>
    <cellStyle name="货币 2 3 3 3 9 2" xfId="42459" xr:uid="{00000000-0005-0000-0000-00000BA60000}"/>
    <cellStyle name="货币 2 3 3 3 9 3" xfId="42460" xr:uid="{00000000-0005-0000-0000-00000CA60000}"/>
    <cellStyle name="货币 2 3 3 3 9 4" xfId="42461" xr:uid="{00000000-0005-0000-0000-00000DA60000}"/>
    <cellStyle name="货币 2 3 3 3 9 5" xfId="42462" xr:uid="{00000000-0005-0000-0000-00000EA60000}"/>
    <cellStyle name="货币 2 3 3 3 9 6" xfId="42463" xr:uid="{00000000-0005-0000-0000-00000FA60000}"/>
    <cellStyle name="货币 2 3 3 4" xfId="25439" xr:uid="{00000000-0005-0000-0000-00008F630000}"/>
    <cellStyle name="货币 2 3 3 4 10" xfId="42464" xr:uid="{00000000-0005-0000-0000-000010A60000}"/>
    <cellStyle name="货币 2 3 3 4 10 2" xfId="42466" xr:uid="{00000000-0005-0000-0000-000012A60000}"/>
    <cellStyle name="货币 2 3 3 4 10 3" xfId="42468" xr:uid="{00000000-0005-0000-0000-000014A60000}"/>
    <cellStyle name="货币 2 3 3 4 10 4" xfId="42469" xr:uid="{00000000-0005-0000-0000-000015A60000}"/>
    <cellStyle name="货币 2 3 3 4 10 5" xfId="38325" xr:uid="{00000000-0005-0000-0000-0000E5950000}"/>
    <cellStyle name="货币 2 3 3 4 10 6" xfId="19265" xr:uid="{00000000-0005-0000-0000-0000714B0000}"/>
    <cellStyle name="货币 2 3 3 4 11" xfId="42470" xr:uid="{00000000-0005-0000-0000-000016A60000}"/>
    <cellStyle name="货币 2 3 3 4 11 2" xfId="42471" xr:uid="{00000000-0005-0000-0000-000017A60000}"/>
    <cellStyle name="货币 2 3 3 4 11 3" xfId="42472" xr:uid="{00000000-0005-0000-0000-000018A60000}"/>
    <cellStyle name="货币 2 3 3 4 11 4" xfId="42473" xr:uid="{00000000-0005-0000-0000-000019A60000}"/>
    <cellStyle name="货币 2 3 3 4 11 5" xfId="38328" xr:uid="{00000000-0005-0000-0000-0000E8950000}"/>
    <cellStyle name="货币 2 3 3 4 11 6" xfId="42474" xr:uid="{00000000-0005-0000-0000-00001AA60000}"/>
    <cellStyle name="货币 2 3 3 4 12" xfId="42475" xr:uid="{00000000-0005-0000-0000-00001BA60000}"/>
    <cellStyle name="货币 2 3 3 4 13" xfId="42476" xr:uid="{00000000-0005-0000-0000-00001CA60000}"/>
    <cellStyle name="货币 2 3 3 4 14" xfId="42477" xr:uid="{00000000-0005-0000-0000-00001DA60000}"/>
    <cellStyle name="货币 2 3 3 4 15" xfId="42479" xr:uid="{00000000-0005-0000-0000-00001FA60000}"/>
    <cellStyle name="货币 2 3 3 4 16" xfId="37949" xr:uid="{00000000-0005-0000-0000-00006D940000}"/>
    <cellStyle name="货币 2 3 3 4 17" xfId="42481" xr:uid="{00000000-0005-0000-0000-000021A60000}"/>
    <cellStyle name="货币 2 3 3 4 18" xfId="42483" xr:uid="{00000000-0005-0000-0000-000023A60000}"/>
    <cellStyle name="货币 2 3 3 4 19" xfId="42484" xr:uid="{00000000-0005-0000-0000-000024A60000}"/>
    <cellStyle name="货币 2 3 3 4 2" xfId="42485" xr:uid="{00000000-0005-0000-0000-000025A60000}"/>
    <cellStyle name="货币 2 3 3 4 2 10" xfId="23808" xr:uid="{00000000-0005-0000-0000-0000305D0000}"/>
    <cellStyle name="货币 2 3 3 4 2 11" xfId="42486" xr:uid="{00000000-0005-0000-0000-000026A60000}"/>
    <cellStyle name="货币 2 3 3 4 2 12" xfId="42487" xr:uid="{00000000-0005-0000-0000-000027A60000}"/>
    <cellStyle name="货币 2 3 3 4 2 13" xfId="42488" xr:uid="{00000000-0005-0000-0000-000028A60000}"/>
    <cellStyle name="货币 2 3 3 4 2 14" xfId="42489" xr:uid="{00000000-0005-0000-0000-000029A60000}"/>
    <cellStyle name="货币 2 3 3 4 2 15" xfId="42490" xr:uid="{00000000-0005-0000-0000-00002AA60000}"/>
    <cellStyle name="货币 2 3 3 4 2 16" xfId="42491" xr:uid="{00000000-0005-0000-0000-00002BA60000}"/>
    <cellStyle name="货币 2 3 3 4 2 17" xfId="42492" xr:uid="{00000000-0005-0000-0000-00002CA60000}"/>
    <cellStyle name="货币 2 3 3 4 2 18" xfId="42493" xr:uid="{00000000-0005-0000-0000-00002DA60000}"/>
    <cellStyle name="货币 2 3 3 4 2 2" xfId="42494" xr:uid="{00000000-0005-0000-0000-00002EA60000}"/>
    <cellStyle name="货币 2 3 3 4 2 2 10" xfId="42495" xr:uid="{00000000-0005-0000-0000-00002FA60000}"/>
    <cellStyle name="货币 2 3 3 4 2 2 11" xfId="42496" xr:uid="{00000000-0005-0000-0000-000030A60000}"/>
    <cellStyle name="货币 2 3 3 4 2 2 12" xfId="42497" xr:uid="{00000000-0005-0000-0000-000031A60000}"/>
    <cellStyle name="货币 2 3 3 4 2 2 2" xfId="42498" xr:uid="{00000000-0005-0000-0000-000032A60000}"/>
    <cellStyle name="货币 2 3 3 4 2 2 2 2" xfId="37793" xr:uid="{00000000-0005-0000-0000-0000D1930000}"/>
    <cellStyle name="货币 2 3 3 4 2 2 2 2 2" xfId="42499" xr:uid="{00000000-0005-0000-0000-000033A60000}"/>
    <cellStyle name="货币 2 3 3 4 2 2 2 3" xfId="26796" xr:uid="{00000000-0005-0000-0000-0000DC680000}"/>
    <cellStyle name="货币 2 3 3 4 2 2 2 4" xfId="26800" xr:uid="{00000000-0005-0000-0000-0000E0680000}"/>
    <cellStyle name="货币 2 3 3 4 2 2 2 5" xfId="26804" xr:uid="{00000000-0005-0000-0000-0000E4680000}"/>
    <cellStyle name="货币 2 3 3 4 2 2 3" xfId="42500" xr:uid="{00000000-0005-0000-0000-000034A60000}"/>
    <cellStyle name="货币 2 3 3 4 2 2 3 2" xfId="37810" xr:uid="{00000000-0005-0000-0000-0000E2930000}"/>
    <cellStyle name="货币 2 3 3 4 2 2 4" xfId="42501" xr:uid="{00000000-0005-0000-0000-000035A60000}"/>
    <cellStyle name="货币 2 3 3 4 2 2 5" xfId="21000" xr:uid="{00000000-0005-0000-0000-000038520000}"/>
    <cellStyle name="货币 2 3 3 4 2 2 6" xfId="21009" xr:uid="{00000000-0005-0000-0000-000041520000}"/>
    <cellStyle name="货币 2 3 3 4 2 2 7" xfId="21016" xr:uid="{00000000-0005-0000-0000-000048520000}"/>
    <cellStyle name="货币 2 3 3 4 2 2 8" xfId="21020" xr:uid="{00000000-0005-0000-0000-00004C520000}"/>
    <cellStyle name="货币 2 3 3 4 2 2 9" xfId="21022" xr:uid="{00000000-0005-0000-0000-00004E520000}"/>
    <cellStyle name="货币 2 3 3 4 2 3" xfId="42502" xr:uid="{00000000-0005-0000-0000-000036A60000}"/>
    <cellStyle name="货币 2 3 3 4 2 3 10" xfId="42503" xr:uid="{00000000-0005-0000-0000-000037A60000}"/>
    <cellStyle name="货币 2 3 3 4 2 3 11" xfId="42504" xr:uid="{00000000-0005-0000-0000-000038A60000}"/>
    <cellStyle name="货币 2 3 3 4 2 3 12" xfId="42505" xr:uid="{00000000-0005-0000-0000-000039A60000}"/>
    <cellStyle name="货币 2 3 3 4 2 3 2" xfId="42506" xr:uid="{00000000-0005-0000-0000-00003AA60000}"/>
    <cellStyle name="货币 2 3 3 4 2 3 2 2" xfId="37911" xr:uid="{00000000-0005-0000-0000-000047940000}"/>
    <cellStyle name="货币 2 3 3 4 2 3 2 2 2" xfId="42507" xr:uid="{00000000-0005-0000-0000-00003BA60000}"/>
    <cellStyle name="货币 2 3 3 4 2 3 2 3" xfId="26870" xr:uid="{00000000-0005-0000-0000-000026690000}"/>
    <cellStyle name="货币 2 3 3 4 2 3 2 4" xfId="37913" xr:uid="{00000000-0005-0000-0000-000049940000}"/>
    <cellStyle name="货币 2 3 3 4 2 3 2 5" xfId="37915" xr:uid="{00000000-0005-0000-0000-00004B940000}"/>
    <cellStyle name="货币 2 3 3 4 2 3 3" xfId="42508" xr:uid="{00000000-0005-0000-0000-00003CA60000}"/>
    <cellStyle name="货币 2 3 3 4 2 3 3 2" xfId="37934" xr:uid="{00000000-0005-0000-0000-00005E940000}"/>
    <cellStyle name="货币 2 3 3 4 2 3 4" xfId="42509" xr:uid="{00000000-0005-0000-0000-00003DA60000}"/>
    <cellStyle name="货币 2 3 3 4 2 3 5" xfId="21034" xr:uid="{00000000-0005-0000-0000-00005A520000}"/>
    <cellStyle name="货币 2 3 3 4 2 3 6" xfId="21036" xr:uid="{00000000-0005-0000-0000-00005C520000}"/>
    <cellStyle name="货币 2 3 3 4 2 3 7" xfId="20419" xr:uid="{00000000-0005-0000-0000-0000F34F0000}"/>
    <cellStyle name="货币 2 3 3 4 2 3 8" xfId="20424" xr:uid="{00000000-0005-0000-0000-0000F84F0000}"/>
    <cellStyle name="货币 2 3 3 4 2 3 9" xfId="20427" xr:uid="{00000000-0005-0000-0000-0000FB4F0000}"/>
    <cellStyle name="货币 2 3 3 4 2 4" xfId="42510" xr:uid="{00000000-0005-0000-0000-00003EA60000}"/>
    <cellStyle name="货币 2 3 3 4 2 4 10" xfId="42511" xr:uid="{00000000-0005-0000-0000-00003FA60000}"/>
    <cellStyle name="货币 2 3 3 4 2 4 2" xfId="42512" xr:uid="{00000000-0005-0000-0000-000040A60000}"/>
    <cellStyle name="货币 2 3 3 4 2 4 2 2" xfId="31336" xr:uid="{00000000-0005-0000-0000-0000987A0000}"/>
    <cellStyle name="货币 2 3 3 4 2 4 2 2 2" xfId="10208" xr:uid="{00000000-0005-0000-0000-000010280000}"/>
    <cellStyle name="货币 2 3 3 4 2 4 2 3" xfId="6779" xr:uid="{00000000-0005-0000-0000-0000AB1A0000}"/>
    <cellStyle name="货币 2 3 3 4 2 4 2 4" xfId="31372" xr:uid="{00000000-0005-0000-0000-0000BC7A0000}"/>
    <cellStyle name="货币 2 3 3 4 2 4 2 5" xfId="31382" xr:uid="{00000000-0005-0000-0000-0000C67A0000}"/>
    <cellStyle name="货币 2 3 3 4 2 4 3" xfId="42513" xr:uid="{00000000-0005-0000-0000-000041A60000}"/>
    <cellStyle name="货币 2 3 3 4 2 4 3 2" xfId="31419" xr:uid="{00000000-0005-0000-0000-0000EB7A0000}"/>
    <cellStyle name="货币 2 3 3 4 2 4 4" xfId="42514" xr:uid="{00000000-0005-0000-0000-000042A60000}"/>
    <cellStyle name="货币 2 3 3 4 2 4 5" xfId="21042" xr:uid="{00000000-0005-0000-0000-000062520000}"/>
    <cellStyle name="货币 2 3 3 4 2 4 6" xfId="21044" xr:uid="{00000000-0005-0000-0000-000064520000}"/>
    <cellStyle name="货币 2 3 3 4 2 4 7" xfId="6498" xr:uid="{00000000-0005-0000-0000-000092190000}"/>
    <cellStyle name="货币 2 3 3 4 2 4 8" xfId="6515" xr:uid="{00000000-0005-0000-0000-0000A3190000}"/>
    <cellStyle name="货币 2 3 3 4 2 4 9" xfId="4929" xr:uid="{00000000-0005-0000-0000-000071130000}"/>
    <cellStyle name="货币 2 3 3 4 2 5" xfId="42515" xr:uid="{00000000-0005-0000-0000-000043A60000}"/>
    <cellStyle name="货币 2 3 3 4 2 5 10" xfId="36500" xr:uid="{00000000-0005-0000-0000-0000C48E0000}"/>
    <cellStyle name="货币 2 3 3 4 2 5 2" xfId="42516" xr:uid="{00000000-0005-0000-0000-000044A60000}"/>
    <cellStyle name="货币 2 3 3 4 2 5 2 2" xfId="38048" xr:uid="{00000000-0005-0000-0000-0000D0940000}"/>
    <cellStyle name="货币 2 3 3 4 2 5 2 2 2" xfId="36753" xr:uid="{00000000-0005-0000-0000-0000C18F0000}"/>
    <cellStyle name="货币 2 3 3 4 2 5 2 3" xfId="24287" xr:uid="{00000000-0005-0000-0000-00000F5F0000}"/>
    <cellStyle name="货币 2 3 3 4 2 5 2 4" xfId="38050" xr:uid="{00000000-0005-0000-0000-0000D2940000}"/>
    <cellStyle name="货币 2 3 3 4 2 5 2 5" xfId="38052" xr:uid="{00000000-0005-0000-0000-0000D4940000}"/>
    <cellStyle name="货币 2 3 3 4 2 5 3" xfId="42517" xr:uid="{00000000-0005-0000-0000-000045A60000}"/>
    <cellStyle name="货币 2 3 3 4 2 5 3 2" xfId="7167" xr:uid="{00000000-0005-0000-0000-00002F1C0000}"/>
    <cellStyle name="货币 2 3 3 4 2 5 4" xfId="42518" xr:uid="{00000000-0005-0000-0000-000046A60000}"/>
    <cellStyle name="货币 2 3 3 4 2 5 5" xfId="21046" xr:uid="{00000000-0005-0000-0000-000066520000}"/>
    <cellStyle name="货币 2 3 3 4 2 5 6" xfId="21049" xr:uid="{00000000-0005-0000-0000-000069520000}"/>
    <cellStyle name="货币 2 3 3 4 2 5 7" xfId="21051" xr:uid="{00000000-0005-0000-0000-00006B520000}"/>
    <cellStyle name="货币 2 3 3 4 2 5 8" xfId="21053" xr:uid="{00000000-0005-0000-0000-00006D520000}"/>
    <cellStyle name="货币 2 3 3 4 2 5 9" xfId="21055" xr:uid="{00000000-0005-0000-0000-00006F520000}"/>
    <cellStyle name="货币 2 3 3 4 2 6" xfId="42519" xr:uid="{00000000-0005-0000-0000-000047A60000}"/>
    <cellStyle name="货币 2 3 3 4 2 6 2" xfId="42520" xr:uid="{00000000-0005-0000-0000-000048A60000}"/>
    <cellStyle name="货币 2 3 3 4 2 6 2 2" xfId="37971" xr:uid="{00000000-0005-0000-0000-000083940000}"/>
    <cellStyle name="货币 2 3 3 4 2 6 3" xfId="42521" xr:uid="{00000000-0005-0000-0000-000049A60000}"/>
    <cellStyle name="货币 2 3 3 4 2 6 4" xfId="42522" xr:uid="{00000000-0005-0000-0000-00004AA60000}"/>
    <cellStyle name="货币 2 3 3 4 2 6 5" xfId="21061" xr:uid="{00000000-0005-0000-0000-000075520000}"/>
    <cellStyle name="货币 2 3 3 4 2 6 6" xfId="21063" xr:uid="{00000000-0005-0000-0000-000077520000}"/>
    <cellStyle name="货币 2 3 3 4 2 6 7" xfId="21065" xr:uid="{00000000-0005-0000-0000-000079520000}"/>
    <cellStyle name="货币 2 3 3 4 2 6 8" xfId="21067" xr:uid="{00000000-0005-0000-0000-00007B520000}"/>
    <cellStyle name="货币 2 3 3 4 2 6 9" xfId="21069" xr:uid="{00000000-0005-0000-0000-00007D520000}"/>
    <cellStyle name="货币 2 3 3 4 2 7" xfId="42523" xr:uid="{00000000-0005-0000-0000-00004BA60000}"/>
    <cellStyle name="货币 2 3 3 4 2 7 2" xfId="42524" xr:uid="{00000000-0005-0000-0000-00004CA60000}"/>
    <cellStyle name="货币 2 3 3 4 2 8" xfId="42525" xr:uid="{00000000-0005-0000-0000-00004DA60000}"/>
    <cellStyle name="货币 2 3 3 4 2 9" xfId="42526" xr:uid="{00000000-0005-0000-0000-00004EA60000}"/>
    <cellStyle name="货币 2 3 3 4 20" xfId="42478" xr:uid="{00000000-0005-0000-0000-00001EA60000}"/>
    <cellStyle name="货币 2 3 3 4 21" xfId="37948" xr:uid="{00000000-0005-0000-0000-00006C940000}"/>
    <cellStyle name="货币 2 3 3 4 22" xfId="42480" xr:uid="{00000000-0005-0000-0000-000020A60000}"/>
    <cellStyle name="货币 2 3 3 4 23" xfId="42482" xr:uid="{00000000-0005-0000-0000-000022A60000}"/>
    <cellStyle name="货币 2 3 3 4 3" xfId="42527" xr:uid="{00000000-0005-0000-0000-00004FA60000}"/>
    <cellStyle name="货币 2 3 3 4 3 10" xfId="19201" xr:uid="{00000000-0005-0000-0000-0000314B0000}"/>
    <cellStyle name="货币 2 3 3 4 3 11" xfId="42528" xr:uid="{00000000-0005-0000-0000-000050A60000}"/>
    <cellStyle name="货币 2 3 3 4 3 12" xfId="42530" xr:uid="{00000000-0005-0000-0000-000052A60000}"/>
    <cellStyle name="货币 2 3 3 4 3 13" xfId="42532" xr:uid="{00000000-0005-0000-0000-000054A60000}"/>
    <cellStyle name="货币 2 3 3 4 3 14" xfId="42534" xr:uid="{00000000-0005-0000-0000-000056A60000}"/>
    <cellStyle name="货币 2 3 3 4 3 15" xfId="8531" xr:uid="{00000000-0005-0000-0000-000083210000}"/>
    <cellStyle name="货币 2 3 3 4 3 16" xfId="8544" xr:uid="{00000000-0005-0000-0000-000090210000}"/>
    <cellStyle name="货币 2 3 3 4 3 17" xfId="7268" xr:uid="{00000000-0005-0000-0000-0000941C0000}"/>
    <cellStyle name="货币 2 3 3 4 3 18" xfId="8555" xr:uid="{00000000-0005-0000-0000-00009B210000}"/>
    <cellStyle name="货币 2 3 3 4 3 2" xfId="11054" xr:uid="{00000000-0005-0000-0000-00005E2B0000}"/>
    <cellStyle name="货币 2 3 3 4 3 2 10" xfId="39829" xr:uid="{00000000-0005-0000-0000-0000C59B0000}"/>
    <cellStyle name="货币 2 3 3 4 3 2 2" xfId="42535" xr:uid="{00000000-0005-0000-0000-000057A60000}"/>
    <cellStyle name="货币 2 3 3 4 3 2 2 2" xfId="38229" xr:uid="{00000000-0005-0000-0000-000085950000}"/>
    <cellStyle name="货币 2 3 3 4 3 2 3" xfId="42537" xr:uid="{00000000-0005-0000-0000-000059A60000}"/>
    <cellStyle name="货币 2 3 3 4 3 2 4" xfId="42539" xr:uid="{00000000-0005-0000-0000-00005BA60000}"/>
    <cellStyle name="货币 2 3 3 4 3 2 5" xfId="21124" xr:uid="{00000000-0005-0000-0000-0000B4520000}"/>
    <cellStyle name="货币 2 3 3 4 3 2 6" xfId="21130" xr:uid="{00000000-0005-0000-0000-0000BA520000}"/>
    <cellStyle name="货币 2 3 3 4 3 2 7" xfId="21133" xr:uid="{00000000-0005-0000-0000-0000BD520000}"/>
    <cellStyle name="货币 2 3 3 4 3 2 8" xfId="21136" xr:uid="{00000000-0005-0000-0000-0000C0520000}"/>
    <cellStyle name="货币 2 3 3 4 3 2 9" xfId="21139" xr:uid="{00000000-0005-0000-0000-0000C3520000}"/>
    <cellStyle name="货币 2 3 3 4 3 3" xfId="42540" xr:uid="{00000000-0005-0000-0000-00005CA60000}"/>
    <cellStyle name="货币 2 3 3 4 3 3 2" xfId="42541" xr:uid="{00000000-0005-0000-0000-00005DA60000}"/>
    <cellStyle name="货币 2 3 3 4 3 3 3" xfId="42543" xr:uid="{00000000-0005-0000-0000-00005FA60000}"/>
    <cellStyle name="货币 2 3 3 4 3 3 4" xfId="42545" xr:uid="{00000000-0005-0000-0000-000061A60000}"/>
    <cellStyle name="货币 2 3 3 4 3 3 5" xfId="19169" xr:uid="{00000000-0005-0000-0000-0000114B0000}"/>
    <cellStyle name="货币 2 3 3 4 3 3 6" xfId="19174" xr:uid="{00000000-0005-0000-0000-0000164B0000}"/>
    <cellStyle name="货币 2 3 3 4 3 4" xfId="42546" xr:uid="{00000000-0005-0000-0000-000062A60000}"/>
    <cellStyle name="货币 2 3 3 4 3 4 2" xfId="42547" xr:uid="{00000000-0005-0000-0000-000063A60000}"/>
    <cellStyle name="货币 2 3 3 4 3 4 3" xfId="42549" xr:uid="{00000000-0005-0000-0000-000065A60000}"/>
    <cellStyle name="货币 2 3 3 4 3 4 4" xfId="42551" xr:uid="{00000000-0005-0000-0000-000067A60000}"/>
    <cellStyle name="货币 2 3 3 4 3 4 5" xfId="7201" xr:uid="{00000000-0005-0000-0000-0000511C0000}"/>
    <cellStyle name="货币 2 3 3 4 3 4 6" xfId="7224" xr:uid="{00000000-0005-0000-0000-0000681C0000}"/>
    <cellStyle name="货币 2 3 3 4 3 5" xfId="42552" xr:uid="{00000000-0005-0000-0000-000068A60000}"/>
    <cellStyle name="货币 2 3 3 4 3 5 2" xfId="42553" xr:uid="{00000000-0005-0000-0000-000069A60000}"/>
    <cellStyle name="货币 2 3 3 4 3 5 3" xfId="42555" xr:uid="{00000000-0005-0000-0000-00006BA60000}"/>
    <cellStyle name="货币 2 3 3 4 3 5 4" xfId="42557" xr:uid="{00000000-0005-0000-0000-00006DA60000}"/>
    <cellStyle name="货币 2 3 3 4 3 5 5" xfId="21152" xr:uid="{00000000-0005-0000-0000-0000D0520000}"/>
    <cellStyle name="货币 2 3 3 4 3 5 6" xfId="21155" xr:uid="{00000000-0005-0000-0000-0000D3520000}"/>
    <cellStyle name="货币 2 3 3 4 3 6" xfId="27627" xr:uid="{00000000-0005-0000-0000-00001B6C0000}"/>
    <cellStyle name="货币 2 3 3 4 3 6 2" xfId="27631" xr:uid="{00000000-0005-0000-0000-00001F6C0000}"/>
    <cellStyle name="货币 2 3 3 4 3 6 3" xfId="42559" xr:uid="{00000000-0005-0000-0000-00006FA60000}"/>
    <cellStyle name="货币 2 3 3 4 3 6 4" xfId="42560" xr:uid="{00000000-0005-0000-0000-000070A60000}"/>
    <cellStyle name="货币 2 3 3 4 3 6 5" xfId="21168" xr:uid="{00000000-0005-0000-0000-0000E0520000}"/>
    <cellStyle name="货币 2 3 3 4 3 6 6" xfId="21170" xr:uid="{00000000-0005-0000-0000-0000E2520000}"/>
    <cellStyle name="货币 2 3 3 4 3 7" xfId="27637" xr:uid="{00000000-0005-0000-0000-0000256C0000}"/>
    <cellStyle name="货币 2 3 3 4 3 8" xfId="27644" xr:uid="{00000000-0005-0000-0000-00002C6C0000}"/>
    <cellStyle name="货币 2 3 3 4 3 9" xfId="27651" xr:uid="{00000000-0005-0000-0000-0000336C0000}"/>
    <cellStyle name="货币 2 3 3 4 4" xfId="42561" xr:uid="{00000000-0005-0000-0000-000071A60000}"/>
    <cellStyle name="货币 2 3 3 4 4 10" xfId="42562" xr:uid="{00000000-0005-0000-0000-000072A60000}"/>
    <cellStyle name="货币 2 3 3 4 4 11" xfId="42563" xr:uid="{00000000-0005-0000-0000-000073A60000}"/>
    <cellStyle name="货币 2 3 3 4 4 12" xfId="42564" xr:uid="{00000000-0005-0000-0000-000074A60000}"/>
    <cellStyle name="货币 2 3 3 4 4 13" xfId="42565" xr:uid="{00000000-0005-0000-0000-000075A60000}"/>
    <cellStyle name="货币 2 3 3 4 4 14" xfId="42566" xr:uid="{00000000-0005-0000-0000-000076A60000}"/>
    <cellStyle name="货币 2 3 3 4 4 15" xfId="42567" xr:uid="{00000000-0005-0000-0000-000077A60000}"/>
    <cellStyle name="货币 2 3 3 4 4 2" xfId="42568" xr:uid="{00000000-0005-0000-0000-000078A60000}"/>
    <cellStyle name="货币 2 3 3 4 4 2 2" xfId="42569" xr:uid="{00000000-0005-0000-0000-000079A60000}"/>
    <cellStyle name="货币 2 3 3 4 4 2 2 2" xfId="2373" xr:uid="{00000000-0005-0000-0000-000075090000}"/>
    <cellStyle name="货币 2 3 3 4 4 2 3" xfId="42571" xr:uid="{00000000-0005-0000-0000-00007BA60000}"/>
    <cellStyle name="货币 2 3 3 4 4 2 4" xfId="42573" xr:uid="{00000000-0005-0000-0000-00007DA60000}"/>
    <cellStyle name="货币 2 3 3 4 4 2 5" xfId="21202" xr:uid="{00000000-0005-0000-0000-000002530000}"/>
    <cellStyle name="货币 2 3 3 4 4 2 6" xfId="21207" xr:uid="{00000000-0005-0000-0000-000007530000}"/>
    <cellStyle name="货币 2 3 3 4 4 2 7" xfId="21210" xr:uid="{00000000-0005-0000-0000-00000A530000}"/>
    <cellStyle name="货币 2 3 3 4 4 2 8" xfId="3260" xr:uid="{00000000-0005-0000-0000-0000EC0C0000}"/>
    <cellStyle name="货币 2 3 3 4 4 2 9" xfId="21212" xr:uid="{00000000-0005-0000-0000-00000C530000}"/>
    <cellStyle name="货币 2 3 3 4 4 3" xfId="42574" xr:uid="{00000000-0005-0000-0000-00007EA60000}"/>
    <cellStyle name="货币 2 3 3 4 4 3 2" xfId="42575" xr:uid="{00000000-0005-0000-0000-00007FA60000}"/>
    <cellStyle name="货币 2 3 3 4 4 3 3" xfId="42577" xr:uid="{00000000-0005-0000-0000-000081A60000}"/>
    <cellStyle name="货币 2 3 3 4 4 3 4" xfId="42579" xr:uid="{00000000-0005-0000-0000-000083A60000}"/>
    <cellStyle name="货币 2 3 3 4 4 3 5" xfId="21222" xr:uid="{00000000-0005-0000-0000-000016530000}"/>
    <cellStyle name="货币 2 3 3 4 4 3 6" xfId="21225" xr:uid="{00000000-0005-0000-0000-000019530000}"/>
    <cellStyle name="货币 2 3 3 4 4 4" xfId="42580" xr:uid="{00000000-0005-0000-0000-000084A60000}"/>
    <cellStyle name="货币 2 3 3 4 4 4 2" xfId="42582" xr:uid="{00000000-0005-0000-0000-000086A60000}"/>
    <cellStyle name="货币 2 3 3 4 4 5" xfId="42583" xr:uid="{00000000-0005-0000-0000-000087A60000}"/>
    <cellStyle name="货币 2 3 3 4 4 6" xfId="27660" xr:uid="{00000000-0005-0000-0000-00003C6C0000}"/>
    <cellStyle name="货币 2 3 3 4 4 7" xfId="30432" xr:uid="{00000000-0005-0000-0000-000010770000}"/>
    <cellStyle name="货币 2 3 3 4 4 8" xfId="42584" xr:uid="{00000000-0005-0000-0000-000088A60000}"/>
    <cellStyle name="货币 2 3 3 4 4 9" xfId="42585" xr:uid="{00000000-0005-0000-0000-000089A60000}"/>
    <cellStyle name="货币 2 3 3 4 5" xfId="42586" xr:uid="{00000000-0005-0000-0000-00008AA60000}"/>
    <cellStyle name="货币 2 3 3 4 5 10" xfId="42587" xr:uid="{00000000-0005-0000-0000-00008BA60000}"/>
    <cellStyle name="货币 2 3 3 4 5 11" xfId="42588" xr:uid="{00000000-0005-0000-0000-00008CA60000}"/>
    <cellStyle name="货币 2 3 3 4 5 12" xfId="42589" xr:uid="{00000000-0005-0000-0000-00008DA60000}"/>
    <cellStyle name="货币 2 3 3 4 5 13" xfId="42590" xr:uid="{00000000-0005-0000-0000-00008EA60000}"/>
    <cellStyle name="货币 2 3 3 4 5 2" xfId="42591" xr:uid="{00000000-0005-0000-0000-00008FA60000}"/>
    <cellStyle name="货币 2 3 3 4 5 2 2" xfId="14392" xr:uid="{00000000-0005-0000-0000-000068380000}"/>
    <cellStyle name="货币 2 3 3 4 5 2 2 2" xfId="214" xr:uid="{00000000-0005-0000-0000-0000E6000000}"/>
    <cellStyle name="货币 2 3 3 4 5 2 3" xfId="14398" xr:uid="{00000000-0005-0000-0000-00006E380000}"/>
    <cellStyle name="货币 2 3 3 4 5 2 4" xfId="42593" xr:uid="{00000000-0005-0000-0000-000091A60000}"/>
    <cellStyle name="货币 2 3 3 4 5 2 5" xfId="21254" xr:uid="{00000000-0005-0000-0000-000036530000}"/>
    <cellStyle name="货币 2 3 3 4 5 2 6" xfId="21264" xr:uid="{00000000-0005-0000-0000-000040530000}"/>
    <cellStyle name="货币 2 3 3 4 5 2 7" xfId="2510" xr:uid="{00000000-0005-0000-0000-0000FE090000}"/>
    <cellStyle name="货币 2 3 3 4 5 2 8" xfId="2892" xr:uid="{00000000-0005-0000-0000-00007C0B0000}"/>
    <cellStyle name="货币 2 3 3 4 5 2 9" xfId="21267" xr:uid="{00000000-0005-0000-0000-000043530000}"/>
    <cellStyle name="货币 2 3 3 4 5 3" xfId="42594" xr:uid="{00000000-0005-0000-0000-000092A60000}"/>
    <cellStyle name="货币 2 3 3 4 5 3 2" xfId="42595" xr:uid="{00000000-0005-0000-0000-000093A60000}"/>
    <cellStyle name="货币 2 3 3 4 5 3 3" xfId="42597" xr:uid="{00000000-0005-0000-0000-000095A60000}"/>
    <cellStyle name="货币 2 3 3 4 5 3 4" xfId="42598" xr:uid="{00000000-0005-0000-0000-000096A60000}"/>
    <cellStyle name="货币 2 3 3 4 5 3 5" xfId="21284" xr:uid="{00000000-0005-0000-0000-000054530000}"/>
    <cellStyle name="货币 2 3 3 4 5 3 6" xfId="21286" xr:uid="{00000000-0005-0000-0000-000056530000}"/>
    <cellStyle name="货币 2 3 3 4 5 4" xfId="42599" xr:uid="{00000000-0005-0000-0000-000097A60000}"/>
    <cellStyle name="货币 2 3 3 4 5 4 2" xfId="42600" xr:uid="{00000000-0005-0000-0000-000098A60000}"/>
    <cellStyle name="货币 2 3 3 4 5 5" xfId="42601" xr:uid="{00000000-0005-0000-0000-000099A60000}"/>
    <cellStyle name="货币 2 3 3 4 5 6" xfId="42602" xr:uid="{00000000-0005-0000-0000-00009AA60000}"/>
    <cellStyle name="货币 2 3 3 4 5 7" xfId="30445" xr:uid="{00000000-0005-0000-0000-00001D770000}"/>
    <cellStyle name="货币 2 3 3 4 5 8" xfId="42603" xr:uid="{00000000-0005-0000-0000-00009BA60000}"/>
    <cellStyle name="货币 2 3 3 4 5 9" xfId="42604" xr:uid="{00000000-0005-0000-0000-00009CA60000}"/>
    <cellStyle name="货币 2 3 3 4 6" xfId="42605" xr:uid="{00000000-0005-0000-0000-00009DA60000}"/>
    <cellStyle name="货币 2 3 3 4 6 10" xfId="6808" xr:uid="{00000000-0005-0000-0000-0000C81A0000}"/>
    <cellStyle name="货币 2 3 3 4 6 11" xfId="5366" xr:uid="{00000000-0005-0000-0000-000026150000}"/>
    <cellStyle name="货币 2 3 3 4 6 12" xfId="5387" xr:uid="{00000000-0005-0000-0000-00003B150000}"/>
    <cellStyle name="货币 2 3 3 4 6 2" xfId="42606" xr:uid="{00000000-0005-0000-0000-00009EA60000}"/>
    <cellStyle name="货币 2 3 3 4 6 2 2" xfId="42607" xr:uid="{00000000-0005-0000-0000-00009FA60000}"/>
    <cellStyle name="货币 2 3 3 4 6 2 2 2" xfId="5068" xr:uid="{00000000-0005-0000-0000-0000FC130000}"/>
    <cellStyle name="货币 2 3 3 4 6 2 3" xfId="42609" xr:uid="{00000000-0005-0000-0000-0000A1A60000}"/>
    <cellStyle name="货币 2 3 3 4 6 2 4" xfId="42611" xr:uid="{00000000-0005-0000-0000-0000A3A60000}"/>
    <cellStyle name="货币 2 3 3 4 6 2 5" xfId="21307" xr:uid="{00000000-0005-0000-0000-00006B530000}"/>
    <cellStyle name="货币 2 3 3 4 6 2 6" xfId="21312" xr:uid="{00000000-0005-0000-0000-000070530000}"/>
    <cellStyle name="货币 2 3 3 4 6 2 7" xfId="414" xr:uid="{00000000-0005-0000-0000-0000B9010000}"/>
    <cellStyle name="货币 2 3 3 4 6 2 8" xfId="5001" xr:uid="{00000000-0005-0000-0000-0000B9130000}"/>
    <cellStyle name="货币 2 3 3 4 6 2 9" xfId="35534" xr:uid="{00000000-0005-0000-0000-0000FE8A0000}"/>
    <cellStyle name="货币 2 3 3 4 6 3" xfId="42612" xr:uid="{00000000-0005-0000-0000-0000A4A60000}"/>
    <cellStyle name="货币 2 3 3 4 6 3 2" xfId="42613" xr:uid="{00000000-0005-0000-0000-0000A5A60000}"/>
    <cellStyle name="货币 2 3 3 4 6 3 3" xfId="42615" xr:uid="{00000000-0005-0000-0000-0000A7A60000}"/>
    <cellStyle name="货币 2 3 3 4 6 3 4" xfId="42616" xr:uid="{00000000-0005-0000-0000-0000A8A60000}"/>
    <cellStyle name="货币 2 3 3 4 6 3 5" xfId="19301" xr:uid="{00000000-0005-0000-0000-0000954B0000}"/>
    <cellStyle name="货币 2 3 3 4 6 3 6" xfId="42617" xr:uid="{00000000-0005-0000-0000-0000A9A60000}"/>
    <cellStyle name="货币 2 3 3 4 6 4" xfId="42618" xr:uid="{00000000-0005-0000-0000-0000AAA60000}"/>
    <cellStyle name="货币 2 3 3 4 6 4 2" xfId="22776" xr:uid="{00000000-0005-0000-0000-000028590000}"/>
    <cellStyle name="货币 2 3 3 4 6 5" xfId="42619" xr:uid="{00000000-0005-0000-0000-0000ABA60000}"/>
    <cellStyle name="货币 2 3 3 4 6 6" xfId="42620" xr:uid="{00000000-0005-0000-0000-0000ACA60000}"/>
    <cellStyle name="货币 2 3 3 4 6 7" xfId="42621" xr:uid="{00000000-0005-0000-0000-0000ADA60000}"/>
    <cellStyle name="货币 2 3 3 4 6 8" xfId="42622" xr:uid="{00000000-0005-0000-0000-0000AEA60000}"/>
    <cellStyle name="货币 2 3 3 4 6 9" xfId="42623" xr:uid="{00000000-0005-0000-0000-0000AFA60000}"/>
    <cellStyle name="货币 2 3 3 4 7" xfId="42624" xr:uid="{00000000-0005-0000-0000-0000B0A60000}"/>
    <cellStyle name="货币 2 3 3 4 7 2" xfId="42625" xr:uid="{00000000-0005-0000-0000-0000B1A60000}"/>
    <cellStyle name="货币 2 3 3 4 7 2 2" xfId="42626" xr:uid="{00000000-0005-0000-0000-0000B2A60000}"/>
    <cellStyle name="货币 2 3 3 4 7 3" xfId="42627" xr:uid="{00000000-0005-0000-0000-0000B3A60000}"/>
    <cellStyle name="货币 2 3 3 4 7 4" xfId="42628" xr:uid="{00000000-0005-0000-0000-0000B4A60000}"/>
    <cellStyle name="货币 2 3 3 4 7 5" xfId="42629" xr:uid="{00000000-0005-0000-0000-0000B5A60000}"/>
    <cellStyle name="货币 2 3 3 4 7 6" xfId="42630" xr:uid="{00000000-0005-0000-0000-0000B6A60000}"/>
    <cellStyle name="货币 2 3 3 4 7 7" xfId="42631" xr:uid="{00000000-0005-0000-0000-0000B7A60000}"/>
    <cellStyle name="货币 2 3 3 4 7 8" xfId="42632" xr:uid="{00000000-0005-0000-0000-0000B8A60000}"/>
    <cellStyle name="货币 2 3 3 4 7 9" xfId="42633" xr:uid="{00000000-0005-0000-0000-0000B9A60000}"/>
    <cellStyle name="货币 2 3 3 4 8" xfId="42634" xr:uid="{00000000-0005-0000-0000-0000BAA60000}"/>
    <cellStyle name="货币 2 3 3 4 8 2" xfId="11200" xr:uid="{00000000-0005-0000-0000-0000F02B0000}"/>
    <cellStyle name="货币 2 3 3 4 8 3" xfId="42635" xr:uid="{00000000-0005-0000-0000-0000BBA60000}"/>
    <cellStyle name="货币 2 3 3 4 8 4" xfId="42636" xr:uid="{00000000-0005-0000-0000-0000BCA60000}"/>
    <cellStyle name="货币 2 3 3 4 8 5" xfId="42637" xr:uid="{00000000-0005-0000-0000-0000BDA60000}"/>
    <cellStyle name="货币 2 3 3 4 8 6" xfId="42638" xr:uid="{00000000-0005-0000-0000-0000BEA60000}"/>
    <cellStyle name="货币 2 3 3 4 9" xfId="42639" xr:uid="{00000000-0005-0000-0000-0000BFA60000}"/>
    <cellStyle name="货币 2 3 3 4 9 2" xfId="42640" xr:uid="{00000000-0005-0000-0000-0000C0A60000}"/>
    <cellStyle name="货币 2 3 3 4 9 3" xfId="42641" xr:uid="{00000000-0005-0000-0000-0000C1A60000}"/>
    <cellStyle name="货币 2 3 3 4 9 4" xfId="42642" xr:uid="{00000000-0005-0000-0000-0000C2A60000}"/>
    <cellStyle name="货币 2 3 3 4 9 5" xfId="42643" xr:uid="{00000000-0005-0000-0000-0000C3A60000}"/>
    <cellStyle name="货币 2 3 3 4 9 6" xfId="42644" xr:uid="{00000000-0005-0000-0000-0000C4A60000}"/>
    <cellStyle name="货币 2 3 3 5" xfId="25442" xr:uid="{00000000-0005-0000-0000-000092630000}"/>
    <cellStyle name="货币 2 3 3 5 10" xfId="42645" xr:uid="{00000000-0005-0000-0000-0000C5A60000}"/>
    <cellStyle name="货币 2 3 3 5 10 2" xfId="42647" xr:uid="{00000000-0005-0000-0000-0000C7A60000}"/>
    <cellStyle name="货币 2 3 3 5 10 3" xfId="42650" xr:uid="{00000000-0005-0000-0000-0000CAA60000}"/>
    <cellStyle name="货币 2 3 3 5 10 4" xfId="42652" xr:uid="{00000000-0005-0000-0000-0000CCA60000}"/>
    <cellStyle name="货币 2 3 3 5 10 5" xfId="42654" xr:uid="{00000000-0005-0000-0000-0000CEA60000}"/>
    <cellStyle name="货币 2 3 3 5 10 6" xfId="42656" xr:uid="{00000000-0005-0000-0000-0000D0A60000}"/>
    <cellStyle name="货币 2 3 3 5 11" xfId="42657" xr:uid="{00000000-0005-0000-0000-0000D1A60000}"/>
    <cellStyle name="货币 2 3 3 5 11 2" xfId="42658" xr:uid="{00000000-0005-0000-0000-0000D2A60000}"/>
    <cellStyle name="货币 2 3 3 5 11 3" xfId="42660" xr:uid="{00000000-0005-0000-0000-0000D4A60000}"/>
    <cellStyle name="货币 2 3 3 5 11 4" xfId="42662" xr:uid="{00000000-0005-0000-0000-0000D6A60000}"/>
    <cellStyle name="货币 2 3 3 5 11 5" xfId="42664" xr:uid="{00000000-0005-0000-0000-0000D8A60000}"/>
    <cellStyle name="货币 2 3 3 5 11 6" xfId="10721" xr:uid="{00000000-0005-0000-0000-0000112A0000}"/>
    <cellStyle name="货币 2 3 3 5 12" xfId="42665" xr:uid="{00000000-0005-0000-0000-0000D9A60000}"/>
    <cellStyle name="货币 2 3 3 5 13" xfId="42666" xr:uid="{00000000-0005-0000-0000-0000DAA60000}"/>
    <cellStyle name="货币 2 3 3 5 14" xfId="16369" xr:uid="{00000000-0005-0000-0000-000021400000}"/>
    <cellStyle name="货币 2 3 3 5 15" xfId="42668" xr:uid="{00000000-0005-0000-0000-0000DCA60000}"/>
    <cellStyle name="货币 2 3 3 5 16" xfId="30616" xr:uid="{00000000-0005-0000-0000-0000C8770000}"/>
    <cellStyle name="货币 2 3 3 5 17" xfId="30620" xr:uid="{00000000-0005-0000-0000-0000CC770000}"/>
    <cellStyle name="货币 2 3 3 5 18" xfId="30623" xr:uid="{00000000-0005-0000-0000-0000CF770000}"/>
    <cellStyle name="货币 2 3 3 5 19" xfId="42669" xr:uid="{00000000-0005-0000-0000-0000DDA60000}"/>
    <cellStyle name="货币 2 3 3 5 2" xfId="30010" xr:uid="{00000000-0005-0000-0000-00006A750000}"/>
    <cellStyle name="货币 2 3 3 5 2 10" xfId="23999" xr:uid="{00000000-0005-0000-0000-0000EF5D0000}"/>
    <cellStyle name="货币 2 3 3 5 2 11" xfId="42670" xr:uid="{00000000-0005-0000-0000-0000DEA60000}"/>
    <cellStyle name="货币 2 3 3 5 2 12" xfId="42671" xr:uid="{00000000-0005-0000-0000-0000DFA60000}"/>
    <cellStyle name="货币 2 3 3 5 2 13" xfId="42672" xr:uid="{00000000-0005-0000-0000-0000E0A60000}"/>
    <cellStyle name="货币 2 3 3 5 2 14" xfId="16844" xr:uid="{00000000-0005-0000-0000-0000FC410000}"/>
    <cellStyle name="货币 2 3 3 5 2 15" xfId="17716" xr:uid="{00000000-0005-0000-0000-000064450000}"/>
    <cellStyle name="货币 2 3 3 5 2 16" xfId="17720" xr:uid="{00000000-0005-0000-0000-000068450000}"/>
    <cellStyle name="货币 2 3 3 5 2 17" xfId="17725" xr:uid="{00000000-0005-0000-0000-00006D450000}"/>
    <cellStyle name="货币 2 3 3 5 2 18" xfId="36023" xr:uid="{00000000-0005-0000-0000-0000E78C0000}"/>
    <cellStyle name="货币 2 3 3 5 2 2" xfId="42674" xr:uid="{00000000-0005-0000-0000-0000E2A60000}"/>
    <cellStyle name="货币 2 3 3 5 2 2 10" xfId="35599" xr:uid="{00000000-0005-0000-0000-00003F8B0000}"/>
    <cellStyle name="货币 2 3 3 5 2 2 11" xfId="1956" xr:uid="{00000000-0005-0000-0000-0000D4070000}"/>
    <cellStyle name="货币 2 3 3 5 2 2 12" xfId="42675" xr:uid="{00000000-0005-0000-0000-0000E3A60000}"/>
    <cellStyle name="货币 2 3 3 5 2 2 2" xfId="42676" xr:uid="{00000000-0005-0000-0000-0000E4A60000}"/>
    <cellStyle name="货币 2 3 3 5 2 2 2 2" xfId="42678" xr:uid="{00000000-0005-0000-0000-0000E6A60000}"/>
    <cellStyle name="货币 2 3 3 5 2 2 2 2 2" xfId="42679" xr:uid="{00000000-0005-0000-0000-0000E7A60000}"/>
    <cellStyle name="货币 2 3 3 5 2 2 2 3" xfId="42682" xr:uid="{00000000-0005-0000-0000-0000EAA60000}"/>
    <cellStyle name="货币 2 3 3 5 2 2 2 4" xfId="30860" xr:uid="{00000000-0005-0000-0000-0000BC780000}"/>
    <cellStyle name="货币 2 3 3 5 2 2 2 5" xfId="30864" xr:uid="{00000000-0005-0000-0000-0000C0780000}"/>
    <cellStyle name="货币 2 3 3 5 2 2 3" xfId="42683" xr:uid="{00000000-0005-0000-0000-0000EBA60000}"/>
    <cellStyle name="货币 2 3 3 5 2 2 3 2" xfId="10521" xr:uid="{00000000-0005-0000-0000-000049290000}"/>
    <cellStyle name="货币 2 3 3 5 2 2 4" xfId="5212" xr:uid="{00000000-0005-0000-0000-00008C140000}"/>
    <cellStyle name="货币 2 3 3 5 2 2 5" xfId="10540" xr:uid="{00000000-0005-0000-0000-00005C290000}"/>
    <cellStyle name="货币 2 3 3 5 2 2 6" xfId="10548" xr:uid="{00000000-0005-0000-0000-000064290000}"/>
    <cellStyle name="货币 2 3 3 5 2 2 7" xfId="28163" xr:uid="{00000000-0005-0000-0000-0000336E0000}"/>
    <cellStyle name="货币 2 3 3 5 2 2 8" xfId="42684" xr:uid="{00000000-0005-0000-0000-0000ECA60000}"/>
    <cellStyle name="货币 2 3 3 5 2 2 9" xfId="42685" xr:uid="{00000000-0005-0000-0000-0000EDA60000}"/>
    <cellStyle name="货币 2 3 3 5 2 3" xfId="42686" xr:uid="{00000000-0005-0000-0000-0000EEA60000}"/>
    <cellStyle name="货币 2 3 3 5 2 3 10" xfId="35624" xr:uid="{00000000-0005-0000-0000-0000588B0000}"/>
    <cellStyle name="货币 2 3 3 5 2 3 11" xfId="42687" xr:uid="{00000000-0005-0000-0000-0000EFA60000}"/>
    <cellStyle name="货币 2 3 3 5 2 3 12" xfId="42689" xr:uid="{00000000-0005-0000-0000-0000F1A60000}"/>
    <cellStyle name="货币 2 3 3 5 2 3 2" xfId="42690" xr:uid="{00000000-0005-0000-0000-0000F2A60000}"/>
    <cellStyle name="货币 2 3 3 5 2 3 2 2" xfId="42692" xr:uid="{00000000-0005-0000-0000-0000F4A60000}"/>
    <cellStyle name="货币 2 3 3 5 2 3 2 2 2" xfId="42693" xr:uid="{00000000-0005-0000-0000-0000F5A60000}"/>
    <cellStyle name="货币 2 3 3 5 2 3 2 3" xfId="42695" xr:uid="{00000000-0005-0000-0000-0000F7A60000}"/>
    <cellStyle name="货币 2 3 3 5 2 3 2 4" xfId="30912" xr:uid="{00000000-0005-0000-0000-0000F0780000}"/>
    <cellStyle name="货币 2 3 3 5 2 3 2 5" xfId="30917" xr:uid="{00000000-0005-0000-0000-0000F5780000}"/>
    <cellStyle name="货币 2 3 3 5 2 3 3" xfId="42696" xr:uid="{00000000-0005-0000-0000-0000F8A60000}"/>
    <cellStyle name="货币 2 3 3 5 2 3 3 2" xfId="42698" xr:uid="{00000000-0005-0000-0000-0000FAA60000}"/>
    <cellStyle name="货币 2 3 3 5 2 3 4" xfId="28166" xr:uid="{00000000-0005-0000-0000-0000366E0000}"/>
    <cellStyle name="货币 2 3 3 5 2 3 5" xfId="42699" xr:uid="{00000000-0005-0000-0000-0000FBA60000}"/>
    <cellStyle name="货币 2 3 3 5 2 3 6" xfId="42700" xr:uid="{00000000-0005-0000-0000-0000FCA60000}"/>
    <cellStyle name="货币 2 3 3 5 2 3 7" xfId="42701" xr:uid="{00000000-0005-0000-0000-0000FDA60000}"/>
    <cellStyle name="货币 2 3 3 5 2 3 8" xfId="42702" xr:uid="{00000000-0005-0000-0000-0000FEA60000}"/>
    <cellStyle name="货币 2 3 3 5 2 3 9" xfId="42703" xr:uid="{00000000-0005-0000-0000-0000FFA60000}"/>
    <cellStyle name="货币 2 3 3 5 2 4" xfId="42704" xr:uid="{00000000-0005-0000-0000-000000A70000}"/>
    <cellStyle name="货币 2 3 3 5 2 4 10" xfId="14991" xr:uid="{00000000-0005-0000-0000-0000BF3A0000}"/>
    <cellStyle name="货币 2 3 3 5 2 4 2" xfId="42705" xr:uid="{00000000-0005-0000-0000-000001A70000}"/>
    <cellStyle name="货币 2 3 3 5 2 4 2 2" xfId="42707" xr:uid="{00000000-0005-0000-0000-000003A70000}"/>
    <cellStyle name="货币 2 3 3 5 2 4 2 2 2" xfId="42708" xr:uid="{00000000-0005-0000-0000-000004A70000}"/>
    <cellStyle name="货币 2 3 3 5 2 4 2 3" xfId="42710" xr:uid="{00000000-0005-0000-0000-000006A70000}"/>
    <cellStyle name="货币 2 3 3 5 2 4 2 4" xfId="42712" xr:uid="{00000000-0005-0000-0000-000008A70000}"/>
    <cellStyle name="货币 2 3 3 5 2 4 2 5" xfId="42714" xr:uid="{00000000-0005-0000-0000-00000AA70000}"/>
    <cellStyle name="货币 2 3 3 5 2 4 3" xfId="42715" xr:uid="{00000000-0005-0000-0000-00000BA70000}"/>
    <cellStyle name="货币 2 3 3 5 2 4 3 2" xfId="42717" xr:uid="{00000000-0005-0000-0000-00000DA70000}"/>
    <cellStyle name="货币 2 3 3 5 2 4 4" xfId="42718" xr:uid="{00000000-0005-0000-0000-00000EA70000}"/>
    <cellStyle name="货币 2 3 3 5 2 4 5" xfId="42719" xr:uid="{00000000-0005-0000-0000-00000FA70000}"/>
    <cellStyle name="货币 2 3 3 5 2 4 6" xfId="42720" xr:uid="{00000000-0005-0000-0000-000010A70000}"/>
    <cellStyle name="货币 2 3 3 5 2 4 7" xfId="42721" xr:uid="{00000000-0005-0000-0000-000011A70000}"/>
    <cellStyle name="货币 2 3 3 5 2 4 8" xfId="42722" xr:uid="{00000000-0005-0000-0000-000012A70000}"/>
    <cellStyle name="货币 2 3 3 5 2 4 9" xfId="42723" xr:uid="{00000000-0005-0000-0000-000013A70000}"/>
    <cellStyle name="货币 2 3 3 5 2 5" xfId="42724" xr:uid="{00000000-0005-0000-0000-000014A70000}"/>
    <cellStyle name="货币 2 3 3 5 2 5 10" xfId="3626" xr:uid="{00000000-0005-0000-0000-00005A0E0000}"/>
    <cellStyle name="货币 2 3 3 5 2 5 2" xfId="42725" xr:uid="{00000000-0005-0000-0000-000015A70000}"/>
    <cellStyle name="货币 2 3 3 5 2 5 2 2" xfId="42727" xr:uid="{00000000-0005-0000-0000-000017A70000}"/>
    <cellStyle name="货币 2 3 3 5 2 5 2 2 2" xfId="42728" xr:uid="{00000000-0005-0000-0000-000018A70000}"/>
    <cellStyle name="货币 2 3 3 5 2 5 2 3" xfId="42730" xr:uid="{00000000-0005-0000-0000-00001AA70000}"/>
    <cellStyle name="货币 2 3 3 5 2 5 2 4" xfId="37661" xr:uid="{00000000-0005-0000-0000-00004D930000}"/>
    <cellStyle name="货币 2 3 3 5 2 5 2 5" xfId="42732" xr:uid="{00000000-0005-0000-0000-00001CA70000}"/>
    <cellStyle name="货币 2 3 3 5 2 5 3" xfId="42733" xr:uid="{00000000-0005-0000-0000-00001DA70000}"/>
    <cellStyle name="货币 2 3 3 5 2 5 3 2" xfId="42735" xr:uid="{00000000-0005-0000-0000-00001FA70000}"/>
    <cellStyle name="货币 2 3 3 5 2 5 4" xfId="42736" xr:uid="{00000000-0005-0000-0000-000020A70000}"/>
    <cellStyle name="货币 2 3 3 5 2 5 5" xfId="42737" xr:uid="{00000000-0005-0000-0000-000021A70000}"/>
    <cellStyle name="货币 2 3 3 5 2 5 6" xfId="42739" xr:uid="{00000000-0005-0000-0000-000023A70000}"/>
    <cellStyle name="货币 2 3 3 5 2 5 7" xfId="42740" xr:uid="{00000000-0005-0000-0000-000024A70000}"/>
    <cellStyle name="货币 2 3 3 5 2 5 8" xfId="42741" xr:uid="{00000000-0005-0000-0000-000025A70000}"/>
    <cellStyle name="货币 2 3 3 5 2 5 9" xfId="42742" xr:uid="{00000000-0005-0000-0000-000026A70000}"/>
    <cellStyle name="货币 2 3 3 5 2 6" xfId="42743" xr:uid="{00000000-0005-0000-0000-000027A70000}"/>
    <cellStyle name="货币 2 3 3 5 2 6 2" xfId="42744" xr:uid="{00000000-0005-0000-0000-000028A70000}"/>
    <cellStyle name="货币 2 3 3 5 2 6 2 2" xfId="42746" xr:uid="{00000000-0005-0000-0000-00002AA70000}"/>
    <cellStyle name="货币 2 3 3 5 2 6 3" xfId="42747" xr:uid="{00000000-0005-0000-0000-00002BA70000}"/>
    <cellStyle name="货币 2 3 3 5 2 6 4" xfId="42748" xr:uid="{00000000-0005-0000-0000-00002CA70000}"/>
    <cellStyle name="货币 2 3 3 5 2 6 5" xfId="42749" xr:uid="{00000000-0005-0000-0000-00002DA70000}"/>
    <cellStyle name="货币 2 3 3 5 2 6 6" xfId="42750" xr:uid="{00000000-0005-0000-0000-00002EA70000}"/>
    <cellStyle name="货币 2 3 3 5 2 6 7" xfId="42751" xr:uid="{00000000-0005-0000-0000-00002FA70000}"/>
    <cellStyle name="货币 2 3 3 5 2 6 8" xfId="42752" xr:uid="{00000000-0005-0000-0000-000030A70000}"/>
    <cellStyle name="货币 2 3 3 5 2 6 9" xfId="42753" xr:uid="{00000000-0005-0000-0000-000031A70000}"/>
    <cellStyle name="货币 2 3 3 5 2 7" xfId="42754" xr:uid="{00000000-0005-0000-0000-000032A70000}"/>
    <cellStyle name="货币 2 3 3 5 2 7 2" xfId="42755" xr:uid="{00000000-0005-0000-0000-000033A70000}"/>
    <cellStyle name="货币 2 3 3 5 2 8" xfId="42756" xr:uid="{00000000-0005-0000-0000-000034A70000}"/>
    <cellStyle name="货币 2 3 3 5 2 9" xfId="20752" xr:uid="{00000000-0005-0000-0000-000040510000}"/>
    <cellStyle name="货币 2 3 3 5 20" xfId="42667" xr:uid="{00000000-0005-0000-0000-0000DBA60000}"/>
    <cellStyle name="货币 2 3 3 5 21" xfId="30615" xr:uid="{00000000-0005-0000-0000-0000C7770000}"/>
    <cellStyle name="货币 2 3 3 5 22" xfId="30619" xr:uid="{00000000-0005-0000-0000-0000CB770000}"/>
    <cellStyle name="货币 2 3 3 5 23" xfId="30622" xr:uid="{00000000-0005-0000-0000-0000CE770000}"/>
    <cellStyle name="货币 2 3 3 5 3" xfId="34705" xr:uid="{00000000-0005-0000-0000-0000C1870000}"/>
    <cellStyle name="货币 2 3 3 5 3 10" xfId="1245" xr:uid="{00000000-0005-0000-0000-00000D050000}"/>
    <cellStyle name="货币 2 3 3 5 3 11" xfId="42757" xr:uid="{00000000-0005-0000-0000-000035A70000}"/>
    <cellStyle name="货币 2 3 3 5 3 12" xfId="42758" xr:uid="{00000000-0005-0000-0000-000036A70000}"/>
    <cellStyle name="货币 2 3 3 5 3 13" xfId="42759" xr:uid="{00000000-0005-0000-0000-000037A70000}"/>
    <cellStyle name="货币 2 3 3 5 3 14" xfId="42760" xr:uid="{00000000-0005-0000-0000-000038A70000}"/>
    <cellStyle name="货币 2 3 3 5 3 15" xfId="42761" xr:uid="{00000000-0005-0000-0000-000039A70000}"/>
    <cellStyle name="货币 2 3 3 5 3 16" xfId="42762" xr:uid="{00000000-0005-0000-0000-00003AA70000}"/>
    <cellStyle name="货币 2 3 3 5 3 17" xfId="42763" xr:uid="{00000000-0005-0000-0000-00003BA70000}"/>
    <cellStyle name="货币 2 3 3 5 3 18" xfId="42764" xr:uid="{00000000-0005-0000-0000-00003CA70000}"/>
    <cellStyle name="货币 2 3 3 5 3 2" xfId="42765" xr:uid="{00000000-0005-0000-0000-00003DA70000}"/>
    <cellStyle name="货币 2 3 3 5 3 2 10" xfId="4705" xr:uid="{00000000-0005-0000-0000-000091120000}"/>
    <cellStyle name="货币 2 3 3 5 3 2 2" xfId="42766" xr:uid="{00000000-0005-0000-0000-00003EA70000}"/>
    <cellStyle name="货币 2 3 3 5 3 2 2 2" xfId="42768" xr:uid="{00000000-0005-0000-0000-000040A70000}"/>
    <cellStyle name="货币 2 3 3 5 3 2 3" xfId="42770" xr:uid="{00000000-0005-0000-0000-000042A70000}"/>
    <cellStyle name="货币 2 3 3 5 3 2 4" xfId="28190" xr:uid="{00000000-0005-0000-0000-00004E6E0000}"/>
    <cellStyle name="货币 2 3 3 5 3 2 5" xfId="28196" xr:uid="{00000000-0005-0000-0000-0000546E0000}"/>
    <cellStyle name="货币 2 3 3 5 3 2 6" xfId="28199" xr:uid="{00000000-0005-0000-0000-0000576E0000}"/>
    <cellStyle name="货币 2 3 3 5 3 2 7" xfId="28202" xr:uid="{00000000-0005-0000-0000-00005A6E0000}"/>
    <cellStyle name="货币 2 3 3 5 3 2 8" xfId="42772" xr:uid="{00000000-0005-0000-0000-000044A70000}"/>
    <cellStyle name="货币 2 3 3 5 3 2 9" xfId="42774" xr:uid="{00000000-0005-0000-0000-000046A70000}"/>
    <cellStyle name="货币 2 3 3 5 3 3" xfId="42775" xr:uid="{00000000-0005-0000-0000-000047A70000}"/>
    <cellStyle name="货币 2 3 3 5 3 3 2" xfId="42776" xr:uid="{00000000-0005-0000-0000-000048A70000}"/>
    <cellStyle name="货币 2 3 3 5 3 3 3" xfId="42778" xr:uid="{00000000-0005-0000-0000-00004AA70000}"/>
    <cellStyle name="货币 2 3 3 5 3 3 4" xfId="5279" xr:uid="{00000000-0005-0000-0000-0000CF140000}"/>
    <cellStyle name="货币 2 3 3 5 3 3 5" xfId="42780" xr:uid="{00000000-0005-0000-0000-00004CA70000}"/>
    <cellStyle name="货币 2 3 3 5 3 3 6" xfId="42782" xr:uid="{00000000-0005-0000-0000-00004EA70000}"/>
    <cellStyle name="货币 2 3 3 5 3 4" xfId="37515" xr:uid="{00000000-0005-0000-0000-0000BB920000}"/>
    <cellStyle name="货币 2 3 3 5 3 4 2" xfId="42783" xr:uid="{00000000-0005-0000-0000-00004FA70000}"/>
    <cellStyle name="货币 2 3 3 5 3 4 3" xfId="42785" xr:uid="{00000000-0005-0000-0000-000051A70000}"/>
    <cellStyle name="货币 2 3 3 5 3 4 4" xfId="42787" xr:uid="{00000000-0005-0000-0000-000053A70000}"/>
    <cellStyle name="货币 2 3 3 5 3 4 5" xfId="42789" xr:uid="{00000000-0005-0000-0000-000055A70000}"/>
    <cellStyle name="货币 2 3 3 5 3 4 6" xfId="42791" xr:uid="{00000000-0005-0000-0000-000057A70000}"/>
    <cellStyle name="货币 2 3 3 5 3 5" xfId="42792" xr:uid="{00000000-0005-0000-0000-000058A70000}"/>
    <cellStyle name="货币 2 3 3 5 3 5 2" xfId="42793" xr:uid="{00000000-0005-0000-0000-000059A70000}"/>
    <cellStyle name="货币 2 3 3 5 3 5 3" xfId="42795" xr:uid="{00000000-0005-0000-0000-00005BA70000}"/>
    <cellStyle name="货币 2 3 3 5 3 5 4" xfId="42797" xr:uid="{00000000-0005-0000-0000-00005DA70000}"/>
    <cellStyle name="货币 2 3 3 5 3 5 5" xfId="42799" xr:uid="{00000000-0005-0000-0000-00005FA70000}"/>
    <cellStyle name="货币 2 3 3 5 3 5 6" xfId="42801" xr:uid="{00000000-0005-0000-0000-000061A70000}"/>
    <cellStyle name="货币 2 3 3 5 3 6" xfId="27680" xr:uid="{00000000-0005-0000-0000-0000506C0000}"/>
    <cellStyle name="货币 2 3 3 5 3 6 2" xfId="30548" xr:uid="{00000000-0005-0000-0000-000084770000}"/>
    <cellStyle name="货币 2 3 3 5 3 6 3" xfId="5063" xr:uid="{00000000-0005-0000-0000-0000F7130000}"/>
    <cellStyle name="货币 2 3 3 5 3 6 4" xfId="42802" xr:uid="{00000000-0005-0000-0000-000062A70000}"/>
    <cellStyle name="货币 2 3 3 5 3 6 5" xfId="42803" xr:uid="{00000000-0005-0000-0000-000063A70000}"/>
    <cellStyle name="货币 2 3 3 5 3 6 6" xfId="42804" xr:uid="{00000000-0005-0000-0000-000064A70000}"/>
    <cellStyle name="货币 2 3 3 5 3 7" xfId="30551" xr:uid="{00000000-0005-0000-0000-000087770000}"/>
    <cellStyle name="货币 2 3 3 5 3 8" xfId="30634" xr:uid="{00000000-0005-0000-0000-0000DA770000}"/>
    <cellStyle name="货币 2 3 3 5 3 9" xfId="30638" xr:uid="{00000000-0005-0000-0000-0000DE770000}"/>
    <cellStyle name="货币 2 3 3 5 4" xfId="34707" xr:uid="{00000000-0005-0000-0000-0000C3870000}"/>
    <cellStyle name="货币 2 3 3 5 4 10" xfId="42805" xr:uid="{00000000-0005-0000-0000-000065A70000}"/>
    <cellStyle name="货币 2 3 3 5 4 11" xfId="31481" xr:uid="{00000000-0005-0000-0000-0000297B0000}"/>
    <cellStyle name="货币 2 3 3 5 4 12" xfId="31485" xr:uid="{00000000-0005-0000-0000-00002D7B0000}"/>
    <cellStyle name="货币 2 3 3 5 4 13" xfId="11354" xr:uid="{00000000-0005-0000-0000-00008A2C0000}"/>
    <cellStyle name="货币 2 3 3 5 4 14" xfId="42806" xr:uid="{00000000-0005-0000-0000-000066A70000}"/>
    <cellStyle name="货币 2 3 3 5 4 15" xfId="42807" xr:uid="{00000000-0005-0000-0000-000067A70000}"/>
    <cellStyle name="货币 2 3 3 5 4 2" xfId="42808" xr:uid="{00000000-0005-0000-0000-000068A70000}"/>
    <cellStyle name="货币 2 3 3 5 4 2 2" xfId="42809" xr:uid="{00000000-0005-0000-0000-000069A70000}"/>
    <cellStyle name="货币 2 3 3 5 4 2 2 2" xfId="33752" xr:uid="{00000000-0005-0000-0000-000008840000}"/>
    <cellStyle name="货币 2 3 3 5 4 2 3" xfId="42811" xr:uid="{00000000-0005-0000-0000-00006BA70000}"/>
    <cellStyle name="货币 2 3 3 5 4 2 4" xfId="28231" xr:uid="{00000000-0005-0000-0000-0000776E0000}"/>
    <cellStyle name="货币 2 3 3 5 4 2 5" xfId="28236" xr:uid="{00000000-0005-0000-0000-00007C6E0000}"/>
    <cellStyle name="货币 2 3 3 5 4 2 6" xfId="28239" xr:uid="{00000000-0005-0000-0000-00007F6E0000}"/>
    <cellStyle name="货币 2 3 3 5 4 2 7" xfId="10840" xr:uid="{00000000-0005-0000-0000-0000882A0000}"/>
    <cellStyle name="货币 2 3 3 5 4 2 8" xfId="42812" xr:uid="{00000000-0005-0000-0000-00006CA70000}"/>
    <cellStyle name="货币 2 3 3 5 4 2 9" xfId="42813" xr:uid="{00000000-0005-0000-0000-00006DA70000}"/>
    <cellStyle name="货币 2 3 3 5 4 3" xfId="42814" xr:uid="{00000000-0005-0000-0000-00006EA70000}"/>
    <cellStyle name="货币 2 3 3 5 4 3 2" xfId="42815" xr:uid="{00000000-0005-0000-0000-00006FA70000}"/>
    <cellStyle name="货币 2 3 3 5 4 3 3" xfId="42817" xr:uid="{00000000-0005-0000-0000-000071A70000}"/>
    <cellStyle name="货币 2 3 3 5 4 3 4" xfId="28245" xr:uid="{00000000-0005-0000-0000-0000856E0000}"/>
    <cellStyle name="货币 2 3 3 5 4 3 5" xfId="42819" xr:uid="{00000000-0005-0000-0000-000073A70000}"/>
    <cellStyle name="货币 2 3 3 5 4 3 6" xfId="42821" xr:uid="{00000000-0005-0000-0000-000075A70000}"/>
    <cellStyle name="货币 2 3 3 5 4 4" xfId="42822" xr:uid="{00000000-0005-0000-0000-000076A70000}"/>
    <cellStyle name="货币 2 3 3 5 4 4 2" xfId="42823" xr:uid="{00000000-0005-0000-0000-000077A70000}"/>
    <cellStyle name="货币 2 3 3 5 4 5" xfId="42824" xr:uid="{00000000-0005-0000-0000-000078A70000}"/>
    <cellStyle name="货币 2 3 3 5 4 6" xfId="28181" xr:uid="{00000000-0005-0000-0000-0000456E0000}"/>
    <cellStyle name="货币 2 3 3 5 4 7" xfId="30654" xr:uid="{00000000-0005-0000-0000-0000EE770000}"/>
    <cellStyle name="货币 2 3 3 5 4 8" xfId="30662" xr:uid="{00000000-0005-0000-0000-0000F6770000}"/>
    <cellStyle name="货币 2 3 3 5 4 9" xfId="30664" xr:uid="{00000000-0005-0000-0000-0000F8770000}"/>
    <cellStyle name="货币 2 3 3 5 5" xfId="34709" xr:uid="{00000000-0005-0000-0000-0000C5870000}"/>
    <cellStyle name="货币 2 3 3 5 5 10" xfId="42826" xr:uid="{00000000-0005-0000-0000-00007AA70000}"/>
    <cellStyle name="货币 2 3 3 5 5 11" xfId="42828" xr:uid="{00000000-0005-0000-0000-00007CA70000}"/>
    <cellStyle name="货币 2 3 3 5 5 12" xfId="36982" xr:uid="{00000000-0005-0000-0000-0000A6900000}"/>
    <cellStyle name="货币 2 3 3 5 5 13" xfId="36994" xr:uid="{00000000-0005-0000-0000-0000B2900000}"/>
    <cellStyle name="货币 2 3 3 5 5 2" xfId="21492" xr:uid="{00000000-0005-0000-0000-000024540000}"/>
    <cellStyle name="货币 2 3 3 5 5 2 2" xfId="42829" xr:uid="{00000000-0005-0000-0000-00007DA70000}"/>
    <cellStyle name="货币 2 3 3 5 5 2 2 2" xfId="42363" xr:uid="{00000000-0005-0000-0000-0000ABA50000}"/>
    <cellStyle name="货币 2 3 3 5 5 2 3" xfId="42831" xr:uid="{00000000-0005-0000-0000-00007FA70000}"/>
    <cellStyle name="货币 2 3 3 5 5 2 4" xfId="28258" xr:uid="{00000000-0005-0000-0000-0000926E0000}"/>
    <cellStyle name="货币 2 3 3 5 5 2 5" xfId="21402" xr:uid="{00000000-0005-0000-0000-0000CA530000}"/>
    <cellStyle name="货币 2 3 3 5 5 2 6" xfId="42834" xr:uid="{00000000-0005-0000-0000-000082A70000}"/>
    <cellStyle name="货币 2 3 3 5 5 2 7" xfId="35669" xr:uid="{00000000-0005-0000-0000-0000858B0000}"/>
    <cellStyle name="货币 2 3 3 5 5 2 8" xfId="31511" xr:uid="{00000000-0005-0000-0000-0000477B0000}"/>
    <cellStyle name="货币 2 3 3 5 5 2 9" xfId="35677" xr:uid="{00000000-0005-0000-0000-00008D8B0000}"/>
    <cellStyle name="货币 2 3 3 5 5 3" xfId="21494" xr:uid="{00000000-0005-0000-0000-000026540000}"/>
    <cellStyle name="货币 2 3 3 5 5 3 2" xfId="42835" xr:uid="{00000000-0005-0000-0000-000083A70000}"/>
    <cellStyle name="货币 2 3 3 5 5 3 3" xfId="42837" xr:uid="{00000000-0005-0000-0000-000085A70000}"/>
    <cellStyle name="货币 2 3 3 5 5 3 4" xfId="42838" xr:uid="{00000000-0005-0000-0000-000086A70000}"/>
    <cellStyle name="货币 2 3 3 5 5 3 5" xfId="42839" xr:uid="{00000000-0005-0000-0000-000087A70000}"/>
    <cellStyle name="货币 2 3 3 5 5 3 6" xfId="42840" xr:uid="{00000000-0005-0000-0000-000088A70000}"/>
    <cellStyle name="货币 2 3 3 5 5 4" xfId="21496" xr:uid="{00000000-0005-0000-0000-000028540000}"/>
    <cellStyle name="货币 2 3 3 5 5 4 2" xfId="42841" xr:uid="{00000000-0005-0000-0000-000089A70000}"/>
    <cellStyle name="货币 2 3 3 5 5 5" xfId="21498" xr:uid="{00000000-0005-0000-0000-00002A540000}"/>
    <cellStyle name="货币 2 3 3 5 5 6" xfId="21500" xr:uid="{00000000-0005-0000-0000-00002C540000}"/>
    <cellStyle name="货币 2 3 3 5 5 7" xfId="21502" xr:uid="{00000000-0005-0000-0000-00002E540000}"/>
    <cellStyle name="货币 2 3 3 5 5 8" xfId="20967" xr:uid="{00000000-0005-0000-0000-000017520000}"/>
    <cellStyle name="货币 2 3 3 5 5 9" xfId="30683" xr:uid="{00000000-0005-0000-0000-00000B780000}"/>
    <cellStyle name="货币 2 3 3 5 6" xfId="29127" xr:uid="{00000000-0005-0000-0000-0000F7710000}"/>
    <cellStyle name="货币 2 3 3 5 6 10" xfId="7666" xr:uid="{00000000-0005-0000-0000-0000221E0000}"/>
    <cellStyle name="货币 2 3 3 5 6 11" xfId="42842" xr:uid="{00000000-0005-0000-0000-00008AA70000}"/>
    <cellStyle name="货币 2 3 3 5 6 12" xfId="42843" xr:uid="{00000000-0005-0000-0000-00008BA70000}"/>
    <cellStyle name="货币 2 3 3 5 6 2" xfId="42844" xr:uid="{00000000-0005-0000-0000-00008CA70000}"/>
    <cellStyle name="货币 2 3 3 5 6 2 2" xfId="42845" xr:uid="{00000000-0005-0000-0000-00008DA70000}"/>
    <cellStyle name="货币 2 3 3 5 6 2 2 2" xfId="7223" xr:uid="{00000000-0005-0000-0000-0000671C0000}"/>
    <cellStyle name="货币 2 3 3 5 6 2 3" xfId="42847" xr:uid="{00000000-0005-0000-0000-00008FA70000}"/>
    <cellStyle name="货币 2 3 3 5 6 2 4" xfId="42849" xr:uid="{00000000-0005-0000-0000-000091A70000}"/>
    <cellStyle name="货币 2 3 3 5 6 2 5" xfId="42851" xr:uid="{00000000-0005-0000-0000-000093A70000}"/>
    <cellStyle name="货币 2 3 3 5 6 2 6" xfId="42853" xr:uid="{00000000-0005-0000-0000-000095A70000}"/>
    <cellStyle name="货币 2 3 3 5 6 2 7" xfId="35727" xr:uid="{00000000-0005-0000-0000-0000BF8B0000}"/>
    <cellStyle name="货币 2 3 3 5 6 2 8" xfId="31528" xr:uid="{00000000-0005-0000-0000-0000587B0000}"/>
    <cellStyle name="货币 2 3 3 5 6 2 9" xfId="35729" xr:uid="{00000000-0005-0000-0000-0000C18B0000}"/>
    <cellStyle name="货币 2 3 3 5 6 3" xfId="42854" xr:uid="{00000000-0005-0000-0000-000096A70000}"/>
    <cellStyle name="货币 2 3 3 5 6 3 2" xfId="42089" xr:uid="{00000000-0005-0000-0000-000099A40000}"/>
    <cellStyle name="货币 2 3 3 5 6 3 3" xfId="42092" xr:uid="{00000000-0005-0000-0000-00009CA40000}"/>
    <cellStyle name="货币 2 3 3 5 6 3 4" xfId="42855" xr:uid="{00000000-0005-0000-0000-000097A70000}"/>
    <cellStyle name="货币 2 3 3 5 6 3 5" xfId="42856" xr:uid="{00000000-0005-0000-0000-000098A70000}"/>
    <cellStyle name="货币 2 3 3 5 6 3 6" xfId="42857" xr:uid="{00000000-0005-0000-0000-000099A70000}"/>
    <cellStyle name="货币 2 3 3 5 6 4" xfId="42858" xr:uid="{00000000-0005-0000-0000-00009AA70000}"/>
    <cellStyle name="货币 2 3 3 5 6 4 2" xfId="34437" xr:uid="{00000000-0005-0000-0000-0000B5860000}"/>
    <cellStyle name="货币 2 3 3 5 6 5" xfId="42859" xr:uid="{00000000-0005-0000-0000-00009BA70000}"/>
    <cellStyle name="货币 2 3 3 5 6 6" xfId="42860" xr:uid="{00000000-0005-0000-0000-00009CA70000}"/>
    <cellStyle name="货币 2 3 3 5 6 7" xfId="30696" xr:uid="{00000000-0005-0000-0000-000018780000}"/>
    <cellStyle name="货币 2 3 3 5 6 8" xfId="42861" xr:uid="{00000000-0005-0000-0000-00009DA70000}"/>
    <cellStyle name="货币 2 3 3 5 6 9" xfId="42862" xr:uid="{00000000-0005-0000-0000-00009EA70000}"/>
    <cellStyle name="货币 2 3 3 5 7" xfId="29131" xr:uid="{00000000-0005-0000-0000-0000FB710000}"/>
    <cellStyle name="货币 2 3 3 5 7 2" xfId="42863" xr:uid="{00000000-0005-0000-0000-00009FA70000}"/>
    <cellStyle name="货币 2 3 3 5 7 2 2" xfId="42864" xr:uid="{00000000-0005-0000-0000-0000A0A70000}"/>
    <cellStyle name="货币 2 3 3 5 7 3" xfId="42865" xr:uid="{00000000-0005-0000-0000-0000A1A70000}"/>
    <cellStyle name="货币 2 3 3 5 7 4" xfId="42866" xr:uid="{00000000-0005-0000-0000-0000A2A70000}"/>
    <cellStyle name="货币 2 3 3 5 7 5" xfId="42867" xr:uid="{00000000-0005-0000-0000-0000A3A70000}"/>
    <cellStyle name="货币 2 3 3 5 7 6" xfId="42868" xr:uid="{00000000-0005-0000-0000-0000A4A70000}"/>
    <cellStyle name="货币 2 3 3 5 7 7" xfId="30700" xr:uid="{00000000-0005-0000-0000-00001C780000}"/>
    <cellStyle name="货币 2 3 3 5 7 8" xfId="42869" xr:uid="{00000000-0005-0000-0000-0000A5A70000}"/>
    <cellStyle name="货币 2 3 3 5 7 9" xfId="42870" xr:uid="{00000000-0005-0000-0000-0000A6A70000}"/>
    <cellStyle name="货币 2 3 3 5 8" xfId="42871" xr:uid="{00000000-0005-0000-0000-0000A7A70000}"/>
    <cellStyle name="货币 2 3 3 5 8 2" xfId="1131" xr:uid="{00000000-0005-0000-0000-00009B040000}"/>
    <cellStyle name="货币 2 3 3 5 8 3" xfId="42872" xr:uid="{00000000-0005-0000-0000-0000A8A70000}"/>
    <cellStyle name="货币 2 3 3 5 8 4" xfId="18573" xr:uid="{00000000-0005-0000-0000-0000BD480000}"/>
    <cellStyle name="货币 2 3 3 5 8 5" xfId="42873" xr:uid="{00000000-0005-0000-0000-0000A9A70000}"/>
    <cellStyle name="货币 2 3 3 5 8 6" xfId="42874" xr:uid="{00000000-0005-0000-0000-0000AAA70000}"/>
    <cellStyle name="货币 2 3 3 5 9" xfId="29137" xr:uid="{00000000-0005-0000-0000-000001720000}"/>
    <cellStyle name="货币 2 3 3 5 9 2" xfId="42875" xr:uid="{00000000-0005-0000-0000-0000ABA70000}"/>
    <cellStyle name="货币 2 3 3 5 9 3" xfId="42876" xr:uid="{00000000-0005-0000-0000-0000ACA70000}"/>
    <cellStyle name="货币 2 3 3 5 9 4" xfId="42877" xr:uid="{00000000-0005-0000-0000-0000ADA70000}"/>
    <cellStyle name="货币 2 3 3 5 9 5" xfId="42878" xr:uid="{00000000-0005-0000-0000-0000AEA70000}"/>
    <cellStyle name="货币 2 3 3 5 9 6" xfId="42879" xr:uid="{00000000-0005-0000-0000-0000AFA70000}"/>
    <cellStyle name="货币 2 3 3 6" xfId="42880" xr:uid="{00000000-0005-0000-0000-0000B0A70000}"/>
    <cellStyle name="货币 2 3 3 6 10" xfId="31884" xr:uid="{00000000-0005-0000-0000-0000BC7C0000}"/>
    <cellStyle name="货币 2 3 3 6 10 2" xfId="42882" xr:uid="{00000000-0005-0000-0000-0000B2A70000}"/>
    <cellStyle name="货币 2 3 3 6 10 3" xfId="42884" xr:uid="{00000000-0005-0000-0000-0000B4A70000}"/>
    <cellStyle name="货币 2 3 3 6 10 4" xfId="42885" xr:uid="{00000000-0005-0000-0000-0000B5A70000}"/>
    <cellStyle name="货币 2 3 3 6 10 5" xfId="42886" xr:uid="{00000000-0005-0000-0000-0000B6A70000}"/>
    <cellStyle name="货币 2 3 3 6 10 6" xfId="42887" xr:uid="{00000000-0005-0000-0000-0000B7A70000}"/>
    <cellStyle name="货币 2 3 3 6 11" xfId="31891" xr:uid="{00000000-0005-0000-0000-0000C37C0000}"/>
    <cellStyle name="货币 2 3 3 6 11 2" xfId="42889" xr:uid="{00000000-0005-0000-0000-0000B9A70000}"/>
    <cellStyle name="货币 2 3 3 6 11 3" xfId="42891" xr:uid="{00000000-0005-0000-0000-0000BBA70000}"/>
    <cellStyle name="货币 2 3 3 6 11 4" xfId="42893" xr:uid="{00000000-0005-0000-0000-0000BDA70000}"/>
    <cellStyle name="货币 2 3 3 6 11 5" xfId="42895" xr:uid="{00000000-0005-0000-0000-0000BFA70000}"/>
    <cellStyle name="货币 2 3 3 6 11 6" xfId="42897" xr:uid="{00000000-0005-0000-0000-0000C1A70000}"/>
    <cellStyle name="货币 2 3 3 6 12" xfId="42898" xr:uid="{00000000-0005-0000-0000-0000C2A70000}"/>
    <cellStyle name="货币 2 3 3 6 13" xfId="29011" xr:uid="{00000000-0005-0000-0000-000083710000}"/>
    <cellStyle name="货币 2 3 3 6 14" xfId="42899" xr:uid="{00000000-0005-0000-0000-0000C3A70000}"/>
    <cellStyle name="货币 2 3 3 6 15" xfId="42901" xr:uid="{00000000-0005-0000-0000-0000C5A70000}"/>
    <cellStyle name="货币 2 3 3 6 16" xfId="42903" xr:uid="{00000000-0005-0000-0000-0000C7A70000}"/>
    <cellStyle name="货币 2 3 3 6 17" xfId="42905" xr:uid="{00000000-0005-0000-0000-0000C9A70000}"/>
    <cellStyle name="货币 2 3 3 6 18" xfId="42907" xr:uid="{00000000-0005-0000-0000-0000CBA70000}"/>
    <cellStyle name="货币 2 3 3 6 19" xfId="42908" xr:uid="{00000000-0005-0000-0000-0000CCA70000}"/>
    <cellStyle name="货币 2 3 3 6 2" xfId="34714" xr:uid="{00000000-0005-0000-0000-0000CA870000}"/>
    <cellStyle name="货币 2 3 3 6 2 10" xfId="42910" xr:uid="{00000000-0005-0000-0000-0000CEA70000}"/>
    <cellStyle name="货币 2 3 3 6 2 11" xfId="42912" xr:uid="{00000000-0005-0000-0000-0000D0A70000}"/>
    <cellStyle name="货币 2 3 3 6 2 12" xfId="42913" xr:uid="{00000000-0005-0000-0000-0000D1A70000}"/>
    <cellStyle name="货币 2 3 3 6 2 13" xfId="42914" xr:uid="{00000000-0005-0000-0000-0000D2A70000}"/>
    <cellStyle name="货币 2 3 3 6 2 14" xfId="42915" xr:uid="{00000000-0005-0000-0000-0000D3A70000}"/>
    <cellStyle name="货币 2 3 3 6 2 15" xfId="42916" xr:uid="{00000000-0005-0000-0000-0000D4A70000}"/>
    <cellStyle name="货币 2 3 3 6 2 16" xfId="42917" xr:uid="{00000000-0005-0000-0000-0000D5A70000}"/>
    <cellStyle name="货币 2 3 3 6 2 17" xfId="42918" xr:uid="{00000000-0005-0000-0000-0000D6A70000}"/>
    <cellStyle name="货币 2 3 3 6 2 18" xfId="42919" xr:uid="{00000000-0005-0000-0000-0000D7A70000}"/>
    <cellStyle name="货币 2 3 3 6 2 2" xfId="42920" xr:uid="{00000000-0005-0000-0000-0000D8A70000}"/>
    <cellStyle name="货币 2 3 3 6 2 2 10" xfId="37251" xr:uid="{00000000-0005-0000-0000-0000B3910000}"/>
    <cellStyle name="货币 2 3 3 6 2 2 11" xfId="36723" xr:uid="{00000000-0005-0000-0000-0000A38F0000}"/>
    <cellStyle name="货币 2 3 3 6 2 2 12" xfId="42921" xr:uid="{00000000-0005-0000-0000-0000D9A70000}"/>
    <cellStyle name="货币 2 3 3 6 2 2 2" xfId="14334" xr:uid="{00000000-0005-0000-0000-00002E380000}"/>
    <cellStyle name="货币 2 3 3 6 2 2 2 2" xfId="22168" xr:uid="{00000000-0005-0000-0000-0000C8560000}"/>
    <cellStyle name="货币 2 3 3 6 2 2 2 2 2" xfId="42922" xr:uid="{00000000-0005-0000-0000-0000DAA70000}"/>
    <cellStyle name="货币 2 3 3 6 2 2 2 3" xfId="42924" xr:uid="{00000000-0005-0000-0000-0000DCA70000}"/>
    <cellStyle name="货币 2 3 3 6 2 2 2 4" xfId="42926" xr:uid="{00000000-0005-0000-0000-0000DEA70000}"/>
    <cellStyle name="货币 2 3 3 6 2 2 2 5" xfId="42928" xr:uid="{00000000-0005-0000-0000-0000E0A70000}"/>
    <cellStyle name="货币 2 3 3 6 2 2 3" xfId="11378" xr:uid="{00000000-0005-0000-0000-0000A22C0000}"/>
    <cellStyle name="货币 2 3 3 6 2 2 3 2" xfId="42931" xr:uid="{00000000-0005-0000-0000-0000E3A70000}"/>
    <cellStyle name="货币 2 3 3 6 2 2 4" xfId="22171" xr:uid="{00000000-0005-0000-0000-0000CB560000}"/>
    <cellStyle name="货币 2 3 3 6 2 2 5" xfId="22174" xr:uid="{00000000-0005-0000-0000-0000CE560000}"/>
    <cellStyle name="货币 2 3 3 6 2 2 6" xfId="22177" xr:uid="{00000000-0005-0000-0000-0000D1560000}"/>
    <cellStyle name="货币 2 3 3 6 2 2 7" xfId="22179" xr:uid="{00000000-0005-0000-0000-0000D3560000}"/>
    <cellStyle name="货币 2 3 3 6 2 2 8" xfId="42932" xr:uid="{00000000-0005-0000-0000-0000E4A70000}"/>
    <cellStyle name="货币 2 3 3 6 2 2 9" xfId="42933" xr:uid="{00000000-0005-0000-0000-0000E5A70000}"/>
    <cellStyle name="货币 2 3 3 6 2 3" xfId="42934" xr:uid="{00000000-0005-0000-0000-0000E6A70000}"/>
    <cellStyle name="货币 2 3 3 6 2 3 10" xfId="24935" xr:uid="{00000000-0005-0000-0000-000097610000}"/>
    <cellStyle name="货币 2 3 3 6 2 3 11" xfId="42936" xr:uid="{00000000-0005-0000-0000-0000E8A70000}"/>
    <cellStyle name="货币 2 3 3 6 2 3 12" xfId="42938" xr:uid="{00000000-0005-0000-0000-0000EAA70000}"/>
    <cellStyle name="货币 2 3 3 6 2 3 2" xfId="22235" xr:uid="{00000000-0005-0000-0000-00000B570000}"/>
    <cellStyle name="货币 2 3 3 6 2 3 2 2" xfId="3221" xr:uid="{00000000-0005-0000-0000-0000C50C0000}"/>
    <cellStyle name="货币 2 3 3 6 2 3 2 2 2" xfId="3739" xr:uid="{00000000-0005-0000-0000-0000CB0E0000}"/>
    <cellStyle name="货币 2 3 3 6 2 3 2 3" xfId="5770" xr:uid="{00000000-0005-0000-0000-0000BA160000}"/>
    <cellStyle name="货币 2 3 3 6 2 3 2 4" xfId="5773" xr:uid="{00000000-0005-0000-0000-0000BD160000}"/>
    <cellStyle name="货币 2 3 3 6 2 3 2 5" xfId="5775" xr:uid="{00000000-0005-0000-0000-0000BF160000}"/>
    <cellStyle name="货币 2 3 3 6 2 3 3" xfId="22240" xr:uid="{00000000-0005-0000-0000-000010570000}"/>
    <cellStyle name="货币 2 3 3 6 2 3 3 2" xfId="5839" xr:uid="{00000000-0005-0000-0000-0000FF160000}"/>
    <cellStyle name="货币 2 3 3 6 2 3 4" xfId="22242" xr:uid="{00000000-0005-0000-0000-000012570000}"/>
    <cellStyle name="货币 2 3 3 6 2 3 5" xfId="22244" xr:uid="{00000000-0005-0000-0000-000014570000}"/>
    <cellStyle name="货币 2 3 3 6 2 3 6" xfId="22246" xr:uid="{00000000-0005-0000-0000-000016570000}"/>
    <cellStyle name="货币 2 3 3 6 2 3 7" xfId="22252" xr:uid="{00000000-0005-0000-0000-00001C570000}"/>
    <cellStyle name="货币 2 3 3 6 2 3 8" xfId="42939" xr:uid="{00000000-0005-0000-0000-0000EBA70000}"/>
    <cellStyle name="货币 2 3 3 6 2 3 9" xfId="42940" xr:uid="{00000000-0005-0000-0000-0000ECA70000}"/>
    <cellStyle name="货币 2 3 3 6 2 4" xfId="42941" xr:uid="{00000000-0005-0000-0000-0000EDA70000}"/>
    <cellStyle name="货币 2 3 3 6 2 4 10" xfId="20587" xr:uid="{00000000-0005-0000-0000-00009B500000}"/>
    <cellStyle name="货币 2 3 3 6 2 4 2" xfId="22263" xr:uid="{00000000-0005-0000-0000-000027570000}"/>
    <cellStyle name="货币 2 3 3 6 2 4 2 2" xfId="42942" xr:uid="{00000000-0005-0000-0000-0000EEA70000}"/>
    <cellStyle name="货币 2 3 3 6 2 4 2 2 2" xfId="42943" xr:uid="{00000000-0005-0000-0000-0000EFA70000}"/>
    <cellStyle name="货币 2 3 3 6 2 4 2 3" xfId="42944" xr:uid="{00000000-0005-0000-0000-0000F0A70000}"/>
    <cellStyle name="货币 2 3 3 6 2 4 2 4" xfId="42945" xr:uid="{00000000-0005-0000-0000-0000F1A70000}"/>
    <cellStyle name="货币 2 3 3 6 2 4 2 5" xfId="42946" xr:uid="{00000000-0005-0000-0000-0000F2A70000}"/>
    <cellStyle name="货币 2 3 3 6 2 4 3" xfId="22266" xr:uid="{00000000-0005-0000-0000-00002A570000}"/>
    <cellStyle name="货币 2 3 3 6 2 4 3 2" xfId="42947" xr:uid="{00000000-0005-0000-0000-0000F3A70000}"/>
    <cellStyle name="货币 2 3 3 6 2 4 4" xfId="22269" xr:uid="{00000000-0005-0000-0000-00002D570000}"/>
    <cellStyle name="货币 2 3 3 6 2 4 5" xfId="22272" xr:uid="{00000000-0005-0000-0000-000030570000}"/>
    <cellStyle name="货币 2 3 3 6 2 4 6" xfId="22275" xr:uid="{00000000-0005-0000-0000-000033570000}"/>
    <cellStyle name="货币 2 3 3 6 2 4 7" xfId="22278" xr:uid="{00000000-0005-0000-0000-000036570000}"/>
    <cellStyle name="货币 2 3 3 6 2 4 8" xfId="24564" xr:uid="{00000000-0005-0000-0000-000024600000}"/>
    <cellStyle name="货币 2 3 3 6 2 4 9" xfId="7401" xr:uid="{00000000-0005-0000-0000-0000191D0000}"/>
    <cellStyle name="货币 2 3 3 6 2 5" xfId="42948" xr:uid="{00000000-0005-0000-0000-0000F4A70000}"/>
    <cellStyle name="货币 2 3 3 6 2 5 10" xfId="42949" xr:uid="{00000000-0005-0000-0000-0000F5A70000}"/>
    <cellStyle name="货币 2 3 3 6 2 5 2" xfId="22287" xr:uid="{00000000-0005-0000-0000-00003F570000}"/>
    <cellStyle name="货币 2 3 3 6 2 5 2 2" xfId="42950" xr:uid="{00000000-0005-0000-0000-0000F6A70000}"/>
    <cellStyle name="货币 2 3 3 6 2 5 2 2 2" xfId="42951" xr:uid="{00000000-0005-0000-0000-0000F7A70000}"/>
    <cellStyle name="货币 2 3 3 6 2 5 2 3" xfId="42952" xr:uid="{00000000-0005-0000-0000-0000F8A70000}"/>
    <cellStyle name="货币 2 3 3 6 2 5 2 4" xfId="42953" xr:uid="{00000000-0005-0000-0000-0000F9A70000}"/>
    <cellStyle name="货币 2 3 3 6 2 5 2 5" xfId="42954" xr:uid="{00000000-0005-0000-0000-0000FAA70000}"/>
    <cellStyle name="货币 2 3 3 6 2 5 3" xfId="22289" xr:uid="{00000000-0005-0000-0000-000041570000}"/>
    <cellStyle name="货币 2 3 3 6 2 5 3 2" xfId="42955" xr:uid="{00000000-0005-0000-0000-0000FBA70000}"/>
    <cellStyle name="货币 2 3 3 6 2 5 4" xfId="22291" xr:uid="{00000000-0005-0000-0000-000043570000}"/>
    <cellStyle name="货币 2 3 3 6 2 5 5" xfId="42956" xr:uid="{00000000-0005-0000-0000-0000FCA70000}"/>
    <cellStyle name="货币 2 3 3 6 2 5 6" xfId="42957" xr:uid="{00000000-0005-0000-0000-0000FDA70000}"/>
    <cellStyle name="货币 2 3 3 6 2 5 7" xfId="42958" xr:uid="{00000000-0005-0000-0000-0000FEA70000}"/>
    <cellStyle name="货币 2 3 3 6 2 5 8" xfId="42959" xr:uid="{00000000-0005-0000-0000-0000FFA70000}"/>
    <cellStyle name="货币 2 3 3 6 2 5 9" xfId="42960" xr:uid="{00000000-0005-0000-0000-000000A80000}"/>
    <cellStyle name="货币 2 3 3 6 2 6" xfId="42961" xr:uid="{00000000-0005-0000-0000-000001A80000}"/>
    <cellStyle name="货币 2 3 3 6 2 6 2" xfId="22294" xr:uid="{00000000-0005-0000-0000-000046570000}"/>
    <cellStyle name="货币 2 3 3 6 2 6 2 2" xfId="42962" xr:uid="{00000000-0005-0000-0000-000002A80000}"/>
    <cellStyle name="货币 2 3 3 6 2 6 3" xfId="22296" xr:uid="{00000000-0005-0000-0000-000048570000}"/>
    <cellStyle name="货币 2 3 3 6 2 6 4" xfId="22298" xr:uid="{00000000-0005-0000-0000-00004A570000}"/>
    <cellStyle name="货币 2 3 3 6 2 6 5" xfId="42963" xr:uid="{00000000-0005-0000-0000-000003A80000}"/>
    <cellStyle name="货币 2 3 3 6 2 6 6" xfId="40318" xr:uid="{00000000-0005-0000-0000-0000AE9D0000}"/>
    <cellStyle name="货币 2 3 3 6 2 6 7" xfId="42964" xr:uid="{00000000-0005-0000-0000-000004A80000}"/>
    <cellStyle name="货币 2 3 3 6 2 6 8" xfId="42965" xr:uid="{00000000-0005-0000-0000-000005A80000}"/>
    <cellStyle name="货币 2 3 3 6 2 6 9" xfId="42966" xr:uid="{00000000-0005-0000-0000-000006A80000}"/>
    <cellStyle name="货币 2 3 3 6 2 7" xfId="42967" xr:uid="{00000000-0005-0000-0000-000007A80000}"/>
    <cellStyle name="货币 2 3 3 6 2 7 2" xfId="42968" xr:uid="{00000000-0005-0000-0000-000008A80000}"/>
    <cellStyle name="货币 2 3 3 6 2 8" xfId="42970" xr:uid="{00000000-0005-0000-0000-00000AA80000}"/>
    <cellStyle name="货币 2 3 3 6 2 9" xfId="42972" xr:uid="{00000000-0005-0000-0000-00000CA80000}"/>
    <cellStyle name="货币 2 3 3 6 20" xfId="42900" xr:uid="{00000000-0005-0000-0000-0000C4A70000}"/>
    <cellStyle name="货币 2 3 3 6 21" xfId="42902" xr:uid="{00000000-0005-0000-0000-0000C6A70000}"/>
    <cellStyle name="货币 2 3 3 6 22" xfId="42904" xr:uid="{00000000-0005-0000-0000-0000C8A70000}"/>
    <cellStyle name="货币 2 3 3 6 23" xfId="42906" xr:uid="{00000000-0005-0000-0000-0000CAA70000}"/>
    <cellStyle name="货币 2 3 3 6 3" xfId="34716" xr:uid="{00000000-0005-0000-0000-0000CC870000}"/>
    <cellStyle name="货币 2 3 3 6 3 10" xfId="42973" xr:uid="{00000000-0005-0000-0000-00000DA80000}"/>
    <cellStyle name="货币 2 3 3 6 3 11" xfId="42974" xr:uid="{00000000-0005-0000-0000-00000EA80000}"/>
    <cellStyle name="货币 2 3 3 6 3 12" xfId="42975" xr:uid="{00000000-0005-0000-0000-00000FA80000}"/>
    <cellStyle name="货币 2 3 3 6 3 13" xfId="42976" xr:uid="{00000000-0005-0000-0000-000010A80000}"/>
    <cellStyle name="货币 2 3 3 6 3 14" xfId="42977" xr:uid="{00000000-0005-0000-0000-000011A80000}"/>
    <cellStyle name="货币 2 3 3 6 3 15" xfId="42978" xr:uid="{00000000-0005-0000-0000-000012A80000}"/>
    <cellStyle name="货币 2 3 3 6 3 16" xfId="42979" xr:uid="{00000000-0005-0000-0000-000013A80000}"/>
    <cellStyle name="货币 2 3 3 6 3 17" xfId="42980" xr:uid="{00000000-0005-0000-0000-000014A80000}"/>
    <cellStyle name="货币 2 3 3 6 3 18" xfId="35472" xr:uid="{00000000-0005-0000-0000-0000C08A0000}"/>
    <cellStyle name="货币 2 3 3 6 3 2" xfId="1349" xr:uid="{00000000-0005-0000-0000-000075050000}"/>
    <cellStyle name="货币 2 3 3 6 3 2 10" xfId="37428" xr:uid="{00000000-0005-0000-0000-000064920000}"/>
    <cellStyle name="货币 2 3 3 6 3 2 2" xfId="1353" xr:uid="{00000000-0005-0000-0000-000079050000}"/>
    <cellStyle name="货币 2 3 3 6 3 2 2 2" xfId="1366" xr:uid="{00000000-0005-0000-0000-000086050000}"/>
    <cellStyle name="货币 2 3 3 6 3 2 3" xfId="1372" xr:uid="{00000000-0005-0000-0000-00008C050000}"/>
    <cellStyle name="货币 2 3 3 6 3 2 4" xfId="1407" xr:uid="{00000000-0005-0000-0000-0000AF050000}"/>
    <cellStyle name="货币 2 3 3 6 3 2 5" xfId="1437" xr:uid="{00000000-0005-0000-0000-0000CD050000}"/>
    <cellStyle name="货币 2 3 3 6 3 2 6" xfId="1462" xr:uid="{00000000-0005-0000-0000-0000E6050000}"/>
    <cellStyle name="货币 2 3 3 6 3 2 7" xfId="1483" xr:uid="{00000000-0005-0000-0000-0000FB050000}"/>
    <cellStyle name="货币 2 3 3 6 3 2 8" xfId="444" xr:uid="{00000000-0005-0000-0000-0000D9010000}"/>
    <cellStyle name="货币 2 3 3 6 3 2 9" xfId="1523" xr:uid="{00000000-0005-0000-0000-000023060000}"/>
    <cellStyle name="货币 2 3 3 6 3 3" xfId="1538" xr:uid="{00000000-0005-0000-0000-000032060000}"/>
    <cellStyle name="货币 2 3 3 6 3 3 2" xfId="1540" xr:uid="{00000000-0005-0000-0000-000034060000}"/>
    <cellStyle name="货币 2 3 3 6 3 3 3" xfId="22490" xr:uid="{00000000-0005-0000-0000-00000A580000}"/>
    <cellStyle name="货币 2 3 3 6 3 3 4" xfId="22492" xr:uid="{00000000-0005-0000-0000-00000C580000}"/>
    <cellStyle name="货币 2 3 3 6 3 3 5" xfId="22494" xr:uid="{00000000-0005-0000-0000-00000E580000}"/>
    <cellStyle name="货币 2 3 3 6 3 3 6" xfId="22497" xr:uid="{00000000-0005-0000-0000-000011580000}"/>
    <cellStyle name="货币 2 3 3 6 3 4" xfId="1551" xr:uid="{00000000-0005-0000-0000-00003F060000}"/>
    <cellStyle name="货币 2 3 3 6 3 4 2" xfId="1565" xr:uid="{00000000-0005-0000-0000-00004D060000}"/>
    <cellStyle name="货币 2 3 3 6 3 4 3" xfId="22504" xr:uid="{00000000-0005-0000-0000-000018580000}"/>
    <cellStyle name="货币 2 3 3 6 3 4 4" xfId="22506" xr:uid="{00000000-0005-0000-0000-00001A580000}"/>
    <cellStyle name="货币 2 3 3 6 3 4 5" xfId="22508" xr:uid="{00000000-0005-0000-0000-00001C580000}"/>
    <cellStyle name="货币 2 3 3 6 3 4 6" xfId="22510" xr:uid="{00000000-0005-0000-0000-00001E580000}"/>
    <cellStyle name="货币 2 3 3 6 3 5" xfId="1578" xr:uid="{00000000-0005-0000-0000-00005A060000}"/>
    <cellStyle name="货币 2 3 3 6 3 5 2" xfId="1592" xr:uid="{00000000-0005-0000-0000-000068060000}"/>
    <cellStyle name="货币 2 3 3 6 3 5 3" xfId="17791" xr:uid="{00000000-0005-0000-0000-0000AF450000}"/>
    <cellStyle name="货币 2 3 3 6 3 5 4" xfId="17803" xr:uid="{00000000-0005-0000-0000-0000BB450000}"/>
    <cellStyle name="货币 2 3 3 6 3 5 5" xfId="42981" xr:uid="{00000000-0005-0000-0000-000015A80000}"/>
    <cellStyle name="货币 2 3 3 6 3 5 6" xfId="42982" xr:uid="{00000000-0005-0000-0000-000016A80000}"/>
    <cellStyle name="货币 2 3 3 6 3 6" xfId="1613" xr:uid="{00000000-0005-0000-0000-00007D060000}"/>
    <cellStyle name="货币 2 3 3 6 3 6 2" xfId="1637" xr:uid="{00000000-0005-0000-0000-000095060000}"/>
    <cellStyle name="货币 2 3 3 6 3 6 3" xfId="22521" xr:uid="{00000000-0005-0000-0000-000029580000}"/>
    <cellStyle name="货币 2 3 3 6 3 6 4" xfId="22525" xr:uid="{00000000-0005-0000-0000-00002D580000}"/>
    <cellStyle name="货币 2 3 3 6 3 6 5" xfId="42983" xr:uid="{00000000-0005-0000-0000-000017A80000}"/>
    <cellStyle name="货币 2 3 3 6 3 6 6" xfId="42984" xr:uid="{00000000-0005-0000-0000-000018A80000}"/>
    <cellStyle name="货币 2 3 3 6 3 7" xfId="1662" xr:uid="{00000000-0005-0000-0000-0000AE060000}"/>
    <cellStyle name="货币 2 3 3 6 3 8" xfId="30453" xr:uid="{00000000-0005-0000-0000-000025770000}"/>
    <cellStyle name="货币 2 3 3 6 3 9" xfId="35185" xr:uid="{00000000-0005-0000-0000-0000A1890000}"/>
    <cellStyle name="货币 2 3 3 6 4" xfId="34718" xr:uid="{00000000-0005-0000-0000-0000CE870000}"/>
    <cellStyle name="货币 2 3 3 6 4 10" xfId="42985" xr:uid="{00000000-0005-0000-0000-000019A80000}"/>
    <cellStyle name="货币 2 3 3 6 4 11" xfId="42986" xr:uid="{00000000-0005-0000-0000-00001AA80000}"/>
    <cellStyle name="货币 2 3 3 6 4 12" xfId="42987" xr:uid="{00000000-0005-0000-0000-00001BA80000}"/>
    <cellStyle name="货币 2 3 3 6 4 13" xfId="42988" xr:uid="{00000000-0005-0000-0000-00001CA80000}"/>
    <cellStyle name="货币 2 3 3 6 4 14" xfId="42989" xr:uid="{00000000-0005-0000-0000-00001DA80000}"/>
    <cellStyle name="货币 2 3 3 6 4 15" xfId="42990" xr:uid="{00000000-0005-0000-0000-00001EA80000}"/>
    <cellStyle name="货币 2 3 3 6 4 2" xfId="1826" xr:uid="{00000000-0005-0000-0000-000052070000}"/>
    <cellStyle name="货币 2 3 3 6 4 2 2" xfId="1834" xr:uid="{00000000-0005-0000-0000-00005A070000}"/>
    <cellStyle name="货币 2 3 3 6 4 2 2 2" xfId="2404" xr:uid="{00000000-0005-0000-0000-000094090000}"/>
    <cellStyle name="货币 2 3 3 6 4 2 3" xfId="2409" xr:uid="{00000000-0005-0000-0000-000099090000}"/>
    <cellStyle name="货币 2 3 3 6 4 2 4" xfId="2427" xr:uid="{00000000-0005-0000-0000-0000AB090000}"/>
    <cellStyle name="货币 2 3 3 6 4 2 5" xfId="2438" xr:uid="{00000000-0005-0000-0000-0000B6090000}"/>
    <cellStyle name="货币 2 3 3 6 4 2 6" xfId="2450" xr:uid="{00000000-0005-0000-0000-0000C2090000}"/>
    <cellStyle name="货币 2 3 3 6 4 2 7" xfId="2463" xr:uid="{00000000-0005-0000-0000-0000CF090000}"/>
    <cellStyle name="货币 2 3 3 6 4 2 8" xfId="2485" xr:uid="{00000000-0005-0000-0000-0000E5090000}"/>
    <cellStyle name="货币 2 3 3 6 4 2 9" xfId="2498" xr:uid="{00000000-0005-0000-0000-0000F2090000}"/>
    <cellStyle name="货币 2 3 3 6 4 3" xfId="1847" xr:uid="{00000000-0005-0000-0000-000067070000}"/>
    <cellStyle name="货币 2 3 3 6 4 3 2" xfId="1608" xr:uid="{00000000-0005-0000-0000-000078060000}"/>
    <cellStyle name="货币 2 3 3 6 4 3 3" xfId="22595" xr:uid="{00000000-0005-0000-0000-000073580000}"/>
    <cellStyle name="货币 2 3 3 6 4 3 4" xfId="780" xr:uid="{00000000-0005-0000-0000-00003C030000}"/>
    <cellStyle name="货币 2 3 3 6 4 3 5" xfId="22597" xr:uid="{00000000-0005-0000-0000-000075580000}"/>
    <cellStyle name="货币 2 3 3 6 4 3 6" xfId="22599" xr:uid="{00000000-0005-0000-0000-000077580000}"/>
    <cellStyle name="货币 2 3 3 6 4 4" xfId="1873" xr:uid="{00000000-0005-0000-0000-000081070000}"/>
    <cellStyle name="货币 2 3 3 6 4 4 2" xfId="1919" xr:uid="{00000000-0005-0000-0000-0000AF070000}"/>
    <cellStyle name="货币 2 3 3 6 4 5" xfId="1949" xr:uid="{00000000-0005-0000-0000-0000CD070000}"/>
    <cellStyle name="货币 2 3 3 6 4 6" xfId="1901" xr:uid="{00000000-0005-0000-0000-00009D070000}"/>
    <cellStyle name="货币 2 3 3 6 4 7" xfId="2539" xr:uid="{00000000-0005-0000-0000-00001B0A0000}"/>
    <cellStyle name="货币 2 3 3 6 4 8" xfId="42992" xr:uid="{00000000-0005-0000-0000-000020A80000}"/>
    <cellStyle name="货币 2 3 3 6 4 9" xfId="42994" xr:uid="{00000000-0005-0000-0000-000022A80000}"/>
    <cellStyle name="货币 2 3 3 6 5" xfId="42995" xr:uid="{00000000-0005-0000-0000-000023A80000}"/>
    <cellStyle name="货币 2 3 3 6 5 10" xfId="42996" xr:uid="{00000000-0005-0000-0000-000024A80000}"/>
    <cellStyle name="货币 2 3 3 6 5 11" xfId="42997" xr:uid="{00000000-0005-0000-0000-000025A80000}"/>
    <cellStyle name="货币 2 3 3 6 5 12" xfId="42998" xr:uid="{00000000-0005-0000-0000-000026A80000}"/>
    <cellStyle name="货币 2 3 3 6 5 13" xfId="42999" xr:uid="{00000000-0005-0000-0000-000027A80000}"/>
    <cellStyle name="货币 2 3 3 6 5 2" xfId="2984" xr:uid="{00000000-0005-0000-0000-0000D80B0000}"/>
    <cellStyle name="货币 2 3 3 6 5 2 2" xfId="716" xr:uid="{00000000-0005-0000-0000-0000FC020000}"/>
    <cellStyle name="货币 2 3 3 6 5 2 2 2" xfId="2989" xr:uid="{00000000-0005-0000-0000-0000DD0B0000}"/>
    <cellStyle name="货币 2 3 3 6 5 2 3" xfId="3000" xr:uid="{00000000-0005-0000-0000-0000E80B0000}"/>
    <cellStyle name="货币 2 3 3 6 5 2 4" xfId="3015" xr:uid="{00000000-0005-0000-0000-0000F70B0000}"/>
    <cellStyle name="货币 2 3 3 6 5 2 5" xfId="64" xr:uid="{00000000-0005-0000-0000-000044000000}"/>
    <cellStyle name="货币 2 3 3 6 5 2 6" xfId="2708" xr:uid="{00000000-0005-0000-0000-0000C40A0000}"/>
    <cellStyle name="货币 2 3 3 6 5 2 7" xfId="1970" xr:uid="{00000000-0005-0000-0000-0000E2070000}"/>
    <cellStyle name="货币 2 3 3 6 5 2 8" xfId="3057" xr:uid="{00000000-0005-0000-0000-0000210C0000}"/>
    <cellStyle name="货币 2 3 3 6 5 2 9" xfId="3077" xr:uid="{00000000-0005-0000-0000-0000350C0000}"/>
    <cellStyle name="货币 2 3 3 6 5 3" xfId="3090" xr:uid="{00000000-0005-0000-0000-0000420C0000}"/>
    <cellStyle name="货币 2 3 3 6 5 3 2" xfId="3106" xr:uid="{00000000-0005-0000-0000-0000520C0000}"/>
    <cellStyle name="货币 2 3 3 6 5 3 3" xfId="22637" xr:uid="{00000000-0005-0000-0000-00009D580000}"/>
    <cellStyle name="货币 2 3 3 6 5 3 4" xfId="22640" xr:uid="{00000000-0005-0000-0000-0000A0580000}"/>
    <cellStyle name="货币 2 3 3 6 5 3 5" xfId="43001" xr:uid="{00000000-0005-0000-0000-000029A80000}"/>
    <cellStyle name="货币 2 3 3 6 5 3 6" xfId="43002" xr:uid="{00000000-0005-0000-0000-00002AA80000}"/>
    <cellStyle name="货币 2 3 3 6 5 4" xfId="3112" xr:uid="{00000000-0005-0000-0000-0000580C0000}"/>
    <cellStyle name="货币 2 3 3 6 5 4 2" xfId="3129" xr:uid="{00000000-0005-0000-0000-0000690C0000}"/>
    <cellStyle name="货币 2 3 3 6 5 5" xfId="822" xr:uid="{00000000-0005-0000-0000-000066030000}"/>
    <cellStyle name="货币 2 3 3 6 5 6" xfId="847" xr:uid="{00000000-0005-0000-0000-00007F030000}"/>
    <cellStyle name="货币 2 3 3 6 5 7" xfId="884" xr:uid="{00000000-0005-0000-0000-0000A4030000}"/>
    <cellStyle name="货币 2 3 3 6 5 8" xfId="43004" xr:uid="{00000000-0005-0000-0000-00002CA80000}"/>
    <cellStyle name="货币 2 3 3 6 5 9" xfId="43006" xr:uid="{00000000-0005-0000-0000-00002EA80000}"/>
    <cellStyle name="货币 2 3 3 6 6" xfId="43007" xr:uid="{00000000-0005-0000-0000-00002FA80000}"/>
    <cellStyle name="货币 2 3 3 6 6 10" xfId="43008" xr:uid="{00000000-0005-0000-0000-000030A80000}"/>
    <cellStyle name="货币 2 3 3 6 6 11" xfId="43009" xr:uid="{00000000-0005-0000-0000-000031A80000}"/>
    <cellStyle name="货币 2 3 3 6 6 12" xfId="43010" xr:uid="{00000000-0005-0000-0000-000032A80000}"/>
    <cellStyle name="货币 2 3 3 6 6 2" xfId="164" xr:uid="{00000000-0005-0000-0000-0000B0000000}"/>
    <cellStyle name="货币 2 3 3 6 6 2 2" xfId="3454" xr:uid="{00000000-0005-0000-0000-0000AE0D0000}"/>
    <cellStyle name="货币 2 3 3 6 6 2 2 2" xfId="1493" xr:uid="{00000000-0005-0000-0000-000005060000}"/>
    <cellStyle name="货币 2 3 3 6 6 2 3" xfId="3473" xr:uid="{00000000-0005-0000-0000-0000C10D0000}"/>
    <cellStyle name="货币 2 3 3 6 6 2 4" xfId="3140" xr:uid="{00000000-0005-0000-0000-0000740C0000}"/>
    <cellStyle name="货币 2 3 3 6 6 2 5" xfId="198" xr:uid="{00000000-0005-0000-0000-0000D5000000}"/>
    <cellStyle name="货币 2 3 3 6 6 2 6" xfId="3515" xr:uid="{00000000-0005-0000-0000-0000EB0D0000}"/>
    <cellStyle name="货币 2 3 3 6 6 2 7" xfId="2166" xr:uid="{00000000-0005-0000-0000-0000A6080000}"/>
    <cellStyle name="货币 2 3 3 6 6 2 8" xfId="3526" xr:uid="{00000000-0005-0000-0000-0000F60D0000}"/>
    <cellStyle name="货币 2 3 3 6 6 2 9" xfId="3534" xr:uid="{00000000-0005-0000-0000-0000FE0D0000}"/>
    <cellStyle name="货币 2 3 3 6 6 3" xfId="3544" xr:uid="{00000000-0005-0000-0000-0000080E0000}"/>
    <cellStyle name="货币 2 3 3 6 6 3 2" xfId="3546" xr:uid="{00000000-0005-0000-0000-00000A0E0000}"/>
    <cellStyle name="货币 2 3 3 6 6 3 3" xfId="22689" xr:uid="{00000000-0005-0000-0000-0000D1580000}"/>
    <cellStyle name="货币 2 3 3 6 6 3 4" xfId="22691" xr:uid="{00000000-0005-0000-0000-0000D3580000}"/>
    <cellStyle name="货币 2 3 3 6 6 3 5" xfId="43011" xr:uid="{00000000-0005-0000-0000-000033A80000}"/>
    <cellStyle name="货币 2 3 3 6 6 3 6" xfId="43012" xr:uid="{00000000-0005-0000-0000-000034A80000}"/>
    <cellStyle name="货币 2 3 3 6 6 4" xfId="3204" xr:uid="{00000000-0005-0000-0000-0000B40C0000}"/>
    <cellStyle name="货币 2 3 3 6 6 4 2" xfId="501" xr:uid="{00000000-0005-0000-0000-000015020000}"/>
    <cellStyle name="货币 2 3 3 6 6 5" xfId="1015" xr:uid="{00000000-0005-0000-0000-000027040000}"/>
    <cellStyle name="货币 2 3 3 6 6 6" xfId="2523" xr:uid="{00000000-0005-0000-0000-00000B0A0000}"/>
    <cellStyle name="货币 2 3 3 6 6 7" xfId="2897" xr:uid="{00000000-0005-0000-0000-0000810B0000}"/>
    <cellStyle name="货币 2 3 3 6 6 8" xfId="5564" xr:uid="{00000000-0005-0000-0000-0000EC150000}"/>
    <cellStyle name="货币 2 3 3 6 6 9" xfId="4387" xr:uid="{00000000-0005-0000-0000-000053110000}"/>
    <cellStyle name="货币 2 3 3 6 7" xfId="43013" xr:uid="{00000000-0005-0000-0000-000035A80000}"/>
    <cellStyle name="货币 2 3 3 6 7 2" xfId="3668" xr:uid="{00000000-0005-0000-0000-0000840E0000}"/>
    <cellStyle name="货币 2 3 3 6 7 2 2" xfId="3674" xr:uid="{00000000-0005-0000-0000-00008A0E0000}"/>
    <cellStyle name="货币 2 3 3 6 7 3" xfId="3729" xr:uid="{00000000-0005-0000-0000-0000C10E0000}"/>
    <cellStyle name="货币 2 3 3 6 7 4" xfId="3736" xr:uid="{00000000-0005-0000-0000-0000C80E0000}"/>
    <cellStyle name="货币 2 3 3 6 7 5" xfId="1032" xr:uid="{00000000-0005-0000-0000-000038040000}"/>
    <cellStyle name="货币 2 3 3 6 7 6" xfId="2565" xr:uid="{00000000-0005-0000-0000-0000350A0000}"/>
    <cellStyle name="货币 2 3 3 6 7 7" xfId="3756" xr:uid="{00000000-0005-0000-0000-0000DC0E0000}"/>
    <cellStyle name="货币 2 3 3 6 7 8" xfId="15850" xr:uid="{00000000-0005-0000-0000-00001A3E0000}"/>
    <cellStyle name="货币 2 3 3 6 7 9" xfId="4400" xr:uid="{00000000-0005-0000-0000-000060110000}"/>
    <cellStyle name="货币 2 3 3 6 8" xfId="43014" xr:uid="{00000000-0005-0000-0000-000036A80000}"/>
    <cellStyle name="货币 2 3 3 6 8 2" xfId="4076" xr:uid="{00000000-0005-0000-0000-00001C100000}"/>
    <cellStyle name="货币 2 3 3 6 8 3" xfId="4117" xr:uid="{00000000-0005-0000-0000-000045100000}"/>
    <cellStyle name="货币 2 3 3 6 8 4" xfId="4128" xr:uid="{00000000-0005-0000-0000-000050100000}"/>
    <cellStyle name="货币 2 3 3 6 8 5" xfId="1041" xr:uid="{00000000-0005-0000-0000-000041040000}"/>
    <cellStyle name="货币 2 3 3 6 8 6" xfId="4155" xr:uid="{00000000-0005-0000-0000-00006B100000}"/>
    <cellStyle name="货币 2 3 3 6 9" xfId="43015" xr:uid="{00000000-0005-0000-0000-000037A80000}"/>
    <cellStyle name="货币 2 3 3 6 9 2" xfId="43016" xr:uid="{00000000-0005-0000-0000-000038A80000}"/>
    <cellStyle name="货币 2 3 3 6 9 3" xfId="43017" xr:uid="{00000000-0005-0000-0000-000039A80000}"/>
    <cellStyle name="货币 2 3 3 6 9 4" xfId="43018" xr:uid="{00000000-0005-0000-0000-00003AA80000}"/>
    <cellStyle name="货币 2 3 3 6 9 5" xfId="43019" xr:uid="{00000000-0005-0000-0000-00003BA80000}"/>
    <cellStyle name="货币 2 3 3 6 9 6" xfId="43020" xr:uid="{00000000-0005-0000-0000-00003CA80000}"/>
    <cellStyle name="货币 2 3 3 7" xfId="30221" xr:uid="{00000000-0005-0000-0000-00003D760000}"/>
    <cellStyle name="货币 2 3 3 7 10" xfId="29330" xr:uid="{00000000-0005-0000-0000-0000C2720000}"/>
    <cellStyle name="货币 2 3 3 7 11" xfId="43021" xr:uid="{00000000-0005-0000-0000-00003DA80000}"/>
    <cellStyle name="货币 2 3 3 7 12" xfId="43022" xr:uid="{00000000-0005-0000-0000-00003EA80000}"/>
    <cellStyle name="货币 2 3 3 7 13" xfId="6585" xr:uid="{00000000-0005-0000-0000-0000E9190000}"/>
    <cellStyle name="货币 2 3 3 7 14" xfId="6589" xr:uid="{00000000-0005-0000-0000-0000ED190000}"/>
    <cellStyle name="货币 2 3 3 7 15" xfId="6592" xr:uid="{00000000-0005-0000-0000-0000F0190000}"/>
    <cellStyle name="货币 2 3 3 7 16" xfId="6595" xr:uid="{00000000-0005-0000-0000-0000F3190000}"/>
    <cellStyle name="货币 2 3 3 7 17" xfId="43023" xr:uid="{00000000-0005-0000-0000-00003FA80000}"/>
    <cellStyle name="货币 2 3 3 7 18" xfId="43024" xr:uid="{00000000-0005-0000-0000-000040A80000}"/>
    <cellStyle name="货币 2 3 3 7 2" xfId="30224" xr:uid="{00000000-0005-0000-0000-000040760000}"/>
    <cellStyle name="货币 2 3 3 7 2 10" xfId="43026" xr:uid="{00000000-0005-0000-0000-000042A80000}"/>
    <cellStyle name="货币 2 3 3 7 2 11" xfId="43028" xr:uid="{00000000-0005-0000-0000-000044A80000}"/>
    <cellStyle name="货币 2 3 3 7 2 12" xfId="29315" xr:uid="{00000000-0005-0000-0000-0000B3720000}"/>
    <cellStyle name="货币 2 3 3 7 2 13" xfId="43029" xr:uid="{00000000-0005-0000-0000-000045A80000}"/>
    <cellStyle name="货币 2 3 3 7 2 14" xfId="40615" xr:uid="{00000000-0005-0000-0000-0000D79E0000}"/>
    <cellStyle name="货币 2 3 3 7 2 2" xfId="25874" xr:uid="{00000000-0005-0000-0000-000042650000}"/>
    <cellStyle name="货币 2 3 3 7 2 2 10" xfId="31176" xr:uid="{00000000-0005-0000-0000-0000F8790000}"/>
    <cellStyle name="货币 2 3 3 7 2 2 2" xfId="11277" xr:uid="{00000000-0005-0000-0000-00003D2C0000}"/>
    <cellStyle name="货币 2 3 3 7 2 2 2 2" xfId="43031" xr:uid="{00000000-0005-0000-0000-000047A80000}"/>
    <cellStyle name="货币 2 3 3 7 2 2 3" xfId="11284" xr:uid="{00000000-0005-0000-0000-0000442C0000}"/>
    <cellStyle name="货币 2 3 3 7 2 2 4" xfId="5894" xr:uid="{00000000-0005-0000-0000-000036170000}"/>
    <cellStyle name="货币 2 3 3 7 2 2 5" xfId="43032" xr:uid="{00000000-0005-0000-0000-000048A80000}"/>
    <cellStyle name="货币 2 3 3 7 2 2 6" xfId="43033" xr:uid="{00000000-0005-0000-0000-000049A80000}"/>
    <cellStyle name="货币 2 3 3 7 2 2 7" xfId="43034" xr:uid="{00000000-0005-0000-0000-00004AA80000}"/>
    <cellStyle name="货币 2 3 3 7 2 2 8" xfId="43035" xr:uid="{00000000-0005-0000-0000-00004BA80000}"/>
    <cellStyle name="货币 2 3 3 7 2 2 9" xfId="43036" xr:uid="{00000000-0005-0000-0000-00004CA80000}"/>
    <cellStyle name="货币 2 3 3 7 2 3" xfId="26984" xr:uid="{00000000-0005-0000-0000-000098690000}"/>
    <cellStyle name="货币 2 3 3 7 2 3 2" xfId="11118" xr:uid="{00000000-0005-0000-0000-00009E2B0000}"/>
    <cellStyle name="货币 2 3 3 7 2 3 3" xfId="11417" xr:uid="{00000000-0005-0000-0000-0000C92C0000}"/>
    <cellStyle name="货币 2 3 3 7 2 3 4" xfId="5909" xr:uid="{00000000-0005-0000-0000-000045170000}"/>
    <cellStyle name="货币 2 3 3 7 2 3 5" xfId="43037" xr:uid="{00000000-0005-0000-0000-00004DA80000}"/>
    <cellStyle name="货币 2 3 3 7 2 3 6" xfId="43038" xr:uid="{00000000-0005-0000-0000-00004EA80000}"/>
    <cellStyle name="货币 2 3 3 7 2 4" xfId="29338" xr:uid="{00000000-0005-0000-0000-0000CA720000}"/>
    <cellStyle name="货币 2 3 3 7 2 4 2" xfId="43039" xr:uid="{00000000-0005-0000-0000-00004FA80000}"/>
    <cellStyle name="货币 2 3 3 7 2 4 3" xfId="43040" xr:uid="{00000000-0005-0000-0000-000050A80000}"/>
    <cellStyle name="货币 2 3 3 7 2 4 4" xfId="43041" xr:uid="{00000000-0005-0000-0000-000051A80000}"/>
    <cellStyle name="货币 2 3 3 7 2 4 5" xfId="43042" xr:uid="{00000000-0005-0000-0000-000052A80000}"/>
    <cellStyle name="货币 2 3 3 7 2 5" xfId="43043" xr:uid="{00000000-0005-0000-0000-000053A80000}"/>
    <cellStyle name="货币 2 3 3 7 2 6" xfId="43044" xr:uid="{00000000-0005-0000-0000-000054A80000}"/>
    <cellStyle name="货币 2 3 3 7 2 7" xfId="43045" xr:uid="{00000000-0005-0000-0000-000055A80000}"/>
    <cellStyle name="货币 2 3 3 7 2 8" xfId="43047" xr:uid="{00000000-0005-0000-0000-000057A80000}"/>
    <cellStyle name="货币 2 3 3 7 2 9" xfId="9721" xr:uid="{00000000-0005-0000-0000-000029260000}"/>
    <cellStyle name="货币 2 3 3 7 3" xfId="43048" xr:uid="{00000000-0005-0000-0000-000058A80000}"/>
    <cellStyle name="货币 2 3 3 7 3 10" xfId="8827" xr:uid="{00000000-0005-0000-0000-0000AB220000}"/>
    <cellStyle name="货币 2 3 3 7 3 11" xfId="8834" xr:uid="{00000000-0005-0000-0000-0000B2220000}"/>
    <cellStyle name="货币 2 3 3 7 3 12" xfId="8839" xr:uid="{00000000-0005-0000-0000-0000B7220000}"/>
    <cellStyle name="货币 2 3 3 7 3 2" xfId="25882" xr:uid="{00000000-0005-0000-0000-00004A650000}"/>
    <cellStyle name="货币 2 3 3 7 3 2 2" xfId="35850" xr:uid="{00000000-0005-0000-0000-00003A8C0000}"/>
    <cellStyle name="货币 2 3 3 7 3 2 2 2" xfId="39615" xr:uid="{00000000-0005-0000-0000-0000EF9A0000}"/>
    <cellStyle name="货币 2 3 3 7 3 2 3" xfId="35852" xr:uid="{00000000-0005-0000-0000-00003C8C0000}"/>
    <cellStyle name="货币 2 3 3 7 3 2 4" xfId="29182" xr:uid="{00000000-0005-0000-0000-00002E720000}"/>
    <cellStyle name="货币 2 3 3 7 3 2 5" xfId="43049" xr:uid="{00000000-0005-0000-0000-000059A80000}"/>
    <cellStyle name="货币 2 3 3 7 3 3" xfId="23188" xr:uid="{00000000-0005-0000-0000-0000C45A0000}"/>
    <cellStyle name="货币 2 3 3 7 3 3 2" xfId="43050" xr:uid="{00000000-0005-0000-0000-00005AA80000}"/>
    <cellStyle name="货币 2 3 3 7 3 4" xfId="43051" xr:uid="{00000000-0005-0000-0000-00005BA80000}"/>
    <cellStyle name="货币 2 3 3 7 3 5" xfId="43052" xr:uid="{00000000-0005-0000-0000-00005CA80000}"/>
    <cellStyle name="货币 2 3 3 7 3 6" xfId="30470" xr:uid="{00000000-0005-0000-0000-000036770000}"/>
    <cellStyle name="货币 2 3 3 7 3 7" xfId="30475" xr:uid="{00000000-0005-0000-0000-00003B770000}"/>
    <cellStyle name="货币 2 3 3 7 3 8" xfId="30482" xr:uid="{00000000-0005-0000-0000-000042770000}"/>
    <cellStyle name="货币 2 3 3 7 3 9" xfId="30737" xr:uid="{00000000-0005-0000-0000-000041780000}"/>
    <cellStyle name="货币 2 3 3 7 4" xfId="43053" xr:uid="{00000000-0005-0000-0000-00005DA80000}"/>
    <cellStyle name="货币 2 3 3 7 4 10" xfId="43054" xr:uid="{00000000-0005-0000-0000-00005EA80000}"/>
    <cellStyle name="货币 2 3 3 7 4 11" xfId="43056" xr:uid="{00000000-0005-0000-0000-000060A80000}"/>
    <cellStyle name="货币 2 3 3 7 4 2" xfId="25895" xr:uid="{00000000-0005-0000-0000-000057650000}"/>
    <cellStyle name="货币 2 3 3 7 4 2 2" xfId="35859" xr:uid="{00000000-0005-0000-0000-0000438C0000}"/>
    <cellStyle name="货币 2 3 3 7 4 2 2 2" xfId="43060" xr:uid="{00000000-0005-0000-0000-000064A80000}"/>
    <cellStyle name="货币 2 3 3 7 4 2 3" xfId="35861" xr:uid="{00000000-0005-0000-0000-0000458C0000}"/>
    <cellStyle name="货币 2 3 3 7 4 2 4" xfId="35863" xr:uid="{00000000-0005-0000-0000-0000478C0000}"/>
    <cellStyle name="货币 2 3 3 7 4 2 5" xfId="43061" xr:uid="{00000000-0005-0000-0000-000065A80000}"/>
    <cellStyle name="货币 2 3 3 7 4 3" xfId="7448" xr:uid="{00000000-0005-0000-0000-0000481D0000}"/>
    <cellStyle name="货币 2 3 3 7 4 3 2" xfId="7701" xr:uid="{00000000-0005-0000-0000-0000451E0000}"/>
    <cellStyle name="货币 2 3 3 7 4 4" xfId="5789" xr:uid="{00000000-0005-0000-0000-0000CD160000}"/>
    <cellStyle name="货币 2 3 3 7 4 5" xfId="7881" xr:uid="{00000000-0005-0000-0000-0000F91E0000}"/>
    <cellStyle name="货币 2 3 3 7 4 6" xfId="5647" xr:uid="{00000000-0005-0000-0000-00003F160000}"/>
    <cellStyle name="货币 2 3 3 7 4 7" xfId="5677" xr:uid="{00000000-0005-0000-0000-00005D160000}"/>
    <cellStyle name="货币 2 3 3 7 4 8" xfId="5696" xr:uid="{00000000-0005-0000-0000-000070160000}"/>
    <cellStyle name="货币 2 3 3 7 4 9" xfId="112" xr:uid="{00000000-0005-0000-0000-00007A000000}"/>
    <cellStyle name="货币 2 3 3 7 5" xfId="43062" xr:uid="{00000000-0005-0000-0000-000066A80000}"/>
    <cellStyle name="货币 2 3 3 7 5 10" xfId="42673" xr:uid="{00000000-0005-0000-0000-0000E1A60000}"/>
    <cellStyle name="货币 2 3 3 7 5 2" xfId="43063" xr:uid="{00000000-0005-0000-0000-000067A80000}"/>
    <cellStyle name="货币 2 3 3 7 5 2 2" xfId="35875" xr:uid="{00000000-0005-0000-0000-0000538C0000}"/>
    <cellStyle name="货币 2 3 3 7 5 2 2 2" xfId="34152" xr:uid="{00000000-0005-0000-0000-000098850000}"/>
    <cellStyle name="货币 2 3 3 7 5 2 3" xfId="35877" xr:uid="{00000000-0005-0000-0000-0000558C0000}"/>
    <cellStyle name="货币 2 3 3 7 5 2 4" xfId="35879" xr:uid="{00000000-0005-0000-0000-0000578C0000}"/>
    <cellStyle name="货币 2 3 3 7 5 2 5" xfId="43064" xr:uid="{00000000-0005-0000-0000-000068A80000}"/>
    <cellStyle name="货币 2 3 3 7 5 3" xfId="43065" xr:uid="{00000000-0005-0000-0000-000069A80000}"/>
    <cellStyle name="货币 2 3 3 7 5 3 2" xfId="43066" xr:uid="{00000000-0005-0000-0000-00006AA80000}"/>
    <cellStyle name="货币 2 3 3 7 5 4" xfId="34806" xr:uid="{00000000-0005-0000-0000-000026880000}"/>
    <cellStyle name="货币 2 3 3 7 5 5" xfId="43067" xr:uid="{00000000-0005-0000-0000-00006BA80000}"/>
    <cellStyle name="货币 2 3 3 7 5 6" xfId="43068" xr:uid="{00000000-0005-0000-0000-00006CA80000}"/>
    <cellStyle name="货币 2 3 3 7 5 7" xfId="30499" xr:uid="{00000000-0005-0000-0000-000053770000}"/>
    <cellStyle name="货币 2 3 3 7 5 8" xfId="43070" xr:uid="{00000000-0005-0000-0000-00006EA80000}"/>
    <cellStyle name="货币 2 3 3 7 5 9" xfId="43072" xr:uid="{00000000-0005-0000-0000-000070A80000}"/>
    <cellStyle name="货币 2 3 3 7 6" xfId="43073" xr:uid="{00000000-0005-0000-0000-000071A80000}"/>
    <cellStyle name="货币 2 3 3 7 6 2" xfId="43074" xr:uid="{00000000-0005-0000-0000-000072A80000}"/>
    <cellStyle name="货币 2 3 3 7 6 2 2" xfId="43075" xr:uid="{00000000-0005-0000-0000-000073A80000}"/>
    <cellStyle name="货币 2 3 3 7 6 3" xfId="43076" xr:uid="{00000000-0005-0000-0000-000074A80000}"/>
    <cellStyle name="货币 2 3 3 7 6 4" xfId="43077" xr:uid="{00000000-0005-0000-0000-000075A80000}"/>
    <cellStyle name="货币 2 3 3 7 6 5" xfId="43078" xr:uid="{00000000-0005-0000-0000-000076A80000}"/>
    <cellStyle name="货币 2 3 3 7 6 6" xfId="43079" xr:uid="{00000000-0005-0000-0000-000077A80000}"/>
    <cellStyle name="货币 2 3 3 7 6 7" xfId="17241" xr:uid="{00000000-0005-0000-0000-000089430000}"/>
    <cellStyle name="货币 2 3 3 7 6 8" xfId="15942" xr:uid="{00000000-0005-0000-0000-0000763E0000}"/>
    <cellStyle name="货币 2 3 3 7 6 9" xfId="15947" xr:uid="{00000000-0005-0000-0000-00007B3E0000}"/>
    <cellStyle name="货币 2 3 3 7 7" xfId="43080" xr:uid="{00000000-0005-0000-0000-000078A80000}"/>
    <cellStyle name="货币 2 3 3 7 7 2" xfId="43081" xr:uid="{00000000-0005-0000-0000-000079A80000}"/>
    <cellStyle name="货币 2 3 3 7 8" xfId="43082" xr:uid="{00000000-0005-0000-0000-00007AA80000}"/>
    <cellStyle name="货币 2 3 3 7 9" xfId="43083" xr:uid="{00000000-0005-0000-0000-00007BA80000}"/>
    <cellStyle name="货币 2 3 3 8" xfId="30227" xr:uid="{00000000-0005-0000-0000-000043760000}"/>
    <cellStyle name="货币 2 3 3 8 10" xfId="29352" xr:uid="{00000000-0005-0000-0000-0000D8720000}"/>
    <cellStyle name="货币 2 3 3 8 11" xfId="43084" xr:uid="{00000000-0005-0000-0000-00007CA80000}"/>
    <cellStyle name="货币 2 3 3 8 12" xfId="43085" xr:uid="{00000000-0005-0000-0000-00007DA80000}"/>
    <cellStyle name="货币 2 3 3 8 13" xfId="43086" xr:uid="{00000000-0005-0000-0000-00007EA80000}"/>
    <cellStyle name="货币 2 3 3 8 14" xfId="43087" xr:uid="{00000000-0005-0000-0000-00007FA80000}"/>
    <cellStyle name="货币 2 3 3 8 15" xfId="43088" xr:uid="{00000000-0005-0000-0000-000080A80000}"/>
    <cellStyle name="货币 2 3 3 8 16" xfId="43089" xr:uid="{00000000-0005-0000-0000-000081A80000}"/>
    <cellStyle name="货币 2 3 3 8 17" xfId="43090" xr:uid="{00000000-0005-0000-0000-000082A80000}"/>
    <cellStyle name="货币 2 3 3 8 18" xfId="43091" xr:uid="{00000000-0005-0000-0000-000083A80000}"/>
    <cellStyle name="货币 2 3 3 8 2" xfId="43092" xr:uid="{00000000-0005-0000-0000-000084A80000}"/>
    <cellStyle name="货币 2 3 3 8 2 10" xfId="43094" xr:uid="{00000000-0005-0000-0000-000086A80000}"/>
    <cellStyle name="货币 2 3 3 8 2 2" xfId="43095" xr:uid="{00000000-0005-0000-0000-000087A80000}"/>
    <cellStyle name="货币 2 3 3 8 2 2 2" xfId="14708" xr:uid="{00000000-0005-0000-0000-0000A4390000}"/>
    <cellStyle name="货币 2 3 3 8 2 3" xfId="43096" xr:uid="{00000000-0005-0000-0000-000088A80000}"/>
    <cellStyle name="货币 2 3 3 8 2 4" xfId="43097" xr:uid="{00000000-0005-0000-0000-000089A80000}"/>
    <cellStyle name="货币 2 3 3 8 2 5" xfId="43098" xr:uid="{00000000-0005-0000-0000-00008AA80000}"/>
    <cellStyle name="货币 2 3 3 8 2 6" xfId="43099" xr:uid="{00000000-0005-0000-0000-00008BA80000}"/>
    <cellStyle name="货币 2 3 3 8 2 7" xfId="43100" xr:uid="{00000000-0005-0000-0000-00008CA80000}"/>
    <cellStyle name="货币 2 3 3 8 2 8" xfId="43102" xr:uid="{00000000-0005-0000-0000-00008EA80000}"/>
    <cellStyle name="货币 2 3 3 8 2 9" xfId="43104" xr:uid="{00000000-0005-0000-0000-000090A80000}"/>
    <cellStyle name="货币 2 3 3 8 3" xfId="43105" xr:uid="{00000000-0005-0000-0000-000091A80000}"/>
    <cellStyle name="货币 2 3 3 8 3 2" xfId="43106" xr:uid="{00000000-0005-0000-0000-000092A80000}"/>
    <cellStyle name="货币 2 3 3 8 3 3" xfId="43107" xr:uid="{00000000-0005-0000-0000-000093A80000}"/>
    <cellStyle name="货币 2 3 3 8 3 4" xfId="43108" xr:uid="{00000000-0005-0000-0000-000094A80000}"/>
    <cellStyle name="货币 2 3 3 8 3 5" xfId="43109" xr:uid="{00000000-0005-0000-0000-000095A80000}"/>
    <cellStyle name="货币 2 3 3 8 3 6" xfId="43110" xr:uid="{00000000-0005-0000-0000-000096A80000}"/>
    <cellStyle name="货币 2 3 3 8 4" xfId="43111" xr:uid="{00000000-0005-0000-0000-000097A80000}"/>
    <cellStyle name="货币 2 3 3 8 4 2" xfId="43112" xr:uid="{00000000-0005-0000-0000-000098A80000}"/>
    <cellStyle name="货币 2 3 3 8 4 3" xfId="43113" xr:uid="{00000000-0005-0000-0000-000099A80000}"/>
    <cellStyle name="货币 2 3 3 8 4 4" xfId="43114" xr:uid="{00000000-0005-0000-0000-00009AA80000}"/>
    <cellStyle name="货币 2 3 3 8 4 5" xfId="43115" xr:uid="{00000000-0005-0000-0000-00009BA80000}"/>
    <cellStyle name="货币 2 3 3 8 4 6" xfId="43116" xr:uid="{00000000-0005-0000-0000-00009CA80000}"/>
    <cellStyle name="货币 2 3 3 8 5" xfId="43117" xr:uid="{00000000-0005-0000-0000-00009DA80000}"/>
    <cellStyle name="货币 2 3 3 8 5 2" xfId="36139" xr:uid="{00000000-0005-0000-0000-00005B8D0000}"/>
    <cellStyle name="货币 2 3 3 8 5 3" xfId="36141" xr:uid="{00000000-0005-0000-0000-00005D8D0000}"/>
    <cellStyle name="货币 2 3 3 8 5 4" xfId="36143" xr:uid="{00000000-0005-0000-0000-00005F8D0000}"/>
    <cellStyle name="货币 2 3 3 8 5 5" xfId="36145" xr:uid="{00000000-0005-0000-0000-0000618D0000}"/>
    <cellStyle name="货币 2 3 3 8 5 6" xfId="24340" xr:uid="{00000000-0005-0000-0000-0000445F0000}"/>
    <cellStyle name="货币 2 3 3 8 6" xfId="43118" xr:uid="{00000000-0005-0000-0000-00009EA80000}"/>
    <cellStyle name="货币 2 3 3 8 6 2" xfId="36155" xr:uid="{00000000-0005-0000-0000-00006B8D0000}"/>
    <cellStyle name="货币 2 3 3 8 6 3" xfId="36157" xr:uid="{00000000-0005-0000-0000-00006D8D0000}"/>
    <cellStyle name="货币 2 3 3 8 6 4" xfId="43119" xr:uid="{00000000-0005-0000-0000-00009FA80000}"/>
    <cellStyle name="货币 2 3 3 8 6 5" xfId="43120" xr:uid="{00000000-0005-0000-0000-0000A0A80000}"/>
    <cellStyle name="货币 2 3 3 8 6 6" xfId="43121" xr:uid="{00000000-0005-0000-0000-0000A1A80000}"/>
    <cellStyle name="货币 2 3 3 8 7" xfId="43122" xr:uid="{00000000-0005-0000-0000-0000A2A80000}"/>
    <cellStyle name="货币 2 3 3 8 8" xfId="43123" xr:uid="{00000000-0005-0000-0000-0000A3A80000}"/>
    <cellStyle name="货币 2 3 3 8 9" xfId="43124" xr:uid="{00000000-0005-0000-0000-0000A4A80000}"/>
    <cellStyle name="货币 2 3 3 9" xfId="43125" xr:uid="{00000000-0005-0000-0000-0000A5A80000}"/>
    <cellStyle name="货币 2 3 3 9 10" xfId="43126" xr:uid="{00000000-0005-0000-0000-0000A6A80000}"/>
    <cellStyle name="货币 2 3 3 9 11" xfId="43127" xr:uid="{00000000-0005-0000-0000-0000A7A80000}"/>
    <cellStyle name="货币 2 3 3 9 12" xfId="5863" xr:uid="{00000000-0005-0000-0000-000017170000}"/>
    <cellStyle name="货币 2 3 3 9 13" xfId="38684" xr:uid="{00000000-0005-0000-0000-00004C970000}"/>
    <cellStyle name="货币 2 3 3 9 14" xfId="932" xr:uid="{00000000-0005-0000-0000-0000D4030000}"/>
    <cellStyle name="货币 2 3 3 9 15" xfId="38738" xr:uid="{00000000-0005-0000-0000-000082970000}"/>
    <cellStyle name="货币 2 3 3 9 16" xfId="38767" xr:uid="{00000000-0005-0000-0000-00009F970000}"/>
    <cellStyle name="货币 2 3 3 9 17" xfId="38783" xr:uid="{00000000-0005-0000-0000-0000AF970000}"/>
    <cellStyle name="货币 2 3 3 9 18" xfId="38788" xr:uid="{00000000-0005-0000-0000-0000B4970000}"/>
    <cellStyle name="货币 2 3 3 9 2" xfId="30017" xr:uid="{00000000-0005-0000-0000-000071750000}"/>
    <cellStyle name="货币 2 3 3 9 2 10" xfId="23262" xr:uid="{00000000-0005-0000-0000-00000E5B0000}"/>
    <cellStyle name="货币 2 3 3 9 2 2" xfId="43128" xr:uid="{00000000-0005-0000-0000-0000A8A80000}"/>
    <cellStyle name="货币 2 3 3 9 2 2 2" xfId="16979" xr:uid="{00000000-0005-0000-0000-000083420000}"/>
    <cellStyle name="货币 2 3 3 9 2 3" xfId="43129" xr:uid="{00000000-0005-0000-0000-0000A9A80000}"/>
    <cellStyle name="货币 2 3 3 9 2 4" xfId="43130" xr:uid="{00000000-0005-0000-0000-0000AAA80000}"/>
    <cellStyle name="货币 2 3 3 9 2 5" xfId="43131" xr:uid="{00000000-0005-0000-0000-0000ABA80000}"/>
    <cellStyle name="货币 2 3 3 9 2 6" xfId="43132" xr:uid="{00000000-0005-0000-0000-0000ACA80000}"/>
    <cellStyle name="货币 2 3 3 9 2 7" xfId="43133" xr:uid="{00000000-0005-0000-0000-0000ADA80000}"/>
    <cellStyle name="货币 2 3 3 9 2 8" xfId="3371" xr:uid="{00000000-0005-0000-0000-00005B0D0000}"/>
    <cellStyle name="货币 2 3 3 9 2 9" xfId="43135" xr:uid="{00000000-0005-0000-0000-0000AFA80000}"/>
    <cellStyle name="货币 2 3 3 9 3" xfId="36125" xr:uid="{00000000-0005-0000-0000-00004D8D0000}"/>
    <cellStyle name="货币 2 3 3 9 3 2" xfId="11527" xr:uid="{00000000-0005-0000-0000-0000372D0000}"/>
    <cellStyle name="货币 2 3 3 9 3 3" xfId="43136" xr:uid="{00000000-0005-0000-0000-0000B0A80000}"/>
    <cellStyle name="货币 2 3 3 9 3 4" xfId="43137" xr:uid="{00000000-0005-0000-0000-0000B1A80000}"/>
    <cellStyle name="货币 2 3 3 9 3 5" xfId="43138" xr:uid="{00000000-0005-0000-0000-0000B2A80000}"/>
    <cellStyle name="货币 2 3 3 9 3 6" xfId="43139" xr:uid="{00000000-0005-0000-0000-0000B3A80000}"/>
    <cellStyle name="货币 2 3 3 9 4" xfId="36128" xr:uid="{00000000-0005-0000-0000-0000508D0000}"/>
    <cellStyle name="货币 2 3 3 9 4 2" xfId="43140" xr:uid="{00000000-0005-0000-0000-0000B4A80000}"/>
    <cellStyle name="货币 2 3 3 9 4 3" xfId="43141" xr:uid="{00000000-0005-0000-0000-0000B5A80000}"/>
    <cellStyle name="货币 2 3 3 9 4 4" xfId="43142" xr:uid="{00000000-0005-0000-0000-0000B6A80000}"/>
    <cellStyle name="货币 2 3 3 9 4 5" xfId="43143" xr:uid="{00000000-0005-0000-0000-0000B7A80000}"/>
    <cellStyle name="货币 2 3 3 9 4 6" xfId="43144" xr:uid="{00000000-0005-0000-0000-0000B8A80000}"/>
    <cellStyle name="货币 2 3 3 9 5" xfId="36131" xr:uid="{00000000-0005-0000-0000-0000538D0000}"/>
    <cellStyle name="货币 2 3 3 9 5 2" xfId="34312" xr:uid="{00000000-0005-0000-0000-000038860000}"/>
    <cellStyle name="货币 2 3 3 9 5 3" xfId="34316" xr:uid="{00000000-0005-0000-0000-00003C860000}"/>
    <cellStyle name="货币 2 3 3 9 5 4" xfId="34320" xr:uid="{00000000-0005-0000-0000-000040860000}"/>
    <cellStyle name="货币 2 3 3 9 5 5" xfId="20356" xr:uid="{00000000-0005-0000-0000-0000B44F0000}"/>
    <cellStyle name="货币 2 3 3 9 5 6" xfId="20367" xr:uid="{00000000-0005-0000-0000-0000BF4F0000}"/>
    <cellStyle name="货币 2 3 3 9 6" xfId="29153" xr:uid="{00000000-0005-0000-0000-000011720000}"/>
    <cellStyle name="货币 2 3 3 9 6 2" xfId="28830" xr:uid="{00000000-0005-0000-0000-0000CE700000}"/>
    <cellStyle name="货币 2 3 3 9 6 3" xfId="28861" xr:uid="{00000000-0005-0000-0000-0000ED700000}"/>
    <cellStyle name="货币 2 3 3 9 6 4" xfId="28874" xr:uid="{00000000-0005-0000-0000-0000FA700000}"/>
    <cellStyle name="货币 2 3 3 9 6 5" xfId="20395" xr:uid="{00000000-0005-0000-0000-0000DB4F0000}"/>
    <cellStyle name="货币 2 3 3 9 6 6" xfId="6443" xr:uid="{00000000-0005-0000-0000-00005B190000}"/>
    <cellStyle name="货币 2 3 3 9 7" xfId="36582" xr:uid="{00000000-0005-0000-0000-0000168F0000}"/>
    <cellStyle name="货币 2 3 3 9 8" xfId="36584" xr:uid="{00000000-0005-0000-0000-0000188F0000}"/>
    <cellStyle name="货币 2 3 3 9 9" xfId="43145" xr:uid="{00000000-0005-0000-0000-0000B9A80000}"/>
    <cellStyle name="货币 2 3 30" xfId="41420" xr:uid="{00000000-0005-0000-0000-0000FCA10000}"/>
    <cellStyle name="货币 2 3 31" xfId="41422" xr:uid="{00000000-0005-0000-0000-0000FEA10000}"/>
    <cellStyle name="货币 2 3 4" xfId="41154" xr:uid="{00000000-0005-0000-0000-0000F2A00000}"/>
    <cellStyle name="货币 2 3 4 10" xfId="1440" xr:uid="{00000000-0005-0000-0000-0000D0050000}"/>
    <cellStyle name="货币 2 3 4 10 2" xfId="43146" xr:uid="{00000000-0005-0000-0000-0000BAA80000}"/>
    <cellStyle name="货币 2 3 4 10 2 2" xfId="29286" xr:uid="{00000000-0005-0000-0000-000096720000}"/>
    <cellStyle name="货币 2 3 4 10 3" xfId="43148" xr:uid="{00000000-0005-0000-0000-0000BCA80000}"/>
    <cellStyle name="货币 2 3 4 10 4" xfId="43150" xr:uid="{00000000-0005-0000-0000-0000BEA80000}"/>
    <cellStyle name="货币 2 3 4 10 5" xfId="43152" xr:uid="{00000000-0005-0000-0000-0000C0A80000}"/>
    <cellStyle name="货币 2 3 4 10 6" xfId="43154" xr:uid="{00000000-0005-0000-0000-0000C2A80000}"/>
    <cellStyle name="货币 2 3 4 10 7" xfId="43156" xr:uid="{00000000-0005-0000-0000-0000C4A80000}"/>
    <cellStyle name="货币 2 3 4 10 8" xfId="30768" xr:uid="{00000000-0005-0000-0000-000060780000}"/>
    <cellStyle name="货币 2 3 4 10 9" xfId="30781" xr:uid="{00000000-0005-0000-0000-00006D780000}"/>
    <cellStyle name="货币 2 3 4 11" xfId="3578" xr:uid="{00000000-0005-0000-0000-00002A0E0000}"/>
    <cellStyle name="货币 2 3 4 11 2" xfId="43157" xr:uid="{00000000-0005-0000-0000-0000C5A80000}"/>
    <cellStyle name="货币 2 3 4 11 3" xfId="43158" xr:uid="{00000000-0005-0000-0000-0000C6A80000}"/>
    <cellStyle name="货币 2 3 4 11 4" xfId="43159" xr:uid="{00000000-0005-0000-0000-0000C7A80000}"/>
    <cellStyle name="货币 2 3 4 11 5" xfId="43160" xr:uid="{00000000-0005-0000-0000-0000C8A80000}"/>
    <cellStyle name="货币 2 3 4 11 6" xfId="4636" xr:uid="{00000000-0005-0000-0000-00004C120000}"/>
    <cellStyle name="货币 2 3 4 12" xfId="32796" xr:uid="{00000000-0005-0000-0000-00004C800000}"/>
    <cellStyle name="货币 2 3 4 12 2" xfId="43161" xr:uid="{00000000-0005-0000-0000-0000C9A80000}"/>
    <cellStyle name="货币 2 3 4 12 3" xfId="43162" xr:uid="{00000000-0005-0000-0000-0000CAA80000}"/>
    <cellStyle name="货币 2 3 4 12 4" xfId="43163" xr:uid="{00000000-0005-0000-0000-0000CBA80000}"/>
    <cellStyle name="货币 2 3 4 12 5" xfId="43164" xr:uid="{00000000-0005-0000-0000-0000CCA80000}"/>
    <cellStyle name="货币 2 3 4 12 6" xfId="4799" xr:uid="{00000000-0005-0000-0000-0000EF120000}"/>
    <cellStyle name="货币 2 3 4 13" xfId="32798" xr:uid="{00000000-0005-0000-0000-00004E800000}"/>
    <cellStyle name="货币 2 3 4 13 2" xfId="43165" xr:uid="{00000000-0005-0000-0000-0000CDA80000}"/>
    <cellStyle name="货币 2 3 4 13 3" xfId="43166" xr:uid="{00000000-0005-0000-0000-0000CEA80000}"/>
    <cellStyle name="货币 2 3 4 13 4" xfId="43167" xr:uid="{00000000-0005-0000-0000-0000CFA80000}"/>
    <cellStyle name="货币 2 3 4 13 5" xfId="43168" xr:uid="{00000000-0005-0000-0000-0000D0A80000}"/>
    <cellStyle name="货币 2 3 4 13 6" xfId="4804" xr:uid="{00000000-0005-0000-0000-0000F4120000}"/>
    <cellStyle name="货币 2 3 4 14" xfId="32800" xr:uid="{00000000-0005-0000-0000-000050800000}"/>
    <cellStyle name="货币 2 3 4 14 2" xfId="43169" xr:uid="{00000000-0005-0000-0000-0000D1A80000}"/>
    <cellStyle name="货币 2 3 4 14 3" xfId="5486" xr:uid="{00000000-0005-0000-0000-00009E150000}"/>
    <cellStyle name="货币 2 3 4 14 4" xfId="43170" xr:uid="{00000000-0005-0000-0000-0000D2A80000}"/>
    <cellStyle name="货币 2 3 4 14 5" xfId="43171" xr:uid="{00000000-0005-0000-0000-0000D3A80000}"/>
    <cellStyle name="货币 2 3 4 14 6" xfId="4813" xr:uid="{00000000-0005-0000-0000-0000FD120000}"/>
    <cellStyle name="货币 2 3 4 15" xfId="43173" xr:uid="{00000000-0005-0000-0000-0000D5A80000}"/>
    <cellStyle name="货币 2 3 4 16" xfId="43175" xr:uid="{00000000-0005-0000-0000-0000D7A80000}"/>
    <cellStyle name="货币 2 3 4 17" xfId="42122" xr:uid="{00000000-0005-0000-0000-0000BAA40000}"/>
    <cellStyle name="货币 2 3 4 18" xfId="21438" xr:uid="{00000000-0005-0000-0000-0000EE530000}"/>
    <cellStyle name="货币 2 3 4 19" xfId="21442" xr:uid="{00000000-0005-0000-0000-0000F2530000}"/>
    <cellStyle name="货币 2 3 4 2" xfId="32765" xr:uid="{00000000-0005-0000-0000-00002D800000}"/>
    <cellStyle name="货币 2 3 4 2 10" xfId="27507" xr:uid="{00000000-0005-0000-0000-0000A36B0000}"/>
    <cellStyle name="货币 2 3 4 2 10 2" xfId="43177" xr:uid="{00000000-0005-0000-0000-0000D9A80000}"/>
    <cellStyle name="货币 2 3 4 2 10 3" xfId="43179" xr:uid="{00000000-0005-0000-0000-0000DBA80000}"/>
    <cellStyle name="货币 2 3 4 2 10 4" xfId="43180" xr:uid="{00000000-0005-0000-0000-0000DCA80000}"/>
    <cellStyle name="货币 2 3 4 2 10 5" xfId="43182" xr:uid="{00000000-0005-0000-0000-0000DEA80000}"/>
    <cellStyle name="货币 2 3 4 2 10 6" xfId="43184" xr:uid="{00000000-0005-0000-0000-0000E0A80000}"/>
    <cellStyle name="货币 2 3 4 2 11" xfId="27511" xr:uid="{00000000-0005-0000-0000-0000A76B0000}"/>
    <cellStyle name="货币 2 3 4 2 11 2" xfId="43185" xr:uid="{00000000-0005-0000-0000-0000E1A80000}"/>
    <cellStyle name="货币 2 3 4 2 11 3" xfId="43186" xr:uid="{00000000-0005-0000-0000-0000E2A80000}"/>
    <cellStyle name="货币 2 3 4 2 11 4" xfId="43187" xr:uid="{00000000-0005-0000-0000-0000E3A80000}"/>
    <cellStyle name="货币 2 3 4 2 11 5" xfId="43189" xr:uid="{00000000-0005-0000-0000-0000E5A80000}"/>
    <cellStyle name="货币 2 3 4 2 11 6" xfId="43191" xr:uid="{00000000-0005-0000-0000-0000E7A80000}"/>
    <cellStyle name="货币 2 3 4 2 12" xfId="43192" xr:uid="{00000000-0005-0000-0000-0000E8A80000}"/>
    <cellStyle name="货币 2 3 4 2 13" xfId="40290" xr:uid="{00000000-0005-0000-0000-0000929D0000}"/>
    <cellStyle name="货币 2 3 4 2 14" xfId="43193" xr:uid="{00000000-0005-0000-0000-0000E9A80000}"/>
    <cellStyle name="货币 2 3 4 2 15" xfId="43195" xr:uid="{00000000-0005-0000-0000-0000EBA80000}"/>
    <cellStyle name="货币 2 3 4 2 16" xfId="30829" xr:uid="{00000000-0005-0000-0000-00009D780000}"/>
    <cellStyle name="货币 2 3 4 2 17" xfId="30833" xr:uid="{00000000-0005-0000-0000-0000A1780000}"/>
    <cellStyle name="货币 2 3 4 2 18" xfId="30836" xr:uid="{00000000-0005-0000-0000-0000A4780000}"/>
    <cellStyle name="货币 2 3 4 2 19" xfId="30838" xr:uid="{00000000-0005-0000-0000-0000A6780000}"/>
    <cellStyle name="货币 2 3 4 2 2" xfId="43196" xr:uid="{00000000-0005-0000-0000-0000ECA80000}"/>
    <cellStyle name="货币 2 3 4 2 2 10" xfId="31423" xr:uid="{00000000-0005-0000-0000-0000EF7A0000}"/>
    <cellStyle name="货币 2 3 4 2 2 11" xfId="31425" xr:uid="{00000000-0005-0000-0000-0000F17A0000}"/>
    <cellStyle name="货币 2 3 4 2 2 12" xfId="31636" xr:uid="{00000000-0005-0000-0000-0000C47B0000}"/>
    <cellStyle name="货币 2 3 4 2 2 13" xfId="31646" xr:uid="{00000000-0005-0000-0000-0000CE7B0000}"/>
    <cellStyle name="货币 2 3 4 2 2 14" xfId="31699" xr:uid="{00000000-0005-0000-0000-0000037C0000}"/>
    <cellStyle name="货币 2 3 4 2 2 15" xfId="30449" xr:uid="{00000000-0005-0000-0000-000021770000}"/>
    <cellStyle name="货币 2 3 4 2 2 16" xfId="26465" xr:uid="{00000000-0005-0000-0000-000091670000}"/>
    <cellStyle name="货币 2 3 4 2 2 17" xfId="26472" xr:uid="{00000000-0005-0000-0000-000098670000}"/>
    <cellStyle name="货币 2 3 4 2 2 18" xfId="26474" xr:uid="{00000000-0005-0000-0000-00009A670000}"/>
    <cellStyle name="货币 2 3 4 2 2 2" xfId="43197" xr:uid="{00000000-0005-0000-0000-0000EDA80000}"/>
    <cellStyle name="货币 2 3 4 2 2 2 10" xfId="43198" xr:uid="{00000000-0005-0000-0000-0000EEA80000}"/>
    <cellStyle name="货币 2 3 4 2 2 2 11" xfId="43200" xr:uid="{00000000-0005-0000-0000-0000F0A80000}"/>
    <cellStyle name="货币 2 3 4 2 2 2 12" xfId="43202" xr:uid="{00000000-0005-0000-0000-0000F2A80000}"/>
    <cellStyle name="货币 2 3 4 2 2 2 2" xfId="43203" xr:uid="{00000000-0005-0000-0000-0000F3A80000}"/>
    <cellStyle name="货币 2 3 4 2 2 2 2 2" xfId="43204" xr:uid="{00000000-0005-0000-0000-0000F4A80000}"/>
    <cellStyle name="货币 2 3 4 2 2 2 2 2 2" xfId="21710" xr:uid="{00000000-0005-0000-0000-0000FE540000}"/>
    <cellStyle name="货币 2 3 4 2 2 2 2 3" xfId="43205" xr:uid="{00000000-0005-0000-0000-0000F5A80000}"/>
    <cellStyle name="货币 2 3 4 2 2 2 2 4" xfId="43206" xr:uid="{00000000-0005-0000-0000-0000F6A80000}"/>
    <cellStyle name="货币 2 3 4 2 2 2 2 5" xfId="43207" xr:uid="{00000000-0005-0000-0000-0000F7A80000}"/>
    <cellStyle name="货币 2 3 4 2 2 2 3" xfId="43208" xr:uid="{00000000-0005-0000-0000-0000F8A80000}"/>
    <cellStyle name="货币 2 3 4 2 2 2 3 2" xfId="37985" xr:uid="{00000000-0005-0000-0000-000091940000}"/>
    <cellStyle name="货币 2 3 4 2 2 2 4" xfId="43209" xr:uid="{00000000-0005-0000-0000-0000F9A80000}"/>
    <cellStyle name="货币 2 3 4 2 2 2 5" xfId="43210" xr:uid="{00000000-0005-0000-0000-0000FAA80000}"/>
    <cellStyle name="货币 2 3 4 2 2 2 6" xfId="4246" xr:uid="{00000000-0005-0000-0000-0000C6100000}"/>
    <cellStyle name="货币 2 3 4 2 2 2 7" xfId="1100" xr:uid="{00000000-0005-0000-0000-00007C040000}"/>
    <cellStyle name="货币 2 3 4 2 2 2 8" xfId="4342" xr:uid="{00000000-0005-0000-0000-000026110000}"/>
    <cellStyle name="货币 2 3 4 2 2 2 9" xfId="3464" xr:uid="{00000000-0005-0000-0000-0000B80D0000}"/>
    <cellStyle name="货币 2 3 4 2 2 3" xfId="43211" xr:uid="{00000000-0005-0000-0000-0000FBA80000}"/>
    <cellStyle name="货币 2 3 4 2 2 3 10" xfId="43212" xr:uid="{00000000-0005-0000-0000-0000FCA80000}"/>
    <cellStyle name="货币 2 3 4 2 2 3 11" xfId="43214" xr:uid="{00000000-0005-0000-0000-0000FEA80000}"/>
    <cellStyle name="货币 2 3 4 2 2 3 12" xfId="43216" xr:uid="{00000000-0005-0000-0000-000000A90000}"/>
    <cellStyle name="货币 2 3 4 2 2 3 2" xfId="43217" xr:uid="{00000000-0005-0000-0000-000001A90000}"/>
    <cellStyle name="货币 2 3 4 2 2 3 2 2" xfId="43218" xr:uid="{00000000-0005-0000-0000-000002A90000}"/>
    <cellStyle name="货币 2 3 4 2 2 3 2 2 2" xfId="22111" xr:uid="{00000000-0005-0000-0000-00008F560000}"/>
    <cellStyle name="货币 2 3 4 2 2 3 2 3" xfId="43219" xr:uid="{00000000-0005-0000-0000-000003A90000}"/>
    <cellStyle name="货币 2 3 4 2 2 3 2 4" xfId="43220" xr:uid="{00000000-0005-0000-0000-000004A90000}"/>
    <cellStyle name="货币 2 3 4 2 2 3 2 5" xfId="43221" xr:uid="{00000000-0005-0000-0000-000005A90000}"/>
    <cellStyle name="货币 2 3 4 2 2 3 3" xfId="43222" xr:uid="{00000000-0005-0000-0000-000006A90000}"/>
    <cellStyle name="货币 2 3 4 2 2 3 3 2" xfId="23778" xr:uid="{00000000-0005-0000-0000-0000125D0000}"/>
    <cellStyle name="货币 2 3 4 2 2 3 4" xfId="43223" xr:uid="{00000000-0005-0000-0000-000007A90000}"/>
    <cellStyle name="货币 2 3 4 2 2 3 5" xfId="43224" xr:uid="{00000000-0005-0000-0000-000008A90000}"/>
    <cellStyle name="货币 2 3 4 2 2 3 6" xfId="22582" xr:uid="{00000000-0005-0000-0000-000066580000}"/>
    <cellStyle name="货币 2 3 4 2 2 3 7" xfId="43225" xr:uid="{00000000-0005-0000-0000-000009A90000}"/>
    <cellStyle name="货币 2 3 4 2 2 3 8" xfId="43227" xr:uid="{00000000-0005-0000-0000-00000BA90000}"/>
    <cellStyle name="货币 2 3 4 2 2 3 9" xfId="43228" xr:uid="{00000000-0005-0000-0000-00000CA90000}"/>
    <cellStyle name="货币 2 3 4 2 2 4" xfId="43229" xr:uid="{00000000-0005-0000-0000-00000DA90000}"/>
    <cellStyle name="货币 2 3 4 2 2 4 10" xfId="23962" xr:uid="{00000000-0005-0000-0000-0000CA5D0000}"/>
    <cellStyle name="货币 2 3 4 2 2 4 2" xfId="37549" xr:uid="{00000000-0005-0000-0000-0000DD920000}"/>
    <cellStyle name="货币 2 3 4 2 2 4 2 2" xfId="43230" xr:uid="{00000000-0005-0000-0000-00000EA90000}"/>
    <cellStyle name="货币 2 3 4 2 2 4 2 2 2" xfId="22418" xr:uid="{00000000-0005-0000-0000-0000C2570000}"/>
    <cellStyle name="货币 2 3 4 2 2 4 2 3" xfId="43231" xr:uid="{00000000-0005-0000-0000-00000FA90000}"/>
    <cellStyle name="货币 2 3 4 2 2 4 2 4" xfId="43232" xr:uid="{00000000-0005-0000-0000-000010A90000}"/>
    <cellStyle name="货币 2 3 4 2 2 4 2 5" xfId="43233" xr:uid="{00000000-0005-0000-0000-000011A90000}"/>
    <cellStyle name="货币 2 3 4 2 2 4 3" xfId="37551" xr:uid="{00000000-0005-0000-0000-0000DF920000}"/>
    <cellStyle name="货币 2 3 4 2 2 4 3 2" xfId="35561" xr:uid="{00000000-0005-0000-0000-0000198B0000}"/>
    <cellStyle name="货币 2 3 4 2 2 4 4" xfId="43234" xr:uid="{00000000-0005-0000-0000-000012A90000}"/>
    <cellStyle name="货币 2 3 4 2 2 4 5" xfId="43235" xr:uid="{00000000-0005-0000-0000-000013A90000}"/>
    <cellStyle name="货币 2 3 4 2 2 4 6" xfId="540" xr:uid="{00000000-0005-0000-0000-000040020000}"/>
    <cellStyle name="货币 2 3 4 2 2 4 7" xfId="12" xr:uid="{00000000-0005-0000-0000-00000D000000}"/>
    <cellStyle name="货币 2 3 4 2 2 4 8" xfId="596" xr:uid="{00000000-0005-0000-0000-00007D020000}"/>
    <cellStyle name="货币 2 3 4 2 2 4 9" xfId="503" xr:uid="{00000000-0005-0000-0000-000017020000}"/>
    <cellStyle name="货币 2 3 4 2 2 5" xfId="43236" xr:uid="{00000000-0005-0000-0000-000014A90000}"/>
    <cellStyle name="货币 2 3 4 2 2 5 10" xfId="43238" xr:uid="{00000000-0005-0000-0000-000016A90000}"/>
    <cellStyle name="货币 2 3 4 2 2 5 2" xfId="43239" xr:uid="{00000000-0005-0000-0000-000017A90000}"/>
    <cellStyle name="货币 2 3 4 2 2 5 2 2" xfId="43240" xr:uid="{00000000-0005-0000-0000-000018A90000}"/>
    <cellStyle name="货币 2 3 4 2 2 5 2 2 2" xfId="43226" xr:uid="{00000000-0005-0000-0000-00000AA90000}"/>
    <cellStyle name="货币 2 3 4 2 2 5 2 3" xfId="43241" xr:uid="{00000000-0005-0000-0000-000019A90000}"/>
    <cellStyle name="货币 2 3 4 2 2 5 2 4" xfId="43242" xr:uid="{00000000-0005-0000-0000-00001AA90000}"/>
    <cellStyle name="货币 2 3 4 2 2 5 2 5" xfId="43243" xr:uid="{00000000-0005-0000-0000-00001BA90000}"/>
    <cellStyle name="货币 2 3 4 2 2 5 3" xfId="43244" xr:uid="{00000000-0005-0000-0000-00001CA90000}"/>
    <cellStyle name="货币 2 3 4 2 2 5 3 2" xfId="38041" xr:uid="{00000000-0005-0000-0000-0000C9940000}"/>
    <cellStyle name="货币 2 3 4 2 2 5 4" xfId="43245" xr:uid="{00000000-0005-0000-0000-00001DA90000}"/>
    <cellStyle name="货币 2 3 4 2 2 5 5" xfId="4462" xr:uid="{00000000-0005-0000-0000-00009E110000}"/>
    <cellStyle name="货币 2 3 4 2 2 5 6" xfId="2105" xr:uid="{00000000-0005-0000-0000-000069080000}"/>
    <cellStyle name="货币 2 3 4 2 2 5 7" xfId="2126" xr:uid="{00000000-0005-0000-0000-00007E080000}"/>
    <cellStyle name="货币 2 3 4 2 2 5 8" xfId="2132" xr:uid="{00000000-0005-0000-0000-000084080000}"/>
    <cellStyle name="货币 2 3 4 2 2 5 9" xfId="2151" xr:uid="{00000000-0005-0000-0000-000097080000}"/>
    <cellStyle name="货币 2 3 4 2 2 6" xfId="43246" xr:uid="{00000000-0005-0000-0000-00001EA90000}"/>
    <cellStyle name="货币 2 3 4 2 2 6 2" xfId="7848" xr:uid="{00000000-0005-0000-0000-0000D81E0000}"/>
    <cellStyle name="货币 2 3 4 2 2 6 2 2" xfId="43247" xr:uid="{00000000-0005-0000-0000-00001FA90000}"/>
    <cellStyle name="货币 2 3 4 2 2 6 3" xfId="7873" xr:uid="{00000000-0005-0000-0000-0000F11E0000}"/>
    <cellStyle name="货币 2 3 4 2 2 6 4" xfId="7876" xr:uid="{00000000-0005-0000-0000-0000F41E0000}"/>
    <cellStyle name="货币 2 3 4 2 2 6 5" xfId="4466" xr:uid="{00000000-0005-0000-0000-0000A2110000}"/>
    <cellStyle name="货币 2 3 4 2 2 6 6" xfId="2282" xr:uid="{00000000-0005-0000-0000-00001A090000}"/>
    <cellStyle name="货币 2 3 4 2 2 6 7" xfId="16698" xr:uid="{00000000-0005-0000-0000-00006A410000}"/>
    <cellStyle name="货币 2 3 4 2 2 6 8" xfId="22359" xr:uid="{00000000-0005-0000-0000-000087570000}"/>
    <cellStyle name="货币 2 3 4 2 2 6 9" xfId="22382" xr:uid="{00000000-0005-0000-0000-00009E570000}"/>
    <cellStyle name="货币 2 3 4 2 2 7" xfId="43248" xr:uid="{00000000-0005-0000-0000-000020A90000}"/>
    <cellStyle name="货币 2 3 4 2 2 7 2" xfId="43249" xr:uid="{00000000-0005-0000-0000-000021A90000}"/>
    <cellStyle name="货币 2 3 4 2 2 8" xfId="43250" xr:uid="{00000000-0005-0000-0000-000022A90000}"/>
    <cellStyle name="货币 2 3 4 2 2 9" xfId="43251" xr:uid="{00000000-0005-0000-0000-000023A90000}"/>
    <cellStyle name="货币 2 3 4 2 20" xfId="43194" xr:uid="{00000000-0005-0000-0000-0000EAA80000}"/>
    <cellStyle name="货币 2 3 4 2 21" xfId="30828" xr:uid="{00000000-0005-0000-0000-00009C780000}"/>
    <cellStyle name="货币 2 3 4 2 22" xfId="30832" xr:uid="{00000000-0005-0000-0000-0000A0780000}"/>
    <cellStyle name="货币 2 3 4 2 23" xfId="30835" xr:uid="{00000000-0005-0000-0000-0000A3780000}"/>
    <cellStyle name="货币 2 3 4 2 3" xfId="43252" xr:uid="{00000000-0005-0000-0000-000024A90000}"/>
    <cellStyle name="货币 2 3 4 2 3 10" xfId="43253" xr:uid="{00000000-0005-0000-0000-000025A90000}"/>
    <cellStyle name="货币 2 3 4 2 3 11" xfId="43254" xr:uid="{00000000-0005-0000-0000-000026A90000}"/>
    <cellStyle name="货币 2 3 4 2 3 12" xfId="43255" xr:uid="{00000000-0005-0000-0000-000027A90000}"/>
    <cellStyle name="货币 2 3 4 2 3 13" xfId="42888" xr:uid="{00000000-0005-0000-0000-0000B8A70000}"/>
    <cellStyle name="货币 2 3 4 2 3 14" xfId="42890" xr:uid="{00000000-0005-0000-0000-0000BAA70000}"/>
    <cellStyle name="货币 2 3 4 2 3 15" xfId="42892" xr:uid="{00000000-0005-0000-0000-0000BCA70000}"/>
    <cellStyle name="货币 2 3 4 2 3 16" xfId="42894" xr:uid="{00000000-0005-0000-0000-0000BEA70000}"/>
    <cellStyle name="货币 2 3 4 2 3 17" xfId="42896" xr:uid="{00000000-0005-0000-0000-0000C0A70000}"/>
    <cellStyle name="货币 2 3 4 2 3 18" xfId="43256" xr:uid="{00000000-0005-0000-0000-000028A90000}"/>
    <cellStyle name="货币 2 3 4 2 3 2" xfId="43257" xr:uid="{00000000-0005-0000-0000-000029A90000}"/>
    <cellStyle name="货币 2 3 4 2 3 2 10" xfId="33391" xr:uid="{00000000-0005-0000-0000-00009F820000}"/>
    <cellStyle name="货币 2 3 4 2 3 2 2" xfId="43258" xr:uid="{00000000-0005-0000-0000-00002AA90000}"/>
    <cellStyle name="货币 2 3 4 2 3 2 2 2" xfId="43259" xr:uid="{00000000-0005-0000-0000-00002BA90000}"/>
    <cellStyle name="货币 2 3 4 2 3 2 3" xfId="43261" xr:uid="{00000000-0005-0000-0000-00002DA90000}"/>
    <cellStyle name="货币 2 3 4 2 3 2 4" xfId="43263" xr:uid="{00000000-0005-0000-0000-00002FA90000}"/>
    <cellStyle name="货币 2 3 4 2 3 2 5" xfId="43265" xr:uid="{00000000-0005-0000-0000-000031A90000}"/>
    <cellStyle name="货币 2 3 4 2 3 2 6" xfId="20264" xr:uid="{00000000-0005-0000-0000-0000584F0000}"/>
    <cellStyle name="货币 2 3 4 2 3 2 7" xfId="20297" xr:uid="{00000000-0005-0000-0000-0000794F0000}"/>
    <cellStyle name="货币 2 3 4 2 3 2 8" xfId="29" xr:uid="{00000000-0005-0000-0000-00001F000000}"/>
    <cellStyle name="货币 2 3 4 2 3 2 9" xfId="20313" xr:uid="{00000000-0005-0000-0000-0000894F0000}"/>
    <cellStyle name="货币 2 3 4 2 3 3" xfId="43266" xr:uid="{00000000-0005-0000-0000-000032A90000}"/>
    <cellStyle name="货币 2 3 4 2 3 3 2" xfId="43267" xr:uid="{00000000-0005-0000-0000-000033A90000}"/>
    <cellStyle name="货币 2 3 4 2 3 3 3" xfId="43269" xr:uid="{00000000-0005-0000-0000-000035A90000}"/>
    <cellStyle name="货币 2 3 4 2 3 3 4" xfId="43271" xr:uid="{00000000-0005-0000-0000-000037A90000}"/>
    <cellStyle name="货币 2 3 4 2 3 3 5" xfId="43273" xr:uid="{00000000-0005-0000-0000-000039A90000}"/>
    <cellStyle name="货币 2 3 4 2 3 3 6" xfId="22586" xr:uid="{00000000-0005-0000-0000-00006A580000}"/>
    <cellStyle name="货币 2 3 4 2 3 4" xfId="43274" xr:uid="{00000000-0005-0000-0000-00003AA90000}"/>
    <cellStyle name="货币 2 3 4 2 3 4 2" xfId="31671" xr:uid="{00000000-0005-0000-0000-0000E77B0000}"/>
    <cellStyle name="货币 2 3 4 2 3 4 3" xfId="37559" xr:uid="{00000000-0005-0000-0000-0000E7920000}"/>
    <cellStyle name="货币 2 3 4 2 3 4 4" xfId="43276" xr:uid="{00000000-0005-0000-0000-00003CA90000}"/>
    <cellStyle name="货币 2 3 4 2 3 4 5" xfId="43278" xr:uid="{00000000-0005-0000-0000-00003EA90000}"/>
    <cellStyle name="货币 2 3 4 2 3 4 6" xfId="2403" xr:uid="{00000000-0005-0000-0000-000093090000}"/>
    <cellStyle name="货币 2 3 4 2 3 5" xfId="43279" xr:uid="{00000000-0005-0000-0000-00003FA90000}"/>
    <cellStyle name="货币 2 3 4 2 3 5 2" xfId="43280" xr:uid="{00000000-0005-0000-0000-000040A90000}"/>
    <cellStyle name="货币 2 3 4 2 3 5 3" xfId="43282" xr:uid="{00000000-0005-0000-0000-000042A90000}"/>
    <cellStyle name="货币 2 3 4 2 3 5 4" xfId="37343" xr:uid="{00000000-0005-0000-0000-00000F920000}"/>
    <cellStyle name="货币 2 3 4 2 3 5 5" xfId="15363" xr:uid="{00000000-0005-0000-0000-0000333C0000}"/>
    <cellStyle name="货币 2 3 4 2 3 5 6" xfId="2421" xr:uid="{00000000-0005-0000-0000-0000A5090000}"/>
    <cellStyle name="货币 2 3 4 2 3 6" xfId="43283" xr:uid="{00000000-0005-0000-0000-000043A90000}"/>
    <cellStyle name="货币 2 3 4 2 3 6 2" xfId="17723" xr:uid="{00000000-0005-0000-0000-00006B450000}"/>
    <cellStyle name="货币 2 3 4 2 3 6 3" xfId="17729" xr:uid="{00000000-0005-0000-0000-000071450000}"/>
    <cellStyle name="货币 2 3 4 2 3 6 4" xfId="43284" xr:uid="{00000000-0005-0000-0000-000044A90000}"/>
    <cellStyle name="货币 2 3 4 2 3 6 5" xfId="15372" xr:uid="{00000000-0005-0000-0000-00003C3C0000}"/>
    <cellStyle name="货币 2 3 4 2 3 6 6" xfId="2432" xr:uid="{00000000-0005-0000-0000-0000B0090000}"/>
    <cellStyle name="货币 2 3 4 2 3 7" xfId="30844" xr:uid="{00000000-0005-0000-0000-0000AC780000}"/>
    <cellStyle name="货币 2 3 4 2 3 8" xfId="30850" xr:uid="{00000000-0005-0000-0000-0000B2780000}"/>
    <cellStyle name="货币 2 3 4 2 3 9" xfId="26272" xr:uid="{00000000-0005-0000-0000-0000D0660000}"/>
    <cellStyle name="货币 2 3 4 2 4" xfId="43285" xr:uid="{00000000-0005-0000-0000-000045A90000}"/>
    <cellStyle name="货币 2 3 4 2 4 10" xfId="43286" xr:uid="{00000000-0005-0000-0000-000046A90000}"/>
    <cellStyle name="货币 2 3 4 2 4 11" xfId="43287" xr:uid="{00000000-0005-0000-0000-000047A90000}"/>
    <cellStyle name="货币 2 3 4 2 4 12" xfId="32359" xr:uid="{00000000-0005-0000-0000-0000977E0000}"/>
    <cellStyle name="货币 2 3 4 2 4 13" xfId="32386" xr:uid="{00000000-0005-0000-0000-0000B27E0000}"/>
    <cellStyle name="货币 2 3 4 2 4 14" xfId="32388" xr:uid="{00000000-0005-0000-0000-0000B47E0000}"/>
    <cellStyle name="货币 2 3 4 2 4 15" xfId="10448" xr:uid="{00000000-0005-0000-0000-000000290000}"/>
    <cellStyle name="货币 2 3 4 2 4 2" xfId="31685" xr:uid="{00000000-0005-0000-0000-0000F57B0000}"/>
    <cellStyle name="货币 2 3 4 2 4 2 2" xfId="32298" xr:uid="{00000000-0005-0000-0000-00005A7E0000}"/>
    <cellStyle name="货币 2 3 4 2 4 2 2 2" xfId="43288" xr:uid="{00000000-0005-0000-0000-000048A90000}"/>
    <cellStyle name="货币 2 3 4 2 4 2 3" xfId="43290" xr:uid="{00000000-0005-0000-0000-00004AA90000}"/>
    <cellStyle name="货币 2 3 4 2 4 2 4" xfId="22048" xr:uid="{00000000-0005-0000-0000-000050560000}"/>
    <cellStyle name="货币 2 3 4 2 4 2 5" xfId="43292" xr:uid="{00000000-0005-0000-0000-00004CA90000}"/>
    <cellStyle name="货币 2 3 4 2 4 2 6" xfId="22591" xr:uid="{00000000-0005-0000-0000-00006F580000}"/>
    <cellStyle name="货币 2 3 4 2 4 2 7" xfId="43294" xr:uid="{00000000-0005-0000-0000-00004EA90000}"/>
    <cellStyle name="货币 2 3 4 2 4 2 8" xfId="43295" xr:uid="{00000000-0005-0000-0000-00004FA90000}"/>
    <cellStyle name="货币 2 3 4 2 4 2 9" xfId="43296" xr:uid="{00000000-0005-0000-0000-000050A90000}"/>
    <cellStyle name="货币 2 3 4 2 4 3" xfId="4202" xr:uid="{00000000-0005-0000-0000-00009A100000}"/>
    <cellStyle name="货币 2 3 4 2 4 3 2" xfId="43298" xr:uid="{00000000-0005-0000-0000-000052A90000}"/>
    <cellStyle name="货币 2 3 4 2 4 3 3" xfId="43301" xr:uid="{00000000-0005-0000-0000-000055A90000}"/>
    <cellStyle name="货币 2 3 4 2 4 3 4" xfId="43303" xr:uid="{00000000-0005-0000-0000-000057A90000}"/>
    <cellStyle name="货币 2 3 4 2 4 3 5" xfId="43305" xr:uid="{00000000-0005-0000-0000-000059A90000}"/>
    <cellStyle name="货币 2 3 4 2 4 3 6" xfId="43307" xr:uid="{00000000-0005-0000-0000-00005BA90000}"/>
    <cellStyle name="货币 2 3 4 2 4 4" xfId="32300" xr:uid="{00000000-0005-0000-0000-00005C7E0000}"/>
    <cellStyle name="货币 2 3 4 2 4 4 2" xfId="37578" xr:uid="{00000000-0005-0000-0000-0000FA920000}"/>
    <cellStyle name="货币 2 3 4 2 4 5" xfId="32302" xr:uid="{00000000-0005-0000-0000-00005E7E0000}"/>
    <cellStyle name="货币 2 3 4 2 4 6" xfId="43308" xr:uid="{00000000-0005-0000-0000-00005CA90000}"/>
    <cellStyle name="货币 2 3 4 2 4 7" xfId="23347" xr:uid="{00000000-0005-0000-0000-0000635B0000}"/>
    <cellStyle name="货币 2 3 4 2 4 8" xfId="30854" xr:uid="{00000000-0005-0000-0000-0000B6780000}"/>
    <cellStyle name="货币 2 3 4 2 4 9" xfId="30857" xr:uid="{00000000-0005-0000-0000-0000B9780000}"/>
    <cellStyle name="货币 2 3 4 2 5" xfId="43309" xr:uid="{00000000-0005-0000-0000-00005DA90000}"/>
    <cellStyle name="货币 2 3 4 2 5 10" xfId="36260" xr:uid="{00000000-0005-0000-0000-0000D48D0000}"/>
    <cellStyle name="货币 2 3 4 2 5 11" xfId="43311" xr:uid="{00000000-0005-0000-0000-00005FA90000}"/>
    <cellStyle name="货币 2 3 4 2 5 12" xfId="32431" xr:uid="{00000000-0005-0000-0000-0000DF7E0000}"/>
    <cellStyle name="货币 2 3 4 2 5 13" xfId="43313" xr:uid="{00000000-0005-0000-0000-000061A90000}"/>
    <cellStyle name="货币 2 3 4 2 5 2" xfId="31694" xr:uid="{00000000-0005-0000-0000-0000FE7B0000}"/>
    <cellStyle name="货币 2 3 4 2 5 2 2" xfId="43314" xr:uid="{00000000-0005-0000-0000-000062A90000}"/>
    <cellStyle name="货币 2 3 4 2 5 2 2 2" xfId="43315" xr:uid="{00000000-0005-0000-0000-000063A90000}"/>
    <cellStyle name="货币 2 3 4 2 5 2 3" xfId="43317" xr:uid="{00000000-0005-0000-0000-000065A90000}"/>
    <cellStyle name="货币 2 3 4 2 5 2 4" xfId="43319" xr:uid="{00000000-0005-0000-0000-000067A90000}"/>
    <cellStyle name="货币 2 3 4 2 5 2 5" xfId="43321" xr:uid="{00000000-0005-0000-0000-000069A90000}"/>
    <cellStyle name="货币 2 3 4 2 5 2 6" xfId="43323" xr:uid="{00000000-0005-0000-0000-00006BA90000}"/>
    <cellStyle name="货币 2 3 4 2 5 2 7" xfId="36346" xr:uid="{00000000-0005-0000-0000-00002A8E0000}"/>
    <cellStyle name="货币 2 3 4 2 5 2 8" xfId="36350" xr:uid="{00000000-0005-0000-0000-00002E8E0000}"/>
    <cellStyle name="货币 2 3 4 2 5 2 9" xfId="36354" xr:uid="{00000000-0005-0000-0000-0000328E0000}"/>
    <cellStyle name="货币 2 3 4 2 5 3" xfId="43324" xr:uid="{00000000-0005-0000-0000-00006CA90000}"/>
    <cellStyle name="货币 2 3 4 2 5 3 2" xfId="43325" xr:uid="{00000000-0005-0000-0000-00006DA90000}"/>
    <cellStyle name="货币 2 3 4 2 5 3 3" xfId="43327" xr:uid="{00000000-0005-0000-0000-00006FA90000}"/>
    <cellStyle name="货币 2 3 4 2 5 3 4" xfId="43328" xr:uid="{00000000-0005-0000-0000-000070A90000}"/>
    <cellStyle name="货币 2 3 4 2 5 3 5" xfId="43329" xr:uid="{00000000-0005-0000-0000-000071A90000}"/>
    <cellStyle name="货币 2 3 4 2 5 3 6" xfId="43330" xr:uid="{00000000-0005-0000-0000-000072A90000}"/>
    <cellStyle name="货币 2 3 4 2 5 4" xfId="43331" xr:uid="{00000000-0005-0000-0000-000073A90000}"/>
    <cellStyle name="货币 2 3 4 2 5 4 2" xfId="43332" xr:uid="{00000000-0005-0000-0000-000074A90000}"/>
    <cellStyle name="货币 2 3 4 2 5 5" xfId="42677" xr:uid="{00000000-0005-0000-0000-0000E5A60000}"/>
    <cellStyle name="货币 2 3 4 2 5 6" xfId="42681" xr:uid="{00000000-0005-0000-0000-0000E9A60000}"/>
    <cellStyle name="货币 2 3 4 2 5 7" xfId="30859" xr:uid="{00000000-0005-0000-0000-0000BB780000}"/>
    <cellStyle name="货币 2 3 4 2 5 8" xfId="30863" xr:uid="{00000000-0005-0000-0000-0000BF780000}"/>
    <cellStyle name="货币 2 3 4 2 5 9" xfId="30867" xr:uid="{00000000-0005-0000-0000-0000C3780000}"/>
    <cellStyle name="货币 2 3 4 2 6" xfId="43333" xr:uid="{00000000-0005-0000-0000-000075A90000}"/>
    <cellStyle name="货币 2 3 4 2 6 10" xfId="36407" xr:uid="{00000000-0005-0000-0000-0000678E0000}"/>
    <cellStyle name="货币 2 3 4 2 6 11" xfId="43334" xr:uid="{00000000-0005-0000-0000-000076A90000}"/>
    <cellStyle name="货币 2 3 4 2 6 12" xfId="43335" xr:uid="{00000000-0005-0000-0000-000077A90000}"/>
    <cellStyle name="货币 2 3 4 2 6 2" xfId="12604" xr:uid="{00000000-0005-0000-0000-00006C310000}"/>
    <cellStyle name="货币 2 3 4 2 6 2 2" xfId="40500" xr:uid="{00000000-0005-0000-0000-0000649E0000}"/>
    <cellStyle name="货币 2 3 4 2 6 2 2 2" xfId="43336" xr:uid="{00000000-0005-0000-0000-000078A90000}"/>
    <cellStyle name="货币 2 3 4 2 6 2 3" xfId="43338" xr:uid="{00000000-0005-0000-0000-00007AA90000}"/>
    <cellStyle name="货币 2 3 4 2 6 2 4" xfId="43340" xr:uid="{00000000-0005-0000-0000-00007CA90000}"/>
    <cellStyle name="货币 2 3 4 2 6 2 5" xfId="43342" xr:uid="{00000000-0005-0000-0000-00007EA90000}"/>
    <cellStyle name="货币 2 3 4 2 6 2 6" xfId="43344" xr:uid="{00000000-0005-0000-0000-000080A90000}"/>
    <cellStyle name="货币 2 3 4 2 6 2 7" xfId="36488" xr:uid="{00000000-0005-0000-0000-0000B88E0000}"/>
    <cellStyle name="货币 2 3 4 2 6 2 8" xfId="36494" xr:uid="{00000000-0005-0000-0000-0000BE8E0000}"/>
    <cellStyle name="货币 2 3 4 2 6 2 9" xfId="36499" xr:uid="{00000000-0005-0000-0000-0000C38E0000}"/>
    <cellStyle name="货币 2 3 4 2 6 3" xfId="12611" xr:uid="{00000000-0005-0000-0000-000073310000}"/>
    <cellStyle name="货币 2 3 4 2 6 3 2" xfId="43345" xr:uid="{00000000-0005-0000-0000-000081A90000}"/>
    <cellStyle name="货币 2 3 4 2 6 3 3" xfId="43347" xr:uid="{00000000-0005-0000-0000-000083A90000}"/>
    <cellStyle name="货币 2 3 4 2 6 3 4" xfId="43348" xr:uid="{00000000-0005-0000-0000-000084A90000}"/>
    <cellStyle name="货币 2 3 4 2 6 3 5" xfId="43349" xr:uid="{00000000-0005-0000-0000-000085A90000}"/>
    <cellStyle name="货币 2 3 4 2 6 3 6" xfId="43350" xr:uid="{00000000-0005-0000-0000-000086A90000}"/>
    <cellStyle name="货币 2 3 4 2 6 4" xfId="2359" xr:uid="{00000000-0005-0000-0000-000067090000}"/>
    <cellStyle name="货币 2 3 4 2 6 4 2" xfId="43351" xr:uid="{00000000-0005-0000-0000-000087A90000}"/>
    <cellStyle name="货币 2 3 4 2 6 5" xfId="10520" xr:uid="{00000000-0005-0000-0000-000048290000}"/>
    <cellStyle name="货币 2 3 4 2 6 6" xfId="10531" xr:uid="{00000000-0005-0000-0000-000053290000}"/>
    <cellStyle name="货币 2 3 4 2 6 7" xfId="10533" xr:uid="{00000000-0005-0000-0000-000055290000}"/>
    <cellStyle name="货币 2 3 4 2 6 8" xfId="43352" xr:uid="{00000000-0005-0000-0000-000088A90000}"/>
    <cellStyle name="货币 2 3 4 2 6 9" xfId="43353" xr:uid="{00000000-0005-0000-0000-000089A90000}"/>
    <cellStyle name="货币 2 3 4 2 7" xfId="43354" xr:uid="{00000000-0005-0000-0000-00008AA90000}"/>
    <cellStyle name="货币 2 3 4 2 7 2" xfId="12622" xr:uid="{00000000-0005-0000-0000-00007E310000}"/>
    <cellStyle name="货币 2 3 4 2 7 2 2" xfId="43355" xr:uid="{00000000-0005-0000-0000-00008BA90000}"/>
    <cellStyle name="货币 2 3 4 2 7 3" xfId="12624" xr:uid="{00000000-0005-0000-0000-000080310000}"/>
    <cellStyle name="货币 2 3 4 2 7 4" xfId="2379" xr:uid="{00000000-0005-0000-0000-00007B090000}"/>
    <cellStyle name="货币 2 3 4 2 7 5" xfId="28161" xr:uid="{00000000-0005-0000-0000-0000316E0000}"/>
    <cellStyle name="货币 2 3 4 2 7 6" xfId="43356" xr:uid="{00000000-0005-0000-0000-00008CA90000}"/>
    <cellStyle name="货币 2 3 4 2 7 7" xfId="30869" xr:uid="{00000000-0005-0000-0000-0000C5780000}"/>
    <cellStyle name="货币 2 3 4 2 7 8" xfId="43357" xr:uid="{00000000-0005-0000-0000-00008DA90000}"/>
    <cellStyle name="货币 2 3 4 2 7 9" xfId="43358" xr:uid="{00000000-0005-0000-0000-00008EA90000}"/>
    <cellStyle name="货币 2 3 4 2 8" xfId="43359" xr:uid="{00000000-0005-0000-0000-00008FA90000}"/>
    <cellStyle name="货币 2 3 4 2 8 2" xfId="43360" xr:uid="{00000000-0005-0000-0000-000090A90000}"/>
    <cellStyle name="货币 2 3 4 2 8 3" xfId="43362" xr:uid="{00000000-0005-0000-0000-000092A90000}"/>
    <cellStyle name="货币 2 3 4 2 8 4" xfId="43363" xr:uid="{00000000-0005-0000-0000-000093A90000}"/>
    <cellStyle name="货币 2 3 4 2 8 5" xfId="43364" xr:uid="{00000000-0005-0000-0000-000094A90000}"/>
    <cellStyle name="货币 2 3 4 2 8 6" xfId="43365" xr:uid="{00000000-0005-0000-0000-000095A90000}"/>
    <cellStyle name="货币 2 3 4 2 9" xfId="43366" xr:uid="{00000000-0005-0000-0000-000096A90000}"/>
    <cellStyle name="货币 2 3 4 2 9 2" xfId="43367" xr:uid="{00000000-0005-0000-0000-000097A90000}"/>
    <cellStyle name="货币 2 3 4 2 9 3" xfId="43368" xr:uid="{00000000-0005-0000-0000-000098A90000}"/>
    <cellStyle name="货币 2 3 4 2 9 4" xfId="43369" xr:uid="{00000000-0005-0000-0000-000099A90000}"/>
    <cellStyle name="货币 2 3 4 2 9 5" xfId="43370" xr:uid="{00000000-0005-0000-0000-00009AA90000}"/>
    <cellStyle name="货币 2 3 4 2 9 6" xfId="43371" xr:uid="{00000000-0005-0000-0000-00009BA90000}"/>
    <cellStyle name="货币 2 3 4 20" xfId="43172" xr:uid="{00000000-0005-0000-0000-0000D4A80000}"/>
    <cellStyle name="货币 2 3 4 21" xfId="43174" xr:uid="{00000000-0005-0000-0000-0000D6A80000}"/>
    <cellStyle name="货币 2 3 4 22" xfId="42121" xr:uid="{00000000-0005-0000-0000-0000B9A40000}"/>
    <cellStyle name="货币 2 3 4 23" xfId="21437" xr:uid="{00000000-0005-0000-0000-0000ED530000}"/>
    <cellStyle name="货币 2 3 4 24" xfId="21441" xr:uid="{00000000-0005-0000-0000-0000F1530000}"/>
    <cellStyle name="货币 2 3 4 25" xfId="21445" xr:uid="{00000000-0005-0000-0000-0000F5530000}"/>
    <cellStyle name="货币 2 3 4 26" xfId="21447" xr:uid="{00000000-0005-0000-0000-0000F7530000}"/>
    <cellStyle name="货币 2 3 4 3" xfId="25446" xr:uid="{00000000-0005-0000-0000-000096630000}"/>
    <cellStyle name="货币 2 3 4 3 10" xfId="43372" xr:uid="{00000000-0005-0000-0000-00009CA90000}"/>
    <cellStyle name="货币 2 3 4 3 10 2" xfId="43374" xr:uid="{00000000-0005-0000-0000-00009EA90000}"/>
    <cellStyle name="货币 2 3 4 3 10 3" xfId="13030" xr:uid="{00000000-0005-0000-0000-000016330000}"/>
    <cellStyle name="货币 2 3 4 3 10 4" xfId="13033" xr:uid="{00000000-0005-0000-0000-000019330000}"/>
    <cellStyle name="货币 2 3 4 3 10 5" xfId="13037" xr:uid="{00000000-0005-0000-0000-00001D330000}"/>
    <cellStyle name="货币 2 3 4 3 10 6" xfId="13040" xr:uid="{00000000-0005-0000-0000-000020330000}"/>
    <cellStyle name="货币 2 3 4 3 11" xfId="43375" xr:uid="{00000000-0005-0000-0000-00009FA90000}"/>
    <cellStyle name="货币 2 3 4 3 11 2" xfId="43376" xr:uid="{00000000-0005-0000-0000-0000A0A90000}"/>
    <cellStyle name="货币 2 3 4 3 11 3" xfId="13049" xr:uid="{00000000-0005-0000-0000-000029330000}"/>
    <cellStyle name="货币 2 3 4 3 11 4" xfId="13052" xr:uid="{00000000-0005-0000-0000-00002C330000}"/>
    <cellStyle name="货币 2 3 4 3 11 5" xfId="13055" xr:uid="{00000000-0005-0000-0000-00002F330000}"/>
    <cellStyle name="货币 2 3 4 3 11 6" xfId="13059" xr:uid="{00000000-0005-0000-0000-000033330000}"/>
    <cellStyle name="货币 2 3 4 3 12" xfId="43377" xr:uid="{00000000-0005-0000-0000-0000A1A90000}"/>
    <cellStyle name="货币 2 3 4 3 13" xfId="38951" xr:uid="{00000000-0005-0000-0000-000057980000}"/>
    <cellStyle name="货币 2 3 4 3 14" xfId="28909" xr:uid="{00000000-0005-0000-0000-00001D710000}"/>
    <cellStyle name="货币 2 3 4 3 15" xfId="38954" xr:uid="{00000000-0005-0000-0000-00005A980000}"/>
    <cellStyle name="货币 2 3 4 3 16" xfId="30883" xr:uid="{00000000-0005-0000-0000-0000D3780000}"/>
    <cellStyle name="货币 2 3 4 3 17" xfId="30887" xr:uid="{00000000-0005-0000-0000-0000D7780000}"/>
    <cellStyle name="货币 2 3 4 3 18" xfId="30891" xr:uid="{00000000-0005-0000-0000-0000DB780000}"/>
    <cellStyle name="货币 2 3 4 3 19" xfId="30893" xr:uid="{00000000-0005-0000-0000-0000DD780000}"/>
    <cellStyle name="货币 2 3 4 3 2" xfId="43378" xr:uid="{00000000-0005-0000-0000-0000A2A90000}"/>
    <cellStyle name="货币 2 3 4 3 2 10" xfId="43379" xr:uid="{00000000-0005-0000-0000-0000A3A90000}"/>
    <cellStyle name="货币 2 3 4 3 2 11" xfId="4942" xr:uid="{00000000-0005-0000-0000-00007E130000}"/>
    <cellStyle name="货币 2 3 4 3 2 12" xfId="4948" xr:uid="{00000000-0005-0000-0000-000084130000}"/>
    <cellStyle name="货币 2 3 4 3 2 13" xfId="2774" xr:uid="{00000000-0005-0000-0000-0000060B0000}"/>
    <cellStyle name="货币 2 3 4 3 2 14" xfId="724" xr:uid="{00000000-0005-0000-0000-000004030000}"/>
    <cellStyle name="货币 2 3 4 3 2 15" xfId="4969" xr:uid="{00000000-0005-0000-0000-000099130000}"/>
    <cellStyle name="货币 2 3 4 3 2 16" xfId="4987" xr:uid="{00000000-0005-0000-0000-0000AB130000}"/>
    <cellStyle name="货币 2 3 4 3 2 17" xfId="69" xr:uid="{00000000-0005-0000-0000-000049000000}"/>
    <cellStyle name="货币 2 3 4 3 2 18" xfId="5008" xr:uid="{00000000-0005-0000-0000-0000C0130000}"/>
    <cellStyle name="货币 2 3 4 3 2 2" xfId="43380" xr:uid="{00000000-0005-0000-0000-0000A4A90000}"/>
    <cellStyle name="货币 2 3 4 3 2 2 10" xfId="336" xr:uid="{00000000-0005-0000-0000-000067010000}"/>
    <cellStyle name="货币 2 3 4 3 2 2 11" xfId="635" xr:uid="{00000000-0005-0000-0000-0000A8020000}"/>
    <cellStyle name="货币 2 3 4 3 2 2 12" xfId="660" xr:uid="{00000000-0005-0000-0000-0000C4020000}"/>
    <cellStyle name="货币 2 3 4 3 2 2 2" xfId="43381" xr:uid="{00000000-0005-0000-0000-0000A5A90000}"/>
    <cellStyle name="货币 2 3 4 3 2 2 2 2" xfId="43382" xr:uid="{00000000-0005-0000-0000-0000A6A90000}"/>
    <cellStyle name="货币 2 3 4 3 2 2 2 2 2" xfId="14556" xr:uid="{00000000-0005-0000-0000-00000C390000}"/>
    <cellStyle name="货币 2 3 4 3 2 2 2 3" xfId="43383" xr:uid="{00000000-0005-0000-0000-0000A7A90000}"/>
    <cellStyle name="货币 2 3 4 3 2 2 2 4" xfId="43384" xr:uid="{00000000-0005-0000-0000-0000A8A90000}"/>
    <cellStyle name="货币 2 3 4 3 2 2 2 5" xfId="43385" xr:uid="{00000000-0005-0000-0000-0000A9A90000}"/>
    <cellStyle name="货币 2 3 4 3 2 2 3" xfId="43386" xr:uid="{00000000-0005-0000-0000-0000AAA90000}"/>
    <cellStyle name="货币 2 3 4 3 2 2 3 2" xfId="19976" xr:uid="{00000000-0005-0000-0000-0000384E0000}"/>
    <cellStyle name="货币 2 3 4 3 2 2 4" xfId="43387" xr:uid="{00000000-0005-0000-0000-0000ABA90000}"/>
    <cellStyle name="货币 2 3 4 3 2 2 5" xfId="43388" xr:uid="{00000000-0005-0000-0000-0000ACA90000}"/>
    <cellStyle name="货币 2 3 4 3 2 2 6" xfId="43389" xr:uid="{00000000-0005-0000-0000-0000ADA90000}"/>
    <cellStyle name="货币 2 3 4 3 2 2 7" xfId="16142" xr:uid="{00000000-0005-0000-0000-00003E3F0000}"/>
    <cellStyle name="货币 2 3 4 3 2 2 8" xfId="25877" xr:uid="{00000000-0005-0000-0000-000045650000}"/>
    <cellStyle name="货币 2 3 4 3 2 2 9" xfId="16785" xr:uid="{00000000-0005-0000-0000-0000C1410000}"/>
    <cellStyle name="货币 2 3 4 3 2 3" xfId="43390" xr:uid="{00000000-0005-0000-0000-0000AEA90000}"/>
    <cellStyle name="货币 2 3 4 3 2 3 10" xfId="40104" xr:uid="{00000000-0005-0000-0000-0000D89C0000}"/>
    <cellStyle name="货币 2 3 4 3 2 3 11" xfId="43391" xr:uid="{00000000-0005-0000-0000-0000AFA90000}"/>
    <cellStyle name="货币 2 3 4 3 2 3 12" xfId="43392" xr:uid="{00000000-0005-0000-0000-0000B0A90000}"/>
    <cellStyle name="货币 2 3 4 3 2 3 2" xfId="43393" xr:uid="{00000000-0005-0000-0000-0000B1A90000}"/>
    <cellStyle name="货币 2 3 4 3 2 3 2 2" xfId="43394" xr:uid="{00000000-0005-0000-0000-0000B2A90000}"/>
    <cellStyle name="货币 2 3 4 3 2 3 2 2 2" xfId="21714" xr:uid="{00000000-0005-0000-0000-000002550000}"/>
    <cellStyle name="货币 2 3 4 3 2 3 2 3" xfId="43395" xr:uid="{00000000-0005-0000-0000-0000B3A90000}"/>
    <cellStyle name="货币 2 3 4 3 2 3 2 4" xfId="43396" xr:uid="{00000000-0005-0000-0000-0000B4A90000}"/>
    <cellStyle name="货币 2 3 4 3 2 3 2 5" xfId="9703" xr:uid="{00000000-0005-0000-0000-000017260000}"/>
    <cellStyle name="货币 2 3 4 3 2 3 3" xfId="43397" xr:uid="{00000000-0005-0000-0000-0000B5A90000}"/>
    <cellStyle name="货币 2 3 4 3 2 3 3 2" xfId="20131" xr:uid="{00000000-0005-0000-0000-0000D34E0000}"/>
    <cellStyle name="货币 2 3 4 3 2 3 4" xfId="43398" xr:uid="{00000000-0005-0000-0000-0000B6A90000}"/>
    <cellStyle name="货币 2 3 4 3 2 3 5" xfId="43399" xr:uid="{00000000-0005-0000-0000-0000B7A90000}"/>
    <cellStyle name="货币 2 3 4 3 2 3 6" xfId="43400" xr:uid="{00000000-0005-0000-0000-0000B8A90000}"/>
    <cellStyle name="货币 2 3 4 3 2 3 7" xfId="16864" xr:uid="{00000000-0005-0000-0000-000010420000}"/>
    <cellStyle name="货币 2 3 4 3 2 3 8" xfId="43401" xr:uid="{00000000-0005-0000-0000-0000B9A90000}"/>
    <cellStyle name="货币 2 3 4 3 2 3 9" xfId="43402" xr:uid="{00000000-0005-0000-0000-0000BAA90000}"/>
    <cellStyle name="货币 2 3 4 3 2 4" xfId="43403" xr:uid="{00000000-0005-0000-0000-0000BBA90000}"/>
    <cellStyle name="货币 2 3 4 3 2 4 10" xfId="43404" xr:uid="{00000000-0005-0000-0000-0000BCA90000}"/>
    <cellStyle name="货币 2 3 4 3 2 4 2" xfId="6151" xr:uid="{00000000-0005-0000-0000-000037180000}"/>
    <cellStyle name="货币 2 3 4 3 2 4 2 2" xfId="6159" xr:uid="{00000000-0005-0000-0000-00003F180000}"/>
    <cellStyle name="货币 2 3 4 3 2 4 2 2 2" xfId="22118" xr:uid="{00000000-0005-0000-0000-000096560000}"/>
    <cellStyle name="货币 2 3 4 3 2 4 2 3" xfId="43405" xr:uid="{00000000-0005-0000-0000-0000BDA90000}"/>
    <cellStyle name="货币 2 3 4 3 2 4 2 4" xfId="43406" xr:uid="{00000000-0005-0000-0000-0000BEA90000}"/>
    <cellStyle name="货币 2 3 4 3 2 4 2 5" xfId="43407" xr:uid="{00000000-0005-0000-0000-0000BFA90000}"/>
    <cellStyle name="货币 2 3 4 3 2 4 3" xfId="6165" xr:uid="{00000000-0005-0000-0000-000045180000}"/>
    <cellStyle name="货币 2 3 4 3 2 4 3 2" xfId="4485" xr:uid="{00000000-0005-0000-0000-0000B5110000}"/>
    <cellStyle name="货币 2 3 4 3 2 4 4" xfId="6174" xr:uid="{00000000-0005-0000-0000-00004E180000}"/>
    <cellStyle name="货币 2 3 4 3 2 4 5" xfId="43408" xr:uid="{00000000-0005-0000-0000-0000C0A90000}"/>
    <cellStyle name="货币 2 3 4 3 2 4 6" xfId="1653" xr:uid="{00000000-0005-0000-0000-0000A5060000}"/>
    <cellStyle name="货币 2 3 4 3 2 4 7" xfId="777" xr:uid="{00000000-0005-0000-0000-000039030000}"/>
    <cellStyle name="货币 2 3 4 3 2 4 8" xfId="2748" xr:uid="{00000000-0005-0000-0000-0000EC0A0000}"/>
    <cellStyle name="货币 2 3 4 3 2 4 9" xfId="2754" xr:uid="{00000000-0005-0000-0000-0000F20A0000}"/>
    <cellStyle name="货币 2 3 4 3 2 5" xfId="43409" xr:uid="{00000000-0005-0000-0000-0000C1A90000}"/>
    <cellStyle name="货币 2 3 4 3 2 5 10" xfId="24409" xr:uid="{00000000-0005-0000-0000-0000895F0000}"/>
    <cellStyle name="货币 2 3 4 3 2 5 2" xfId="43410" xr:uid="{00000000-0005-0000-0000-0000C2A90000}"/>
    <cellStyle name="货币 2 3 4 3 2 5 2 2" xfId="43411" xr:uid="{00000000-0005-0000-0000-0000C3A90000}"/>
    <cellStyle name="货币 2 3 4 3 2 5 2 2 2" xfId="43412" xr:uid="{00000000-0005-0000-0000-0000C4A90000}"/>
    <cellStyle name="货币 2 3 4 3 2 5 2 3" xfId="43413" xr:uid="{00000000-0005-0000-0000-0000C5A90000}"/>
    <cellStyle name="货币 2 3 4 3 2 5 2 4" xfId="43414" xr:uid="{00000000-0005-0000-0000-0000C6A90000}"/>
    <cellStyle name="货币 2 3 4 3 2 5 2 5" xfId="43415" xr:uid="{00000000-0005-0000-0000-0000C7A90000}"/>
    <cellStyle name="货币 2 3 4 3 2 5 3" xfId="43416" xr:uid="{00000000-0005-0000-0000-0000C8A90000}"/>
    <cellStyle name="货币 2 3 4 3 2 5 3 2" xfId="38561" xr:uid="{00000000-0005-0000-0000-0000D1960000}"/>
    <cellStyle name="货币 2 3 4 3 2 5 4" xfId="43417" xr:uid="{00000000-0005-0000-0000-0000C9A90000}"/>
    <cellStyle name="货币 2 3 4 3 2 5 5" xfId="43418" xr:uid="{00000000-0005-0000-0000-0000CAA90000}"/>
    <cellStyle name="货币 2 3 4 3 2 5 6" xfId="2543" xr:uid="{00000000-0005-0000-0000-00001F0A0000}"/>
    <cellStyle name="货币 2 3 4 3 2 5 7" xfId="2847" xr:uid="{00000000-0005-0000-0000-00004F0B0000}"/>
    <cellStyle name="货币 2 3 4 3 2 5 8" xfId="2853" xr:uid="{00000000-0005-0000-0000-0000550B0000}"/>
    <cellStyle name="货币 2 3 4 3 2 5 9" xfId="2858" xr:uid="{00000000-0005-0000-0000-00005A0B0000}"/>
    <cellStyle name="货币 2 3 4 3 2 6" xfId="43420" xr:uid="{00000000-0005-0000-0000-0000CCA90000}"/>
    <cellStyle name="货币 2 3 4 3 2 6 2" xfId="43421" xr:uid="{00000000-0005-0000-0000-0000CDA90000}"/>
    <cellStyle name="货币 2 3 4 3 2 6 2 2" xfId="43422" xr:uid="{00000000-0005-0000-0000-0000CEA90000}"/>
    <cellStyle name="货币 2 3 4 3 2 6 3" xfId="43423" xr:uid="{00000000-0005-0000-0000-0000CFA90000}"/>
    <cellStyle name="货币 2 3 4 3 2 6 4" xfId="43424" xr:uid="{00000000-0005-0000-0000-0000D0A90000}"/>
    <cellStyle name="货币 2 3 4 3 2 6 5" xfId="876" xr:uid="{00000000-0005-0000-0000-00009C030000}"/>
    <cellStyle name="货币 2 3 4 3 2 6 6" xfId="895" xr:uid="{00000000-0005-0000-0000-0000AF030000}"/>
    <cellStyle name="货币 2 3 4 3 2 6 7" xfId="11570" xr:uid="{00000000-0005-0000-0000-0000622D0000}"/>
    <cellStyle name="货币 2 3 4 3 2 6 8" xfId="11591" xr:uid="{00000000-0005-0000-0000-0000772D0000}"/>
    <cellStyle name="货币 2 3 4 3 2 6 9" xfId="5937" xr:uid="{00000000-0005-0000-0000-000061170000}"/>
    <cellStyle name="货币 2 3 4 3 2 7" xfId="43426" xr:uid="{00000000-0005-0000-0000-0000D2A90000}"/>
    <cellStyle name="货币 2 3 4 3 2 7 2" xfId="43427" xr:uid="{00000000-0005-0000-0000-0000D3A90000}"/>
    <cellStyle name="货币 2 3 4 3 2 8" xfId="43429" xr:uid="{00000000-0005-0000-0000-0000D5A90000}"/>
    <cellStyle name="货币 2 3 4 3 2 9" xfId="43431" xr:uid="{00000000-0005-0000-0000-0000D7A90000}"/>
    <cellStyle name="货币 2 3 4 3 20" xfId="38953" xr:uid="{00000000-0005-0000-0000-000059980000}"/>
    <cellStyle name="货币 2 3 4 3 21" xfId="30882" xr:uid="{00000000-0005-0000-0000-0000D2780000}"/>
    <cellStyle name="货币 2 3 4 3 22" xfId="30886" xr:uid="{00000000-0005-0000-0000-0000D6780000}"/>
    <cellStyle name="货币 2 3 4 3 23" xfId="30890" xr:uid="{00000000-0005-0000-0000-0000DA780000}"/>
    <cellStyle name="货币 2 3 4 3 3" xfId="43432" xr:uid="{00000000-0005-0000-0000-0000D8A90000}"/>
    <cellStyle name="货币 2 3 4 3 3 10" xfId="12477" xr:uid="{00000000-0005-0000-0000-0000ED300000}"/>
    <cellStyle name="货币 2 3 4 3 3 11" xfId="5065" xr:uid="{00000000-0005-0000-0000-0000F9130000}"/>
    <cellStyle name="货币 2 3 4 3 3 12" xfId="43433" xr:uid="{00000000-0005-0000-0000-0000D9A90000}"/>
    <cellStyle name="货币 2 3 4 3 3 13" xfId="43434" xr:uid="{00000000-0005-0000-0000-0000DAA90000}"/>
    <cellStyle name="货币 2 3 4 3 3 14" xfId="43435" xr:uid="{00000000-0005-0000-0000-0000DBA90000}"/>
    <cellStyle name="货币 2 3 4 3 3 15" xfId="43436" xr:uid="{00000000-0005-0000-0000-0000DCA90000}"/>
    <cellStyle name="货币 2 3 4 3 3 16" xfId="43437" xr:uid="{00000000-0005-0000-0000-0000DDA90000}"/>
    <cellStyle name="货币 2 3 4 3 3 17" xfId="43438" xr:uid="{00000000-0005-0000-0000-0000DEA90000}"/>
    <cellStyle name="货币 2 3 4 3 3 18" xfId="43439" xr:uid="{00000000-0005-0000-0000-0000DFA90000}"/>
    <cellStyle name="货币 2 3 4 3 3 2" xfId="43440" xr:uid="{00000000-0005-0000-0000-0000E0A90000}"/>
    <cellStyle name="货币 2 3 4 3 3 2 10" xfId="43441" xr:uid="{00000000-0005-0000-0000-0000E1A90000}"/>
    <cellStyle name="货币 2 3 4 3 3 2 2" xfId="43442" xr:uid="{00000000-0005-0000-0000-0000E2A90000}"/>
    <cellStyle name="货币 2 3 4 3 3 2 2 2" xfId="43443" xr:uid="{00000000-0005-0000-0000-0000E3A90000}"/>
    <cellStyle name="货币 2 3 4 3 3 2 3" xfId="43445" xr:uid="{00000000-0005-0000-0000-0000E5A90000}"/>
    <cellStyle name="货币 2 3 4 3 3 2 4" xfId="43447" xr:uid="{00000000-0005-0000-0000-0000E7A90000}"/>
    <cellStyle name="货币 2 3 4 3 3 2 5" xfId="43449" xr:uid="{00000000-0005-0000-0000-0000E9A90000}"/>
    <cellStyle name="货币 2 3 4 3 3 2 6" xfId="43451" xr:uid="{00000000-0005-0000-0000-0000EBA90000}"/>
    <cellStyle name="货币 2 3 4 3 3 2 7" xfId="20465" xr:uid="{00000000-0005-0000-0000-000021500000}"/>
    <cellStyle name="货币 2 3 4 3 3 2 8" xfId="6880" xr:uid="{00000000-0005-0000-0000-0000101B0000}"/>
    <cellStyle name="货币 2 3 4 3 3 2 9" xfId="6892" xr:uid="{00000000-0005-0000-0000-00001C1B0000}"/>
    <cellStyle name="货币 2 3 4 3 3 3" xfId="43452" xr:uid="{00000000-0005-0000-0000-0000ECA90000}"/>
    <cellStyle name="货币 2 3 4 3 3 3 2" xfId="10375" xr:uid="{00000000-0005-0000-0000-0000B7280000}"/>
    <cellStyle name="货币 2 3 4 3 3 3 3" xfId="43454" xr:uid="{00000000-0005-0000-0000-0000EEA90000}"/>
    <cellStyle name="货币 2 3 4 3 3 3 4" xfId="43456" xr:uid="{00000000-0005-0000-0000-0000F0A90000}"/>
    <cellStyle name="货币 2 3 4 3 3 3 5" xfId="43458" xr:uid="{00000000-0005-0000-0000-0000F2A90000}"/>
    <cellStyle name="货币 2 3 4 3 3 3 6" xfId="43460" xr:uid="{00000000-0005-0000-0000-0000F4A90000}"/>
    <cellStyle name="货币 2 3 4 3 3 4" xfId="43461" xr:uid="{00000000-0005-0000-0000-0000F5A90000}"/>
    <cellStyle name="货币 2 3 4 3 3 4 2" xfId="43462" xr:uid="{00000000-0005-0000-0000-0000F6A90000}"/>
    <cellStyle name="货币 2 3 4 3 3 4 3" xfId="43464" xr:uid="{00000000-0005-0000-0000-0000F8A90000}"/>
    <cellStyle name="货币 2 3 4 3 3 4 4" xfId="43466" xr:uid="{00000000-0005-0000-0000-0000FAA90000}"/>
    <cellStyle name="货币 2 3 4 3 3 4 5" xfId="43468" xr:uid="{00000000-0005-0000-0000-0000FCA90000}"/>
    <cellStyle name="货币 2 3 4 3 3 4 6" xfId="2988" xr:uid="{00000000-0005-0000-0000-0000DC0B0000}"/>
    <cellStyle name="货币 2 3 4 3 3 5" xfId="43469" xr:uid="{00000000-0005-0000-0000-0000FDA90000}"/>
    <cellStyle name="货币 2 3 4 3 3 5 2" xfId="43470" xr:uid="{00000000-0005-0000-0000-0000FEA90000}"/>
    <cellStyle name="货币 2 3 4 3 3 5 3" xfId="43472" xr:uid="{00000000-0005-0000-0000-000000AA0000}"/>
    <cellStyle name="货币 2 3 4 3 3 5 4" xfId="2816" xr:uid="{00000000-0005-0000-0000-0000300B0000}"/>
    <cellStyle name="货币 2 3 4 3 3 5 5" xfId="43474" xr:uid="{00000000-0005-0000-0000-000002AA0000}"/>
    <cellStyle name="货币 2 3 4 3 3 5 6" xfId="3006" xr:uid="{00000000-0005-0000-0000-0000EE0B0000}"/>
    <cellStyle name="货币 2 3 4 3 3 6" xfId="35198" xr:uid="{00000000-0005-0000-0000-0000AE890000}"/>
    <cellStyle name="货币 2 3 4 3 3 6 2" xfId="43475" xr:uid="{00000000-0005-0000-0000-000003AA0000}"/>
    <cellStyle name="货币 2 3 4 3 3 6 3" xfId="43476" xr:uid="{00000000-0005-0000-0000-000004AA0000}"/>
    <cellStyle name="货币 2 3 4 3 3 6 4" xfId="43477" xr:uid="{00000000-0005-0000-0000-000005AA0000}"/>
    <cellStyle name="货币 2 3 4 3 3 6 5" xfId="7946" xr:uid="{00000000-0005-0000-0000-00003A1F0000}"/>
    <cellStyle name="货币 2 3 4 3 3 6 6" xfId="3020" xr:uid="{00000000-0005-0000-0000-0000FC0B0000}"/>
    <cellStyle name="货币 2 3 4 3 3 7" xfId="30897" xr:uid="{00000000-0005-0000-0000-0000E1780000}"/>
    <cellStyle name="货币 2 3 4 3 3 8" xfId="30899" xr:uid="{00000000-0005-0000-0000-0000E3780000}"/>
    <cellStyle name="货币 2 3 4 3 3 9" xfId="30901" xr:uid="{00000000-0005-0000-0000-0000E5780000}"/>
    <cellStyle name="货币 2 3 4 3 4" xfId="43478" xr:uid="{00000000-0005-0000-0000-000006AA0000}"/>
    <cellStyle name="货币 2 3 4 3 4 10" xfId="20260" xr:uid="{00000000-0005-0000-0000-0000544F0000}"/>
    <cellStyle name="货币 2 3 4 3 4 11" xfId="43479" xr:uid="{00000000-0005-0000-0000-000007AA0000}"/>
    <cellStyle name="货币 2 3 4 3 4 12" xfId="9836" xr:uid="{00000000-0005-0000-0000-00009C260000}"/>
    <cellStyle name="货币 2 3 4 3 4 13" xfId="43480" xr:uid="{00000000-0005-0000-0000-000008AA0000}"/>
    <cellStyle name="货币 2 3 4 3 4 14" xfId="43481" xr:uid="{00000000-0005-0000-0000-000009AA0000}"/>
    <cellStyle name="货币 2 3 4 3 4 15" xfId="43482" xr:uid="{00000000-0005-0000-0000-00000AAA0000}"/>
    <cellStyle name="货币 2 3 4 3 4 2" xfId="28175" xr:uid="{00000000-0005-0000-0000-00003F6E0000}"/>
    <cellStyle name="货币 2 3 4 3 4 2 2" xfId="43483" xr:uid="{00000000-0005-0000-0000-00000BAA0000}"/>
    <cellStyle name="货币 2 3 4 3 4 2 2 2" xfId="43484" xr:uid="{00000000-0005-0000-0000-00000CAA0000}"/>
    <cellStyle name="货币 2 3 4 3 4 2 3" xfId="43486" xr:uid="{00000000-0005-0000-0000-00000EAA0000}"/>
    <cellStyle name="货币 2 3 4 3 4 2 4" xfId="43487" xr:uid="{00000000-0005-0000-0000-00000FAA0000}"/>
    <cellStyle name="货币 2 3 4 3 4 2 5" xfId="43488" xr:uid="{00000000-0005-0000-0000-000010AA0000}"/>
    <cellStyle name="货币 2 3 4 3 4 2 6" xfId="43489" xr:uid="{00000000-0005-0000-0000-000011AA0000}"/>
    <cellStyle name="货币 2 3 4 3 4 2 7" xfId="43490" xr:uid="{00000000-0005-0000-0000-000012AA0000}"/>
    <cellStyle name="货币 2 3 4 3 4 2 8" xfId="5446" xr:uid="{00000000-0005-0000-0000-000076150000}"/>
    <cellStyle name="货币 2 3 4 3 4 2 9" xfId="7041" xr:uid="{00000000-0005-0000-0000-0000B11B0000}"/>
    <cellStyle name="货币 2 3 4 3 4 3" xfId="4220" xr:uid="{00000000-0005-0000-0000-0000AC100000}"/>
    <cellStyle name="货币 2 3 4 3 4 3 2" xfId="43491" xr:uid="{00000000-0005-0000-0000-000013AA0000}"/>
    <cellStyle name="货币 2 3 4 3 4 3 3" xfId="43492" xr:uid="{00000000-0005-0000-0000-000014AA0000}"/>
    <cellStyle name="货币 2 3 4 3 4 3 4" xfId="43493" xr:uid="{00000000-0005-0000-0000-000015AA0000}"/>
    <cellStyle name="货币 2 3 4 3 4 3 5" xfId="43494" xr:uid="{00000000-0005-0000-0000-000016AA0000}"/>
    <cellStyle name="货币 2 3 4 3 4 3 6" xfId="43495" xr:uid="{00000000-0005-0000-0000-000017AA0000}"/>
    <cellStyle name="货币 2 3 4 3 4 4" xfId="32564" xr:uid="{00000000-0005-0000-0000-0000647F0000}"/>
    <cellStyle name="货币 2 3 4 3 4 4 2" xfId="43497" xr:uid="{00000000-0005-0000-0000-000019AA0000}"/>
    <cellStyle name="货币 2 3 4 3 4 5" xfId="43498" xr:uid="{00000000-0005-0000-0000-00001AAA0000}"/>
    <cellStyle name="货币 2 3 4 3 4 6" xfId="43499" xr:uid="{00000000-0005-0000-0000-00001BAA0000}"/>
    <cellStyle name="货币 2 3 4 3 4 7" xfId="30903" xr:uid="{00000000-0005-0000-0000-0000E7780000}"/>
    <cellStyle name="货币 2 3 4 3 4 8" xfId="30906" xr:uid="{00000000-0005-0000-0000-0000EA780000}"/>
    <cellStyle name="货币 2 3 4 3 4 9" xfId="30909" xr:uid="{00000000-0005-0000-0000-0000ED780000}"/>
    <cellStyle name="货币 2 3 4 3 5" xfId="43500" xr:uid="{00000000-0005-0000-0000-00001CAA0000}"/>
    <cellStyle name="货币 2 3 4 3 5 10" xfId="43501" xr:uid="{00000000-0005-0000-0000-00001DAA0000}"/>
    <cellStyle name="货币 2 3 4 3 5 11" xfId="43502" xr:uid="{00000000-0005-0000-0000-00001EAA0000}"/>
    <cellStyle name="货币 2 3 4 3 5 12" xfId="43503" xr:uid="{00000000-0005-0000-0000-00001FAA0000}"/>
    <cellStyle name="货币 2 3 4 3 5 13" xfId="43504" xr:uid="{00000000-0005-0000-0000-000020AA0000}"/>
    <cellStyle name="货币 2 3 4 3 5 2" xfId="28218" xr:uid="{00000000-0005-0000-0000-00006A6E0000}"/>
    <cellStyle name="货币 2 3 4 3 5 2 2" xfId="43505" xr:uid="{00000000-0005-0000-0000-000021AA0000}"/>
    <cellStyle name="货币 2 3 4 3 5 2 2 2" xfId="43506" xr:uid="{00000000-0005-0000-0000-000022AA0000}"/>
    <cellStyle name="货币 2 3 4 3 5 2 3" xfId="43508" xr:uid="{00000000-0005-0000-0000-000024AA0000}"/>
    <cellStyle name="货币 2 3 4 3 5 2 4" xfId="43509" xr:uid="{00000000-0005-0000-0000-000025AA0000}"/>
    <cellStyle name="货币 2 3 4 3 5 2 5" xfId="43510" xr:uid="{00000000-0005-0000-0000-000026AA0000}"/>
    <cellStyle name="货币 2 3 4 3 5 2 6" xfId="43511" xr:uid="{00000000-0005-0000-0000-000027AA0000}"/>
    <cellStyle name="货币 2 3 4 3 5 2 7" xfId="37003" xr:uid="{00000000-0005-0000-0000-0000BB900000}"/>
    <cellStyle name="货币 2 3 4 3 5 2 8" xfId="37015" xr:uid="{00000000-0005-0000-0000-0000C7900000}"/>
    <cellStyle name="货币 2 3 4 3 5 2 9" xfId="29217" xr:uid="{00000000-0005-0000-0000-000051720000}"/>
    <cellStyle name="货币 2 3 4 3 5 3" xfId="43512" xr:uid="{00000000-0005-0000-0000-000028AA0000}"/>
    <cellStyle name="货币 2 3 4 3 5 3 2" xfId="43513" xr:uid="{00000000-0005-0000-0000-000029AA0000}"/>
    <cellStyle name="货币 2 3 4 3 5 3 3" xfId="43514" xr:uid="{00000000-0005-0000-0000-00002AAA0000}"/>
    <cellStyle name="货币 2 3 4 3 5 3 4" xfId="43515" xr:uid="{00000000-0005-0000-0000-00002BAA0000}"/>
    <cellStyle name="货币 2 3 4 3 5 3 5" xfId="43516" xr:uid="{00000000-0005-0000-0000-00002CAA0000}"/>
    <cellStyle name="货币 2 3 4 3 5 3 6" xfId="19944" xr:uid="{00000000-0005-0000-0000-0000184E0000}"/>
    <cellStyle name="货币 2 3 4 3 5 4" xfId="43517" xr:uid="{00000000-0005-0000-0000-00002DAA0000}"/>
    <cellStyle name="货币 2 3 4 3 5 4 2" xfId="43518" xr:uid="{00000000-0005-0000-0000-00002EAA0000}"/>
    <cellStyle name="货币 2 3 4 3 5 5" xfId="42691" xr:uid="{00000000-0005-0000-0000-0000F3A60000}"/>
    <cellStyle name="货币 2 3 4 3 5 6" xfId="42694" xr:uid="{00000000-0005-0000-0000-0000F6A60000}"/>
    <cellStyle name="货币 2 3 4 3 5 7" xfId="30911" xr:uid="{00000000-0005-0000-0000-0000EF780000}"/>
    <cellStyle name="货币 2 3 4 3 5 8" xfId="30916" xr:uid="{00000000-0005-0000-0000-0000F4780000}"/>
    <cellStyle name="货币 2 3 4 3 5 9" xfId="30921" xr:uid="{00000000-0005-0000-0000-0000F9780000}"/>
    <cellStyle name="货币 2 3 4 3 6" xfId="43519" xr:uid="{00000000-0005-0000-0000-00002FAA0000}"/>
    <cellStyle name="货币 2 3 4 3 6 10" xfId="43520" xr:uid="{00000000-0005-0000-0000-000030AA0000}"/>
    <cellStyle name="货币 2 3 4 3 6 11" xfId="43521" xr:uid="{00000000-0005-0000-0000-000031AA0000}"/>
    <cellStyle name="货币 2 3 4 3 6 12" xfId="43522" xr:uid="{00000000-0005-0000-0000-000032AA0000}"/>
    <cellStyle name="货币 2 3 4 3 6 2" xfId="12638" xr:uid="{00000000-0005-0000-0000-00008E310000}"/>
    <cellStyle name="货币 2 3 4 3 6 2 2" xfId="43523" xr:uid="{00000000-0005-0000-0000-000033AA0000}"/>
    <cellStyle name="货币 2 3 4 3 6 2 2 2" xfId="25751" xr:uid="{00000000-0005-0000-0000-0000C7640000}"/>
    <cellStyle name="货币 2 3 4 3 6 2 3" xfId="29592" xr:uid="{00000000-0005-0000-0000-0000C8730000}"/>
    <cellStyle name="货币 2 3 4 3 6 2 4" xfId="29721" xr:uid="{00000000-0005-0000-0000-000049740000}"/>
    <cellStyle name="货币 2 3 4 3 6 2 5" xfId="29723" xr:uid="{00000000-0005-0000-0000-00004B740000}"/>
    <cellStyle name="货币 2 3 4 3 6 2 6" xfId="29725" xr:uid="{00000000-0005-0000-0000-00004D740000}"/>
    <cellStyle name="货币 2 3 4 3 6 2 7" xfId="29727" xr:uid="{00000000-0005-0000-0000-00004F740000}"/>
    <cellStyle name="货币 2 3 4 3 6 2 8" xfId="6414" xr:uid="{00000000-0005-0000-0000-00003E190000}"/>
    <cellStyle name="货币 2 3 4 3 6 2 9" xfId="7179" xr:uid="{00000000-0005-0000-0000-00003B1C0000}"/>
    <cellStyle name="货币 2 3 4 3 6 3" xfId="12643" xr:uid="{00000000-0005-0000-0000-000093310000}"/>
    <cellStyle name="货币 2 3 4 3 6 3 2" xfId="43524" xr:uid="{00000000-0005-0000-0000-000034AA0000}"/>
    <cellStyle name="货币 2 3 4 3 6 3 3" xfId="29730" xr:uid="{00000000-0005-0000-0000-000052740000}"/>
    <cellStyle name="货币 2 3 4 3 6 3 4" xfId="29732" xr:uid="{00000000-0005-0000-0000-000054740000}"/>
    <cellStyle name="货币 2 3 4 3 6 3 5" xfId="43525" xr:uid="{00000000-0005-0000-0000-000035AA0000}"/>
    <cellStyle name="货币 2 3 4 3 6 3 6" xfId="43526" xr:uid="{00000000-0005-0000-0000-000036AA0000}"/>
    <cellStyle name="货币 2 3 4 3 6 4" xfId="43527" xr:uid="{00000000-0005-0000-0000-000037AA0000}"/>
    <cellStyle name="货币 2 3 4 3 6 4 2" xfId="43528" xr:uid="{00000000-0005-0000-0000-000038AA0000}"/>
    <cellStyle name="货币 2 3 4 3 6 5" xfId="42697" xr:uid="{00000000-0005-0000-0000-0000F9A60000}"/>
    <cellStyle name="货币 2 3 4 3 6 6" xfId="43529" xr:uid="{00000000-0005-0000-0000-000039AA0000}"/>
    <cellStyle name="货币 2 3 4 3 6 7" xfId="30923" xr:uid="{00000000-0005-0000-0000-0000FB780000}"/>
    <cellStyle name="货币 2 3 4 3 6 8" xfId="43530" xr:uid="{00000000-0005-0000-0000-00003AAA0000}"/>
    <cellStyle name="货币 2 3 4 3 6 9" xfId="43531" xr:uid="{00000000-0005-0000-0000-00003BAA0000}"/>
    <cellStyle name="货币 2 3 4 3 7" xfId="43532" xr:uid="{00000000-0005-0000-0000-00003CAA0000}"/>
    <cellStyle name="货币 2 3 4 3 7 2" xfId="26416" xr:uid="{00000000-0005-0000-0000-000060670000}"/>
    <cellStyle name="货币 2 3 4 3 7 2 2" xfId="26418" xr:uid="{00000000-0005-0000-0000-000062670000}"/>
    <cellStyle name="货币 2 3 4 3 7 3" xfId="26423" xr:uid="{00000000-0005-0000-0000-000067670000}"/>
    <cellStyle name="货币 2 3 4 3 7 4" xfId="26426" xr:uid="{00000000-0005-0000-0000-00006A670000}"/>
    <cellStyle name="货币 2 3 4 3 7 5" xfId="10583" xr:uid="{00000000-0005-0000-0000-000087290000}"/>
    <cellStyle name="货币 2 3 4 3 7 6" xfId="26428" xr:uid="{00000000-0005-0000-0000-00006C670000}"/>
    <cellStyle name="货币 2 3 4 3 7 7" xfId="26431" xr:uid="{00000000-0005-0000-0000-00006F670000}"/>
    <cellStyle name="货币 2 3 4 3 7 8" xfId="26436" xr:uid="{00000000-0005-0000-0000-000074670000}"/>
    <cellStyle name="货币 2 3 4 3 7 9" xfId="26440" xr:uid="{00000000-0005-0000-0000-000078670000}"/>
    <cellStyle name="货币 2 3 4 3 8" xfId="43533" xr:uid="{00000000-0005-0000-0000-00003DAA0000}"/>
    <cellStyle name="货币 2 3 4 3 8 2" xfId="43534" xr:uid="{00000000-0005-0000-0000-00003EAA0000}"/>
    <cellStyle name="货币 2 3 4 3 8 3" xfId="43535" xr:uid="{00000000-0005-0000-0000-00003FAA0000}"/>
    <cellStyle name="货币 2 3 4 3 8 4" xfId="43536" xr:uid="{00000000-0005-0000-0000-000040AA0000}"/>
    <cellStyle name="货币 2 3 4 3 8 5" xfId="43537" xr:uid="{00000000-0005-0000-0000-000041AA0000}"/>
    <cellStyle name="货币 2 3 4 3 8 6" xfId="43538" xr:uid="{00000000-0005-0000-0000-000042AA0000}"/>
    <cellStyle name="货币 2 3 4 3 9" xfId="43539" xr:uid="{00000000-0005-0000-0000-000043AA0000}"/>
    <cellStyle name="货币 2 3 4 3 9 2" xfId="43540" xr:uid="{00000000-0005-0000-0000-000044AA0000}"/>
    <cellStyle name="货币 2 3 4 3 9 3" xfId="43541" xr:uid="{00000000-0005-0000-0000-000045AA0000}"/>
    <cellStyle name="货币 2 3 4 3 9 4" xfId="43542" xr:uid="{00000000-0005-0000-0000-000046AA0000}"/>
    <cellStyle name="货币 2 3 4 3 9 5" xfId="43543" xr:uid="{00000000-0005-0000-0000-000047AA0000}"/>
    <cellStyle name="货币 2 3 4 3 9 6" xfId="43544" xr:uid="{00000000-0005-0000-0000-000048AA0000}"/>
    <cellStyle name="货币 2 3 4 4" xfId="32767" xr:uid="{00000000-0005-0000-0000-00002F800000}"/>
    <cellStyle name="货币 2 3 4 4 10" xfId="1095" xr:uid="{00000000-0005-0000-0000-000077040000}"/>
    <cellStyle name="货币 2 3 4 4 10 2" xfId="4318" xr:uid="{00000000-0005-0000-0000-00000E110000}"/>
    <cellStyle name="货币 2 3 4 4 10 3" xfId="43546" xr:uid="{00000000-0005-0000-0000-00004AAA0000}"/>
    <cellStyle name="货币 2 3 4 4 10 4" xfId="43547" xr:uid="{00000000-0005-0000-0000-00004BAA0000}"/>
    <cellStyle name="货币 2 3 4 4 10 5" xfId="43548" xr:uid="{00000000-0005-0000-0000-00004CAA0000}"/>
    <cellStyle name="货币 2 3 4 4 10 6" xfId="43549" xr:uid="{00000000-0005-0000-0000-00004DAA0000}"/>
    <cellStyle name="货币 2 3 4 4 11" xfId="4340" xr:uid="{00000000-0005-0000-0000-000024110000}"/>
    <cellStyle name="货币 2 3 4 4 11 2" xfId="1300" xr:uid="{00000000-0005-0000-0000-000044050000}"/>
    <cellStyle name="货币 2 3 4 4 11 3" xfId="43550" xr:uid="{00000000-0005-0000-0000-00004EAA0000}"/>
    <cellStyle name="货币 2 3 4 4 11 4" xfId="43551" xr:uid="{00000000-0005-0000-0000-00004FAA0000}"/>
    <cellStyle name="货币 2 3 4 4 11 5" xfId="43552" xr:uid="{00000000-0005-0000-0000-000050AA0000}"/>
    <cellStyle name="货币 2 3 4 4 11 6" xfId="43553" xr:uid="{00000000-0005-0000-0000-000051AA0000}"/>
    <cellStyle name="货币 2 3 4 4 12" xfId="3448" xr:uid="{00000000-0005-0000-0000-0000A80D0000}"/>
    <cellStyle name="货币 2 3 4 4 13" xfId="3471" xr:uid="{00000000-0005-0000-0000-0000BF0D0000}"/>
    <cellStyle name="货币 2 3 4 4 14" xfId="43555" xr:uid="{00000000-0005-0000-0000-000053AA0000}"/>
    <cellStyle name="货币 2 3 4 4 15" xfId="43558" xr:uid="{00000000-0005-0000-0000-000056AA0000}"/>
    <cellStyle name="货币 2 3 4 4 16" xfId="9333" xr:uid="{00000000-0005-0000-0000-0000A5240000}"/>
    <cellStyle name="货币 2 3 4 4 17" xfId="43561" xr:uid="{00000000-0005-0000-0000-000059AA0000}"/>
    <cellStyle name="货币 2 3 4 4 18" xfId="43564" xr:uid="{00000000-0005-0000-0000-00005CAA0000}"/>
    <cellStyle name="货币 2 3 4 4 19" xfId="43566" xr:uid="{00000000-0005-0000-0000-00005EAA0000}"/>
    <cellStyle name="货币 2 3 4 4 2" xfId="43568" xr:uid="{00000000-0005-0000-0000-000060AA0000}"/>
    <cellStyle name="货币 2 3 4 4 2 10" xfId="27310" xr:uid="{00000000-0005-0000-0000-0000DE6A0000}"/>
    <cellStyle name="货币 2 3 4 4 2 11" xfId="27312" xr:uid="{00000000-0005-0000-0000-0000E06A0000}"/>
    <cellStyle name="货币 2 3 4 4 2 12" xfId="43569" xr:uid="{00000000-0005-0000-0000-000061AA0000}"/>
    <cellStyle name="货币 2 3 4 4 2 13" xfId="43570" xr:uid="{00000000-0005-0000-0000-000062AA0000}"/>
    <cellStyle name="货币 2 3 4 4 2 14" xfId="43571" xr:uid="{00000000-0005-0000-0000-000063AA0000}"/>
    <cellStyle name="货币 2 3 4 4 2 15" xfId="43572" xr:uid="{00000000-0005-0000-0000-000064AA0000}"/>
    <cellStyle name="货币 2 3 4 4 2 16" xfId="43573" xr:uid="{00000000-0005-0000-0000-000065AA0000}"/>
    <cellStyle name="货币 2 3 4 4 2 17" xfId="43574" xr:uid="{00000000-0005-0000-0000-000066AA0000}"/>
    <cellStyle name="货币 2 3 4 4 2 18" xfId="43575" xr:uid="{00000000-0005-0000-0000-000067AA0000}"/>
    <cellStyle name="货币 2 3 4 4 2 2" xfId="27294" xr:uid="{00000000-0005-0000-0000-0000CE6A0000}"/>
    <cellStyle name="货币 2 3 4 4 2 2 10" xfId="43576" xr:uid="{00000000-0005-0000-0000-000068AA0000}"/>
    <cellStyle name="货币 2 3 4 4 2 2 11" xfId="43577" xr:uid="{00000000-0005-0000-0000-000069AA0000}"/>
    <cellStyle name="货币 2 3 4 4 2 2 12" xfId="43578" xr:uid="{00000000-0005-0000-0000-00006AAA0000}"/>
    <cellStyle name="货币 2 3 4 4 2 2 2" xfId="43579" xr:uid="{00000000-0005-0000-0000-00006BAA0000}"/>
    <cellStyle name="货币 2 3 4 4 2 2 2 2" xfId="33955" xr:uid="{00000000-0005-0000-0000-0000D3840000}"/>
    <cellStyle name="货币 2 3 4 4 2 2 2 2 2" xfId="6474" xr:uid="{00000000-0005-0000-0000-00007A190000}"/>
    <cellStyle name="货币 2 3 4 4 2 2 2 3" xfId="33957" xr:uid="{00000000-0005-0000-0000-0000D5840000}"/>
    <cellStyle name="货币 2 3 4 4 2 2 2 4" xfId="13371" xr:uid="{00000000-0005-0000-0000-00006B340000}"/>
    <cellStyle name="货币 2 3 4 4 2 2 2 5" xfId="18625" xr:uid="{00000000-0005-0000-0000-0000F1480000}"/>
    <cellStyle name="货币 2 3 4 4 2 2 3" xfId="43580" xr:uid="{00000000-0005-0000-0000-00006CAA0000}"/>
    <cellStyle name="货币 2 3 4 4 2 2 3 2" xfId="6977" xr:uid="{00000000-0005-0000-0000-0000711B0000}"/>
    <cellStyle name="货币 2 3 4 4 2 2 4" xfId="43581" xr:uid="{00000000-0005-0000-0000-00006DAA0000}"/>
    <cellStyle name="货币 2 3 4 4 2 2 5" xfId="43582" xr:uid="{00000000-0005-0000-0000-00006EAA0000}"/>
    <cellStyle name="货币 2 3 4 4 2 2 6" xfId="43583" xr:uid="{00000000-0005-0000-0000-00006FAA0000}"/>
    <cellStyle name="货币 2 3 4 4 2 2 7" xfId="43584" xr:uid="{00000000-0005-0000-0000-000070AA0000}"/>
    <cellStyle name="货币 2 3 4 4 2 2 8" xfId="43585" xr:uid="{00000000-0005-0000-0000-000071AA0000}"/>
    <cellStyle name="货币 2 3 4 4 2 2 9" xfId="43586" xr:uid="{00000000-0005-0000-0000-000072AA0000}"/>
    <cellStyle name="货币 2 3 4 4 2 3" xfId="27296" xr:uid="{00000000-0005-0000-0000-0000D06A0000}"/>
    <cellStyle name="货币 2 3 4 4 2 3 10" xfId="43587" xr:uid="{00000000-0005-0000-0000-000073AA0000}"/>
    <cellStyle name="货币 2 3 4 4 2 3 11" xfId="43588" xr:uid="{00000000-0005-0000-0000-000074AA0000}"/>
    <cellStyle name="货币 2 3 4 4 2 3 12" xfId="43589" xr:uid="{00000000-0005-0000-0000-000075AA0000}"/>
    <cellStyle name="货币 2 3 4 4 2 3 2" xfId="43590" xr:uid="{00000000-0005-0000-0000-000076AA0000}"/>
    <cellStyle name="货币 2 3 4 4 2 3 2 2" xfId="29561" xr:uid="{00000000-0005-0000-0000-0000A9730000}"/>
    <cellStyle name="货币 2 3 4 4 2 3 2 2 2" xfId="14564" xr:uid="{00000000-0005-0000-0000-000014390000}"/>
    <cellStyle name="货币 2 3 4 4 2 3 2 3" xfId="29564" xr:uid="{00000000-0005-0000-0000-0000AC730000}"/>
    <cellStyle name="货币 2 3 4 4 2 3 2 4" xfId="18674" xr:uid="{00000000-0005-0000-0000-000022490000}"/>
    <cellStyle name="货币 2 3 4 4 2 3 2 5" xfId="18678" xr:uid="{00000000-0005-0000-0000-000026490000}"/>
    <cellStyle name="货币 2 3 4 4 2 3 3" xfId="43591" xr:uid="{00000000-0005-0000-0000-000077AA0000}"/>
    <cellStyle name="货币 2 3 4 4 2 3 3 2" xfId="43592" xr:uid="{00000000-0005-0000-0000-000078AA0000}"/>
    <cellStyle name="货币 2 3 4 4 2 3 4" xfId="43593" xr:uid="{00000000-0005-0000-0000-000079AA0000}"/>
    <cellStyle name="货币 2 3 4 4 2 3 5" xfId="43594" xr:uid="{00000000-0005-0000-0000-00007AAA0000}"/>
    <cellStyle name="货币 2 3 4 4 2 3 6" xfId="43595" xr:uid="{00000000-0005-0000-0000-00007BAA0000}"/>
    <cellStyle name="货币 2 3 4 4 2 3 7" xfId="43596" xr:uid="{00000000-0005-0000-0000-00007CAA0000}"/>
    <cellStyle name="货币 2 3 4 4 2 3 8" xfId="43597" xr:uid="{00000000-0005-0000-0000-00007DAA0000}"/>
    <cellStyle name="货币 2 3 4 4 2 3 9" xfId="43598" xr:uid="{00000000-0005-0000-0000-00007EAA0000}"/>
    <cellStyle name="货币 2 3 4 4 2 4" xfId="27298" xr:uid="{00000000-0005-0000-0000-0000D26A0000}"/>
    <cellStyle name="货币 2 3 4 4 2 4 10" xfId="37061" xr:uid="{00000000-0005-0000-0000-0000F5900000}"/>
    <cellStyle name="货币 2 3 4 4 2 4 2" xfId="43599" xr:uid="{00000000-0005-0000-0000-00007FAA0000}"/>
    <cellStyle name="货币 2 3 4 4 2 4 2 2" xfId="34034" xr:uid="{00000000-0005-0000-0000-000022850000}"/>
    <cellStyle name="货币 2 3 4 4 2 4 2 2 2" xfId="43600" xr:uid="{00000000-0005-0000-0000-000080AA0000}"/>
    <cellStyle name="货币 2 3 4 4 2 4 2 3" xfId="29123" xr:uid="{00000000-0005-0000-0000-0000F3710000}"/>
    <cellStyle name="货币 2 3 4 4 2 4 2 4" xfId="43601" xr:uid="{00000000-0005-0000-0000-000081AA0000}"/>
    <cellStyle name="货币 2 3 4 4 2 4 2 5" xfId="43603" xr:uid="{00000000-0005-0000-0000-000083AA0000}"/>
    <cellStyle name="货币 2 3 4 4 2 4 3" xfId="43604" xr:uid="{00000000-0005-0000-0000-000084AA0000}"/>
    <cellStyle name="货币 2 3 4 4 2 4 3 2" xfId="43605" xr:uid="{00000000-0005-0000-0000-000085AA0000}"/>
    <cellStyle name="货币 2 3 4 4 2 4 4" xfId="43606" xr:uid="{00000000-0005-0000-0000-000086AA0000}"/>
    <cellStyle name="货币 2 3 4 4 2 4 5" xfId="43607" xr:uid="{00000000-0005-0000-0000-000087AA0000}"/>
    <cellStyle name="货币 2 3 4 4 2 4 6" xfId="301" xr:uid="{00000000-0005-0000-0000-000041010000}"/>
    <cellStyle name="货币 2 3 4 4 2 4 7" xfId="323" xr:uid="{00000000-0005-0000-0000-000059010000}"/>
    <cellStyle name="货币 2 3 4 4 2 4 8" xfId="194" xr:uid="{00000000-0005-0000-0000-0000D1000000}"/>
    <cellStyle name="货币 2 3 4 4 2 4 9" xfId="3263" xr:uid="{00000000-0005-0000-0000-0000EF0C0000}"/>
    <cellStyle name="货币 2 3 4 4 2 5" xfId="27300" xr:uid="{00000000-0005-0000-0000-0000D46A0000}"/>
    <cellStyle name="货币 2 3 4 4 2 5 10" xfId="43608" xr:uid="{00000000-0005-0000-0000-000088AA0000}"/>
    <cellStyle name="货币 2 3 4 4 2 5 2" xfId="43609" xr:uid="{00000000-0005-0000-0000-000089AA0000}"/>
    <cellStyle name="货币 2 3 4 4 2 5 2 2" xfId="43610" xr:uid="{00000000-0005-0000-0000-00008AAA0000}"/>
    <cellStyle name="货币 2 3 4 4 2 5 2 2 2" xfId="43611" xr:uid="{00000000-0005-0000-0000-00008BAA0000}"/>
    <cellStyle name="货币 2 3 4 4 2 5 2 3" xfId="43612" xr:uid="{00000000-0005-0000-0000-00008CAA0000}"/>
    <cellStyle name="货币 2 3 4 4 2 5 2 4" xfId="43613" xr:uid="{00000000-0005-0000-0000-00008DAA0000}"/>
    <cellStyle name="货币 2 3 4 4 2 5 2 5" xfId="43614" xr:uid="{00000000-0005-0000-0000-00008EAA0000}"/>
    <cellStyle name="货币 2 3 4 4 2 5 3" xfId="43615" xr:uid="{00000000-0005-0000-0000-00008FAA0000}"/>
    <cellStyle name="货币 2 3 4 4 2 5 3 2" xfId="43616" xr:uid="{00000000-0005-0000-0000-000090AA0000}"/>
    <cellStyle name="货币 2 3 4 4 2 5 4" xfId="43617" xr:uid="{00000000-0005-0000-0000-000091AA0000}"/>
    <cellStyle name="货币 2 3 4 4 2 5 5" xfId="43618" xr:uid="{00000000-0005-0000-0000-000092AA0000}"/>
    <cellStyle name="货币 2 3 4 4 2 5 6" xfId="3325" xr:uid="{00000000-0005-0000-0000-00002D0D0000}"/>
    <cellStyle name="货币 2 3 4 4 2 5 7" xfId="3328" xr:uid="{00000000-0005-0000-0000-0000300D0000}"/>
    <cellStyle name="货币 2 3 4 4 2 5 8" xfId="3331" xr:uid="{00000000-0005-0000-0000-0000330D0000}"/>
    <cellStyle name="货币 2 3 4 4 2 5 9" xfId="3347" xr:uid="{00000000-0005-0000-0000-0000430D0000}"/>
    <cellStyle name="货币 2 3 4 4 2 6" xfId="27302" xr:uid="{00000000-0005-0000-0000-0000D66A0000}"/>
    <cellStyle name="货币 2 3 4 4 2 6 2" xfId="43619" xr:uid="{00000000-0005-0000-0000-000093AA0000}"/>
    <cellStyle name="货币 2 3 4 4 2 6 2 2" xfId="43620" xr:uid="{00000000-0005-0000-0000-000094AA0000}"/>
    <cellStyle name="货币 2 3 4 4 2 6 3" xfId="43621" xr:uid="{00000000-0005-0000-0000-000095AA0000}"/>
    <cellStyle name="货币 2 3 4 4 2 6 4" xfId="43622" xr:uid="{00000000-0005-0000-0000-000096AA0000}"/>
    <cellStyle name="货币 2 3 4 4 2 6 5" xfId="14921" xr:uid="{00000000-0005-0000-0000-0000793A0000}"/>
    <cellStyle name="货币 2 3 4 4 2 6 6" xfId="3375" xr:uid="{00000000-0005-0000-0000-00005F0D0000}"/>
    <cellStyle name="货币 2 3 4 4 2 6 7" xfId="14989" xr:uid="{00000000-0005-0000-0000-0000BD3A0000}"/>
    <cellStyle name="货币 2 3 4 4 2 6 8" xfId="13777" xr:uid="{00000000-0005-0000-0000-000001360000}"/>
    <cellStyle name="货币 2 3 4 4 2 6 9" xfId="13781" xr:uid="{00000000-0005-0000-0000-000005360000}"/>
    <cellStyle name="货币 2 3 4 4 2 7" xfId="8640" xr:uid="{00000000-0005-0000-0000-0000F0210000}"/>
    <cellStyle name="货币 2 3 4 4 2 7 2" xfId="43623" xr:uid="{00000000-0005-0000-0000-000097AA0000}"/>
    <cellStyle name="货币 2 3 4 4 2 8" xfId="27304" xr:uid="{00000000-0005-0000-0000-0000D86A0000}"/>
    <cellStyle name="货币 2 3 4 4 2 9" xfId="27306" xr:uid="{00000000-0005-0000-0000-0000DA6A0000}"/>
    <cellStyle name="货币 2 3 4 4 20" xfId="43557" xr:uid="{00000000-0005-0000-0000-000055AA0000}"/>
    <cellStyle name="货币 2 3 4 4 21" xfId="9332" xr:uid="{00000000-0005-0000-0000-0000A4240000}"/>
    <cellStyle name="货币 2 3 4 4 22" xfId="43560" xr:uid="{00000000-0005-0000-0000-000058AA0000}"/>
    <cellStyle name="货币 2 3 4 4 23" xfId="43563" xr:uid="{00000000-0005-0000-0000-00005BAA0000}"/>
    <cellStyle name="货币 2 3 4 4 3" xfId="43625" xr:uid="{00000000-0005-0000-0000-000099AA0000}"/>
    <cellStyle name="货币 2 3 4 4 3 10" xfId="43626" xr:uid="{00000000-0005-0000-0000-00009AAA0000}"/>
    <cellStyle name="货币 2 3 4 4 3 11" xfId="42069" xr:uid="{00000000-0005-0000-0000-000085A40000}"/>
    <cellStyle name="货币 2 3 4 4 3 12" xfId="42071" xr:uid="{00000000-0005-0000-0000-000087A40000}"/>
    <cellStyle name="货币 2 3 4 4 3 13" xfId="42073" xr:uid="{00000000-0005-0000-0000-000089A40000}"/>
    <cellStyle name="货币 2 3 4 4 3 14" xfId="42075" xr:uid="{00000000-0005-0000-0000-00008BA40000}"/>
    <cellStyle name="货币 2 3 4 4 3 15" xfId="33464" xr:uid="{00000000-0005-0000-0000-0000E8820000}"/>
    <cellStyle name="货币 2 3 4 4 3 16" xfId="43627" xr:uid="{00000000-0005-0000-0000-00009BAA0000}"/>
    <cellStyle name="货币 2 3 4 4 3 17" xfId="43628" xr:uid="{00000000-0005-0000-0000-00009CAA0000}"/>
    <cellStyle name="货币 2 3 4 4 3 18" xfId="43629" xr:uid="{00000000-0005-0000-0000-00009DAA0000}"/>
    <cellStyle name="货币 2 3 4 4 3 2" xfId="43630" xr:uid="{00000000-0005-0000-0000-00009EAA0000}"/>
    <cellStyle name="货币 2 3 4 4 3 2 10" xfId="43631" xr:uid="{00000000-0005-0000-0000-00009FAA0000}"/>
    <cellStyle name="货币 2 3 4 4 3 2 2" xfId="43632" xr:uid="{00000000-0005-0000-0000-0000A0AA0000}"/>
    <cellStyle name="货币 2 3 4 4 3 2 2 2" xfId="31836" xr:uid="{00000000-0005-0000-0000-00008C7C0000}"/>
    <cellStyle name="货币 2 3 4 4 3 2 3" xfId="43633" xr:uid="{00000000-0005-0000-0000-0000A1AA0000}"/>
    <cellStyle name="货币 2 3 4 4 3 2 4" xfId="43634" xr:uid="{00000000-0005-0000-0000-0000A2AA0000}"/>
    <cellStyle name="货币 2 3 4 4 3 2 5" xfId="43635" xr:uid="{00000000-0005-0000-0000-0000A3AA0000}"/>
    <cellStyle name="货币 2 3 4 4 3 2 6" xfId="43636" xr:uid="{00000000-0005-0000-0000-0000A4AA0000}"/>
    <cellStyle name="货币 2 3 4 4 3 2 7" xfId="43637" xr:uid="{00000000-0005-0000-0000-0000A5AA0000}"/>
    <cellStyle name="货币 2 3 4 4 3 2 8" xfId="43638" xr:uid="{00000000-0005-0000-0000-0000A6AA0000}"/>
    <cellStyle name="货币 2 3 4 4 3 2 9" xfId="43639" xr:uid="{00000000-0005-0000-0000-0000A7AA0000}"/>
    <cellStyle name="货币 2 3 4 4 3 3" xfId="43640" xr:uid="{00000000-0005-0000-0000-0000A8AA0000}"/>
    <cellStyle name="货币 2 3 4 4 3 3 2" xfId="43641" xr:uid="{00000000-0005-0000-0000-0000A9AA0000}"/>
    <cellStyle name="货币 2 3 4 4 3 3 3" xfId="43642" xr:uid="{00000000-0005-0000-0000-0000AAAA0000}"/>
    <cellStyle name="货币 2 3 4 4 3 3 4" xfId="43643" xr:uid="{00000000-0005-0000-0000-0000ABAA0000}"/>
    <cellStyle name="货币 2 3 4 4 3 3 5" xfId="43644" xr:uid="{00000000-0005-0000-0000-0000ACAA0000}"/>
    <cellStyle name="货币 2 3 4 4 3 3 6" xfId="43645" xr:uid="{00000000-0005-0000-0000-0000ADAA0000}"/>
    <cellStyle name="货币 2 3 4 4 3 4" xfId="43646" xr:uid="{00000000-0005-0000-0000-0000AEAA0000}"/>
    <cellStyle name="货币 2 3 4 4 3 4 2" xfId="43647" xr:uid="{00000000-0005-0000-0000-0000AFAA0000}"/>
    <cellStyle name="货币 2 3 4 4 3 4 3" xfId="43648" xr:uid="{00000000-0005-0000-0000-0000B0AA0000}"/>
    <cellStyle name="货币 2 3 4 4 3 4 4" xfId="43649" xr:uid="{00000000-0005-0000-0000-0000B1AA0000}"/>
    <cellStyle name="货币 2 3 4 4 3 4 5" xfId="43650" xr:uid="{00000000-0005-0000-0000-0000B2AA0000}"/>
    <cellStyle name="货币 2 3 4 4 3 4 6" xfId="1492" xr:uid="{00000000-0005-0000-0000-000004060000}"/>
    <cellStyle name="货币 2 3 4 4 3 5" xfId="43651" xr:uid="{00000000-0005-0000-0000-0000B3AA0000}"/>
    <cellStyle name="货币 2 3 4 4 3 5 2" xfId="43652" xr:uid="{00000000-0005-0000-0000-0000B4AA0000}"/>
    <cellStyle name="货币 2 3 4 4 3 5 3" xfId="43653" xr:uid="{00000000-0005-0000-0000-0000B5AA0000}"/>
    <cellStyle name="货币 2 3 4 4 3 5 4" xfId="37362" xr:uid="{00000000-0005-0000-0000-000022920000}"/>
    <cellStyle name="货币 2 3 4 4 3 5 5" xfId="43654" xr:uid="{00000000-0005-0000-0000-0000B6AA0000}"/>
    <cellStyle name="货币 2 3 4 4 3 5 6" xfId="3490" xr:uid="{00000000-0005-0000-0000-0000D20D0000}"/>
    <cellStyle name="货币 2 3 4 4 3 6" xfId="43655" xr:uid="{00000000-0005-0000-0000-0000B7AA0000}"/>
    <cellStyle name="货币 2 3 4 4 3 6 2" xfId="43656" xr:uid="{00000000-0005-0000-0000-0000B8AA0000}"/>
    <cellStyle name="货币 2 3 4 4 3 6 3" xfId="43657" xr:uid="{00000000-0005-0000-0000-0000B9AA0000}"/>
    <cellStyle name="货币 2 3 4 4 3 6 4" xfId="15283" xr:uid="{00000000-0005-0000-0000-0000E33B0000}"/>
    <cellStyle name="货币 2 3 4 4 3 6 5" xfId="15333" xr:uid="{00000000-0005-0000-0000-0000153C0000}"/>
    <cellStyle name="货币 2 3 4 4 3 6 6" xfId="3494" xr:uid="{00000000-0005-0000-0000-0000D60D0000}"/>
    <cellStyle name="货币 2 3 4 4 3 7" xfId="30931" xr:uid="{00000000-0005-0000-0000-000003790000}"/>
    <cellStyle name="货币 2 3 4 4 3 8" xfId="30933" xr:uid="{00000000-0005-0000-0000-000005790000}"/>
    <cellStyle name="货币 2 3 4 4 3 9" xfId="30935" xr:uid="{00000000-0005-0000-0000-000007790000}"/>
    <cellStyle name="货币 2 3 4 4 4" xfId="43658" xr:uid="{00000000-0005-0000-0000-0000BAAA0000}"/>
    <cellStyle name="货币 2 3 4 4 4 10" xfId="43659" xr:uid="{00000000-0005-0000-0000-0000BBAA0000}"/>
    <cellStyle name="货币 2 3 4 4 4 11" xfId="34420" xr:uid="{00000000-0005-0000-0000-0000A4860000}"/>
    <cellStyle name="货币 2 3 4 4 4 12" xfId="34422" xr:uid="{00000000-0005-0000-0000-0000A6860000}"/>
    <cellStyle name="货币 2 3 4 4 4 13" xfId="34424" xr:uid="{00000000-0005-0000-0000-0000A8860000}"/>
    <cellStyle name="货币 2 3 4 4 4 14" xfId="25957" xr:uid="{00000000-0005-0000-0000-000095650000}"/>
    <cellStyle name="货币 2 3 4 4 4 15" xfId="20892" xr:uid="{00000000-0005-0000-0000-0000CC510000}"/>
    <cellStyle name="货币 2 3 4 4 4 2" xfId="29881" xr:uid="{00000000-0005-0000-0000-0000E9740000}"/>
    <cellStyle name="货币 2 3 4 4 4 2 2" xfId="43660" xr:uid="{00000000-0005-0000-0000-0000BCAA0000}"/>
    <cellStyle name="货币 2 3 4 4 4 2 2 2" xfId="43662" xr:uid="{00000000-0005-0000-0000-0000BEAA0000}"/>
    <cellStyle name="货币 2 3 4 4 4 2 3" xfId="43663" xr:uid="{00000000-0005-0000-0000-0000BFAA0000}"/>
    <cellStyle name="货币 2 3 4 4 4 2 4" xfId="43664" xr:uid="{00000000-0005-0000-0000-0000C0AA0000}"/>
    <cellStyle name="货币 2 3 4 4 4 2 5" xfId="43665" xr:uid="{00000000-0005-0000-0000-0000C1AA0000}"/>
    <cellStyle name="货币 2 3 4 4 4 2 6" xfId="43666" xr:uid="{00000000-0005-0000-0000-0000C2AA0000}"/>
    <cellStyle name="货币 2 3 4 4 4 2 7" xfId="43667" xr:uid="{00000000-0005-0000-0000-0000C3AA0000}"/>
    <cellStyle name="货币 2 3 4 4 4 2 8" xfId="43668" xr:uid="{00000000-0005-0000-0000-0000C4AA0000}"/>
    <cellStyle name="货币 2 3 4 4 4 2 9" xfId="43669" xr:uid="{00000000-0005-0000-0000-0000C5AA0000}"/>
    <cellStyle name="货币 2 3 4 4 4 3" xfId="4228" xr:uid="{00000000-0005-0000-0000-0000B4100000}"/>
    <cellStyle name="货币 2 3 4 4 4 3 2" xfId="43670" xr:uid="{00000000-0005-0000-0000-0000C6AA0000}"/>
    <cellStyle name="货币 2 3 4 4 4 3 3" xfId="43671" xr:uid="{00000000-0005-0000-0000-0000C7AA0000}"/>
    <cellStyle name="货币 2 3 4 4 4 3 4" xfId="43672" xr:uid="{00000000-0005-0000-0000-0000C8AA0000}"/>
    <cellStyle name="货币 2 3 4 4 4 3 5" xfId="43673" xr:uid="{00000000-0005-0000-0000-0000C9AA0000}"/>
    <cellStyle name="货币 2 3 4 4 4 3 6" xfId="43674" xr:uid="{00000000-0005-0000-0000-0000CAAA0000}"/>
    <cellStyle name="货币 2 3 4 4 4 4" xfId="29884" xr:uid="{00000000-0005-0000-0000-0000EC740000}"/>
    <cellStyle name="货币 2 3 4 4 4 4 2" xfId="43675" xr:uid="{00000000-0005-0000-0000-0000CBAA0000}"/>
    <cellStyle name="货币 2 3 4 4 4 5" xfId="29887" xr:uid="{00000000-0005-0000-0000-0000EF740000}"/>
    <cellStyle name="货币 2 3 4 4 4 6" xfId="29890" xr:uid="{00000000-0005-0000-0000-0000F2740000}"/>
    <cellStyle name="货币 2 3 4 4 4 7" xfId="29892" xr:uid="{00000000-0005-0000-0000-0000F4740000}"/>
    <cellStyle name="货币 2 3 4 4 4 8" xfId="29895" xr:uid="{00000000-0005-0000-0000-0000F7740000}"/>
    <cellStyle name="货币 2 3 4 4 4 9" xfId="29897" xr:uid="{00000000-0005-0000-0000-0000F9740000}"/>
    <cellStyle name="货币 2 3 4 4 5" xfId="43676" xr:uid="{00000000-0005-0000-0000-0000CCAA0000}"/>
    <cellStyle name="货币 2 3 4 4 5 10" xfId="43677" xr:uid="{00000000-0005-0000-0000-0000CDAA0000}"/>
    <cellStyle name="货币 2 3 4 4 5 11" xfId="43678" xr:uid="{00000000-0005-0000-0000-0000CEAA0000}"/>
    <cellStyle name="货币 2 3 4 4 5 12" xfId="37501" xr:uid="{00000000-0005-0000-0000-0000AD920000}"/>
    <cellStyle name="货币 2 3 4 4 5 13" xfId="37507" xr:uid="{00000000-0005-0000-0000-0000B3920000}"/>
    <cellStyle name="货币 2 3 4 4 5 2" xfId="43679" xr:uid="{00000000-0005-0000-0000-0000CFAA0000}"/>
    <cellStyle name="货币 2 3 4 4 5 2 2" xfId="43681" xr:uid="{00000000-0005-0000-0000-0000D1AA0000}"/>
    <cellStyle name="货币 2 3 4 4 5 2 2 2" xfId="43683" xr:uid="{00000000-0005-0000-0000-0000D3AA0000}"/>
    <cellStyle name="货币 2 3 4 4 5 2 3" xfId="43685" xr:uid="{00000000-0005-0000-0000-0000D5AA0000}"/>
    <cellStyle name="货币 2 3 4 4 5 2 4" xfId="43687" xr:uid="{00000000-0005-0000-0000-0000D7AA0000}"/>
    <cellStyle name="货币 2 3 4 4 5 2 5" xfId="43688" xr:uid="{00000000-0005-0000-0000-0000D8AA0000}"/>
    <cellStyle name="货币 2 3 4 4 5 2 6" xfId="43689" xr:uid="{00000000-0005-0000-0000-0000D9AA0000}"/>
    <cellStyle name="货币 2 3 4 4 5 2 7" xfId="37165" xr:uid="{00000000-0005-0000-0000-00005D910000}"/>
    <cellStyle name="货币 2 3 4 4 5 2 8" xfId="37169" xr:uid="{00000000-0005-0000-0000-000061910000}"/>
    <cellStyle name="货币 2 3 4 4 5 2 9" xfId="37171" xr:uid="{00000000-0005-0000-0000-000063910000}"/>
    <cellStyle name="货币 2 3 4 4 5 3" xfId="43690" xr:uid="{00000000-0005-0000-0000-0000DAAA0000}"/>
    <cellStyle name="货币 2 3 4 4 5 3 2" xfId="43691" xr:uid="{00000000-0005-0000-0000-0000DBAA0000}"/>
    <cellStyle name="货币 2 3 4 4 5 3 3" xfId="43692" xr:uid="{00000000-0005-0000-0000-0000DCAA0000}"/>
    <cellStyle name="货币 2 3 4 4 5 3 4" xfId="43693" xr:uid="{00000000-0005-0000-0000-0000DDAA0000}"/>
    <cellStyle name="货币 2 3 4 4 5 3 5" xfId="43694" xr:uid="{00000000-0005-0000-0000-0000DEAA0000}"/>
    <cellStyle name="货币 2 3 4 4 5 3 6" xfId="43695" xr:uid="{00000000-0005-0000-0000-0000DFAA0000}"/>
    <cellStyle name="货币 2 3 4 4 5 4" xfId="43696" xr:uid="{00000000-0005-0000-0000-0000E0AA0000}"/>
    <cellStyle name="货币 2 3 4 4 5 4 2" xfId="22535" xr:uid="{00000000-0005-0000-0000-000037580000}"/>
    <cellStyle name="货币 2 3 4 4 5 5" xfId="42706" xr:uid="{00000000-0005-0000-0000-000002A70000}"/>
    <cellStyle name="货币 2 3 4 4 5 6" xfId="42709" xr:uid="{00000000-0005-0000-0000-000005A70000}"/>
    <cellStyle name="货币 2 3 4 4 5 7" xfId="42711" xr:uid="{00000000-0005-0000-0000-000007A70000}"/>
    <cellStyle name="货币 2 3 4 4 5 8" xfId="42713" xr:uid="{00000000-0005-0000-0000-000009A70000}"/>
    <cellStyle name="货币 2 3 4 4 5 9" xfId="36295" xr:uid="{00000000-0005-0000-0000-0000F78D0000}"/>
    <cellStyle name="货币 2 3 4 4 6" xfId="43697" xr:uid="{00000000-0005-0000-0000-0000E1AA0000}"/>
    <cellStyle name="货币 2 3 4 4 6 10" xfId="19909" xr:uid="{00000000-0005-0000-0000-0000F54D0000}"/>
    <cellStyle name="货币 2 3 4 4 6 11" xfId="19916" xr:uid="{00000000-0005-0000-0000-0000FC4D0000}"/>
    <cellStyle name="货币 2 3 4 4 6 12" xfId="19924" xr:uid="{00000000-0005-0000-0000-0000044E0000}"/>
    <cellStyle name="货币 2 3 4 4 6 2" xfId="43698" xr:uid="{00000000-0005-0000-0000-0000E2AA0000}"/>
    <cellStyle name="货币 2 3 4 4 6 2 2" xfId="43699" xr:uid="{00000000-0005-0000-0000-0000E3AA0000}"/>
    <cellStyle name="货币 2 3 4 4 6 2 2 2" xfId="43701" xr:uid="{00000000-0005-0000-0000-0000E5AA0000}"/>
    <cellStyle name="货币 2 3 4 4 6 2 3" xfId="43702" xr:uid="{00000000-0005-0000-0000-0000E6AA0000}"/>
    <cellStyle name="货币 2 3 4 4 6 2 4" xfId="43703" xr:uid="{00000000-0005-0000-0000-0000E7AA0000}"/>
    <cellStyle name="货币 2 3 4 4 6 2 5" xfId="43704" xr:uid="{00000000-0005-0000-0000-0000E8AA0000}"/>
    <cellStyle name="货币 2 3 4 4 6 2 6" xfId="43705" xr:uid="{00000000-0005-0000-0000-0000E9AA0000}"/>
    <cellStyle name="货币 2 3 4 4 6 2 7" xfId="37217" xr:uid="{00000000-0005-0000-0000-000091910000}"/>
    <cellStyle name="货币 2 3 4 4 6 2 8" xfId="37219" xr:uid="{00000000-0005-0000-0000-000093910000}"/>
    <cellStyle name="货币 2 3 4 4 6 2 9" xfId="37221" xr:uid="{00000000-0005-0000-0000-000095910000}"/>
    <cellStyle name="货币 2 3 4 4 6 3" xfId="43706" xr:uid="{00000000-0005-0000-0000-0000EAAA0000}"/>
    <cellStyle name="货币 2 3 4 4 6 3 2" xfId="43707" xr:uid="{00000000-0005-0000-0000-0000EBAA0000}"/>
    <cellStyle name="货币 2 3 4 4 6 3 3" xfId="43708" xr:uid="{00000000-0005-0000-0000-0000ECAA0000}"/>
    <cellStyle name="货币 2 3 4 4 6 3 4" xfId="43709" xr:uid="{00000000-0005-0000-0000-0000EDAA0000}"/>
    <cellStyle name="货币 2 3 4 4 6 3 5" xfId="43710" xr:uid="{00000000-0005-0000-0000-0000EEAA0000}"/>
    <cellStyle name="货币 2 3 4 4 6 3 6" xfId="43711" xr:uid="{00000000-0005-0000-0000-0000EFAA0000}"/>
    <cellStyle name="货币 2 3 4 4 6 4" xfId="43712" xr:uid="{00000000-0005-0000-0000-0000F0AA0000}"/>
    <cellStyle name="货币 2 3 4 4 6 4 2" xfId="43713" xr:uid="{00000000-0005-0000-0000-0000F1AA0000}"/>
    <cellStyle name="货币 2 3 4 4 6 5" xfId="42716" xr:uid="{00000000-0005-0000-0000-00000CA70000}"/>
    <cellStyle name="货币 2 3 4 4 6 6" xfId="43714" xr:uid="{00000000-0005-0000-0000-0000F2AA0000}"/>
    <cellStyle name="货币 2 3 4 4 6 7" xfId="43715" xr:uid="{00000000-0005-0000-0000-0000F3AA0000}"/>
    <cellStyle name="货币 2 3 4 4 6 8" xfId="14853" xr:uid="{00000000-0005-0000-0000-0000353A0000}"/>
    <cellStyle name="货币 2 3 4 4 6 9" xfId="14857" xr:uid="{00000000-0005-0000-0000-0000393A0000}"/>
    <cellStyle name="货币 2 3 4 4 7" xfId="43716" xr:uid="{00000000-0005-0000-0000-0000F4AA0000}"/>
    <cellStyle name="货币 2 3 4 4 7 2" xfId="27331" xr:uid="{00000000-0005-0000-0000-0000F36A0000}"/>
    <cellStyle name="货币 2 3 4 4 7 2 2" xfId="43717" xr:uid="{00000000-0005-0000-0000-0000F5AA0000}"/>
    <cellStyle name="货币 2 3 4 4 7 3" xfId="27334" xr:uid="{00000000-0005-0000-0000-0000F66A0000}"/>
    <cellStyle name="货币 2 3 4 4 7 4" xfId="27337" xr:uid="{00000000-0005-0000-0000-0000F96A0000}"/>
    <cellStyle name="货币 2 3 4 4 7 5" xfId="27339" xr:uid="{00000000-0005-0000-0000-0000FB6A0000}"/>
    <cellStyle name="货币 2 3 4 4 7 6" xfId="27341" xr:uid="{00000000-0005-0000-0000-0000FD6A0000}"/>
    <cellStyle name="货币 2 3 4 4 7 7" xfId="27343" xr:uid="{00000000-0005-0000-0000-0000FF6A0000}"/>
    <cellStyle name="货币 2 3 4 4 7 8" xfId="27345" xr:uid="{00000000-0005-0000-0000-0000016B0000}"/>
    <cellStyle name="货币 2 3 4 4 7 9" xfId="27347" xr:uid="{00000000-0005-0000-0000-0000036B0000}"/>
    <cellStyle name="货币 2 3 4 4 8" xfId="43718" xr:uid="{00000000-0005-0000-0000-0000F6AA0000}"/>
    <cellStyle name="货币 2 3 4 4 8 2" xfId="36238" xr:uid="{00000000-0005-0000-0000-0000BE8D0000}"/>
    <cellStyle name="货币 2 3 4 4 8 3" xfId="36240" xr:uid="{00000000-0005-0000-0000-0000C08D0000}"/>
    <cellStyle name="货币 2 3 4 4 8 4" xfId="36242" xr:uid="{00000000-0005-0000-0000-0000C28D0000}"/>
    <cellStyle name="货币 2 3 4 4 8 5" xfId="36244" xr:uid="{00000000-0005-0000-0000-0000C48D0000}"/>
    <cellStyle name="货币 2 3 4 4 8 6" xfId="43719" xr:uid="{00000000-0005-0000-0000-0000F7AA0000}"/>
    <cellStyle name="货币 2 3 4 4 9" xfId="43720" xr:uid="{00000000-0005-0000-0000-0000F8AA0000}"/>
    <cellStyle name="货币 2 3 4 4 9 2" xfId="36247" xr:uid="{00000000-0005-0000-0000-0000C78D0000}"/>
    <cellStyle name="货币 2 3 4 4 9 3" xfId="18939" xr:uid="{00000000-0005-0000-0000-00002B4A0000}"/>
    <cellStyle name="货币 2 3 4 4 9 4" xfId="18944" xr:uid="{00000000-0005-0000-0000-0000304A0000}"/>
    <cellStyle name="货币 2 3 4 4 9 5" xfId="25382" xr:uid="{00000000-0005-0000-0000-000056630000}"/>
    <cellStyle name="货币 2 3 4 4 9 6" xfId="43721" xr:uid="{00000000-0005-0000-0000-0000F9AA0000}"/>
    <cellStyle name="货币 2 3 4 5" xfId="32769" xr:uid="{00000000-0005-0000-0000-000031800000}"/>
    <cellStyle name="货币 2 3 4 5 10" xfId="43722" xr:uid="{00000000-0005-0000-0000-0000FAAA0000}"/>
    <cellStyle name="货币 2 3 4 5 11" xfId="43724" xr:uid="{00000000-0005-0000-0000-0000FCAA0000}"/>
    <cellStyle name="货币 2 3 4 5 12" xfId="43726" xr:uid="{00000000-0005-0000-0000-0000FEAA0000}"/>
    <cellStyle name="货币 2 3 4 5 13" xfId="43728" xr:uid="{00000000-0005-0000-0000-000000AB0000}"/>
    <cellStyle name="货币 2 3 4 5 14" xfId="43730" xr:uid="{00000000-0005-0000-0000-000002AB0000}"/>
    <cellStyle name="货币 2 3 4 5 15" xfId="43732" xr:uid="{00000000-0005-0000-0000-000004AB0000}"/>
    <cellStyle name="货币 2 3 4 5 16" xfId="31097" xr:uid="{00000000-0005-0000-0000-0000A9790000}"/>
    <cellStyle name="货币 2 3 4 5 17" xfId="43734" xr:uid="{00000000-0005-0000-0000-000006AB0000}"/>
    <cellStyle name="货币 2 3 4 5 18" xfId="43736" xr:uid="{00000000-0005-0000-0000-000008AB0000}"/>
    <cellStyle name="货币 2 3 4 5 2" xfId="43737" xr:uid="{00000000-0005-0000-0000-000009AB0000}"/>
    <cellStyle name="货币 2 3 4 5 2 10" xfId="11551" xr:uid="{00000000-0005-0000-0000-00004F2D0000}"/>
    <cellStyle name="货币 2 3 4 5 2 11" xfId="11554" xr:uid="{00000000-0005-0000-0000-0000522D0000}"/>
    <cellStyle name="货币 2 3 4 5 2 12" xfId="642" xr:uid="{00000000-0005-0000-0000-0000AF020000}"/>
    <cellStyle name="货币 2 3 4 5 2 13" xfId="11556" xr:uid="{00000000-0005-0000-0000-0000542D0000}"/>
    <cellStyle name="货币 2 3 4 5 2 14" xfId="738" xr:uid="{00000000-0005-0000-0000-000012030000}"/>
    <cellStyle name="货币 2 3 4 5 2 2" xfId="43738" xr:uid="{00000000-0005-0000-0000-00000AAB0000}"/>
    <cellStyle name="货币 2 3 4 5 2 2 10" xfId="33534" xr:uid="{00000000-0005-0000-0000-00002E830000}"/>
    <cellStyle name="货币 2 3 4 5 2 2 2" xfId="43739" xr:uid="{00000000-0005-0000-0000-00000BAB0000}"/>
    <cellStyle name="货币 2 3 4 5 2 2 2 2" xfId="36221" xr:uid="{00000000-0005-0000-0000-0000AD8D0000}"/>
    <cellStyle name="货币 2 3 4 5 2 2 3" xfId="43741" xr:uid="{00000000-0005-0000-0000-00000DAB0000}"/>
    <cellStyle name="货币 2 3 4 5 2 2 4" xfId="43742" xr:uid="{00000000-0005-0000-0000-00000EAB0000}"/>
    <cellStyle name="货币 2 3 4 5 2 2 5" xfId="43743" xr:uid="{00000000-0005-0000-0000-00000FAB0000}"/>
    <cellStyle name="货币 2 3 4 5 2 2 6" xfId="43744" xr:uid="{00000000-0005-0000-0000-000010AB0000}"/>
    <cellStyle name="货币 2 3 4 5 2 2 7" xfId="43745" xr:uid="{00000000-0005-0000-0000-000011AB0000}"/>
    <cellStyle name="货币 2 3 4 5 2 2 8" xfId="43746" xr:uid="{00000000-0005-0000-0000-000012AB0000}"/>
    <cellStyle name="货币 2 3 4 5 2 2 9" xfId="43747" xr:uid="{00000000-0005-0000-0000-000013AB0000}"/>
    <cellStyle name="货币 2 3 4 5 2 3" xfId="43748" xr:uid="{00000000-0005-0000-0000-000014AB0000}"/>
    <cellStyle name="货币 2 3 4 5 2 3 2" xfId="43749" xr:uid="{00000000-0005-0000-0000-000015AB0000}"/>
    <cellStyle name="货币 2 3 4 5 2 3 3" xfId="43750" xr:uid="{00000000-0005-0000-0000-000016AB0000}"/>
    <cellStyle name="货币 2 3 4 5 2 3 4" xfId="43751" xr:uid="{00000000-0005-0000-0000-000017AB0000}"/>
    <cellStyle name="货币 2 3 4 5 2 3 5" xfId="43752" xr:uid="{00000000-0005-0000-0000-000018AB0000}"/>
    <cellStyle name="货币 2 3 4 5 2 3 6" xfId="43753" xr:uid="{00000000-0005-0000-0000-000019AB0000}"/>
    <cellStyle name="货币 2 3 4 5 2 4" xfId="43754" xr:uid="{00000000-0005-0000-0000-00001AAB0000}"/>
    <cellStyle name="货币 2 3 4 5 2 4 2" xfId="43755" xr:uid="{00000000-0005-0000-0000-00001BAB0000}"/>
    <cellStyle name="货币 2 3 4 5 2 4 3" xfId="43756" xr:uid="{00000000-0005-0000-0000-00001CAB0000}"/>
    <cellStyle name="货币 2 3 4 5 2 4 4" xfId="13475" xr:uid="{00000000-0005-0000-0000-0000D3340000}"/>
    <cellStyle name="货币 2 3 4 5 2 4 5" xfId="14177" xr:uid="{00000000-0005-0000-0000-000091370000}"/>
    <cellStyle name="货币 2 3 4 5 2 5" xfId="43757" xr:uid="{00000000-0005-0000-0000-00001DAB0000}"/>
    <cellStyle name="货币 2 3 4 5 2 6" xfId="43758" xr:uid="{00000000-0005-0000-0000-00001EAB0000}"/>
    <cellStyle name="货币 2 3 4 5 2 7" xfId="43759" xr:uid="{00000000-0005-0000-0000-00001FAB0000}"/>
    <cellStyle name="货币 2 3 4 5 2 8" xfId="43760" xr:uid="{00000000-0005-0000-0000-000020AB0000}"/>
    <cellStyle name="货币 2 3 4 5 2 9" xfId="23304" xr:uid="{00000000-0005-0000-0000-0000385B0000}"/>
    <cellStyle name="货币 2 3 4 5 3" xfId="43761" xr:uid="{00000000-0005-0000-0000-000021AB0000}"/>
    <cellStyle name="货币 2 3 4 5 3 10" xfId="43762" xr:uid="{00000000-0005-0000-0000-000022AB0000}"/>
    <cellStyle name="货币 2 3 4 5 3 11" xfId="4064" xr:uid="{00000000-0005-0000-0000-000010100000}"/>
    <cellStyle name="货币 2 3 4 5 3 12" xfId="5516" xr:uid="{00000000-0005-0000-0000-0000BC150000}"/>
    <cellStyle name="货币 2 3 4 5 3 2" xfId="43763" xr:uid="{00000000-0005-0000-0000-000023AB0000}"/>
    <cellStyle name="货币 2 3 4 5 3 2 2" xfId="43764" xr:uid="{00000000-0005-0000-0000-000024AB0000}"/>
    <cellStyle name="货币 2 3 4 5 3 2 2 2" xfId="38964" xr:uid="{00000000-0005-0000-0000-000064980000}"/>
    <cellStyle name="货币 2 3 4 5 3 2 3" xfId="43766" xr:uid="{00000000-0005-0000-0000-000026AB0000}"/>
    <cellStyle name="货币 2 3 4 5 3 2 4" xfId="43767" xr:uid="{00000000-0005-0000-0000-000027AB0000}"/>
    <cellStyle name="货币 2 3 4 5 3 2 5" xfId="43768" xr:uid="{00000000-0005-0000-0000-000028AB0000}"/>
    <cellStyle name="货币 2 3 4 5 3 3" xfId="43769" xr:uid="{00000000-0005-0000-0000-000029AB0000}"/>
    <cellStyle name="货币 2 3 4 5 3 3 2" xfId="43770" xr:uid="{00000000-0005-0000-0000-00002AAB0000}"/>
    <cellStyle name="货币 2 3 4 5 3 4" xfId="43771" xr:uid="{00000000-0005-0000-0000-00002BAB0000}"/>
    <cellStyle name="货币 2 3 4 5 3 5" xfId="43772" xr:uid="{00000000-0005-0000-0000-00002CAB0000}"/>
    <cellStyle name="货币 2 3 4 5 3 6" xfId="43773" xr:uid="{00000000-0005-0000-0000-00002DAB0000}"/>
    <cellStyle name="货币 2 3 4 5 3 7" xfId="30943" xr:uid="{00000000-0005-0000-0000-00000F790000}"/>
    <cellStyle name="货币 2 3 4 5 3 8" xfId="43774" xr:uid="{00000000-0005-0000-0000-00002EAB0000}"/>
    <cellStyle name="货币 2 3 4 5 3 9" xfId="43775" xr:uid="{00000000-0005-0000-0000-00002FAB0000}"/>
    <cellStyle name="货币 2 3 4 5 4" xfId="43776" xr:uid="{00000000-0005-0000-0000-000030AB0000}"/>
    <cellStyle name="货币 2 3 4 5 4 10" xfId="14068" xr:uid="{00000000-0005-0000-0000-000024370000}"/>
    <cellStyle name="货币 2 3 4 5 4 11" xfId="43777" xr:uid="{00000000-0005-0000-0000-000031AB0000}"/>
    <cellStyle name="货币 2 3 4 5 4 2" xfId="43778" xr:uid="{00000000-0005-0000-0000-000032AB0000}"/>
    <cellStyle name="货币 2 3 4 5 4 2 2" xfId="43779" xr:uid="{00000000-0005-0000-0000-000033AB0000}"/>
    <cellStyle name="货币 2 3 4 5 4 2 2 2" xfId="43780" xr:uid="{00000000-0005-0000-0000-000034AB0000}"/>
    <cellStyle name="货币 2 3 4 5 4 2 3" xfId="43782" xr:uid="{00000000-0005-0000-0000-000036AB0000}"/>
    <cellStyle name="货币 2 3 4 5 4 2 4" xfId="43783" xr:uid="{00000000-0005-0000-0000-000037AB0000}"/>
    <cellStyle name="货币 2 3 4 5 4 2 5" xfId="43784" xr:uid="{00000000-0005-0000-0000-000038AB0000}"/>
    <cellStyle name="货币 2 3 4 5 4 3" xfId="43785" xr:uid="{00000000-0005-0000-0000-000039AB0000}"/>
    <cellStyle name="货币 2 3 4 5 4 3 2" xfId="43786" xr:uid="{00000000-0005-0000-0000-00003AAB0000}"/>
    <cellStyle name="货币 2 3 4 5 4 4" xfId="43787" xr:uid="{00000000-0005-0000-0000-00003BAB0000}"/>
    <cellStyle name="货币 2 3 4 5 4 5" xfId="43789" xr:uid="{00000000-0005-0000-0000-00003DAB0000}"/>
    <cellStyle name="货币 2 3 4 5 4 6" xfId="43791" xr:uid="{00000000-0005-0000-0000-00003FAB0000}"/>
    <cellStyle name="货币 2 3 4 5 4 7" xfId="30946" xr:uid="{00000000-0005-0000-0000-000012790000}"/>
    <cellStyle name="货币 2 3 4 5 4 8" xfId="43793" xr:uid="{00000000-0005-0000-0000-000041AB0000}"/>
    <cellStyle name="货币 2 3 4 5 4 9" xfId="43795" xr:uid="{00000000-0005-0000-0000-000043AB0000}"/>
    <cellStyle name="货币 2 3 4 5 5" xfId="43796" xr:uid="{00000000-0005-0000-0000-000044AB0000}"/>
    <cellStyle name="货币 2 3 4 5 5 10" xfId="17006" xr:uid="{00000000-0005-0000-0000-00009E420000}"/>
    <cellStyle name="货币 2 3 4 5 5 2" xfId="43797" xr:uid="{00000000-0005-0000-0000-000045AB0000}"/>
    <cellStyle name="货币 2 3 4 5 5 2 2" xfId="43798" xr:uid="{00000000-0005-0000-0000-000046AB0000}"/>
    <cellStyle name="货币 2 3 4 5 5 2 2 2" xfId="43799" xr:uid="{00000000-0005-0000-0000-000047AB0000}"/>
    <cellStyle name="货币 2 3 4 5 5 2 3" xfId="43801" xr:uid="{00000000-0005-0000-0000-000049AB0000}"/>
    <cellStyle name="货币 2 3 4 5 5 2 4" xfId="43802" xr:uid="{00000000-0005-0000-0000-00004AAB0000}"/>
    <cellStyle name="货币 2 3 4 5 5 2 5" xfId="43803" xr:uid="{00000000-0005-0000-0000-00004BAB0000}"/>
    <cellStyle name="货币 2 3 4 5 5 3" xfId="43804" xr:uid="{00000000-0005-0000-0000-00004CAB0000}"/>
    <cellStyle name="货币 2 3 4 5 5 3 2" xfId="43805" xr:uid="{00000000-0005-0000-0000-00004DAB0000}"/>
    <cellStyle name="货币 2 3 4 5 5 4" xfId="43806" xr:uid="{00000000-0005-0000-0000-00004EAB0000}"/>
    <cellStyle name="货币 2 3 4 5 5 5" xfId="42726" xr:uid="{00000000-0005-0000-0000-000016A70000}"/>
    <cellStyle name="货币 2 3 4 5 5 6" xfId="42729" xr:uid="{00000000-0005-0000-0000-000019A70000}"/>
    <cellStyle name="货币 2 3 4 5 5 7" xfId="37660" xr:uid="{00000000-0005-0000-0000-00004C930000}"/>
    <cellStyle name="货币 2 3 4 5 5 8" xfId="42731" xr:uid="{00000000-0005-0000-0000-00001BA70000}"/>
    <cellStyle name="货币 2 3 4 5 5 9" xfId="43807" xr:uid="{00000000-0005-0000-0000-00004FAB0000}"/>
    <cellStyle name="货币 2 3 4 5 6" xfId="43808" xr:uid="{00000000-0005-0000-0000-000050AB0000}"/>
    <cellStyle name="货币 2 3 4 5 6 2" xfId="43809" xr:uid="{00000000-0005-0000-0000-000051AB0000}"/>
    <cellStyle name="货币 2 3 4 5 6 2 2" xfId="43810" xr:uid="{00000000-0005-0000-0000-000052AB0000}"/>
    <cellStyle name="货币 2 3 4 5 6 3" xfId="43811" xr:uid="{00000000-0005-0000-0000-000053AB0000}"/>
    <cellStyle name="货币 2 3 4 5 6 4" xfId="43812" xr:uid="{00000000-0005-0000-0000-000054AB0000}"/>
    <cellStyle name="货币 2 3 4 5 6 5" xfId="42734" xr:uid="{00000000-0005-0000-0000-00001EA70000}"/>
    <cellStyle name="货币 2 3 4 5 6 6" xfId="43813" xr:uid="{00000000-0005-0000-0000-000055AB0000}"/>
    <cellStyle name="货币 2 3 4 5 6 7" xfId="43814" xr:uid="{00000000-0005-0000-0000-000056AB0000}"/>
    <cellStyle name="货币 2 3 4 5 6 8" xfId="43815" xr:uid="{00000000-0005-0000-0000-000057AB0000}"/>
    <cellStyle name="货币 2 3 4 5 6 9" xfId="43816" xr:uid="{00000000-0005-0000-0000-000058AB0000}"/>
    <cellStyle name="货币 2 3 4 5 7" xfId="43817" xr:uid="{00000000-0005-0000-0000-000059AB0000}"/>
    <cellStyle name="货币 2 3 4 5 7 2" xfId="43818" xr:uid="{00000000-0005-0000-0000-00005AAB0000}"/>
    <cellStyle name="货币 2 3 4 5 8" xfId="43819" xr:uid="{00000000-0005-0000-0000-00005BAB0000}"/>
    <cellStyle name="货币 2 3 4 5 9" xfId="43820" xr:uid="{00000000-0005-0000-0000-00005CAB0000}"/>
    <cellStyle name="货币 2 3 4 6" xfId="32771" xr:uid="{00000000-0005-0000-0000-000033800000}"/>
    <cellStyle name="货币 2 3 4 6 10" xfId="43821" xr:uid="{00000000-0005-0000-0000-00005DAB0000}"/>
    <cellStyle name="货币 2 3 4 6 11" xfId="43823" xr:uid="{00000000-0005-0000-0000-00005FAB0000}"/>
    <cellStyle name="货币 2 3 4 6 12" xfId="43825" xr:uid="{00000000-0005-0000-0000-000061AB0000}"/>
    <cellStyle name="货币 2 3 4 6 13" xfId="43827" xr:uid="{00000000-0005-0000-0000-000063AB0000}"/>
    <cellStyle name="货币 2 3 4 6 14" xfId="43829" xr:uid="{00000000-0005-0000-0000-000065AB0000}"/>
    <cellStyle name="货币 2 3 4 6 15" xfId="43831" xr:uid="{00000000-0005-0000-0000-000067AB0000}"/>
    <cellStyle name="货币 2 3 4 6 16" xfId="39273" xr:uid="{00000000-0005-0000-0000-000099990000}"/>
    <cellStyle name="货币 2 3 4 6 17" xfId="39275" xr:uid="{00000000-0005-0000-0000-00009B990000}"/>
    <cellStyle name="货币 2 3 4 6 18" xfId="39277" xr:uid="{00000000-0005-0000-0000-00009D990000}"/>
    <cellStyle name="货币 2 3 4 6 2" xfId="43832" xr:uid="{00000000-0005-0000-0000-000068AB0000}"/>
    <cellStyle name="货币 2 3 4 6 2 10" xfId="43834" xr:uid="{00000000-0005-0000-0000-00006AAB0000}"/>
    <cellStyle name="货币 2 3 4 6 2 2" xfId="43835" xr:uid="{00000000-0005-0000-0000-00006BAB0000}"/>
    <cellStyle name="货币 2 3 4 6 2 2 2" xfId="23302" xr:uid="{00000000-0005-0000-0000-0000365B0000}"/>
    <cellStyle name="货币 2 3 4 6 2 3" xfId="43836" xr:uid="{00000000-0005-0000-0000-00006CAB0000}"/>
    <cellStyle name="货币 2 3 4 6 2 4" xfId="33628" xr:uid="{00000000-0005-0000-0000-00008C830000}"/>
    <cellStyle name="货币 2 3 4 6 2 5" xfId="43837" xr:uid="{00000000-0005-0000-0000-00006DAB0000}"/>
    <cellStyle name="货币 2 3 4 6 2 6" xfId="43838" xr:uid="{00000000-0005-0000-0000-00006EAB0000}"/>
    <cellStyle name="货币 2 3 4 6 2 7" xfId="43839" xr:uid="{00000000-0005-0000-0000-00006FAB0000}"/>
    <cellStyle name="货币 2 3 4 6 2 8" xfId="43841" xr:uid="{00000000-0005-0000-0000-000071AB0000}"/>
    <cellStyle name="货币 2 3 4 6 2 9" xfId="25303" xr:uid="{00000000-0005-0000-0000-000007630000}"/>
    <cellStyle name="货币 2 3 4 6 3" xfId="43842" xr:uid="{00000000-0005-0000-0000-000072AB0000}"/>
    <cellStyle name="货币 2 3 4 6 3 2" xfId="28372" xr:uid="{00000000-0005-0000-0000-0000046F0000}"/>
    <cellStyle name="货币 2 3 4 6 3 3" xfId="43843" xr:uid="{00000000-0005-0000-0000-000073AB0000}"/>
    <cellStyle name="货币 2 3 4 6 3 4" xfId="43844" xr:uid="{00000000-0005-0000-0000-000074AB0000}"/>
    <cellStyle name="货币 2 3 4 6 3 5" xfId="43845" xr:uid="{00000000-0005-0000-0000-000075AB0000}"/>
    <cellStyle name="货币 2 3 4 6 3 6" xfId="43846" xr:uid="{00000000-0005-0000-0000-000076AB0000}"/>
    <cellStyle name="货币 2 3 4 6 4" xfId="43847" xr:uid="{00000000-0005-0000-0000-000077AB0000}"/>
    <cellStyle name="货币 2 3 4 6 4 2" xfId="43848" xr:uid="{00000000-0005-0000-0000-000078AB0000}"/>
    <cellStyle name="货币 2 3 4 6 4 3" xfId="43849" xr:uid="{00000000-0005-0000-0000-000079AB0000}"/>
    <cellStyle name="货币 2 3 4 6 4 4" xfId="43850" xr:uid="{00000000-0005-0000-0000-00007AAB0000}"/>
    <cellStyle name="货币 2 3 4 6 4 5" xfId="43851" xr:uid="{00000000-0005-0000-0000-00007BAB0000}"/>
    <cellStyle name="货币 2 3 4 6 4 6" xfId="43852" xr:uid="{00000000-0005-0000-0000-00007CAB0000}"/>
    <cellStyle name="货币 2 3 4 6 5" xfId="43853" xr:uid="{00000000-0005-0000-0000-00007DAB0000}"/>
    <cellStyle name="货币 2 3 4 6 5 2" xfId="43854" xr:uid="{00000000-0005-0000-0000-00007EAB0000}"/>
    <cellStyle name="货币 2 3 4 6 5 3" xfId="43855" xr:uid="{00000000-0005-0000-0000-00007FAB0000}"/>
    <cellStyle name="货币 2 3 4 6 5 4" xfId="43856" xr:uid="{00000000-0005-0000-0000-000080AB0000}"/>
    <cellStyle name="货币 2 3 4 6 5 5" xfId="42745" xr:uid="{00000000-0005-0000-0000-000029A70000}"/>
    <cellStyle name="货币 2 3 4 6 5 6" xfId="43857" xr:uid="{00000000-0005-0000-0000-000081AB0000}"/>
    <cellStyle name="货币 2 3 4 6 6" xfId="43858" xr:uid="{00000000-0005-0000-0000-000082AB0000}"/>
    <cellStyle name="货币 2 3 4 6 6 2" xfId="32440" xr:uid="{00000000-0005-0000-0000-0000E87E0000}"/>
    <cellStyle name="货币 2 3 4 6 6 3" xfId="32443" xr:uid="{00000000-0005-0000-0000-0000EB7E0000}"/>
    <cellStyle name="货币 2 3 4 6 6 4" xfId="43859" xr:uid="{00000000-0005-0000-0000-000083AB0000}"/>
    <cellStyle name="货币 2 3 4 6 6 5" xfId="43860" xr:uid="{00000000-0005-0000-0000-000084AB0000}"/>
    <cellStyle name="货币 2 3 4 6 6 6" xfId="43861" xr:uid="{00000000-0005-0000-0000-000085AB0000}"/>
    <cellStyle name="货币 2 3 4 6 7" xfId="43862" xr:uid="{00000000-0005-0000-0000-000086AB0000}"/>
    <cellStyle name="货币 2 3 4 6 8" xfId="43863" xr:uid="{00000000-0005-0000-0000-000087AB0000}"/>
    <cellStyle name="货币 2 3 4 6 9" xfId="43864" xr:uid="{00000000-0005-0000-0000-000088AB0000}"/>
    <cellStyle name="货币 2 3 4 7" xfId="30230" xr:uid="{00000000-0005-0000-0000-000046760000}"/>
    <cellStyle name="货币 2 3 4 7 10" xfId="27536" xr:uid="{00000000-0005-0000-0000-0000C06B0000}"/>
    <cellStyle name="货币 2 3 4 7 11" xfId="26226" xr:uid="{00000000-0005-0000-0000-0000A2660000}"/>
    <cellStyle name="货币 2 3 4 7 12" xfId="2845" xr:uid="{00000000-0005-0000-0000-00004D0B0000}"/>
    <cellStyle name="货币 2 3 4 7 13" xfId="43865" xr:uid="{00000000-0005-0000-0000-000089AB0000}"/>
    <cellStyle name="货币 2 3 4 7 14" xfId="43866" xr:uid="{00000000-0005-0000-0000-00008AAB0000}"/>
    <cellStyle name="货币 2 3 4 7 15" xfId="43867" xr:uid="{00000000-0005-0000-0000-00008BAB0000}"/>
    <cellStyle name="货币 2 3 4 7 16" xfId="43868" xr:uid="{00000000-0005-0000-0000-00008CAB0000}"/>
    <cellStyle name="货币 2 3 4 7 17" xfId="43869" xr:uid="{00000000-0005-0000-0000-00008DAB0000}"/>
    <cellStyle name="货币 2 3 4 7 18" xfId="43870" xr:uid="{00000000-0005-0000-0000-00008EAB0000}"/>
    <cellStyle name="货币 2 3 4 7 2" xfId="43871" xr:uid="{00000000-0005-0000-0000-00008FAB0000}"/>
    <cellStyle name="货币 2 3 4 7 2 10" xfId="36078" xr:uid="{00000000-0005-0000-0000-00001E8D0000}"/>
    <cellStyle name="货币 2 3 4 7 2 2" xfId="43872" xr:uid="{00000000-0005-0000-0000-000090AB0000}"/>
    <cellStyle name="货币 2 3 4 7 2 2 2" xfId="24460" xr:uid="{00000000-0005-0000-0000-0000BC5F0000}"/>
    <cellStyle name="货币 2 3 4 7 2 3" xfId="43873" xr:uid="{00000000-0005-0000-0000-000091AB0000}"/>
    <cellStyle name="货币 2 3 4 7 2 4" xfId="29344" xr:uid="{00000000-0005-0000-0000-0000D0720000}"/>
    <cellStyle name="货币 2 3 4 7 2 5" xfId="43874" xr:uid="{00000000-0005-0000-0000-000092AB0000}"/>
    <cellStyle name="货币 2 3 4 7 2 6" xfId="43875" xr:uid="{00000000-0005-0000-0000-000093AB0000}"/>
    <cellStyle name="货币 2 3 4 7 2 7" xfId="43876" xr:uid="{00000000-0005-0000-0000-000094AB0000}"/>
    <cellStyle name="货币 2 3 4 7 2 8" xfId="43878" xr:uid="{00000000-0005-0000-0000-000096AB0000}"/>
    <cellStyle name="货币 2 3 4 7 2 9" xfId="26270" xr:uid="{00000000-0005-0000-0000-0000CE660000}"/>
    <cellStyle name="货币 2 3 4 7 3" xfId="43879" xr:uid="{00000000-0005-0000-0000-000097AB0000}"/>
    <cellStyle name="货币 2 3 4 7 3 2" xfId="43880" xr:uid="{00000000-0005-0000-0000-000098AB0000}"/>
    <cellStyle name="货币 2 3 4 7 3 3" xfId="43881" xr:uid="{00000000-0005-0000-0000-000099AB0000}"/>
    <cellStyle name="货币 2 3 4 7 3 4" xfId="43882" xr:uid="{00000000-0005-0000-0000-00009AAB0000}"/>
    <cellStyle name="货币 2 3 4 7 3 5" xfId="43883" xr:uid="{00000000-0005-0000-0000-00009BAB0000}"/>
    <cellStyle name="货币 2 3 4 7 3 6" xfId="43884" xr:uid="{00000000-0005-0000-0000-00009CAB0000}"/>
    <cellStyle name="货币 2 3 4 7 4" xfId="43885" xr:uid="{00000000-0005-0000-0000-00009DAB0000}"/>
    <cellStyle name="货币 2 3 4 7 4 2" xfId="43886" xr:uid="{00000000-0005-0000-0000-00009EAB0000}"/>
    <cellStyle name="货币 2 3 4 7 4 3" xfId="43887" xr:uid="{00000000-0005-0000-0000-00009FAB0000}"/>
    <cellStyle name="货币 2 3 4 7 4 4" xfId="43888" xr:uid="{00000000-0005-0000-0000-0000A0AB0000}"/>
    <cellStyle name="货币 2 3 4 7 4 5" xfId="43889" xr:uid="{00000000-0005-0000-0000-0000A1AB0000}"/>
    <cellStyle name="货币 2 3 4 7 4 6" xfId="43890" xr:uid="{00000000-0005-0000-0000-0000A2AB0000}"/>
    <cellStyle name="货币 2 3 4 7 5" xfId="43891" xr:uid="{00000000-0005-0000-0000-0000A3AB0000}"/>
    <cellStyle name="货币 2 3 4 7 5 2" xfId="43892" xr:uid="{00000000-0005-0000-0000-0000A4AB0000}"/>
    <cellStyle name="货币 2 3 4 7 5 3" xfId="43893" xr:uid="{00000000-0005-0000-0000-0000A5AB0000}"/>
    <cellStyle name="货币 2 3 4 7 5 4" xfId="34827" xr:uid="{00000000-0005-0000-0000-00003B880000}"/>
    <cellStyle name="货币 2 3 4 7 5 5" xfId="43894" xr:uid="{00000000-0005-0000-0000-0000A6AB0000}"/>
    <cellStyle name="货币 2 3 4 7 5 6" xfId="43895" xr:uid="{00000000-0005-0000-0000-0000A7AB0000}"/>
    <cellStyle name="货币 2 3 4 7 6" xfId="43896" xr:uid="{00000000-0005-0000-0000-0000A8AB0000}"/>
    <cellStyle name="货币 2 3 4 7 6 2" xfId="43897" xr:uid="{00000000-0005-0000-0000-0000A9AB0000}"/>
    <cellStyle name="货币 2 3 4 7 6 3" xfId="43898" xr:uid="{00000000-0005-0000-0000-0000AAAB0000}"/>
    <cellStyle name="货币 2 3 4 7 6 4" xfId="43899" xr:uid="{00000000-0005-0000-0000-0000ABAB0000}"/>
    <cellStyle name="货币 2 3 4 7 6 5" xfId="43900" xr:uid="{00000000-0005-0000-0000-0000ACAB0000}"/>
    <cellStyle name="货币 2 3 4 7 6 6" xfId="43901" xr:uid="{00000000-0005-0000-0000-0000ADAB0000}"/>
    <cellStyle name="货币 2 3 4 7 7" xfId="43902" xr:uid="{00000000-0005-0000-0000-0000AEAB0000}"/>
    <cellStyle name="货币 2 3 4 7 8" xfId="43903" xr:uid="{00000000-0005-0000-0000-0000AFAB0000}"/>
    <cellStyle name="货币 2 3 4 7 9" xfId="43904" xr:uid="{00000000-0005-0000-0000-0000B0AB0000}"/>
    <cellStyle name="货币 2 3 4 8" xfId="32773" xr:uid="{00000000-0005-0000-0000-000035800000}"/>
    <cellStyle name="货币 2 3 4 8 10" xfId="43905" xr:uid="{00000000-0005-0000-0000-0000B1AB0000}"/>
    <cellStyle name="货币 2 3 4 8 11" xfId="43906" xr:uid="{00000000-0005-0000-0000-0000B2AB0000}"/>
    <cellStyle name="货币 2 3 4 8 12" xfId="43907" xr:uid="{00000000-0005-0000-0000-0000B3AB0000}"/>
    <cellStyle name="货币 2 3 4 8 13" xfId="43908" xr:uid="{00000000-0005-0000-0000-0000B4AB0000}"/>
    <cellStyle name="货币 2 3 4 8 14" xfId="28914" xr:uid="{00000000-0005-0000-0000-000022710000}"/>
    <cellStyle name="货币 2 3 4 8 15" xfId="43909" xr:uid="{00000000-0005-0000-0000-0000B5AB0000}"/>
    <cellStyle name="货币 2 3 4 8 2" xfId="43910" xr:uid="{00000000-0005-0000-0000-0000B6AB0000}"/>
    <cellStyle name="货币 2 3 4 8 2 2" xfId="43911" xr:uid="{00000000-0005-0000-0000-0000B7AB0000}"/>
    <cellStyle name="货币 2 3 4 8 2 2 2" xfId="24672" xr:uid="{00000000-0005-0000-0000-000090600000}"/>
    <cellStyle name="货币 2 3 4 8 2 3" xfId="43912" xr:uid="{00000000-0005-0000-0000-0000B8AB0000}"/>
    <cellStyle name="货币 2 3 4 8 2 4" xfId="43913" xr:uid="{00000000-0005-0000-0000-0000B9AB0000}"/>
    <cellStyle name="货币 2 3 4 8 2 5" xfId="43914" xr:uid="{00000000-0005-0000-0000-0000BAAB0000}"/>
    <cellStyle name="货币 2 3 4 8 2 6" xfId="43916" xr:uid="{00000000-0005-0000-0000-0000BCAB0000}"/>
    <cellStyle name="货币 2 3 4 8 2 7" xfId="43918" xr:uid="{00000000-0005-0000-0000-0000BEAB0000}"/>
    <cellStyle name="货币 2 3 4 8 2 8" xfId="25531" xr:uid="{00000000-0005-0000-0000-0000EB630000}"/>
    <cellStyle name="货币 2 3 4 8 2 9" xfId="25537" xr:uid="{00000000-0005-0000-0000-0000F1630000}"/>
    <cellStyle name="货币 2 3 4 8 3" xfId="43919" xr:uid="{00000000-0005-0000-0000-0000BFAB0000}"/>
    <cellStyle name="货币 2 3 4 8 3 2" xfId="43920" xr:uid="{00000000-0005-0000-0000-0000C0AB0000}"/>
    <cellStyle name="货币 2 3 4 8 3 3" xfId="43921" xr:uid="{00000000-0005-0000-0000-0000C1AB0000}"/>
    <cellStyle name="货币 2 3 4 8 3 4" xfId="43922" xr:uid="{00000000-0005-0000-0000-0000C2AB0000}"/>
    <cellStyle name="货币 2 3 4 8 3 5" xfId="43923" xr:uid="{00000000-0005-0000-0000-0000C3AB0000}"/>
    <cellStyle name="货币 2 3 4 8 3 6" xfId="43924" xr:uid="{00000000-0005-0000-0000-0000C4AB0000}"/>
    <cellStyle name="货币 2 3 4 8 4" xfId="43925" xr:uid="{00000000-0005-0000-0000-0000C5AB0000}"/>
    <cellStyle name="货币 2 3 4 8 4 2" xfId="43926" xr:uid="{00000000-0005-0000-0000-0000C6AB0000}"/>
    <cellStyle name="货币 2 3 4 8 5" xfId="43927" xr:uid="{00000000-0005-0000-0000-0000C7AB0000}"/>
    <cellStyle name="货币 2 3 4 8 6" xfId="43928" xr:uid="{00000000-0005-0000-0000-0000C8AB0000}"/>
    <cellStyle name="货币 2 3 4 8 7" xfId="43929" xr:uid="{00000000-0005-0000-0000-0000C9AB0000}"/>
    <cellStyle name="货币 2 3 4 8 8" xfId="43930" xr:uid="{00000000-0005-0000-0000-0000CAAB0000}"/>
    <cellStyle name="货币 2 3 4 8 9" xfId="43931" xr:uid="{00000000-0005-0000-0000-0000CBAB0000}"/>
    <cellStyle name="货币 2 3 4 9" xfId="32775" xr:uid="{00000000-0005-0000-0000-000037800000}"/>
    <cellStyle name="货币 2 3 4 9 10" xfId="43932" xr:uid="{00000000-0005-0000-0000-0000CCAB0000}"/>
    <cellStyle name="货币 2 3 4 9 11" xfId="43933" xr:uid="{00000000-0005-0000-0000-0000CDAB0000}"/>
    <cellStyle name="货币 2 3 4 9 12" xfId="43935" xr:uid="{00000000-0005-0000-0000-0000CFAB0000}"/>
    <cellStyle name="货币 2 3 4 9 13" xfId="43937" xr:uid="{00000000-0005-0000-0000-0000D1AB0000}"/>
    <cellStyle name="货币 2 3 4 9 14" xfId="43939" xr:uid="{00000000-0005-0000-0000-0000D3AB0000}"/>
    <cellStyle name="货币 2 3 4 9 2" xfId="43941" xr:uid="{00000000-0005-0000-0000-0000D5AB0000}"/>
    <cellStyle name="货币 2 3 4 9 2 2" xfId="27850" xr:uid="{00000000-0005-0000-0000-0000FA6C0000}"/>
    <cellStyle name="货币 2 3 4 9 2 2 2" xfId="24943" xr:uid="{00000000-0005-0000-0000-00009F610000}"/>
    <cellStyle name="货币 2 3 4 9 2 3" xfId="27852" xr:uid="{00000000-0005-0000-0000-0000FC6C0000}"/>
    <cellStyle name="货币 2 3 4 9 2 4" xfId="43942" xr:uid="{00000000-0005-0000-0000-0000D6AB0000}"/>
    <cellStyle name="货币 2 3 4 9 2 5" xfId="43943" xr:uid="{00000000-0005-0000-0000-0000D7AB0000}"/>
    <cellStyle name="货币 2 3 4 9 2 6" xfId="43944" xr:uid="{00000000-0005-0000-0000-0000D8AB0000}"/>
    <cellStyle name="货币 2 3 4 9 2 7" xfId="43945" xr:uid="{00000000-0005-0000-0000-0000D9AB0000}"/>
    <cellStyle name="货币 2 3 4 9 2 8" xfId="43947" xr:uid="{00000000-0005-0000-0000-0000DBAB0000}"/>
    <cellStyle name="货币 2 3 4 9 2 9" xfId="25759" xr:uid="{00000000-0005-0000-0000-0000CF640000}"/>
    <cellStyle name="货币 2 3 4 9 3" xfId="43949" xr:uid="{00000000-0005-0000-0000-0000DDAB0000}"/>
    <cellStyle name="货币 2 3 4 9 3 2" xfId="43950" xr:uid="{00000000-0005-0000-0000-0000DEAB0000}"/>
    <cellStyle name="货币 2 3 4 9 3 3" xfId="43951" xr:uid="{00000000-0005-0000-0000-0000DFAB0000}"/>
    <cellStyle name="货币 2 3 4 9 3 4" xfId="43952" xr:uid="{00000000-0005-0000-0000-0000E0AB0000}"/>
    <cellStyle name="货币 2 3 4 9 3 5" xfId="43953" xr:uid="{00000000-0005-0000-0000-0000E1AB0000}"/>
    <cellStyle name="货币 2 3 4 9 3 6" xfId="43954" xr:uid="{00000000-0005-0000-0000-0000E2AB0000}"/>
    <cellStyle name="货币 2 3 4 9 4" xfId="43955" xr:uid="{00000000-0005-0000-0000-0000E3AB0000}"/>
    <cellStyle name="货币 2 3 4 9 4 2" xfId="43956" xr:uid="{00000000-0005-0000-0000-0000E4AB0000}"/>
    <cellStyle name="货币 2 3 4 9 5" xfId="36590" xr:uid="{00000000-0005-0000-0000-00001E8F0000}"/>
    <cellStyle name="货币 2 3 4 9 6" xfId="29177" xr:uid="{00000000-0005-0000-0000-000029720000}"/>
    <cellStyle name="货币 2 3 4 9 7" xfId="36593" xr:uid="{00000000-0005-0000-0000-0000218F0000}"/>
    <cellStyle name="货币 2 3 4 9 8" xfId="36595" xr:uid="{00000000-0005-0000-0000-0000238F0000}"/>
    <cellStyle name="货币 2 3 4 9 9" xfId="43957" xr:uid="{00000000-0005-0000-0000-0000E5AB0000}"/>
    <cellStyle name="货币 2 3 5" xfId="40533" xr:uid="{00000000-0005-0000-0000-0000859E0000}"/>
    <cellStyle name="货币 2 3 5 10" xfId="18643" xr:uid="{00000000-0005-0000-0000-000003490000}"/>
    <cellStyle name="货币 2 3 5 10 2" xfId="26576" xr:uid="{00000000-0005-0000-0000-000000680000}"/>
    <cellStyle name="货币 2 3 5 10 2 2" xfId="43959" xr:uid="{00000000-0005-0000-0000-0000E7AB0000}"/>
    <cellStyle name="货币 2 3 5 10 3" xfId="26579" xr:uid="{00000000-0005-0000-0000-000003680000}"/>
    <cellStyle name="货币 2 3 5 10 4" xfId="43961" xr:uid="{00000000-0005-0000-0000-0000E9AB0000}"/>
    <cellStyle name="货币 2 3 5 10 5" xfId="43962" xr:uid="{00000000-0005-0000-0000-0000EAAB0000}"/>
    <cellStyle name="货币 2 3 5 10 6" xfId="4251" xr:uid="{00000000-0005-0000-0000-0000CB100000}"/>
    <cellStyle name="货币 2 3 5 10 7" xfId="1104" xr:uid="{00000000-0005-0000-0000-000080040000}"/>
    <cellStyle name="货币 2 3 5 10 8" xfId="4345" xr:uid="{00000000-0005-0000-0000-000029110000}"/>
    <cellStyle name="货币 2 3 5 10 9" xfId="3457" xr:uid="{00000000-0005-0000-0000-0000B10D0000}"/>
    <cellStyle name="货币 2 3 5 11" xfId="43964" xr:uid="{00000000-0005-0000-0000-0000ECAB0000}"/>
    <cellStyle name="货币 2 3 5 11 2" xfId="43965" xr:uid="{00000000-0005-0000-0000-0000EDAB0000}"/>
    <cellStyle name="货币 2 3 5 11 3" xfId="43966" xr:uid="{00000000-0005-0000-0000-0000EEAB0000}"/>
    <cellStyle name="货币 2 3 5 11 4" xfId="43967" xr:uid="{00000000-0005-0000-0000-0000EFAB0000}"/>
    <cellStyle name="货币 2 3 5 11 5" xfId="43968" xr:uid="{00000000-0005-0000-0000-0000F0AB0000}"/>
    <cellStyle name="货币 2 3 5 11 6" xfId="4357" xr:uid="{00000000-0005-0000-0000-000035110000}"/>
    <cellStyle name="货币 2 3 5 12" xfId="43970" xr:uid="{00000000-0005-0000-0000-0000F2AB0000}"/>
    <cellStyle name="货币 2 3 5 12 2" xfId="43971" xr:uid="{00000000-0005-0000-0000-0000F3AB0000}"/>
    <cellStyle name="货币 2 3 5 12 3" xfId="43972" xr:uid="{00000000-0005-0000-0000-0000F4AB0000}"/>
    <cellStyle name="货币 2 3 5 12 4" xfId="43973" xr:uid="{00000000-0005-0000-0000-0000F5AB0000}"/>
    <cellStyle name="货币 2 3 5 12 5" xfId="43974" xr:uid="{00000000-0005-0000-0000-0000F6AB0000}"/>
    <cellStyle name="货币 2 3 5 12 6" xfId="542" xr:uid="{00000000-0005-0000-0000-000042020000}"/>
    <cellStyle name="货币 2 3 5 13" xfId="16520" xr:uid="{00000000-0005-0000-0000-0000B8400000}"/>
    <cellStyle name="货币 2 3 5 13 2" xfId="30281" xr:uid="{00000000-0005-0000-0000-000079760000}"/>
    <cellStyle name="货币 2 3 5 13 3" xfId="30297" xr:uid="{00000000-0005-0000-0000-000089760000}"/>
    <cellStyle name="货币 2 3 5 13 4" xfId="30303" xr:uid="{00000000-0005-0000-0000-00008F760000}"/>
    <cellStyle name="货币 2 3 5 13 5" xfId="30307" xr:uid="{00000000-0005-0000-0000-000093760000}"/>
    <cellStyle name="货币 2 3 5 13 6" xfId="2108" xr:uid="{00000000-0005-0000-0000-00006C080000}"/>
    <cellStyle name="货币 2 3 5 14" xfId="30318" xr:uid="{00000000-0005-0000-0000-00009E760000}"/>
    <cellStyle name="货币 2 3 5 14 2" xfId="30320" xr:uid="{00000000-0005-0000-0000-0000A0760000}"/>
    <cellStyle name="货币 2 3 5 14 3" xfId="30337" xr:uid="{00000000-0005-0000-0000-0000B1760000}"/>
    <cellStyle name="货币 2 3 5 14 4" xfId="30341" xr:uid="{00000000-0005-0000-0000-0000B5760000}"/>
    <cellStyle name="货币 2 3 5 14 5" xfId="30344" xr:uid="{00000000-0005-0000-0000-0000B8760000}"/>
    <cellStyle name="货币 2 3 5 14 6" xfId="2288" xr:uid="{00000000-0005-0000-0000-000020090000}"/>
    <cellStyle name="货币 2 3 5 15" xfId="30351" xr:uid="{00000000-0005-0000-0000-0000BF760000}"/>
    <cellStyle name="货币 2 3 5 16" xfId="13694" xr:uid="{00000000-0005-0000-0000-0000AE350000}"/>
    <cellStyle name="货币 2 3 5 17" xfId="13703" xr:uid="{00000000-0005-0000-0000-0000B7350000}"/>
    <cellStyle name="货币 2 3 5 18" xfId="13709" xr:uid="{00000000-0005-0000-0000-0000BD350000}"/>
    <cellStyle name="货币 2 3 5 19" xfId="13714" xr:uid="{00000000-0005-0000-0000-0000C2350000}"/>
    <cellStyle name="货币 2 3 5 2" xfId="43975" xr:uid="{00000000-0005-0000-0000-0000F7AB0000}"/>
    <cellStyle name="货币 2 3 5 2 10" xfId="30455" xr:uid="{00000000-0005-0000-0000-000027770000}"/>
    <cellStyle name="货币 2 3 5 2 10 2" xfId="17745" xr:uid="{00000000-0005-0000-0000-000081450000}"/>
    <cellStyle name="货币 2 3 5 2 10 3" xfId="17749" xr:uid="{00000000-0005-0000-0000-000085450000}"/>
    <cellStyle name="货币 2 3 5 2 10 4" xfId="43976" xr:uid="{00000000-0005-0000-0000-0000F8AB0000}"/>
    <cellStyle name="货币 2 3 5 2 10 5" xfId="43977" xr:uid="{00000000-0005-0000-0000-0000F9AB0000}"/>
    <cellStyle name="货币 2 3 5 2 10 6" xfId="43978" xr:uid="{00000000-0005-0000-0000-0000FAAB0000}"/>
    <cellStyle name="货币 2 3 5 2 11" xfId="43979" xr:uid="{00000000-0005-0000-0000-0000FBAB0000}"/>
    <cellStyle name="货币 2 3 5 2 11 2" xfId="43980" xr:uid="{00000000-0005-0000-0000-0000FCAB0000}"/>
    <cellStyle name="货币 2 3 5 2 11 3" xfId="43981" xr:uid="{00000000-0005-0000-0000-0000FDAB0000}"/>
    <cellStyle name="货币 2 3 5 2 11 4" xfId="43680" xr:uid="{00000000-0005-0000-0000-0000D0AA0000}"/>
    <cellStyle name="货币 2 3 5 2 11 5" xfId="43684" xr:uid="{00000000-0005-0000-0000-0000D4AA0000}"/>
    <cellStyle name="货币 2 3 5 2 11 6" xfId="43686" xr:uid="{00000000-0005-0000-0000-0000D6AA0000}"/>
    <cellStyle name="货币 2 3 5 2 12" xfId="43982" xr:uid="{00000000-0005-0000-0000-0000FEAB0000}"/>
    <cellStyle name="货币 2 3 5 2 13" xfId="43983" xr:uid="{00000000-0005-0000-0000-0000FFAB0000}"/>
    <cellStyle name="货币 2 3 5 2 14" xfId="43984" xr:uid="{00000000-0005-0000-0000-000000AC0000}"/>
    <cellStyle name="货币 2 3 5 2 15" xfId="40412" xr:uid="{00000000-0005-0000-0000-00000C9E0000}"/>
    <cellStyle name="货币 2 3 5 2 16" xfId="31011" xr:uid="{00000000-0005-0000-0000-000053790000}"/>
    <cellStyle name="货币 2 3 5 2 17" xfId="31014" xr:uid="{00000000-0005-0000-0000-000056790000}"/>
    <cellStyle name="货币 2 3 5 2 18" xfId="19084" xr:uid="{00000000-0005-0000-0000-0000BC4A0000}"/>
    <cellStyle name="货币 2 3 5 2 19" xfId="19087" xr:uid="{00000000-0005-0000-0000-0000BF4A0000}"/>
    <cellStyle name="货币 2 3 5 2 2" xfId="43985" xr:uid="{00000000-0005-0000-0000-000001AC0000}"/>
    <cellStyle name="货币 2 3 5 2 2 10" xfId="43986" xr:uid="{00000000-0005-0000-0000-000002AC0000}"/>
    <cellStyle name="货币 2 3 5 2 2 11" xfId="43987" xr:uid="{00000000-0005-0000-0000-000003AC0000}"/>
    <cellStyle name="货币 2 3 5 2 2 12" xfId="43988" xr:uid="{00000000-0005-0000-0000-000004AC0000}"/>
    <cellStyle name="货币 2 3 5 2 2 13" xfId="43989" xr:uid="{00000000-0005-0000-0000-000005AC0000}"/>
    <cellStyle name="货币 2 3 5 2 2 14" xfId="43990" xr:uid="{00000000-0005-0000-0000-000006AC0000}"/>
    <cellStyle name="货币 2 3 5 2 2 15" xfId="43992" xr:uid="{00000000-0005-0000-0000-000008AC0000}"/>
    <cellStyle name="货币 2 3 5 2 2 16" xfId="43994" xr:uid="{00000000-0005-0000-0000-00000AAC0000}"/>
    <cellStyle name="货币 2 3 5 2 2 17" xfId="43996" xr:uid="{00000000-0005-0000-0000-00000CAC0000}"/>
    <cellStyle name="货币 2 3 5 2 2 18" xfId="43998" xr:uid="{00000000-0005-0000-0000-00000EAC0000}"/>
    <cellStyle name="货币 2 3 5 2 2 2" xfId="43999" xr:uid="{00000000-0005-0000-0000-00000FAC0000}"/>
    <cellStyle name="货币 2 3 5 2 2 2 10" xfId="5707" xr:uid="{00000000-0005-0000-0000-00007B160000}"/>
    <cellStyle name="货币 2 3 5 2 2 2 11" xfId="8088" xr:uid="{00000000-0005-0000-0000-0000C81F0000}"/>
    <cellStyle name="货币 2 3 5 2 2 2 12" xfId="8095" xr:uid="{00000000-0005-0000-0000-0000CF1F0000}"/>
    <cellStyle name="货币 2 3 5 2 2 2 2" xfId="44000" xr:uid="{00000000-0005-0000-0000-000010AC0000}"/>
    <cellStyle name="货币 2 3 5 2 2 2 2 2" xfId="44002" xr:uid="{00000000-0005-0000-0000-000012AC0000}"/>
    <cellStyle name="货币 2 3 5 2 2 2 2 2 2" xfId="1852" xr:uid="{00000000-0005-0000-0000-00006C070000}"/>
    <cellStyle name="货币 2 3 5 2 2 2 2 3" xfId="44004" xr:uid="{00000000-0005-0000-0000-000014AC0000}"/>
    <cellStyle name="货币 2 3 5 2 2 2 2 4" xfId="44005" xr:uid="{00000000-0005-0000-0000-000015AC0000}"/>
    <cellStyle name="货币 2 3 5 2 2 2 2 5" xfId="44006" xr:uid="{00000000-0005-0000-0000-000016AC0000}"/>
    <cellStyle name="货币 2 3 5 2 2 2 3" xfId="44007" xr:uid="{00000000-0005-0000-0000-000017AC0000}"/>
    <cellStyle name="货币 2 3 5 2 2 2 3 2" xfId="43740" xr:uid="{00000000-0005-0000-0000-00000CAB0000}"/>
    <cellStyle name="货币 2 3 5 2 2 2 4" xfId="44008" xr:uid="{00000000-0005-0000-0000-000018AC0000}"/>
    <cellStyle name="货币 2 3 5 2 2 2 5" xfId="44009" xr:uid="{00000000-0005-0000-0000-000019AC0000}"/>
    <cellStyle name="货币 2 3 5 2 2 2 6" xfId="44010" xr:uid="{00000000-0005-0000-0000-00001AAC0000}"/>
    <cellStyle name="货币 2 3 5 2 2 2 7" xfId="44011" xr:uid="{00000000-0005-0000-0000-00001BAC0000}"/>
    <cellStyle name="货币 2 3 5 2 2 2 8" xfId="44012" xr:uid="{00000000-0005-0000-0000-00001CAC0000}"/>
    <cellStyle name="货币 2 3 5 2 2 2 9" xfId="44013" xr:uid="{00000000-0005-0000-0000-00001DAC0000}"/>
    <cellStyle name="货币 2 3 5 2 2 3" xfId="44015" xr:uid="{00000000-0005-0000-0000-00001FAC0000}"/>
    <cellStyle name="货币 2 3 5 2 2 3 10" xfId="44017" xr:uid="{00000000-0005-0000-0000-000021AC0000}"/>
    <cellStyle name="货币 2 3 5 2 2 3 11" xfId="44018" xr:uid="{00000000-0005-0000-0000-000022AC0000}"/>
    <cellStyle name="货币 2 3 5 2 2 3 12" xfId="44019" xr:uid="{00000000-0005-0000-0000-000023AC0000}"/>
    <cellStyle name="货币 2 3 5 2 2 3 2" xfId="44021" xr:uid="{00000000-0005-0000-0000-000025AC0000}"/>
    <cellStyle name="货币 2 3 5 2 2 3 2 2" xfId="31652" xr:uid="{00000000-0005-0000-0000-0000D47B0000}"/>
    <cellStyle name="货币 2 3 5 2 2 3 2 2 2" xfId="10466" xr:uid="{00000000-0005-0000-0000-000012290000}"/>
    <cellStyle name="货币 2 3 5 2 2 3 2 3" xfId="44023" xr:uid="{00000000-0005-0000-0000-000027AC0000}"/>
    <cellStyle name="货币 2 3 5 2 2 3 2 4" xfId="44024" xr:uid="{00000000-0005-0000-0000-000028AC0000}"/>
    <cellStyle name="货币 2 3 5 2 2 3 2 5" xfId="44026" xr:uid="{00000000-0005-0000-0000-00002AAC0000}"/>
    <cellStyle name="货币 2 3 5 2 2 3 3" xfId="44028" xr:uid="{00000000-0005-0000-0000-00002CAC0000}"/>
    <cellStyle name="货币 2 3 5 2 2 3 3 2" xfId="43765" xr:uid="{00000000-0005-0000-0000-000025AB0000}"/>
    <cellStyle name="货币 2 3 5 2 2 3 4" xfId="44030" xr:uid="{00000000-0005-0000-0000-00002EAC0000}"/>
    <cellStyle name="货币 2 3 5 2 2 3 5" xfId="44032" xr:uid="{00000000-0005-0000-0000-000030AC0000}"/>
    <cellStyle name="货币 2 3 5 2 2 3 6" xfId="44034" xr:uid="{00000000-0005-0000-0000-000032AC0000}"/>
    <cellStyle name="货币 2 3 5 2 2 3 7" xfId="44036" xr:uid="{00000000-0005-0000-0000-000034AC0000}"/>
    <cellStyle name="货币 2 3 5 2 2 3 8" xfId="44038" xr:uid="{00000000-0005-0000-0000-000036AC0000}"/>
    <cellStyle name="货币 2 3 5 2 2 3 9" xfId="44040" xr:uid="{00000000-0005-0000-0000-000038AC0000}"/>
    <cellStyle name="货币 2 3 5 2 2 4" xfId="44042" xr:uid="{00000000-0005-0000-0000-00003AAC0000}"/>
    <cellStyle name="货币 2 3 5 2 2 4 10" xfId="44043" xr:uid="{00000000-0005-0000-0000-00003BAC0000}"/>
    <cellStyle name="货币 2 3 5 2 2 4 2" xfId="44045" xr:uid="{00000000-0005-0000-0000-00003DAC0000}"/>
    <cellStyle name="货币 2 3 5 2 2 4 2 2" xfId="44046" xr:uid="{00000000-0005-0000-0000-00003EAC0000}"/>
    <cellStyle name="货币 2 3 5 2 2 4 2 2 2" xfId="17190" xr:uid="{00000000-0005-0000-0000-000056430000}"/>
    <cellStyle name="货币 2 3 5 2 2 4 2 3" xfId="28389" xr:uid="{00000000-0005-0000-0000-0000156F0000}"/>
    <cellStyle name="货币 2 3 5 2 2 4 2 4" xfId="28391" xr:uid="{00000000-0005-0000-0000-0000176F0000}"/>
    <cellStyle name="货币 2 3 5 2 2 4 2 5" xfId="28393" xr:uid="{00000000-0005-0000-0000-0000196F0000}"/>
    <cellStyle name="货币 2 3 5 2 2 4 3" xfId="44048" xr:uid="{00000000-0005-0000-0000-000040AC0000}"/>
    <cellStyle name="货币 2 3 5 2 2 4 3 2" xfId="43781" xr:uid="{00000000-0005-0000-0000-000035AB0000}"/>
    <cellStyle name="货币 2 3 5 2 2 4 4" xfId="44050" xr:uid="{00000000-0005-0000-0000-000042AC0000}"/>
    <cellStyle name="货币 2 3 5 2 2 4 5" xfId="44052" xr:uid="{00000000-0005-0000-0000-000044AC0000}"/>
    <cellStyle name="货币 2 3 5 2 2 4 6" xfId="44054" xr:uid="{00000000-0005-0000-0000-000046AC0000}"/>
    <cellStyle name="货币 2 3 5 2 2 4 7" xfId="44055" xr:uid="{00000000-0005-0000-0000-000047AC0000}"/>
    <cellStyle name="货币 2 3 5 2 2 4 8" xfId="44056" xr:uid="{00000000-0005-0000-0000-000048AC0000}"/>
    <cellStyle name="货币 2 3 5 2 2 4 9" xfId="44057" xr:uid="{00000000-0005-0000-0000-000049AC0000}"/>
    <cellStyle name="货币 2 3 5 2 2 5" xfId="44059" xr:uid="{00000000-0005-0000-0000-00004BAC0000}"/>
    <cellStyle name="货币 2 3 5 2 2 5 10" xfId="14328" xr:uid="{00000000-0005-0000-0000-000028380000}"/>
    <cellStyle name="货币 2 3 5 2 2 5 2" xfId="44061" xr:uid="{00000000-0005-0000-0000-00004DAC0000}"/>
    <cellStyle name="货币 2 3 5 2 2 5 2 2" xfId="44062" xr:uid="{00000000-0005-0000-0000-00004EAC0000}"/>
    <cellStyle name="货币 2 3 5 2 2 5 2 2 2" xfId="44063" xr:uid="{00000000-0005-0000-0000-00004FAC0000}"/>
    <cellStyle name="货币 2 3 5 2 2 5 2 3" xfId="44064" xr:uid="{00000000-0005-0000-0000-000050AC0000}"/>
    <cellStyle name="货币 2 3 5 2 2 5 2 4" xfId="44065" xr:uid="{00000000-0005-0000-0000-000051AC0000}"/>
    <cellStyle name="货币 2 3 5 2 2 5 2 5" xfId="44066" xr:uid="{00000000-0005-0000-0000-000052AC0000}"/>
    <cellStyle name="货币 2 3 5 2 2 5 3" xfId="44068" xr:uid="{00000000-0005-0000-0000-000054AC0000}"/>
    <cellStyle name="货币 2 3 5 2 2 5 3 2" xfId="43800" xr:uid="{00000000-0005-0000-0000-000048AB0000}"/>
    <cellStyle name="货币 2 3 5 2 2 5 4" xfId="44070" xr:uid="{00000000-0005-0000-0000-000056AC0000}"/>
    <cellStyle name="货币 2 3 5 2 2 5 5" xfId="44072" xr:uid="{00000000-0005-0000-0000-000058AC0000}"/>
    <cellStyle name="货币 2 3 5 2 2 5 6" xfId="44074" xr:uid="{00000000-0005-0000-0000-00005AAC0000}"/>
    <cellStyle name="货币 2 3 5 2 2 5 7" xfId="44075" xr:uid="{00000000-0005-0000-0000-00005BAC0000}"/>
    <cellStyle name="货币 2 3 5 2 2 5 8" xfId="44076" xr:uid="{00000000-0005-0000-0000-00005CAC0000}"/>
    <cellStyle name="货币 2 3 5 2 2 5 9" xfId="44077" xr:uid="{00000000-0005-0000-0000-00005DAC0000}"/>
    <cellStyle name="货币 2 3 5 2 2 6" xfId="44079" xr:uid="{00000000-0005-0000-0000-00005FAC0000}"/>
    <cellStyle name="货币 2 3 5 2 2 6 2" xfId="44081" xr:uid="{00000000-0005-0000-0000-000061AC0000}"/>
    <cellStyle name="货币 2 3 5 2 2 6 2 2" xfId="44082" xr:uid="{00000000-0005-0000-0000-000062AC0000}"/>
    <cellStyle name="货币 2 3 5 2 2 6 3" xfId="44084" xr:uid="{00000000-0005-0000-0000-000064AC0000}"/>
    <cellStyle name="货币 2 3 5 2 2 6 4" xfId="44086" xr:uid="{00000000-0005-0000-0000-000066AC0000}"/>
    <cellStyle name="货币 2 3 5 2 2 6 5" xfId="288" xr:uid="{00000000-0005-0000-0000-000033010000}"/>
    <cellStyle name="货币 2 3 5 2 2 6 6" xfId="317" xr:uid="{00000000-0005-0000-0000-000052010000}"/>
    <cellStyle name="货币 2 3 5 2 2 6 7" xfId="184" xr:uid="{00000000-0005-0000-0000-0000C6000000}"/>
    <cellStyle name="货币 2 3 5 2 2 6 8" xfId="9445" xr:uid="{00000000-0005-0000-0000-000015250000}"/>
    <cellStyle name="货币 2 3 5 2 2 6 9" xfId="9452" xr:uid="{00000000-0005-0000-0000-00001C250000}"/>
    <cellStyle name="货币 2 3 5 2 2 7" xfId="44088" xr:uid="{00000000-0005-0000-0000-000068AC0000}"/>
    <cellStyle name="货币 2 3 5 2 2 7 2" xfId="44090" xr:uid="{00000000-0005-0000-0000-00006AAC0000}"/>
    <cellStyle name="货币 2 3 5 2 2 8" xfId="44092" xr:uid="{00000000-0005-0000-0000-00006CAC0000}"/>
    <cellStyle name="货币 2 3 5 2 2 9" xfId="44094" xr:uid="{00000000-0005-0000-0000-00006EAC0000}"/>
    <cellStyle name="货币 2 3 5 2 20" xfId="40411" xr:uid="{00000000-0005-0000-0000-00000B9E0000}"/>
    <cellStyle name="货币 2 3 5 2 21" xfId="31010" xr:uid="{00000000-0005-0000-0000-000052790000}"/>
    <cellStyle name="货币 2 3 5 2 22" xfId="31013" xr:uid="{00000000-0005-0000-0000-000055790000}"/>
    <cellStyle name="货币 2 3 5 2 23" xfId="19083" xr:uid="{00000000-0005-0000-0000-0000BB4A0000}"/>
    <cellStyle name="货币 2 3 5 2 3" xfId="44095" xr:uid="{00000000-0005-0000-0000-00006FAC0000}"/>
    <cellStyle name="货币 2 3 5 2 3 10" xfId="44096" xr:uid="{00000000-0005-0000-0000-000070AC0000}"/>
    <cellStyle name="货币 2 3 5 2 3 11" xfId="44097" xr:uid="{00000000-0005-0000-0000-000071AC0000}"/>
    <cellStyle name="货币 2 3 5 2 3 12" xfId="44098" xr:uid="{00000000-0005-0000-0000-000072AC0000}"/>
    <cellStyle name="货币 2 3 5 2 3 13" xfId="44099" xr:uid="{00000000-0005-0000-0000-000073AC0000}"/>
    <cellStyle name="货币 2 3 5 2 3 14" xfId="44100" xr:uid="{00000000-0005-0000-0000-000074AC0000}"/>
    <cellStyle name="货币 2 3 5 2 3 15" xfId="44101" xr:uid="{00000000-0005-0000-0000-000075AC0000}"/>
    <cellStyle name="货币 2 3 5 2 3 16" xfId="44102" xr:uid="{00000000-0005-0000-0000-000076AC0000}"/>
    <cellStyle name="货币 2 3 5 2 3 17" xfId="44103" xr:uid="{00000000-0005-0000-0000-000077AC0000}"/>
    <cellStyle name="货币 2 3 5 2 3 18" xfId="5157" xr:uid="{00000000-0005-0000-0000-000055140000}"/>
    <cellStyle name="货币 2 3 5 2 3 2" xfId="44104" xr:uid="{00000000-0005-0000-0000-000078AC0000}"/>
    <cellStyle name="货币 2 3 5 2 3 2 10" xfId="44105" xr:uid="{00000000-0005-0000-0000-000079AC0000}"/>
    <cellStyle name="货币 2 3 5 2 3 2 2" xfId="44106" xr:uid="{00000000-0005-0000-0000-00007AAC0000}"/>
    <cellStyle name="货币 2 3 5 2 3 2 2 2" xfId="2153" xr:uid="{00000000-0005-0000-0000-000099080000}"/>
    <cellStyle name="货币 2 3 5 2 3 2 3" xfId="44108" xr:uid="{00000000-0005-0000-0000-00007CAC0000}"/>
    <cellStyle name="货币 2 3 5 2 3 2 4" xfId="14704" xr:uid="{00000000-0005-0000-0000-0000A0390000}"/>
    <cellStyle name="货币 2 3 5 2 3 2 5" xfId="44110" xr:uid="{00000000-0005-0000-0000-00007EAC0000}"/>
    <cellStyle name="货币 2 3 5 2 3 2 6" xfId="44112" xr:uid="{00000000-0005-0000-0000-000080AC0000}"/>
    <cellStyle name="货币 2 3 5 2 3 2 7" xfId="44114" xr:uid="{00000000-0005-0000-0000-000082AC0000}"/>
    <cellStyle name="货币 2 3 5 2 3 2 8" xfId="44116" xr:uid="{00000000-0005-0000-0000-000084AC0000}"/>
    <cellStyle name="货币 2 3 5 2 3 2 9" xfId="44118" xr:uid="{00000000-0005-0000-0000-000086AC0000}"/>
    <cellStyle name="货币 2 3 5 2 3 3" xfId="44119" xr:uid="{00000000-0005-0000-0000-000087AC0000}"/>
    <cellStyle name="货币 2 3 5 2 3 3 2" xfId="44122" xr:uid="{00000000-0005-0000-0000-00008AAC0000}"/>
    <cellStyle name="货币 2 3 5 2 3 3 3" xfId="44126" xr:uid="{00000000-0005-0000-0000-00008EAC0000}"/>
    <cellStyle name="货币 2 3 5 2 3 3 4" xfId="14745" xr:uid="{00000000-0005-0000-0000-0000C9390000}"/>
    <cellStyle name="货币 2 3 5 2 3 3 5" xfId="44129" xr:uid="{00000000-0005-0000-0000-000091AC0000}"/>
    <cellStyle name="货币 2 3 5 2 3 3 6" xfId="14755" xr:uid="{00000000-0005-0000-0000-0000D3390000}"/>
    <cellStyle name="货币 2 3 5 2 3 4" xfId="29612" xr:uid="{00000000-0005-0000-0000-0000DC730000}"/>
    <cellStyle name="货币 2 3 5 2 3 4 2" xfId="29616" xr:uid="{00000000-0005-0000-0000-0000E0730000}"/>
    <cellStyle name="货币 2 3 5 2 3 4 3" xfId="29626" xr:uid="{00000000-0005-0000-0000-0000EA730000}"/>
    <cellStyle name="货币 2 3 5 2 3 4 4" xfId="29632" xr:uid="{00000000-0005-0000-0000-0000F0730000}"/>
    <cellStyle name="货币 2 3 5 2 3 4 5" xfId="44133" xr:uid="{00000000-0005-0000-0000-000095AC0000}"/>
    <cellStyle name="货币 2 3 5 2 3 4 6" xfId="43059" xr:uid="{00000000-0005-0000-0000-000063A80000}"/>
    <cellStyle name="货币 2 3 5 2 3 5" xfId="29636" xr:uid="{00000000-0005-0000-0000-0000F4730000}"/>
    <cellStyle name="货币 2 3 5 2 3 5 2" xfId="44134" xr:uid="{00000000-0005-0000-0000-000096AC0000}"/>
    <cellStyle name="货币 2 3 5 2 3 5 3" xfId="44136" xr:uid="{00000000-0005-0000-0000-000098AC0000}"/>
    <cellStyle name="货币 2 3 5 2 3 5 4" xfId="32328" xr:uid="{00000000-0005-0000-0000-0000787E0000}"/>
    <cellStyle name="货币 2 3 5 2 3 5 5" xfId="44138" xr:uid="{00000000-0005-0000-0000-00009AAC0000}"/>
    <cellStyle name="货币 2 3 5 2 3 5 6" xfId="44140" xr:uid="{00000000-0005-0000-0000-00009CAC0000}"/>
    <cellStyle name="货币 2 3 5 2 3 6" xfId="29639" xr:uid="{00000000-0005-0000-0000-0000F7730000}"/>
    <cellStyle name="货币 2 3 5 2 3 6 2" xfId="44141" xr:uid="{00000000-0005-0000-0000-00009DAC0000}"/>
    <cellStyle name="货币 2 3 5 2 3 6 3" xfId="29767" xr:uid="{00000000-0005-0000-0000-000077740000}"/>
    <cellStyle name="货币 2 3 5 2 3 6 4" xfId="29771" xr:uid="{00000000-0005-0000-0000-00007B740000}"/>
    <cellStyle name="货币 2 3 5 2 3 6 5" xfId="14830" xr:uid="{00000000-0005-0000-0000-00001E3A0000}"/>
    <cellStyle name="货币 2 3 5 2 3 6 6" xfId="24003" xr:uid="{00000000-0005-0000-0000-0000F35D0000}"/>
    <cellStyle name="货币 2 3 5 2 3 7" xfId="28622" xr:uid="{00000000-0005-0000-0000-0000FE6F0000}"/>
    <cellStyle name="货币 2 3 5 2 3 8" xfId="28651" xr:uid="{00000000-0005-0000-0000-00001B700000}"/>
    <cellStyle name="货币 2 3 5 2 3 9" xfId="28666" xr:uid="{00000000-0005-0000-0000-00002A700000}"/>
    <cellStyle name="货币 2 3 5 2 4" xfId="44142" xr:uid="{00000000-0005-0000-0000-00009EAC0000}"/>
    <cellStyle name="货币 2 3 5 2 4 10" xfId="19490" xr:uid="{00000000-0005-0000-0000-0000524C0000}"/>
    <cellStyle name="货币 2 3 5 2 4 11" xfId="37180" xr:uid="{00000000-0005-0000-0000-00006C910000}"/>
    <cellStyle name="货币 2 3 5 2 4 12" xfId="10631" xr:uid="{00000000-0005-0000-0000-0000B7290000}"/>
    <cellStyle name="货币 2 3 5 2 4 13" xfId="37182" xr:uid="{00000000-0005-0000-0000-00006E910000}"/>
    <cellStyle name="货币 2 3 5 2 4 14" xfId="33014" xr:uid="{00000000-0005-0000-0000-000026810000}"/>
    <cellStyle name="货币 2 3 5 2 4 15" xfId="37185" xr:uid="{00000000-0005-0000-0000-000071910000}"/>
    <cellStyle name="货币 2 3 5 2 4 2" xfId="44143" xr:uid="{00000000-0005-0000-0000-00009FAC0000}"/>
    <cellStyle name="货币 2 3 5 2 4 2 2" xfId="35003" xr:uid="{00000000-0005-0000-0000-0000EB880000}"/>
    <cellStyle name="货币 2 3 5 2 4 2 2 2" xfId="10020" xr:uid="{00000000-0005-0000-0000-000054270000}"/>
    <cellStyle name="货币 2 3 5 2 4 2 3" xfId="44145" xr:uid="{00000000-0005-0000-0000-0000A1AC0000}"/>
    <cellStyle name="货币 2 3 5 2 4 2 4" xfId="44147" xr:uid="{00000000-0005-0000-0000-0000A3AC0000}"/>
    <cellStyle name="货币 2 3 5 2 4 2 5" xfId="44149" xr:uid="{00000000-0005-0000-0000-0000A5AC0000}"/>
    <cellStyle name="货币 2 3 5 2 4 2 6" xfId="44151" xr:uid="{00000000-0005-0000-0000-0000A7AC0000}"/>
    <cellStyle name="货币 2 3 5 2 4 2 7" xfId="44153" xr:uid="{00000000-0005-0000-0000-0000A9AC0000}"/>
    <cellStyle name="货币 2 3 5 2 4 2 8" xfId="44154" xr:uid="{00000000-0005-0000-0000-0000AAAC0000}"/>
    <cellStyle name="货币 2 3 5 2 4 2 9" xfId="44155" xr:uid="{00000000-0005-0000-0000-0000ABAC0000}"/>
    <cellStyle name="货币 2 3 5 2 4 3" xfId="44156" xr:uid="{00000000-0005-0000-0000-0000ACAC0000}"/>
    <cellStyle name="货币 2 3 5 2 4 3 2" xfId="44158" xr:uid="{00000000-0005-0000-0000-0000AEAC0000}"/>
    <cellStyle name="货币 2 3 5 2 4 3 3" xfId="44161" xr:uid="{00000000-0005-0000-0000-0000B1AC0000}"/>
    <cellStyle name="货币 2 3 5 2 4 3 4" xfId="44163" xr:uid="{00000000-0005-0000-0000-0000B3AC0000}"/>
    <cellStyle name="货币 2 3 5 2 4 3 5" xfId="44165" xr:uid="{00000000-0005-0000-0000-0000B5AC0000}"/>
    <cellStyle name="货币 2 3 5 2 4 3 6" xfId="44167" xr:uid="{00000000-0005-0000-0000-0000B7AC0000}"/>
    <cellStyle name="货币 2 3 5 2 4 4" xfId="44168" xr:uid="{00000000-0005-0000-0000-0000B8AC0000}"/>
    <cellStyle name="货币 2 3 5 2 4 4 2" xfId="44169" xr:uid="{00000000-0005-0000-0000-0000B9AC0000}"/>
    <cellStyle name="货币 2 3 5 2 4 5" xfId="44170" xr:uid="{00000000-0005-0000-0000-0000BAAC0000}"/>
    <cellStyle name="货币 2 3 5 2 4 6" xfId="44171" xr:uid="{00000000-0005-0000-0000-0000BBAC0000}"/>
    <cellStyle name="货币 2 3 5 2 4 7" xfId="23383" xr:uid="{00000000-0005-0000-0000-0000875B0000}"/>
    <cellStyle name="货币 2 3 5 2 4 8" xfId="28710" xr:uid="{00000000-0005-0000-0000-000056700000}"/>
    <cellStyle name="货币 2 3 5 2 4 9" xfId="28715" xr:uid="{00000000-0005-0000-0000-00005B700000}"/>
    <cellStyle name="货币 2 3 5 2 5" xfId="44172" xr:uid="{00000000-0005-0000-0000-0000BCAC0000}"/>
    <cellStyle name="货币 2 3 5 2 5 10" xfId="33449" xr:uid="{00000000-0005-0000-0000-0000D9820000}"/>
    <cellStyle name="货币 2 3 5 2 5 11" xfId="33454" xr:uid="{00000000-0005-0000-0000-0000DE820000}"/>
    <cellStyle name="货币 2 3 5 2 5 12" xfId="33458" xr:uid="{00000000-0005-0000-0000-0000E2820000}"/>
    <cellStyle name="货币 2 3 5 2 5 13" xfId="32454" xr:uid="{00000000-0005-0000-0000-0000F67E0000}"/>
    <cellStyle name="货币 2 3 5 2 5 2" xfId="35779" xr:uid="{00000000-0005-0000-0000-0000F38B0000}"/>
    <cellStyle name="货币 2 3 5 2 5 2 2" xfId="40253" xr:uid="{00000000-0005-0000-0000-00006D9D0000}"/>
    <cellStyle name="货币 2 3 5 2 5 2 2 2" xfId="8316" xr:uid="{00000000-0005-0000-0000-0000AC200000}"/>
    <cellStyle name="货币 2 3 5 2 5 2 3" xfId="40256" xr:uid="{00000000-0005-0000-0000-0000709D0000}"/>
    <cellStyle name="货币 2 3 5 2 5 2 4" xfId="40259" xr:uid="{00000000-0005-0000-0000-0000739D0000}"/>
    <cellStyle name="货币 2 3 5 2 5 2 5" xfId="40262" xr:uid="{00000000-0005-0000-0000-0000769D0000}"/>
    <cellStyle name="货币 2 3 5 2 5 2 6" xfId="40265" xr:uid="{00000000-0005-0000-0000-0000799D0000}"/>
    <cellStyle name="货币 2 3 5 2 5 2 7" xfId="6099" xr:uid="{00000000-0005-0000-0000-000003180000}"/>
    <cellStyle name="货币 2 3 5 2 5 2 8" xfId="33275" xr:uid="{00000000-0005-0000-0000-00002B820000}"/>
    <cellStyle name="货币 2 3 5 2 5 2 9" xfId="33278" xr:uid="{00000000-0005-0000-0000-00002E820000}"/>
    <cellStyle name="货币 2 3 5 2 5 3" xfId="44173" xr:uid="{00000000-0005-0000-0000-0000BDAC0000}"/>
    <cellStyle name="货币 2 3 5 2 5 3 2" xfId="44175" xr:uid="{00000000-0005-0000-0000-0000BFAC0000}"/>
    <cellStyle name="货币 2 3 5 2 5 3 3" xfId="44178" xr:uid="{00000000-0005-0000-0000-0000C2AC0000}"/>
    <cellStyle name="货币 2 3 5 2 5 3 4" xfId="41064" xr:uid="{00000000-0005-0000-0000-000098A00000}"/>
    <cellStyle name="货币 2 3 5 2 5 3 5" xfId="44179" xr:uid="{00000000-0005-0000-0000-0000C3AC0000}"/>
    <cellStyle name="货币 2 3 5 2 5 3 6" xfId="44180" xr:uid="{00000000-0005-0000-0000-0000C4AC0000}"/>
    <cellStyle name="货币 2 3 5 2 5 4" xfId="44181" xr:uid="{00000000-0005-0000-0000-0000C5AC0000}"/>
    <cellStyle name="货币 2 3 5 2 5 4 2" xfId="44182" xr:uid="{00000000-0005-0000-0000-0000C6AC0000}"/>
    <cellStyle name="货币 2 3 5 2 5 5" xfId="42767" xr:uid="{00000000-0005-0000-0000-00003FA70000}"/>
    <cellStyle name="货币 2 3 5 2 5 6" xfId="44184" xr:uid="{00000000-0005-0000-0000-0000C8AC0000}"/>
    <cellStyle name="货币 2 3 5 2 5 7" xfId="28732" xr:uid="{00000000-0005-0000-0000-00006C700000}"/>
    <cellStyle name="货币 2 3 5 2 5 8" xfId="28735" xr:uid="{00000000-0005-0000-0000-00006F700000}"/>
    <cellStyle name="货币 2 3 5 2 5 9" xfId="28738" xr:uid="{00000000-0005-0000-0000-000072700000}"/>
    <cellStyle name="货币 2 3 5 2 6" xfId="1053" xr:uid="{00000000-0005-0000-0000-00004D040000}"/>
    <cellStyle name="货币 2 3 5 2 6 10" xfId="44185" xr:uid="{00000000-0005-0000-0000-0000C9AC0000}"/>
    <cellStyle name="货币 2 3 5 2 6 11" xfId="44186" xr:uid="{00000000-0005-0000-0000-0000CAAC0000}"/>
    <cellStyle name="货币 2 3 5 2 6 12" xfId="44187" xr:uid="{00000000-0005-0000-0000-0000CBAC0000}"/>
    <cellStyle name="货币 2 3 5 2 6 2" xfId="1064" xr:uid="{00000000-0005-0000-0000-000058040000}"/>
    <cellStyle name="货币 2 3 5 2 6 2 2" xfId="44188" xr:uid="{00000000-0005-0000-0000-0000CCAC0000}"/>
    <cellStyle name="货币 2 3 5 2 6 2 2 2" xfId="15867" xr:uid="{00000000-0005-0000-0000-00002B3E0000}"/>
    <cellStyle name="货币 2 3 5 2 6 2 3" xfId="44190" xr:uid="{00000000-0005-0000-0000-0000CEAC0000}"/>
    <cellStyle name="货币 2 3 5 2 6 2 4" xfId="44192" xr:uid="{00000000-0005-0000-0000-0000D0AC0000}"/>
    <cellStyle name="货币 2 3 5 2 6 2 5" xfId="44194" xr:uid="{00000000-0005-0000-0000-0000D2AC0000}"/>
    <cellStyle name="货币 2 3 5 2 6 2 6" xfId="44196" xr:uid="{00000000-0005-0000-0000-0000D4AC0000}"/>
    <cellStyle name="货币 2 3 5 2 6 2 7" xfId="6649" xr:uid="{00000000-0005-0000-0000-0000291A0000}"/>
    <cellStyle name="货币 2 3 5 2 6 2 8" xfId="33399" xr:uid="{00000000-0005-0000-0000-0000A7820000}"/>
    <cellStyle name="货币 2 3 5 2 6 2 9" xfId="33402" xr:uid="{00000000-0005-0000-0000-0000AA820000}"/>
    <cellStyle name="货币 2 3 5 2 6 3" xfId="44197" xr:uid="{00000000-0005-0000-0000-0000D5AC0000}"/>
    <cellStyle name="货币 2 3 5 2 6 3 2" xfId="44199" xr:uid="{00000000-0005-0000-0000-0000D7AC0000}"/>
    <cellStyle name="货币 2 3 5 2 6 3 3" xfId="44202" xr:uid="{00000000-0005-0000-0000-0000DAAC0000}"/>
    <cellStyle name="货币 2 3 5 2 6 3 4" xfId="44203" xr:uid="{00000000-0005-0000-0000-0000DBAC0000}"/>
    <cellStyle name="货币 2 3 5 2 6 3 5" xfId="44204" xr:uid="{00000000-0005-0000-0000-0000DCAC0000}"/>
    <cellStyle name="货币 2 3 5 2 6 3 6" xfId="44205" xr:uid="{00000000-0005-0000-0000-0000DDAC0000}"/>
    <cellStyle name="货币 2 3 5 2 6 4" xfId="44206" xr:uid="{00000000-0005-0000-0000-0000DEAC0000}"/>
    <cellStyle name="货币 2 3 5 2 6 4 2" xfId="44207" xr:uid="{00000000-0005-0000-0000-0000DFAC0000}"/>
    <cellStyle name="货币 2 3 5 2 6 5" xfId="44209" xr:uid="{00000000-0005-0000-0000-0000E1AC0000}"/>
    <cellStyle name="货币 2 3 5 2 6 6" xfId="44211" xr:uid="{00000000-0005-0000-0000-0000E3AC0000}"/>
    <cellStyle name="货币 2 3 5 2 6 7" xfId="28749" xr:uid="{00000000-0005-0000-0000-00007D700000}"/>
    <cellStyle name="货币 2 3 5 2 6 8" xfId="31026" xr:uid="{00000000-0005-0000-0000-000062790000}"/>
    <cellStyle name="货币 2 3 5 2 6 9" xfId="31028" xr:uid="{00000000-0005-0000-0000-000064790000}"/>
    <cellStyle name="货币 2 3 5 2 7" xfId="1074" xr:uid="{00000000-0005-0000-0000-000062040000}"/>
    <cellStyle name="货币 2 3 5 2 7 2" xfId="1086" xr:uid="{00000000-0005-0000-0000-00006E040000}"/>
    <cellStyle name="货币 2 3 5 2 7 2 2" xfId="44212" xr:uid="{00000000-0005-0000-0000-0000E4AC0000}"/>
    <cellStyle name="货币 2 3 5 2 7 3" xfId="44213" xr:uid="{00000000-0005-0000-0000-0000E5AC0000}"/>
    <cellStyle name="货币 2 3 5 2 7 4" xfId="29052" xr:uid="{00000000-0005-0000-0000-0000AC710000}"/>
    <cellStyle name="货币 2 3 5 2 7 5" xfId="28193" xr:uid="{00000000-0005-0000-0000-0000516E0000}"/>
    <cellStyle name="货币 2 3 5 2 7 6" xfId="44214" xr:uid="{00000000-0005-0000-0000-0000E6AC0000}"/>
    <cellStyle name="货币 2 3 5 2 7 7" xfId="31031" xr:uid="{00000000-0005-0000-0000-000067790000}"/>
    <cellStyle name="货币 2 3 5 2 7 8" xfId="31033" xr:uid="{00000000-0005-0000-0000-000069790000}"/>
    <cellStyle name="货币 2 3 5 2 7 9" xfId="31035" xr:uid="{00000000-0005-0000-0000-00006B790000}"/>
    <cellStyle name="货币 2 3 5 2 8" xfId="1089" xr:uid="{00000000-0005-0000-0000-000071040000}"/>
    <cellStyle name="货币 2 3 5 2 8 2" xfId="1108" xr:uid="{00000000-0005-0000-0000-000084040000}"/>
    <cellStyle name="货币 2 3 5 2 8 3" xfId="44216" xr:uid="{00000000-0005-0000-0000-0000E8AC0000}"/>
    <cellStyle name="货币 2 3 5 2 8 4" xfId="44217" xr:uid="{00000000-0005-0000-0000-0000E9AC0000}"/>
    <cellStyle name="货币 2 3 5 2 8 5" xfId="44218" xr:uid="{00000000-0005-0000-0000-0000EAAC0000}"/>
    <cellStyle name="货币 2 3 5 2 8 6" xfId="44219" xr:uid="{00000000-0005-0000-0000-0000EBAC0000}"/>
    <cellStyle name="货币 2 3 5 2 9" xfId="1111" xr:uid="{00000000-0005-0000-0000-000087040000}"/>
    <cellStyle name="货币 2 3 5 2 9 2" xfId="1118" xr:uid="{00000000-0005-0000-0000-00008E040000}"/>
    <cellStyle name="货币 2 3 5 2 9 3" xfId="44220" xr:uid="{00000000-0005-0000-0000-0000ECAC0000}"/>
    <cellStyle name="货币 2 3 5 2 9 4" xfId="44221" xr:uid="{00000000-0005-0000-0000-0000EDAC0000}"/>
    <cellStyle name="货币 2 3 5 2 9 5" xfId="44222" xr:uid="{00000000-0005-0000-0000-0000EEAC0000}"/>
    <cellStyle name="货币 2 3 5 2 9 6" xfId="44223" xr:uid="{00000000-0005-0000-0000-0000EFAC0000}"/>
    <cellStyle name="货币 2 3 5 20" xfId="30350" xr:uid="{00000000-0005-0000-0000-0000BE760000}"/>
    <cellStyle name="货币 2 3 5 21" xfId="13693" xr:uid="{00000000-0005-0000-0000-0000AD350000}"/>
    <cellStyle name="货币 2 3 5 22" xfId="13702" xr:uid="{00000000-0005-0000-0000-0000B6350000}"/>
    <cellStyle name="货币 2 3 5 23" xfId="13708" xr:uid="{00000000-0005-0000-0000-0000BC350000}"/>
    <cellStyle name="货币 2 3 5 24" xfId="13713" xr:uid="{00000000-0005-0000-0000-0000C1350000}"/>
    <cellStyle name="货币 2 3 5 25" xfId="6383" xr:uid="{00000000-0005-0000-0000-00001F190000}"/>
    <cellStyle name="货币 2 3 5 26" xfId="13718" xr:uid="{00000000-0005-0000-0000-0000C6350000}"/>
    <cellStyle name="货币 2 3 5 3" xfId="44224" xr:uid="{00000000-0005-0000-0000-0000F0AC0000}"/>
    <cellStyle name="货币 2 3 5 3 10" xfId="44225" xr:uid="{00000000-0005-0000-0000-0000F1AC0000}"/>
    <cellStyle name="货币 2 3 5 3 10 2" xfId="44227" xr:uid="{00000000-0005-0000-0000-0000F3AC0000}"/>
    <cellStyle name="货币 2 3 5 3 10 3" xfId="44229" xr:uid="{00000000-0005-0000-0000-0000F5AC0000}"/>
    <cellStyle name="货币 2 3 5 3 10 4" xfId="44230" xr:uid="{00000000-0005-0000-0000-0000F6AC0000}"/>
    <cellStyle name="货币 2 3 5 3 10 5" xfId="44231" xr:uid="{00000000-0005-0000-0000-0000F7AC0000}"/>
    <cellStyle name="货币 2 3 5 3 10 6" xfId="44232" xr:uid="{00000000-0005-0000-0000-0000F8AC0000}"/>
    <cellStyle name="货币 2 3 5 3 11" xfId="4409" xr:uid="{00000000-0005-0000-0000-000069110000}"/>
    <cellStyle name="货币 2 3 5 3 11 2" xfId="44233" xr:uid="{00000000-0005-0000-0000-0000F9AC0000}"/>
    <cellStyle name="货币 2 3 5 3 11 3" xfId="44234" xr:uid="{00000000-0005-0000-0000-0000FAAC0000}"/>
    <cellStyle name="货币 2 3 5 3 11 4" xfId="44235" xr:uid="{00000000-0005-0000-0000-0000FBAC0000}"/>
    <cellStyle name="货币 2 3 5 3 11 5" xfId="44236" xr:uid="{00000000-0005-0000-0000-0000FCAC0000}"/>
    <cellStyle name="货币 2 3 5 3 11 6" xfId="44237" xr:uid="{00000000-0005-0000-0000-0000FDAC0000}"/>
    <cellStyle name="货币 2 3 5 3 12" xfId="44238" xr:uid="{00000000-0005-0000-0000-0000FEAC0000}"/>
    <cellStyle name="货币 2 3 5 3 13" xfId="6206" xr:uid="{00000000-0005-0000-0000-00006E180000}"/>
    <cellStyle name="货币 2 3 5 3 14" xfId="15891" xr:uid="{00000000-0005-0000-0000-0000433E0000}"/>
    <cellStyle name="货币 2 3 5 3 15" xfId="15897" xr:uid="{00000000-0005-0000-0000-0000493E0000}"/>
    <cellStyle name="货币 2 3 5 3 16" xfId="15902" xr:uid="{00000000-0005-0000-0000-00004E3E0000}"/>
    <cellStyle name="货币 2 3 5 3 17" xfId="39162" xr:uid="{00000000-0005-0000-0000-00002A990000}"/>
    <cellStyle name="货币 2 3 5 3 18" xfId="44240" xr:uid="{00000000-0005-0000-0000-000000AD0000}"/>
    <cellStyle name="货币 2 3 5 3 19" xfId="44241" xr:uid="{00000000-0005-0000-0000-000001AD0000}"/>
    <cellStyle name="货币 2 3 5 3 2" xfId="44242" xr:uid="{00000000-0005-0000-0000-000002AD0000}"/>
    <cellStyle name="货币 2 3 5 3 2 10" xfId="32371" xr:uid="{00000000-0005-0000-0000-0000A37E0000}"/>
    <cellStyle name="货币 2 3 5 3 2 11" xfId="32375" xr:uid="{00000000-0005-0000-0000-0000A77E0000}"/>
    <cellStyle name="货币 2 3 5 3 2 12" xfId="32379" xr:uid="{00000000-0005-0000-0000-0000AB7E0000}"/>
    <cellStyle name="货币 2 3 5 3 2 13" xfId="32384" xr:uid="{00000000-0005-0000-0000-0000B07E0000}"/>
    <cellStyle name="货币 2 3 5 3 2 14" xfId="44243" xr:uid="{00000000-0005-0000-0000-000003AD0000}"/>
    <cellStyle name="货币 2 3 5 3 2 15" xfId="44245" xr:uid="{00000000-0005-0000-0000-000005AD0000}"/>
    <cellStyle name="货币 2 3 5 3 2 16" xfId="44247" xr:uid="{00000000-0005-0000-0000-000007AD0000}"/>
    <cellStyle name="货币 2 3 5 3 2 17" xfId="44249" xr:uid="{00000000-0005-0000-0000-000009AD0000}"/>
    <cellStyle name="货币 2 3 5 3 2 18" xfId="44251" xr:uid="{00000000-0005-0000-0000-00000BAD0000}"/>
    <cellStyle name="货币 2 3 5 3 2 2" xfId="44252" xr:uid="{00000000-0005-0000-0000-00000CAD0000}"/>
    <cellStyle name="货币 2 3 5 3 2 2 10" xfId="21436" xr:uid="{00000000-0005-0000-0000-0000EC530000}"/>
    <cellStyle name="货币 2 3 5 3 2 2 11" xfId="21440" xr:uid="{00000000-0005-0000-0000-0000F0530000}"/>
    <cellStyle name="货币 2 3 5 3 2 2 12" xfId="21444" xr:uid="{00000000-0005-0000-0000-0000F4530000}"/>
    <cellStyle name="货币 2 3 5 3 2 2 2" xfId="44253" xr:uid="{00000000-0005-0000-0000-00000DAD0000}"/>
    <cellStyle name="货币 2 3 5 3 2 2 2 2" xfId="44255" xr:uid="{00000000-0005-0000-0000-00000FAD0000}"/>
    <cellStyle name="货币 2 3 5 3 2 2 2 2 2" xfId="9466" xr:uid="{00000000-0005-0000-0000-00002A250000}"/>
    <cellStyle name="货币 2 3 5 3 2 2 2 3" xfId="44257" xr:uid="{00000000-0005-0000-0000-000011AD0000}"/>
    <cellStyle name="货币 2 3 5 3 2 2 2 4" xfId="44259" xr:uid="{00000000-0005-0000-0000-000013AD0000}"/>
    <cellStyle name="货币 2 3 5 3 2 2 2 5" xfId="44261" xr:uid="{00000000-0005-0000-0000-000015AD0000}"/>
    <cellStyle name="货币 2 3 5 3 2 2 3" xfId="44262" xr:uid="{00000000-0005-0000-0000-000016AD0000}"/>
    <cellStyle name="货币 2 3 5 3 2 2 3 2" xfId="44264" xr:uid="{00000000-0005-0000-0000-000018AD0000}"/>
    <cellStyle name="货币 2 3 5 3 2 2 4" xfId="44266" xr:uid="{00000000-0005-0000-0000-00001AAD0000}"/>
    <cellStyle name="货币 2 3 5 3 2 2 5" xfId="44268" xr:uid="{00000000-0005-0000-0000-00001CAD0000}"/>
    <cellStyle name="货币 2 3 5 3 2 2 6" xfId="44270" xr:uid="{00000000-0005-0000-0000-00001EAD0000}"/>
    <cellStyle name="货币 2 3 5 3 2 2 7" xfId="44272" xr:uid="{00000000-0005-0000-0000-000020AD0000}"/>
    <cellStyle name="货币 2 3 5 3 2 2 8" xfId="44274" xr:uid="{00000000-0005-0000-0000-000022AD0000}"/>
    <cellStyle name="货币 2 3 5 3 2 2 9" xfId="44276" xr:uid="{00000000-0005-0000-0000-000024AD0000}"/>
    <cellStyle name="货币 2 3 5 3 2 3" xfId="44278" xr:uid="{00000000-0005-0000-0000-000026AD0000}"/>
    <cellStyle name="货币 2 3 5 3 2 3 10" xfId="13707" xr:uid="{00000000-0005-0000-0000-0000BB350000}"/>
    <cellStyle name="货币 2 3 5 3 2 3 11" xfId="13712" xr:uid="{00000000-0005-0000-0000-0000C0350000}"/>
    <cellStyle name="货币 2 3 5 3 2 3 12" xfId="6382" xr:uid="{00000000-0005-0000-0000-00001E190000}"/>
    <cellStyle name="货币 2 3 5 3 2 3 2" xfId="44280" xr:uid="{00000000-0005-0000-0000-000028AD0000}"/>
    <cellStyle name="货币 2 3 5 3 2 3 2 2" xfId="44282" xr:uid="{00000000-0005-0000-0000-00002AAD0000}"/>
    <cellStyle name="货币 2 3 5 3 2 3 2 2 2" xfId="1915" xr:uid="{00000000-0005-0000-0000-0000AB070000}"/>
    <cellStyle name="货币 2 3 5 3 2 3 2 3" xfId="44283" xr:uid="{00000000-0005-0000-0000-00002BAD0000}"/>
    <cellStyle name="货币 2 3 5 3 2 3 2 4" xfId="44284" xr:uid="{00000000-0005-0000-0000-00002CAD0000}"/>
    <cellStyle name="货币 2 3 5 3 2 3 2 5" xfId="44285" xr:uid="{00000000-0005-0000-0000-00002DAD0000}"/>
    <cellStyle name="货币 2 3 5 3 2 3 3" xfId="44287" xr:uid="{00000000-0005-0000-0000-00002FAD0000}"/>
    <cellStyle name="货币 2 3 5 3 2 3 3 2" xfId="16585" xr:uid="{00000000-0005-0000-0000-0000F9400000}"/>
    <cellStyle name="货币 2 3 5 3 2 3 4" xfId="44290" xr:uid="{00000000-0005-0000-0000-000032AD0000}"/>
    <cellStyle name="货币 2 3 5 3 2 3 5" xfId="16601" xr:uid="{00000000-0005-0000-0000-000009410000}"/>
    <cellStyle name="货币 2 3 5 3 2 3 6" xfId="16610" xr:uid="{00000000-0005-0000-0000-000012410000}"/>
    <cellStyle name="货币 2 3 5 3 2 3 7" xfId="44293" xr:uid="{00000000-0005-0000-0000-000035AD0000}"/>
    <cellStyle name="货币 2 3 5 3 2 3 8" xfId="44296" xr:uid="{00000000-0005-0000-0000-000038AD0000}"/>
    <cellStyle name="货币 2 3 5 3 2 3 9" xfId="44298" xr:uid="{00000000-0005-0000-0000-00003AAD0000}"/>
    <cellStyle name="货币 2 3 5 3 2 4" xfId="44300" xr:uid="{00000000-0005-0000-0000-00003CAD0000}"/>
    <cellStyle name="货币 2 3 5 3 2 4 10" xfId="16494" xr:uid="{00000000-0005-0000-0000-00009E400000}"/>
    <cellStyle name="货币 2 3 5 3 2 4 2" xfId="44302" xr:uid="{00000000-0005-0000-0000-00003EAD0000}"/>
    <cellStyle name="货币 2 3 5 3 2 4 2 2" xfId="44303" xr:uid="{00000000-0005-0000-0000-00003FAD0000}"/>
    <cellStyle name="货币 2 3 5 3 2 4 2 2 2" xfId="18832" xr:uid="{00000000-0005-0000-0000-0000C0490000}"/>
    <cellStyle name="货币 2 3 5 3 2 4 2 3" xfId="44304" xr:uid="{00000000-0005-0000-0000-000040AD0000}"/>
    <cellStyle name="货币 2 3 5 3 2 4 2 4" xfId="44305" xr:uid="{00000000-0005-0000-0000-000041AD0000}"/>
    <cellStyle name="货币 2 3 5 3 2 4 2 5" xfId="44306" xr:uid="{00000000-0005-0000-0000-000042AD0000}"/>
    <cellStyle name="货币 2 3 5 3 2 4 3" xfId="44308" xr:uid="{00000000-0005-0000-0000-000044AD0000}"/>
    <cellStyle name="货币 2 3 5 3 2 4 3 2" xfId="26283" xr:uid="{00000000-0005-0000-0000-0000DB660000}"/>
    <cellStyle name="货币 2 3 5 3 2 4 4" xfId="5807" xr:uid="{00000000-0005-0000-0000-0000DF160000}"/>
    <cellStyle name="货币 2 3 5 3 2 4 5" xfId="34104" xr:uid="{00000000-0005-0000-0000-000068850000}"/>
    <cellStyle name="货币 2 3 5 3 2 4 6" xfId="34107" xr:uid="{00000000-0005-0000-0000-00006B850000}"/>
    <cellStyle name="货币 2 3 5 3 2 4 7" xfId="34109" xr:uid="{00000000-0005-0000-0000-00006D850000}"/>
    <cellStyle name="货币 2 3 5 3 2 4 8" xfId="34111" xr:uid="{00000000-0005-0000-0000-00006F850000}"/>
    <cellStyle name="货币 2 3 5 3 2 4 9" xfId="34113" xr:uid="{00000000-0005-0000-0000-000071850000}"/>
    <cellStyle name="货币 2 3 5 3 2 5" xfId="44310" xr:uid="{00000000-0005-0000-0000-000046AD0000}"/>
    <cellStyle name="货币 2 3 5 3 2 5 10" xfId="44313" xr:uid="{00000000-0005-0000-0000-000049AD0000}"/>
    <cellStyle name="货币 2 3 5 3 2 5 2" xfId="44315" xr:uid="{00000000-0005-0000-0000-00004BAD0000}"/>
    <cellStyle name="货币 2 3 5 3 2 5 2 2" xfId="44316" xr:uid="{00000000-0005-0000-0000-00004CAD0000}"/>
    <cellStyle name="货币 2 3 5 3 2 5 2 2 2" xfId="44317" xr:uid="{00000000-0005-0000-0000-00004DAD0000}"/>
    <cellStyle name="货币 2 3 5 3 2 5 2 3" xfId="44318" xr:uid="{00000000-0005-0000-0000-00004EAD0000}"/>
    <cellStyle name="货币 2 3 5 3 2 5 2 4" xfId="44319" xr:uid="{00000000-0005-0000-0000-00004FAD0000}"/>
    <cellStyle name="货币 2 3 5 3 2 5 2 5" xfId="44320" xr:uid="{00000000-0005-0000-0000-000050AD0000}"/>
    <cellStyle name="货币 2 3 5 3 2 5 3" xfId="44322" xr:uid="{00000000-0005-0000-0000-000052AD0000}"/>
    <cellStyle name="货币 2 3 5 3 2 5 3 2" xfId="44324" xr:uid="{00000000-0005-0000-0000-000054AD0000}"/>
    <cellStyle name="货币 2 3 5 3 2 5 4" xfId="11891" xr:uid="{00000000-0005-0000-0000-0000A32E0000}"/>
    <cellStyle name="货币 2 3 5 3 2 5 5" xfId="34121" xr:uid="{00000000-0005-0000-0000-000079850000}"/>
    <cellStyle name="货币 2 3 5 3 2 5 6" xfId="34124" xr:uid="{00000000-0005-0000-0000-00007C850000}"/>
    <cellStyle name="货币 2 3 5 3 2 5 7" xfId="34126" xr:uid="{00000000-0005-0000-0000-00007E850000}"/>
    <cellStyle name="货币 2 3 5 3 2 5 8" xfId="34128" xr:uid="{00000000-0005-0000-0000-000080850000}"/>
    <cellStyle name="货币 2 3 5 3 2 5 9" xfId="44325" xr:uid="{00000000-0005-0000-0000-000055AD0000}"/>
    <cellStyle name="货币 2 3 5 3 2 6" xfId="44327" xr:uid="{00000000-0005-0000-0000-000057AD0000}"/>
    <cellStyle name="货币 2 3 5 3 2 6 2" xfId="44329" xr:uid="{00000000-0005-0000-0000-000059AD0000}"/>
    <cellStyle name="货币 2 3 5 3 2 6 2 2" xfId="44330" xr:uid="{00000000-0005-0000-0000-00005AAD0000}"/>
    <cellStyle name="货币 2 3 5 3 2 6 3" xfId="44332" xr:uid="{00000000-0005-0000-0000-00005CAD0000}"/>
    <cellStyle name="货币 2 3 5 3 2 6 4" xfId="16683" xr:uid="{00000000-0005-0000-0000-00005B410000}"/>
    <cellStyle name="货币 2 3 5 3 2 6 5" xfId="16689" xr:uid="{00000000-0005-0000-0000-000061410000}"/>
    <cellStyle name="货币 2 3 5 3 2 6 6" xfId="24485" xr:uid="{00000000-0005-0000-0000-0000D55F0000}"/>
    <cellStyle name="货币 2 3 5 3 2 6 7" xfId="24487" xr:uid="{00000000-0005-0000-0000-0000D75F0000}"/>
    <cellStyle name="货币 2 3 5 3 2 6 8" xfId="24490" xr:uid="{00000000-0005-0000-0000-0000DA5F0000}"/>
    <cellStyle name="货币 2 3 5 3 2 6 9" xfId="1856" xr:uid="{00000000-0005-0000-0000-000070070000}"/>
    <cellStyle name="货币 2 3 5 3 2 7" xfId="44334" xr:uid="{00000000-0005-0000-0000-00005EAD0000}"/>
    <cellStyle name="货币 2 3 5 3 2 7 2" xfId="44336" xr:uid="{00000000-0005-0000-0000-000060AD0000}"/>
    <cellStyle name="货币 2 3 5 3 2 8" xfId="44338" xr:uid="{00000000-0005-0000-0000-000062AD0000}"/>
    <cellStyle name="货币 2 3 5 3 2 9" xfId="44340" xr:uid="{00000000-0005-0000-0000-000064AD0000}"/>
    <cellStyle name="货币 2 3 5 3 20" xfId="15896" xr:uid="{00000000-0005-0000-0000-0000483E0000}"/>
    <cellStyle name="货币 2 3 5 3 21" xfId="15901" xr:uid="{00000000-0005-0000-0000-00004D3E0000}"/>
    <cellStyle name="货币 2 3 5 3 22" xfId="39161" xr:uid="{00000000-0005-0000-0000-000029990000}"/>
    <cellStyle name="货币 2 3 5 3 23" xfId="44239" xr:uid="{00000000-0005-0000-0000-0000FFAC0000}"/>
    <cellStyle name="货币 2 3 5 3 3" xfId="44341" xr:uid="{00000000-0005-0000-0000-000065AD0000}"/>
    <cellStyle name="货币 2 3 5 3 3 10" xfId="44342" xr:uid="{00000000-0005-0000-0000-000066AD0000}"/>
    <cellStyle name="货币 2 3 5 3 3 11" xfId="44343" xr:uid="{00000000-0005-0000-0000-000067AD0000}"/>
    <cellStyle name="货币 2 3 5 3 3 12" xfId="44344" xr:uid="{00000000-0005-0000-0000-000068AD0000}"/>
    <cellStyle name="货币 2 3 5 3 3 13" xfId="44345" xr:uid="{00000000-0005-0000-0000-000069AD0000}"/>
    <cellStyle name="货币 2 3 5 3 3 14" xfId="44346" xr:uid="{00000000-0005-0000-0000-00006AAD0000}"/>
    <cellStyle name="货币 2 3 5 3 3 15" xfId="44347" xr:uid="{00000000-0005-0000-0000-00006BAD0000}"/>
    <cellStyle name="货币 2 3 5 3 3 16" xfId="44349" xr:uid="{00000000-0005-0000-0000-00006DAD0000}"/>
    <cellStyle name="货币 2 3 5 3 3 17" xfId="44351" xr:uid="{00000000-0005-0000-0000-00006FAD0000}"/>
    <cellStyle name="货币 2 3 5 3 3 18" xfId="44353" xr:uid="{00000000-0005-0000-0000-000071AD0000}"/>
    <cellStyle name="货币 2 3 5 3 3 2" xfId="44354" xr:uid="{00000000-0005-0000-0000-000072AD0000}"/>
    <cellStyle name="货币 2 3 5 3 3 2 10" xfId="23421" xr:uid="{00000000-0005-0000-0000-0000AD5B0000}"/>
    <cellStyle name="货币 2 3 5 3 3 2 2" xfId="44355" xr:uid="{00000000-0005-0000-0000-000073AD0000}"/>
    <cellStyle name="货币 2 3 5 3 3 2 2 2" xfId="8885" xr:uid="{00000000-0005-0000-0000-0000E5220000}"/>
    <cellStyle name="货币 2 3 5 3 3 2 3" xfId="44357" xr:uid="{00000000-0005-0000-0000-000075AD0000}"/>
    <cellStyle name="货币 2 3 5 3 3 2 4" xfId="44360" xr:uid="{00000000-0005-0000-0000-000078AD0000}"/>
    <cellStyle name="货币 2 3 5 3 3 2 5" xfId="44363" xr:uid="{00000000-0005-0000-0000-00007BAD0000}"/>
    <cellStyle name="货币 2 3 5 3 3 2 6" xfId="44366" xr:uid="{00000000-0005-0000-0000-00007EAD0000}"/>
    <cellStyle name="货币 2 3 5 3 3 2 7" xfId="44369" xr:uid="{00000000-0005-0000-0000-000081AD0000}"/>
    <cellStyle name="货币 2 3 5 3 3 2 8" xfId="44370" xr:uid="{00000000-0005-0000-0000-000082AD0000}"/>
    <cellStyle name="货币 2 3 5 3 3 2 9" xfId="44371" xr:uid="{00000000-0005-0000-0000-000083AD0000}"/>
    <cellStyle name="货币 2 3 5 3 3 3" xfId="44372" xr:uid="{00000000-0005-0000-0000-000084AD0000}"/>
    <cellStyle name="货币 2 3 5 3 3 3 2" xfId="44373" xr:uid="{00000000-0005-0000-0000-000085AD0000}"/>
    <cellStyle name="货币 2 3 5 3 3 3 3" xfId="44375" xr:uid="{00000000-0005-0000-0000-000087AD0000}"/>
    <cellStyle name="货币 2 3 5 3 3 3 4" xfId="44378" xr:uid="{00000000-0005-0000-0000-00008AAD0000}"/>
    <cellStyle name="货币 2 3 5 3 3 3 5" xfId="44380" xr:uid="{00000000-0005-0000-0000-00008CAD0000}"/>
    <cellStyle name="货币 2 3 5 3 3 3 6" xfId="17081" xr:uid="{00000000-0005-0000-0000-0000E9420000}"/>
    <cellStyle name="货币 2 3 5 3 3 4" xfId="44381" xr:uid="{00000000-0005-0000-0000-00008DAD0000}"/>
    <cellStyle name="货币 2 3 5 3 3 4 2" xfId="44382" xr:uid="{00000000-0005-0000-0000-00008EAD0000}"/>
    <cellStyle name="货币 2 3 5 3 3 4 3" xfId="44384" xr:uid="{00000000-0005-0000-0000-000090AD0000}"/>
    <cellStyle name="货币 2 3 5 3 3 4 4" xfId="17107" xr:uid="{00000000-0005-0000-0000-000003430000}"/>
    <cellStyle name="货币 2 3 5 3 3 4 5" xfId="34148" xr:uid="{00000000-0005-0000-0000-000094850000}"/>
    <cellStyle name="货币 2 3 5 3 3 4 6" xfId="34151" xr:uid="{00000000-0005-0000-0000-000097850000}"/>
    <cellStyle name="货币 2 3 5 3 3 5" xfId="44385" xr:uid="{00000000-0005-0000-0000-000091AD0000}"/>
    <cellStyle name="货币 2 3 5 3 3 5 2" xfId="44386" xr:uid="{00000000-0005-0000-0000-000092AD0000}"/>
    <cellStyle name="货币 2 3 5 3 3 5 3" xfId="44388" xr:uid="{00000000-0005-0000-0000-000094AD0000}"/>
    <cellStyle name="货币 2 3 5 3 3 5 4" xfId="15723" xr:uid="{00000000-0005-0000-0000-00009B3D0000}"/>
    <cellStyle name="货币 2 3 5 3 3 5 5" xfId="34163" xr:uid="{00000000-0005-0000-0000-0000A3850000}"/>
    <cellStyle name="货币 2 3 5 3 3 5 6" xfId="34166" xr:uid="{00000000-0005-0000-0000-0000A6850000}"/>
    <cellStyle name="货币 2 3 5 3 3 6" xfId="35219" xr:uid="{00000000-0005-0000-0000-0000C3890000}"/>
    <cellStyle name="货币 2 3 5 3 3 6 2" xfId="44389" xr:uid="{00000000-0005-0000-0000-000095AD0000}"/>
    <cellStyle name="货币 2 3 5 3 3 6 3" xfId="44390" xr:uid="{00000000-0005-0000-0000-000096AD0000}"/>
    <cellStyle name="货币 2 3 5 3 3 6 4" xfId="2114" xr:uid="{00000000-0005-0000-0000-000072080000}"/>
    <cellStyle name="货币 2 3 5 3 3 6 5" xfId="17131" xr:uid="{00000000-0005-0000-0000-00001B430000}"/>
    <cellStyle name="货币 2 3 5 3 3 6 6" xfId="12940" xr:uid="{00000000-0005-0000-0000-0000BC320000}"/>
    <cellStyle name="货币 2 3 5 3 3 7" xfId="31059" xr:uid="{00000000-0005-0000-0000-000083790000}"/>
    <cellStyle name="货币 2 3 5 3 3 8" xfId="31061" xr:uid="{00000000-0005-0000-0000-000085790000}"/>
    <cellStyle name="货币 2 3 5 3 3 9" xfId="31064" xr:uid="{00000000-0005-0000-0000-000088790000}"/>
    <cellStyle name="货币 2 3 5 3 4" xfId="44391" xr:uid="{00000000-0005-0000-0000-000097AD0000}"/>
    <cellStyle name="货币 2 3 5 3 4 10" xfId="44392" xr:uid="{00000000-0005-0000-0000-000098AD0000}"/>
    <cellStyle name="货币 2 3 5 3 4 11" xfId="44393" xr:uid="{00000000-0005-0000-0000-000099AD0000}"/>
    <cellStyle name="货币 2 3 5 3 4 12" xfId="44394" xr:uid="{00000000-0005-0000-0000-00009AAD0000}"/>
    <cellStyle name="货币 2 3 5 3 4 13" xfId="44395" xr:uid="{00000000-0005-0000-0000-00009BAD0000}"/>
    <cellStyle name="货币 2 3 5 3 4 14" xfId="44396" xr:uid="{00000000-0005-0000-0000-00009CAD0000}"/>
    <cellStyle name="货币 2 3 5 3 4 15" xfId="44397" xr:uid="{00000000-0005-0000-0000-00009DAD0000}"/>
    <cellStyle name="货币 2 3 5 3 4 2" xfId="44398" xr:uid="{00000000-0005-0000-0000-00009EAD0000}"/>
    <cellStyle name="货币 2 3 5 3 4 2 2" xfId="44399" xr:uid="{00000000-0005-0000-0000-00009FAD0000}"/>
    <cellStyle name="货币 2 3 5 3 4 2 2 2" xfId="6477" xr:uid="{00000000-0005-0000-0000-00007D190000}"/>
    <cellStyle name="货币 2 3 5 3 4 2 3" xfId="44401" xr:uid="{00000000-0005-0000-0000-0000A1AD0000}"/>
    <cellStyle name="货币 2 3 5 3 4 2 4" xfId="44403" xr:uid="{00000000-0005-0000-0000-0000A3AD0000}"/>
    <cellStyle name="货币 2 3 5 3 4 2 5" xfId="44404" xr:uid="{00000000-0005-0000-0000-0000A4AD0000}"/>
    <cellStyle name="货币 2 3 5 3 4 2 6" xfId="44405" xr:uid="{00000000-0005-0000-0000-0000A5AD0000}"/>
    <cellStyle name="货币 2 3 5 3 4 2 7" xfId="44406" xr:uid="{00000000-0005-0000-0000-0000A6AD0000}"/>
    <cellStyle name="货币 2 3 5 3 4 2 8" xfId="44407" xr:uid="{00000000-0005-0000-0000-0000A7AD0000}"/>
    <cellStyle name="货币 2 3 5 3 4 2 9" xfId="44408" xr:uid="{00000000-0005-0000-0000-0000A8AD0000}"/>
    <cellStyle name="货币 2 3 5 3 4 3" xfId="44409" xr:uid="{00000000-0005-0000-0000-0000A9AD0000}"/>
    <cellStyle name="货币 2 3 5 3 4 3 2" xfId="44410" xr:uid="{00000000-0005-0000-0000-0000AAAD0000}"/>
    <cellStyle name="货币 2 3 5 3 4 3 3" xfId="44411" xr:uid="{00000000-0005-0000-0000-0000ABAD0000}"/>
    <cellStyle name="货币 2 3 5 3 4 3 4" xfId="44412" xr:uid="{00000000-0005-0000-0000-0000ACAD0000}"/>
    <cellStyle name="货币 2 3 5 3 4 3 5" xfId="44413" xr:uid="{00000000-0005-0000-0000-0000ADAD0000}"/>
    <cellStyle name="货币 2 3 5 3 4 3 6" xfId="44414" xr:uid="{00000000-0005-0000-0000-0000AEAD0000}"/>
    <cellStyle name="货币 2 3 5 3 4 4" xfId="44415" xr:uid="{00000000-0005-0000-0000-0000AFAD0000}"/>
    <cellStyle name="货币 2 3 5 3 4 4 2" xfId="651" xr:uid="{00000000-0005-0000-0000-0000B8020000}"/>
    <cellStyle name="货币 2 3 5 3 4 5" xfId="44416" xr:uid="{00000000-0005-0000-0000-0000B0AD0000}"/>
    <cellStyle name="货币 2 3 5 3 4 6" xfId="44417" xr:uid="{00000000-0005-0000-0000-0000B1AD0000}"/>
    <cellStyle name="货币 2 3 5 3 4 7" xfId="31066" xr:uid="{00000000-0005-0000-0000-00008A790000}"/>
    <cellStyle name="货币 2 3 5 3 4 8" xfId="31068" xr:uid="{00000000-0005-0000-0000-00008C790000}"/>
    <cellStyle name="货币 2 3 5 3 4 9" xfId="31072" xr:uid="{00000000-0005-0000-0000-000090790000}"/>
    <cellStyle name="货币 2 3 5 3 5" xfId="44418" xr:uid="{00000000-0005-0000-0000-0000B2AD0000}"/>
    <cellStyle name="货币 2 3 5 3 5 10" xfId="44419" xr:uid="{00000000-0005-0000-0000-0000B3AD0000}"/>
    <cellStyle name="货币 2 3 5 3 5 11" xfId="44420" xr:uid="{00000000-0005-0000-0000-0000B4AD0000}"/>
    <cellStyle name="货币 2 3 5 3 5 12" xfId="44421" xr:uid="{00000000-0005-0000-0000-0000B5AD0000}"/>
    <cellStyle name="货币 2 3 5 3 5 13" xfId="44422" xr:uid="{00000000-0005-0000-0000-0000B6AD0000}"/>
    <cellStyle name="货币 2 3 5 3 5 2" xfId="35803" xr:uid="{00000000-0005-0000-0000-00000B8C0000}"/>
    <cellStyle name="货币 2 3 5 3 5 2 2" xfId="13947" xr:uid="{00000000-0005-0000-0000-0000AB360000}"/>
    <cellStyle name="货币 2 3 5 3 5 2 2 2" xfId="17577" xr:uid="{00000000-0005-0000-0000-0000D9440000}"/>
    <cellStyle name="货币 2 3 5 3 5 2 3" xfId="13952" xr:uid="{00000000-0005-0000-0000-0000B0360000}"/>
    <cellStyle name="货币 2 3 5 3 5 2 4" xfId="3711" xr:uid="{00000000-0005-0000-0000-0000AF0E0000}"/>
    <cellStyle name="货币 2 3 5 3 5 2 5" xfId="13956" xr:uid="{00000000-0005-0000-0000-0000B4360000}"/>
    <cellStyle name="货币 2 3 5 3 5 2 6" xfId="13960" xr:uid="{00000000-0005-0000-0000-0000B8360000}"/>
    <cellStyle name="货币 2 3 5 3 5 2 7" xfId="37846" xr:uid="{00000000-0005-0000-0000-000006940000}"/>
    <cellStyle name="货币 2 3 5 3 5 2 8" xfId="37848" xr:uid="{00000000-0005-0000-0000-000008940000}"/>
    <cellStyle name="货币 2 3 5 3 5 2 9" xfId="37850" xr:uid="{00000000-0005-0000-0000-00000A940000}"/>
    <cellStyle name="货币 2 3 5 3 5 3" xfId="44423" xr:uid="{00000000-0005-0000-0000-0000B7AD0000}"/>
    <cellStyle name="货币 2 3 5 3 5 3 2" xfId="44424" xr:uid="{00000000-0005-0000-0000-0000B8AD0000}"/>
    <cellStyle name="货币 2 3 5 3 5 3 3" xfId="44425" xr:uid="{00000000-0005-0000-0000-0000B9AD0000}"/>
    <cellStyle name="货币 2 3 5 3 5 3 4" xfId="41080" xr:uid="{00000000-0005-0000-0000-0000A8A00000}"/>
    <cellStyle name="货币 2 3 5 3 5 3 5" xfId="44426" xr:uid="{00000000-0005-0000-0000-0000BAAD0000}"/>
    <cellStyle name="货币 2 3 5 3 5 3 6" xfId="44427" xr:uid="{00000000-0005-0000-0000-0000BBAD0000}"/>
    <cellStyle name="货币 2 3 5 3 5 4" xfId="44428" xr:uid="{00000000-0005-0000-0000-0000BCAD0000}"/>
    <cellStyle name="货币 2 3 5 3 5 4 2" xfId="44429" xr:uid="{00000000-0005-0000-0000-0000BDAD0000}"/>
    <cellStyle name="货币 2 3 5 3 5 5" xfId="44430" xr:uid="{00000000-0005-0000-0000-0000BEAD0000}"/>
    <cellStyle name="货币 2 3 5 3 5 6" xfId="44431" xr:uid="{00000000-0005-0000-0000-0000BFAD0000}"/>
    <cellStyle name="货币 2 3 5 3 5 7" xfId="31077" xr:uid="{00000000-0005-0000-0000-000095790000}"/>
    <cellStyle name="货币 2 3 5 3 5 8" xfId="28933" xr:uid="{00000000-0005-0000-0000-000035710000}"/>
    <cellStyle name="货币 2 3 5 3 5 9" xfId="28936" xr:uid="{00000000-0005-0000-0000-000038710000}"/>
    <cellStyle name="货币 2 3 5 3 6" xfId="1233" xr:uid="{00000000-0005-0000-0000-000001050000}"/>
    <cellStyle name="货币 2 3 5 3 6 10" xfId="44432" xr:uid="{00000000-0005-0000-0000-0000C0AD0000}"/>
    <cellStyle name="货币 2 3 5 3 6 11" xfId="40743" xr:uid="{00000000-0005-0000-0000-0000579F0000}"/>
    <cellStyle name="货币 2 3 5 3 6 12" xfId="40747" xr:uid="{00000000-0005-0000-0000-00005B9F0000}"/>
    <cellStyle name="货币 2 3 5 3 6 2" xfId="44433" xr:uid="{00000000-0005-0000-0000-0000C1AD0000}"/>
    <cellStyle name="货币 2 3 5 3 6 2 2" xfId="40080" xr:uid="{00000000-0005-0000-0000-0000C09C0000}"/>
    <cellStyle name="货币 2 3 5 3 6 2 2 2" xfId="34586" xr:uid="{00000000-0005-0000-0000-00004A870000}"/>
    <cellStyle name="货币 2 3 5 3 6 2 3" xfId="40083" xr:uid="{00000000-0005-0000-0000-0000C39C0000}"/>
    <cellStyle name="货币 2 3 5 3 6 2 4" xfId="40085" xr:uid="{00000000-0005-0000-0000-0000C59C0000}"/>
    <cellStyle name="货币 2 3 5 3 6 2 5" xfId="44434" xr:uid="{00000000-0005-0000-0000-0000C2AD0000}"/>
    <cellStyle name="货币 2 3 5 3 6 2 6" xfId="44435" xr:uid="{00000000-0005-0000-0000-0000C3AD0000}"/>
    <cellStyle name="货币 2 3 5 3 6 2 7" xfId="37876" xr:uid="{00000000-0005-0000-0000-000024940000}"/>
    <cellStyle name="货币 2 3 5 3 6 2 8" xfId="37878" xr:uid="{00000000-0005-0000-0000-000026940000}"/>
    <cellStyle name="货币 2 3 5 3 6 2 9" xfId="37880" xr:uid="{00000000-0005-0000-0000-000028940000}"/>
    <cellStyle name="货币 2 3 5 3 6 3" xfId="44436" xr:uid="{00000000-0005-0000-0000-0000C4AD0000}"/>
    <cellStyle name="货币 2 3 5 3 6 3 2" xfId="44437" xr:uid="{00000000-0005-0000-0000-0000C5AD0000}"/>
    <cellStyle name="货币 2 3 5 3 6 3 3" xfId="44438" xr:uid="{00000000-0005-0000-0000-0000C6AD0000}"/>
    <cellStyle name="货币 2 3 5 3 6 3 4" xfId="44439" xr:uid="{00000000-0005-0000-0000-0000C7AD0000}"/>
    <cellStyle name="货币 2 3 5 3 6 3 5" xfId="44440" xr:uid="{00000000-0005-0000-0000-0000C8AD0000}"/>
    <cellStyle name="货币 2 3 5 3 6 3 6" xfId="44441" xr:uid="{00000000-0005-0000-0000-0000C9AD0000}"/>
    <cellStyle name="货币 2 3 5 3 6 4" xfId="44442" xr:uid="{00000000-0005-0000-0000-0000CAAD0000}"/>
    <cellStyle name="货币 2 3 5 3 6 4 2" xfId="44443" xr:uid="{00000000-0005-0000-0000-0000CBAD0000}"/>
    <cellStyle name="货币 2 3 5 3 6 5" xfId="44445" xr:uid="{00000000-0005-0000-0000-0000CDAD0000}"/>
    <cellStyle name="货币 2 3 5 3 6 6" xfId="44447" xr:uid="{00000000-0005-0000-0000-0000CFAD0000}"/>
    <cellStyle name="货币 2 3 5 3 6 7" xfId="31082" xr:uid="{00000000-0005-0000-0000-00009A790000}"/>
    <cellStyle name="货币 2 3 5 3 6 8" xfId="44449" xr:uid="{00000000-0005-0000-0000-0000D1AD0000}"/>
    <cellStyle name="货币 2 3 5 3 6 9" xfId="44450" xr:uid="{00000000-0005-0000-0000-0000D2AD0000}"/>
    <cellStyle name="货币 2 3 5 3 7" xfId="44451" xr:uid="{00000000-0005-0000-0000-0000D3AD0000}"/>
    <cellStyle name="货币 2 3 5 3 7 2" xfId="44452" xr:uid="{00000000-0005-0000-0000-0000D4AD0000}"/>
    <cellStyle name="货币 2 3 5 3 7 2 2" xfId="44453" xr:uid="{00000000-0005-0000-0000-0000D5AD0000}"/>
    <cellStyle name="货币 2 3 5 3 7 3" xfId="44454" xr:uid="{00000000-0005-0000-0000-0000D6AD0000}"/>
    <cellStyle name="货币 2 3 5 3 7 4" xfId="44455" xr:uid="{00000000-0005-0000-0000-0000D7AD0000}"/>
    <cellStyle name="货币 2 3 5 3 7 5" xfId="44457" xr:uid="{00000000-0005-0000-0000-0000D9AD0000}"/>
    <cellStyle name="货币 2 3 5 3 7 6" xfId="44458" xr:uid="{00000000-0005-0000-0000-0000DAAD0000}"/>
    <cellStyle name="货币 2 3 5 3 7 7" xfId="31084" xr:uid="{00000000-0005-0000-0000-00009C790000}"/>
    <cellStyle name="货币 2 3 5 3 7 8" xfId="44459" xr:uid="{00000000-0005-0000-0000-0000DBAD0000}"/>
    <cellStyle name="货币 2 3 5 3 7 9" xfId="44460" xr:uid="{00000000-0005-0000-0000-0000DCAD0000}"/>
    <cellStyle name="货币 2 3 5 3 8" xfId="44461" xr:uid="{00000000-0005-0000-0000-0000DDAD0000}"/>
    <cellStyle name="货币 2 3 5 3 8 2" xfId="44462" xr:uid="{00000000-0005-0000-0000-0000DEAD0000}"/>
    <cellStyle name="货币 2 3 5 3 8 3" xfId="44463" xr:uid="{00000000-0005-0000-0000-0000DFAD0000}"/>
    <cellStyle name="货币 2 3 5 3 8 4" xfId="44464" xr:uid="{00000000-0005-0000-0000-0000E0AD0000}"/>
    <cellStyle name="货币 2 3 5 3 8 5" xfId="44465" xr:uid="{00000000-0005-0000-0000-0000E1AD0000}"/>
    <cellStyle name="货币 2 3 5 3 8 6" xfId="44466" xr:uid="{00000000-0005-0000-0000-0000E2AD0000}"/>
    <cellStyle name="货币 2 3 5 3 9" xfId="44467" xr:uid="{00000000-0005-0000-0000-0000E3AD0000}"/>
    <cellStyle name="货币 2 3 5 3 9 2" xfId="44468" xr:uid="{00000000-0005-0000-0000-0000E4AD0000}"/>
    <cellStyle name="货币 2 3 5 3 9 3" xfId="44469" xr:uid="{00000000-0005-0000-0000-0000E5AD0000}"/>
    <cellStyle name="货币 2 3 5 3 9 4" xfId="44470" xr:uid="{00000000-0005-0000-0000-0000E6AD0000}"/>
    <cellStyle name="货币 2 3 5 3 9 5" xfId="44471" xr:uid="{00000000-0005-0000-0000-0000E7AD0000}"/>
    <cellStyle name="货币 2 3 5 3 9 6" xfId="44472" xr:uid="{00000000-0005-0000-0000-0000E8AD0000}"/>
    <cellStyle name="货币 2 3 5 4" xfId="44473" xr:uid="{00000000-0005-0000-0000-0000E9AD0000}"/>
    <cellStyle name="货币 2 3 5 4 10" xfId="404" xr:uid="{00000000-0005-0000-0000-0000AE010000}"/>
    <cellStyle name="货币 2 3 5 4 10 2" xfId="1995" xr:uid="{00000000-0005-0000-0000-0000FB070000}"/>
    <cellStyle name="货币 2 3 5 4 10 3" xfId="44475" xr:uid="{00000000-0005-0000-0000-0000EBAD0000}"/>
    <cellStyle name="货币 2 3 5 4 10 4" xfId="44476" xr:uid="{00000000-0005-0000-0000-0000ECAD0000}"/>
    <cellStyle name="货币 2 3 5 4 10 5" xfId="44477" xr:uid="{00000000-0005-0000-0000-0000EDAD0000}"/>
    <cellStyle name="货币 2 3 5 4 10 6" xfId="44478" xr:uid="{00000000-0005-0000-0000-0000EEAD0000}"/>
    <cellStyle name="货币 2 3 5 4 11" xfId="2005" xr:uid="{00000000-0005-0000-0000-000005080000}"/>
    <cellStyle name="货币 2 3 5 4 11 2" xfId="2019" xr:uid="{00000000-0005-0000-0000-000013080000}"/>
    <cellStyle name="货币 2 3 5 4 11 3" xfId="44479" xr:uid="{00000000-0005-0000-0000-0000EFAD0000}"/>
    <cellStyle name="货币 2 3 5 4 11 4" xfId="44480" xr:uid="{00000000-0005-0000-0000-0000F0AD0000}"/>
    <cellStyle name="货币 2 3 5 4 11 5" xfId="44481" xr:uid="{00000000-0005-0000-0000-0000F1AD0000}"/>
    <cellStyle name="货币 2 3 5 4 11 6" xfId="44482" xr:uid="{00000000-0005-0000-0000-0000F2AD0000}"/>
    <cellStyle name="货币 2 3 5 4 12" xfId="2032" xr:uid="{00000000-0005-0000-0000-000020080000}"/>
    <cellStyle name="货币 2 3 5 4 13" xfId="2052" xr:uid="{00000000-0005-0000-0000-000034080000}"/>
    <cellStyle name="货币 2 3 5 4 14" xfId="12791" xr:uid="{00000000-0005-0000-0000-000027320000}"/>
    <cellStyle name="货币 2 3 5 4 15" xfId="18018" xr:uid="{00000000-0005-0000-0000-000092460000}"/>
    <cellStyle name="货币 2 3 5 4 16" xfId="18025" xr:uid="{00000000-0005-0000-0000-000099460000}"/>
    <cellStyle name="货币 2 3 5 4 17" xfId="18030" xr:uid="{00000000-0005-0000-0000-00009E460000}"/>
    <cellStyle name="货币 2 3 5 4 18" xfId="13773" xr:uid="{00000000-0005-0000-0000-0000FD350000}"/>
    <cellStyle name="货币 2 3 5 4 19" xfId="44483" xr:uid="{00000000-0005-0000-0000-0000F3AD0000}"/>
    <cellStyle name="货币 2 3 5 4 2" xfId="44484" xr:uid="{00000000-0005-0000-0000-0000F4AD0000}"/>
    <cellStyle name="货币 2 3 5 4 2 10" xfId="29558" xr:uid="{00000000-0005-0000-0000-0000A6730000}"/>
    <cellStyle name="货币 2 3 5 4 2 11" xfId="29821" xr:uid="{00000000-0005-0000-0000-0000AD740000}"/>
    <cellStyle name="货币 2 3 5 4 2 12" xfId="29824" xr:uid="{00000000-0005-0000-0000-0000B0740000}"/>
    <cellStyle name="货币 2 3 5 4 2 13" xfId="29828" xr:uid="{00000000-0005-0000-0000-0000B4740000}"/>
    <cellStyle name="货币 2 3 5 4 2 14" xfId="29831" xr:uid="{00000000-0005-0000-0000-0000B7740000}"/>
    <cellStyle name="货币 2 3 5 4 2 15" xfId="29835" xr:uid="{00000000-0005-0000-0000-0000BB740000}"/>
    <cellStyle name="货币 2 3 5 4 2 16" xfId="29938" xr:uid="{00000000-0005-0000-0000-000022750000}"/>
    <cellStyle name="货币 2 3 5 4 2 17" xfId="29943" xr:uid="{00000000-0005-0000-0000-000027750000}"/>
    <cellStyle name="货币 2 3 5 4 2 18" xfId="29948" xr:uid="{00000000-0005-0000-0000-00002C750000}"/>
    <cellStyle name="货币 2 3 5 4 2 2" xfId="44485" xr:uid="{00000000-0005-0000-0000-0000F5AD0000}"/>
    <cellStyle name="货币 2 3 5 4 2 2 10" xfId="44486" xr:uid="{00000000-0005-0000-0000-0000F6AD0000}"/>
    <cellStyle name="货币 2 3 5 4 2 2 11" xfId="44487" xr:uid="{00000000-0005-0000-0000-0000F7AD0000}"/>
    <cellStyle name="货币 2 3 5 4 2 2 12" xfId="27820" xr:uid="{00000000-0005-0000-0000-0000DC6C0000}"/>
    <cellStyle name="货币 2 3 5 4 2 2 2" xfId="18078" xr:uid="{00000000-0005-0000-0000-0000CE460000}"/>
    <cellStyle name="货币 2 3 5 4 2 2 2 2" xfId="29912" xr:uid="{00000000-0005-0000-0000-000008750000}"/>
    <cellStyle name="货币 2 3 5 4 2 2 2 2 2" xfId="8693" xr:uid="{00000000-0005-0000-0000-000025220000}"/>
    <cellStyle name="货币 2 3 5 4 2 2 2 3" xfId="29916" xr:uid="{00000000-0005-0000-0000-00000C750000}"/>
    <cellStyle name="货币 2 3 5 4 2 2 2 4" xfId="29918" xr:uid="{00000000-0005-0000-0000-00000E750000}"/>
    <cellStyle name="货币 2 3 5 4 2 2 2 5" xfId="29920" xr:uid="{00000000-0005-0000-0000-000010750000}"/>
    <cellStyle name="货币 2 3 5 4 2 2 3" xfId="18095" xr:uid="{00000000-0005-0000-0000-0000DF460000}"/>
    <cellStyle name="货币 2 3 5 4 2 2 3 2" xfId="30562" xr:uid="{00000000-0005-0000-0000-000092770000}"/>
    <cellStyle name="货币 2 3 5 4 2 2 4" xfId="18107" xr:uid="{00000000-0005-0000-0000-0000EB460000}"/>
    <cellStyle name="货币 2 3 5 4 2 2 5" xfId="18118" xr:uid="{00000000-0005-0000-0000-0000F6460000}"/>
    <cellStyle name="货币 2 3 5 4 2 2 6" xfId="18132" xr:uid="{00000000-0005-0000-0000-000004470000}"/>
    <cellStyle name="货币 2 3 5 4 2 2 7" xfId="18138" xr:uid="{00000000-0005-0000-0000-00000A470000}"/>
    <cellStyle name="货币 2 3 5 4 2 2 8" xfId="29958" xr:uid="{00000000-0005-0000-0000-000036750000}"/>
    <cellStyle name="货币 2 3 5 4 2 2 9" xfId="29960" xr:uid="{00000000-0005-0000-0000-000038750000}"/>
    <cellStyle name="货币 2 3 5 4 2 3" xfId="44489" xr:uid="{00000000-0005-0000-0000-0000F9AD0000}"/>
    <cellStyle name="货币 2 3 5 4 2 3 10" xfId="44490" xr:uid="{00000000-0005-0000-0000-0000FAAD0000}"/>
    <cellStyle name="货币 2 3 5 4 2 3 11" xfId="44492" xr:uid="{00000000-0005-0000-0000-0000FCAD0000}"/>
    <cellStyle name="货币 2 3 5 4 2 3 12" xfId="44494" xr:uid="{00000000-0005-0000-0000-0000FEAD0000}"/>
    <cellStyle name="货币 2 3 5 4 2 3 2" xfId="44496" xr:uid="{00000000-0005-0000-0000-000000AE0000}"/>
    <cellStyle name="货币 2 3 5 4 2 3 2 2" xfId="30059" xr:uid="{00000000-0005-0000-0000-00009B750000}"/>
    <cellStyle name="货币 2 3 5 4 2 3 2 2 2" xfId="44497" xr:uid="{00000000-0005-0000-0000-000001AE0000}"/>
    <cellStyle name="货币 2 3 5 4 2 3 2 3" xfId="30062" xr:uid="{00000000-0005-0000-0000-00009E750000}"/>
    <cellStyle name="货币 2 3 5 4 2 3 2 4" xfId="30065" xr:uid="{00000000-0005-0000-0000-0000A1750000}"/>
    <cellStyle name="货币 2 3 5 4 2 3 2 5" xfId="30068" xr:uid="{00000000-0005-0000-0000-0000A4750000}"/>
    <cellStyle name="货币 2 3 5 4 2 3 3" xfId="44500" xr:uid="{00000000-0005-0000-0000-000004AE0000}"/>
    <cellStyle name="货币 2 3 5 4 2 3 3 2" xfId="44501" xr:uid="{00000000-0005-0000-0000-000005AE0000}"/>
    <cellStyle name="货币 2 3 5 4 2 3 4" xfId="44503" xr:uid="{00000000-0005-0000-0000-000007AE0000}"/>
    <cellStyle name="货币 2 3 5 4 2 3 5" xfId="44505" xr:uid="{00000000-0005-0000-0000-000009AE0000}"/>
    <cellStyle name="货币 2 3 5 4 2 3 6" xfId="44507" xr:uid="{00000000-0005-0000-0000-00000BAE0000}"/>
    <cellStyle name="货币 2 3 5 4 2 3 7" xfId="29973" xr:uid="{00000000-0005-0000-0000-000045750000}"/>
    <cellStyle name="货币 2 3 5 4 2 3 8" xfId="29976" xr:uid="{00000000-0005-0000-0000-000048750000}"/>
    <cellStyle name="货币 2 3 5 4 2 3 9" xfId="29979" xr:uid="{00000000-0005-0000-0000-00004B750000}"/>
    <cellStyle name="货币 2 3 5 4 2 4" xfId="44509" xr:uid="{00000000-0005-0000-0000-00000DAE0000}"/>
    <cellStyle name="货币 2 3 5 4 2 4 10" xfId="16220" xr:uid="{00000000-0005-0000-0000-00008C3F0000}"/>
    <cellStyle name="货币 2 3 5 4 2 4 2" xfId="44511" xr:uid="{00000000-0005-0000-0000-00000FAE0000}"/>
    <cellStyle name="货币 2 3 5 4 2 4 2 2" xfId="44512" xr:uid="{00000000-0005-0000-0000-000010AE0000}"/>
    <cellStyle name="货币 2 3 5 4 2 4 2 2 2" xfId="44513" xr:uid="{00000000-0005-0000-0000-000011AE0000}"/>
    <cellStyle name="货币 2 3 5 4 2 4 2 3" xfId="44514" xr:uid="{00000000-0005-0000-0000-000012AE0000}"/>
    <cellStyle name="货币 2 3 5 4 2 4 2 4" xfId="44515" xr:uid="{00000000-0005-0000-0000-000013AE0000}"/>
    <cellStyle name="货币 2 3 5 4 2 4 2 5" xfId="44516" xr:uid="{00000000-0005-0000-0000-000014AE0000}"/>
    <cellStyle name="货币 2 3 5 4 2 4 3" xfId="44518" xr:uid="{00000000-0005-0000-0000-000016AE0000}"/>
    <cellStyle name="货币 2 3 5 4 2 4 3 2" xfId="44519" xr:uid="{00000000-0005-0000-0000-000017AE0000}"/>
    <cellStyle name="货币 2 3 5 4 2 4 4" xfId="44521" xr:uid="{00000000-0005-0000-0000-000019AE0000}"/>
    <cellStyle name="货币 2 3 5 4 2 4 5" xfId="44523" xr:uid="{00000000-0005-0000-0000-00001BAE0000}"/>
    <cellStyle name="货币 2 3 5 4 2 4 6" xfId="44525" xr:uid="{00000000-0005-0000-0000-00001DAE0000}"/>
    <cellStyle name="货币 2 3 5 4 2 4 7" xfId="29982" xr:uid="{00000000-0005-0000-0000-00004E750000}"/>
    <cellStyle name="货币 2 3 5 4 2 4 8" xfId="29997" xr:uid="{00000000-0005-0000-0000-00005D750000}"/>
    <cellStyle name="货币 2 3 5 4 2 4 9" xfId="30004" xr:uid="{00000000-0005-0000-0000-000064750000}"/>
    <cellStyle name="货币 2 3 5 4 2 5" xfId="44527" xr:uid="{00000000-0005-0000-0000-00001FAE0000}"/>
    <cellStyle name="货币 2 3 5 4 2 5 10" xfId="34031" xr:uid="{00000000-0005-0000-0000-00001F850000}"/>
    <cellStyle name="货币 2 3 5 4 2 5 2" xfId="18221" xr:uid="{00000000-0005-0000-0000-00005D470000}"/>
    <cellStyle name="货币 2 3 5 4 2 5 2 2" xfId="44528" xr:uid="{00000000-0005-0000-0000-000020AE0000}"/>
    <cellStyle name="货币 2 3 5 4 2 5 2 2 2" xfId="44529" xr:uid="{00000000-0005-0000-0000-000021AE0000}"/>
    <cellStyle name="货币 2 3 5 4 2 5 2 3" xfId="44530" xr:uid="{00000000-0005-0000-0000-000022AE0000}"/>
    <cellStyle name="货币 2 3 5 4 2 5 2 4" xfId="44531" xr:uid="{00000000-0005-0000-0000-000023AE0000}"/>
    <cellStyle name="货币 2 3 5 4 2 5 2 5" xfId="44532" xr:uid="{00000000-0005-0000-0000-000024AE0000}"/>
    <cellStyle name="货币 2 3 5 4 2 5 3" xfId="18227" xr:uid="{00000000-0005-0000-0000-000063470000}"/>
    <cellStyle name="货币 2 3 5 4 2 5 3 2" xfId="44533" xr:uid="{00000000-0005-0000-0000-000025AE0000}"/>
    <cellStyle name="货币 2 3 5 4 2 5 4" xfId="18233" xr:uid="{00000000-0005-0000-0000-000069470000}"/>
    <cellStyle name="货币 2 3 5 4 2 5 5" xfId="44534" xr:uid="{00000000-0005-0000-0000-000026AE0000}"/>
    <cellStyle name="货币 2 3 5 4 2 5 6" xfId="44535" xr:uid="{00000000-0005-0000-0000-000027AE0000}"/>
    <cellStyle name="货币 2 3 5 4 2 5 7" xfId="30006" xr:uid="{00000000-0005-0000-0000-000066750000}"/>
    <cellStyle name="货币 2 3 5 4 2 5 8" xfId="30013" xr:uid="{00000000-0005-0000-0000-00006D750000}"/>
    <cellStyle name="货币 2 3 5 4 2 5 9" xfId="30015" xr:uid="{00000000-0005-0000-0000-00006F750000}"/>
    <cellStyle name="货币 2 3 5 4 2 6" xfId="44537" xr:uid="{00000000-0005-0000-0000-000029AE0000}"/>
    <cellStyle name="货币 2 3 5 4 2 6 2" xfId="44538" xr:uid="{00000000-0005-0000-0000-00002AAE0000}"/>
    <cellStyle name="货币 2 3 5 4 2 6 2 2" xfId="44539" xr:uid="{00000000-0005-0000-0000-00002BAE0000}"/>
    <cellStyle name="货币 2 3 5 4 2 6 3" xfId="44540" xr:uid="{00000000-0005-0000-0000-00002CAE0000}"/>
    <cellStyle name="货币 2 3 5 4 2 6 4" xfId="44541" xr:uid="{00000000-0005-0000-0000-00002DAE0000}"/>
    <cellStyle name="货币 2 3 5 4 2 6 5" xfId="18257" xr:uid="{00000000-0005-0000-0000-000081470000}"/>
    <cellStyle name="货币 2 3 5 4 2 6 6" xfId="24686" xr:uid="{00000000-0005-0000-0000-00009E600000}"/>
    <cellStyle name="货币 2 3 5 4 2 6 7" xfId="24688" xr:uid="{00000000-0005-0000-0000-0000A0600000}"/>
    <cellStyle name="货币 2 3 5 4 2 6 8" xfId="24692" xr:uid="{00000000-0005-0000-0000-0000A4600000}"/>
    <cellStyle name="货币 2 3 5 4 2 6 9" xfId="24695" xr:uid="{00000000-0005-0000-0000-0000A7600000}"/>
    <cellStyle name="货币 2 3 5 4 2 7" xfId="44543" xr:uid="{00000000-0005-0000-0000-00002FAE0000}"/>
    <cellStyle name="货币 2 3 5 4 2 7 2" xfId="27902" xr:uid="{00000000-0005-0000-0000-00002E6D0000}"/>
    <cellStyle name="货币 2 3 5 4 2 8" xfId="44545" xr:uid="{00000000-0005-0000-0000-000031AE0000}"/>
    <cellStyle name="货币 2 3 5 4 2 9" xfId="44547" xr:uid="{00000000-0005-0000-0000-000033AE0000}"/>
    <cellStyle name="货币 2 3 5 4 20" xfId="18017" xr:uid="{00000000-0005-0000-0000-000091460000}"/>
    <cellStyle name="货币 2 3 5 4 21" xfId="18024" xr:uid="{00000000-0005-0000-0000-000098460000}"/>
    <cellStyle name="货币 2 3 5 4 22" xfId="18029" xr:uid="{00000000-0005-0000-0000-00009D460000}"/>
    <cellStyle name="货币 2 3 5 4 23" xfId="13772" xr:uid="{00000000-0005-0000-0000-0000FC350000}"/>
    <cellStyle name="货币 2 3 5 4 3" xfId="44548" xr:uid="{00000000-0005-0000-0000-000034AE0000}"/>
    <cellStyle name="货币 2 3 5 4 3 10" xfId="30264" xr:uid="{00000000-0005-0000-0000-000068760000}"/>
    <cellStyle name="货币 2 3 5 4 3 11" xfId="44549" xr:uid="{00000000-0005-0000-0000-000035AE0000}"/>
    <cellStyle name="货币 2 3 5 4 3 12" xfId="44550" xr:uid="{00000000-0005-0000-0000-000036AE0000}"/>
    <cellStyle name="货币 2 3 5 4 3 13" xfId="44551" xr:uid="{00000000-0005-0000-0000-000037AE0000}"/>
    <cellStyle name="货币 2 3 5 4 3 14" xfId="5408" xr:uid="{00000000-0005-0000-0000-000050150000}"/>
    <cellStyle name="货币 2 3 5 4 3 15" xfId="972" xr:uid="{00000000-0005-0000-0000-0000FC030000}"/>
    <cellStyle name="货币 2 3 5 4 3 16" xfId="8736" xr:uid="{00000000-0005-0000-0000-000050220000}"/>
    <cellStyle name="货币 2 3 5 4 3 17" xfId="13518" xr:uid="{00000000-0005-0000-0000-0000FE340000}"/>
    <cellStyle name="货币 2 3 5 4 3 18" xfId="13522" xr:uid="{00000000-0005-0000-0000-000002350000}"/>
    <cellStyle name="货币 2 3 5 4 3 2" xfId="44552" xr:uid="{00000000-0005-0000-0000-000038AE0000}"/>
    <cellStyle name="货币 2 3 5 4 3 2 10" xfId="44553" xr:uid="{00000000-0005-0000-0000-000039AE0000}"/>
    <cellStyle name="货币 2 3 5 4 3 2 2" xfId="39561" xr:uid="{00000000-0005-0000-0000-0000B99A0000}"/>
    <cellStyle name="货币 2 3 5 4 3 2 2 2" xfId="13369" xr:uid="{00000000-0005-0000-0000-000069340000}"/>
    <cellStyle name="货币 2 3 5 4 3 2 3" xfId="39563" xr:uid="{00000000-0005-0000-0000-0000BB9A0000}"/>
    <cellStyle name="货币 2 3 5 4 3 2 4" xfId="18642" xr:uid="{00000000-0005-0000-0000-000002490000}"/>
    <cellStyle name="货币 2 3 5 4 3 2 5" xfId="43963" xr:uid="{00000000-0005-0000-0000-0000EBAB0000}"/>
    <cellStyle name="货币 2 3 5 4 3 2 6" xfId="43969" xr:uid="{00000000-0005-0000-0000-0000F1AB0000}"/>
    <cellStyle name="货币 2 3 5 4 3 2 7" xfId="16519" xr:uid="{00000000-0005-0000-0000-0000B7400000}"/>
    <cellStyle name="货币 2 3 5 4 3 2 8" xfId="30317" xr:uid="{00000000-0005-0000-0000-00009D760000}"/>
    <cellStyle name="货币 2 3 5 4 3 2 9" xfId="30349" xr:uid="{00000000-0005-0000-0000-0000BD760000}"/>
    <cellStyle name="货币 2 3 5 4 3 3" xfId="44554" xr:uid="{00000000-0005-0000-0000-00003AAE0000}"/>
    <cellStyle name="货币 2 3 5 4 3 3 2" xfId="44555" xr:uid="{00000000-0005-0000-0000-00003BAE0000}"/>
    <cellStyle name="货币 2 3 5 4 3 3 3" xfId="44556" xr:uid="{00000000-0005-0000-0000-00003CAE0000}"/>
    <cellStyle name="货币 2 3 5 4 3 3 4" xfId="14404" xr:uid="{00000000-0005-0000-0000-000074380000}"/>
    <cellStyle name="货币 2 3 5 4 3 3 5" xfId="44557" xr:uid="{00000000-0005-0000-0000-00003DAE0000}"/>
    <cellStyle name="货币 2 3 5 4 3 3 6" xfId="44558" xr:uid="{00000000-0005-0000-0000-00003EAE0000}"/>
    <cellStyle name="货币 2 3 5 4 3 4" xfId="44559" xr:uid="{00000000-0005-0000-0000-00003FAE0000}"/>
    <cellStyle name="货币 2 3 5 4 3 4 2" xfId="44560" xr:uid="{00000000-0005-0000-0000-000040AE0000}"/>
    <cellStyle name="货币 2 3 5 4 3 4 3" xfId="44561" xr:uid="{00000000-0005-0000-0000-000041AE0000}"/>
    <cellStyle name="货币 2 3 5 4 3 4 4" xfId="18715" xr:uid="{00000000-0005-0000-0000-00004B490000}"/>
    <cellStyle name="货币 2 3 5 4 3 4 5" xfId="44562" xr:uid="{00000000-0005-0000-0000-000042AE0000}"/>
    <cellStyle name="货币 2 3 5 4 3 4 6" xfId="44563" xr:uid="{00000000-0005-0000-0000-000043AE0000}"/>
    <cellStyle name="货币 2 3 5 4 3 5" xfId="44564" xr:uid="{00000000-0005-0000-0000-000044AE0000}"/>
    <cellStyle name="货币 2 3 5 4 3 5 2" xfId="18734" xr:uid="{00000000-0005-0000-0000-00005E490000}"/>
    <cellStyle name="货币 2 3 5 4 3 5 3" xfId="18741" xr:uid="{00000000-0005-0000-0000-000065490000}"/>
    <cellStyle name="货币 2 3 5 4 3 5 4" xfId="18748" xr:uid="{00000000-0005-0000-0000-00006C490000}"/>
    <cellStyle name="货币 2 3 5 4 3 5 5" xfId="44565" xr:uid="{00000000-0005-0000-0000-000045AE0000}"/>
    <cellStyle name="货币 2 3 5 4 3 5 6" xfId="44566" xr:uid="{00000000-0005-0000-0000-000046AE0000}"/>
    <cellStyle name="货币 2 3 5 4 3 6" xfId="44567" xr:uid="{00000000-0005-0000-0000-000047AE0000}"/>
    <cellStyle name="货币 2 3 5 4 3 6 2" xfId="44569" xr:uid="{00000000-0005-0000-0000-000049AE0000}"/>
    <cellStyle name="货币 2 3 5 4 3 6 3" xfId="44571" xr:uid="{00000000-0005-0000-0000-00004BAE0000}"/>
    <cellStyle name="货币 2 3 5 4 3 6 4" xfId="44573" xr:uid="{00000000-0005-0000-0000-00004DAE0000}"/>
    <cellStyle name="货币 2 3 5 4 3 6 5" xfId="12607" xr:uid="{00000000-0005-0000-0000-00006F310000}"/>
    <cellStyle name="货币 2 3 5 4 3 6 6" xfId="24737" xr:uid="{00000000-0005-0000-0000-0000D1600000}"/>
    <cellStyle name="货币 2 3 5 4 3 7" xfId="4295" xr:uid="{00000000-0005-0000-0000-0000F7100000}"/>
    <cellStyle name="货币 2 3 5 4 3 8" xfId="44574" xr:uid="{00000000-0005-0000-0000-00004EAE0000}"/>
    <cellStyle name="货币 2 3 5 4 3 9" xfId="44575" xr:uid="{00000000-0005-0000-0000-00004FAE0000}"/>
    <cellStyle name="货币 2 3 5 4 4" xfId="44576" xr:uid="{00000000-0005-0000-0000-000050AE0000}"/>
    <cellStyle name="货币 2 3 5 4 4 10" xfId="43788" xr:uid="{00000000-0005-0000-0000-00003CAB0000}"/>
    <cellStyle name="货币 2 3 5 4 4 11" xfId="43790" xr:uid="{00000000-0005-0000-0000-00003EAB0000}"/>
    <cellStyle name="货币 2 3 5 4 4 12" xfId="30945" xr:uid="{00000000-0005-0000-0000-000011790000}"/>
    <cellStyle name="货币 2 3 5 4 4 13" xfId="43792" xr:uid="{00000000-0005-0000-0000-000040AB0000}"/>
    <cellStyle name="货币 2 3 5 4 4 14" xfId="43794" xr:uid="{00000000-0005-0000-0000-000042AB0000}"/>
    <cellStyle name="货币 2 3 5 4 4 15" xfId="40672" xr:uid="{00000000-0005-0000-0000-0000109F0000}"/>
    <cellStyle name="货币 2 3 5 4 4 2" xfId="43723" xr:uid="{00000000-0005-0000-0000-0000FBAA0000}"/>
    <cellStyle name="货币 2 3 5 4 4 2 2" xfId="44577" xr:uid="{00000000-0005-0000-0000-000051AE0000}"/>
    <cellStyle name="货币 2 3 5 4 4 2 2 2" xfId="19054" xr:uid="{00000000-0005-0000-0000-00009E4A0000}"/>
    <cellStyle name="货币 2 3 5 4 4 2 3" xfId="43237" xr:uid="{00000000-0005-0000-0000-000015A90000}"/>
    <cellStyle name="货币 2 3 5 4 4 2 4" xfId="44578" xr:uid="{00000000-0005-0000-0000-000052AE0000}"/>
    <cellStyle name="货币 2 3 5 4 4 2 5" xfId="44579" xr:uid="{00000000-0005-0000-0000-000053AE0000}"/>
    <cellStyle name="货币 2 3 5 4 4 2 6" xfId="44580" xr:uid="{00000000-0005-0000-0000-000054AE0000}"/>
    <cellStyle name="货币 2 3 5 4 4 2 7" xfId="15244" xr:uid="{00000000-0005-0000-0000-0000BC3B0000}"/>
    <cellStyle name="货币 2 3 5 4 4 2 8" xfId="30527" xr:uid="{00000000-0005-0000-0000-00006F770000}"/>
    <cellStyle name="货币 2 3 5 4 4 2 9" xfId="30529" xr:uid="{00000000-0005-0000-0000-000071770000}"/>
    <cellStyle name="货币 2 3 5 4 4 3" xfId="43725" xr:uid="{00000000-0005-0000-0000-0000FDAA0000}"/>
    <cellStyle name="货币 2 3 5 4 4 3 2" xfId="44581" xr:uid="{00000000-0005-0000-0000-000055AE0000}"/>
    <cellStyle name="货币 2 3 5 4 4 3 3" xfId="44582" xr:uid="{00000000-0005-0000-0000-000056AE0000}"/>
    <cellStyle name="货币 2 3 5 4 4 3 4" xfId="44583" xr:uid="{00000000-0005-0000-0000-000057AE0000}"/>
    <cellStyle name="货币 2 3 5 4 4 3 5" xfId="44584" xr:uid="{00000000-0005-0000-0000-000058AE0000}"/>
    <cellStyle name="货币 2 3 5 4 4 3 6" xfId="44585" xr:uid="{00000000-0005-0000-0000-000059AE0000}"/>
    <cellStyle name="货币 2 3 5 4 4 4" xfId="43727" xr:uid="{00000000-0005-0000-0000-0000FFAA0000}"/>
    <cellStyle name="货币 2 3 5 4 4 4 2" xfId="44586" xr:uid="{00000000-0005-0000-0000-00005AAE0000}"/>
    <cellStyle name="货币 2 3 5 4 4 5" xfId="43729" xr:uid="{00000000-0005-0000-0000-000001AB0000}"/>
    <cellStyle name="货币 2 3 5 4 4 6" xfId="43731" xr:uid="{00000000-0005-0000-0000-000003AB0000}"/>
    <cellStyle name="货币 2 3 5 4 4 7" xfId="31096" xr:uid="{00000000-0005-0000-0000-0000A8790000}"/>
    <cellStyle name="货币 2 3 5 4 4 8" xfId="43733" xr:uid="{00000000-0005-0000-0000-000005AB0000}"/>
    <cellStyle name="货币 2 3 5 4 4 9" xfId="43735" xr:uid="{00000000-0005-0000-0000-000007AB0000}"/>
    <cellStyle name="货币 2 3 5 4 5" xfId="44587" xr:uid="{00000000-0005-0000-0000-00005BAE0000}"/>
    <cellStyle name="货币 2 3 5 4 5 10" xfId="44588" xr:uid="{00000000-0005-0000-0000-00005CAE0000}"/>
    <cellStyle name="货币 2 3 5 4 5 11" xfId="44589" xr:uid="{00000000-0005-0000-0000-00005DAE0000}"/>
    <cellStyle name="货币 2 3 5 4 5 12" xfId="39137" xr:uid="{00000000-0005-0000-0000-000011990000}"/>
    <cellStyle name="货币 2 3 5 4 5 13" xfId="39139" xr:uid="{00000000-0005-0000-0000-000013990000}"/>
    <cellStyle name="货币 2 3 5 4 5 2" xfId="44590" xr:uid="{00000000-0005-0000-0000-00005EAE0000}"/>
    <cellStyle name="货币 2 3 5 4 5 2 2" xfId="44591" xr:uid="{00000000-0005-0000-0000-00005FAE0000}"/>
    <cellStyle name="货币 2 3 5 4 5 2 2 2" xfId="19251" xr:uid="{00000000-0005-0000-0000-0000634B0000}"/>
    <cellStyle name="货币 2 3 5 4 5 2 3" xfId="44592" xr:uid="{00000000-0005-0000-0000-000060AE0000}"/>
    <cellStyle name="货币 2 3 5 4 5 2 4" xfId="44593" xr:uid="{00000000-0005-0000-0000-000061AE0000}"/>
    <cellStyle name="货币 2 3 5 4 5 2 5" xfId="44594" xr:uid="{00000000-0005-0000-0000-000062AE0000}"/>
    <cellStyle name="货币 2 3 5 4 5 2 6" xfId="44595" xr:uid="{00000000-0005-0000-0000-000063AE0000}"/>
    <cellStyle name="货币 2 3 5 4 5 2 7" xfId="30604" xr:uid="{00000000-0005-0000-0000-0000BC770000}"/>
    <cellStyle name="货币 2 3 5 4 5 2 8" xfId="30607" xr:uid="{00000000-0005-0000-0000-0000BF770000}"/>
    <cellStyle name="货币 2 3 5 4 5 2 9" xfId="30610" xr:uid="{00000000-0005-0000-0000-0000C2770000}"/>
    <cellStyle name="货币 2 3 5 4 5 3" xfId="44596" xr:uid="{00000000-0005-0000-0000-000064AE0000}"/>
    <cellStyle name="货币 2 3 5 4 5 3 2" xfId="37452" xr:uid="{00000000-0005-0000-0000-00007C920000}"/>
    <cellStyle name="货币 2 3 5 4 5 3 3" xfId="37454" xr:uid="{00000000-0005-0000-0000-00007E920000}"/>
    <cellStyle name="货币 2 3 5 4 5 3 4" xfId="41094" xr:uid="{00000000-0005-0000-0000-0000B6A00000}"/>
    <cellStyle name="货币 2 3 5 4 5 3 5" xfId="44597" xr:uid="{00000000-0005-0000-0000-000065AE0000}"/>
    <cellStyle name="货币 2 3 5 4 5 3 6" xfId="44598" xr:uid="{00000000-0005-0000-0000-000066AE0000}"/>
    <cellStyle name="货币 2 3 5 4 5 4" xfId="44599" xr:uid="{00000000-0005-0000-0000-000067AE0000}"/>
    <cellStyle name="货币 2 3 5 4 5 4 2" xfId="44600" xr:uid="{00000000-0005-0000-0000-000068AE0000}"/>
    <cellStyle name="货币 2 3 5 4 5 5" xfId="44601" xr:uid="{00000000-0005-0000-0000-000069AE0000}"/>
    <cellStyle name="货币 2 3 5 4 5 6" xfId="44602" xr:uid="{00000000-0005-0000-0000-00006AAE0000}"/>
    <cellStyle name="货币 2 3 5 4 5 7" xfId="44603" xr:uid="{00000000-0005-0000-0000-00006BAE0000}"/>
    <cellStyle name="货币 2 3 5 4 5 8" xfId="44604" xr:uid="{00000000-0005-0000-0000-00006CAE0000}"/>
    <cellStyle name="货币 2 3 5 4 5 9" xfId="44605" xr:uid="{00000000-0005-0000-0000-00006DAE0000}"/>
    <cellStyle name="货币 2 3 5 4 6" xfId="626" xr:uid="{00000000-0005-0000-0000-00009D020000}"/>
    <cellStyle name="货币 2 3 5 4 6 10" xfId="30823" xr:uid="{00000000-0005-0000-0000-000097780000}"/>
    <cellStyle name="货币 2 3 5 4 6 11" xfId="30872" xr:uid="{00000000-0005-0000-0000-0000C8780000}"/>
    <cellStyle name="货币 2 3 5 4 6 12" xfId="30875" xr:uid="{00000000-0005-0000-0000-0000CB780000}"/>
    <cellStyle name="货币 2 3 5 4 6 2" xfId="44606" xr:uid="{00000000-0005-0000-0000-00006EAE0000}"/>
    <cellStyle name="货币 2 3 5 4 6 2 2" xfId="44607" xr:uid="{00000000-0005-0000-0000-00006FAE0000}"/>
    <cellStyle name="货币 2 3 5 4 6 2 2 2" xfId="8418" xr:uid="{00000000-0005-0000-0000-000012210000}"/>
    <cellStyle name="货币 2 3 5 4 6 2 3" xfId="44608" xr:uid="{00000000-0005-0000-0000-000070AE0000}"/>
    <cellStyle name="货币 2 3 5 4 6 2 4" xfId="44609" xr:uid="{00000000-0005-0000-0000-000071AE0000}"/>
    <cellStyle name="货币 2 3 5 4 6 2 5" xfId="44610" xr:uid="{00000000-0005-0000-0000-000072AE0000}"/>
    <cellStyle name="货币 2 3 5 4 6 2 6" xfId="44611" xr:uid="{00000000-0005-0000-0000-000073AE0000}"/>
    <cellStyle name="货币 2 3 5 4 6 2 7" xfId="8643" xr:uid="{00000000-0005-0000-0000-0000F3210000}"/>
    <cellStyle name="货币 2 3 5 4 6 2 8" xfId="8651" xr:uid="{00000000-0005-0000-0000-0000FB210000}"/>
    <cellStyle name="货币 2 3 5 4 6 2 9" xfId="30938" xr:uid="{00000000-0005-0000-0000-00000A790000}"/>
    <cellStyle name="货币 2 3 5 4 6 3" xfId="44612" xr:uid="{00000000-0005-0000-0000-000074AE0000}"/>
    <cellStyle name="货币 2 3 5 4 6 3 2" xfId="44613" xr:uid="{00000000-0005-0000-0000-000075AE0000}"/>
    <cellStyle name="货币 2 3 5 4 6 3 3" xfId="44614" xr:uid="{00000000-0005-0000-0000-000076AE0000}"/>
    <cellStyle name="货币 2 3 5 4 6 3 4" xfId="44615" xr:uid="{00000000-0005-0000-0000-000077AE0000}"/>
    <cellStyle name="货币 2 3 5 4 6 3 5" xfId="44616" xr:uid="{00000000-0005-0000-0000-000078AE0000}"/>
    <cellStyle name="货币 2 3 5 4 6 3 6" xfId="44617" xr:uid="{00000000-0005-0000-0000-000079AE0000}"/>
    <cellStyle name="货币 2 3 5 4 6 4" xfId="44618" xr:uid="{00000000-0005-0000-0000-00007AAE0000}"/>
    <cellStyle name="货币 2 3 5 4 6 4 2" xfId="44619" xr:uid="{00000000-0005-0000-0000-00007BAE0000}"/>
    <cellStyle name="货币 2 3 5 4 6 5" xfId="44621" xr:uid="{00000000-0005-0000-0000-00007DAE0000}"/>
    <cellStyle name="货币 2 3 5 4 6 6" xfId="44623" xr:uid="{00000000-0005-0000-0000-00007FAE0000}"/>
    <cellStyle name="货币 2 3 5 4 6 7" xfId="44625" xr:uid="{00000000-0005-0000-0000-000081AE0000}"/>
    <cellStyle name="货币 2 3 5 4 6 8" xfId="44627" xr:uid="{00000000-0005-0000-0000-000083AE0000}"/>
    <cellStyle name="货币 2 3 5 4 6 9" xfId="44628" xr:uid="{00000000-0005-0000-0000-000084AE0000}"/>
    <cellStyle name="货币 2 3 5 4 7" xfId="44629" xr:uid="{00000000-0005-0000-0000-000085AE0000}"/>
    <cellStyle name="货币 2 3 5 4 7 2" xfId="44630" xr:uid="{00000000-0005-0000-0000-000086AE0000}"/>
    <cellStyle name="货币 2 3 5 4 7 2 2" xfId="44631" xr:uid="{00000000-0005-0000-0000-000087AE0000}"/>
    <cellStyle name="货币 2 3 5 4 7 3" xfId="44632" xr:uid="{00000000-0005-0000-0000-000088AE0000}"/>
    <cellStyle name="货币 2 3 5 4 7 4" xfId="44633" xr:uid="{00000000-0005-0000-0000-000089AE0000}"/>
    <cellStyle name="货币 2 3 5 4 7 5" xfId="34846" xr:uid="{00000000-0005-0000-0000-00004E880000}"/>
    <cellStyle name="货币 2 3 5 4 7 6" xfId="44634" xr:uid="{00000000-0005-0000-0000-00008AAE0000}"/>
    <cellStyle name="货币 2 3 5 4 7 7" xfId="44635" xr:uid="{00000000-0005-0000-0000-00008BAE0000}"/>
    <cellStyle name="货币 2 3 5 4 7 8" xfId="44636" xr:uid="{00000000-0005-0000-0000-00008CAE0000}"/>
    <cellStyle name="货币 2 3 5 4 7 9" xfId="44637" xr:uid="{00000000-0005-0000-0000-00008DAE0000}"/>
    <cellStyle name="货币 2 3 5 4 8" xfId="44638" xr:uid="{00000000-0005-0000-0000-00008EAE0000}"/>
    <cellStyle name="货币 2 3 5 4 8 2" xfId="44639" xr:uid="{00000000-0005-0000-0000-00008FAE0000}"/>
    <cellStyle name="货币 2 3 5 4 8 3" xfId="44640" xr:uid="{00000000-0005-0000-0000-000090AE0000}"/>
    <cellStyle name="货币 2 3 5 4 8 4" xfId="44641" xr:uid="{00000000-0005-0000-0000-000091AE0000}"/>
    <cellStyle name="货币 2 3 5 4 8 5" xfId="44642" xr:uid="{00000000-0005-0000-0000-000092AE0000}"/>
    <cellStyle name="货币 2 3 5 4 8 6" xfId="44643" xr:uid="{00000000-0005-0000-0000-000093AE0000}"/>
    <cellStyle name="货币 2 3 5 4 9" xfId="44644" xr:uid="{00000000-0005-0000-0000-000094AE0000}"/>
    <cellStyle name="货币 2 3 5 4 9 2" xfId="43822" xr:uid="{00000000-0005-0000-0000-00005EAB0000}"/>
    <cellStyle name="货币 2 3 5 4 9 3" xfId="43824" xr:uid="{00000000-0005-0000-0000-000060AB0000}"/>
    <cellStyle name="货币 2 3 5 4 9 4" xfId="43826" xr:uid="{00000000-0005-0000-0000-000062AB0000}"/>
    <cellStyle name="货币 2 3 5 4 9 5" xfId="43828" xr:uid="{00000000-0005-0000-0000-000064AB0000}"/>
    <cellStyle name="货币 2 3 5 4 9 6" xfId="43830" xr:uid="{00000000-0005-0000-0000-000066AB0000}"/>
    <cellStyle name="货币 2 3 5 5" xfId="44645" xr:uid="{00000000-0005-0000-0000-000095AE0000}"/>
    <cellStyle name="货币 2 3 5 5 10" xfId="44646" xr:uid="{00000000-0005-0000-0000-000096AE0000}"/>
    <cellStyle name="货币 2 3 5 5 11" xfId="44648" xr:uid="{00000000-0005-0000-0000-000098AE0000}"/>
    <cellStyle name="货币 2 3 5 5 12" xfId="44649" xr:uid="{00000000-0005-0000-0000-000099AE0000}"/>
    <cellStyle name="货币 2 3 5 5 13" xfId="44650" xr:uid="{00000000-0005-0000-0000-00009AAE0000}"/>
    <cellStyle name="货币 2 3 5 5 14" xfId="44651" xr:uid="{00000000-0005-0000-0000-00009BAE0000}"/>
    <cellStyle name="货币 2 3 5 5 15" xfId="44652" xr:uid="{00000000-0005-0000-0000-00009CAE0000}"/>
    <cellStyle name="货币 2 3 5 5 16" xfId="44653" xr:uid="{00000000-0005-0000-0000-00009DAE0000}"/>
    <cellStyle name="货币 2 3 5 5 17" xfId="44654" xr:uid="{00000000-0005-0000-0000-00009EAE0000}"/>
    <cellStyle name="货币 2 3 5 5 18" xfId="44655" xr:uid="{00000000-0005-0000-0000-00009FAE0000}"/>
    <cellStyle name="货币 2 3 5 5 2" xfId="44656" xr:uid="{00000000-0005-0000-0000-0000A0AE0000}"/>
    <cellStyle name="货币 2 3 5 5 2 10" xfId="44657" xr:uid="{00000000-0005-0000-0000-0000A1AE0000}"/>
    <cellStyle name="货币 2 3 5 5 2 11" xfId="44658" xr:uid="{00000000-0005-0000-0000-0000A2AE0000}"/>
    <cellStyle name="货币 2 3 5 5 2 12" xfId="2475" xr:uid="{00000000-0005-0000-0000-0000DB090000}"/>
    <cellStyle name="货币 2 3 5 5 2 13" xfId="30022" xr:uid="{00000000-0005-0000-0000-000076750000}"/>
    <cellStyle name="货币 2 3 5 5 2 14" xfId="30024" xr:uid="{00000000-0005-0000-0000-000078750000}"/>
    <cellStyle name="货币 2 3 5 5 2 2" xfId="44659" xr:uid="{00000000-0005-0000-0000-0000A3AE0000}"/>
    <cellStyle name="货币 2 3 5 5 2 2 10" xfId="44661" xr:uid="{00000000-0005-0000-0000-0000A5AE0000}"/>
    <cellStyle name="货币 2 3 5 5 2 2 2" xfId="44662" xr:uid="{00000000-0005-0000-0000-0000A6AE0000}"/>
    <cellStyle name="货币 2 3 5 5 2 2 2 2" xfId="44663" xr:uid="{00000000-0005-0000-0000-0000A7AE0000}"/>
    <cellStyle name="货币 2 3 5 5 2 2 3" xfId="44263" xr:uid="{00000000-0005-0000-0000-000017AD0000}"/>
    <cellStyle name="货币 2 3 5 5 2 2 4" xfId="44664" xr:uid="{00000000-0005-0000-0000-0000A8AE0000}"/>
    <cellStyle name="货币 2 3 5 5 2 2 5" xfId="44665" xr:uid="{00000000-0005-0000-0000-0000A9AE0000}"/>
    <cellStyle name="货币 2 3 5 5 2 2 6" xfId="44666" xr:uid="{00000000-0005-0000-0000-0000AAAE0000}"/>
    <cellStyle name="货币 2 3 5 5 2 2 7" xfId="44667" xr:uid="{00000000-0005-0000-0000-0000ABAE0000}"/>
    <cellStyle name="货币 2 3 5 5 2 2 8" xfId="44668" xr:uid="{00000000-0005-0000-0000-0000ACAE0000}"/>
    <cellStyle name="货币 2 3 5 5 2 2 9" xfId="44669" xr:uid="{00000000-0005-0000-0000-0000ADAE0000}"/>
    <cellStyle name="货币 2 3 5 5 2 3" xfId="44671" xr:uid="{00000000-0005-0000-0000-0000AFAE0000}"/>
    <cellStyle name="货币 2 3 5 5 2 3 2" xfId="44673" xr:uid="{00000000-0005-0000-0000-0000B1AE0000}"/>
    <cellStyle name="货币 2 3 5 5 2 3 3" xfId="44676" xr:uid="{00000000-0005-0000-0000-0000B4AE0000}"/>
    <cellStyle name="货币 2 3 5 5 2 3 4" xfId="44678" xr:uid="{00000000-0005-0000-0000-0000B6AE0000}"/>
    <cellStyle name="货币 2 3 5 5 2 3 5" xfId="44680" xr:uid="{00000000-0005-0000-0000-0000B8AE0000}"/>
    <cellStyle name="货币 2 3 5 5 2 3 6" xfId="44682" xr:uid="{00000000-0005-0000-0000-0000BAAE0000}"/>
    <cellStyle name="货币 2 3 5 5 2 4" xfId="44684" xr:uid="{00000000-0005-0000-0000-0000BCAE0000}"/>
    <cellStyle name="货币 2 3 5 5 2 4 2" xfId="44686" xr:uid="{00000000-0005-0000-0000-0000BEAE0000}"/>
    <cellStyle name="货币 2 3 5 5 2 4 3" xfId="44688" xr:uid="{00000000-0005-0000-0000-0000C0AE0000}"/>
    <cellStyle name="货币 2 3 5 5 2 4 4" xfId="44690" xr:uid="{00000000-0005-0000-0000-0000C2AE0000}"/>
    <cellStyle name="货币 2 3 5 5 2 4 5" xfId="44692" xr:uid="{00000000-0005-0000-0000-0000C4AE0000}"/>
    <cellStyle name="货币 2 3 5 5 2 5" xfId="44694" xr:uid="{00000000-0005-0000-0000-0000C6AE0000}"/>
    <cellStyle name="货币 2 3 5 5 2 6" xfId="34529" xr:uid="{00000000-0005-0000-0000-000011870000}"/>
    <cellStyle name="货币 2 3 5 5 2 7" xfId="3225" xr:uid="{00000000-0005-0000-0000-0000C90C0000}"/>
    <cellStyle name="货币 2 3 5 5 2 8" xfId="34532" xr:uid="{00000000-0005-0000-0000-000014870000}"/>
    <cellStyle name="货币 2 3 5 5 2 9" xfId="34535" xr:uid="{00000000-0005-0000-0000-000017870000}"/>
    <cellStyle name="货币 2 3 5 5 3" xfId="44695" xr:uid="{00000000-0005-0000-0000-0000C7AE0000}"/>
    <cellStyle name="货币 2 3 5 5 3 10" xfId="44696" xr:uid="{00000000-0005-0000-0000-0000C8AE0000}"/>
    <cellStyle name="货币 2 3 5 5 3 11" xfId="44697" xr:uid="{00000000-0005-0000-0000-0000C9AE0000}"/>
    <cellStyle name="货币 2 3 5 5 3 12" xfId="3302" xr:uid="{00000000-0005-0000-0000-0000160D0000}"/>
    <cellStyle name="货币 2 3 5 5 3 2" xfId="44698" xr:uid="{00000000-0005-0000-0000-0000CAAE0000}"/>
    <cellStyle name="货币 2 3 5 5 3 2 2" xfId="19681" xr:uid="{00000000-0005-0000-0000-0000114D0000}"/>
    <cellStyle name="货币 2 3 5 5 3 2 2 2" xfId="44699" xr:uid="{00000000-0005-0000-0000-0000CBAE0000}"/>
    <cellStyle name="货币 2 3 5 5 3 2 3" xfId="16584" xr:uid="{00000000-0005-0000-0000-0000F8400000}"/>
    <cellStyle name="货币 2 3 5 5 3 2 4" xfId="44701" xr:uid="{00000000-0005-0000-0000-0000CDAE0000}"/>
    <cellStyle name="货币 2 3 5 5 3 2 5" xfId="44703" xr:uid="{00000000-0005-0000-0000-0000CFAE0000}"/>
    <cellStyle name="货币 2 3 5 5 3 3" xfId="23545" xr:uid="{00000000-0005-0000-0000-0000295C0000}"/>
    <cellStyle name="货币 2 3 5 5 3 3 2" xfId="44704" xr:uid="{00000000-0005-0000-0000-0000D0AE0000}"/>
    <cellStyle name="货币 2 3 5 5 3 4" xfId="23548" xr:uid="{00000000-0005-0000-0000-00002C5C0000}"/>
    <cellStyle name="货币 2 3 5 5 3 5" xfId="23551" xr:uid="{00000000-0005-0000-0000-00002F5C0000}"/>
    <cellStyle name="货币 2 3 5 5 3 6" xfId="44705" xr:uid="{00000000-0005-0000-0000-0000D1AE0000}"/>
    <cellStyle name="货币 2 3 5 5 3 7" xfId="31117" xr:uid="{00000000-0005-0000-0000-0000BD790000}"/>
    <cellStyle name="货币 2 3 5 5 3 8" xfId="44706" xr:uid="{00000000-0005-0000-0000-0000D2AE0000}"/>
    <cellStyle name="货币 2 3 5 5 3 9" xfId="44707" xr:uid="{00000000-0005-0000-0000-0000D3AE0000}"/>
    <cellStyle name="货币 2 3 5 5 4" xfId="44708" xr:uid="{00000000-0005-0000-0000-0000D4AE0000}"/>
    <cellStyle name="货币 2 3 5 5 4 10" xfId="44709" xr:uid="{00000000-0005-0000-0000-0000D5AE0000}"/>
    <cellStyle name="货币 2 3 5 5 4 11" xfId="44710" xr:uid="{00000000-0005-0000-0000-0000D6AE0000}"/>
    <cellStyle name="货币 2 3 5 5 4 2" xfId="44711" xr:uid="{00000000-0005-0000-0000-0000D7AE0000}"/>
    <cellStyle name="货币 2 3 5 5 4 2 2" xfId="26278" xr:uid="{00000000-0005-0000-0000-0000D6660000}"/>
    <cellStyle name="货币 2 3 5 5 4 2 2 2" xfId="44712" xr:uid="{00000000-0005-0000-0000-0000D8AE0000}"/>
    <cellStyle name="货币 2 3 5 5 4 2 3" xfId="26282" xr:uid="{00000000-0005-0000-0000-0000DA660000}"/>
    <cellStyle name="货币 2 3 5 5 4 2 4" xfId="26287" xr:uid="{00000000-0005-0000-0000-0000DF660000}"/>
    <cellStyle name="货币 2 3 5 5 4 2 5" xfId="26291" xr:uid="{00000000-0005-0000-0000-0000E3660000}"/>
    <cellStyle name="货币 2 3 5 5 4 3" xfId="44713" xr:uid="{00000000-0005-0000-0000-0000D9AE0000}"/>
    <cellStyle name="货币 2 3 5 5 4 3 2" xfId="44714" xr:uid="{00000000-0005-0000-0000-0000DAAE0000}"/>
    <cellStyle name="货币 2 3 5 5 4 4" xfId="44715" xr:uid="{00000000-0005-0000-0000-0000DBAE0000}"/>
    <cellStyle name="货币 2 3 5 5 4 5" xfId="44716" xr:uid="{00000000-0005-0000-0000-0000DCAE0000}"/>
    <cellStyle name="货币 2 3 5 5 4 6" xfId="44717" xr:uid="{00000000-0005-0000-0000-0000DDAE0000}"/>
    <cellStyle name="货币 2 3 5 5 4 7" xfId="31119" xr:uid="{00000000-0005-0000-0000-0000BF790000}"/>
    <cellStyle name="货币 2 3 5 5 4 8" xfId="44718" xr:uid="{00000000-0005-0000-0000-0000DEAE0000}"/>
    <cellStyle name="货币 2 3 5 5 4 9" xfId="44719" xr:uid="{00000000-0005-0000-0000-0000DFAE0000}"/>
    <cellStyle name="货币 2 3 5 5 5" xfId="44720" xr:uid="{00000000-0005-0000-0000-0000E0AE0000}"/>
    <cellStyle name="货币 2 3 5 5 5 10" xfId="36478" xr:uid="{00000000-0005-0000-0000-0000AE8E0000}"/>
    <cellStyle name="货币 2 3 5 5 5 2" xfId="44721" xr:uid="{00000000-0005-0000-0000-0000E1AE0000}"/>
    <cellStyle name="货币 2 3 5 5 5 2 2" xfId="44722" xr:uid="{00000000-0005-0000-0000-0000E2AE0000}"/>
    <cellStyle name="货币 2 3 5 5 5 2 2 2" xfId="28740" xr:uid="{00000000-0005-0000-0000-000074700000}"/>
    <cellStyle name="货币 2 3 5 5 5 2 3" xfId="44323" xr:uid="{00000000-0005-0000-0000-000053AD0000}"/>
    <cellStyle name="货币 2 3 5 5 5 2 4" xfId="44723" xr:uid="{00000000-0005-0000-0000-0000E3AE0000}"/>
    <cellStyle name="货币 2 3 5 5 5 2 5" xfId="44724" xr:uid="{00000000-0005-0000-0000-0000E4AE0000}"/>
    <cellStyle name="货币 2 3 5 5 5 3" xfId="44725" xr:uid="{00000000-0005-0000-0000-0000E5AE0000}"/>
    <cellStyle name="货币 2 3 5 5 5 3 2" xfId="44726" xr:uid="{00000000-0005-0000-0000-0000E6AE0000}"/>
    <cellStyle name="货币 2 3 5 5 5 4" xfId="44727" xr:uid="{00000000-0005-0000-0000-0000E7AE0000}"/>
    <cellStyle name="货币 2 3 5 5 5 5" xfId="44728" xr:uid="{00000000-0005-0000-0000-0000E8AE0000}"/>
    <cellStyle name="货币 2 3 5 5 5 6" xfId="44729" xr:uid="{00000000-0005-0000-0000-0000E9AE0000}"/>
    <cellStyle name="货币 2 3 5 5 5 7" xfId="44730" xr:uid="{00000000-0005-0000-0000-0000EAAE0000}"/>
    <cellStyle name="货币 2 3 5 5 5 8" xfId="44731" xr:uid="{00000000-0005-0000-0000-0000EBAE0000}"/>
    <cellStyle name="货币 2 3 5 5 5 9" xfId="44732" xr:uid="{00000000-0005-0000-0000-0000ECAE0000}"/>
    <cellStyle name="货币 2 3 5 5 6" xfId="2765" xr:uid="{00000000-0005-0000-0000-0000FD0A0000}"/>
    <cellStyle name="货币 2 3 5 5 6 2" xfId="44733" xr:uid="{00000000-0005-0000-0000-0000EDAE0000}"/>
    <cellStyle name="货币 2 3 5 5 6 2 2" xfId="44734" xr:uid="{00000000-0005-0000-0000-0000EEAE0000}"/>
    <cellStyle name="货币 2 3 5 5 6 3" xfId="42248" xr:uid="{00000000-0005-0000-0000-000038A50000}"/>
    <cellStyle name="货币 2 3 5 5 6 4" xfId="42250" xr:uid="{00000000-0005-0000-0000-00003AA50000}"/>
    <cellStyle name="货币 2 3 5 5 6 5" xfId="42253" xr:uid="{00000000-0005-0000-0000-00003DA50000}"/>
    <cellStyle name="货币 2 3 5 5 6 6" xfId="44735" xr:uid="{00000000-0005-0000-0000-0000EFAE0000}"/>
    <cellStyle name="货币 2 3 5 5 6 7" xfId="44736" xr:uid="{00000000-0005-0000-0000-0000F0AE0000}"/>
    <cellStyle name="货币 2 3 5 5 6 8" xfId="44737" xr:uid="{00000000-0005-0000-0000-0000F1AE0000}"/>
    <cellStyle name="货币 2 3 5 5 6 9" xfId="44738" xr:uid="{00000000-0005-0000-0000-0000F2AE0000}"/>
    <cellStyle name="货币 2 3 5 5 7" xfId="44739" xr:uid="{00000000-0005-0000-0000-0000F3AE0000}"/>
    <cellStyle name="货币 2 3 5 5 7 2" xfId="44740" xr:uid="{00000000-0005-0000-0000-0000F4AE0000}"/>
    <cellStyle name="货币 2 3 5 5 8" xfId="44741" xr:uid="{00000000-0005-0000-0000-0000F5AE0000}"/>
    <cellStyle name="货币 2 3 5 5 9" xfId="44742" xr:uid="{00000000-0005-0000-0000-0000F6AE0000}"/>
    <cellStyle name="货币 2 3 5 6" xfId="44743" xr:uid="{00000000-0005-0000-0000-0000F7AE0000}"/>
    <cellStyle name="货币 2 3 5 6 10" xfId="38819" xr:uid="{00000000-0005-0000-0000-0000D3970000}"/>
    <cellStyle name="货币 2 3 5 6 11" xfId="44744" xr:uid="{00000000-0005-0000-0000-0000F8AE0000}"/>
    <cellStyle name="货币 2 3 5 6 12" xfId="36609" xr:uid="{00000000-0005-0000-0000-0000318F0000}"/>
    <cellStyle name="货币 2 3 5 6 13" xfId="36611" xr:uid="{00000000-0005-0000-0000-0000338F0000}"/>
    <cellStyle name="货币 2 3 5 6 14" xfId="36613" xr:uid="{00000000-0005-0000-0000-0000358F0000}"/>
    <cellStyle name="货币 2 3 5 6 15" xfId="36615" xr:uid="{00000000-0005-0000-0000-0000378F0000}"/>
    <cellStyle name="货币 2 3 5 6 16" xfId="32725" xr:uid="{00000000-0005-0000-0000-000005800000}"/>
    <cellStyle name="货币 2 3 5 6 17" xfId="36617" xr:uid="{00000000-0005-0000-0000-0000398F0000}"/>
    <cellStyle name="货币 2 3 5 6 18" xfId="36619" xr:uid="{00000000-0005-0000-0000-00003B8F0000}"/>
    <cellStyle name="货币 2 3 5 6 2" xfId="38517" xr:uid="{00000000-0005-0000-0000-0000A5960000}"/>
    <cellStyle name="货币 2 3 5 6 2 10" xfId="41610" xr:uid="{00000000-0005-0000-0000-0000BAA20000}"/>
    <cellStyle name="货币 2 3 5 6 2 2" xfId="32988" xr:uid="{00000000-0005-0000-0000-00000C810000}"/>
    <cellStyle name="货币 2 3 5 6 2 2 2" xfId="19996" xr:uid="{00000000-0005-0000-0000-00004C4E0000}"/>
    <cellStyle name="货币 2 3 5 6 2 3" xfId="32991" xr:uid="{00000000-0005-0000-0000-00000F810000}"/>
    <cellStyle name="货币 2 3 5 6 2 4" xfId="32994" xr:uid="{00000000-0005-0000-0000-000012810000}"/>
    <cellStyle name="货币 2 3 5 6 2 5" xfId="32997" xr:uid="{00000000-0005-0000-0000-000015810000}"/>
    <cellStyle name="货币 2 3 5 6 2 6" xfId="33000" xr:uid="{00000000-0005-0000-0000-000018810000}"/>
    <cellStyle name="货币 2 3 5 6 2 7" xfId="33003" xr:uid="{00000000-0005-0000-0000-00001B810000}"/>
    <cellStyle name="货币 2 3 5 6 2 8" xfId="33006" xr:uid="{00000000-0005-0000-0000-00001E810000}"/>
    <cellStyle name="货币 2 3 5 6 2 9" xfId="33009" xr:uid="{00000000-0005-0000-0000-000021810000}"/>
    <cellStyle name="货币 2 3 5 6 3" xfId="38519" xr:uid="{00000000-0005-0000-0000-0000A7960000}"/>
    <cellStyle name="货币 2 3 5 6 3 2" xfId="44745" xr:uid="{00000000-0005-0000-0000-0000F9AE0000}"/>
    <cellStyle name="货币 2 3 5 6 3 3" xfId="44746" xr:uid="{00000000-0005-0000-0000-0000FAAE0000}"/>
    <cellStyle name="货币 2 3 5 6 3 4" xfId="44747" xr:uid="{00000000-0005-0000-0000-0000FBAE0000}"/>
    <cellStyle name="货币 2 3 5 6 3 5" xfId="44748" xr:uid="{00000000-0005-0000-0000-0000FCAE0000}"/>
    <cellStyle name="货币 2 3 5 6 3 6" xfId="44749" xr:uid="{00000000-0005-0000-0000-0000FDAE0000}"/>
    <cellStyle name="货币 2 3 5 6 4" xfId="38521" xr:uid="{00000000-0005-0000-0000-0000A9960000}"/>
    <cellStyle name="货币 2 3 5 6 4 2" xfId="44750" xr:uid="{00000000-0005-0000-0000-0000FEAE0000}"/>
    <cellStyle name="货币 2 3 5 6 4 3" xfId="44751" xr:uid="{00000000-0005-0000-0000-0000FFAE0000}"/>
    <cellStyle name="货币 2 3 5 6 4 4" xfId="44752" xr:uid="{00000000-0005-0000-0000-000000AF0000}"/>
    <cellStyle name="货币 2 3 5 6 4 5" xfId="44753" xr:uid="{00000000-0005-0000-0000-000001AF0000}"/>
    <cellStyle name="货币 2 3 5 6 4 6" xfId="44754" xr:uid="{00000000-0005-0000-0000-000002AF0000}"/>
    <cellStyle name="货币 2 3 5 6 5" xfId="44755" xr:uid="{00000000-0005-0000-0000-000003AF0000}"/>
    <cellStyle name="货币 2 3 5 6 5 2" xfId="23059" xr:uid="{00000000-0005-0000-0000-0000435A0000}"/>
    <cellStyle name="货币 2 3 5 6 5 3" xfId="23061" xr:uid="{00000000-0005-0000-0000-0000455A0000}"/>
    <cellStyle name="货币 2 3 5 6 5 4" xfId="23063" xr:uid="{00000000-0005-0000-0000-0000475A0000}"/>
    <cellStyle name="货币 2 3 5 6 5 5" xfId="23065" xr:uid="{00000000-0005-0000-0000-0000495A0000}"/>
    <cellStyle name="货币 2 3 5 6 5 6" xfId="1959" xr:uid="{00000000-0005-0000-0000-0000D7070000}"/>
    <cellStyle name="货币 2 3 5 6 6" xfId="2780" xr:uid="{00000000-0005-0000-0000-00000C0B0000}"/>
    <cellStyle name="货币 2 3 5 6 6 2" xfId="44756" xr:uid="{00000000-0005-0000-0000-000004AF0000}"/>
    <cellStyle name="货币 2 3 5 6 6 3" xfId="44757" xr:uid="{00000000-0005-0000-0000-000005AF0000}"/>
    <cellStyle name="货币 2 3 5 6 6 4" xfId="44758" xr:uid="{00000000-0005-0000-0000-000006AF0000}"/>
    <cellStyle name="货币 2 3 5 6 6 5" xfId="44759" xr:uid="{00000000-0005-0000-0000-000007AF0000}"/>
    <cellStyle name="货币 2 3 5 6 6 6" xfId="44760" xr:uid="{00000000-0005-0000-0000-000008AF0000}"/>
    <cellStyle name="货币 2 3 5 6 7" xfId="44761" xr:uid="{00000000-0005-0000-0000-000009AF0000}"/>
    <cellStyle name="货币 2 3 5 6 8" xfId="44762" xr:uid="{00000000-0005-0000-0000-00000AAF0000}"/>
    <cellStyle name="货币 2 3 5 6 9" xfId="44763" xr:uid="{00000000-0005-0000-0000-00000BAF0000}"/>
    <cellStyle name="货币 2 3 5 7" xfId="44764" xr:uid="{00000000-0005-0000-0000-00000CAF0000}"/>
    <cellStyle name="货币 2 3 5 7 10" xfId="30485" xr:uid="{00000000-0005-0000-0000-000045770000}"/>
    <cellStyle name="货币 2 3 5 7 11" xfId="44765" xr:uid="{00000000-0005-0000-0000-00000DAF0000}"/>
    <cellStyle name="货币 2 3 5 7 12" xfId="44766" xr:uid="{00000000-0005-0000-0000-00000EAF0000}"/>
    <cellStyle name="货币 2 3 5 7 13" xfId="44767" xr:uid="{00000000-0005-0000-0000-00000FAF0000}"/>
    <cellStyle name="货币 2 3 5 7 14" xfId="8180" xr:uid="{00000000-0005-0000-0000-000024200000}"/>
    <cellStyle name="货币 2 3 5 7 15" xfId="6786" xr:uid="{00000000-0005-0000-0000-0000B21A0000}"/>
    <cellStyle name="货币 2 3 5 7 16" xfId="44768" xr:uid="{00000000-0005-0000-0000-000010AF0000}"/>
    <cellStyle name="货币 2 3 5 7 17" xfId="44769" xr:uid="{00000000-0005-0000-0000-000011AF0000}"/>
    <cellStyle name="货币 2 3 5 7 18" xfId="44770" xr:uid="{00000000-0005-0000-0000-000012AF0000}"/>
    <cellStyle name="货币 2 3 5 7 2" xfId="14419" xr:uid="{00000000-0005-0000-0000-000083380000}"/>
    <cellStyle name="货币 2 3 5 7 2 10" xfId="11739" xr:uid="{00000000-0005-0000-0000-00000B2E0000}"/>
    <cellStyle name="货币 2 3 5 7 2 2" xfId="11299" xr:uid="{00000000-0005-0000-0000-0000532C0000}"/>
    <cellStyle name="货币 2 3 5 7 2 2 2" xfId="6487" xr:uid="{00000000-0005-0000-0000-000087190000}"/>
    <cellStyle name="货币 2 3 5 7 2 3" xfId="11305" xr:uid="{00000000-0005-0000-0000-0000592C0000}"/>
    <cellStyle name="货币 2 3 5 7 2 4" xfId="11310" xr:uid="{00000000-0005-0000-0000-00005E2C0000}"/>
    <cellStyle name="货币 2 3 5 7 2 5" xfId="9363" xr:uid="{00000000-0005-0000-0000-0000C3240000}"/>
    <cellStyle name="货币 2 3 5 7 2 6" xfId="11316" xr:uid="{00000000-0005-0000-0000-0000642C0000}"/>
    <cellStyle name="货币 2 3 5 7 2 7" xfId="17950" xr:uid="{00000000-0005-0000-0000-00004E460000}"/>
    <cellStyle name="货币 2 3 5 7 2 8" xfId="17953" xr:uid="{00000000-0005-0000-0000-000051460000}"/>
    <cellStyle name="货币 2 3 5 7 2 9" xfId="17956" xr:uid="{00000000-0005-0000-0000-000054460000}"/>
    <cellStyle name="货币 2 3 5 7 3" xfId="14426" xr:uid="{00000000-0005-0000-0000-00008A380000}"/>
    <cellStyle name="货币 2 3 5 7 3 2" xfId="6608" xr:uid="{00000000-0005-0000-0000-0000001A0000}"/>
    <cellStyle name="货币 2 3 5 7 3 3" xfId="6616" xr:uid="{00000000-0005-0000-0000-0000081A0000}"/>
    <cellStyle name="货币 2 3 5 7 3 4" xfId="17961" xr:uid="{00000000-0005-0000-0000-000059460000}"/>
    <cellStyle name="货币 2 3 5 7 3 5" xfId="17963" xr:uid="{00000000-0005-0000-0000-00005B460000}"/>
    <cellStyle name="货币 2 3 5 7 3 6" xfId="2121" xr:uid="{00000000-0005-0000-0000-000079080000}"/>
    <cellStyle name="货币 2 3 5 7 4" xfId="14431" xr:uid="{00000000-0005-0000-0000-00008F380000}"/>
    <cellStyle name="货币 2 3 5 7 4 2" xfId="17970" xr:uid="{00000000-0005-0000-0000-000062460000}"/>
    <cellStyle name="货币 2 3 5 7 4 3" xfId="44771" xr:uid="{00000000-0005-0000-0000-000013AF0000}"/>
    <cellStyle name="货币 2 3 5 7 4 4" xfId="44772" xr:uid="{00000000-0005-0000-0000-000014AF0000}"/>
    <cellStyle name="货币 2 3 5 7 4 5" xfId="44773" xr:uid="{00000000-0005-0000-0000-000015AF0000}"/>
    <cellStyle name="货币 2 3 5 7 4 6" xfId="44774" xr:uid="{00000000-0005-0000-0000-000016AF0000}"/>
    <cellStyle name="货币 2 3 5 7 5" xfId="14441" xr:uid="{00000000-0005-0000-0000-000099380000}"/>
    <cellStyle name="货币 2 3 5 7 5 2" xfId="44775" xr:uid="{00000000-0005-0000-0000-000017AF0000}"/>
    <cellStyle name="货币 2 3 5 7 5 3" xfId="44776" xr:uid="{00000000-0005-0000-0000-000018AF0000}"/>
    <cellStyle name="货币 2 3 5 7 5 4" xfId="44777" xr:uid="{00000000-0005-0000-0000-000019AF0000}"/>
    <cellStyle name="货币 2 3 5 7 5 5" xfId="28807" xr:uid="{00000000-0005-0000-0000-0000B7700000}"/>
    <cellStyle name="货币 2 3 5 7 5 6" xfId="44778" xr:uid="{00000000-0005-0000-0000-00001AAF0000}"/>
    <cellStyle name="货币 2 3 5 7 6" xfId="2802" xr:uid="{00000000-0005-0000-0000-0000220B0000}"/>
    <cellStyle name="货币 2 3 5 7 6 2" xfId="44779" xr:uid="{00000000-0005-0000-0000-00001BAF0000}"/>
    <cellStyle name="货币 2 3 5 7 6 3" xfId="44780" xr:uid="{00000000-0005-0000-0000-00001CAF0000}"/>
    <cellStyle name="货币 2 3 5 7 6 4" xfId="44781" xr:uid="{00000000-0005-0000-0000-00001DAF0000}"/>
    <cellStyle name="货币 2 3 5 7 6 5" xfId="11762" xr:uid="{00000000-0005-0000-0000-0000222E0000}"/>
    <cellStyle name="货币 2 3 5 7 6 6" xfId="44782" xr:uid="{00000000-0005-0000-0000-00001EAF0000}"/>
    <cellStyle name="货币 2 3 5 7 7" xfId="44783" xr:uid="{00000000-0005-0000-0000-00001FAF0000}"/>
    <cellStyle name="货币 2 3 5 7 8" xfId="44784" xr:uid="{00000000-0005-0000-0000-000020AF0000}"/>
    <cellStyle name="货币 2 3 5 7 9" xfId="13026" xr:uid="{00000000-0005-0000-0000-000012330000}"/>
    <cellStyle name="货币 2 3 5 8" xfId="44785" xr:uid="{00000000-0005-0000-0000-000021AF0000}"/>
    <cellStyle name="货币 2 3 5 8 10" xfId="44787" xr:uid="{00000000-0005-0000-0000-000023AF0000}"/>
    <cellStyle name="货币 2 3 5 8 11" xfId="44788" xr:uid="{00000000-0005-0000-0000-000024AF0000}"/>
    <cellStyle name="货币 2 3 5 8 12" xfId="44789" xr:uid="{00000000-0005-0000-0000-000025AF0000}"/>
    <cellStyle name="货币 2 3 5 8 13" xfId="44790" xr:uid="{00000000-0005-0000-0000-000026AF0000}"/>
    <cellStyle name="货币 2 3 5 8 14" xfId="30096" xr:uid="{00000000-0005-0000-0000-0000C0750000}"/>
    <cellStyle name="货币 2 3 5 8 15" xfId="30101" xr:uid="{00000000-0005-0000-0000-0000C5750000}"/>
    <cellStyle name="货币 2 3 5 8 2" xfId="14449" xr:uid="{00000000-0005-0000-0000-0000A1380000}"/>
    <cellStyle name="货币 2 3 5 8 2 2" xfId="5477" xr:uid="{00000000-0005-0000-0000-000095150000}"/>
    <cellStyle name="货币 2 3 5 8 2 2 2" xfId="16212" xr:uid="{00000000-0005-0000-0000-0000843F0000}"/>
    <cellStyle name="货币 2 3 5 8 2 3" xfId="4777" xr:uid="{00000000-0005-0000-0000-0000D9120000}"/>
    <cellStyle name="货币 2 3 5 8 2 4" xfId="5489" xr:uid="{00000000-0005-0000-0000-0000A1150000}"/>
    <cellStyle name="货币 2 3 5 8 2 5" xfId="5501" xr:uid="{00000000-0005-0000-0000-0000AD150000}"/>
    <cellStyle name="货币 2 3 5 8 2 6" xfId="5508" xr:uid="{00000000-0005-0000-0000-0000B4150000}"/>
    <cellStyle name="货币 2 3 5 8 2 7" xfId="44791" xr:uid="{00000000-0005-0000-0000-000027AF0000}"/>
    <cellStyle name="货币 2 3 5 8 2 8" xfId="44793" xr:uid="{00000000-0005-0000-0000-000029AF0000}"/>
    <cellStyle name="货币 2 3 5 8 2 9" xfId="44794" xr:uid="{00000000-0005-0000-0000-00002AAF0000}"/>
    <cellStyle name="货币 2 3 5 8 3" xfId="18009" xr:uid="{00000000-0005-0000-0000-000089460000}"/>
    <cellStyle name="货币 2 3 5 8 3 2" xfId="11366" xr:uid="{00000000-0005-0000-0000-0000962C0000}"/>
    <cellStyle name="货币 2 3 5 8 3 3" xfId="11372" xr:uid="{00000000-0005-0000-0000-00009C2C0000}"/>
    <cellStyle name="货币 2 3 5 8 3 4" xfId="18011" xr:uid="{00000000-0005-0000-0000-00008B460000}"/>
    <cellStyle name="货币 2 3 5 8 3 5" xfId="7176" xr:uid="{00000000-0005-0000-0000-0000381C0000}"/>
    <cellStyle name="货币 2 3 5 8 3 6" xfId="7227" xr:uid="{00000000-0005-0000-0000-00006B1C0000}"/>
    <cellStyle name="货币 2 3 5 8 4" xfId="18015" xr:uid="{00000000-0005-0000-0000-00008F460000}"/>
    <cellStyle name="货币 2 3 5 8 4 2" xfId="44795" xr:uid="{00000000-0005-0000-0000-00002BAF0000}"/>
    <cellStyle name="货币 2 3 5 8 5" xfId="13221" xr:uid="{00000000-0005-0000-0000-0000D5330000}"/>
    <cellStyle name="货币 2 3 5 8 6" xfId="2824" xr:uid="{00000000-0005-0000-0000-0000380B0000}"/>
    <cellStyle name="货币 2 3 5 8 7" xfId="44796" xr:uid="{00000000-0005-0000-0000-00002CAF0000}"/>
    <cellStyle name="货币 2 3 5 8 8" xfId="44797" xr:uid="{00000000-0005-0000-0000-00002DAF0000}"/>
    <cellStyle name="货币 2 3 5 8 9" xfId="44798" xr:uid="{00000000-0005-0000-0000-00002EAF0000}"/>
    <cellStyle name="货币 2 3 5 9" xfId="44799" xr:uid="{00000000-0005-0000-0000-00002FAF0000}"/>
    <cellStyle name="货币 2 3 5 9 10" xfId="4863" xr:uid="{00000000-0005-0000-0000-00002F130000}"/>
    <cellStyle name="货币 2 3 5 9 11" xfId="3414" xr:uid="{00000000-0005-0000-0000-0000860D0000}"/>
    <cellStyle name="货币 2 3 5 9 12" xfId="4880" xr:uid="{00000000-0005-0000-0000-000040130000}"/>
    <cellStyle name="货币 2 3 5 9 13" xfId="4883" xr:uid="{00000000-0005-0000-0000-000043130000}"/>
    <cellStyle name="货币 2 3 5 9 14" xfId="13833" xr:uid="{00000000-0005-0000-0000-000039360000}"/>
    <cellStyle name="货币 2 3 5 9 2" xfId="18042" xr:uid="{00000000-0005-0000-0000-0000AA460000}"/>
    <cellStyle name="货币 2 3 5 9 2 2" xfId="44800" xr:uid="{00000000-0005-0000-0000-000030AF0000}"/>
    <cellStyle name="货币 2 3 5 9 2 2 2" xfId="9630" xr:uid="{00000000-0005-0000-0000-0000CE250000}"/>
    <cellStyle name="货币 2 3 5 9 2 3" xfId="44801" xr:uid="{00000000-0005-0000-0000-000031AF0000}"/>
    <cellStyle name="货币 2 3 5 9 2 4" xfId="44802" xr:uid="{00000000-0005-0000-0000-000032AF0000}"/>
    <cellStyle name="货币 2 3 5 9 2 5" xfId="44803" xr:uid="{00000000-0005-0000-0000-000033AF0000}"/>
    <cellStyle name="货币 2 3 5 9 2 6" xfId="44804" xr:uid="{00000000-0005-0000-0000-000034AF0000}"/>
    <cellStyle name="货币 2 3 5 9 2 7" xfId="44805" xr:uid="{00000000-0005-0000-0000-000035AF0000}"/>
    <cellStyle name="货币 2 3 5 9 2 8" xfId="44807" xr:uid="{00000000-0005-0000-0000-000037AF0000}"/>
    <cellStyle name="货币 2 3 5 9 2 9" xfId="44808" xr:uid="{00000000-0005-0000-0000-000038AF0000}"/>
    <cellStyle name="货币 2 3 5 9 3" xfId="18046" xr:uid="{00000000-0005-0000-0000-0000AE460000}"/>
    <cellStyle name="货币 2 3 5 9 3 2" xfId="44809" xr:uid="{00000000-0005-0000-0000-000039AF0000}"/>
    <cellStyle name="货币 2 3 5 9 3 3" xfId="44810" xr:uid="{00000000-0005-0000-0000-00003AAF0000}"/>
    <cellStyle name="货币 2 3 5 9 3 4" xfId="44811" xr:uid="{00000000-0005-0000-0000-00003BAF0000}"/>
    <cellStyle name="货币 2 3 5 9 3 5" xfId="44812" xr:uid="{00000000-0005-0000-0000-00003CAF0000}"/>
    <cellStyle name="货币 2 3 5 9 3 6" xfId="44813" xr:uid="{00000000-0005-0000-0000-00003DAF0000}"/>
    <cellStyle name="货币 2 3 5 9 4" xfId="18051" xr:uid="{00000000-0005-0000-0000-0000B3460000}"/>
    <cellStyle name="货币 2 3 5 9 4 2" xfId="44647" xr:uid="{00000000-0005-0000-0000-000097AE0000}"/>
    <cellStyle name="货币 2 3 5 9 5" xfId="18053" xr:uid="{00000000-0005-0000-0000-0000B5460000}"/>
    <cellStyle name="货币 2 3 5 9 6" xfId="1159" xr:uid="{00000000-0005-0000-0000-0000B7040000}"/>
    <cellStyle name="货币 2 3 5 9 7" xfId="36604" xr:uid="{00000000-0005-0000-0000-00002C8F0000}"/>
    <cellStyle name="货币 2 3 5 9 8" xfId="13210" xr:uid="{00000000-0005-0000-0000-0000CA330000}"/>
    <cellStyle name="货币 2 3 5 9 9" xfId="44814" xr:uid="{00000000-0005-0000-0000-00003EAF0000}"/>
    <cellStyle name="货币 2 3 6" xfId="41156" xr:uid="{00000000-0005-0000-0000-0000F4A00000}"/>
    <cellStyle name="货币 2 3 6 10" xfId="44815" xr:uid="{00000000-0005-0000-0000-00003FAF0000}"/>
    <cellStyle name="货币 2 3 6 10 2" xfId="44816" xr:uid="{00000000-0005-0000-0000-000040AF0000}"/>
    <cellStyle name="货币 2 3 6 10 3" xfId="44818" xr:uid="{00000000-0005-0000-0000-000042AF0000}"/>
    <cellStyle name="货币 2 3 6 10 4" xfId="44820" xr:uid="{00000000-0005-0000-0000-000044AF0000}"/>
    <cellStyle name="货币 2 3 6 10 5" xfId="44822" xr:uid="{00000000-0005-0000-0000-000046AF0000}"/>
    <cellStyle name="货币 2 3 6 10 6" xfId="6002" xr:uid="{00000000-0005-0000-0000-0000A2170000}"/>
    <cellStyle name="货币 2 3 6 11" xfId="24748" xr:uid="{00000000-0005-0000-0000-0000DC600000}"/>
    <cellStyle name="货币 2 3 6 11 2" xfId="15086" xr:uid="{00000000-0005-0000-0000-00001E3B0000}"/>
    <cellStyle name="货币 2 3 6 11 3" xfId="44825" xr:uid="{00000000-0005-0000-0000-000049AF0000}"/>
    <cellStyle name="货币 2 3 6 11 4" xfId="44829" xr:uid="{00000000-0005-0000-0000-00004DAF0000}"/>
    <cellStyle name="货币 2 3 6 11 5" xfId="44833" xr:uid="{00000000-0005-0000-0000-000051AF0000}"/>
    <cellStyle name="货币 2 3 6 11 6" xfId="6055" xr:uid="{00000000-0005-0000-0000-0000D7170000}"/>
    <cellStyle name="货币 2 3 6 12" xfId="24751" xr:uid="{00000000-0005-0000-0000-0000DF600000}"/>
    <cellStyle name="货币 2 3 6 13" xfId="24754" xr:uid="{00000000-0005-0000-0000-0000E2600000}"/>
    <cellStyle name="货币 2 3 6 14" xfId="15663" xr:uid="{00000000-0005-0000-0000-00005F3D0000}"/>
    <cellStyle name="货币 2 3 6 15" xfId="23241" xr:uid="{00000000-0005-0000-0000-0000F95A0000}"/>
    <cellStyle name="货币 2 3 6 16" xfId="16440" xr:uid="{00000000-0005-0000-0000-000068400000}"/>
    <cellStyle name="货币 2 3 6 17" xfId="16470" xr:uid="{00000000-0005-0000-0000-000086400000}"/>
    <cellStyle name="货币 2 3 6 18" xfId="16493" xr:uid="{00000000-0005-0000-0000-00009D400000}"/>
    <cellStyle name="货币 2 3 6 19" xfId="6697" xr:uid="{00000000-0005-0000-0000-0000591A0000}"/>
    <cellStyle name="货币 2 3 6 2" xfId="31975" xr:uid="{00000000-0005-0000-0000-0000177D0000}"/>
    <cellStyle name="货币 2 3 6 2 10" xfId="25053" xr:uid="{00000000-0005-0000-0000-00000D620000}"/>
    <cellStyle name="货币 2 3 6 2 11" xfId="25057" xr:uid="{00000000-0005-0000-0000-000011620000}"/>
    <cellStyle name="货币 2 3 6 2 12" xfId="25060" xr:uid="{00000000-0005-0000-0000-000014620000}"/>
    <cellStyle name="货币 2 3 6 2 13" xfId="24568" xr:uid="{00000000-0005-0000-0000-000028600000}"/>
    <cellStyle name="货币 2 3 6 2 14" xfId="24572" xr:uid="{00000000-0005-0000-0000-00002C600000}"/>
    <cellStyle name="货币 2 3 6 2 15" xfId="24576" xr:uid="{00000000-0005-0000-0000-000030600000}"/>
    <cellStyle name="货币 2 3 6 2 16" xfId="24578" xr:uid="{00000000-0005-0000-0000-000032600000}"/>
    <cellStyle name="货币 2 3 6 2 17" xfId="24581" xr:uid="{00000000-0005-0000-0000-000035600000}"/>
    <cellStyle name="货币 2 3 6 2 18" xfId="24584" xr:uid="{00000000-0005-0000-0000-000038600000}"/>
    <cellStyle name="货币 2 3 6 2 2" xfId="14658" xr:uid="{00000000-0005-0000-0000-000072390000}"/>
    <cellStyle name="货币 2 3 6 2 2 10" xfId="31978" xr:uid="{00000000-0005-0000-0000-00001A7D0000}"/>
    <cellStyle name="货币 2 3 6 2 2 11" xfId="31982" xr:uid="{00000000-0005-0000-0000-00001E7D0000}"/>
    <cellStyle name="货币 2 3 6 2 2 12" xfId="32042" xr:uid="{00000000-0005-0000-0000-00005A7D0000}"/>
    <cellStyle name="货币 2 3 6 2 2 2" xfId="14632" xr:uid="{00000000-0005-0000-0000-000058390000}"/>
    <cellStyle name="货币 2 3 6 2 2 2 2" xfId="13920" xr:uid="{00000000-0005-0000-0000-000090360000}"/>
    <cellStyle name="货币 2 3 6 2 2 2 2 2" xfId="44834" xr:uid="{00000000-0005-0000-0000-000052AF0000}"/>
    <cellStyle name="货币 2 3 6 2 2 2 3" xfId="13924" xr:uid="{00000000-0005-0000-0000-000094360000}"/>
    <cellStyle name="货币 2 3 6 2 2 2 4" xfId="44835" xr:uid="{00000000-0005-0000-0000-000053AF0000}"/>
    <cellStyle name="货币 2 3 6 2 2 2 5" xfId="44836" xr:uid="{00000000-0005-0000-0000-000054AF0000}"/>
    <cellStyle name="货币 2 3 6 2 2 3" xfId="14635" xr:uid="{00000000-0005-0000-0000-00005B390000}"/>
    <cellStyle name="货币 2 3 6 2 2 3 2" xfId="31985" xr:uid="{00000000-0005-0000-0000-0000217D0000}"/>
    <cellStyle name="货币 2 3 6 2 2 4" xfId="14638" xr:uid="{00000000-0005-0000-0000-00005E390000}"/>
    <cellStyle name="货币 2 3 6 2 2 5" xfId="14641" xr:uid="{00000000-0005-0000-0000-000061390000}"/>
    <cellStyle name="货币 2 3 6 2 2 6" xfId="14645" xr:uid="{00000000-0005-0000-0000-000065390000}"/>
    <cellStyle name="货币 2 3 6 2 2 7" xfId="31992" xr:uid="{00000000-0005-0000-0000-0000287D0000}"/>
    <cellStyle name="货币 2 3 6 2 2 8" xfId="31994" xr:uid="{00000000-0005-0000-0000-00002A7D0000}"/>
    <cellStyle name="货币 2 3 6 2 2 9" xfId="31996" xr:uid="{00000000-0005-0000-0000-00002C7D0000}"/>
    <cellStyle name="货币 2 3 6 2 3" xfId="14663" xr:uid="{00000000-0005-0000-0000-000077390000}"/>
    <cellStyle name="货币 2 3 6 2 3 10" xfId="14478" xr:uid="{00000000-0005-0000-0000-0000BE380000}"/>
    <cellStyle name="货币 2 3 6 2 3 11" xfId="18524" xr:uid="{00000000-0005-0000-0000-00008C480000}"/>
    <cellStyle name="货币 2 3 6 2 3 12" xfId="18539" xr:uid="{00000000-0005-0000-0000-00009B480000}"/>
    <cellStyle name="货币 2 3 6 2 3 2" xfId="31998" xr:uid="{00000000-0005-0000-0000-00002E7D0000}"/>
    <cellStyle name="货币 2 3 6 2 3 2 2" xfId="41775" xr:uid="{00000000-0005-0000-0000-00005FA30000}"/>
    <cellStyle name="货币 2 3 6 2 3 2 2 2" xfId="7259" xr:uid="{00000000-0005-0000-0000-00008B1C0000}"/>
    <cellStyle name="货币 2 3 6 2 3 2 3" xfId="41778" xr:uid="{00000000-0005-0000-0000-000062A30000}"/>
    <cellStyle name="货币 2 3 6 2 3 2 4" xfId="41780" xr:uid="{00000000-0005-0000-0000-000064A30000}"/>
    <cellStyle name="货币 2 3 6 2 3 2 5" xfId="41782" xr:uid="{00000000-0005-0000-0000-000066A30000}"/>
    <cellStyle name="货币 2 3 6 2 3 3" xfId="32002" xr:uid="{00000000-0005-0000-0000-0000327D0000}"/>
    <cellStyle name="货币 2 3 6 2 3 3 2" xfId="41786" xr:uid="{00000000-0005-0000-0000-00006AA30000}"/>
    <cellStyle name="货币 2 3 6 2 3 4" xfId="41793" xr:uid="{00000000-0005-0000-0000-000071A30000}"/>
    <cellStyle name="货币 2 3 6 2 3 5" xfId="41800" xr:uid="{00000000-0005-0000-0000-000078A30000}"/>
    <cellStyle name="货币 2 3 6 2 3 6" xfId="18262" xr:uid="{00000000-0005-0000-0000-000086470000}"/>
    <cellStyle name="货币 2 3 6 2 3 7" xfId="18267" xr:uid="{00000000-0005-0000-0000-00008B470000}"/>
    <cellStyle name="货币 2 3 6 2 3 8" xfId="12009" xr:uid="{00000000-0005-0000-0000-0000192F0000}"/>
    <cellStyle name="货币 2 3 6 2 3 9" xfId="18277" xr:uid="{00000000-0005-0000-0000-000095470000}"/>
    <cellStyle name="货币 2 3 6 2 4" xfId="32005" xr:uid="{00000000-0005-0000-0000-0000357D0000}"/>
    <cellStyle name="货币 2 3 6 2 4 10" xfId="18753" xr:uid="{00000000-0005-0000-0000-000071490000}"/>
    <cellStyle name="货币 2 3 6 2 4 2" xfId="32007" xr:uid="{00000000-0005-0000-0000-0000377D0000}"/>
    <cellStyle name="货币 2 3 6 2 4 2 2" xfId="41814" xr:uid="{00000000-0005-0000-0000-000086A30000}"/>
    <cellStyle name="货币 2 3 6 2 4 2 2 2" xfId="8220" xr:uid="{00000000-0005-0000-0000-00004C200000}"/>
    <cellStyle name="货币 2 3 6 2 4 2 3" xfId="41816" xr:uid="{00000000-0005-0000-0000-000088A30000}"/>
    <cellStyle name="货币 2 3 6 2 4 2 4" xfId="41818" xr:uid="{00000000-0005-0000-0000-00008AA30000}"/>
    <cellStyle name="货币 2 3 6 2 4 2 5" xfId="41820" xr:uid="{00000000-0005-0000-0000-00008CA30000}"/>
    <cellStyle name="货币 2 3 6 2 4 3" xfId="41822" xr:uid="{00000000-0005-0000-0000-00008EA30000}"/>
    <cellStyle name="货币 2 3 6 2 4 3 2" xfId="41825" xr:uid="{00000000-0005-0000-0000-000091A30000}"/>
    <cellStyle name="货币 2 3 6 2 4 4" xfId="41831" xr:uid="{00000000-0005-0000-0000-000097A30000}"/>
    <cellStyle name="货币 2 3 6 2 4 5" xfId="41837" xr:uid="{00000000-0005-0000-0000-00009DA30000}"/>
    <cellStyle name="货币 2 3 6 2 4 6" xfId="41844" xr:uid="{00000000-0005-0000-0000-0000A4A30000}"/>
    <cellStyle name="货币 2 3 6 2 4 7" xfId="31232" xr:uid="{00000000-0005-0000-0000-0000307A0000}"/>
    <cellStyle name="货币 2 3 6 2 4 8" xfId="31237" xr:uid="{00000000-0005-0000-0000-0000357A0000}"/>
    <cellStyle name="货币 2 3 6 2 4 9" xfId="11058" xr:uid="{00000000-0005-0000-0000-0000622B0000}"/>
    <cellStyle name="货币 2 3 6 2 5" xfId="32010" xr:uid="{00000000-0005-0000-0000-00003A7D0000}"/>
    <cellStyle name="货币 2 3 6 2 5 10" xfId="41847" xr:uid="{00000000-0005-0000-0000-0000A7A30000}"/>
    <cellStyle name="货币 2 3 6 2 5 2" xfId="32012" xr:uid="{00000000-0005-0000-0000-00003C7D0000}"/>
    <cellStyle name="货币 2 3 6 2 5 2 2" xfId="41853" xr:uid="{00000000-0005-0000-0000-0000ADA30000}"/>
    <cellStyle name="货币 2 3 6 2 5 2 2 2" xfId="10032" xr:uid="{00000000-0005-0000-0000-000060270000}"/>
    <cellStyle name="货币 2 3 6 2 5 2 3" xfId="41855" xr:uid="{00000000-0005-0000-0000-0000AFA30000}"/>
    <cellStyle name="货币 2 3 6 2 5 2 4" xfId="41857" xr:uid="{00000000-0005-0000-0000-0000B1A30000}"/>
    <cellStyle name="货币 2 3 6 2 5 2 5" xfId="41859" xr:uid="{00000000-0005-0000-0000-0000B3A30000}"/>
    <cellStyle name="货币 2 3 6 2 5 3" xfId="33745" xr:uid="{00000000-0005-0000-0000-000001840000}"/>
    <cellStyle name="货币 2 3 6 2 5 3 2" xfId="41862" xr:uid="{00000000-0005-0000-0000-0000B6A30000}"/>
    <cellStyle name="货币 2 3 6 2 5 4" xfId="33748" xr:uid="{00000000-0005-0000-0000-000004840000}"/>
    <cellStyle name="货币 2 3 6 2 5 5" xfId="33751" xr:uid="{00000000-0005-0000-0000-000007840000}"/>
    <cellStyle name="货币 2 3 6 2 5 6" xfId="33755" xr:uid="{00000000-0005-0000-0000-00000B840000}"/>
    <cellStyle name="货币 2 3 6 2 5 7" xfId="31242" xr:uid="{00000000-0005-0000-0000-00003A7A0000}"/>
    <cellStyle name="货币 2 3 6 2 5 8" xfId="31246" xr:uid="{00000000-0005-0000-0000-00003E7A0000}"/>
    <cellStyle name="货币 2 3 6 2 5 9" xfId="11075" xr:uid="{00000000-0005-0000-0000-0000732B0000}"/>
    <cellStyle name="货币 2 3 6 2 6" xfId="2567" xr:uid="{00000000-0005-0000-0000-0000370A0000}"/>
    <cellStyle name="货币 2 3 6 2 6 2" xfId="10144" xr:uid="{00000000-0005-0000-0000-0000D0270000}"/>
    <cellStyle name="货币 2 3 6 2 6 2 2" xfId="41870" xr:uid="{00000000-0005-0000-0000-0000BEA30000}"/>
    <cellStyle name="货币 2 3 6 2 6 3" xfId="17787" xr:uid="{00000000-0005-0000-0000-0000AB450000}"/>
    <cellStyle name="货币 2 3 6 2 6 4" xfId="14963" xr:uid="{00000000-0005-0000-0000-0000A33A0000}"/>
    <cellStyle name="货币 2 3 6 2 6 5" xfId="14968" xr:uid="{00000000-0005-0000-0000-0000A83A0000}"/>
    <cellStyle name="货币 2 3 6 2 6 6" xfId="14973" xr:uid="{00000000-0005-0000-0000-0000AD3A0000}"/>
    <cellStyle name="货币 2 3 6 2 6 7" xfId="14977" xr:uid="{00000000-0005-0000-0000-0000B13A0000}"/>
    <cellStyle name="货币 2 3 6 2 6 8" xfId="31253" xr:uid="{00000000-0005-0000-0000-0000457A0000}"/>
    <cellStyle name="货币 2 3 6 2 6 9" xfId="31257" xr:uid="{00000000-0005-0000-0000-0000497A0000}"/>
    <cellStyle name="货币 2 3 6 2 7" xfId="32017" xr:uid="{00000000-0005-0000-0000-0000417D0000}"/>
    <cellStyle name="货币 2 3 6 2 7 2" xfId="14682" xr:uid="{00000000-0005-0000-0000-00008A390000}"/>
    <cellStyle name="货币 2 3 6 2 8" xfId="32020" xr:uid="{00000000-0005-0000-0000-0000447D0000}"/>
    <cellStyle name="货币 2 3 6 2 9" xfId="32023" xr:uid="{00000000-0005-0000-0000-0000477D0000}"/>
    <cellStyle name="货币 2 3 6 20" xfId="23240" xr:uid="{00000000-0005-0000-0000-0000F85A0000}"/>
    <cellStyle name="货币 2 3 6 21" xfId="16439" xr:uid="{00000000-0005-0000-0000-000067400000}"/>
    <cellStyle name="货币 2 3 6 22" xfId="16469" xr:uid="{00000000-0005-0000-0000-000085400000}"/>
    <cellStyle name="货币 2 3 6 23" xfId="16492" xr:uid="{00000000-0005-0000-0000-00009C400000}"/>
    <cellStyle name="货币 2 3 6 3" xfId="32026" xr:uid="{00000000-0005-0000-0000-00004A7D0000}"/>
    <cellStyle name="货币 2 3 6 3 10" xfId="32028" xr:uid="{00000000-0005-0000-0000-00004C7D0000}"/>
    <cellStyle name="货币 2 3 6 3 11" xfId="32030" xr:uid="{00000000-0005-0000-0000-00004E7D0000}"/>
    <cellStyle name="货币 2 3 6 3 12" xfId="31987" xr:uid="{00000000-0005-0000-0000-0000237D0000}"/>
    <cellStyle name="货币 2 3 6 3 13" xfId="44837" xr:uid="{00000000-0005-0000-0000-000055AF0000}"/>
    <cellStyle name="货币 2 3 6 3 14" xfId="44838" xr:uid="{00000000-0005-0000-0000-000056AF0000}"/>
    <cellStyle name="货币 2 3 6 3 15" xfId="44839" xr:uid="{00000000-0005-0000-0000-000057AF0000}"/>
    <cellStyle name="货币 2 3 6 3 16" xfId="31282" xr:uid="{00000000-0005-0000-0000-0000627A0000}"/>
    <cellStyle name="货币 2 3 6 3 17" xfId="33188" xr:uid="{00000000-0005-0000-0000-0000D4810000}"/>
    <cellStyle name="货币 2 3 6 3 18" xfId="33190" xr:uid="{00000000-0005-0000-0000-0000D6810000}"/>
    <cellStyle name="货币 2 3 6 3 2" xfId="31977" xr:uid="{00000000-0005-0000-0000-0000197D0000}"/>
    <cellStyle name="货币 2 3 6 3 2 10" xfId="7007" xr:uid="{00000000-0005-0000-0000-00008F1B0000}"/>
    <cellStyle name="货币 2 3 6 3 2 2" xfId="32033" xr:uid="{00000000-0005-0000-0000-0000517D0000}"/>
    <cellStyle name="货币 2 3 6 3 2 2 2" xfId="44840" xr:uid="{00000000-0005-0000-0000-000058AF0000}"/>
    <cellStyle name="货币 2 3 6 3 2 3" xfId="32036" xr:uid="{00000000-0005-0000-0000-0000547D0000}"/>
    <cellStyle name="货币 2 3 6 3 2 4" xfId="44841" xr:uid="{00000000-0005-0000-0000-000059AF0000}"/>
    <cellStyle name="货币 2 3 6 3 2 5" xfId="44842" xr:uid="{00000000-0005-0000-0000-00005AAF0000}"/>
    <cellStyle name="货币 2 3 6 3 2 6" xfId="44843" xr:uid="{00000000-0005-0000-0000-00005BAF0000}"/>
    <cellStyle name="货币 2 3 6 3 2 7" xfId="44844" xr:uid="{00000000-0005-0000-0000-00005CAF0000}"/>
    <cellStyle name="货币 2 3 6 3 2 8" xfId="44845" xr:uid="{00000000-0005-0000-0000-00005DAF0000}"/>
    <cellStyle name="货币 2 3 6 3 2 9" xfId="44846" xr:uid="{00000000-0005-0000-0000-00005EAF0000}"/>
    <cellStyle name="货币 2 3 6 3 3" xfId="31981" xr:uid="{00000000-0005-0000-0000-00001D7D0000}"/>
    <cellStyle name="货币 2 3 6 3 3 2" xfId="32038" xr:uid="{00000000-0005-0000-0000-0000567D0000}"/>
    <cellStyle name="货币 2 3 6 3 3 3" xfId="41937" xr:uid="{00000000-0005-0000-0000-000001A40000}"/>
    <cellStyle name="货币 2 3 6 3 3 4" xfId="41945" xr:uid="{00000000-0005-0000-0000-000009A40000}"/>
    <cellStyle name="货币 2 3 6 3 3 5" xfId="41953" xr:uid="{00000000-0005-0000-0000-000011A40000}"/>
    <cellStyle name="货币 2 3 6 3 3 6" xfId="19372" xr:uid="{00000000-0005-0000-0000-0000DC4B0000}"/>
    <cellStyle name="货币 2 3 6 3 4" xfId="32041" xr:uid="{00000000-0005-0000-0000-0000597D0000}"/>
    <cellStyle name="货币 2 3 6 3 4 2" xfId="32044" xr:uid="{00000000-0005-0000-0000-00005C7D0000}"/>
    <cellStyle name="货币 2 3 6 3 4 3" xfId="32153" xr:uid="{00000000-0005-0000-0000-0000C97D0000}"/>
    <cellStyle name="货币 2 3 6 3 4 4" xfId="32156" xr:uid="{00000000-0005-0000-0000-0000CC7D0000}"/>
    <cellStyle name="货币 2 3 6 3 4 5" xfId="41992" xr:uid="{00000000-0005-0000-0000-000038A40000}"/>
    <cellStyle name="货币 2 3 6 3 4 6" xfId="41999" xr:uid="{00000000-0005-0000-0000-00003FA40000}"/>
    <cellStyle name="货币 2 3 6 3 5" xfId="32048" xr:uid="{00000000-0005-0000-0000-0000607D0000}"/>
    <cellStyle name="货币 2 3 6 3 5 2" xfId="32050" xr:uid="{00000000-0005-0000-0000-0000627D0000}"/>
    <cellStyle name="货币 2 3 6 3 5 3" xfId="33774" xr:uid="{00000000-0005-0000-0000-00001E840000}"/>
    <cellStyle name="货币 2 3 6 3 5 4" xfId="33777" xr:uid="{00000000-0005-0000-0000-000021840000}"/>
    <cellStyle name="货币 2 3 6 3 5 5" xfId="33179" xr:uid="{00000000-0005-0000-0000-0000CB810000}"/>
    <cellStyle name="货币 2 3 6 3 5 6" xfId="33780" xr:uid="{00000000-0005-0000-0000-000024840000}"/>
    <cellStyle name="货币 2 3 6 3 6" xfId="2850" xr:uid="{00000000-0005-0000-0000-0000520B0000}"/>
    <cellStyle name="货币 2 3 6 3 6 2" xfId="32055" xr:uid="{00000000-0005-0000-0000-0000677D0000}"/>
    <cellStyle name="货币 2 3 6 3 6 3" xfId="33790" xr:uid="{00000000-0005-0000-0000-00002E840000}"/>
    <cellStyle name="货币 2 3 6 3 6 4" xfId="14997" xr:uid="{00000000-0005-0000-0000-0000C53A0000}"/>
    <cellStyle name="货币 2 3 6 3 6 5" xfId="42021" xr:uid="{00000000-0005-0000-0000-000055A40000}"/>
    <cellStyle name="货币 2 3 6 3 6 6" xfId="42023" xr:uid="{00000000-0005-0000-0000-000057A40000}"/>
    <cellStyle name="货币 2 3 6 3 7" xfId="32059" xr:uid="{00000000-0005-0000-0000-00006B7D0000}"/>
    <cellStyle name="货币 2 3 6 3 8" xfId="32062" xr:uid="{00000000-0005-0000-0000-00006E7D0000}"/>
    <cellStyle name="货币 2 3 6 3 9" xfId="26484" xr:uid="{00000000-0005-0000-0000-0000A4670000}"/>
    <cellStyle name="货币 2 3 6 4" xfId="32065" xr:uid="{00000000-0005-0000-0000-0000717D0000}"/>
    <cellStyle name="货币 2 3 6 4 10" xfId="4311" xr:uid="{00000000-0005-0000-0000-000007110000}"/>
    <cellStyle name="货币 2 3 6 4 11" xfId="6303" xr:uid="{00000000-0005-0000-0000-0000CF180000}"/>
    <cellStyle name="货币 2 3 6 4 12" xfId="6321" xr:uid="{00000000-0005-0000-0000-0000E1180000}"/>
    <cellStyle name="货币 2 3 6 4 13" xfId="6334" xr:uid="{00000000-0005-0000-0000-0000EE180000}"/>
    <cellStyle name="货币 2 3 6 4 14" xfId="44847" xr:uid="{00000000-0005-0000-0000-00005FAF0000}"/>
    <cellStyle name="货币 2 3 6 4 15" xfId="44848" xr:uid="{00000000-0005-0000-0000-000060AF0000}"/>
    <cellStyle name="货币 2 3 6 4 2" xfId="32067" xr:uid="{00000000-0005-0000-0000-0000737D0000}"/>
    <cellStyle name="货币 2 3 6 4 2 2" xfId="32069" xr:uid="{00000000-0005-0000-0000-0000757D0000}"/>
    <cellStyle name="货币 2 3 6 4 2 2 2" xfId="44849" xr:uid="{00000000-0005-0000-0000-000061AF0000}"/>
    <cellStyle name="货币 2 3 6 4 2 3" xfId="44850" xr:uid="{00000000-0005-0000-0000-000062AF0000}"/>
    <cellStyle name="货币 2 3 6 4 2 4" xfId="44851" xr:uid="{00000000-0005-0000-0000-000063AF0000}"/>
    <cellStyle name="货币 2 3 6 4 2 5" xfId="44852" xr:uid="{00000000-0005-0000-0000-000064AF0000}"/>
    <cellStyle name="货币 2 3 6 4 2 6" xfId="34369" xr:uid="{00000000-0005-0000-0000-000071860000}"/>
    <cellStyle name="货币 2 3 6 4 2 7" xfId="10134" xr:uid="{00000000-0005-0000-0000-0000C6270000}"/>
    <cellStyle name="货币 2 3 6 4 2 8" xfId="34386" xr:uid="{00000000-0005-0000-0000-000082860000}"/>
    <cellStyle name="货币 2 3 6 4 2 9" xfId="34392" xr:uid="{00000000-0005-0000-0000-000088860000}"/>
    <cellStyle name="货币 2 3 6 4 3" xfId="32071" xr:uid="{00000000-0005-0000-0000-0000777D0000}"/>
    <cellStyle name="货币 2 3 6 4 3 2" xfId="42067" xr:uid="{00000000-0005-0000-0000-000083A40000}"/>
    <cellStyle name="货币 2 3 6 4 3 3" xfId="42077" xr:uid="{00000000-0005-0000-0000-00008DA40000}"/>
    <cellStyle name="货币 2 3 6 4 3 4" xfId="42083" xr:uid="{00000000-0005-0000-0000-000093A40000}"/>
    <cellStyle name="货币 2 3 6 4 3 5" xfId="42085" xr:uid="{00000000-0005-0000-0000-000095A40000}"/>
    <cellStyle name="货币 2 3 6 4 3 6" xfId="34414" xr:uid="{00000000-0005-0000-0000-00009E860000}"/>
    <cellStyle name="货币 2 3 6 4 4" xfId="32073" xr:uid="{00000000-0005-0000-0000-0000797D0000}"/>
    <cellStyle name="货币 2 3 6 4 4 2" xfId="42101" xr:uid="{00000000-0005-0000-0000-0000A5A40000}"/>
    <cellStyle name="货币 2 3 6 4 5" xfId="44853" xr:uid="{00000000-0005-0000-0000-000065AF0000}"/>
    <cellStyle name="货币 2 3 6 4 6" xfId="2855" xr:uid="{00000000-0005-0000-0000-0000570B0000}"/>
    <cellStyle name="货币 2 3 6 4 7" xfId="32662" xr:uid="{00000000-0005-0000-0000-0000C67F0000}"/>
    <cellStyle name="货币 2 3 6 4 8" xfId="32664" xr:uid="{00000000-0005-0000-0000-0000C87F0000}"/>
    <cellStyle name="货币 2 3 6 4 9" xfId="32667" xr:uid="{00000000-0005-0000-0000-0000CB7F0000}"/>
    <cellStyle name="货币 2 3 6 5" xfId="1430" xr:uid="{00000000-0005-0000-0000-0000C6050000}"/>
    <cellStyle name="货币 2 3 6 5 10" xfId="44854" xr:uid="{00000000-0005-0000-0000-000066AF0000}"/>
    <cellStyle name="货币 2 3 6 5 11" xfId="44855" xr:uid="{00000000-0005-0000-0000-000067AF0000}"/>
    <cellStyle name="货币 2 3 6 5 12" xfId="44856" xr:uid="{00000000-0005-0000-0000-000068AF0000}"/>
    <cellStyle name="货币 2 3 6 5 13" xfId="29713" xr:uid="{00000000-0005-0000-0000-000041740000}"/>
    <cellStyle name="货币 2 3 6 5 14" xfId="44857" xr:uid="{00000000-0005-0000-0000-000069AF0000}"/>
    <cellStyle name="货币 2 3 6 5 2" xfId="32076" xr:uid="{00000000-0005-0000-0000-00007C7D0000}"/>
    <cellStyle name="货币 2 3 6 5 2 2" xfId="32078" xr:uid="{00000000-0005-0000-0000-00007E7D0000}"/>
    <cellStyle name="货币 2 3 6 5 2 2 2" xfId="30556" xr:uid="{00000000-0005-0000-0000-00008C770000}"/>
    <cellStyle name="货币 2 3 6 5 2 3" xfId="44858" xr:uid="{00000000-0005-0000-0000-00006AAF0000}"/>
    <cellStyle name="货币 2 3 6 5 2 4" xfId="44859" xr:uid="{00000000-0005-0000-0000-00006BAF0000}"/>
    <cellStyle name="货币 2 3 6 5 2 5" xfId="44860" xr:uid="{00000000-0005-0000-0000-00006CAF0000}"/>
    <cellStyle name="货币 2 3 6 5 2 6" xfId="34611" xr:uid="{00000000-0005-0000-0000-000063870000}"/>
    <cellStyle name="货币 2 3 6 5 2 7" xfId="34618" xr:uid="{00000000-0005-0000-0000-00006A870000}"/>
    <cellStyle name="货币 2 3 6 5 2 8" xfId="34629" xr:uid="{00000000-0005-0000-0000-000075870000}"/>
    <cellStyle name="货币 2 3 6 5 2 9" xfId="34633" xr:uid="{00000000-0005-0000-0000-000079870000}"/>
    <cellStyle name="货币 2 3 6 5 3" xfId="32080" xr:uid="{00000000-0005-0000-0000-0000807D0000}"/>
    <cellStyle name="货币 2 3 6 5 3 2" xfId="42136" xr:uid="{00000000-0005-0000-0000-0000C8A40000}"/>
    <cellStyle name="货币 2 3 6 5 3 3" xfId="42138" xr:uid="{00000000-0005-0000-0000-0000CAA40000}"/>
    <cellStyle name="货币 2 3 6 5 3 4" xfId="42140" xr:uid="{00000000-0005-0000-0000-0000CCA40000}"/>
    <cellStyle name="货币 2 3 6 5 3 5" xfId="42142" xr:uid="{00000000-0005-0000-0000-0000CEA40000}"/>
    <cellStyle name="货币 2 3 6 5 3 6" xfId="34648" xr:uid="{00000000-0005-0000-0000-000088870000}"/>
    <cellStyle name="货币 2 3 6 5 4" xfId="32082" xr:uid="{00000000-0005-0000-0000-0000827D0000}"/>
    <cellStyle name="货币 2 3 6 5 4 2" xfId="42146" xr:uid="{00000000-0005-0000-0000-0000D2A40000}"/>
    <cellStyle name="货币 2 3 6 5 5" xfId="16432" xr:uid="{00000000-0005-0000-0000-000060400000}"/>
    <cellStyle name="货币 2 3 6 5 6" xfId="2860" xr:uid="{00000000-0005-0000-0000-00005C0B0000}"/>
    <cellStyle name="货币 2 3 6 5 7" xfId="16434" xr:uid="{00000000-0005-0000-0000-000062400000}"/>
    <cellStyle name="货币 2 3 6 5 8" xfId="8524" xr:uid="{00000000-0005-0000-0000-00007C210000}"/>
    <cellStyle name="货币 2 3 6 5 9" xfId="32685" xr:uid="{00000000-0005-0000-0000-0000DD7F0000}"/>
    <cellStyle name="货币 2 3 6 6" xfId="32084" xr:uid="{00000000-0005-0000-0000-0000847D0000}"/>
    <cellStyle name="货币 2 3 6 6 10" xfId="44861" xr:uid="{00000000-0005-0000-0000-00006DAF0000}"/>
    <cellStyle name="货币 2 3 6 6 11" xfId="44862" xr:uid="{00000000-0005-0000-0000-00006EAF0000}"/>
    <cellStyle name="货币 2 3 6 6 12" xfId="44863" xr:uid="{00000000-0005-0000-0000-00006FAF0000}"/>
    <cellStyle name="货币 2 3 6 6 2" xfId="32086" xr:uid="{00000000-0005-0000-0000-0000867D0000}"/>
    <cellStyle name="货币 2 3 6 6 2 2" xfId="32088" xr:uid="{00000000-0005-0000-0000-0000887D0000}"/>
    <cellStyle name="货币 2 3 6 6 2 2 2" xfId="6986" xr:uid="{00000000-0005-0000-0000-00007A1B0000}"/>
    <cellStyle name="货币 2 3 6 6 2 3" xfId="44864" xr:uid="{00000000-0005-0000-0000-000070AF0000}"/>
    <cellStyle name="货币 2 3 6 6 2 4" xfId="44865" xr:uid="{00000000-0005-0000-0000-000071AF0000}"/>
    <cellStyle name="货币 2 3 6 6 2 5" xfId="44866" xr:uid="{00000000-0005-0000-0000-000072AF0000}"/>
    <cellStyle name="货币 2 3 6 6 2 6" xfId="34843" xr:uid="{00000000-0005-0000-0000-00004B880000}"/>
    <cellStyle name="货币 2 3 6 6 2 7" xfId="34850" xr:uid="{00000000-0005-0000-0000-000052880000}"/>
    <cellStyle name="货币 2 3 6 6 2 8" xfId="34854" xr:uid="{00000000-0005-0000-0000-000056880000}"/>
    <cellStyle name="货币 2 3 6 6 2 9" xfId="34859" xr:uid="{00000000-0005-0000-0000-00005B880000}"/>
    <cellStyle name="货币 2 3 6 6 3" xfId="32090" xr:uid="{00000000-0005-0000-0000-00008A7D0000}"/>
    <cellStyle name="货币 2 3 6 6 3 2" xfId="42177" xr:uid="{00000000-0005-0000-0000-0000F1A40000}"/>
    <cellStyle name="货币 2 3 6 6 3 3" xfId="42179" xr:uid="{00000000-0005-0000-0000-0000F3A40000}"/>
    <cellStyle name="货币 2 3 6 6 3 4" xfId="42181" xr:uid="{00000000-0005-0000-0000-0000F5A40000}"/>
    <cellStyle name="货币 2 3 6 6 3 5" xfId="42183" xr:uid="{00000000-0005-0000-0000-0000F7A40000}"/>
    <cellStyle name="货币 2 3 6 6 3 6" xfId="34866" xr:uid="{00000000-0005-0000-0000-000062880000}"/>
    <cellStyle name="货币 2 3 6 6 4" xfId="32092" xr:uid="{00000000-0005-0000-0000-00008C7D0000}"/>
    <cellStyle name="货币 2 3 6 6 4 2" xfId="42187" xr:uid="{00000000-0005-0000-0000-0000FBA40000}"/>
    <cellStyle name="货币 2 3 6 6 5" xfId="44867" xr:uid="{00000000-0005-0000-0000-000073AF0000}"/>
    <cellStyle name="货币 2 3 6 6 6" xfId="2864" xr:uid="{00000000-0005-0000-0000-0000600B0000}"/>
    <cellStyle name="货币 2 3 6 6 7" xfId="32695" xr:uid="{00000000-0005-0000-0000-0000E77F0000}"/>
    <cellStyle name="货币 2 3 6 6 8" xfId="44868" xr:uid="{00000000-0005-0000-0000-000074AF0000}"/>
    <cellStyle name="货币 2 3 6 6 9" xfId="44869" xr:uid="{00000000-0005-0000-0000-000075AF0000}"/>
    <cellStyle name="货币 2 3 6 7" xfId="32094" xr:uid="{00000000-0005-0000-0000-00008E7D0000}"/>
    <cellStyle name="货币 2 3 6 7 2" xfId="1499" xr:uid="{00000000-0005-0000-0000-00000B060000}"/>
    <cellStyle name="货币 2 3 6 7 2 2" xfId="11648" xr:uid="{00000000-0005-0000-0000-0000B02D0000}"/>
    <cellStyle name="货币 2 3 6 7 3" xfId="14465" xr:uid="{00000000-0005-0000-0000-0000B1380000}"/>
    <cellStyle name="货币 2 3 6 7 4" xfId="14470" xr:uid="{00000000-0005-0000-0000-0000B6380000}"/>
    <cellStyle name="货币 2 3 6 7 5" xfId="14473" xr:uid="{00000000-0005-0000-0000-0000B9380000}"/>
    <cellStyle name="货币 2 3 6 7 6" xfId="2873" xr:uid="{00000000-0005-0000-0000-0000690B0000}"/>
    <cellStyle name="货币 2 3 6 7 7" xfId="22758" xr:uid="{00000000-0005-0000-0000-000016590000}"/>
    <cellStyle name="货币 2 3 6 7 8" xfId="13494" xr:uid="{00000000-0005-0000-0000-0000E6340000}"/>
    <cellStyle name="货币 2 3 6 7 9" xfId="44870" xr:uid="{00000000-0005-0000-0000-000076AF0000}"/>
    <cellStyle name="货币 2 3 6 8" xfId="44871" xr:uid="{00000000-0005-0000-0000-000077AF0000}"/>
    <cellStyle name="货币 2 3 6 8 2" xfId="14477" xr:uid="{00000000-0005-0000-0000-0000BD380000}"/>
    <cellStyle name="货币 2 3 6 8 3" xfId="18523" xr:uid="{00000000-0005-0000-0000-00008B480000}"/>
    <cellStyle name="货币 2 3 6 8 4" xfId="18538" xr:uid="{00000000-0005-0000-0000-00009A480000}"/>
    <cellStyle name="货币 2 3 6 8 5" xfId="18542" xr:uid="{00000000-0005-0000-0000-00009E480000}"/>
    <cellStyle name="货币 2 3 6 8 6" xfId="592" xr:uid="{00000000-0005-0000-0000-000079020000}"/>
    <cellStyle name="货币 2 3 6 9" xfId="44872" xr:uid="{00000000-0005-0000-0000-000078AF0000}"/>
    <cellStyle name="货币 2 3 6 9 2" xfId="18596" xr:uid="{00000000-0005-0000-0000-0000D4480000}"/>
    <cellStyle name="货币 2 3 6 9 3" xfId="18598" xr:uid="{00000000-0005-0000-0000-0000D6480000}"/>
    <cellStyle name="货币 2 3 6 9 4" xfId="18600" xr:uid="{00000000-0005-0000-0000-0000D8480000}"/>
    <cellStyle name="货币 2 3 6 9 5" xfId="18602" xr:uid="{00000000-0005-0000-0000-0000DA480000}"/>
    <cellStyle name="货币 2 3 6 9 6" xfId="18605" xr:uid="{00000000-0005-0000-0000-0000DD480000}"/>
    <cellStyle name="货币 2 3 7" xfId="41158" xr:uid="{00000000-0005-0000-0000-0000F6A00000}"/>
    <cellStyle name="货币 2 3 7 10" xfId="43199" xr:uid="{00000000-0005-0000-0000-0000EFA80000}"/>
    <cellStyle name="货币 2 3 7 10 2" xfId="44874" xr:uid="{00000000-0005-0000-0000-00007AAF0000}"/>
    <cellStyle name="货币 2 3 7 10 3" xfId="44121" xr:uid="{00000000-0005-0000-0000-000089AC0000}"/>
    <cellStyle name="货币 2 3 7 10 4" xfId="44125" xr:uid="{00000000-0005-0000-0000-00008DAC0000}"/>
    <cellStyle name="货币 2 3 7 10 5" xfId="14744" xr:uid="{00000000-0005-0000-0000-0000C8390000}"/>
    <cellStyle name="货币 2 3 7 10 6" xfId="44128" xr:uid="{00000000-0005-0000-0000-000090AC0000}"/>
    <cellStyle name="货币 2 3 7 11" xfId="43201" xr:uid="{00000000-0005-0000-0000-0000F1A80000}"/>
    <cellStyle name="货币 2 3 7 11 2" xfId="44876" xr:uid="{00000000-0005-0000-0000-00007CAF0000}"/>
    <cellStyle name="货币 2 3 7 11 3" xfId="29615" xr:uid="{00000000-0005-0000-0000-0000DF730000}"/>
    <cellStyle name="货币 2 3 7 11 4" xfId="29625" xr:uid="{00000000-0005-0000-0000-0000E9730000}"/>
    <cellStyle name="货币 2 3 7 11 5" xfId="29631" xr:uid="{00000000-0005-0000-0000-0000EF730000}"/>
    <cellStyle name="货币 2 3 7 11 6" xfId="44132" xr:uid="{00000000-0005-0000-0000-000094AC0000}"/>
    <cellStyle name="货币 2 3 7 12" xfId="44877" xr:uid="{00000000-0005-0000-0000-00007DAF0000}"/>
    <cellStyle name="货币 2 3 7 13" xfId="44878" xr:uid="{00000000-0005-0000-0000-00007EAF0000}"/>
    <cellStyle name="货币 2 3 7 14" xfId="7788" xr:uid="{00000000-0005-0000-0000-00009C1E0000}"/>
    <cellStyle name="货币 2 3 7 15" xfId="44880" xr:uid="{00000000-0005-0000-0000-000080AF0000}"/>
    <cellStyle name="货币 2 3 7 16" xfId="44882" xr:uid="{00000000-0005-0000-0000-000082AF0000}"/>
    <cellStyle name="货币 2 3 7 17" xfId="44884" xr:uid="{00000000-0005-0000-0000-000084AF0000}"/>
    <cellStyle name="货币 2 3 7 18" xfId="44312" xr:uid="{00000000-0005-0000-0000-000048AD0000}"/>
    <cellStyle name="货币 2 3 7 19" xfId="44885" xr:uid="{00000000-0005-0000-0000-000085AF0000}"/>
    <cellStyle name="货币 2 3 7 2" xfId="44886" xr:uid="{00000000-0005-0000-0000-000086AF0000}"/>
    <cellStyle name="货币 2 3 7 2 10" xfId="44887" xr:uid="{00000000-0005-0000-0000-000087AF0000}"/>
    <cellStyle name="货币 2 3 7 2 11" xfId="44888" xr:uid="{00000000-0005-0000-0000-000088AF0000}"/>
    <cellStyle name="货币 2 3 7 2 12" xfId="44889" xr:uid="{00000000-0005-0000-0000-000089AF0000}"/>
    <cellStyle name="货币 2 3 7 2 13" xfId="44890" xr:uid="{00000000-0005-0000-0000-00008AAF0000}"/>
    <cellStyle name="货币 2 3 7 2 14" xfId="44891" xr:uid="{00000000-0005-0000-0000-00008BAF0000}"/>
    <cellStyle name="货币 2 3 7 2 15" xfId="44892" xr:uid="{00000000-0005-0000-0000-00008CAF0000}"/>
    <cellStyle name="货币 2 3 7 2 16" xfId="44893" xr:uid="{00000000-0005-0000-0000-00008DAF0000}"/>
    <cellStyle name="货币 2 3 7 2 17" xfId="44894" xr:uid="{00000000-0005-0000-0000-00008EAF0000}"/>
    <cellStyle name="货币 2 3 7 2 18" xfId="44895" xr:uid="{00000000-0005-0000-0000-00008FAF0000}"/>
    <cellStyle name="货币 2 3 7 2 2" xfId="44896" xr:uid="{00000000-0005-0000-0000-000090AF0000}"/>
    <cellStyle name="货币 2 3 7 2 2 10" xfId="27095" xr:uid="{00000000-0005-0000-0000-0000076A0000}"/>
    <cellStyle name="货币 2 3 7 2 2 11" xfId="2382" xr:uid="{00000000-0005-0000-0000-00007E090000}"/>
    <cellStyle name="货币 2 3 7 2 2 12" xfId="7470" xr:uid="{00000000-0005-0000-0000-00005E1D0000}"/>
    <cellStyle name="货币 2 3 7 2 2 2" xfId="44897" xr:uid="{00000000-0005-0000-0000-000091AF0000}"/>
    <cellStyle name="货币 2 3 7 2 2 2 2" xfId="17837" xr:uid="{00000000-0005-0000-0000-0000DD450000}"/>
    <cellStyle name="货币 2 3 7 2 2 2 2 2" xfId="44898" xr:uid="{00000000-0005-0000-0000-000092AF0000}"/>
    <cellStyle name="货币 2 3 7 2 2 2 3" xfId="16134" xr:uid="{00000000-0005-0000-0000-0000363F0000}"/>
    <cellStyle name="货币 2 3 7 2 2 2 4" xfId="16146" xr:uid="{00000000-0005-0000-0000-0000423F0000}"/>
    <cellStyle name="货币 2 3 7 2 2 2 5" xfId="16152" xr:uid="{00000000-0005-0000-0000-0000483F0000}"/>
    <cellStyle name="货币 2 3 7 2 2 3" xfId="44899" xr:uid="{00000000-0005-0000-0000-000093AF0000}"/>
    <cellStyle name="货币 2 3 7 2 2 3 2" xfId="44900" xr:uid="{00000000-0005-0000-0000-000094AF0000}"/>
    <cellStyle name="货币 2 3 7 2 2 4" xfId="44901" xr:uid="{00000000-0005-0000-0000-000095AF0000}"/>
    <cellStyle name="货币 2 3 7 2 2 5" xfId="44902" xr:uid="{00000000-0005-0000-0000-000096AF0000}"/>
    <cellStyle name="货币 2 3 7 2 2 6" xfId="44903" xr:uid="{00000000-0005-0000-0000-000097AF0000}"/>
    <cellStyle name="货币 2 3 7 2 2 7" xfId="44904" xr:uid="{00000000-0005-0000-0000-000098AF0000}"/>
    <cellStyle name="货币 2 3 7 2 2 8" xfId="31848" xr:uid="{00000000-0005-0000-0000-0000987C0000}"/>
    <cellStyle name="货币 2 3 7 2 2 9" xfId="44905" xr:uid="{00000000-0005-0000-0000-000099AF0000}"/>
    <cellStyle name="货币 2 3 7 2 3" xfId="44906" xr:uid="{00000000-0005-0000-0000-00009AAF0000}"/>
    <cellStyle name="货币 2 3 7 2 3 10" xfId="44907" xr:uid="{00000000-0005-0000-0000-00009BAF0000}"/>
    <cellStyle name="货币 2 3 7 2 3 11" xfId="44908" xr:uid="{00000000-0005-0000-0000-00009CAF0000}"/>
    <cellStyle name="货币 2 3 7 2 3 12" xfId="44909" xr:uid="{00000000-0005-0000-0000-00009DAF0000}"/>
    <cellStyle name="货币 2 3 7 2 3 2" xfId="42335" xr:uid="{00000000-0005-0000-0000-00008FA50000}"/>
    <cellStyle name="货币 2 3 7 2 3 2 2" xfId="44910" xr:uid="{00000000-0005-0000-0000-00009EAF0000}"/>
    <cellStyle name="货币 2 3 7 2 3 2 2 2" xfId="44912" xr:uid="{00000000-0005-0000-0000-0000A0AF0000}"/>
    <cellStyle name="货币 2 3 7 2 3 2 3" xfId="16197" xr:uid="{00000000-0005-0000-0000-0000753F0000}"/>
    <cellStyle name="货币 2 3 7 2 3 2 4" xfId="16203" xr:uid="{00000000-0005-0000-0000-00007B3F0000}"/>
    <cellStyle name="货币 2 3 7 2 3 2 5" xfId="16210" xr:uid="{00000000-0005-0000-0000-0000823F0000}"/>
    <cellStyle name="货币 2 3 7 2 3 3" xfId="42337" xr:uid="{00000000-0005-0000-0000-000091A50000}"/>
    <cellStyle name="货币 2 3 7 2 3 3 2" xfId="44914" xr:uid="{00000000-0005-0000-0000-0000A2AF0000}"/>
    <cellStyle name="货币 2 3 7 2 3 4" xfId="42339" xr:uid="{00000000-0005-0000-0000-000093A50000}"/>
    <cellStyle name="货币 2 3 7 2 3 5" xfId="42341" xr:uid="{00000000-0005-0000-0000-000095A50000}"/>
    <cellStyle name="货币 2 3 7 2 3 6" xfId="25633" xr:uid="{00000000-0005-0000-0000-000051640000}"/>
    <cellStyle name="货币 2 3 7 2 3 7" xfId="17135" xr:uid="{00000000-0005-0000-0000-00001F430000}"/>
    <cellStyle name="货币 2 3 7 2 3 8" xfId="42343" xr:uid="{00000000-0005-0000-0000-000097A50000}"/>
    <cellStyle name="货币 2 3 7 2 3 9" xfId="44915" xr:uid="{00000000-0005-0000-0000-0000A3AF0000}"/>
    <cellStyle name="货币 2 3 7 2 4" xfId="44916" xr:uid="{00000000-0005-0000-0000-0000A4AF0000}"/>
    <cellStyle name="货币 2 3 7 2 4 10" xfId="44917" xr:uid="{00000000-0005-0000-0000-0000A5AF0000}"/>
    <cellStyle name="货币 2 3 7 2 4 2" xfId="42347" xr:uid="{00000000-0005-0000-0000-00009BA50000}"/>
    <cellStyle name="货币 2 3 7 2 4 2 2" xfId="44918" xr:uid="{00000000-0005-0000-0000-0000A6AF0000}"/>
    <cellStyle name="货币 2 3 7 2 4 2 2 2" xfId="44920" xr:uid="{00000000-0005-0000-0000-0000A8AF0000}"/>
    <cellStyle name="货币 2 3 7 2 4 2 3" xfId="44921" xr:uid="{00000000-0005-0000-0000-0000A9AF0000}"/>
    <cellStyle name="货币 2 3 7 2 4 2 4" xfId="44922" xr:uid="{00000000-0005-0000-0000-0000AAAF0000}"/>
    <cellStyle name="货币 2 3 7 2 4 2 5" xfId="6394" xr:uid="{00000000-0005-0000-0000-00002A190000}"/>
    <cellStyle name="货币 2 3 7 2 4 3" xfId="42349" xr:uid="{00000000-0005-0000-0000-00009DA50000}"/>
    <cellStyle name="货币 2 3 7 2 4 3 2" xfId="44924" xr:uid="{00000000-0005-0000-0000-0000ACAF0000}"/>
    <cellStyle name="货币 2 3 7 2 4 4" xfId="42351" xr:uid="{00000000-0005-0000-0000-00009FA50000}"/>
    <cellStyle name="货币 2 3 7 2 4 5" xfId="42353" xr:uid="{00000000-0005-0000-0000-0000A1A50000}"/>
    <cellStyle name="货币 2 3 7 2 4 6" xfId="44925" xr:uid="{00000000-0005-0000-0000-0000ADAF0000}"/>
    <cellStyle name="货币 2 3 7 2 4 7" xfId="44926" xr:uid="{00000000-0005-0000-0000-0000AEAF0000}"/>
    <cellStyle name="货币 2 3 7 2 4 8" xfId="44927" xr:uid="{00000000-0005-0000-0000-0000AFAF0000}"/>
    <cellStyle name="货币 2 3 7 2 4 9" xfId="8586" xr:uid="{00000000-0005-0000-0000-0000BA210000}"/>
    <cellStyle name="货币 2 3 7 2 5" xfId="44928" xr:uid="{00000000-0005-0000-0000-0000B0AF0000}"/>
    <cellStyle name="货币 2 3 7 2 5 10" xfId="44929" xr:uid="{00000000-0005-0000-0000-0000B1AF0000}"/>
    <cellStyle name="货币 2 3 7 2 5 2" xfId="33918" xr:uid="{00000000-0005-0000-0000-0000AE840000}"/>
    <cellStyle name="货币 2 3 7 2 5 2 2" xfId="10395" xr:uid="{00000000-0005-0000-0000-0000CB280000}"/>
    <cellStyle name="货币 2 3 7 2 5 2 2 2" xfId="44931" xr:uid="{00000000-0005-0000-0000-0000B3AF0000}"/>
    <cellStyle name="货币 2 3 7 2 5 2 3" xfId="10766" xr:uid="{00000000-0005-0000-0000-00003E2A0000}"/>
    <cellStyle name="货币 2 3 7 2 5 2 4" xfId="11766" xr:uid="{00000000-0005-0000-0000-0000262E0000}"/>
    <cellStyle name="货币 2 3 7 2 5 2 5" xfId="11769" xr:uid="{00000000-0005-0000-0000-0000292E0000}"/>
    <cellStyle name="货币 2 3 7 2 5 3" xfId="42357" xr:uid="{00000000-0005-0000-0000-0000A5A50000}"/>
    <cellStyle name="货币 2 3 7 2 5 3 2" xfId="44933" xr:uid="{00000000-0005-0000-0000-0000B5AF0000}"/>
    <cellStyle name="货币 2 3 7 2 5 4" xfId="42360" xr:uid="{00000000-0005-0000-0000-0000A8A50000}"/>
    <cellStyle name="货币 2 3 7 2 5 5" xfId="42362" xr:uid="{00000000-0005-0000-0000-0000AAA50000}"/>
    <cellStyle name="货币 2 3 7 2 5 6" xfId="44934" xr:uid="{00000000-0005-0000-0000-0000B6AF0000}"/>
    <cellStyle name="货币 2 3 7 2 5 7" xfId="44935" xr:uid="{00000000-0005-0000-0000-0000B7AF0000}"/>
    <cellStyle name="货币 2 3 7 2 5 8" xfId="44936" xr:uid="{00000000-0005-0000-0000-0000B8AF0000}"/>
    <cellStyle name="货币 2 3 7 2 5 9" xfId="44937" xr:uid="{00000000-0005-0000-0000-0000B9AF0000}"/>
    <cellStyle name="货币 2 3 7 2 6" xfId="44938" xr:uid="{00000000-0005-0000-0000-0000BAAF0000}"/>
    <cellStyle name="货币 2 3 7 2 6 2" xfId="42367" xr:uid="{00000000-0005-0000-0000-0000AFA50000}"/>
    <cellStyle name="货币 2 3 7 2 6 2 2" xfId="44939" xr:uid="{00000000-0005-0000-0000-0000BBAF0000}"/>
    <cellStyle name="货币 2 3 7 2 6 3" xfId="42369" xr:uid="{00000000-0005-0000-0000-0000B1A50000}"/>
    <cellStyle name="货币 2 3 7 2 6 4" xfId="42371" xr:uid="{00000000-0005-0000-0000-0000B3A50000}"/>
    <cellStyle name="货币 2 3 7 2 6 5" xfId="42373" xr:uid="{00000000-0005-0000-0000-0000B5A50000}"/>
    <cellStyle name="货币 2 3 7 2 6 6" xfId="44940" xr:uid="{00000000-0005-0000-0000-0000BCAF0000}"/>
    <cellStyle name="货币 2 3 7 2 6 7" xfId="44941" xr:uid="{00000000-0005-0000-0000-0000BDAF0000}"/>
    <cellStyle name="货币 2 3 7 2 6 8" xfId="44942" xr:uid="{00000000-0005-0000-0000-0000BEAF0000}"/>
    <cellStyle name="货币 2 3 7 2 6 9" xfId="44943" xr:uid="{00000000-0005-0000-0000-0000BFAF0000}"/>
    <cellStyle name="货币 2 3 7 2 7" xfId="44944" xr:uid="{00000000-0005-0000-0000-0000C0AF0000}"/>
    <cellStyle name="货币 2 3 7 2 7 2" xfId="42375" xr:uid="{00000000-0005-0000-0000-0000B7A50000}"/>
    <cellStyle name="货币 2 3 7 2 8" xfId="44945" xr:uid="{00000000-0005-0000-0000-0000C1AF0000}"/>
    <cellStyle name="货币 2 3 7 2 9" xfId="44946" xr:uid="{00000000-0005-0000-0000-0000C2AF0000}"/>
    <cellStyle name="货币 2 3 7 20" xfId="44879" xr:uid="{00000000-0005-0000-0000-00007FAF0000}"/>
    <cellStyle name="货币 2 3 7 21" xfId="44881" xr:uid="{00000000-0005-0000-0000-000081AF0000}"/>
    <cellStyle name="货币 2 3 7 22" xfId="44883" xr:uid="{00000000-0005-0000-0000-000083AF0000}"/>
    <cellStyle name="货币 2 3 7 23" xfId="44311" xr:uid="{00000000-0005-0000-0000-000047AD0000}"/>
    <cellStyle name="货币 2 3 7 3" xfId="44947" xr:uid="{00000000-0005-0000-0000-0000C3AF0000}"/>
    <cellStyle name="货币 2 3 7 3 10" xfId="44948" xr:uid="{00000000-0005-0000-0000-0000C4AF0000}"/>
    <cellStyle name="货币 2 3 7 3 11" xfId="44949" xr:uid="{00000000-0005-0000-0000-0000C5AF0000}"/>
    <cellStyle name="货币 2 3 7 3 12" xfId="44950" xr:uid="{00000000-0005-0000-0000-0000C6AF0000}"/>
    <cellStyle name="货币 2 3 7 3 13" xfId="44951" xr:uid="{00000000-0005-0000-0000-0000C7AF0000}"/>
    <cellStyle name="货币 2 3 7 3 14" xfId="44952" xr:uid="{00000000-0005-0000-0000-0000C8AF0000}"/>
    <cellStyle name="货币 2 3 7 3 15" xfId="44953" xr:uid="{00000000-0005-0000-0000-0000C9AF0000}"/>
    <cellStyle name="货币 2 3 7 3 16" xfId="44954" xr:uid="{00000000-0005-0000-0000-0000CAAF0000}"/>
    <cellStyle name="货币 2 3 7 3 17" xfId="44955" xr:uid="{00000000-0005-0000-0000-0000CBAF0000}"/>
    <cellStyle name="货币 2 3 7 3 18" xfId="44956" xr:uid="{00000000-0005-0000-0000-0000CCAF0000}"/>
    <cellStyle name="货币 2 3 7 3 2" xfId="37994" xr:uid="{00000000-0005-0000-0000-00009A940000}"/>
    <cellStyle name="货币 2 3 7 3 2 10" xfId="34973" xr:uid="{00000000-0005-0000-0000-0000CD880000}"/>
    <cellStyle name="货币 2 3 7 3 2 2" xfId="44957" xr:uid="{00000000-0005-0000-0000-0000CDAF0000}"/>
    <cellStyle name="货币 2 3 7 3 2 2 2" xfId="13129" xr:uid="{00000000-0005-0000-0000-000079330000}"/>
    <cellStyle name="货币 2 3 7 3 2 3" xfId="44958" xr:uid="{00000000-0005-0000-0000-0000CEAF0000}"/>
    <cellStyle name="货币 2 3 7 3 2 4" xfId="44959" xr:uid="{00000000-0005-0000-0000-0000CFAF0000}"/>
    <cellStyle name="货币 2 3 7 3 2 5" xfId="44960" xr:uid="{00000000-0005-0000-0000-0000D0AF0000}"/>
    <cellStyle name="货币 2 3 7 3 2 6" xfId="44961" xr:uid="{00000000-0005-0000-0000-0000D1AF0000}"/>
    <cellStyle name="货币 2 3 7 3 2 7" xfId="44962" xr:uid="{00000000-0005-0000-0000-0000D2AF0000}"/>
    <cellStyle name="货币 2 3 7 3 2 8" xfId="31854" xr:uid="{00000000-0005-0000-0000-00009E7C0000}"/>
    <cellStyle name="货币 2 3 7 3 2 9" xfId="44963" xr:uid="{00000000-0005-0000-0000-0000D3AF0000}"/>
    <cellStyle name="货币 2 3 7 3 3" xfId="37996" xr:uid="{00000000-0005-0000-0000-00009C940000}"/>
    <cellStyle name="货币 2 3 7 3 3 2" xfId="31731" xr:uid="{00000000-0005-0000-0000-0000237C0000}"/>
    <cellStyle name="货币 2 3 7 3 3 3" xfId="31735" xr:uid="{00000000-0005-0000-0000-0000277C0000}"/>
    <cellStyle name="货币 2 3 7 3 3 4" xfId="42388" xr:uid="{00000000-0005-0000-0000-0000C4A50000}"/>
    <cellStyle name="货币 2 3 7 3 3 5" xfId="42390" xr:uid="{00000000-0005-0000-0000-0000C6A50000}"/>
    <cellStyle name="货币 2 3 7 3 3 6" xfId="42392" xr:uid="{00000000-0005-0000-0000-0000C8A50000}"/>
    <cellStyle name="货币 2 3 7 3 4" xfId="44964" xr:uid="{00000000-0005-0000-0000-0000D4AF0000}"/>
    <cellStyle name="货币 2 3 7 3 4 2" xfId="42398" xr:uid="{00000000-0005-0000-0000-0000CEA50000}"/>
    <cellStyle name="货币 2 3 7 3 4 3" xfId="42400" xr:uid="{00000000-0005-0000-0000-0000D0A50000}"/>
    <cellStyle name="货币 2 3 7 3 4 4" xfId="42402" xr:uid="{00000000-0005-0000-0000-0000D2A50000}"/>
    <cellStyle name="货币 2 3 7 3 4 5" xfId="42404" xr:uid="{00000000-0005-0000-0000-0000D4A50000}"/>
    <cellStyle name="货币 2 3 7 3 4 6" xfId="44965" xr:uid="{00000000-0005-0000-0000-0000D5AF0000}"/>
    <cellStyle name="货币 2 3 7 3 5" xfId="44966" xr:uid="{00000000-0005-0000-0000-0000D6AF0000}"/>
    <cellStyle name="货币 2 3 7 3 5 2" xfId="29644" xr:uid="{00000000-0005-0000-0000-0000FC730000}"/>
    <cellStyle name="货币 2 3 7 3 5 3" xfId="29647" xr:uid="{00000000-0005-0000-0000-0000FF730000}"/>
    <cellStyle name="货币 2 3 7 3 5 4" xfId="29649" xr:uid="{00000000-0005-0000-0000-000001740000}"/>
    <cellStyle name="货币 2 3 7 3 5 5" xfId="29651" xr:uid="{00000000-0005-0000-0000-000003740000}"/>
    <cellStyle name="货币 2 3 7 3 5 6" xfId="44967" xr:uid="{00000000-0005-0000-0000-0000D7AF0000}"/>
    <cellStyle name="货币 2 3 7 3 6" xfId="44968" xr:uid="{00000000-0005-0000-0000-0000D8AF0000}"/>
    <cellStyle name="货币 2 3 7 3 6 2" xfId="44969" xr:uid="{00000000-0005-0000-0000-0000D9AF0000}"/>
    <cellStyle name="货币 2 3 7 3 6 3" xfId="44970" xr:uid="{00000000-0005-0000-0000-0000DAAF0000}"/>
    <cellStyle name="货币 2 3 7 3 6 4" xfId="44971" xr:uid="{00000000-0005-0000-0000-0000DBAF0000}"/>
    <cellStyle name="货币 2 3 7 3 6 5" xfId="44972" xr:uid="{00000000-0005-0000-0000-0000DCAF0000}"/>
    <cellStyle name="货币 2 3 7 3 6 6" xfId="44973" xr:uid="{00000000-0005-0000-0000-0000DDAF0000}"/>
    <cellStyle name="货币 2 3 7 3 7" xfId="44974" xr:uid="{00000000-0005-0000-0000-0000DEAF0000}"/>
    <cellStyle name="货币 2 3 7 3 8" xfId="44975" xr:uid="{00000000-0005-0000-0000-0000DFAF0000}"/>
    <cellStyle name="货币 2 3 7 3 9" xfId="44976" xr:uid="{00000000-0005-0000-0000-0000E0AF0000}"/>
    <cellStyle name="货币 2 3 7 4" xfId="44977" xr:uid="{00000000-0005-0000-0000-0000E1AF0000}"/>
    <cellStyle name="货币 2 3 7 4 10" xfId="44979" xr:uid="{00000000-0005-0000-0000-0000E3AF0000}"/>
    <cellStyle name="货币 2 3 7 4 11" xfId="9160" xr:uid="{00000000-0005-0000-0000-0000F8230000}"/>
    <cellStyle name="货币 2 3 7 4 12" xfId="9399" xr:uid="{00000000-0005-0000-0000-0000E7240000}"/>
    <cellStyle name="货币 2 3 7 4 13" xfId="9588" xr:uid="{00000000-0005-0000-0000-0000A4250000}"/>
    <cellStyle name="货币 2 3 7 4 14" xfId="9718" xr:uid="{00000000-0005-0000-0000-000026260000}"/>
    <cellStyle name="货币 2 3 7 4 15" xfId="4601" xr:uid="{00000000-0005-0000-0000-000029120000}"/>
    <cellStyle name="货币 2 3 7 4 2" xfId="44980" xr:uid="{00000000-0005-0000-0000-0000E4AF0000}"/>
    <cellStyle name="货币 2 3 7 4 2 2" xfId="44981" xr:uid="{00000000-0005-0000-0000-0000E5AF0000}"/>
    <cellStyle name="货币 2 3 7 4 2 2 2" xfId="7385" xr:uid="{00000000-0005-0000-0000-0000091D0000}"/>
    <cellStyle name="货币 2 3 7 4 2 3" xfId="44982" xr:uid="{00000000-0005-0000-0000-0000E6AF0000}"/>
    <cellStyle name="货币 2 3 7 4 2 4" xfId="44983" xr:uid="{00000000-0005-0000-0000-0000E7AF0000}"/>
    <cellStyle name="货币 2 3 7 4 2 5" xfId="44984" xr:uid="{00000000-0005-0000-0000-0000E8AF0000}"/>
    <cellStyle name="货币 2 3 7 4 2 6" xfId="35293" xr:uid="{00000000-0005-0000-0000-00000D8A0000}"/>
    <cellStyle name="货币 2 3 7 4 2 7" xfId="35305" xr:uid="{00000000-0005-0000-0000-0000198A0000}"/>
    <cellStyle name="货币 2 3 7 4 2 8" xfId="35309" xr:uid="{00000000-0005-0000-0000-00001D8A0000}"/>
    <cellStyle name="货币 2 3 7 4 2 9" xfId="35311" xr:uid="{00000000-0005-0000-0000-00001F8A0000}"/>
    <cellStyle name="货币 2 3 7 4 3" xfId="44985" xr:uid="{00000000-0005-0000-0000-0000E9AF0000}"/>
    <cellStyle name="货币 2 3 7 4 3 2" xfId="42412" xr:uid="{00000000-0005-0000-0000-0000DCA50000}"/>
    <cellStyle name="货币 2 3 7 4 3 3" xfId="42414" xr:uid="{00000000-0005-0000-0000-0000DEA50000}"/>
    <cellStyle name="货币 2 3 7 4 3 4" xfId="42416" xr:uid="{00000000-0005-0000-0000-0000E0A50000}"/>
    <cellStyle name="货币 2 3 7 4 3 5" xfId="42418" xr:uid="{00000000-0005-0000-0000-0000E2A50000}"/>
    <cellStyle name="货币 2 3 7 4 3 6" xfId="35314" xr:uid="{00000000-0005-0000-0000-0000228A0000}"/>
    <cellStyle name="货币 2 3 7 4 4" xfId="44986" xr:uid="{00000000-0005-0000-0000-0000EAAF0000}"/>
    <cellStyle name="货币 2 3 7 4 4 2" xfId="42422" xr:uid="{00000000-0005-0000-0000-0000E6A50000}"/>
    <cellStyle name="货币 2 3 7 4 5" xfId="44987" xr:uid="{00000000-0005-0000-0000-0000EBAF0000}"/>
    <cellStyle name="货币 2 3 7 4 6" xfId="44988" xr:uid="{00000000-0005-0000-0000-0000ECAF0000}"/>
    <cellStyle name="货币 2 3 7 4 7" xfId="44989" xr:uid="{00000000-0005-0000-0000-0000EDAF0000}"/>
    <cellStyle name="货币 2 3 7 4 8" xfId="44990" xr:uid="{00000000-0005-0000-0000-0000EEAF0000}"/>
    <cellStyle name="货币 2 3 7 4 9" xfId="44991" xr:uid="{00000000-0005-0000-0000-0000EFAF0000}"/>
    <cellStyle name="货币 2 3 7 5" xfId="44992" xr:uid="{00000000-0005-0000-0000-0000F0AF0000}"/>
    <cellStyle name="货币 2 3 7 5 10" xfId="94" xr:uid="{00000000-0005-0000-0000-000065000000}"/>
    <cellStyle name="货币 2 3 7 5 11" xfId="3878" xr:uid="{00000000-0005-0000-0000-0000560F0000}"/>
    <cellStyle name="货币 2 3 7 5 12" xfId="10892" xr:uid="{00000000-0005-0000-0000-0000BC2A0000}"/>
    <cellStyle name="货币 2 3 7 5 13" xfId="10925" xr:uid="{00000000-0005-0000-0000-0000DD2A0000}"/>
    <cellStyle name="货币 2 3 7 5 2" xfId="44993" xr:uid="{00000000-0005-0000-0000-0000F1AF0000}"/>
    <cellStyle name="货币 2 3 7 5 2 2" xfId="36259" xr:uid="{00000000-0005-0000-0000-0000D38D0000}"/>
    <cellStyle name="货币 2 3 7 5 2 2 2" xfId="3801" xr:uid="{00000000-0005-0000-0000-0000090F0000}"/>
    <cellStyle name="货币 2 3 7 5 2 3" xfId="43310" xr:uid="{00000000-0005-0000-0000-00005EA90000}"/>
    <cellStyle name="货币 2 3 7 5 2 4" xfId="32430" xr:uid="{00000000-0005-0000-0000-0000DE7E0000}"/>
    <cellStyle name="货币 2 3 7 5 2 5" xfId="43312" xr:uid="{00000000-0005-0000-0000-000060A90000}"/>
    <cellStyle name="货币 2 3 7 5 2 6" xfId="35362" xr:uid="{00000000-0005-0000-0000-0000528A0000}"/>
    <cellStyle name="货币 2 3 7 5 2 7" xfId="28596" xr:uid="{00000000-0005-0000-0000-0000E46F0000}"/>
    <cellStyle name="货币 2 3 7 5 2 8" xfId="28600" xr:uid="{00000000-0005-0000-0000-0000E86F0000}"/>
    <cellStyle name="货币 2 3 7 5 2 9" xfId="28604" xr:uid="{00000000-0005-0000-0000-0000EC6F0000}"/>
    <cellStyle name="货币 2 3 7 5 3" xfId="44994" xr:uid="{00000000-0005-0000-0000-0000F2AF0000}"/>
    <cellStyle name="货币 2 3 7 5 3 2" xfId="42436" xr:uid="{00000000-0005-0000-0000-0000F4A50000}"/>
    <cellStyle name="货币 2 3 7 5 3 3" xfId="42438" xr:uid="{00000000-0005-0000-0000-0000F6A50000}"/>
    <cellStyle name="货币 2 3 7 5 3 4" xfId="35904" xr:uid="{00000000-0005-0000-0000-0000708C0000}"/>
    <cellStyle name="货币 2 3 7 5 3 5" xfId="35907" xr:uid="{00000000-0005-0000-0000-0000738C0000}"/>
    <cellStyle name="货币 2 3 7 5 3 6" xfId="35365" xr:uid="{00000000-0005-0000-0000-0000558A0000}"/>
    <cellStyle name="货币 2 3 7 5 4" xfId="44995" xr:uid="{00000000-0005-0000-0000-0000F3AF0000}"/>
    <cellStyle name="货币 2 3 7 5 4 2" xfId="42442" xr:uid="{00000000-0005-0000-0000-0000FAA50000}"/>
    <cellStyle name="货币 2 3 7 5 5" xfId="44996" xr:uid="{00000000-0005-0000-0000-0000F4AF0000}"/>
    <cellStyle name="货币 2 3 7 5 6" xfId="44997" xr:uid="{00000000-0005-0000-0000-0000F5AF0000}"/>
    <cellStyle name="货币 2 3 7 5 7" xfId="44998" xr:uid="{00000000-0005-0000-0000-0000F6AF0000}"/>
    <cellStyle name="货币 2 3 7 5 8" xfId="44999" xr:uid="{00000000-0005-0000-0000-0000F7AF0000}"/>
    <cellStyle name="货币 2 3 7 5 9" xfId="45000" xr:uid="{00000000-0005-0000-0000-0000F8AF0000}"/>
    <cellStyle name="货币 2 3 7 6" xfId="45001" xr:uid="{00000000-0005-0000-0000-0000F9AF0000}"/>
    <cellStyle name="货币 2 3 7 6 10" xfId="45003" xr:uid="{00000000-0005-0000-0000-0000FBAF0000}"/>
    <cellStyle name="货币 2 3 7 6 11" xfId="45005" xr:uid="{00000000-0005-0000-0000-0000FDAF0000}"/>
    <cellStyle name="货币 2 3 7 6 12" xfId="45007" xr:uid="{00000000-0005-0000-0000-0000FFAF0000}"/>
    <cellStyle name="货币 2 3 7 6 2" xfId="45008" xr:uid="{00000000-0005-0000-0000-000000B00000}"/>
    <cellStyle name="货币 2 3 7 6 2 2" xfId="45009" xr:uid="{00000000-0005-0000-0000-000001B00000}"/>
    <cellStyle name="货币 2 3 7 6 2 2 2" xfId="7513" xr:uid="{00000000-0005-0000-0000-0000891D0000}"/>
    <cellStyle name="货币 2 3 7 6 2 3" xfId="45010" xr:uid="{00000000-0005-0000-0000-000002B00000}"/>
    <cellStyle name="货币 2 3 7 6 2 4" xfId="45011" xr:uid="{00000000-0005-0000-0000-000003B00000}"/>
    <cellStyle name="货币 2 3 7 6 2 5" xfId="45012" xr:uid="{00000000-0005-0000-0000-000004B00000}"/>
    <cellStyle name="货币 2 3 7 6 2 6" xfId="1221" xr:uid="{00000000-0005-0000-0000-0000F5040000}"/>
    <cellStyle name="货币 2 3 7 6 2 7" xfId="35402" xr:uid="{00000000-0005-0000-0000-00007A8A0000}"/>
    <cellStyle name="货币 2 3 7 6 2 8" xfId="35404" xr:uid="{00000000-0005-0000-0000-00007C8A0000}"/>
    <cellStyle name="货币 2 3 7 6 2 9" xfId="35406" xr:uid="{00000000-0005-0000-0000-00007E8A0000}"/>
    <cellStyle name="货币 2 3 7 6 3" xfId="45013" xr:uid="{00000000-0005-0000-0000-000005B00000}"/>
    <cellStyle name="货币 2 3 7 6 3 2" xfId="45014" xr:uid="{00000000-0005-0000-0000-000006B00000}"/>
    <cellStyle name="货币 2 3 7 6 3 3" xfId="45015" xr:uid="{00000000-0005-0000-0000-000007B00000}"/>
    <cellStyle name="货币 2 3 7 6 3 4" xfId="45016" xr:uid="{00000000-0005-0000-0000-000008B00000}"/>
    <cellStyle name="货币 2 3 7 6 3 5" xfId="45017" xr:uid="{00000000-0005-0000-0000-000009B00000}"/>
    <cellStyle name="货币 2 3 7 6 3 6" xfId="604" xr:uid="{00000000-0005-0000-0000-000085020000}"/>
    <cellStyle name="货币 2 3 7 6 4" xfId="45018" xr:uid="{00000000-0005-0000-0000-00000AB00000}"/>
    <cellStyle name="货币 2 3 7 6 4 2" xfId="45019" xr:uid="{00000000-0005-0000-0000-00000BB00000}"/>
    <cellStyle name="货币 2 3 7 6 5" xfId="45020" xr:uid="{00000000-0005-0000-0000-00000CB00000}"/>
    <cellStyle name="货币 2 3 7 6 6" xfId="45021" xr:uid="{00000000-0005-0000-0000-00000DB00000}"/>
    <cellStyle name="货币 2 3 7 6 7" xfId="45022" xr:uid="{00000000-0005-0000-0000-00000EB00000}"/>
    <cellStyle name="货币 2 3 7 6 8" xfId="45023" xr:uid="{00000000-0005-0000-0000-00000FB00000}"/>
    <cellStyle name="货币 2 3 7 6 9" xfId="45024" xr:uid="{00000000-0005-0000-0000-000010B00000}"/>
    <cellStyle name="货币 2 3 7 7" xfId="45025" xr:uid="{00000000-0005-0000-0000-000011B00000}"/>
    <cellStyle name="货币 2 3 7 7 2" xfId="334" xr:uid="{00000000-0005-0000-0000-000064010000}"/>
    <cellStyle name="货币 2 3 7 7 2 2" xfId="18850" xr:uid="{00000000-0005-0000-0000-0000D2490000}"/>
    <cellStyle name="货币 2 3 7 7 3" xfId="12675" xr:uid="{00000000-0005-0000-0000-0000B3310000}"/>
    <cellStyle name="货币 2 3 7 7 4" xfId="12685" xr:uid="{00000000-0005-0000-0000-0000BD310000}"/>
    <cellStyle name="货币 2 3 7 7 5" xfId="18898" xr:uid="{00000000-0005-0000-0000-0000024A0000}"/>
    <cellStyle name="货币 2 3 7 7 6" xfId="18900" xr:uid="{00000000-0005-0000-0000-0000044A0000}"/>
    <cellStyle name="货币 2 3 7 7 7" xfId="45026" xr:uid="{00000000-0005-0000-0000-000012B00000}"/>
    <cellStyle name="货币 2 3 7 7 8" xfId="45027" xr:uid="{00000000-0005-0000-0000-000013B00000}"/>
    <cellStyle name="货币 2 3 7 7 9" xfId="45028" xr:uid="{00000000-0005-0000-0000-000014B00000}"/>
    <cellStyle name="货币 2 3 7 8" xfId="45029" xr:uid="{00000000-0005-0000-0000-000015B00000}"/>
    <cellStyle name="货币 2 3 7 8 2" xfId="4072" xr:uid="{00000000-0005-0000-0000-000018100000}"/>
    <cellStyle name="货币 2 3 7 8 3" xfId="12696" xr:uid="{00000000-0005-0000-0000-0000C8310000}"/>
    <cellStyle name="货币 2 3 7 8 4" xfId="12699" xr:uid="{00000000-0005-0000-0000-0000CB310000}"/>
    <cellStyle name="货币 2 3 7 8 5" xfId="14837" xr:uid="{00000000-0005-0000-0000-0000253A0000}"/>
    <cellStyle name="货币 2 3 7 8 6" xfId="14844" xr:uid="{00000000-0005-0000-0000-00002C3A0000}"/>
    <cellStyle name="货币 2 3 7 9" xfId="45030" xr:uid="{00000000-0005-0000-0000-000016B00000}"/>
    <cellStyle name="货币 2 3 7 9 2" xfId="3785" xr:uid="{00000000-0005-0000-0000-0000F90E0000}"/>
    <cellStyle name="货币 2 3 7 9 3" xfId="19020" xr:uid="{00000000-0005-0000-0000-00007C4A0000}"/>
    <cellStyle name="货币 2 3 7 9 4" xfId="19022" xr:uid="{00000000-0005-0000-0000-00007E4A0000}"/>
    <cellStyle name="货币 2 3 7 9 5" xfId="19024" xr:uid="{00000000-0005-0000-0000-0000804A0000}"/>
    <cellStyle name="货币 2 3 7 9 6" xfId="7660" xr:uid="{00000000-0005-0000-0000-00001C1E0000}"/>
    <cellStyle name="货币 2 3 8" xfId="45031" xr:uid="{00000000-0005-0000-0000-000017B00000}"/>
    <cellStyle name="货币 2 3 8 10" xfId="43213" xr:uid="{00000000-0005-0000-0000-0000FDA80000}"/>
    <cellStyle name="货币 2 3 8 10 2" xfId="45032" xr:uid="{00000000-0005-0000-0000-000018B00000}"/>
    <cellStyle name="货币 2 3 8 10 3" xfId="45033" xr:uid="{00000000-0005-0000-0000-000019B00000}"/>
    <cellStyle name="货币 2 3 8 10 4" xfId="45034" xr:uid="{00000000-0005-0000-0000-00001AB00000}"/>
    <cellStyle name="货币 2 3 8 10 5" xfId="45035" xr:uid="{00000000-0005-0000-0000-00001BB00000}"/>
    <cellStyle name="货币 2 3 8 10 6" xfId="45036" xr:uid="{00000000-0005-0000-0000-00001CB00000}"/>
    <cellStyle name="货币 2 3 8 11" xfId="43215" xr:uid="{00000000-0005-0000-0000-0000FFA80000}"/>
    <cellStyle name="货币 2 3 8 11 2" xfId="45038" xr:uid="{00000000-0005-0000-0000-00001EB00000}"/>
    <cellStyle name="货币 2 3 8 11 3" xfId="45040" xr:uid="{00000000-0005-0000-0000-000020B00000}"/>
    <cellStyle name="货币 2 3 8 11 4" xfId="45042" xr:uid="{00000000-0005-0000-0000-000022B00000}"/>
    <cellStyle name="货币 2 3 8 11 5" xfId="45044" xr:uid="{00000000-0005-0000-0000-000024B00000}"/>
    <cellStyle name="货币 2 3 8 11 6" xfId="45046" xr:uid="{00000000-0005-0000-0000-000026B00000}"/>
    <cellStyle name="货币 2 3 8 12" xfId="45047" xr:uid="{00000000-0005-0000-0000-000027B00000}"/>
    <cellStyle name="货币 2 3 8 13" xfId="45049" xr:uid="{00000000-0005-0000-0000-000029B00000}"/>
    <cellStyle name="货币 2 3 8 14" xfId="10752" xr:uid="{00000000-0005-0000-0000-0000302A0000}"/>
    <cellStyle name="货币 2 3 8 15" xfId="10758" xr:uid="{00000000-0005-0000-0000-0000362A0000}"/>
    <cellStyle name="货币 2 3 8 16" xfId="11537" xr:uid="{00000000-0005-0000-0000-0000412D0000}"/>
    <cellStyle name="货币 2 3 8 17" xfId="11540" xr:uid="{00000000-0005-0000-0000-0000442D0000}"/>
    <cellStyle name="货币 2 3 8 18" xfId="5467" xr:uid="{00000000-0005-0000-0000-00008B150000}"/>
    <cellStyle name="货币 2 3 8 19" xfId="11542" xr:uid="{00000000-0005-0000-0000-0000462D0000}"/>
    <cellStyle name="货币 2 3 8 2" xfId="32117" xr:uid="{00000000-0005-0000-0000-0000A57D0000}"/>
    <cellStyle name="货币 2 3 8 2 10" xfId="5295" xr:uid="{00000000-0005-0000-0000-0000DF140000}"/>
    <cellStyle name="货币 2 3 8 2 11" xfId="9232" xr:uid="{00000000-0005-0000-0000-000040240000}"/>
    <cellStyle name="货币 2 3 8 2 12" xfId="10754" xr:uid="{00000000-0005-0000-0000-0000322A0000}"/>
    <cellStyle name="货币 2 3 8 2 13" xfId="10760" xr:uid="{00000000-0005-0000-0000-0000382A0000}"/>
    <cellStyle name="货币 2 3 8 2 14" xfId="45050" xr:uid="{00000000-0005-0000-0000-00002AB00000}"/>
    <cellStyle name="货币 2 3 8 2 15" xfId="45051" xr:uid="{00000000-0005-0000-0000-00002BB00000}"/>
    <cellStyle name="货币 2 3 8 2 16" xfId="45052" xr:uid="{00000000-0005-0000-0000-00002CB00000}"/>
    <cellStyle name="货币 2 3 8 2 17" xfId="45053" xr:uid="{00000000-0005-0000-0000-00002DB00000}"/>
    <cellStyle name="货币 2 3 8 2 18" xfId="45054" xr:uid="{00000000-0005-0000-0000-00002EB00000}"/>
    <cellStyle name="货币 2 3 8 2 2" xfId="9528" xr:uid="{00000000-0005-0000-0000-000068250000}"/>
    <cellStyle name="货币 2 3 8 2 2 10" xfId="45055" xr:uid="{00000000-0005-0000-0000-00002FB00000}"/>
    <cellStyle name="货币 2 3 8 2 2 11" xfId="45056" xr:uid="{00000000-0005-0000-0000-000030B00000}"/>
    <cellStyle name="货币 2 3 8 2 2 12" xfId="11559" xr:uid="{00000000-0005-0000-0000-0000572D0000}"/>
    <cellStyle name="货币 2 3 8 2 2 2" xfId="32119" xr:uid="{00000000-0005-0000-0000-0000A77D0000}"/>
    <cellStyle name="货币 2 3 8 2 2 2 2" xfId="45057" xr:uid="{00000000-0005-0000-0000-000031B00000}"/>
    <cellStyle name="货币 2 3 8 2 2 2 2 2" xfId="45058" xr:uid="{00000000-0005-0000-0000-000032B00000}"/>
    <cellStyle name="货币 2 3 8 2 2 2 3" xfId="45059" xr:uid="{00000000-0005-0000-0000-000033B00000}"/>
    <cellStyle name="货币 2 3 8 2 2 2 4" xfId="45060" xr:uid="{00000000-0005-0000-0000-000034B00000}"/>
    <cellStyle name="货币 2 3 8 2 2 2 5" xfId="3209" xr:uid="{00000000-0005-0000-0000-0000B90C0000}"/>
    <cellStyle name="货币 2 3 8 2 2 3" xfId="45061" xr:uid="{00000000-0005-0000-0000-000035B00000}"/>
    <cellStyle name="货币 2 3 8 2 2 3 2" xfId="45062" xr:uid="{00000000-0005-0000-0000-000036B00000}"/>
    <cellStyle name="货币 2 3 8 2 2 4" xfId="45063" xr:uid="{00000000-0005-0000-0000-000037B00000}"/>
    <cellStyle name="货币 2 3 8 2 2 5" xfId="45064" xr:uid="{00000000-0005-0000-0000-000038B00000}"/>
    <cellStyle name="货币 2 3 8 2 2 6" xfId="45065" xr:uid="{00000000-0005-0000-0000-000039B00000}"/>
    <cellStyle name="货币 2 3 8 2 2 7" xfId="45066" xr:uid="{00000000-0005-0000-0000-00003AB00000}"/>
    <cellStyle name="货币 2 3 8 2 2 8" xfId="45067" xr:uid="{00000000-0005-0000-0000-00003BB00000}"/>
    <cellStyle name="货币 2 3 8 2 2 9" xfId="11148" xr:uid="{00000000-0005-0000-0000-0000BC2B0000}"/>
    <cellStyle name="货币 2 3 8 2 3" xfId="13992" xr:uid="{00000000-0005-0000-0000-0000D8360000}"/>
    <cellStyle name="货币 2 3 8 2 3 10" xfId="12679" xr:uid="{00000000-0005-0000-0000-0000B7310000}"/>
    <cellStyle name="货币 2 3 8 2 3 11" xfId="14494" xr:uid="{00000000-0005-0000-0000-0000CE380000}"/>
    <cellStyle name="货币 2 3 8 2 3 12" xfId="39846" xr:uid="{00000000-0005-0000-0000-0000D69B0000}"/>
    <cellStyle name="货币 2 3 8 2 3 2" xfId="42536" xr:uid="{00000000-0005-0000-0000-000058A60000}"/>
    <cellStyle name="货币 2 3 8 2 3 2 2" xfId="38241" xr:uid="{00000000-0005-0000-0000-000091950000}"/>
    <cellStyle name="货币 2 3 8 2 3 2 2 2" xfId="45068" xr:uid="{00000000-0005-0000-0000-00003CB00000}"/>
    <cellStyle name="货币 2 3 8 2 3 2 3" xfId="16777" xr:uid="{00000000-0005-0000-0000-0000B9410000}"/>
    <cellStyle name="货币 2 3 8 2 3 2 4" xfId="16792" xr:uid="{00000000-0005-0000-0000-0000C8410000}"/>
    <cellStyle name="货币 2 3 8 2 3 2 5" xfId="16803" xr:uid="{00000000-0005-0000-0000-0000D3410000}"/>
    <cellStyle name="货币 2 3 8 2 3 3" xfId="42538" xr:uid="{00000000-0005-0000-0000-00005AA60000}"/>
    <cellStyle name="货币 2 3 8 2 3 3 2" xfId="38250" xr:uid="{00000000-0005-0000-0000-00009A950000}"/>
    <cellStyle name="货币 2 3 8 2 3 4" xfId="21123" xr:uid="{00000000-0005-0000-0000-0000B3520000}"/>
    <cellStyle name="货币 2 3 8 2 3 5" xfId="21129" xr:uid="{00000000-0005-0000-0000-0000B9520000}"/>
    <cellStyle name="货币 2 3 8 2 3 6" xfId="21132" xr:uid="{00000000-0005-0000-0000-0000BC520000}"/>
    <cellStyle name="货币 2 3 8 2 3 7" xfId="21135" xr:uid="{00000000-0005-0000-0000-0000BF520000}"/>
    <cellStyle name="货币 2 3 8 2 3 8" xfId="21138" xr:uid="{00000000-0005-0000-0000-0000C2520000}"/>
    <cellStyle name="货币 2 3 8 2 3 9" xfId="21142" xr:uid="{00000000-0005-0000-0000-0000C6520000}"/>
    <cellStyle name="货币 2 3 8 2 4" xfId="32121" xr:uid="{00000000-0005-0000-0000-0000A97D0000}"/>
    <cellStyle name="货币 2 3 8 2 4 10" xfId="45069" xr:uid="{00000000-0005-0000-0000-00003DB00000}"/>
    <cellStyle name="货币 2 3 8 2 4 2" xfId="42542" xr:uid="{00000000-0005-0000-0000-00005EA60000}"/>
    <cellStyle name="货币 2 3 8 2 4 2 2" xfId="38343" xr:uid="{00000000-0005-0000-0000-0000F7950000}"/>
    <cellStyle name="货币 2 3 8 2 4 2 2 2" xfId="42688" xr:uid="{00000000-0005-0000-0000-0000F0A60000}"/>
    <cellStyle name="货币 2 3 8 2 4 2 3" xfId="38345" xr:uid="{00000000-0005-0000-0000-0000F9950000}"/>
    <cellStyle name="货币 2 3 8 2 4 2 4" xfId="28824" xr:uid="{00000000-0005-0000-0000-0000C8700000}"/>
    <cellStyle name="货币 2 3 8 2 4 2 5" xfId="28154" xr:uid="{00000000-0005-0000-0000-00002A6E0000}"/>
    <cellStyle name="货币 2 3 8 2 4 3" xfId="42544" xr:uid="{00000000-0005-0000-0000-000060A60000}"/>
    <cellStyle name="货币 2 3 8 2 4 3 2" xfId="38350" xr:uid="{00000000-0005-0000-0000-0000FE950000}"/>
    <cellStyle name="货币 2 3 8 2 4 4" xfId="19168" xr:uid="{00000000-0005-0000-0000-0000104B0000}"/>
    <cellStyle name="货币 2 3 8 2 4 5" xfId="19173" xr:uid="{00000000-0005-0000-0000-0000154B0000}"/>
    <cellStyle name="货币 2 3 8 2 4 6" xfId="19178" xr:uid="{00000000-0005-0000-0000-00001A4B0000}"/>
    <cellStyle name="货币 2 3 8 2 4 7" xfId="21147" xr:uid="{00000000-0005-0000-0000-0000CB520000}"/>
    <cellStyle name="货币 2 3 8 2 4 8" xfId="21149" xr:uid="{00000000-0005-0000-0000-0000CD520000}"/>
    <cellStyle name="货币 2 3 8 2 4 9" xfId="11083" xr:uid="{00000000-0005-0000-0000-00007B2B0000}"/>
    <cellStyle name="货币 2 3 8 2 5" xfId="45070" xr:uid="{00000000-0005-0000-0000-00003EB00000}"/>
    <cellStyle name="货币 2 3 8 2 5 10" xfId="45072" xr:uid="{00000000-0005-0000-0000-000040B00000}"/>
    <cellStyle name="货币 2 3 8 2 5 2" xfId="42548" xr:uid="{00000000-0005-0000-0000-000064A60000}"/>
    <cellStyle name="货币 2 3 8 2 5 2 2" xfId="38483" xr:uid="{00000000-0005-0000-0000-000083960000}"/>
    <cellStyle name="货币 2 3 8 2 5 2 2 2" xfId="8507" xr:uid="{00000000-0005-0000-0000-00006B210000}"/>
    <cellStyle name="货币 2 3 8 2 5 2 3" xfId="38485" xr:uid="{00000000-0005-0000-0000-000085960000}"/>
    <cellStyle name="货币 2 3 8 2 5 2 4" xfId="28855" xr:uid="{00000000-0005-0000-0000-0000E7700000}"/>
    <cellStyle name="货币 2 3 8 2 5 2 5" xfId="38487" xr:uid="{00000000-0005-0000-0000-000087960000}"/>
    <cellStyle name="货币 2 3 8 2 5 3" xfId="42550" xr:uid="{00000000-0005-0000-0000-000066A60000}"/>
    <cellStyle name="货币 2 3 8 2 5 3 2" xfId="38493" xr:uid="{00000000-0005-0000-0000-00008D960000}"/>
    <cellStyle name="货币 2 3 8 2 5 4" xfId="7200" xr:uid="{00000000-0005-0000-0000-0000501C0000}"/>
    <cellStyle name="货币 2 3 8 2 5 5" xfId="7222" xr:uid="{00000000-0005-0000-0000-0000661C0000}"/>
    <cellStyle name="货币 2 3 8 2 5 6" xfId="6544" xr:uid="{00000000-0005-0000-0000-0000C0190000}"/>
    <cellStyle name="货币 2 3 8 2 5 7" xfId="6553" xr:uid="{00000000-0005-0000-0000-0000C9190000}"/>
    <cellStyle name="货币 2 3 8 2 5 8" xfId="6563" xr:uid="{00000000-0005-0000-0000-0000D3190000}"/>
    <cellStyle name="货币 2 3 8 2 5 9" xfId="45074" xr:uid="{00000000-0005-0000-0000-000042B00000}"/>
    <cellStyle name="货币 2 3 8 2 6" xfId="45075" xr:uid="{00000000-0005-0000-0000-000043B00000}"/>
    <cellStyle name="货币 2 3 8 2 6 2" xfId="42554" xr:uid="{00000000-0005-0000-0000-00006AA60000}"/>
    <cellStyle name="货币 2 3 8 2 6 2 2" xfId="38574" xr:uid="{00000000-0005-0000-0000-0000DE960000}"/>
    <cellStyle name="货币 2 3 8 2 6 3" xfId="42556" xr:uid="{00000000-0005-0000-0000-00006CA60000}"/>
    <cellStyle name="货币 2 3 8 2 6 4" xfId="21151" xr:uid="{00000000-0005-0000-0000-0000CF520000}"/>
    <cellStyle name="货币 2 3 8 2 6 5" xfId="21154" xr:uid="{00000000-0005-0000-0000-0000D2520000}"/>
    <cellStyle name="货币 2 3 8 2 6 6" xfId="21157" xr:uid="{00000000-0005-0000-0000-0000D5520000}"/>
    <cellStyle name="货币 2 3 8 2 6 7" xfId="21159" xr:uid="{00000000-0005-0000-0000-0000D7520000}"/>
    <cellStyle name="货币 2 3 8 2 6 8" xfId="21161" xr:uid="{00000000-0005-0000-0000-0000D9520000}"/>
    <cellStyle name="货币 2 3 8 2 6 9" xfId="45076" xr:uid="{00000000-0005-0000-0000-000044B00000}"/>
    <cellStyle name="货币 2 3 8 2 7" xfId="45077" xr:uid="{00000000-0005-0000-0000-000045B00000}"/>
    <cellStyle name="货币 2 3 8 2 7 2" xfId="42558" xr:uid="{00000000-0005-0000-0000-00006EA60000}"/>
    <cellStyle name="货币 2 3 8 2 8" xfId="45078" xr:uid="{00000000-0005-0000-0000-000046B00000}"/>
    <cellStyle name="货币 2 3 8 2 9" xfId="45079" xr:uid="{00000000-0005-0000-0000-000047B00000}"/>
    <cellStyle name="货币 2 3 8 20" xfId="10757" xr:uid="{00000000-0005-0000-0000-0000352A0000}"/>
    <cellStyle name="货币 2 3 8 21" xfId="11536" xr:uid="{00000000-0005-0000-0000-0000402D0000}"/>
    <cellStyle name="货币 2 3 8 22" xfId="11539" xr:uid="{00000000-0005-0000-0000-0000432D0000}"/>
    <cellStyle name="货币 2 3 8 23" xfId="5466" xr:uid="{00000000-0005-0000-0000-00008A150000}"/>
    <cellStyle name="货币 2 3 8 3" xfId="32123" xr:uid="{00000000-0005-0000-0000-0000AB7D0000}"/>
    <cellStyle name="货币 2 3 8 3 10" xfId="32467" xr:uid="{00000000-0005-0000-0000-0000037F0000}"/>
    <cellStyle name="货币 2 3 8 3 11" xfId="37782" xr:uid="{00000000-0005-0000-0000-0000C6930000}"/>
    <cellStyle name="货币 2 3 8 3 12" xfId="37784" xr:uid="{00000000-0005-0000-0000-0000C8930000}"/>
    <cellStyle name="货币 2 3 8 3 13" xfId="37786" xr:uid="{00000000-0005-0000-0000-0000CA930000}"/>
    <cellStyle name="货币 2 3 8 3 14" xfId="37788" xr:uid="{00000000-0005-0000-0000-0000CC930000}"/>
    <cellStyle name="货币 2 3 8 3 15" xfId="33987" xr:uid="{00000000-0005-0000-0000-0000F3840000}"/>
    <cellStyle name="货币 2 3 8 3 16" xfId="45081" xr:uid="{00000000-0005-0000-0000-000049B00000}"/>
    <cellStyle name="货币 2 3 8 3 17" xfId="45083" xr:uid="{00000000-0005-0000-0000-00004BB00000}"/>
    <cellStyle name="货币 2 3 8 3 18" xfId="45085" xr:uid="{00000000-0005-0000-0000-00004DB00000}"/>
    <cellStyle name="货币 2 3 8 3 2" xfId="23801" xr:uid="{00000000-0005-0000-0000-0000295D0000}"/>
    <cellStyle name="货币 2 3 8 3 2 10" xfId="31741" xr:uid="{00000000-0005-0000-0000-00002D7C0000}"/>
    <cellStyle name="货币 2 3 8 3 2 2" xfId="32125" xr:uid="{00000000-0005-0000-0000-0000AD7D0000}"/>
    <cellStyle name="货币 2 3 8 3 2 2 2" xfId="12669" xr:uid="{00000000-0005-0000-0000-0000AD310000}"/>
    <cellStyle name="货币 2 3 8 3 2 3" xfId="45086" xr:uid="{00000000-0005-0000-0000-00004EB00000}"/>
    <cellStyle name="货币 2 3 8 3 2 4" xfId="45087" xr:uid="{00000000-0005-0000-0000-00004FB00000}"/>
    <cellStyle name="货币 2 3 8 3 2 5" xfId="45088" xr:uid="{00000000-0005-0000-0000-000050B00000}"/>
    <cellStyle name="货币 2 3 8 3 2 6" xfId="45089" xr:uid="{00000000-0005-0000-0000-000051B00000}"/>
    <cellStyle name="货币 2 3 8 3 2 7" xfId="4210" xr:uid="{00000000-0005-0000-0000-0000A2100000}"/>
    <cellStyle name="货币 2 3 8 3 2 8" xfId="45090" xr:uid="{00000000-0005-0000-0000-000052B00000}"/>
    <cellStyle name="货币 2 3 8 3 2 9" xfId="45091" xr:uid="{00000000-0005-0000-0000-000053B00000}"/>
    <cellStyle name="货币 2 3 8 3 3" xfId="23806" xr:uid="{00000000-0005-0000-0000-00002E5D0000}"/>
    <cellStyle name="货币 2 3 8 3 3 2" xfId="42570" xr:uid="{00000000-0005-0000-0000-00007AA60000}"/>
    <cellStyle name="货币 2 3 8 3 3 3" xfId="42572" xr:uid="{00000000-0005-0000-0000-00007CA60000}"/>
    <cellStyle name="货币 2 3 8 3 3 4" xfId="21201" xr:uid="{00000000-0005-0000-0000-000001530000}"/>
    <cellStyle name="货币 2 3 8 3 3 5" xfId="21206" xr:uid="{00000000-0005-0000-0000-000006530000}"/>
    <cellStyle name="货币 2 3 8 3 3 6" xfId="21209" xr:uid="{00000000-0005-0000-0000-000009530000}"/>
    <cellStyle name="货币 2 3 8 3 4" xfId="32127" xr:uid="{00000000-0005-0000-0000-0000AF7D0000}"/>
    <cellStyle name="货币 2 3 8 3 4 2" xfId="42576" xr:uid="{00000000-0005-0000-0000-000080A60000}"/>
    <cellStyle name="货币 2 3 8 3 4 3" xfId="42578" xr:uid="{00000000-0005-0000-0000-000082A60000}"/>
    <cellStyle name="货币 2 3 8 3 4 4" xfId="21221" xr:uid="{00000000-0005-0000-0000-000015530000}"/>
    <cellStyle name="货币 2 3 8 3 4 5" xfId="21224" xr:uid="{00000000-0005-0000-0000-000018530000}"/>
    <cellStyle name="货币 2 3 8 3 4 6" xfId="21227" xr:uid="{00000000-0005-0000-0000-00001B530000}"/>
    <cellStyle name="货币 2 3 8 3 5" xfId="45092" xr:uid="{00000000-0005-0000-0000-000054B00000}"/>
    <cellStyle name="货币 2 3 8 3 5 2" xfId="45094" xr:uid="{00000000-0005-0000-0000-000056B00000}"/>
    <cellStyle name="货币 2 3 8 3 5 3" xfId="45096" xr:uid="{00000000-0005-0000-0000-000058B00000}"/>
    <cellStyle name="货币 2 3 8 3 5 4" xfId="21232" xr:uid="{00000000-0005-0000-0000-000020530000}"/>
    <cellStyle name="货币 2 3 8 3 5 5" xfId="45097" xr:uid="{00000000-0005-0000-0000-000059B00000}"/>
    <cellStyle name="货币 2 3 8 3 5 6" xfId="45098" xr:uid="{00000000-0005-0000-0000-00005AB00000}"/>
    <cellStyle name="货币 2 3 8 3 6" xfId="45099" xr:uid="{00000000-0005-0000-0000-00005BB00000}"/>
    <cellStyle name="货币 2 3 8 3 6 2" xfId="45102" xr:uid="{00000000-0005-0000-0000-00005EB00000}"/>
    <cellStyle name="货币 2 3 8 3 6 3" xfId="45105" xr:uid="{00000000-0005-0000-0000-000061B00000}"/>
    <cellStyle name="货币 2 3 8 3 6 4" xfId="45108" xr:uid="{00000000-0005-0000-0000-000064B00000}"/>
    <cellStyle name="货币 2 3 8 3 6 5" xfId="45111" xr:uid="{00000000-0005-0000-0000-000067B00000}"/>
    <cellStyle name="货币 2 3 8 3 6 6" xfId="45113" xr:uid="{00000000-0005-0000-0000-000069B00000}"/>
    <cellStyle name="货币 2 3 8 3 7" xfId="45114" xr:uid="{00000000-0005-0000-0000-00006AB00000}"/>
    <cellStyle name="货币 2 3 8 3 8" xfId="45115" xr:uid="{00000000-0005-0000-0000-00006BB00000}"/>
    <cellStyle name="货币 2 3 8 3 9" xfId="45116" xr:uid="{00000000-0005-0000-0000-00006CB00000}"/>
    <cellStyle name="货币 2 3 8 4" xfId="32129" xr:uid="{00000000-0005-0000-0000-0000B17D0000}"/>
    <cellStyle name="货币 2 3 8 4 10" xfId="45117" xr:uid="{00000000-0005-0000-0000-00006DB00000}"/>
    <cellStyle name="货币 2 3 8 4 11" xfId="12312" xr:uid="{00000000-0005-0000-0000-000048300000}"/>
    <cellStyle name="货币 2 3 8 4 12" xfId="12314" xr:uid="{00000000-0005-0000-0000-00004A300000}"/>
    <cellStyle name="货币 2 3 8 4 13" xfId="12316" xr:uid="{00000000-0005-0000-0000-00004C300000}"/>
    <cellStyle name="货币 2 3 8 4 14" xfId="12318" xr:uid="{00000000-0005-0000-0000-00004E300000}"/>
    <cellStyle name="货币 2 3 8 4 15" xfId="7052" xr:uid="{00000000-0005-0000-0000-0000BC1B0000}"/>
    <cellStyle name="货币 2 3 8 4 2" xfId="32131" xr:uid="{00000000-0005-0000-0000-0000B37D0000}"/>
    <cellStyle name="货币 2 3 8 4 2 2" xfId="24797" xr:uid="{00000000-0005-0000-0000-00000D610000}"/>
    <cellStyle name="货币 2 3 8 4 2 2 2" xfId="32729" xr:uid="{00000000-0005-0000-0000-000009800000}"/>
    <cellStyle name="货币 2 3 8 4 2 3" xfId="24803" xr:uid="{00000000-0005-0000-0000-000013610000}"/>
    <cellStyle name="货币 2 3 8 4 2 4" xfId="24809" xr:uid="{00000000-0005-0000-0000-000019610000}"/>
    <cellStyle name="货币 2 3 8 4 2 5" xfId="35826" xr:uid="{00000000-0005-0000-0000-0000228C0000}"/>
    <cellStyle name="货币 2 3 8 4 2 6" xfId="35482" xr:uid="{00000000-0005-0000-0000-0000CA8A0000}"/>
    <cellStyle name="货币 2 3 8 4 2 7" xfId="35489" xr:uid="{00000000-0005-0000-0000-0000D18A0000}"/>
    <cellStyle name="货币 2 3 8 4 2 8" xfId="35493" xr:uid="{00000000-0005-0000-0000-0000D58A0000}"/>
    <cellStyle name="货币 2 3 8 4 2 9" xfId="35495" xr:uid="{00000000-0005-0000-0000-0000D78A0000}"/>
    <cellStyle name="货币 2 3 8 4 3" xfId="32133" xr:uid="{00000000-0005-0000-0000-0000B57D0000}"/>
    <cellStyle name="货币 2 3 8 4 3 2" xfId="14397" xr:uid="{00000000-0005-0000-0000-00006D380000}"/>
    <cellStyle name="货币 2 3 8 4 3 3" xfId="42592" xr:uid="{00000000-0005-0000-0000-000090A60000}"/>
    <cellStyle name="货币 2 3 8 4 3 4" xfId="21253" xr:uid="{00000000-0005-0000-0000-000035530000}"/>
    <cellStyle name="货币 2 3 8 4 3 5" xfId="21263" xr:uid="{00000000-0005-0000-0000-00003F530000}"/>
    <cellStyle name="货币 2 3 8 4 3 6" xfId="2509" xr:uid="{00000000-0005-0000-0000-0000FD090000}"/>
    <cellStyle name="货币 2 3 8 4 4" xfId="32135" xr:uid="{00000000-0005-0000-0000-0000B77D0000}"/>
    <cellStyle name="货币 2 3 8 4 4 2" xfId="42596" xr:uid="{00000000-0005-0000-0000-000094A60000}"/>
    <cellStyle name="货币 2 3 8 4 5" xfId="45118" xr:uid="{00000000-0005-0000-0000-00006EB00000}"/>
    <cellStyle name="货币 2 3 8 4 6" xfId="8027" xr:uid="{00000000-0005-0000-0000-00008B1F0000}"/>
    <cellStyle name="货币 2 3 8 4 7" xfId="45119" xr:uid="{00000000-0005-0000-0000-00006FB00000}"/>
    <cellStyle name="货币 2 3 8 4 8" xfId="45120" xr:uid="{00000000-0005-0000-0000-000070B00000}"/>
    <cellStyle name="货币 2 3 8 4 9" xfId="45121" xr:uid="{00000000-0005-0000-0000-000071B00000}"/>
    <cellStyle name="货币 2 3 8 5" xfId="32137" xr:uid="{00000000-0005-0000-0000-0000B97D0000}"/>
    <cellStyle name="货币 2 3 8 5 10" xfId="45122" xr:uid="{00000000-0005-0000-0000-000072B00000}"/>
    <cellStyle name="货币 2 3 8 5 11" xfId="45123" xr:uid="{00000000-0005-0000-0000-000073B00000}"/>
    <cellStyle name="货币 2 3 8 5 12" xfId="45124" xr:uid="{00000000-0005-0000-0000-000074B00000}"/>
    <cellStyle name="货币 2 3 8 5 13" xfId="45125" xr:uid="{00000000-0005-0000-0000-000075B00000}"/>
    <cellStyle name="货币 2 3 8 5 2" xfId="32139" xr:uid="{00000000-0005-0000-0000-0000BB7D0000}"/>
    <cellStyle name="货币 2 3 8 5 2 2" xfId="45126" xr:uid="{00000000-0005-0000-0000-000076B00000}"/>
    <cellStyle name="货币 2 3 8 5 2 2 2" xfId="40738" xr:uid="{00000000-0005-0000-0000-0000529F0000}"/>
    <cellStyle name="货币 2 3 8 5 2 3" xfId="45127" xr:uid="{00000000-0005-0000-0000-000077B00000}"/>
    <cellStyle name="货币 2 3 8 5 2 4" xfId="45128" xr:uid="{00000000-0005-0000-0000-000078B00000}"/>
    <cellStyle name="货币 2 3 8 5 2 5" xfId="45129" xr:uid="{00000000-0005-0000-0000-000079B00000}"/>
    <cellStyle name="货币 2 3 8 5 2 6" xfId="35524" xr:uid="{00000000-0005-0000-0000-0000F48A0000}"/>
    <cellStyle name="货币 2 3 8 5 2 7" xfId="35526" xr:uid="{00000000-0005-0000-0000-0000F68A0000}"/>
    <cellStyle name="货币 2 3 8 5 2 8" xfId="35528" xr:uid="{00000000-0005-0000-0000-0000F88A0000}"/>
    <cellStyle name="货币 2 3 8 5 2 9" xfId="35530" xr:uid="{00000000-0005-0000-0000-0000FA8A0000}"/>
    <cellStyle name="货币 2 3 8 5 3" xfId="45130" xr:uid="{00000000-0005-0000-0000-00007AB00000}"/>
    <cellStyle name="货币 2 3 8 5 3 2" xfId="42608" xr:uid="{00000000-0005-0000-0000-0000A0A60000}"/>
    <cellStyle name="货币 2 3 8 5 3 3" xfId="42610" xr:uid="{00000000-0005-0000-0000-0000A2A60000}"/>
    <cellStyle name="货币 2 3 8 5 3 4" xfId="21306" xr:uid="{00000000-0005-0000-0000-00006A530000}"/>
    <cellStyle name="货币 2 3 8 5 3 5" xfId="21311" xr:uid="{00000000-0005-0000-0000-00006F530000}"/>
    <cellStyle name="货币 2 3 8 5 3 6" xfId="413" xr:uid="{00000000-0005-0000-0000-0000B8010000}"/>
    <cellStyle name="货币 2 3 8 5 4" xfId="45131" xr:uid="{00000000-0005-0000-0000-00007BB00000}"/>
    <cellStyle name="货币 2 3 8 5 4 2" xfId="42614" xr:uid="{00000000-0005-0000-0000-0000A6A60000}"/>
    <cellStyle name="货币 2 3 8 5 5" xfId="45132" xr:uid="{00000000-0005-0000-0000-00007CB00000}"/>
    <cellStyle name="货币 2 3 8 5 6" xfId="12926" xr:uid="{00000000-0005-0000-0000-0000AE320000}"/>
    <cellStyle name="货币 2 3 8 5 7" xfId="45133" xr:uid="{00000000-0005-0000-0000-00007DB00000}"/>
    <cellStyle name="货币 2 3 8 5 8" xfId="45134" xr:uid="{00000000-0005-0000-0000-00007EB00000}"/>
    <cellStyle name="货币 2 3 8 5 9" xfId="22607" xr:uid="{00000000-0005-0000-0000-00007F580000}"/>
    <cellStyle name="货币 2 3 8 6" xfId="32141" xr:uid="{00000000-0005-0000-0000-0000BD7D0000}"/>
    <cellStyle name="货币 2 3 8 6 10" xfId="35896" xr:uid="{00000000-0005-0000-0000-0000688C0000}"/>
    <cellStyle name="货币 2 3 8 6 11" xfId="35898" xr:uid="{00000000-0005-0000-0000-00006A8C0000}"/>
    <cellStyle name="货币 2 3 8 6 12" xfId="45135" xr:uid="{00000000-0005-0000-0000-00007FB00000}"/>
    <cellStyle name="货币 2 3 8 6 2" xfId="32143" xr:uid="{00000000-0005-0000-0000-0000BF7D0000}"/>
    <cellStyle name="货币 2 3 8 6 2 2" xfId="45136" xr:uid="{00000000-0005-0000-0000-000080B00000}"/>
    <cellStyle name="货币 2 3 8 6 2 2 2" xfId="40895" xr:uid="{00000000-0005-0000-0000-0000EF9F0000}"/>
    <cellStyle name="货币 2 3 8 6 2 3" xfId="45137" xr:uid="{00000000-0005-0000-0000-000081B00000}"/>
    <cellStyle name="货币 2 3 8 6 2 4" xfId="45138" xr:uid="{00000000-0005-0000-0000-000082B00000}"/>
    <cellStyle name="货币 2 3 8 6 2 5" xfId="45139" xr:uid="{00000000-0005-0000-0000-000083B00000}"/>
    <cellStyle name="货币 2 3 8 6 2 6" xfId="35578" xr:uid="{00000000-0005-0000-0000-00002A8B0000}"/>
    <cellStyle name="货币 2 3 8 6 2 7" xfId="35580" xr:uid="{00000000-0005-0000-0000-00002C8B0000}"/>
    <cellStyle name="货币 2 3 8 6 2 8" xfId="35582" xr:uid="{00000000-0005-0000-0000-00002E8B0000}"/>
    <cellStyle name="货币 2 3 8 6 2 9" xfId="35584" xr:uid="{00000000-0005-0000-0000-0000308B0000}"/>
    <cellStyle name="货币 2 3 8 6 3" xfId="45140" xr:uid="{00000000-0005-0000-0000-000084B00000}"/>
    <cellStyle name="货币 2 3 8 6 3 2" xfId="45141" xr:uid="{00000000-0005-0000-0000-000085B00000}"/>
    <cellStyle name="货币 2 3 8 6 3 3" xfId="45142" xr:uid="{00000000-0005-0000-0000-000086B00000}"/>
    <cellStyle name="货币 2 3 8 6 3 4" xfId="2737" xr:uid="{00000000-0005-0000-0000-0000E10A0000}"/>
    <cellStyle name="货币 2 3 8 6 3 5" xfId="45143" xr:uid="{00000000-0005-0000-0000-000087B00000}"/>
    <cellStyle name="货币 2 3 8 6 3 6" xfId="35589" xr:uid="{00000000-0005-0000-0000-0000358B0000}"/>
    <cellStyle name="货币 2 3 8 6 4" xfId="45144" xr:uid="{00000000-0005-0000-0000-000088B00000}"/>
    <cellStyle name="货币 2 3 8 6 4 2" xfId="45145" xr:uid="{00000000-0005-0000-0000-000089B00000}"/>
    <cellStyle name="货币 2 3 8 6 5" xfId="45146" xr:uid="{00000000-0005-0000-0000-00008AB00000}"/>
    <cellStyle name="货币 2 3 8 6 6" xfId="45147" xr:uid="{00000000-0005-0000-0000-00008BB00000}"/>
    <cellStyle name="货币 2 3 8 6 7" xfId="31431" xr:uid="{00000000-0005-0000-0000-0000F77A0000}"/>
    <cellStyle name="货币 2 3 8 6 8" xfId="31434" xr:uid="{00000000-0005-0000-0000-0000FA7A0000}"/>
    <cellStyle name="货币 2 3 8 6 9" xfId="31436" xr:uid="{00000000-0005-0000-0000-0000FC7A0000}"/>
    <cellStyle name="货币 2 3 8 7" xfId="32145" xr:uid="{00000000-0005-0000-0000-0000C17D0000}"/>
    <cellStyle name="货币 2 3 8 7 2" xfId="4102" xr:uid="{00000000-0005-0000-0000-000036100000}"/>
    <cellStyle name="货币 2 3 8 7 2 2" xfId="45148" xr:uid="{00000000-0005-0000-0000-00008CB00000}"/>
    <cellStyle name="货币 2 3 8 7 3" xfId="19160" xr:uid="{00000000-0005-0000-0000-0000084B0000}"/>
    <cellStyle name="货币 2 3 8 7 4" xfId="4535" xr:uid="{00000000-0005-0000-0000-0000E7110000}"/>
    <cellStyle name="货币 2 3 8 7 5" xfId="19162" xr:uid="{00000000-0005-0000-0000-00000A4B0000}"/>
    <cellStyle name="货币 2 3 8 7 6" xfId="19164" xr:uid="{00000000-0005-0000-0000-00000C4B0000}"/>
    <cellStyle name="货币 2 3 8 7 7" xfId="45149" xr:uid="{00000000-0005-0000-0000-00008DB00000}"/>
    <cellStyle name="货币 2 3 8 7 8" xfId="44001" xr:uid="{00000000-0005-0000-0000-000011AC0000}"/>
    <cellStyle name="货币 2 3 8 7 9" xfId="44003" xr:uid="{00000000-0005-0000-0000-000013AC0000}"/>
    <cellStyle name="货币 2 3 8 8" xfId="45150" xr:uid="{00000000-0005-0000-0000-00008EB00000}"/>
    <cellStyle name="货币 2 3 8 8 2" xfId="4113" xr:uid="{00000000-0005-0000-0000-000041100000}"/>
    <cellStyle name="货币 2 3 8 8 3" xfId="19199" xr:uid="{00000000-0005-0000-0000-00002F4B0000}"/>
    <cellStyle name="货币 2 3 8 8 4" xfId="7537" xr:uid="{00000000-0005-0000-0000-0000A11D0000}"/>
    <cellStyle name="货币 2 3 8 8 5" xfId="9240" xr:uid="{00000000-0005-0000-0000-000048240000}"/>
    <cellStyle name="货币 2 3 8 8 6" xfId="9247" xr:uid="{00000000-0005-0000-0000-00004F240000}"/>
    <cellStyle name="货币 2 3 8 9" xfId="45151" xr:uid="{00000000-0005-0000-0000-00008FB00000}"/>
    <cellStyle name="货币 2 3 8 9 2" xfId="1017" xr:uid="{00000000-0005-0000-0000-000029040000}"/>
    <cellStyle name="货币 2 3 8 9 3" xfId="19224" xr:uid="{00000000-0005-0000-0000-0000484B0000}"/>
    <cellStyle name="货币 2 3 8 9 4" xfId="19226" xr:uid="{00000000-0005-0000-0000-00004A4B0000}"/>
    <cellStyle name="货币 2 3 8 9 5" xfId="19228" xr:uid="{00000000-0005-0000-0000-00004C4B0000}"/>
    <cellStyle name="货币 2 3 8 9 6" xfId="19230" xr:uid="{00000000-0005-0000-0000-00004E4B0000}"/>
    <cellStyle name="货币 2 3 9" xfId="45152" xr:uid="{00000000-0005-0000-0000-000090B00000}"/>
    <cellStyle name="货币 2 3 9 10" xfId="142" xr:uid="{00000000-0005-0000-0000-000099000000}"/>
    <cellStyle name="货币 2 3 9 10 2" xfId="45153" xr:uid="{00000000-0005-0000-0000-000091B00000}"/>
    <cellStyle name="货币 2 3 9 10 3" xfId="45154" xr:uid="{00000000-0005-0000-0000-000092B00000}"/>
    <cellStyle name="货币 2 3 9 10 4" xfId="45155" xr:uid="{00000000-0005-0000-0000-000093B00000}"/>
    <cellStyle name="货币 2 3 9 10 5" xfId="45156" xr:uid="{00000000-0005-0000-0000-000094B00000}"/>
    <cellStyle name="货币 2 3 9 10 6" xfId="45158" xr:uid="{00000000-0005-0000-0000-000096B00000}"/>
    <cellStyle name="货币 2 3 9 11" xfId="3899" xr:uid="{00000000-0005-0000-0000-00006B0F0000}"/>
    <cellStyle name="货币 2 3 9 11 2" xfId="3917" xr:uid="{00000000-0005-0000-0000-00007D0F0000}"/>
    <cellStyle name="货币 2 3 9 11 3" xfId="36857" xr:uid="{00000000-0005-0000-0000-000029900000}"/>
    <cellStyle name="货币 2 3 9 11 4" xfId="36860" xr:uid="{00000000-0005-0000-0000-00002C900000}"/>
    <cellStyle name="货币 2 3 9 11 5" xfId="36863" xr:uid="{00000000-0005-0000-0000-00002F900000}"/>
    <cellStyle name="货币 2 3 9 11 6" xfId="4935" xr:uid="{00000000-0005-0000-0000-000077130000}"/>
    <cellStyle name="货币 2 3 9 12" xfId="45159" xr:uid="{00000000-0005-0000-0000-000097B00000}"/>
    <cellStyle name="货币 2 3 9 13" xfId="45160" xr:uid="{00000000-0005-0000-0000-000098B00000}"/>
    <cellStyle name="货币 2 3 9 14" xfId="45161" xr:uid="{00000000-0005-0000-0000-000099B00000}"/>
    <cellStyle name="货币 2 3 9 15" xfId="45163" xr:uid="{00000000-0005-0000-0000-00009BB00000}"/>
    <cellStyle name="货币 2 3 9 16" xfId="45165" xr:uid="{00000000-0005-0000-0000-00009DB00000}"/>
    <cellStyle name="货币 2 3 9 17" xfId="45167" xr:uid="{00000000-0005-0000-0000-00009FB00000}"/>
    <cellStyle name="货币 2 3 9 18" xfId="45169" xr:uid="{00000000-0005-0000-0000-0000A1B00000}"/>
    <cellStyle name="货币 2 3 9 19" xfId="45170" xr:uid="{00000000-0005-0000-0000-0000A2B00000}"/>
    <cellStyle name="货币 2 3 9 2" xfId="32167" xr:uid="{00000000-0005-0000-0000-0000D77D0000}"/>
    <cellStyle name="货币 2 3 9 2 10" xfId="45172" xr:uid="{00000000-0005-0000-0000-0000A4B00000}"/>
    <cellStyle name="货币 2 3 9 2 11" xfId="45173" xr:uid="{00000000-0005-0000-0000-0000A5B00000}"/>
    <cellStyle name="货币 2 3 9 2 12" xfId="45174" xr:uid="{00000000-0005-0000-0000-0000A6B00000}"/>
    <cellStyle name="货币 2 3 9 2 13" xfId="40304" xr:uid="{00000000-0005-0000-0000-0000A09D0000}"/>
    <cellStyle name="货币 2 3 9 2 14" xfId="45175" xr:uid="{00000000-0005-0000-0000-0000A7B00000}"/>
    <cellStyle name="货币 2 3 9 2 15" xfId="45176" xr:uid="{00000000-0005-0000-0000-0000A8B00000}"/>
    <cellStyle name="货币 2 3 9 2 16" xfId="45177" xr:uid="{00000000-0005-0000-0000-0000A9B00000}"/>
    <cellStyle name="货币 2 3 9 2 17" xfId="45178" xr:uid="{00000000-0005-0000-0000-0000AAB00000}"/>
    <cellStyle name="货币 2 3 9 2 18" xfId="45179" xr:uid="{00000000-0005-0000-0000-0000ABB00000}"/>
    <cellStyle name="货币 2 3 9 2 2" xfId="32170" xr:uid="{00000000-0005-0000-0000-0000DA7D0000}"/>
    <cellStyle name="货币 2 3 9 2 2 10" xfId="45180" xr:uid="{00000000-0005-0000-0000-0000ACB00000}"/>
    <cellStyle name="货币 2 3 9 2 2 11" xfId="45181" xr:uid="{00000000-0005-0000-0000-0000ADB00000}"/>
    <cellStyle name="货币 2 3 9 2 2 12" xfId="45182" xr:uid="{00000000-0005-0000-0000-0000AEB00000}"/>
    <cellStyle name="货币 2 3 9 2 2 2" xfId="32172" xr:uid="{00000000-0005-0000-0000-0000DC7D0000}"/>
    <cellStyle name="货币 2 3 9 2 2 2 2" xfId="45183" xr:uid="{00000000-0005-0000-0000-0000AFB00000}"/>
    <cellStyle name="货币 2 3 9 2 2 2 2 2" xfId="2608" xr:uid="{00000000-0005-0000-0000-0000600A0000}"/>
    <cellStyle name="货币 2 3 9 2 2 2 3" xfId="45184" xr:uid="{00000000-0005-0000-0000-0000B0B00000}"/>
    <cellStyle name="货币 2 3 9 2 2 2 4" xfId="45185" xr:uid="{00000000-0005-0000-0000-0000B1B00000}"/>
    <cellStyle name="货币 2 3 9 2 2 2 5" xfId="45186" xr:uid="{00000000-0005-0000-0000-0000B2B00000}"/>
    <cellStyle name="货币 2 3 9 2 2 3" xfId="45187" xr:uid="{00000000-0005-0000-0000-0000B3B00000}"/>
    <cellStyle name="货币 2 3 9 2 2 3 2" xfId="2829" xr:uid="{00000000-0005-0000-0000-00003D0B0000}"/>
    <cellStyle name="货币 2 3 9 2 2 4" xfId="45188" xr:uid="{00000000-0005-0000-0000-0000B4B00000}"/>
    <cellStyle name="货币 2 3 9 2 2 5" xfId="45189" xr:uid="{00000000-0005-0000-0000-0000B5B00000}"/>
    <cellStyle name="货币 2 3 9 2 2 6" xfId="45190" xr:uid="{00000000-0005-0000-0000-0000B6B00000}"/>
    <cellStyle name="货币 2 3 9 2 2 7" xfId="45191" xr:uid="{00000000-0005-0000-0000-0000B7B00000}"/>
    <cellStyle name="货币 2 3 9 2 2 8" xfId="30092" xr:uid="{00000000-0005-0000-0000-0000BC750000}"/>
    <cellStyle name="货币 2 3 9 2 2 9" xfId="45192" xr:uid="{00000000-0005-0000-0000-0000B8B00000}"/>
    <cellStyle name="货币 2 3 9 2 3" xfId="10717" xr:uid="{00000000-0005-0000-0000-00000D2A0000}"/>
    <cellStyle name="货币 2 3 9 2 3 10" xfId="45193" xr:uid="{00000000-0005-0000-0000-0000B9B00000}"/>
    <cellStyle name="货币 2 3 9 2 3 11" xfId="45194" xr:uid="{00000000-0005-0000-0000-0000BAB00000}"/>
    <cellStyle name="货币 2 3 9 2 3 12" xfId="45195" xr:uid="{00000000-0005-0000-0000-0000BBB00000}"/>
    <cellStyle name="货币 2 3 9 2 3 2" xfId="42769" xr:uid="{00000000-0005-0000-0000-000041A70000}"/>
    <cellStyle name="货币 2 3 9 2 3 2 2" xfId="44208" xr:uid="{00000000-0005-0000-0000-0000E0AC0000}"/>
    <cellStyle name="货币 2 3 9 2 3 2 2 2" xfId="45196" xr:uid="{00000000-0005-0000-0000-0000BCB00000}"/>
    <cellStyle name="货币 2 3 9 2 3 2 3" xfId="44210" xr:uid="{00000000-0005-0000-0000-0000E2AC0000}"/>
    <cellStyle name="货币 2 3 9 2 3 2 4" xfId="28748" xr:uid="{00000000-0005-0000-0000-00007C700000}"/>
    <cellStyle name="货币 2 3 9 2 3 2 5" xfId="31025" xr:uid="{00000000-0005-0000-0000-000061790000}"/>
    <cellStyle name="货币 2 3 9 2 3 3" xfId="28189" xr:uid="{00000000-0005-0000-0000-00004D6E0000}"/>
    <cellStyle name="货币 2 3 9 2 3 3 2" xfId="28192" xr:uid="{00000000-0005-0000-0000-0000506E0000}"/>
    <cellStyle name="货币 2 3 9 2 3 4" xfId="28195" xr:uid="{00000000-0005-0000-0000-0000536E0000}"/>
    <cellStyle name="货币 2 3 9 2 3 5" xfId="28198" xr:uid="{00000000-0005-0000-0000-0000566E0000}"/>
    <cellStyle name="货币 2 3 9 2 3 6" xfId="28201" xr:uid="{00000000-0005-0000-0000-0000596E0000}"/>
    <cellStyle name="货币 2 3 9 2 3 7" xfId="42771" xr:uid="{00000000-0005-0000-0000-000043A70000}"/>
    <cellStyle name="货币 2 3 9 2 3 8" xfId="42773" xr:uid="{00000000-0005-0000-0000-000045A70000}"/>
    <cellStyle name="货币 2 3 9 2 3 9" xfId="45197" xr:uid="{00000000-0005-0000-0000-0000BDB00000}"/>
    <cellStyle name="货币 2 3 9 2 4" xfId="10735" xr:uid="{00000000-0005-0000-0000-00001F2A0000}"/>
    <cellStyle name="货币 2 3 9 2 4 10" xfId="45198" xr:uid="{00000000-0005-0000-0000-0000BEB00000}"/>
    <cellStyle name="货币 2 3 9 2 4 2" xfId="42777" xr:uid="{00000000-0005-0000-0000-000049A70000}"/>
    <cellStyle name="货币 2 3 9 2 4 2 2" xfId="44444" xr:uid="{00000000-0005-0000-0000-0000CCAD0000}"/>
    <cellStyle name="货币 2 3 9 2 4 2 2 2" xfId="45199" xr:uid="{00000000-0005-0000-0000-0000BFB00000}"/>
    <cellStyle name="货币 2 3 9 2 4 2 3" xfId="44446" xr:uid="{00000000-0005-0000-0000-0000CEAD0000}"/>
    <cellStyle name="货币 2 3 9 2 4 2 4" xfId="31081" xr:uid="{00000000-0005-0000-0000-000099790000}"/>
    <cellStyle name="货币 2 3 9 2 4 2 5" xfId="44448" xr:uid="{00000000-0005-0000-0000-0000D0AD0000}"/>
    <cellStyle name="货币 2 3 9 2 4 3" xfId="5278" xr:uid="{00000000-0005-0000-0000-0000CE140000}"/>
    <cellStyle name="货币 2 3 9 2 4 3 2" xfId="44456" xr:uid="{00000000-0005-0000-0000-0000D8AD0000}"/>
    <cellStyle name="货币 2 3 9 2 4 4" xfId="42779" xr:uid="{00000000-0005-0000-0000-00004BA70000}"/>
    <cellStyle name="货币 2 3 9 2 4 5" xfId="42781" xr:uid="{00000000-0005-0000-0000-00004DA70000}"/>
    <cellStyle name="货币 2 3 9 2 4 6" xfId="45200" xr:uid="{00000000-0005-0000-0000-0000C0B00000}"/>
    <cellStyle name="货币 2 3 9 2 4 7" xfId="45201" xr:uid="{00000000-0005-0000-0000-0000C1B00000}"/>
    <cellStyle name="货币 2 3 9 2 4 8" xfId="45202" xr:uid="{00000000-0005-0000-0000-0000C2B00000}"/>
    <cellStyle name="货币 2 3 9 2 4 9" xfId="11356" xr:uid="{00000000-0005-0000-0000-00008C2C0000}"/>
    <cellStyle name="货币 2 3 9 2 5" xfId="45203" xr:uid="{00000000-0005-0000-0000-0000C3B00000}"/>
    <cellStyle name="货币 2 3 9 2 5 10" xfId="45205" xr:uid="{00000000-0005-0000-0000-0000C5B00000}"/>
    <cellStyle name="货币 2 3 9 2 5 2" xfId="42784" xr:uid="{00000000-0005-0000-0000-000050A70000}"/>
    <cellStyle name="货币 2 3 9 2 5 2 2" xfId="44620" xr:uid="{00000000-0005-0000-0000-00007CAE0000}"/>
    <cellStyle name="货币 2 3 9 2 5 2 2 2" xfId="45206" xr:uid="{00000000-0005-0000-0000-0000C6B00000}"/>
    <cellStyle name="货币 2 3 9 2 5 2 3" xfId="44622" xr:uid="{00000000-0005-0000-0000-00007EAE0000}"/>
    <cellStyle name="货币 2 3 9 2 5 2 4" xfId="44624" xr:uid="{00000000-0005-0000-0000-000080AE0000}"/>
    <cellStyle name="货币 2 3 9 2 5 2 5" xfId="44626" xr:uid="{00000000-0005-0000-0000-000082AE0000}"/>
    <cellStyle name="货币 2 3 9 2 5 3" xfId="42786" xr:uid="{00000000-0005-0000-0000-000052A70000}"/>
    <cellStyle name="货币 2 3 9 2 5 3 2" xfId="34845" xr:uid="{00000000-0005-0000-0000-00004D880000}"/>
    <cellStyle name="货币 2 3 9 2 5 4" xfId="42788" xr:uid="{00000000-0005-0000-0000-000054A70000}"/>
    <cellStyle name="货币 2 3 9 2 5 5" xfId="42790" xr:uid="{00000000-0005-0000-0000-000056A70000}"/>
    <cellStyle name="货币 2 3 9 2 5 6" xfId="45207" xr:uid="{00000000-0005-0000-0000-0000C7B00000}"/>
    <cellStyle name="货币 2 3 9 2 5 7" xfId="45208" xr:uid="{00000000-0005-0000-0000-0000C8B00000}"/>
    <cellStyle name="货币 2 3 9 2 5 8" xfId="45209" xr:uid="{00000000-0005-0000-0000-0000C9B00000}"/>
    <cellStyle name="货币 2 3 9 2 5 9" xfId="45210" xr:uid="{00000000-0005-0000-0000-0000CAB00000}"/>
    <cellStyle name="货币 2 3 9 2 6" xfId="45211" xr:uid="{00000000-0005-0000-0000-0000CBB00000}"/>
    <cellStyle name="货币 2 3 9 2 6 2" xfId="42794" xr:uid="{00000000-0005-0000-0000-00005AA70000}"/>
    <cellStyle name="货币 2 3 9 2 6 2 2" xfId="42252" xr:uid="{00000000-0005-0000-0000-00003CA50000}"/>
    <cellStyle name="货币 2 3 9 2 6 3" xfId="42796" xr:uid="{00000000-0005-0000-0000-00005CA70000}"/>
    <cellStyle name="货币 2 3 9 2 6 4" xfId="42798" xr:uid="{00000000-0005-0000-0000-00005EA70000}"/>
    <cellStyle name="货币 2 3 9 2 6 5" xfId="42800" xr:uid="{00000000-0005-0000-0000-000060A70000}"/>
    <cellStyle name="货币 2 3 9 2 6 6" xfId="45212" xr:uid="{00000000-0005-0000-0000-0000CCB00000}"/>
    <cellStyle name="货币 2 3 9 2 6 7" xfId="45213" xr:uid="{00000000-0005-0000-0000-0000CDB00000}"/>
    <cellStyle name="货币 2 3 9 2 6 8" xfId="45214" xr:uid="{00000000-0005-0000-0000-0000CEB00000}"/>
    <cellStyle name="货币 2 3 9 2 6 9" xfId="45215" xr:uid="{00000000-0005-0000-0000-0000CFB00000}"/>
    <cellStyle name="货币 2 3 9 2 7" xfId="45216" xr:uid="{00000000-0005-0000-0000-0000D0B00000}"/>
    <cellStyle name="货币 2 3 9 2 7 2" xfId="5062" xr:uid="{00000000-0005-0000-0000-0000F6130000}"/>
    <cellStyle name="货币 2 3 9 2 8" xfId="45217" xr:uid="{00000000-0005-0000-0000-0000D1B00000}"/>
    <cellStyle name="货币 2 3 9 2 9" xfId="45218" xr:uid="{00000000-0005-0000-0000-0000D2B00000}"/>
    <cellStyle name="货币 2 3 9 20" xfId="45162" xr:uid="{00000000-0005-0000-0000-00009AB00000}"/>
    <cellStyle name="货币 2 3 9 21" xfId="45164" xr:uid="{00000000-0005-0000-0000-00009CB00000}"/>
    <cellStyle name="货币 2 3 9 22" xfId="45166" xr:uid="{00000000-0005-0000-0000-00009EB00000}"/>
    <cellStyle name="货币 2 3 9 23" xfId="45168" xr:uid="{00000000-0005-0000-0000-0000A0B00000}"/>
    <cellStyle name="货币 2 3 9 3" xfId="32174" xr:uid="{00000000-0005-0000-0000-0000DE7D0000}"/>
    <cellStyle name="货币 2 3 9 3 10" xfId="45219" xr:uid="{00000000-0005-0000-0000-0000D3B00000}"/>
    <cellStyle name="货币 2 3 9 3 11" xfId="45220" xr:uid="{00000000-0005-0000-0000-0000D4B00000}"/>
    <cellStyle name="货币 2 3 9 3 12" xfId="45221" xr:uid="{00000000-0005-0000-0000-0000D5B00000}"/>
    <cellStyle name="货币 2 3 9 3 13" xfId="45222" xr:uid="{00000000-0005-0000-0000-0000D6B00000}"/>
    <cellStyle name="货币 2 3 9 3 14" xfId="28958" xr:uid="{00000000-0005-0000-0000-00004E710000}"/>
    <cellStyle name="货币 2 3 9 3 15" xfId="45224" xr:uid="{00000000-0005-0000-0000-0000D8B00000}"/>
    <cellStyle name="货币 2 3 9 3 16" xfId="45226" xr:uid="{00000000-0005-0000-0000-0000DAB00000}"/>
    <cellStyle name="货币 2 3 9 3 17" xfId="45228" xr:uid="{00000000-0005-0000-0000-0000DCB00000}"/>
    <cellStyle name="货币 2 3 9 3 18" xfId="45230" xr:uid="{00000000-0005-0000-0000-0000DEB00000}"/>
    <cellStyle name="货币 2 3 9 3 2" xfId="32177" xr:uid="{00000000-0005-0000-0000-0000E17D0000}"/>
    <cellStyle name="货币 2 3 9 3 2 10" xfId="45231" xr:uid="{00000000-0005-0000-0000-0000DFB00000}"/>
    <cellStyle name="货币 2 3 9 3 2 2" xfId="32179" xr:uid="{00000000-0005-0000-0000-0000E37D0000}"/>
    <cellStyle name="货币 2 3 9 3 2 2 2" xfId="5749" xr:uid="{00000000-0005-0000-0000-0000A5160000}"/>
    <cellStyle name="货币 2 3 9 3 2 3" xfId="45232" xr:uid="{00000000-0005-0000-0000-0000E0B00000}"/>
    <cellStyle name="货币 2 3 9 3 2 4" xfId="45233" xr:uid="{00000000-0005-0000-0000-0000E1B00000}"/>
    <cellStyle name="货币 2 3 9 3 2 5" xfId="45234" xr:uid="{00000000-0005-0000-0000-0000E2B00000}"/>
    <cellStyle name="货币 2 3 9 3 2 6" xfId="45235" xr:uid="{00000000-0005-0000-0000-0000E3B00000}"/>
    <cellStyle name="货币 2 3 9 3 2 7" xfId="45236" xr:uid="{00000000-0005-0000-0000-0000E4B00000}"/>
    <cellStyle name="货币 2 3 9 3 2 8" xfId="29231" xr:uid="{00000000-0005-0000-0000-00005F720000}"/>
    <cellStyle name="货币 2 3 9 3 2 9" xfId="33590" xr:uid="{00000000-0005-0000-0000-000066830000}"/>
    <cellStyle name="货币 2 3 9 3 3" xfId="10437" xr:uid="{00000000-0005-0000-0000-0000F5280000}"/>
    <cellStyle name="货币 2 3 9 3 3 2" xfId="42810" xr:uid="{00000000-0005-0000-0000-00006AA70000}"/>
    <cellStyle name="货币 2 3 9 3 3 3" xfId="28230" xr:uid="{00000000-0005-0000-0000-0000766E0000}"/>
    <cellStyle name="货币 2 3 9 3 3 4" xfId="28235" xr:uid="{00000000-0005-0000-0000-00007B6E0000}"/>
    <cellStyle name="货币 2 3 9 3 3 5" xfId="28238" xr:uid="{00000000-0005-0000-0000-00007E6E0000}"/>
    <cellStyle name="货币 2 3 9 3 3 6" xfId="10839" xr:uid="{00000000-0005-0000-0000-0000872A0000}"/>
    <cellStyle name="货币 2 3 9 3 4" xfId="32181" xr:uid="{00000000-0005-0000-0000-0000E57D0000}"/>
    <cellStyle name="货币 2 3 9 3 4 2" xfId="42816" xr:uid="{00000000-0005-0000-0000-000070A70000}"/>
    <cellStyle name="货币 2 3 9 3 4 3" xfId="28244" xr:uid="{00000000-0005-0000-0000-0000846E0000}"/>
    <cellStyle name="货币 2 3 9 3 4 4" xfId="42818" xr:uid="{00000000-0005-0000-0000-000072A70000}"/>
    <cellStyle name="货币 2 3 9 3 4 5" xfId="42820" xr:uid="{00000000-0005-0000-0000-000074A70000}"/>
    <cellStyle name="货币 2 3 9 3 4 6" xfId="45237" xr:uid="{00000000-0005-0000-0000-0000E5B00000}"/>
    <cellStyle name="货币 2 3 9 3 5" xfId="45238" xr:uid="{00000000-0005-0000-0000-0000E6B00000}"/>
    <cellStyle name="货币 2 3 9 3 5 2" xfId="45239" xr:uid="{00000000-0005-0000-0000-0000E7B00000}"/>
    <cellStyle name="货币 2 3 9 3 5 3" xfId="45240" xr:uid="{00000000-0005-0000-0000-0000E8B00000}"/>
    <cellStyle name="货币 2 3 9 3 5 4" xfId="45241" xr:uid="{00000000-0005-0000-0000-0000E9B00000}"/>
    <cellStyle name="货币 2 3 9 3 5 5" xfId="45242" xr:uid="{00000000-0005-0000-0000-0000EAB00000}"/>
    <cellStyle name="货币 2 3 9 3 5 6" xfId="45243" xr:uid="{00000000-0005-0000-0000-0000EBB00000}"/>
    <cellStyle name="货币 2 3 9 3 6" xfId="45244" xr:uid="{00000000-0005-0000-0000-0000ECB00000}"/>
    <cellStyle name="货币 2 3 9 3 6 2" xfId="45245" xr:uid="{00000000-0005-0000-0000-0000EDB00000}"/>
    <cellStyle name="货币 2 3 9 3 6 3" xfId="45246" xr:uid="{00000000-0005-0000-0000-0000EEB00000}"/>
    <cellStyle name="货币 2 3 9 3 6 4" xfId="45247" xr:uid="{00000000-0005-0000-0000-0000EFB00000}"/>
    <cellStyle name="货币 2 3 9 3 6 5" xfId="45248" xr:uid="{00000000-0005-0000-0000-0000F0B00000}"/>
    <cellStyle name="货币 2 3 9 3 6 6" xfId="45249" xr:uid="{00000000-0005-0000-0000-0000F1B00000}"/>
    <cellStyle name="货币 2 3 9 3 7" xfId="45250" xr:uid="{00000000-0005-0000-0000-0000F2B00000}"/>
    <cellStyle name="货币 2 3 9 3 8" xfId="45251" xr:uid="{00000000-0005-0000-0000-0000F3B00000}"/>
    <cellStyle name="货币 2 3 9 3 9" xfId="45252" xr:uid="{00000000-0005-0000-0000-0000F4B00000}"/>
    <cellStyle name="货币 2 3 9 4" xfId="32183" xr:uid="{00000000-0005-0000-0000-0000E77D0000}"/>
    <cellStyle name="货币 2 3 9 4 10" xfId="5153" xr:uid="{00000000-0005-0000-0000-000051140000}"/>
    <cellStyle name="货币 2 3 9 4 11" xfId="5165" xr:uid="{00000000-0005-0000-0000-00005D140000}"/>
    <cellStyle name="货币 2 3 9 4 12" xfId="5173" xr:uid="{00000000-0005-0000-0000-000065140000}"/>
    <cellStyle name="货币 2 3 9 4 13" xfId="5184" xr:uid="{00000000-0005-0000-0000-000070140000}"/>
    <cellStyle name="货币 2 3 9 4 14" xfId="45253" xr:uid="{00000000-0005-0000-0000-0000F5B00000}"/>
    <cellStyle name="货币 2 3 9 4 15" xfId="45254" xr:uid="{00000000-0005-0000-0000-0000F6B00000}"/>
    <cellStyle name="货币 2 3 9 4 2" xfId="32186" xr:uid="{00000000-0005-0000-0000-0000EA7D0000}"/>
    <cellStyle name="货币 2 3 9 4 2 2" xfId="32188" xr:uid="{00000000-0005-0000-0000-0000EC7D0000}"/>
    <cellStyle name="货币 2 3 9 4 2 2 2" xfId="42311" xr:uid="{00000000-0005-0000-0000-000077A50000}"/>
    <cellStyle name="货币 2 3 9 4 2 3" xfId="45255" xr:uid="{00000000-0005-0000-0000-0000F7B00000}"/>
    <cellStyle name="货币 2 3 9 4 2 4" xfId="4040" xr:uid="{00000000-0005-0000-0000-0000F80F0000}"/>
    <cellStyle name="货币 2 3 9 4 2 5" xfId="10908" xr:uid="{00000000-0005-0000-0000-0000CC2A0000}"/>
    <cellStyle name="货币 2 3 9 4 2 6" xfId="10915" xr:uid="{00000000-0005-0000-0000-0000D32A0000}"/>
    <cellStyle name="货币 2 3 9 4 2 7" xfId="21391" xr:uid="{00000000-0005-0000-0000-0000BF530000}"/>
    <cellStyle name="货币 2 3 9 4 2 8" xfId="21395" xr:uid="{00000000-0005-0000-0000-0000C3530000}"/>
    <cellStyle name="货币 2 3 9 4 2 9" xfId="21572" xr:uid="{00000000-0005-0000-0000-000074540000}"/>
    <cellStyle name="货币 2 3 9 4 3" xfId="32190" xr:uid="{00000000-0005-0000-0000-0000EE7D0000}"/>
    <cellStyle name="货币 2 3 9 4 3 2" xfId="42830" xr:uid="{00000000-0005-0000-0000-00007EA70000}"/>
    <cellStyle name="货币 2 3 9 4 3 3" xfId="28257" xr:uid="{00000000-0005-0000-0000-0000916E0000}"/>
    <cellStyle name="货币 2 3 9 4 3 4" xfId="21401" xr:uid="{00000000-0005-0000-0000-0000C9530000}"/>
    <cellStyle name="货币 2 3 9 4 3 5" xfId="42833" xr:uid="{00000000-0005-0000-0000-000081A70000}"/>
    <cellStyle name="货币 2 3 9 4 3 6" xfId="35668" xr:uid="{00000000-0005-0000-0000-0000848B0000}"/>
    <cellStyle name="货币 2 3 9 4 4" xfId="32192" xr:uid="{00000000-0005-0000-0000-0000F07D0000}"/>
    <cellStyle name="货币 2 3 9 4 4 2" xfId="42836" xr:uid="{00000000-0005-0000-0000-000084A70000}"/>
    <cellStyle name="货币 2 3 9 4 5" xfId="45256" xr:uid="{00000000-0005-0000-0000-0000F8B00000}"/>
    <cellStyle name="货币 2 3 9 4 6" xfId="45257" xr:uid="{00000000-0005-0000-0000-0000F9B00000}"/>
    <cellStyle name="货币 2 3 9 4 7" xfId="45258" xr:uid="{00000000-0005-0000-0000-0000FAB00000}"/>
    <cellStyle name="货币 2 3 9 4 8" xfId="45259" xr:uid="{00000000-0005-0000-0000-0000FBB00000}"/>
    <cellStyle name="货币 2 3 9 4 9" xfId="45260" xr:uid="{00000000-0005-0000-0000-0000FCB00000}"/>
    <cellStyle name="货币 2 3 9 5" xfId="32194" xr:uid="{00000000-0005-0000-0000-0000F27D0000}"/>
    <cellStyle name="货币 2 3 9 5 10" xfId="42094" xr:uid="{00000000-0005-0000-0000-00009EA40000}"/>
    <cellStyle name="货币 2 3 9 5 11" xfId="42100" xr:uid="{00000000-0005-0000-0000-0000A4A40000}"/>
    <cellStyle name="货币 2 3 9 5 12" xfId="42104" xr:uid="{00000000-0005-0000-0000-0000A8A40000}"/>
    <cellStyle name="货币 2 3 9 5 13" xfId="42106" xr:uid="{00000000-0005-0000-0000-0000AAA40000}"/>
    <cellStyle name="货币 2 3 9 5 2" xfId="32197" xr:uid="{00000000-0005-0000-0000-0000F57D0000}"/>
    <cellStyle name="货币 2 3 9 5 2 2" xfId="45261" xr:uid="{00000000-0005-0000-0000-0000FDB00000}"/>
    <cellStyle name="货币 2 3 9 5 2 2 2" xfId="21048" xr:uid="{00000000-0005-0000-0000-000068520000}"/>
    <cellStyle name="货币 2 3 9 5 2 3" xfId="45262" xr:uid="{00000000-0005-0000-0000-0000FEB00000}"/>
    <cellStyle name="货币 2 3 9 5 2 4" xfId="10970" xr:uid="{00000000-0005-0000-0000-00000A2B0000}"/>
    <cellStyle name="货币 2 3 9 5 2 5" xfId="45263" xr:uid="{00000000-0005-0000-0000-0000FFB00000}"/>
    <cellStyle name="货币 2 3 9 5 2 6" xfId="35719" xr:uid="{00000000-0005-0000-0000-0000B78B0000}"/>
    <cellStyle name="货币 2 3 9 5 2 7" xfId="31524" xr:uid="{00000000-0005-0000-0000-0000547B0000}"/>
    <cellStyle name="货币 2 3 9 5 2 8" xfId="30098" xr:uid="{00000000-0005-0000-0000-0000C2750000}"/>
    <cellStyle name="货币 2 3 9 5 2 9" xfId="35722" xr:uid="{00000000-0005-0000-0000-0000BA8B0000}"/>
    <cellStyle name="货币 2 3 9 5 3" xfId="45264" xr:uid="{00000000-0005-0000-0000-000000B10000}"/>
    <cellStyle name="货币 2 3 9 5 3 2" xfId="42846" xr:uid="{00000000-0005-0000-0000-00008EA70000}"/>
    <cellStyle name="货币 2 3 9 5 3 3" xfId="42848" xr:uid="{00000000-0005-0000-0000-000090A70000}"/>
    <cellStyle name="货币 2 3 9 5 3 4" xfId="42850" xr:uid="{00000000-0005-0000-0000-000092A70000}"/>
    <cellStyle name="货币 2 3 9 5 3 5" xfId="42852" xr:uid="{00000000-0005-0000-0000-000094A70000}"/>
    <cellStyle name="货币 2 3 9 5 3 6" xfId="35726" xr:uid="{00000000-0005-0000-0000-0000BE8B0000}"/>
    <cellStyle name="货币 2 3 9 5 4" xfId="45265" xr:uid="{00000000-0005-0000-0000-000001B10000}"/>
    <cellStyle name="货币 2 3 9 5 4 2" xfId="42091" xr:uid="{00000000-0005-0000-0000-00009BA40000}"/>
    <cellStyle name="货币 2 3 9 5 5" xfId="45266" xr:uid="{00000000-0005-0000-0000-000002B10000}"/>
    <cellStyle name="货币 2 3 9 5 6" xfId="45267" xr:uid="{00000000-0005-0000-0000-000003B10000}"/>
    <cellStyle name="货币 2 3 9 5 7" xfId="45268" xr:uid="{00000000-0005-0000-0000-000004B10000}"/>
    <cellStyle name="货币 2 3 9 5 8" xfId="45269" xr:uid="{00000000-0005-0000-0000-000005B10000}"/>
    <cellStyle name="货币 2 3 9 5 9" xfId="45270" xr:uid="{00000000-0005-0000-0000-000006B10000}"/>
    <cellStyle name="货币 2 3 9 6" xfId="32199" xr:uid="{00000000-0005-0000-0000-0000F77D0000}"/>
    <cellStyle name="货币 2 3 9 6 10" xfId="45271" xr:uid="{00000000-0005-0000-0000-000007B10000}"/>
    <cellStyle name="货币 2 3 9 6 11" xfId="45272" xr:uid="{00000000-0005-0000-0000-000008B10000}"/>
    <cellStyle name="货币 2 3 9 6 12" xfId="45273" xr:uid="{00000000-0005-0000-0000-000009B10000}"/>
    <cellStyle name="货币 2 3 9 6 2" xfId="1875" xr:uid="{00000000-0005-0000-0000-000083070000}"/>
    <cellStyle name="货币 2 3 9 6 2 2" xfId="1925" xr:uid="{00000000-0005-0000-0000-0000B5070000}"/>
    <cellStyle name="货币 2 3 9 6 2 2 2" xfId="42738" xr:uid="{00000000-0005-0000-0000-000022A70000}"/>
    <cellStyle name="货币 2 3 9 6 2 3" xfId="45274" xr:uid="{00000000-0005-0000-0000-00000AB10000}"/>
    <cellStyle name="货币 2 3 9 6 2 4" xfId="45275" xr:uid="{00000000-0005-0000-0000-00000BB10000}"/>
    <cellStyle name="货币 2 3 9 6 2 5" xfId="32742" xr:uid="{00000000-0005-0000-0000-000016800000}"/>
    <cellStyle name="货币 2 3 9 6 2 6" xfId="32744" xr:uid="{00000000-0005-0000-0000-000018800000}"/>
    <cellStyle name="货币 2 3 9 6 2 7" xfId="32747" xr:uid="{00000000-0005-0000-0000-00001B800000}"/>
    <cellStyle name="货币 2 3 9 6 2 8" xfId="30104" xr:uid="{00000000-0005-0000-0000-0000C8750000}"/>
    <cellStyle name="货币 2 3 9 6 2 9" xfId="32751" xr:uid="{00000000-0005-0000-0000-00001F800000}"/>
    <cellStyle name="货币 2 3 9 6 3" xfId="1951" xr:uid="{00000000-0005-0000-0000-0000CF070000}"/>
    <cellStyle name="货币 2 3 9 6 3 2" xfId="881" xr:uid="{00000000-0005-0000-0000-0000A1030000}"/>
    <cellStyle name="货币 2 3 9 6 3 3" xfId="45276" xr:uid="{00000000-0005-0000-0000-00000CB10000}"/>
    <cellStyle name="货币 2 3 9 6 3 4" xfId="45277" xr:uid="{00000000-0005-0000-0000-00000DB10000}"/>
    <cellStyle name="货币 2 3 9 6 3 5" xfId="45278" xr:uid="{00000000-0005-0000-0000-00000EB10000}"/>
    <cellStyle name="货币 2 3 9 6 3 6" xfId="35754" xr:uid="{00000000-0005-0000-0000-0000DA8B0000}"/>
    <cellStyle name="货币 2 3 9 6 4" xfId="1927" xr:uid="{00000000-0005-0000-0000-0000B7070000}"/>
    <cellStyle name="货币 2 3 9 6 4 2" xfId="45279" xr:uid="{00000000-0005-0000-0000-00000FB10000}"/>
    <cellStyle name="货币 2 3 9 6 5" xfId="45280" xr:uid="{00000000-0005-0000-0000-000010B10000}"/>
    <cellStyle name="货币 2 3 9 6 6" xfId="45281" xr:uid="{00000000-0005-0000-0000-000011B10000}"/>
    <cellStyle name="货币 2 3 9 6 7" xfId="45282" xr:uid="{00000000-0005-0000-0000-000012B10000}"/>
    <cellStyle name="货币 2 3 9 6 8" xfId="45283" xr:uid="{00000000-0005-0000-0000-000013B10000}"/>
    <cellStyle name="货币 2 3 9 6 9" xfId="45284" xr:uid="{00000000-0005-0000-0000-000014B10000}"/>
    <cellStyle name="货币 2 3 9 7" xfId="31772" xr:uid="{00000000-0005-0000-0000-00004C7C0000}"/>
    <cellStyle name="货币 2 3 9 7 2" xfId="19310" xr:uid="{00000000-0005-0000-0000-00009E4B0000}"/>
    <cellStyle name="货币 2 3 9 7 2 2" xfId="33434" xr:uid="{00000000-0005-0000-0000-0000CA820000}"/>
    <cellStyle name="货币 2 3 9 7 3" xfId="19312" xr:uid="{00000000-0005-0000-0000-0000A04B0000}"/>
    <cellStyle name="货币 2 3 9 7 4" xfId="19314" xr:uid="{00000000-0005-0000-0000-0000A24B0000}"/>
    <cellStyle name="货币 2 3 9 7 5" xfId="19316" xr:uid="{00000000-0005-0000-0000-0000A44B0000}"/>
    <cellStyle name="货币 2 3 9 7 6" xfId="19319" xr:uid="{00000000-0005-0000-0000-0000A74B0000}"/>
    <cellStyle name="货币 2 3 9 7 7" xfId="31648" xr:uid="{00000000-0005-0000-0000-0000D07B0000}"/>
    <cellStyle name="货币 2 3 9 7 8" xfId="31651" xr:uid="{00000000-0005-0000-0000-0000D37B0000}"/>
    <cellStyle name="货币 2 3 9 7 9" xfId="44022" xr:uid="{00000000-0005-0000-0000-000026AC0000}"/>
    <cellStyle name="货币 2 3 9 8" xfId="31776" xr:uid="{00000000-0005-0000-0000-0000507C0000}"/>
    <cellStyle name="货币 2 3 9 8 2" xfId="5244" xr:uid="{00000000-0005-0000-0000-0000AC140000}"/>
    <cellStyle name="货币 2 3 9 8 3" xfId="12588" xr:uid="{00000000-0005-0000-0000-00005C310000}"/>
    <cellStyle name="货币 2 3 9 8 4" xfId="45285" xr:uid="{00000000-0005-0000-0000-000015B10000}"/>
    <cellStyle name="货币 2 3 9 8 5" xfId="45286" xr:uid="{00000000-0005-0000-0000-000016B10000}"/>
    <cellStyle name="货币 2 3 9 8 6" xfId="45287" xr:uid="{00000000-0005-0000-0000-000017B10000}"/>
    <cellStyle name="货币 2 3 9 9" xfId="31779" xr:uid="{00000000-0005-0000-0000-0000537C0000}"/>
    <cellStyle name="货币 2 3 9 9 2" xfId="19328" xr:uid="{00000000-0005-0000-0000-0000B04B0000}"/>
    <cellStyle name="货币 2 3 9 9 3" xfId="19330" xr:uid="{00000000-0005-0000-0000-0000B24B0000}"/>
    <cellStyle name="货币 2 3 9 9 4" xfId="45288" xr:uid="{00000000-0005-0000-0000-000018B10000}"/>
    <cellStyle name="货币 2 3 9 9 5" xfId="45289" xr:uid="{00000000-0005-0000-0000-000019B10000}"/>
    <cellStyle name="货币 2 3 9 9 6" xfId="45290" xr:uid="{00000000-0005-0000-0000-00001AB10000}"/>
    <cellStyle name="货币 2 30" xfId="39335" xr:uid="{00000000-0005-0000-0000-0000D7990000}"/>
    <cellStyle name="货币 2 31" xfId="39337" xr:uid="{00000000-0005-0000-0000-0000D9990000}"/>
    <cellStyle name="货币 2 32" xfId="39339" xr:uid="{00000000-0005-0000-0000-0000DB990000}"/>
    <cellStyle name="货币 2 33" xfId="39341" xr:uid="{00000000-0005-0000-0000-0000DD990000}"/>
    <cellStyle name="货币 2 34" xfId="36205" xr:uid="{00000000-0005-0000-0000-00009D8D0000}"/>
    <cellStyle name="货币 2 4" xfId="22108" xr:uid="{00000000-0005-0000-0000-00008C560000}"/>
    <cellStyle name="货币 2 4 10" xfId="45291" xr:uid="{00000000-0005-0000-0000-00001BB10000}"/>
    <cellStyle name="货币 2 4 10 10" xfId="24718" xr:uid="{00000000-0005-0000-0000-0000BE600000}"/>
    <cellStyle name="货币 2 4 10 11" xfId="24720" xr:uid="{00000000-0005-0000-0000-0000C0600000}"/>
    <cellStyle name="货币 2 4 10 12" xfId="24722" xr:uid="{00000000-0005-0000-0000-0000C2600000}"/>
    <cellStyle name="货币 2 4 10 13" xfId="24724" xr:uid="{00000000-0005-0000-0000-0000C4600000}"/>
    <cellStyle name="货币 2 4 10 14" xfId="24726" xr:uid="{00000000-0005-0000-0000-0000C6600000}"/>
    <cellStyle name="货币 2 4 10 15" xfId="45292" xr:uid="{00000000-0005-0000-0000-00001CB10000}"/>
    <cellStyle name="货币 2 4 10 2" xfId="24562" xr:uid="{00000000-0005-0000-0000-000022600000}"/>
    <cellStyle name="货币 2 4 10 2 2" xfId="12869" xr:uid="{00000000-0005-0000-0000-000075320000}"/>
    <cellStyle name="货币 2 4 10 2 2 2" xfId="45293" xr:uid="{00000000-0005-0000-0000-00001DB10000}"/>
    <cellStyle name="货币 2 4 10 2 3" xfId="12873" xr:uid="{00000000-0005-0000-0000-000079320000}"/>
    <cellStyle name="货币 2 4 10 2 4" xfId="12877" xr:uid="{00000000-0005-0000-0000-00007D320000}"/>
    <cellStyle name="货币 2 4 10 2 5" xfId="1678" xr:uid="{00000000-0005-0000-0000-0000BE060000}"/>
    <cellStyle name="货币 2 4 10 2 6" xfId="22891" xr:uid="{00000000-0005-0000-0000-00009B590000}"/>
    <cellStyle name="货币 2 4 10 2 7" xfId="45294" xr:uid="{00000000-0005-0000-0000-00001EB10000}"/>
    <cellStyle name="货币 2 4 10 2 8" xfId="45295" xr:uid="{00000000-0005-0000-0000-00001FB10000}"/>
    <cellStyle name="货币 2 4 10 2 9" xfId="45296" xr:uid="{00000000-0005-0000-0000-000020B10000}"/>
    <cellStyle name="货币 2 4 10 3" xfId="6197" xr:uid="{00000000-0005-0000-0000-000065180000}"/>
    <cellStyle name="货币 2 4 10 3 2" xfId="45297" xr:uid="{00000000-0005-0000-0000-000021B10000}"/>
    <cellStyle name="货币 2 4 10 3 3" xfId="45298" xr:uid="{00000000-0005-0000-0000-000022B10000}"/>
    <cellStyle name="货币 2 4 10 3 4" xfId="45299" xr:uid="{00000000-0005-0000-0000-000023B10000}"/>
    <cellStyle name="货币 2 4 10 3 5" xfId="45300" xr:uid="{00000000-0005-0000-0000-000024B10000}"/>
    <cellStyle name="货币 2 4 10 3 6" xfId="45301" xr:uid="{00000000-0005-0000-0000-000025B10000}"/>
    <cellStyle name="货币 2 4 10 4" xfId="6852" xr:uid="{00000000-0005-0000-0000-0000F41A0000}"/>
    <cellStyle name="货币 2 4 10 4 2" xfId="45302" xr:uid="{00000000-0005-0000-0000-000026B10000}"/>
    <cellStyle name="货币 2 4 10 5" xfId="6911" xr:uid="{00000000-0005-0000-0000-00002F1B0000}"/>
    <cellStyle name="货币 2 4 10 6" xfId="6940" xr:uid="{00000000-0005-0000-0000-00004C1B0000}"/>
    <cellStyle name="货币 2 4 10 7" xfId="1445" xr:uid="{00000000-0005-0000-0000-0000D5050000}"/>
    <cellStyle name="货币 2 4 10 8" xfId="3585" xr:uid="{00000000-0005-0000-0000-0000310E0000}"/>
    <cellStyle name="货币 2 4 10 9" xfId="6996" xr:uid="{00000000-0005-0000-0000-0000841B0000}"/>
    <cellStyle name="货币 2 4 11" xfId="45303" xr:uid="{00000000-0005-0000-0000-000027B10000}"/>
    <cellStyle name="货币 2 4 11 10" xfId="13895" xr:uid="{00000000-0005-0000-0000-000077360000}"/>
    <cellStyle name="货币 2 4 11 11" xfId="13899" xr:uid="{00000000-0005-0000-0000-00007B360000}"/>
    <cellStyle name="货币 2 4 11 12" xfId="45304" xr:uid="{00000000-0005-0000-0000-000028B10000}"/>
    <cellStyle name="货币 2 4 11 13" xfId="45305" xr:uid="{00000000-0005-0000-0000-000029B10000}"/>
    <cellStyle name="货币 2 4 11 14" xfId="45306" xr:uid="{00000000-0005-0000-0000-00002AB10000}"/>
    <cellStyle name="货币 2 4 11 2" xfId="45307" xr:uid="{00000000-0005-0000-0000-00002BB10000}"/>
    <cellStyle name="货币 2 4 11 2 2" xfId="45308" xr:uid="{00000000-0005-0000-0000-00002CB10000}"/>
    <cellStyle name="货币 2 4 11 2 2 2" xfId="45309" xr:uid="{00000000-0005-0000-0000-00002DB10000}"/>
    <cellStyle name="货币 2 4 11 2 3" xfId="45310" xr:uid="{00000000-0005-0000-0000-00002EB10000}"/>
    <cellStyle name="货币 2 4 11 2 4" xfId="45311" xr:uid="{00000000-0005-0000-0000-00002FB10000}"/>
    <cellStyle name="货币 2 4 11 2 5" xfId="45312" xr:uid="{00000000-0005-0000-0000-000030B10000}"/>
    <cellStyle name="货币 2 4 11 2 6" xfId="45313" xr:uid="{00000000-0005-0000-0000-000031B10000}"/>
    <cellStyle name="货币 2 4 11 2 7" xfId="45314" xr:uid="{00000000-0005-0000-0000-000032B10000}"/>
    <cellStyle name="货币 2 4 11 2 8" xfId="45316" xr:uid="{00000000-0005-0000-0000-000034B10000}"/>
    <cellStyle name="货币 2 4 11 2 9" xfId="45317" xr:uid="{00000000-0005-0000-0000-000035B10000}"/>
    <cellStyle name="货币 2 4 11 3" xfId="45318" xr:uid="{00000000-0005-0000-0000-000036B10000}"/>
    <cellStyle name="货币 2 4 11 3 2" xfId="17606" xr:uid="{00000000-0005-0000-0000-0000F6440000}"/>
    <cellStyle name="货币 2 4 11 3 3" xfId="17608" xr:uid="{00000000-0005-0000-0000-0000F8440000}"/>
    <cellStyle name="货币 2 4 11 3 4" xfId="17612" xr:uid="{00000000-0005-0000-0000-0000FC440000}"/>
    <cellStyle name="货币 2 4 11 3 5" xfId="17614" xr:uid="{00000000-0005-0000-0000-0000FE440000}"/>
    <cellStyle name="货币 2 4 11 3 6" xfId="17617" xr:uid="{00000000-0005-0000-0000-000001450000}"/>
    <cellStyle name="货币 2 4 11 4" xfId="45320" xr:uid="{00000000-0005-0000-0000-000038B10000}"/>
    <cellStyle name="货币 2 4 11 4 2" xfId="45321" xr:uid="{00000000-0005-0000-0000-000039B10000}"/>
    <cellStyle name="货币 2 4 11 5" xfId="45322" xr:uid="{00000000-0005-0000-0000-00003AB10000}"/>
    <cellStyle name="货币 2 4 11 6" xfId="45323" xr:uid="{00000000-0005-0000-0000-00003BB10000}"/>
    <cellStyle name="货币 2 4 11 7" xfId="1472" xr:uid="{00000000-0005-0000-0000-0000F0050000}"/>
    <cellStyle name="货币 2 4 11 8" xfId="45324" xr:uid="{00000000-0005-0000-0000-00003CB10000}"/>
    <cellStyle name="货币 2 4 11 9" xfId="45325" xr:uid="{00000000-0005-0000-0000-00003DB10000}"/>
    <cellStyle name="货币 2 4 12" xfId="45326" xr:uid="{00000000-0005-0000-0000-00003EB10000}"/>
    <cellStyle name="货币 2 4 12 10" xfId="45327" xr:uid="{00000000-0005-0000-0000-00003FB10000}"/>
    <cellStyle name="货币 2 4 12 2" xfId="45328" xr:uid="{00000000-0005-0000-0000-000040B10000}"/>
    <cellStyle name="货币 2 4 12 2 2" xfId="45330" xr:uid="{00000000-0005-0000-0000-000042B10000}"/>
    <cellStyle name="货币 2 4 12 2 2 2" xfId="45332" xr:uid="{00000000-0005-0000-0000-000044B10000}"/>
    <cellStyle name="货币 2 4 12 2 3" xfId="45334" xr:uid="{00000000-0005-0000-0000-000046B10000}"/>
    <cellStyle name="货币 2 4 12 2 4" xfId="45336" xr:uid="{00000000-0005-0000-0000-000048B10000}"/>
    <cellStyle name="货币 2 4 12 2 5" xfId="45338" xr:uid="{00000000-0005-0000-0000-00004AB10000}"/>
    <cellStyle name="货币 2 4 12 3" xfId="45339" xr:uid="{00000000-0005-0000-0000-00004BB10000}"/>
    <cellStyle name="货币 2 4 12 3 2" xfId="45341" xr:uid="{00000000-0005-0000-0000-00004DB10000}"/>
    <cellStyle name="货币 2 4 12 4" xfId="45342" xr:uid="{00000000-0005-0000-0000-00004EB10000}"/>
    <cellStyle name="货币 2 4 12 5" xfId="45343" xr:uid="{00000000-0005-0000-0000-00004FB10000}"/>
    <cellStyle name="货币 2 4 12 6" xfId="45344" xr:uid="{00000000-0005-0000-0000-000050B10000}"/>
    <cellStyle name="货币 2 4 12 7" xfId="45345" xr:uid="{00000000-0005-0000-0000-000051B10000}"/>
    <cellStyle name="货币 2 4 12 8" xfId="45346" xr:uid="{00000000-0005-0000-0000-000052B10000}"/>
    <cellStyle name="货币 2 4 12 9" xfId="45347" xr:uid="{00000000-0005-0000-0000-000053B10000}"/>
    <cellStyle name="货币 2 4 13" xfId="4790" xr:uid="{00000000-0005-0000-0000-0000E6120000}"/>
    <cellStyle name="货币 2 4 13 2" xfId="45349" xr:uid="{00000000-0005-0000-0000-000055B10000}"/>
    <cellStyle name="货币 2 4 13 2 2" xfId="45351" xr:uid="{00000000-0005-0000-0000-000057B10000}"/>
    <cellStyle name="货币 2 4 13 3" xfId="45352" xr:uid="{00000000-0005-0000-0000-000058B10000}"/>
    <cellStyle name="货币 2 4 13 4" xfId="45353" xr:uid="{00000000-0005-0000-0000-000059B10000}"/>
    <cellStyle name="货币 2 4 13 5" xfId="45354" xr:uid="{00000000-0005-0000-0000-00005AB10000}"/>
    <cellStyle name="货币 2 4 13 6" xfId="45355" xr:uid="{00000000-0005-0000-0000-00005BB10000}"/>
    <cellStyle name="货币 2 4 13 7" xfId="45356" xr:uid="{00000000-0005-0000-0000-00005CB10000}"/>
    <cellStyle name="货币 2 4 13 8" xfId="45357" xr:uid="{00000000-0005-0000-0000-00005DB10000}"/>
    <cellStyle name="货币 2 4 13 9" xfId="544" xr:uid="{00000000-0005-0000-0000-000044020000}"/>
    <cellStyle name="货币 2 4 14" xfId="45359" xr:uid="{00000000-0005-0000-0000-00005FB10000}"/>
    <cellStyle name="货币 2 4 14 2" xfId="45361" xr:uid="{00000000-0005-0000-0000-000061B10000}"/>
    <cellStyle name="货币 2 4 14 2 2" xfId="45363" xr:uid="{00000000-0005-0000-0000-000063B10000}"/>
    <cellStyle name="货币 2 4 14 3" xfId="45364" xr:uid="{00000000-0005-0000-0000-000064B10000}"/>
    <cellStyle name="货币 2 4 14 4" xfId="45365" xr:uid="{00000000-0005-0000-0000-000065B10000}"/>
    <cellStyle name="货币 2 4 14 5" xfId="45366" xr:uid="{00000000-0005-0000-0000-000066B10000}"/>
    <cellStyle name="货币 2 4 14 6" xfId="45367" xr:uid="{00000000-0005-0000-0000-000067B10000}"/>
    <cellStyle name="货币 2 4 14 7" xfId="45368" xr:uid="{00000000-0005-0000-0000-000068B10000}"/>
    <cellStyle name="货币 2 4 14 8" xfId="45369" xr:uid="{00000000-0005-0000-0000-000069B10000}"/>
    <cellStyle name="货币 2 4 14 9" xfId="45370" xr:uid="{00000000-0005-0000-0000-00006AB10000}"/>
    <cellStyle name="货币 2 4 15" xfId="45372" xr:uid="{00000000-0005-0000-0000-00006CB10000}"/>
    <cellStyle name="货币 2 4 15 2" xfId="22255" xr:uid="{00000000-0005-0000-0000-00001F570000}"/>
    <cellStyle name="货币 2 4 15 3" xfId="24819" xr:uid="{00000000-0005-0000-0000-000023610000}"/>
    <cellStyle name="货币 2 4 15 4" xfId="7381" xr:uid="{00000000-0005-0000-0000-0000051D0000}"/>
    <cellStyle name="货币 2 4 15 5" xfId="7388" xr:uid="{00000000-0005-0000-0000-00000C1D0000}"/>
    <cellStyle name="货币 2 4 15 6" xfId="7395" xr:uid="{00000000-0005-0000-0000-0000131D0000}"/>
    <cellStyle name="货币 2 4 16" xfId="45374" xr:uid="{00000000-0005-0000-0000-00006EB10000}"/>
    <cellStyle name="货币 2 4 16 2" xfId="45376" xr:uid="{00000000-0005-0000-0000-000070B10000}"/>
    <cellStyle name="货币 2 4 16 3" xfId="45377" xr:uid="{00000000-0005-0000-0000-000071B10000}"/>
    <cellStyle name="货币 2 4 16 4" xfId="45378" xr:uid="{00000000-0005-0000-0000-000072B10000}"/>
    <cellStyle name="货币 2 4 16 5" xfId="45379" xr:uid="{00000000-0005-0000-0000-000073B10000}"/>
    <cellStyle name="货币 2 4 16 6" xfId="45380" xr:uid="{00000000-0005-0000-0000-000074B10000}"/>
    <cellStyle name="货币 2 4 17" xfId="45382" xr:uid="{00000000-0005-0000-0000-000076B10000}"/>
    <cellStyle name="货币 2 4 18" xfId="45384" xr:uid="{00000000-0005-0000-0000-000078B10000}"/>
    <cellStyle name="货币 2 4 19" xfId="45386" xr:uid="{00000000-0005-0000-0000-00007AB10000}"/>
    <cellStyle name="货币 2 4 2" xfId="45387" xr:uid="{00000000-0005-0000-0000-00007BB10000}"/>
    <cellStyle name="货币 2 4 2 10" xfId="45388" xr:uid="{00000000-0005-0000-0000-00007CB10000}"/>
    <cellStyle name="货币 2 4 2 10 2" xfId="45389" xr:uid="{00000000-0005-0000-0000-00007DB10000}"/>
    <cellStyle name="货币 2 4 2 10 2 2" xfId="21890" xr:uid="{00000000-0005-0000-0000-0000B2550000}"/>
    <cellStyle name="货币 2 4 2 10 3" xfId="45391" xr:uid="{00000000-0005-0000-0000-00007FB10000}"/>
    <cellStyle name="货币 2 4 2 10 4" xfId="45392" xr:uid="{00000000-0005-0000-0000-000080B10000}"/>
    <cellStyle name="货币 2 4 2 10 5" xfId="45393" xr:uid="{00000000-0005-0000-0000-000081B10000}"/>
    <cellStyle name="货币 2 4 2 10 6" xfId="45394" xr:uid="{00000000-0005-0000-0000-000082B10000}"/>
    <cellStyle name="货币 2 4 2 10 7" xfId="45395" xr:uid="{00000000-0005-0000-0000-000083B10000}"/>
    <cellStyle name="货币 2 4 2 10 8" xfId="45396" xr:uid="{00000000-0005-0000-0000-000084B10000}"/>
    <cellStyle name="货币 2 4 2 10 9" xfId="45397" xr:uid="{00000000-0005-0000-0000-000085B10000}"/>
    <cellStyle name="货币 2 4 2 11" xfId="45398" xr:uid="{00000000-0005-0000-0000-000086B10000}"/>
    <cellStyle name="货币 2 4 2 11 2" xfId="45399" xr:uid="{00000000-0005-0000-0000-000087B10000}"/>
    <cellStyle name="货币 2 4 2 11 3" xfId="45400" xr:uid="{00000000-0005-0000-0000-000088B10000}"/>
    <cellStyle name="货币 2 4 2 11 4" xfId="45401" xr:uid="{00000000-0005-0000-0000-000089B10000}"/>
    <cellStyle name="货币 2 4 2 11 5" xfId="45402" xr:uid="{00000000-0005-0000-0000-00008AB10000}"/>
    <cellStyle name="货币 2 4 2 11 6" xfId="45403" xr:uid="{00000000-0005-0000-0000-00008BB10000}"/>
    <cellStyle name="货币 2 4 2 12" xfId="45404" xr:uid="{00000000-0005-0000-0000-00008CB10000}"/>
    <cellStyle name="货币 2 4 2 12 2" xfId="45405" xr:uid="{00000000-0005-0000-0000-00008DB10000}"/>
    <cellStyle name="货币 2 4 2 12 3" xfId="45406" xr:uid="{00000000-0005-0000-0000-00008EB10000}"/>
    <cellStyle name="货币 2 4 2 12 4" xfId="45407" xr:uid="{00000000-0005-0000-0000-00008FB10000}"/>
    <cellStyle name="货币 2 4 2 12 5" xfId="45408" xr:uid="{00000000-0005-0000-0000-000090B10000}"/>
    <cellStyle name="货币 2 4 2 12 6" xfId="45409" xr:uid="{00000000-0005-0000-0000-000091B10000}"/>
    <cellStyle name="货币 2 4 2 13" xfId="45410" xr:uid="{00000000-0005-0000-0000-000092B10000}"/>
    <cellStyle name="货币 2 4 2 13 2" xfId="9897" xr:uid="{00000000-0005-0000-0000-0000D9260000}"/>
    <cellStyle name="货币 2 4 2 13 3" xfId="1815" xr:uid="{00000000-0005-0000-0000-000047070000}"/>
    <cellStyle name="货币 2 4 2 13 4" xfId="10142" xr:uid="{00000000-0005-0000-0000-0000CE270000}"/>
    <cellStyle name="货币 2 4 2 13 5" xfId="10152" xr:uid="{00000000-0005-0000-0000-0000D8270000}"/>
    <cellStyle name="货币 2 4 2 13 6" xfId="25165" xr:uid="{00000000-0005-0000-0000-00007D620000}"/>
    <cellStyle name="货币 2 4 2 14" xfId="45411" xr:uid="{00000000-0005-0000-0000-000093B10000}"/>
    <cellStyle name="货币 2 4 2 14 2" xfId="45412" xr:uid="{00000000-0005-0000-0000-000094B10000}"/>
    <cellStyle name="货币 2 4 2 14 3" xfId="45413" xr:uid="{00000000-0005-0000-0000-000095B10000}"/>
    <cellStyle name="货币 2 4 2 14 4" xfId="45414" xr:uid="{00000000-0005-0000-0000-000096B10000}"/>
    <cellStyle name="货币 2 4 2 14 5" xfId="45415" xr:uid="{00000000-0005-0000-0000-000097B10000}"/>
    <cellStyle name="货币 2 4 2 14 6" xfId="25176" xr:uid="{00000000-0005-0000-0000-000088620000}"/>
    <cellStyle name="货币 2 4 2 15" xfId="45417" xr:uid="{00000000-0005-0000-0000-000099B10000}"/>
    <cellStyle name="货币 2 4 2 16" xfId="45419" xr:uid="{00000000-0005-0000-0000-00009BB10000}"/>
    <cellStyle name="货币 2 4 2 17" xfId="45421" xr:uid="{00000000-0005-0000-0000-00009DB10000}"/>
    <cellStyle name="货币 2 4 2 18" xfId="45423" xr:uid="{00000000-0005-0000-0000-00009FB10000}"/>
    <cellStyle name="货币 2 4 2 19" xfId="45425" xr:uid="{00000000-0005-0000-0000-0000A1B10000}"/>
    <cellStyle name="货币 2 4 2 2" xfId="22969" xr:uid="{00000000-0005-0000-0000-0000E9590000}"/>
    <cellStyle name="货币 2 4 2 2 10" xfId="45426" xr:uid="{00000000-0005-0000-0000-0000A2B10000}"/>
    <cellStyle name="货币 2 4 2 2 10 2" xfId="45428" xr:uid="{00000000-0005-0000-0000-0000A4B10000}"/>
    <cellStyle name="货币 2 4 2 2 10 3" xfId="45430" xr:uid="{00000000-0005-0000-0000-0000A6B10000}"/>
    <cellStyle name="货币 2 4 2 2 10 4" xfId="45432" xr:uid="{00000000-0005-0000-0000-0000A8B10000}"/>
    <cellStyle name="货币 2 4 2 2 10 5" xfId="45434" xr:uid="{00000000-0005-0000-0000-0000AAB10000}"/>
    <cellStyle name="货币 2 4 2 2 10 6" xfId="2493" xr:uid="{00000000-0005-0000-0000-0000ED090000}"/>
    <cellStyle name="货币 2 4 2 2 11" xfId="45435" xr:uid="{00000000-0005-0000-0000-0000ABB10000}"/>
    <cellStyle name="货币 2 4 2 2 11 2" xfId="45436" xr:uid="{00000000-0005-0000-0000-0000ACB10000}"/>
    <cellStyle name="货币 2 4 2 2 11 3" xfId="38721" xr:uid="{00000000-0005-0000-0000-000071970000}"/>
    <cellStyle name="货币 2 4 2 2 11 4" xfId="38723" xr:uid="{00000000-0005-0000-0000-000073970000}"/>
    <cellStyle name="货币 2 4 2 2 11 5" xfId="38725" xr:uid="{00000000-0005-0000-0000-000075970000}"/>
    <cellStyle name="货币 2 4 2 2 11 6" xfId="3985" xr:uid="{00000000-0005-0000-0000-0000C10F0000}"/>
    <cellStyle name="货币 2 4 2 2 12" xfId="45437" xr:uid="{00000000-0005-0000-0000-0000ADB10000}"/>
    <cellStyle name="货币 2 4 2 2 13" xfId="45438" xr:uid="{00000000-0005-0000-0000-0000AEB10000}"/>
    <cellStyle name="货币 2 4 2 2 14" xfId="45439" xr:uid="{00000000-0005-0000-0000-0000AFB10000}"/>
    <cellStyle name="货币 2 4 2 2 15" xfId="45441" xr:uid="{00000000-0005-0000-0000-0000B1B10000}"/>
    <cellStyle name="货币 2 4 2 2 16" xfId="45443" xr:uid="{00000000-0005-0000-0000-0000B3B10000}"/>
    <cellStyle name="货币 2 4 2 2 17" xfId="45445" xr:uid="{00000000-0005-0000-0000-0000B5B10000}"/>
    <cellStyle name="货币 2 4 2 2 18" xfId="45447" xr:uid="{00000000-0005-0000-0000-0000B7B10000}"/>
    <cellStyle name="货币 2 4 2 2 19" xfId="45448" xr:uid="{00000000-0005-0000-0000-0000B8B10000}"/>
    <cellStyle name="货币 2 4 2 2 2" xfId="45449" xr:uid="{00000000-0005-0000-0000-0000B9B10000}"/>
    <cellStyle name="货币 2 4 2 2 2 10" xfId="45450" xr:uid="{00000000-0005-0000-0000-0000BAB10000}"/>
    <cellStyle name="货币 2 4 2 2 2 11" xfId="45451" xr:uid="{00000000-0005-0000-0000-0000BBB10000}"/>
    <cellStyle name="货币 2 4 2 2 2 12" xfId="29373" xr:uid="{00000000-0005-0000-0000-0000ED720000}"/>
    <cellStyle name="货币 2 4 2 2 2 13" xfId="45452" xr:uid="{00000000-0005-0000-0000-0000BCB10000}"/>
    <cellStyle name="货币 2 4 2 2 2 14" xfId="45453" xr:uid="{00000000-0005-0000-0000-0000BDB10000}"/>
    <cellStyle name="货币 2 4 2 2 2 15" xfId="45454" xr:uid="{00000000-0005-0000-0000-0000BEB10000}"/>
    <cellStyle name="货币 2 4 2 2 2 16" xfId="45455" xr:uid="{00000000-0005-0000-0000-0000BFB10000}"/>
    <cellStyle name="货币 2 4 2 2 2 17" xfId="28272" xr:uid="{00000000-0005-0000-0000-0000A06E0000}"/>
    <cellStyle name="货币 2 4 2 2 2 18" xfId="28274" xr:uid="{00000000-0005-0000-0000-0000A26E0000}"/>
    <cellStyle name="货币 2 4 2 2 2 2" xfId="45456" xr:uid="{00000000-0005-0000-0000-0000C0B10000}"/>
    <cellStyle name="货币 2 4 2 2 2 2 10" xfId="5523" xr:uid="{00000000-0005-0000-0000-0000C3150000}"/>
    <cellStyle name="货币 2 4 2 2 2 2 11" xfId="120" xr:uid="{00000000-0005-0000-0000-000082000000}"/>
    <cellStyle name="货币 2 4 2 2 2 2 12" xfId="5535" xr:uid="{00000000-0005-0000-0000-0000CF150000}"/>
    <cellStyle name="货币 2 4 2 2 2 2 2" xfId="2730" xr:uid="{00000000-0005-0000-0000-0000DA0A0000}"/>
    <cellStyle name="货币 2 4 2 2 2 2 2 2" xfId="45457" xr:uid="{00000000-0005-0000-0000-0000C1B10000}"/>
    <cellStyle name="货币 2 4 2 2 2 2 2 2 2" xfId="9444" xr:uid="{00000000-0005-0000-0000-000014250000}"/>
    <cellStyle name="货币 2 4 2 2 2 2 2 3" xfId="44873" xr:uid="{00000000-0005-0000-0000-000079AF0000}"/>
    <cellStyle name="货币 2 4 2 2 2 2 2 4" xfId="44120" xr:uid="{00000000-0005-0000-0000-000088AC0000}"/>
    <cellStyle name="货币 2 4 2 2 2 2 2 5" xfId="44124" xr:uid="{00000000-0005-0000-0000-00008CAC0000}"/>
    <cellStyle name="货币 2 4 2 2 2 2 3" xfId="8620" xr:uid="{00000000-0005-0000-0000-0000DC210000}"/>
    <cellStyle name="货币 2 4 2 2 2 2 3 2" xfId="45459" xr:uid="{00000000-0005-0000-0000-0000C3B10000}"/>
    <cellStyle name="货币 2 4 2 2 2 2 4" xfId="8630" xr:uid="{00000000-0005-0000-0000-0000E6210000}"/>
    <cellStyle name="货币 2 4 2 2 2 2 5" xfId="1343" xr:uid="{00000000-0005-0000-0000-00006F050000}"/>
    <cellStyle name="货币 2 4 2 2 2 2 6" xfId="1531" xr:uid="{00000000-0005-0000-0000-00002B060000}"/>
    <cellStyle name="货币 2 4 2 2 2 2 7" xfId="11196" xr:uid="{00000000-0005-0000-0000-0000EC2B0000}"/>
    <cellStyle name="货币 2 4 2 2 2 2 8" xfId="13472" xr:uid="{00000000-0005-0000-0000-0000D0340000}"/>
    <cellStyle name="货币 2 4 2 2 2 2 9" xfId="25418" xr:uid="{00000000-0005-0000-0000-00007A630000}"/>
    <cellStyle name="货币 2 4 2 2 2 3" xfId="45460" xr:uid="{00000000-0005-0000-0000-0000C4B10000}"/>
    <cellStyle name="货币 2 4 2 2 2 3 10" xfId="3314" xr:uid="{00000000-0005-0000-0000-0000220D0000}"/>
    <cellStyle name="货币 2 4 2 2 2 3 11" xfId="2642" xr:uid="{00000000-0005-0000-0000-0000820A0000}"/>
    <cellStyle name="货币 2 4 2 2 2 3 12" xfId="3386" xr:uid="{00000000-0005-0000-0000-00006A0D0000}"/>
    <cellStyle name="货币 2 4 2 2 2 3 2" xfId="45461" xr:uid="{00000000-0005-0000-0000-0000C5B10000}"/>
    <cellStyle name="货币 2 4 2 2 2 3 2 2" xfId="45462" xr:uid="{00000000-0005-0000-0000-0000C6B10000}"/>
    <cellStyle name="货币 2 4 2 2 2 3 2 2 2" xfId="24489" xr:uid="{00000000-0005-0000-0000-0000D95F0000}"/>
    <cellStyle name="货币 2 4 2 2 2 3 2 3" xfId="45463" xr:uid="{00000000-0005-0000-0000-0000C7B10000}"/>
    <cellStyle name="货币 2 4 2 2 2 3 2 4" xfId="44157" xr:uid="{00000000-0005-0000-0000-0000ADAC0000}"/>
    <cellStyle name="货币 2 4 2 2 2 3 2 5" xfId="44160" xr:uid="{00000000-0005-0000-0000-0000B0AC0000}"/>
    <cellStyle name="货币 2 4 2 2 2 3 3" xfId="45464" xr:uid="{00000000-0005-0000-0000-0000C8B10000}"/>
    <cellStyle name="货币 2 4 2 2 2 3 3 2" xfId="45465" xr:uid="{00000000-0005-0000-0000-0000C9B10000}"/>
    <cellStyle name="货币 2 4 2 2 2 3 4" xfId="45466" xr:uid="{00000000-0005-0000-0000-0000CAB10000}"/>
    <cellStyle name="货币 2 4 2 2 2 3 5" xfId="45467" xr:uid="{00000000-0005-0000-0000-0000CBB10000}"/>
    <cellStyle name="货币 2 4 2 2 2 3 6" xfId="45468" xr:uid="{00000000-0005-0000-0000-0000CCB10000}"/>
    <cellStyle name="货币 2 4 2 2 2 3 7" xfId="45469" xr:uid="{00000000-0005-0000-0000-0000CDB10000}"/>
    <cellStyle name="货币 2 4 2 2 2 3 8" xfId="45470" xr:uid="{00000000-0005-0000-0000-0000CEB10000}"/>
    <cellStyle name="货币 2 4 2 2 2 3 9" xfId="45471" xr:uid="{00000000-0005-0000-0000-0000CFB10000}"/>
    <cellStyle name="货币 2 4 2 2 2 4" xfId="45472" xr:uid="{00000000-0005-0000-0000-0000D0B10000}"/>
    <cellStyle name="货币 2 4 2 2 2 4 10" xfId="8234" xr:uid="{00000000-0005-0000-0000-00005A200000}"/>
    <cellStyle name="货币 2 4 2 2 2 4 2" xfId="45473" xr:uid="{00000000-0005-0000-0000-0000D1B10000}"/>
    <cellStyle name="货币 2 4 2 2 2 4 2 2" xfId="45474" xr:uid="{00000000-0005-0000-0000-0000D2B10000}"/>
    <cellStyle name="货币 2 4 2 2 2 4 2 2 2" xfId="24691" xr:uid="{00000000-0005-0000-0000-0000A3600000}"/>
    <cellStyle name="货币 2 4 2 2 2 4 2 3" xfId="45475" xr:uid="{00000000-0005-0000-0000-0000D3B10000}"/>
    <cellStyle name="货币 2 4 2 2 2 4 2 4" xfId="44174" xr:uid="{00000000-0005-0000-0000-0000BEAC0000}"/>
    <cellStyle name="货币 2 4 2 2 2 4 2 5" xfId="44177" xr:uid="{00000000-0005-0000-0000-0000C1AC0000}"/>
    <cellStyle name="货币 2 4 2 2 2 4 3" xfId="45476" xr:uid="{00000000-0005-0000-0000-0000D4B10000}"/>
    <cellStyle name="货币 2 4 2 2 2 4 3 2" xfId="655" xr:uid="{00000000-0005-0000-0000-0000BD020000}"/>
    <cellStyle name="货币 2 4 2 2 2 4 4" xfId="45477" xr:uid="{00000000-0005-0000-0000-0000D5B10000}"/>
    <cellStyle name="货币 2 4 2 2 2 4 5" xfId="45478" xr:uid="{00000000-0005-0000-0000-0000D6B10000}"/>
    <cellStyle name="货币 2 4 2 2 2 4 6" xfId="45479" xr:uid="{00000000-0005-0000-0000-0000D7B10000}"/>
    <cellStyle name="货币 2 4 2 2 2 4 7" xfId="45480" xr:uid="{00000000-0005-0000-0000-0000D8B10000}"/>
    <cellStyle name="货币 2 4 2 2 2 4 8" xfId="45481" xr:uid="{00000000-0005-0000-0000-0000D9B10000}"/>
    <cellStyle name="货币 2 4 2 2 2 4 9" xfId="45482" xr:uid="{00000000-0005-0000-0000-0000DAB10000}"/>
    <cellStyle name="货币 2 4 2 2 2 5" xfId="45483" xr:uid="{00000000-0005-0000-0000-0000DBB10000}"/>
    <cellStyle name="货币 2 4 2 2 2 5 10" xfId="24734" xr:uid="{00000000-0005-0000-0000-0000CE600000}"/>
    <cellStyle name="货币 2 4 2 2 2 5 2" xfId="45484" xr:uid="{00000000-0005-0000-0000-0000DCB10000}"/>
    <cellStyle name="货币 2 4 2 2 2 5 2 2" xfId="45485" xr:uid="{00000000-0005-0000-0000-0000DDB10000}"/>
    <cellStyle name="货币 2 4 2 2 2 5 2 2 2" xfId="24980" xr:uid="{00000000-0005-0000-0000-0000C4610000}"/>
    <cellStyle name="货币 2 4 2 2 2 5 2 3" xfId="45486" xr:uid="{00000000-0005-0000-0000-0000DEB10000}"/>
    <cellStyle name="货币 2 4 2 2 2 5 2 4" xfId="44198" xr:uid="{00000000-0005-0000-0000-0000D6AC0000}"/>
    <cellStyle name="货币 2 4 2 2 2 5 2 5" xfId="44201" xr:uid="{00000000-0005-0000-0000-0000D9AC0000}"/>
    <cellStyle name="货币 2 4 2 2 2 5 3" xfId="45487" xr:uid="{00000000-0005-0000-0000-0000DFB10000}"/>
    <cellStyle name="货币 2 4 2 2 2 5 3 2" xfId="45488" xr:uid="{00000000-0005-0000-0000-0000E0B10000}"/>
    <cellStyle name="货币 2 4 2 2 2 5 4" xfId="45489" xr:uid="{00000000-0005-0000-0000-0000E1B10000}"/>
    <cellStyle name="货币 2 4 2 2 2 5 5" xfId="16758" xr:uid="{00000000-0005-0000-0000-0000A6410000}"/>
    <cellStyle name="货币 2 4 2 2 2 5 6" xfId="16766" xr:uid="{00000000-0005-0000-0000-0000AE410000}"/>
    <cellStyle name="货币 2 4 2 2 2 5 7" xfId="3213" xr:uid="{00000000-0005-0000-0000-0000BD0C0000}"/>
    <cellStyle name="货币 2 4 2 2 2 5 8" xfId="16770" xr:uid="{00000000-0005-0000-0000-0000B2410000}"/>
    <cellStyle name="货币 2 4 2 2 2 5 9" xfId="45490" xr:uid="{00000000-0005-0000-0000-0000E2B10000}"/>
    <cellStyle name="货币 2 4 2 2 2 6" xfId="45491" xr:uid="{00000000-0005-0000-0000-0000E3B10000}"/>
    <cellStyle name="货币 2 4 2 2 2 6 2" xfId="45492" xr:uid="{00000000-0005-0000-0000-0000E4B10000}"/>
    <cellStyle name="货币 2 4 2 2 2 6 2 2" xfId="45493" xr:uid="{00000000-0005-0000-0000-0000E5B10000}"/>
    <cellStyle name="货币 2 4 2 2 2 6 3" xfId="45494" xr:uid="{00000000-0005-0000-0000-0000E6B10000}"/>
    <cellStyle name="货币 2 4 2 2 2 6 4" xfId="45495" xr:uid="{00000000-0005-0000-0000-0000E7B10000}"/>
    <cellStyle name="货币 2 4 2 2 2 6 5" xfId="12257" xr:uid="{00000000-0005-0000-0000-000011300000}"/>
    <cellStyle name="货币 2 4 2 2 2 6 6" xfId="45496" xr:uid="{00000000-0005-0000-0000-0000E8B10000}"/>
    <cellStyle name="货币 2 4 2 2 2 6 7" xfId="45497" xr:uid="{00000000-0005-0000-0000-0000E9B10000}"/>
    <cellStyle name="货币 2 4 2 2 2 6 8" xfId="45498" xr:uid="{00000000-0005-0000-0000-0000EAB10000}"/>
    <cellStyle name="货币 2 4 2 2 2 6 9" xfId="32284" xr:uid="{00000000-0005-0000-0000-00004C7E0000}"/>
    <cellStyle name="货币 2 4 2 2 2 7" xfId="45499" xr:uid="{00000000-0005-0000-0000-0000EBB10000}"/>
    <cellStyle name="货币 2 4 2 2 2 7 2" xfId="45500" xr:uid="{00000000-0005-0000-0000-0000ECB10000}"/>
    <cellStyle name="货币 2 4 2 2 2 8" xfId="45501" xr:uid="{00000000-0005-0000-0000-0000EDB10000}"/>
    <cellStyle name="货币 2 4 2 2 2 9" xfId="45502" xr:uid="{00000000-0005-0000-0000-0000EEB10000}"/>
    <cellStyle name="货币 2 4 2 2 20" xfId="45440" xr:uid="{00000000-0005-0000-0000-0000B0B10000}"/>
    <cellStyle name="货币 2 4 2 2 21" xfId="45442" xr:uid="{00000000-0005-0000-0000-0000B2B10000}"/>
    <cellStyle name="货币 2 4 2 2 22" xfId="45444" xr:uid="{00000000-0005-0000-0000-0000B4B10000}"/>
    <cellStyle name="货币 2 4 2 2 23" xfId="45446" xr:uid="{00000000-0005-0000-0000-0000B6B10000}"/>
    <cellStyle name="货币 2 4 2 2 3" xfId="45503" xr:uid="{00000000-0005-0000-0000-0000EFB10000}"/>
    <cellStyle name="货币 2 4 2 2 3 10" xfId="11829" xr:uid="{00000000-0005-0000-0000-0000652E0000}"/>
    <cellStyle name="货币 2 4 2 2 3 11" xfId="10962" xr:uid="{00000000-0005-0000-0000-0000022B0000}"/>
    <cellStyle name="货币 2 4 2 2 3 12" xfId="2612" xr:uid="{00000000-0005-0000-0000-0000640A0000}"/>
    <cellStyle name="货币 2 4 2 2 3 13" xfId="18775" xr:uid="{00000000-0005-0000-0000-000087490000}"/>
    <cellStyle name="货币 2 4 2 2 3 14" xfId="45504" xr:uid="{00000000-0005-0000-0000-0000F0B10000}"/>
    <cellStyle name="货币 2 4 2 2 3 15" xfId="45505" xr:uid="{00000000-0005-0000-0000-0000F1B10000}"/>
    <cellStyle name="货币 2 4 2 2 3 16" xfId="45506" xr:uid="{00000000-0005-0000-0000-0000F2B10000}"/>
    <cellStyle name="货币 2 4 2 2 3 17" xfId="28335" xr:uid="{00000000-0005-0000-0000-0000DF6E0000}"/>
    <cellStyle name="货币 2 4 2 2 3 18" xfId="28338" xr:uid="{00000000-0005-0000-0000-0000E26E0000}"/>
    <cellStyle name="货币 2 4 2 2 3 2" xfId="45507" xr:uid="{00000000-0005-0000-0000-0000F3B10000}"/>
    <cellStyle name="货币 2 4 2 2 3 2 10" xfId="45508" xr:uid="{00000000-0005-0000-0000-0000F4B10000}"/>
    <cellStyle name="货币 2 4 2 2 3 2 2" xfId="7348" xr:uid="{00000000-0005-0000-0000-0000E41C0000}"/>
    <cellStyle name="货币 2 4 2 2 3 2 2 2" xfId="45509" xr:uid="{00000000-0005-0000-0000-0000F5B10000}"/>
    <cellStyle name="货币 2 4 2 2 3 2 3" xfId="8794" xr:uid="{00000000-0005-0000-0000-00008A220000}"/>
    <cellStyle name="货币 2 4 2 2 3 2 4" xfId="45510" xr:uid="{00000000-0005-0000-0000-0000F6B10000}"/>
    <cellStyle name="货币 2 4 2 2 3 2 5" xfId="45511" xr:uid="{00000000-0005-0000-0000-0000F7B10000}"/>
    <cellStyle name="货币 2 4 2 2 3 2 6" xfId="45512" xr:uid="{00000000-0005-0000-0000-0000F8B10000}"/>
    <cellStyle name="货币 2 4 2 2 3 2 7" xfId="45513" xr:uid="{00000000-0005-0000-0000-0000F9B10000}"/>
    <cellStyle name="货币 2 4 2 2 3 2 8" xfId="23286" xr:uid="{00000000-0005-0000-0000-0000265B0000}"/>
    <cellStyle name="货币 2 4 2 2 3 2 9" xfId="45514" xr:uid="{00000000-0005-0000-0000-0000FAB10000}"/>
    <cellStyle name="货币 2 4 2 2 3 3" xfId="45515" xr:uid="{00000000-0005-0000-0000-0000FBB10000}"/>
    <cellStyle name="货币 2 4 2 2 3 3 2" xfId="45516" xr:uid="{00000000-0005-0000-0000-0000FCB10000}"/>
    <cellStyle name="货币 2 4 2 2 3 3 3" xfId="45517" xr:uid="{00000000-0005-0000-0000-0000FDB10000}"/>
    <cellStyle name="货币 2 4 2 2 3 3 4" xfId="45518" xr:uid="{00000000-0005-0000-0000-0000FEB10000}"/>
    <cellStyle name="货币 2 4 2 2 3 3 5" xfId="19782" xr:uid="{00000000-0005-0000-0000-0000764D0000}"/>
    <cellStyle name="货币 2 4 2 2 3 3 6" xfId="19789" xr:uid="{00000000-0005-0000-0000-00007D4D0000}"/>
    <cellStyle name="货币 2 4 2 2 3 4" xfId="45519" xr:uid="{00000000-0005-0000-0000-0000FFB10000}"/>
    <cellStyle name="货币 2 4 2 2 3 4 2" xfId="45520" xr:uid="{00000000-0005-0000-0000-000000B20000}"/>
    <cellStyle name="货币 2 4 2 2 3 4 3" xfId="45521" xr:uid="{00000000-0005-0000-0000-000001B20000}"/>
    <cellStyle name="货币 2 4 2 2 3 4 4" xfId="45522" xr:uid="{00000000-0005-0000-0000-000002B20000}"/>
    <cellStyle name="货币 2 4 2 2 3 4 5" xfId="45523" xr:uid="{00000000-0005-0000-0000-000003B20000}"/>
    <cellStyle name="货币 2 4 2 2 3 4 6" xfId="43661" xr:uid="{00000000-0005-0000-0000-0000BDAA0000}"/>
    <cellStyle name="货币 2 4 2 2 3 5" xfId="45524" xr:uid="{00000000-0005-0000-0000-000004B20000}"/>
    <cellStyle name="货币 2 4 2 2 3 5 2" xfId="45525" xr:uid="{00000000-0005-0000-0000-000005B20000}"/>
    <cellStyle name="货币 2 4 2 2 3 5 3" xfId="45526" xr:uid="{00000000-0005-0000-0000-000006B20000}"/>
    <cellStyle name="货币 2 4 2 2 3 5 4" xfId="45527" xr:uid="{00000000-0005-0000-0000-000007B20000}"/>
    <cellStyle name="货币 2 4 2 2 3 5 5" xfId="16782" xr:uid="{00000000-0005-0000-0000-0000BE410000}"/>
    <cellStyle name="货币 2 4 2 2 3 5 6" xfId="16797" xr:uid="{00000000-0005-0000-0000-0000CD410000}"/>
    <cellStyle name="货币 2 4 2 2 3 6" xfId="45528" xr:uid="{00000000-0005-0000-0000-000008B20000}"/>
    <cellStyle name="货币 2 4 2 2 3 6 2" xfId="45529" xr:uid="{00000000-0005-0000-0000-000009B20000}"/>
    <cellStyle name="货币 2 4 2 2 3 6 3" xfId="45530" xr:uid="{00000000-0005-0000-0000-00000AB20000}"/>
    <cellStyle name="货币 2 4 2 2 3 6 4" xfId="45531" xr:uid="{00000000-0005-0000-0000-00000BB20000}"/>
    <cellStyle name="货币 2 4 2 2 3 6 5" xfId="16824" xr:uid="{00000000-0005-0000-0000-0000E8410000}"/>
    <cellStyle name="货币 2 4 2 2 3 6 6" xfId="45532" xr:uid="{00000000-0005-0000-0000-00000CB20000}"/>
    <cellStyle name="货币 2 4 2 2 3 7" xfId="45533" xr:uid="{00000000-0005-0000-0000-00000DB20000}"/>
    <cellStyle name="货币 2 4 2 2 3 8" xfId="45535" xr:uid="{00000000-0005-0000-0000-00000FB20000}"/>
    <cellStyle name="货币 2 4 2 2 3 9" xfId="27350" xr:uid="{00000000-0005-0000-0000-0000066B0000}"/>
    <cellStyle name="货币 2 4 2 2 4" xfId="45536" xr:uid="{00000000-0005-0000-0000-000010B20000}"/>
    <cellStyle name="货币 2 4 2 2 4 10" xfId="32216" xr:uid="{00000000-0005-0000-0000-0000087E0000}"/>
    <cellStyle name="货币 2 4 2 2 4 11" xfId="39586" xr:uid="{00000000-0005-0000-0000-0000D29A0000}"/>
    <cellStyle name="货币 2 4 2 2 4 12" xfId="39589" xr:uid="{00000000-0005-0000-0000-0000D59A0000}"/>
    <cellStyle name="货币 2 4 2 2 4 13" xfId="39592" xr:uid="{00000000-0005-0000-0000-0000D89A0000}"/>
    <cellStyle name="货币 2 4 2 2 4 14" xfId="11414" xr:uid="{00000000-0005-0000-0000-0000C62C0000}"/>
    <cellStyle name="货币 2 4 2 2 4 15" xfId="39595" xr:uid="{00000000-0005-0000-0000-0000DB9A0000}"/>
    <cellStyle name="货币 2 4 2 2 4 2" xfId="45537" xr:uid="{00000000-0005-0000-0000-000011B20000}"/>
    <cellStyle name="货币 2 4 2 2 4 2 2" xfId="45538" xr:uid="{00000000-0005-0000-0000-000012B20000}"/>
    <cellStyle name="货币 2 4 2 2 4 2 2 2" xfId="25264" xr:uid="{00000000-0005-0000-0000-0000E0620000}"/>
    <cellStyle name="货币 2 4 2 2 4 2 3" xfId="45539" xr:uid="{00000000-0005-0000-0000-000013B20000}"/>
    <cellStyle name="货币 2 4 2 2 4 2 4" xfId="45540" xr:uid="{00000000-0005-0000-0000-000014B20000}"/>
    <cellStyle name="货币 2 4 2 2 4 2 5" xfId="45541" xr:uid="{00000000-0005-0000-0000-000015B20000}"/>
    <cellStyle name="货币 2 4 2 2 4 2 6" xfId="45542" xr:uid="{00000000-0005-0000-0000-000016B20000}"/>
    <cellStyle name="货币 2 4 2 2 4 2 7" xfId="45543" xr:uid="{00000000-0005-0000-0000-000017B20000}"/>
    <cellStyle name="货币 2 4 2 2 4 2 8" xfId="45544" xr:uid="{00000000-0005-0000-0000-000018B20000}"/>
    <cellStyle name="货币 2 4 2 2 4 2 9" xfId="45545" xr:uid="{00000000-0005-0000-0000-000019B20000}"/>
    <cellStyle name="货币 2 4 2 2 4 3" xfId="45546" xr:uid="{00000000-0005-0000-0000-00001AB20000}"/>
    <cellStyle name="货币 2 4 2 2 4 3 2" xfId="45547" xr:uid="{00000000-0005-0000-0000-00001BB20000}"/>
    <cellStyle name="货币 2 4 2 2 4 3 3" xfId="45548" xr:uid="{00000000-0005-0000-0000-00001CB20000}"/>
    <cellStyle name="货币 2 4 2 2 4 3 4" xfId="45549" xr:uid="{00000000-0005-0000-0000-00001DB20000}"/>
    <cellStyle name="货币 2 4 2 2 4 3 5" xfId="45550" xr:uid="{00000000-0005-0000-0000-00001EB20000}"/>
    <cellStyle name="货币 2 4 2 2 4 3 6" xfId="45551" xr:uid="{00000000-0005-0000-0000-00001FB20000}"/>
    <cellStyle name="货币 2 4 2 2 4 4" xfId="45552" xr:uid="{00000000-0005-0000-0000-000020B20000}"/>
    <cellStyle name="货币 2 4 2 2 4 4 2" xfId="45553" xr:uid="{00000000-0005-0000-0000-000021B20000}"/>
    <cellStyle name="货币 2 4 2 2 4 5" xfId="45554" xr:uid="{00000000-0005-0000-0000-000022B20000}"/>
    <cellStyle name="货币 2 4 2 2 4 6" xfId="45555" xr:uid="{00000000-0005-0000-0000-000023B20000}"/>
    <cellStyle name="货币 2 4 2 2 4 7" xfId="45556" xr:uid="{00000000-0005-0000-0000-000024B20000}"/>
    <cellStyle name="货币 2 4 2 2 4 8" xfId="45557" xr:uid="{00000000-0005-0000-0000-000025B20000}"/>
    <cellStyle name="货币 2 4 2 2 4 9" xfId="45559" xr:uid="{00000000-0005-0000-0000-000027B20000}"/>
    <cellStyle name="货币 2 4 2 2 5" xfId="1560" xr:uid="{00000000-0005-0000-0000-000048060000}"/>
    <cellStyle name="货币 2 4 2 2 5 10" xfId="5288" xr:uid="{00000000-0005-0000-0000-0000D8140000}"/>
    <cellStyle name="货币 2 4 2 2 5 11" xfId="7650" xr:uid="{00000000-0005-0000-0000-0000121E0000}"/>
    <cellStyle name="货币 2 4 2 2 5 12" xfId="19347" xr:uid="{00000000-0005-0000-0000-0000C34B0000}"/>
    <cellStyle name="货币 2 4 2 2 5 13" xfId="19350" xr:uid="{00000000-0005-0000-0000-0000C64B0000}"/>
    <cellStyle name="货币 2 4 2 2 5 2" xfId="4886" xr:uid="{00000000-0005-0000-0000-000046130000}"/>
    <cellStyle name="货币 2 4 2 2 5 2 2" xfId="4889" xr:uid="{00000000-0005-0000-0000-000049130000}"/>
    <cellStyle name="货币 2 4 2 2 5 2 2 2" xfId="45560" xr:uid="{00000000-0005-0000-0000-000028B20000}"/>
    <cellStyle name="货币 2 4 2 2 5 2 3" xfId="45561" xr:uid="{00000000-0005-0000-0000-000029B20000}"/>
    <cellStyle name="货币 2 4 2 2 5 2 4" xfId="45562" xr:uid="{00000000-0005-0000-0000-00002AB20000}"/>
    <cellStyle name="货币 2 4 2 2 5 2 5" xfId="45563" xr:uid="{00000000-0005-0000-0000-00002BB20000}"/>
    <cellStyle name="货币 2 4 2 2 5 2 6" xfId="45564" xr:uid="{00000000-0005-0000-0000-00002CB20000}"/>
    <cellStyle name="货币 2 4 2 2 5 2 7" xfId="45565" xr:uid="{00000000-0005-0000-0000-00002DB20000}"/>
    <cellStyle name="货币 2 4 2 2 5 2 8" xfId="45566" xr:uid="{00000000-0005-0000-0000-00002EB20000}"/>
    <cellStyle name="货币 2 4 2 2 5 2 9" xfId="45567" xr:uid="{00000000-0005-0000-0000-00002FB20000}"/>
    <cellStyle name="货币 2 4 2 2 5 3" xfId="4899" xr:uid="{00000000-0005-0000-0000-000053130000}"/>
    <cellStyle name="货币 2 4 2 2 5 3 2" xfId="45568" xr:uid="{00000000-0005-0000-0000-000030B20000}"/>
    <cellStyle name="货币 2 4 2 2 5 3 3" xfId="45569" xr:uid="{00000000-0005-0000-0000-000031B20000}"/>
    <cellStyle name="货币 2 4 2 2 5 3 4" xfId="45570" xr:uid="{00000000-0005-0000-0000-000032B20000}"/>
    <cellStyle name="货币 2 4 2 2 5 3 5" xfId="45571" xr:uid="{00000000-0005-0000-0000-000033B20000}"/>
    <cellStyle name="货币 2 4 2 2 5 3 6" xfId="45572" xr:uid="{00000000-0005-0000-0000-000034B20000}"/>
    <cellStyle name="货币 2 4 2 2 5 4" xfId="45573" xr:uid="{00000000-0005-0000-0000-000035B20000}"/>
    <cellStyle name="货币 2 4 2 2 5 4 2" xfId="45574" xr:uid="{00000000-0005-0000-0000-000036B20000}"/>
    <cellStyle name="货币 2 4 2 2 5 5" xfId="45575" xr:uid="{00000000-0005-0000-0000-000037B20000}"/>
    <cellStyle name="货币 2 4 2 2 5 6" xfId="45576" xr:uid="{00000000-0005-0000-0000-000038B20000}"/>
    <cellStyle name="货币 2 4 2 2 5 7" xfId="45577" xr:uid="{00000000-0005-0000-0000-000039B20000}"/>
    <cellStyle name="货币 2 4 2 2 5 8" xfId="45578" xr:uid="{00000000-0005-0000-0000-00003AB20000}"/>
    <cellStyle name="货币 2 4 2 2 5 9" xfId="45579" xr:uid="{00000000-0005-0000-0000-00003BB20000}"/>
    <cellStyle name="货币 2 4 2 2 6" xfId="4188" xr:uid="{00000000-0005-0000-0000-00008C100000}"/>
    <cellStyle name="货币 2 4 2 2 6 10" xfId="45580" xr:uid="{00000000-0005-0000-0000-00003CB20000}"/>
    <cellStyle name="货币 2 4 2 2 6 11" xfId="45581" xr:uid="{00000000-0005-0000-0000-00003DB20000}"/>
    <cellStyle name="货币 2 4 2 2 6 12" xfId="45583" xr:uid="{00000000-0005-0000-0000-00003FB20000}"/>
    <cellStyle name="货币 2 4 2 2 6 2" xfId="4198" xr:uid="{00000000-0005-0000-0000-000096100000}"/>
    <cellStyle name="货币 2 4 2 2 6 2 2" xfId="9062" xr:uid="{00000000-0005-0000-0000-000096230000}"/>
    <cellStyle name="货币 2 4 2 2 6 2 2 2" xfId="45584" xr:uid="{00000000-0005-0000-0000-000040B20000}"/>
    <cellStyle name="货币 2 4 2 2 6 2 3" xfId="9074" xr:uid="{00000000-0005-0000-0000-0000A2230000}"/>
    <cellStyle name="货币 2 4 2 2 6 2 4" xfId="9087" xr:uid="{00000000-0005-0000-0000-0000AF230000}"/>
    <cellStyle name="货币 2 4 2 2 6 2 5" xfId="9110" xr:uid="{00000000-0005-0000-0000-0000C6230000}"/>
    <cellStyle name="货币 2 4 2 2 6 2 6" xfId="45585" xr:uid="{00000000-0005-0000-0000-000041B20000}"/>
    <cellStyle name="货币 2 4 2 2 6 2 7" xfId="45586" xr:uid="{00000000-0005-0000-0000-000042B20000}"/>
    <cellStyle name="货币 2 4 2 2 6 2 8" xfId="45587" xr:uid="{00000000-0005-0000-0000-000043B20000}"/>
    <cellStyle name="货币 2 4 2 2 6 2 9" xfId="45588" xr:uid="{00000000-0005-0000-0000-000044B20000}"/>
    <cellStyle name="货币 2 4 2 2 6 3" xfId="45589" xr:uid="{00000000-0005-0000-0000-000045B20000}"/>
    <cellStyle name="货币 2 4 2 2 6 3 2" xfId="21951" xr:uid="{00000000-0005-0000-0000-0000EF550000}"/>
    <cellStyle name="货币 2 4 2 2 6 3 3" xfId="25540" xr:uid="{00000000-0005-0000-0000-0000F4630000}"/>
    <cellStyle name="货币 2 4 2 2 6 3 4" xfId="22341" xr:uid="{00000000-0005-0000-0000-000075570000}"/>
    <cellStyle name="货币 2 4 2 2 6 3 5" xfId="25548" xr:uid="{00000000-0005-0000-0000-0000FC630000}"/>
    <cellStyle name="货币 2 4 2 2 6 3 6" xfId="27445" xr:uid="{00000000-0005-0000-0000-0000656B0000}"/>
    <cellStyle name="货币 2 4 2 2 6 4" xfId="45590" xr:uid="{00000000-0005-0000-0000-000046B20000}"/>
    <cellStyle name="货币 2 4 2 2 6 4 2" xfId="25559" xr:uid="{00000000-0005-0000-0000-000007640000}"/>
    <cellStyle name="货币 2 4 2 2 6 5" xfId="45591" xr:uid="{00000000-0005-0000-0000-000047B20000}"/>
    <cellStyle name="货币 2 4 2 2 6 6" xfId="45592" xr:uid="{00000000-0005-0000-0000-000048B20000}"/>
    <cellStyle name="货币 2 4 2 2 6 7" xfId="45593" xr:uid="{00000000-0005-0000-0000-000049B20000}"/>
    <cellStyle name="货币 2 4 2 2 6 8" xfId="45594" xr:uid="{00000000-0005-0000-0000-00004AB20000}"/>
    <cellStyle name="货币 2 4 2 2 6 9" xfId="45595" xr:uid="{00000000-0005-0000-0000-00004BB20000}"/>
    <cellStyle name="货币 2 4 2 2 7" xfId="4909" xr:uid="{00000000-0005-0000-0000-00005D130000}"/>
    <cellStyle name="货币 2 4 2 2 7 2" xfId="4919" xr:uid="{00000000-0005-0000-0000-000067130000}"/>
    <cellStyle name="货币 2 4 2 2 7 2 2" xfId="25748" xr:uid="{00000000-0005-0000-0000-0000C4640000}"/>
    <cellStyle name="货币 2 4 2 2 7 3" xfId="45596" xr:uid="{00000000-0005-0000-0000-00004CB20000}"/>
    <cellStyle name="货币 2 4 2 2 7 4" xfId="45597" xr:uid="{00000000-0005-0000-0000-00004DB20000}"/>
    <cellStyle name="货币 2 4 2 2 7 5" xfId="45598" xr:uid="{00000000-0005-0000-0000-00004EB20000}"/>
    <cellStyle name="货币 2 4 2 2 7 6" xfId="45599" xr:uid="{00000000-0005-0000-0000-00004FB20000}"/>
    <cellStyle name="货币 2 4 2 2 7 7" xfId="45600" xr:uid="{00000000-0005-0000-0000-000050B20000}"/>
    <cellStyle name="货币 2 4 2 2 7 8" xfId="45601" xr:uid="{00000000-0005-0000-0000-000051B20000}"/>
    <cellStyle name="货币 2 4 2 2 7 9" xfId="45602" xr:uid="{00000000-0005-0000-0000-000052B20000}"/>
    <cellStyle name="货币 2 4 2 2 8" xfId="4082" xr:uid="{00000000-0005-0000-0000-000022100000}"/>
    <cellStyle name="货币 2 4 2 2 8 2" xfId="36820" xr:uid="{00000000-0005-0000-0000-000004900000}"/>
    <cellStyle name="货币 2 4 2 2 8 3" xfId="45603" xr:uid="{00000000-0005-0000-0000-000053B20000}"/>
    <cellStyle name="货币 2 4 2 2 8 4" xfId="45604" xr:uid="{00000000-0005-0000-0000-000054B20000}"/>
    <cellStyle name="货币 2 4 2 2 8 5" xfId="45605" xr:uid="{00000000-0005-0000-0000-000055B20000}"/>
    <cellStyle name="货币 2 4 2 2 8 6" xfId="45606" xr:uid="{00000000-0005-0000-0000-000056B20000}"/>
    <cellStyle name="货币 2 4 2 2 9" xfId="4088" xr:uid="{00000000-0005-0000-0000-000028100000}"/>
    <cellStyle name="货币 2 4 2 2 9 2" xfId="36829" xr:uid="{00000000-0005-0000-0000-00000D900000}"/>
    <cellStyle name="货币 2 4 2 2 9 3" xfId="45607" xr:uid="{00000000-0005-0000-0000-000057B20000}"/>
    <cellStyle name="货币 2 4 2 2 9 4" xfId="45608" xr:uid="{00000000-0005-0000-0000-000058B20000}"/>
    <cellStyle name="货币 2 4 2 2 9 5" xfId="45609" xr:uid="{00000000-0005-0000-0000-000059B20000}"/>
    <cellStyle name="货币 2 4 2 2 9 6" xfId="45610" xr:uid="{00000000-0005-0000-0000-00005AB20000}"/>
    <cellStyle name="货币 2 4 2 20" xfId="45416" xr:uid="{00000000-0005-0000-0000-000098B10000}"/>
    <cellStyle name="货币 2 4 2 21" xfId="45418" xr:uid="{00000000-0005-0000-0000-00009AB10000}"/>
    <cellStyle name="货币 2 4 2 22" xfId="45420" xr:uid="{00000000-0005-0000-0000-00009CB10000}"/>
    <cellStyle name="货币 2 4 2 23" xfId="45422" xr:uid="{00000000-0005-0000-0000-00009EB10000}"/>
    <cellStyle name="货币 2 4 2 24" xfId="45424" xr:uid="{00000000-0005-0000-0000-0000A0B10000}"/>
    <cellStyle name="货币 2 4 2 25" xfId="45611" xr:uid="{00000000-0005-0000-0000-00005BB20000}"/>
    <cellStyle name="货币 2 4 2 26" xfId="45612" xr:uid="{00000000-0005-0000-0000-00005CB20000}"/>
    <cellStyle name="货币 2 4 2 3" xfId="22971" xr:uid="{00000000-0005-0000-0000-0000EB590000}"/>
    <cellStyle name="货币 2 4 2 3 10" xfId="45613" xr:uid="{00000000-0005-0000-0000-00005DB20000}"/>
    <cellStyle name="货币 2 4 2 3 10 2" xfId="45614" xr:uid="{00000000-0005-0000-0000-00005EB20000}"/>
    <cellStyle name="货币 2 4 2 3 10 3" xfId="45615" xr:uid="{00000000-0005-0000-0000-00005FB20000}"/>
    <cellStyle name="货币 2 4 2 3 10 4" xfId="45616" xr:uid="{00000000-0005-0000-0000-000060B20000}"/>
    <cellStyle name="货币 2 4 2 3 10 5" xfId="45617" xr:uid="{00000000-0005-0000-0000-000061B20000}"/>
    <cellStyle name="货币 2 4 2 3 10 6" xfId="45618" xr:uid="{00000000-0005-0000-0000-000062B20000}"/>
    <cellStyle name="货币 2 4 2 3 11" xfId="45619" xr:uid="{00000000-0005-0000-0000-000063B20000}"/>
    <cellStyle name="货币 2 4 2 3 11 2" xfId="45620" xr:uid="{00000000-0005-0000-0000-000064B20000}"/>
    <cellStyle name="货币 2 4 2 3 11 3" xfId="38871" xr:uid="{00000000-0005-0000-0000-000007980000}"/>
    <cellStyle name="货币 2 4 2 3 11 4" xfId="38873" xr:uid="{00000000-0005-0000-0000-000009980000}"/>
    <cellStyle name="货币 2 4 2 3 11 5" xfId="38875" xr:uid="{00000000-0005-0000-0000-00000B980000}"/>
    <cellStyle name="货币 2 4 2 3 11 6" xfId="38877" xr:uid="{00000000-0005-0000-0000-00000D980000}"/>
    <cellStyle name="货币 2 4 2 3 12" xfId="45621" xr:uid="{00000000-0005-0000-0000-000065B20000}"/>
    <cellStyle name="货币 2 4 2 3 13" xfId="15085" xr:uid="{00000000-0005-0000-0000-00001D3B0000}"/>
    <cellStyle name="货币 2 4 2 3 14" xfId="44824" xr:uid="{00000000-0005-0000-0000-000048AF0000}"/>
    <cellStyle name="货币 2 4 2 3 15" xfId="44828" xr:uid="{00000000-0005-0000-0000-00004CAF0000}"/>
    <cellStyle name="货币 2 4 2 3 16" xfId="44832" xr:uid="{00000000-0005-0000-0000-000050AF0000}"/>
    <cellStyle name="货币 2 4 2 3 17" xfId="6054" xr:uid="{00000000-0005-0000-0000-0000D6170000}"/>
    <cellStyle name="货币 2 4 2 3 18" xfId="6204" xr:uid="{00000000-0005-0000-0000-00006C180000}"/>
    <cellStyle name="货币 2 4 2 3 19" xfId="6229" xr:uid="{00000000-0005-0000-0000-000085180000}"/>
    <cellStyle name="货币 2 4 2 3 2" xfId="45622" xr:uid="{00000000-0005-0000-0000-000066B20000}"/>
    <cellStyle name="货币 2 4 2 3 2 10" xfId="30660" xr:uid="{00000000-0005-0000-0000-0000F4770000}"/>
    <cellStyle name="货币 2 4 2 3 2 11" xfId="26496" xr:uid="{00000000-0005-0000-0000-0000B0670000}"/>
    <cellStyle name="货币 2 4 2 3 2 12" xfId="45623" xr:uid="{00000000-0005-0000-0000-000067B20000}"/>
    <cellStyle name="货币 2 4 2 3 2 13" xfId="45624" xr:uid="{00000000-0005-0000-0000-000068B20000}"/>
    <cellStyle name="货币 2 4 2 3 2 14" xfId="45625" xr:uid="{00000000-0005-0000-0000-000069B20000}"/>
    <cellStyle name="货币 2 4 2 3 2 15" xfId="45626" xr:uid="{00000000-0005-0000-0000-00006AB20000}"/>
    <cellStyle name="货币 2 4 2 3 2 16" xfId="45627" xr:uid="{00000000-0005-0000-0000-00006BB20000}"/>
    <cellStyle name="货币 2 4 2 3 2 17" xfId="28469" xr:uid="{00000000-0005-0000-0000-0000656F0000}"/>
    <cellStyle name="货币 2 4 2 3 2 18" xfId="21118" xr:uid="{00000000-0005-0000-0000-0000AE520000}"/>
    <cellStyle name="货币 2 4 2 3 2 2" xfId="45628" xr:uid="{00000000-0005-0000-0000-00006CB20000}"/>
    <cellStyle name="货币 2 4 2 3 2 2 10" xfId="35048" xr:uid="{00000000-0005-0000-0000-000018890000}"/>
    <cellStyle name="货币 2 4 2 3 2 2 11" xfId="40284" xr:uid="{00000000-0005-0000-0000-00008C9D0000}"/>
    <cellStyle name="货币 2 4 2 3 2 2 12" xfId="1317" xr:uid="{00000000-0005-0000-0000-000055050000}"/>
    <cellStyle name="货币 2 4 2 3 2 2 2" xfId="7283" xr:uid="{00000000-0005-0000-0000-0000A31C0000}"/>
    <cellStyle name="货币 2 4 2 3 2 2 2 2" xfId="45629" xr:uid="{00000000-0005-0000-0000-00006DB20000}"/>
    <cellStyle name="货币 2 4 2 3 2 2 2 2 2" xfId="45630" xr:uid="{00000000-0005-0000-0000-00006EB20000}"/>
    <cellStyle name="货币 2 4 2 3 2 2 2 3" xfId="45631" xr:uid="{00000000-0005-0000-0000-00006FB20000}"/>
    <cellStyle name="货币 2 4 2 3 2 2 2 4" xfId="41785" xr:uid="{00000000-0005-0000-0000-000069A30000}"/>
    <cellStyle name="货币 2 4 2 3 2 2 2 5" xfId="41789" xr:uid="{00000000-0005-0000-0000-00006DA30000}"/>
    <cellStyle name="货币 2 4 2 3 2 2 3" xfId="7365" xr:uid="{00000000-0005-0000-0000-0000F51C0000}"/>
    <cellStyle name="货币 2 4 2 3 2 2 3 2" xfId="45632" xr:uid="{00000000-0005-0000-0000-000070B20000}"/>
    <cellStyle name="货币 2 4 2 3 2 2 4" xfId="5091" xr:uid="{00000000-0005-0000-0000-000013140000}"/>
    <cellStyle name="货币 2 4 2 3 2 2 5" xfId="7427" xr:uid="{00000000-0005-0000-0000-0000331D0000}"/>
    <cellStyle name="货币 2 4 2 3 2 2 6" xfId="9392" xr:uid="{00000000-0005-0000-0000-0000E0240000}"/>
    <cellStyle name="货币 2 4 2 3 2 2 7" xfId="11597" xr:uid="{00000000-0005-0000-0000-00007D2D0000}"/>
    <cellStyle name="货币 2 4 2 3 2 2 8" xfId="13940" xr:uid="{00000000-0005-0000-0000-0000A4360000}"/>
    <cellStyle name="货币 2 4 2 3 2 2 9" xfId="26507" xr:uid="{00000000-0005-0000-0000-0000BB670000}"/>
    <cellStyle name="货币 2 4 2 3 2 3" xfId="45633" xr:uid="{00000000-0005-0000-0000-000071B20000}"/>
    <cellStyle name="货币 2 4 2 3 2 3 10" xfId="35154" xr:uid="{00000000-0005-0000-0000-000082890000}"/>
    <cellStyle name="货币 2 4 2 3 2 3 11" xfId="45634" xr:uid="{00000000-0005-0000-0000-000072B20000}"/>
    <cellStyle name="货币 2 4 2 3 2 3 12" xfId="45635" xr:uid="{00000000-0005-0000-0000-000073B20000}"/>
    <cellStyle name="货币 2 4 2 3 2 3 2" xfId="45636" xr:uid="{00000000-0005-0000-0000-000074B20000}"/>
    <cellStyle name="货币 2 4 2 3 2 3 2 2" xfId="45637" xr:uid="{00000000-0005-0000-0000-000075B20000}"/>
    <cellStyle name="货币 2 4 2 3 2 3 2 2 2" xfId="45638" xr:uid="{00000000-0005-0000-0000-000076B20000}"/>
    <cellStyle name="货币 2 4 2 3 2 3 2 3" xfId="45639" xr:uid="{00000000-0005-0000-0000-000077B20000}"/>
    <cellStyle name="货币 2 4 2 3 2 3 2 4" xfId="41824" xr:uid="{00000000-0005-0000-0000-000090A30000}"/>
    <cellStyle name="货币 2 4 2 3 2 3 2 5" xfId="41827" xr:uid="{00000000-0005-0000-0000-000093A30000}"/>
    <cellStyle name="货币 2 4 2 3 2 3 3" xfId="45640" xr:uid="{00000000-0005-0000-0000-000078B20000}"/>
    <cellStyle name="货币 2 4 2 3 2 3 3 2" xfId="45641" xr:uid="{00000000-0005-0000-0000-000079B20000}"/>
    <cellStyle name="货币 2 4 2 3 2 3 4" xfId="45642" xr:uid="{00000000-0005-0000-0000-00007AB20000}"/>
    <cellStyle name="货币 2 4 2 3 2 3 5" xfId="45643" xr:uid="{00000000-0005-0000-0000-00007BB20000}"/>
    <cellStyle name="货币 2 4 2 3 2 3 6" xfId="45644" xr:uid="{00000000-0005-0000-0000-00007CB20000}"/>
    <cellStyle name="货币 2 4 2 3 2 3 7" xfId="26518" xr:uid="{00000000-0005-0000-0000-0000C6670000}"/>
    <cellStyle name="货币 2 4 2 3 2 3 8" xfId="45645" xr:uid="{00000000-0005-0000-0000-00007DB20000}"/>
    <cellStyle name="货币 2 4 2 3 2 3 9" xfId="45646" xr:uid="{00000000-0005-0000-0000-00007EB20000}"/>
    <cellStyle name="货币 2 4 2 3 2 4" xfId="45647" xr:uid="{00000000-0005-0000-0000-00007FB20000}"/>
    <cellStyle name="货币 2 4 2 3 2 4 10" xfId="45648" xr:uid="{00000000-0005-0000-0000-000080B20000}"/>
    <cellStyle name="货币 2 4 2 3 2 4 2" xfId="6326" xr:uid="{00000000-0005-0000-0000-0000E6180000}"/>
    <cellStyle name="货币 2 4 2 3 2 4 2 2" xfId="45649" xr:uid="{00000000-0005-0000-0000-000081B20000}"/>
    <cellStyle name="货币 2 4 2 3 2 4 2 2 2" xfId="45650" xr:uid="{00000000-0005-0000-0000-000082B20000}"/>
    <cellStyle name="货币 2 4 2 3 2 4 2 3" xfId="45651" xr:uid="{00000000-0005-0000-0000-000083B20000}"/>
    <cellStyle name="货币 2 4 2 3 2 4 2 4" xfId="41861" xr:uid="{00000000-0005-0000-0000-0000B5A30000}"/>
    <cellStyle name="货币 2 4 2 3 2 4 2 5" xfId="45652" xr:uid="{00000000-0005-0000-0000-000084B20000}"/>
    <cellStyle name="货币 2 4 2 3 2 4 3" xfId="45653" xr:uid="{00000000-0005-0000-0000-000085B20000}"/>
    <cellStyle name="货币 2 4 2 3 2 4 3 2" xfId="45654" xr:uid="{00000000-0005-0000-0000-000086B20000}"/>
    <cellStyle name="货币 2 4 2 3 2 4 4" xfId="45655" xr:uid="{00000000-0005-0000-0000-000087B20000}"/>
    <cellStyle name="货币 2 4 2 3 2 4 5" xfId="45656" xr:uid="{00000000-0005-0000-0000-000088B20000}"/>
    <cellStyle name="货币 2 4 2 3 2 4 6" xfId="45657" xr:uid="{00000000-0005-0000-0000-000089B20000}"/>
    <cellStyle name="货币 2 4 2 3 2 4 7" xfId="45658" xr:uid="{00000000-0005-0000-0000-00008AB20000}"/>
    <cellStyle name="货币 2 4 2 3 2 4 8" xfId="45659" xr:uid="{00000000-0005-0000-0000-00008BB20000}"/>
    <cellStyle name="货币 2 4 2 3 2 4 9" xfId="45660" xr:uid="{00000000-0005-0000-0000-00008CB20000}"/>
    <cellStyle name="货币 2 4 2 3 2 5" xfId="45661" xr:uid="{00000000-0005-0000-0000-00008DB20000}"/>
    <cellStyle name="货币 2 4 2 3 2 5 10" xfId="12956" xr:uid="{00000000-0005-0000-0000-0000CC320000}"/>
    <cellStyle name="货币 2 4 2 3 2 5 2" xfId="45662" xr:uid="{00000000-0005-0000-0000-00008EB20000}"/>
    <cellStyle name="货币 2 4 2 3 2 5 2 2" xfId="45663" xr:uid="{00000000-0005-0000-0000-00008FB20000}"/>
    <cellStyle name="货币 2 4 2 3 2 5 2 2 2" xfId="45664" xr:uid="{00000000-0005-0000-0000-000090B20000}"/>
    <cellStyle name="货币 2 4 2 3 2 5 2 3" xfId="45665" xr:uid="{00000000-0005-0000-0000-000091B20000}"/>
    <cellStyle name="货币 2 4 2 3 2 5 2 4" xfId="41875" xr:uid="{00000000-0005-0000-0000-0000C3A30000}"/>
    <cellStyle name="货币 2 4 2 3 2 5 2 5" xfId="45666" xr:uid="{00000000-0005-0000-0000-000092B20000}"/>
    <cellStyle name="货币 2 4 2 3 2 5 3" xfId="45667" xr:uid="{00000000-0005-0000-0000-000093B20000}"/>
    <cellStyle name="货币 2 4 2 3 2 5 3 2" xfId="45668" xr:uid="{00000000-0005-0000-0000-000094B20000}"/>
    <cellStyle name="货币 2 4 2 3 2 5 4" xfId="45669" xr:uid="{00000000-0005-0000-0000-000095B20000}"/>
    <cellStyle name="货币 2 4 2 3 2 5 5" xfId="45670" xr:uid="{00000000-0005-0000-0000-000096B20000}"/>
    <cellStyle name="货币 2 4 2 3 2 5 6" xfId="45671" xr:uid="{00000000-0005-0000-0000-000097B20000}"/>
    <cellStyle name="货币 2 4 2 3 2 5 7" xfId="45672" xr:uid="{00000000-0005-0000-0000-000098B20000}"/>
    <cellStyle name="货币 2 4 2 3 2 5 8" xfId="45673" xr:uid="{00000000-0005-0000-0000-000099B20000}"/>
    <cellStyle name="货币 2 4 2 3 2 5 9" xfId="45674" xr:uid="{00000000-0005-0000-0000-00009AB20000}"/>
    <cellStyle name="货币 2 4 2 3 2 6" xfId="45675" xr:uid="{00000000-0005-0000-0000-00009BB20000}"/>
    <cellStyle name="货币 2 4 2 3 2 6 2" xfId="45676" xr:uid="{00000000-0005-0000-0000-00009CB20000}"/>
    <cellStyle name="货币 2 4 2 3 2 6 2 2" xfId="45677" xr:uid="{00000000-0005-0000-0000-00009DB20000}"/>
    <cellStyle name="货币 2 4 2 3 2 6 3" xfId="45678" xr:uid="{00000000-0005-0000-0000-00009EB20000}"/>
    <cellStyle name="货币 2 4 2 3 2 6 4" xfId="45679" xr:uid="{00000000-0005-0000-0000-00009FB20000}"/>
    <cellStyle name="货币 2 4 2 3 2 6 5" xfId="45680" xr:uid="{00000000-0005-0000-0000-0000A0B20000}"/>
    <cellStyle name="货币 2 4 2 3 2 6 6" xfId="45681" xr:uid="{00000000-0005-0000-0000-0000A1B20000}"/>
    <cellStyle name="货币 2 4 2 3 2 6 7" xfId="45682" xr:uid="{00000000-0005-0000-0000-0000A2B20000}"/>
    <cellStyle name="货币 2 4 2 3 2 6 8" xfId="45683" xr:uid="{00000000-0005-0000-0000-0000A3B20000}"/>
    <cellStyle name="货币 2 4 2 3 2 6 9" xfId="45684" xr:uid="{00000000-0005-0000-0000-0000A4B20000}"/>
    <cellStyle name="货币 2 4 2 3 2 7" xfId="45685" xr:uid="{00000000-0005-0000-0000-0000A5B20000}"/>
    <cellStyle name="货币 2 4 2 3 2 7 2" xfId="45686" xr:uid="{00000000-0005-0000-0000-0000A6B20000}"/>
    <cellStyle name="货币 2 4 2 3 2 8" xfId="45687" xr:uid="{00000000-0005-0000-0000-0000A7B20000}"/>
    <cellStyle name="货币 2 4 2 3 2 9" xfId="45688" xr:uid="{00000000-0005-0000-0000-0000A8B20000}"/>
    <cellStyle name="货币 2 4 2 3 20" xfId="44827" xr:uid="{00000000-0005-0000-0000-00004BAF0000}"/>
    <cellStyle name="货币 2 4 2 3 21" xfId="44831" xr:uid="{00000000-0005-0000-0000-00004FAF0000}"/>
    <cellStyle name="货币 2 4 2 3 22" xfId="6053" xr:uid="{00000000-0005-0000-0000-0000D5170000}"/>
    <cellStyle name="货币 2 4 2 3 23" xfId="6203" xr:uid="{00000000-0005-0000-0000-00006B180000}"/>
    <cellStyle name="货币 2 4 2 3 3" xfId="45689" xr:uid="{00000000-0005-0000-0000-0000A9B20000}"/>
    <cellStyle name="货币 2 4 2 3 3 10" xfId="45690" xr:uid="{00000000-0005-0000-0000-0000AAB20000}"/>
    <cellStyle name="货币 2 4 2 3 3 11" xfId="19893" xr:uid="{00000000-0005-0000-0000-0000E54D0000}"/>
    <cellStyle name="货币 2 4 2 3 3 12" xfId="19896" xr:uid="{00000000-0005-0000-0000-0000E84D0000}"/>
    <cellStyle name="货币 2 4 2 3 3 13" xfId="19901" xr:uid="{00000000-0005-0000-0000-0000ED4D0000}"/>
    <cellStyle name="货币 2 4 2 3 3 14" xfId="7279" xr:uid="{00000000-0005-0000-0000-00009F1C0000}"/>
    <cellStyle name="货币 2 4 2 3 3 15" xfId="45691" xr:uid="{00000000-0005-0000-0000-0000ABB20000}"/>
    <cellStyle name="货币 2 4 2 3 3 16" xfId="45692" xr:uid="{00000000-0005-0000-0000-0000ACB20000}"/>
    <cellStyle name="货币 2 4 2 3 3 17" xfId="28497" xr:uid="{00000000-0005-0000-0000-0000816F0000}"/>
    <cellStyle name="货币 2 4 2 3 3 18" xfId="28499" xr:uid="{00000000-0005-0000-0000-0000836F0000}"/>
    <cellStyle name="货币 2 4 2 3 3 2" xfId="45693" xr:uid="{00000000-0005-0000-0000-0000ADB20000}"/>
    <cellStyle name="货币 2 4 2 3 3 2 10" xfId="41316" xr:uid="{00000000-0005-0000-0000-000094A10000}"/>
    <cellStyle name="货币 2 4 2 3 3 2 2" xfId="9568" xr:uid="{00000000-0005-0000-0000-000090250000}"/>
    <cellStyle name="货币 2 4 2 3 3 2 2 2" xfId="22362" xr:uid="{00000000-0005-0000-0000-00008A570000}"/>
    <cellStyle name="货币 2 4 2 3 3 2 3" xfId="9574" xr:uid="{00000000-0005-0000-0000-000096250000}"/>
    <cellStyle name="货币 2 4 2 3 3 2 4" xfId="45694" xr:uid="{00000000-0005-0000-0000-0000AEB20000}"/>
    <cellStyle name="货币 2 4 2 3 3 2 5" xfId="45695" xr:uid="{00000000-0005-0000-0000-0000AFB20000}"/>
    <cellStyle name="货币 2 4 2 3 3 2 6" xfId="45696" xr:uid="{00000000-0005-0000-0000-0000B0B20000}"/>
    <cellStyle name="货币 2 4 2 3 3 2 7" xfId="26527" xr:uid="{00000000-0005-0000-0000-0000CF670000}"/>
    <cellStyle name="货币 2 4 2 3 3 2 8" xfId="38337" xr:uid="{00000000-0005-0000-0000-0000F1950000}"/>
    <cellStyle name="货币 2 4 2 3 3 2 9" xfId="45697" xr:uid="{00000000-0005-0000-0000-0000B1B20000}"/>
    <cellStyle name="货币 2 4 2 3 3 3" xfId="45698" xr:uid="{00000000-0005-0000-0000-0000B2B20000}"/>
    <cellStyle name="货币 2 4 2 3 3 3 2" xfId="45699" xr:uid="{00000000-0005-0000-0000-0000B3B20000}"/>
    <cellStyle name="货币 2 4 2 3 3 3 3" xfId="45700" xr:uid="{00000000-0005-0000-0000-0000B4B20000}"/>
    <cellStyle name="货币 2 4 2 3 3 3 4" xfId="45701" xr:uid="{00000000-0005-0000-0000-0000B5B20000}"/>
    <cellStyle name="货币 2 4 2 3 3 3 5" xfId="45702" xr:uid="{00000000-0005-0000-0000-0000B6B20000}"/>
    <cellStyle name="货币 2 4 2 3 3 3 6" xfId="45703" xr:uid="{00000000-0005-0000-0000-0000B7B20000}"/>
    <cellStyle name="货币 2 4 2 3 3 4" xfId="45704" xr:uid="{00000000-0005-0000-0000-0000B8B20000}"/>
    <cellStyle name="货币 2 4 2 3 3 4 2" xfId="45705" xr:uid="{00000000-0005-0000-0000-0000B9B20000}"/>
    <cellStyle name="货币 2 4 2 3 3 4 3" xfId="45706" xr:uid="{00000000-0005-0000-0000-0000BAB20000}"/>
    <cellStyle name="货币 2 4 2 3 3 4 4" xfId="45707" xr:uid="{00000000-0005-0000-0000-0000BBB20000}"/>
    <cellStyle name="货币 2 4 2 3 3 4 5" xfId="45708" xr:uid="{00000000-0005-0000-0000-0000BCB20000}"/>
    <cellStyle name="货币 2 4 2 3 3 4 6" xfId="43682" xr:uid="{00000000-0005-0000-0000-0000D2AA0000}"/>
    <cellStyle name="货币 2 4 2 3 3 5" xfId="45709" xr:uid="{00000000-0005-0000-0000-0000BDB20000}"/>
    <cellStyle name="货币 2 4 2 3 3 5 2" xfId="45710" xr:uid="{00000000-0005-0000-0000-0000BEB20000}"/>
    <cellStyle name="货币 2 4 2 3 3 5 3" xfId="45711" xr:uid="{00000000-0005-0000-0000-0000BFB20000}"/>
    <cellStyle name="货币 2 4 2 3 3 5 4" xfId="45712" xr:uid="{00000000-0005-0000-0000-0000C0B20000}"/>
    <cellStyle name="货币 2 4 2 3 3 5 5" xfId="45713" xr:uid="{00000000-0005-0000-0000-0000C1B20000}"/>
    <cellStyle name="货币 2 4 2 3 3 5 6" xfId="45714" xr:uid="{00000000-0005-0000-0000-0000C2B20000}"/>
    <cellStyle name="货币 2 4 2 3 3 6" xfId="35424" xr:uid="{00000000-0005-0000-0000-0000908A0000}"/>
    <cellStyle name="货币 2 4 2 3 3 6 2" xfId="45715" xr:uid="{00000000-0005-0000-0000-0000C3B20000}"/>
    <cellStyle name="货币 2 4 2 3 3 6 3" xfId="45716" xr:uid="{00000000-0005-0000-0000-0000C4B20000}"/>
    <cellStyle name="货币 2 4 2 3 3 6 4" xfId="45717" xr:uid="{00000000-0005-0000-0000-0000C5B20000}"/>
    <cellStyle name="货币 2 4 2 3 3 6 5" xfId="45718" xr:uid="{00000000-0005-0000-0000-0000C6B20000}"/>
    <cellStyle name="货币 2 4 2 3 3 6 6" xfId="45719" xr:uid="{00000000-0005-0000-0000-0000C7B20000}"/>
    <cellStyle name="货币 2 4 2 3 3 7" xfId="45720" xr:uid="{00000000-0005-0000-0000-0000C8B20000}"/>
    <cellStyle name="货币 2 4 2 3 3 8" xfId="45721" xr:uid="{00000000-0005-0000-0000-0000C9B20000}"/>
    <cellStyle name="货币 2 4 2 3 3 9" xfId="45723" xr:uid="{00000000-0005-0000-0000-0000CBB20000}"/>
    <cellStyle name="货币 2 4 2 3 4" xfId="45724" xr:uid="{00000000-0005-0000-0000-0000CCB20000}"/>
    <cellStyle name="货币 2 4 2 3 4 10" xfId="41436" xr:uid="{00000000-0005-0000-0000-00000CA20000}"/>
    <cellStyle name="货币 2 4 2 3 4 11" xfId="41445" xr:uid="{00000000-0005-0000-0000-000015A20000}"/>
    <cellStyle name="货币 2 4 2 3 4 12" xfId="41447" xr:uid="{00000000-0005-0000-0000-000017A20000}"/>
    <cellStyle name="货币 2 4 2 3 4 13" xfId="41449" xr:uid="{00000000-0005-0000-0000-000019A20000}"/>
    <cellStyle name="货币 2 4 2 3 4 14" xfId="41451" xr:uid="{00000000-0005-0000-0000-00001BA20000}"/>
    <cellStyle name="货币 2 4 2 3 4 15" xfId="41453" xr:uid="{00000000-0005-0000-0000-00001DA20000}"/>
    <cellStyle name="货币 2 4 2 3 4 2" xfId="45157" xr:uid="{00000000-0005-0000-0000-000095B00000}"/>
    <cellStyle name="货币 2 4 2 3 4 2 2" xfId="45725" xr:uid="{00000000-0005-0000-0000-0000CDB20000}"/>
    <cellStyle name="货币 2 4 2 3 4 2 2 2" xfId="34565" xr:uid="{00000000-0005-0000-0000-000035870000}"/>
    <cellStyle name="货币 2 4 2 3 4 2 3" xfId="45726" xr:uid="{00000000-0005-0000-0000-0000CEB20000}"/>
    <cellStyle name="货币 2 4 2 3 4 2 4" xfId="45727" xr:uid="{00000000-0005-0000-0000-0000CFB20000}"/>
    <cellStyle name="货币 2 4 2 3 4 2 5" xfId="45728" xr:uid="{00000000-0005-0000-0000-0000D0B20000}"/>
    <cellStyle name="货币 2 4 2 3 4 2 6" xfId="45730" xr:uid="{00000000-0005-0000-0000-0000D2B20000}"/>
    <cellStyle name="货币 2 4 2 3 4 2 7" xfId="45732" xr:uid="{00000000-0005-0000-0000-0000D4B20000}"/>
    <cellStyle name="货币 2 4 2 3 4 2 8" xfId="45734" xr:uid="{00000000-0005-0000-0000-0000D6B20000}"/>
    <cellStyle name="货币 2 4 2 3 4 2 9" xfId="45735" xr:uid="{00000000-0005-0000-0000-0000D7B20000}"/>
    <cellStyle name="货币 2 4 2 3 4 3" xfId="45736" xr:uid="{00000000-0005-0000-0000-0000D8B20000}"/>
    <cellStyle name="货币 2 4 2 3 4 3 2" xfId="45737" xr:uid="{00000000-0005-0000-0000-0000D9B20000}"/>
    <cellStyle name="货币 2 4 2 3 4 3 3" xfId="45738" xr:uid="{00000000-0005-0000-0000-0000DAB20000}"/>
    <cellStyle name="货币 2 4 2 3 4 3 4" xfId="45739" xr:uid="{00000000-0005-0000-0000-0000DBB20000}"/>
    <cellStyle name="货币 2 4 2 3 4 3 5" xfId="45740" xr:uid="{00000000-0005-0000-0000-0000DCB20000}"/>
    <cellStyle name="货币 2 4 2 3 4 3 6" xfId="45741" xr:uid="{00000000-0005-0000-0000-0000DDB20000}"/>
    <cellStyle name="货币 2 4 2 3 4 4" xfId="45742" xr:uid="{00000000-0005-0000-0000-0000DEB20000}"/>
    <cellStyle name="货币 2 4 2 3 4 4 2" xfId="45743" xr:uid="{00000000-0005-0000-0000-0000DFB20000}"/>
    <cellStyle name="货币 2 4 2 3 4 5" xfId="45744" xr:uid="{00000000-0005-0000-0000-0000E0B20000}"/>
    <cellStyle name="货币 2 4 2 3 4 6" xfId="45745" xr:uid="{00000000-0005-0000-0000-0000E1B20000}"/>
    <cellStyle name="货币 2 4 2 3 4 7" xfId="45746" xr:uid="{00000000-0005-0000-0000-0000E2B20000}"/>
    <cellStyle name="货币 2 4 2 3 4 8" xfId="45747" xr:uid="{00000000-0005-0000-0000-0000E3B20000}"/>
    <cellStyle name="货币 2 4 2 3 4 9" xfId="45749" xr:uid="{00000000-0005-0000-0000-0000E5B20000}"/>
    <cellStyle name="货币 2 4 2 3 5" xfId="1583" xr:uid="{00000000-0005-0000-0000-00005F060000}"/>
    <cellStyle name="货币 2 4 2 3 5 10" xfId="3031" xr:uid="{00000000-0005-0000-0000-0000070C0000}"/>
    <cellStyle name="货币 2 4 2 3 5 11" xfId="41505" xr:uid="{00000000-0005-0000-0000-000051A20000}"/>
    <cellStyle name="货币 2 4 2 3 5 12" xfId="41507" xr:uid="{00000000-0005-0000-0000-000053A20000}"/>
    <cellStyle name="货币 2 4 2 3 5 13" xfId="41509" xr:uid="{00000000-0005-0000-0000-000055A20000}"/>
    <cellStyle name="货币 2 4 2 3 5 2" xfId="4934" xr:uid="{00000000-0005-0000-0000-000076130000}"/>
    <cellStyle name="货币 2 4 2 3 5 2 2" xfId="4941" xr:uid="{00000000-0005-0000-0000-00007D130000}"/>
    <cellStyle name="货币 2 4 2 3 5 2 2 2" xfId="2597" xr:uid="{00000000-0005-0000-0000-0000550A0000}"/>
    <cellStyle name="货币 2 4 2 3 5 2 3" xfId="4947" xr:uid="{00000000-0005-0000-0000-000083130000}"/>
    <cellStyle name="货币 2 4 2 3 5 2 4" xfId="2773" xr:uid="{00000000-0005-0000-0000-0000050B0000}"/>
    <cellStyle name="货币 2 4 2 3 5 2 5" xfId="723" xr:uid="{00000000-0005-0000-0000-000003030000}"/>
    <cellStyle name="货币 2 4 2 3 5 2 6" xfId="4968" xr:uid="{00000000-0005-0000-0000-000098130000}"/>
    <cellStyle name="货币 2 4 2 3 5 2 7" xfId="4986" xr:uid="{00000000-0005-0000-0000-0000AA130000}"/>
    <cellStyle name="货币 2 4 2 3 5 2 8" xfId="68" xr:uid="{00000000-0005-0000-0000-000048000000}"/>
    <cellStyle name="货币 2 4 2 3 5 2 9" xfId="5007" xr:uid="{00000000-0005-0000-0000-0000BF130000}"/>
    <cellStyle name="货币 2 4 2 3 5 3" xfId="5013" xr:uid="{00000000-0005-0000-0000-0000C5130000}"/>
    <cellStyle name="货币 2 4 2 3 5 3 2" xfId="5015" xr:uid="{00000000-0005-0000-0000-0000C7130000}"/>
    <cellStyle name="货币 2 4 2 3 5 3 3" xfId="45750" xr:uid="{00000000-0005-0000-0000-0000E6B20000}"/>
    <cellStyle name="货币 2 4 2 3 5 3 4" xfId="45751" xr:uid="{00000000-0005-0000-0000-0000E7B20000}"/>
    <cellStyle name="货币 2 4 2 3 5 3 5" xfId="45752" xr:uid="{00000000-0005-0000-0000-0000E8B20000}"/>
    <cellStyle name="货币 2 4 2 3 5 3 6" xfId="45753" xr:uid="{00000000-0005-0000-0000-0000E9B20000}"/>
    <cellStyle name="货币 2 4 2 3 5 4" xfId="1698" xr:uid="{00000000-0005-0000-0000-0000D2060000}"/>
    <cellStyle name="货币 2 4 2 3 5 4 2" xfId="5018" xr:uid="{00000000-0005-0000-0000-0000CA130000}"/>
    <cellStyle name="货币 2 4 2 3 5 5" xfId="5024" xr:uid="{00000000-0005-0000-0000-0000D0130000}"/>
    <cellStyle name="货币 2 4 2 3 5 6" xfId="5040" xr:uid="{00000000-0005-0000-0000-0000E0130000}"/>
    <cellStyle name="货币 2 4 2 3 5 7" xfId="5050" xr:uid="{00000000-0005-0000-0000-0000EA130000}"/>
    <cellStyle name="货币 2 4 2 3 5 8" xfId="5071" xr:uid="{00000000-0005-0000-0000-0000FF130000}"/>
    <cellStyle name="货币 2 4 2 3 5 9" xfId="5087" xr:uid="{00000000-0005-0000-0000-00000F140000}"/>
    <cellStyle name="货币 2 4 2 3 6" xfId="4208" xr:uid="{00000000-0005-0000-0000-0000A0100000}"/>
    <cellStyle name="货币 2 4 2 3 6 10" xfId="42832" xr:uid="{00000000-0005-0000-0000-000080A70000}"/>
    <cellStyle name="货币 2 4 2 3 6 11" xfId="35667" xr:uid="{00000000-0005-0000-0000-0000838B0000}"/>
    <cellStyle name="货币 2 4 2 3 6 12" xfId="31510" xr:uid="{00000000-0005-0000-0000-0000467B0000}"/>
    <cellStyle name="货币 2 4 2 3 6 2" xfId="4214" xr:uid="{00000000-0005-0000-0000-0000A6100000}"/>
    <cellStyle name="货币 2 4 2 3 6 2 2" xfId="5107" xr:uid="{00000000-0005-0000-0000-000023140000}"/>
    <cellStyle name="货币 2 4 2 3 6 2 2 2" xfId="45754" xr:uid="{00000000-0005-0000-0000-0000EAB20000}"/>
    <cellStyle name="货币 2 4 2 3 6 2 3" xfId="26606" xr:uid="{00000000-0005-0000-0000-00001E680000}"/>
    <cellStyle name="货币 2 4 2 3 6 2 4" xfId="26608" xr:uid="{00000000-0005-0000-0000-000020680000}"/>
    <cellStyle name="货币 2 4 2 3 6 2 5" xfId="26610" xr:uid="{00000000-0005-0000-0000-000022680000}"/>
    <cellStyle name="货币 2 4 2 3 6 2 6" xfId="45755" xr:uid="{00000000-0005-0000-0000-0000EBB20000}"/>
    <cellStyle name="货币 2 4 2 3 6 2 7" xfId="45756" xr:uid="{00000000-0005-0000-0000-0000ECB20000}"/>
    <cellStyle name="货币 2 4 2 3 6 2 8" xfId="45757" xr:uid="{00000000-0005-0000-0000-0000EDB20000}"/>
    <cellStyle name="货币 2 4 2 3 6 2 9" xfId="45758" xr:uid="{00000000-0005-0000-0000-0000EEB20000}"/>
    <cellStyle name="货币 2 4 2 3 6 3" xfId="5120" xr:uid="{00000000-0005-0000-0000-000030140000}"/>
    <cellStyle name="货币 2 4 2 3 6 3 2" xfId="5126" xr:uid="{00000000-0005-0000-0000-000036140000}"/>
    <cellStyle name="货币 2 4 2 3 6 3 3" xfId="26641" xr:uid="{00000000-0005-0000-0000-000041680000}"/>
    <cellStyle name="货币 2 4 2 3 6 3 4" xfId="22357" xr:uid="{00000000-0005-0000-0000-000085570000}"/>
    <cellStyle name="货币 2 4 2 3 6 3 5" xfId="26644" xr:uid="{00000000-0005-0000-0000-000044680000}"/>
    <cellStyle name="货币 2 4 2 3 6 3 6" xfId="45759" xr:uid="{00000000-0005-0000-0000-0000EFB20000}"/>
    <cellStyle name="货币 2 4 2 3 6 4" xfId="364" xr:uid="{00000000-0005-0000-0000-000084010000}"/>
    <cellStyle name="货币 2 4 2 3 6 4 2" xfId="550" xr:uid="{00000000-0005-0000-0000-00004A020000}"/>
    <cellStyle name="货币 2 4 2 3 6 5" xfId="5144" xr:uid="{00000000-0005-0000-0000-000048140000}"/>
    <cellStyle name="货币 2 4 2 3 6 6" xfId="5152" xr:uid="{00000000-0005-0000-0000-000050140000}"/>
    <cellStyle name="货币 2 4 2 3 6 7" xfId="5164" xr:uid="{00000000-0005-0000-0000-00005C140000}"/>
    <cellStyle name="货币 2 4 2 3 6 8" xfId="5172" xr:uid="{00000000-0005-0000-0000-000064140000}"/>
    <cellStyle name="货币 2 4 2 3 6 9" xfId="5183" xr:uid="{00000000-0005-0000-0000-00006F140000}"/>
    <cellStyle name="货币 2 4 2 3 7" xfId="5194" xr:uid="{00000000-0005-0000-0000-00007A140000}"/>
    <cellStyle name="货币 2 4 2 3 7 2" xfId="5196" xr:uid="{00000000-0005-0000-0000-00007C140000}"/>
    <cellStyle name="货币 2 4 2 3 7 2 2" xfId="26874" xr:uid="{00000000-0005-0000-0000-00002A690000}"/>
    <cellStyle name="货币 2 4 2 3 7 3" xfId="45760" xr:uid="{00000000-0005-0000-0000-0000F0B20000}"/>
    <cellStyle name="货币 2 4 2 3 7 4" xfId="45761" xr:uid="{00000000-0005-0000-0000-0000F1B20000}"/>
    <cellStyle name="货币 2 4 2 3 7 5" xfId="45762" xr:uid="{00000000-0005-0000-0000-0000F2B20000}"/>
    <cellStyle name="货币 2 4 2 3 7 6" xfId="45763" xr:uid="{00000000-0005-0000-0000-0000F3B20000}"/>
    <cellStyle name="货币 2 4 2 3 7 7" xfId="45764" xr:uid="{00000000-0005-0000-0000-0000F4B20000}"/>
    <cellStyle name="货币 2 4 2 3 7 8" xfId="45765" xr:uid="{00000000-0005-0000-0000-0000F5B20000}"/>
    <cellStyle name="货币 2 4 2 3 7 9" xfId="45766" xr:uid="{00000000-0005-0000-0000-0000F6B20000}"/>
    <cellStyle name="货币 2 4 2 3 8" xfId="4124" xr:uid="{00000000-0005-0000-0000-00004C100000}"/>
    <cellStyle name="货币 2 4 2 3 8 2" xfId="5207" xr:uid="{00000000-0005-0000-0000-000087140000}"/>
    <cellStyle name="货币 2 4 2 3 8 3" xfId="45767" xr:uid="{00000000-0005-0000-0000-0000F7B20000}"/>
    <cellStyle name="货币 2 4 2 3 8 4" xfId="45768" xr:uid="{00000000-0005-0000-0000-0000F8B20000}"/>
    <cellStyle name="货币 2 4 2 3 8 5" xfId="45769" xr:uid="{00000000-0005-0000-0000-0000F9B20000}"/>
    <cellStyle name="货币 2 4 2 3 8 6" xfId="45770" xr:uid="{00000000-0005-0000-0000-0000FAB20000}"/>
    <cellStyle name="货币 2 4 2 3 9" xfId="5222" xr:uid="{00000000-0005-0000-0000-000096140000}"/>
    <cellStyle name="货币 2 4 2 3 9 2" xfId="1878" xr:uid="{00000000-0005-0000-0000-000086070000}"/>
    <cellStyle name="货币 2 4 2 3 9 3" xfId="45771" xr:uid="{00000000-0005-0000-0000-0000FBB20000}"/>
    <cellStyle name="货币 2 4 2 3 9 4" xfId="45772" xr:uid="{00000000-0005-0000-0000-0000FCB20000}"/>
    <cellStyle name="货币 2 4 2 3 9 5" xfId="45773" xr:uid="{00000000-0005-0000-0000-0000FDB20000}"/>
    <cellStyle name="货币 2 4 2 3 9 6" xfId="45774" xr:uid="{00000000-0005-0000-0000-0000FEB20000}"/>
    <cellStyle name="货币 2 4 2 4" xfId="45775" xr:uid="{00000000-0005-0000-0000-0000FFB20000}"/>
    <cellStyle name="货币 2 4 2 4 10" xfId="45776" xr:uid="{00000000-0005-0000-0000-000000B30000}"/>
    <cellStyle name="货币 2 4 2 4 10 2" xfId="45777" xr:uid="{00000000-0005-0000-0000-000001B30000}"/>
    <cellStyle name="货币 2 4 2 4 10 3" xfId="45778" xr:uid="{00000000-0005-0000-0000-000002B30000}"/>
    <cellStyle name="货币 2 4 2 4 10 4" xfId="45779" xr:uid="{00000000-0005-0000-0000-000003B30000}"/>
    <cellStyle name="货币 2 4 2 4 10 5" xfId="45780" xr:uid="{00000000-0005-0000-0000-000004B30000}"/>
    <cellStyle name="货币 2 4 2 4 10 6" xfId="45781" xr:uid="{00000000-0005-0000-0000-000005B30000}"/>
    <cellStyle name="货币 2 4 2 4 11" xfId="19539" xr:uid="{00000000-0005-0000-0000-0000834C0000}"/>
    <cellStyle name="货币 2 4 2 4 11 2" xfId="19541" xr:uid="{00000000-0005-0000-0000-0000854C0000}"/>
    <cellStyle name="货币 2 4 2 4 11 3" xfId="19543" xr:uid="{00000000-0005-0000-0000-0000874C0000}"/>
    <cellStyle name="货币 2 4 2 4 11 4" xfId="5268" xr:uid="{00000000-0005-0000-0000-0000C4140000}"/>
    <cellStyle name="货币 2 4 2 4 11 5" xfId="12776" xr:uid="{00000000-0005-0000-0000-000018320000}"/>
    <cellStyle name="货币 2 4 2 4 11 6" xfId="39078" xr:uid="{00000000-0005-0000-0000-0000D6980000}"/>
    <cellStyle name="货币 2 4 2 4 12" xfId="19546" xr:uid="{00000000-0005-0000-0000-00008A4C0000}"/>
    <cellStyle name="货币 2 4 2 4 13" xfId="16445" xr:uid="{00000000-0005-0000-0000-00006D400000}"/>
    <cellStyle name="货币 2 4 2 4 14" xfId="16451" xr:uid="{00000000-0005-0000-0000-000073400000}"/>
    <cellStyle name="货币 2 4 2 4 15" xfId="16456" xr:uid="{00000000-0005-0000-0000-000078400000}"/>
    <cellStyle name="货币 2 4 2 4 16" xfId="16464" xr:uid="{00000000-0005-0000-0000-000080400000}"/>
    <cellStyle name="货币 2 4 2 4 17" xfId="6358" xr:uid="{00000000-0005-0000-0000-000006190000}"/>
    <cellStyle name="货币 2 4 2 4 18" xfId="3770" xr:uid="{00000000-0005-0000-0000-0000EA0E0000}"/>
    <cellStyle name="货币 2 4 2 4 19" xfId="456" xr:uid="{00000000-0005-0000-0000-0000E5010000}"/>
    <cellStyle name="货币 2 4 2 4 2" xfId="45782" xr:uid="{00000000-0005-0000-0000-000006B30000}"/>
    <cellStyle name="货币 2 4 2 4 2 10" xfId="45783" xr:uid="{00000000-0005-0000-0000-000007B30000}"/>
    <cellStyle name="货币 2 4 2 4 2 11" xfId="45784" xr:uid="{00000000-0005-0000-0000-000008B30000}"/>
    <cellStyle name="货币 2 4 2 4 2 12" xfId="45785" xr:uid="{00000000-0005-0000-0000-000009B30000}"/>
    <cellStyle name="货币 2 4 2 4 2 13" xfId="45786" xr:uid="{00000000-0005-0000-0000-00000AB30000}"/>
    <cellStyle name="货币 2 4 2 4 2 14" xfId="45787" xr:uid="{00000000-0005-0000-0000-00000BB30000}"/>
    <cellStyle name="货币 2 4 2 4 2 15" xfId="45788" xr:uid="{00000000-0005-0000-0000-00000CB30000}"/>
    <cellStyle name="货币 2 4 2 4 2 16" xfId="45789" xr:uid="{00000000-0005-0000-0000-00000DB30000}"/>
    <cellStyle name="货币 2 4 2 4 2 17" xfId="45790" xr:uid="{00000000-0005-0000-0000-00000EB30000}"/>
    <cellStyle name="货币 2 4 2 4 2 18" xfId="45791" xr:uid="{00000000-0005-0000-0000-00000FB30000}"/>
    <cellStyle name="货币 2 4 2 4 2 2" xfId="45792" xr:uid="{00000000-0005-0000-0000-000010B30000}"/>
    <cellStyle name="货币 2 4 2 4 2 2 10" xfId="33917" xr:uid="{00000000-0005-0000-0000-0000AD840000}"/>
    <cellStyle name="货币 2 4 2 4 2 2 11" xfId="42356" xr:uid="{00000000-0005-0000-0000-0000A4A50000}"/>
    <cellStyle name="货币 2 4 2 4 2 2 12" xfId="42359" xr:uid="{00000000-0005-0000-0000-0000A7A50000}"/>
    <cellStyle name="货币 2 4 2 4 2 2 2" xfId="10103" xr:uid="{00000000-0005-0000-0000-0000A7270000}"/>
    <cellStyle name="货币 2 4 2 4 2 2 2 2" xfId="45793" xr:uid="{00000000-0005-0000-0000-000011B30000}"/>
    <cellStyle name="货币 2 4 2 4 2 2 2 2 2" xfId="45794" xr:uid="{00000000-0005-0000-0000-000012B30000}"/>
    <cellStyle name="货币 2 4 2 4 2 2 2 3" xfId="45795" xr:uid="{00000000-0005-0000-0000-000013B30000}"/>
    <cellStyle name="货币 2 4 2 4 2 2 2 4" xfId="44913" xr:uid="{00000000-0005-0000-0000-0000A1AF0000}"/>
    <cellStyle name="货币 2 4 2 4 2 2 2 5" xfId="45796" xr:uid="{00000000-0005-0000-0000-000014B30000}"/>
    <cellStyle name="货币 2 4 2 4 2 2 3" xfId="10107" xr:uid="{00000000-0005-0000-0000-0000AB270000}"/>
    <cellStyle name="货币 2 4 2 4 2 2 3 2" xfId="45797" xr:uid="{00000000-0005-0000-0000-000015B30000}"/>
    <cellStyle name="货币 2 4 2 4 2 2 4" xfId="10110" xr:uid="{00000000-0005-0000-0000-0000AE270000}"/>
    <cellStyle name="货币 2 4 2 4 2 2 5" xfId="10120" xr:uid="{00000000-0005-0000-0000-0000B8270000}"/>
    <cellStyle name="货币 2 4 2 4 2 2 6" xfId="10132" xr:uid="{00000000-0005-0000-0000-0000C4270000}"/>
    <cellStyle name="货币 2 4 2 4 2 2 7" xfId="45798" xr:uid="{00000000-0005-0000-0000-000016B30000}"/>
    <cellStyle name="货币 2 4 2 4 2 2 8" xfId="11211" xr:uid="{00000000-0005-0000-0000-0000FB2B0000}"/>
    <cellStyle name="货币 2 4 2 4 2 2 9" xfId="45799" xr:uid="{00000000-0005-0000-0000-000017B30000}"/>
    <cellStyle name="货币 2 4 2 4 2 3" xfId="45800" xr:uid="{00000000-0005-0000-0000-000018B30000}"/>
    <cellStyle name="货币 2 4 2 4 2 3 10" xfId="45801" xr:uid="{00000000-0005-0000-0000-000019B30000}"/>
    <cellStyle name="货币 2 4 2 4 2 3 11" xfId="45802" xr:uid="{00000000-0005-0000-0000-00001AB30000}"/>
    <cellStyle name="货币 2 4 2 4 2 3 12" xfId="45803" xr:uid="{00000000-0005-0000-0000-00001BB30000}"/>
    <cellStyle name="货币 2 4 2 4 2 3 2" xfId="45804" xr:uid="{00000000-0005-0000-0000-00001CB30000}"/>
    <cellStyle name="货币 2 4 2 4 2 3 2 2" xfId="45805" xr:uid="{00000000-0005-0000-0000-00001DB30000}"/>
    <cellStyle name="货币 2 4 2 4 2 3 2 2 2" xfId="45806" xr:uid="{00000000-0005-0000-0000-00001EB30000}"/>
    <cellStyle name="货币 2 4 2 4 2 3 2 3" xfId="45807" xr:uid="{00000000-0005-0000-0000-00001FB30000}"/>
    <cellStyle name="货币 2 4 2 4 2 3 2 4" xfId="44923" xr:uid="{00000000-0005-0000-0000-0000ABAF0000}"/>
    <cellStyle name="货币 2 4 2 4 2 3 2 5" xfId="45808" xr:uid="{00000000-0005-0000-0000-000020B30000}"/>
    <cellStyle name="货币 2 4 2 4 2 3 3" xfId="45809" xr:uid="{00000000-0005-0000-0000-000021B30000}"/>
    <cellStyle name="货币 2 4 2 4 2 3 3 2" xfId="45810" xr:uid="{00000000-0005-0000-0000-000022B30000}"/>
    <cellStyle name="货币 2 4 2 4 2 3 4" xfId="45811" xr:uid="{00000000-0005-0000-0000-000023B30000}"/>
    <cellStyle name="货币 2 4 2 4 2 3 5" xfId="45812" xr:uid="{00000000-0005-0000-0000-000024B30000}"/>
    <cellStyle name="货币 2 4 2 4 2 3 6" xfId="45813" xr:uid="{00000000-0005-0000-0000-000025B30000}"/>
    <cellStyle name="货币 2 4 2 4 2 3 7" xfId="45814" xr:uid="{00000000-0005-0000-0000-000026B30000}"/>
    <cellStyle name="货币 2 4 2 4 2 3 8" xfId="45815" xr:uid="{00000000-0005-0000-0000-000027B30000}"/>
    <cellStyle name="货币 2 4 2 4 2 3 9" xfId="45816" xr:uid="{00000000-0005-0000-0000-000028B30000}"/>
    <cellStyle name="货币 2 4 2 4 2 4" xfId="40954" xr:uid="{00000000-0005-0000-0000-00002AA00000}"/>
    <cellStyle name="货币 2 4 2 4 2 4 10" xfId="45817" xr:uid="{00000000-0005-0000-0000-000029B30000}"/>
    <cellStyle name="货币 2 4 2 4 2 4 2" xfId="45818" xr:uid="{00000000-0005-0000-0000-00002AB30000}"/>
    <cellStyle name="货币 2 4 2 4 2 4 2 2" xfId="45819" xr:uid="{00000000-0005-0000-0000-00002BB30000}"/>
    <cellStyle name="货币 2 4 2 4 2 4 2 2 2" xfId="45820" xr:uid="{00000000-0005-0000-0000-00002CB30000}"/>
    <cellStyle name="货币 2 4 2 4 2 4 2 3" xfId="45821" xr:uid="{00000000-0005-0000-0000-00002DB30000}"/>
    <cellStyle name="货币 2 4 2 4 2 4 2 4" xfId="44932" xr:uid="{00000000-0005-0000-0000-0000B4AF0000}"/>
    <cellStyle name="货币 2 4 2 4 2 4 2 5" xfId="45822" xr:uid="{00000000-0005-0000-0000-00002EB30000}"/>
    <cellStyle name="货币 2 4 2 4 2 4 3" xfId="45823" xr:uid="{00000000-0005-0000-0000-00002FB30000}"/>
    <cellStyle name="货币 2 4 2 4 2 4 3 2" xfId="45824" xr:uid="{00000000-0005-0000-0000-000030B30000}"/>
    <cellStyle name="货币 2 4 2 4 2 4 4" xfId="45825" xr:uid="{00000000-0005-0000-0000-000031B30000}"/>
    <cellStyle name="货币 2 4 2 4 2 4 5" xfId="45826" xr:uid="{00000000-0005-0000-0000-000032B30000}"/>
    <cellStyle name="货币 2 4 2 4 2 4 6" xfId="45827" xr:uid="{00000000-0005-0000-0000-000033B30000}"/>
    <cellStyle name="货币 2 4 2 4 2 4 7" xfId="45828" xr:uid="{00000000-0005-0000-0000-000034B30000}"/>
    <cellStyle name="货币 2 4 2 4 2 4 8" xfId="45829" xr:uid="{00000000-0005-0000-0000-000035B30000}"/>
    <cellStyle name="货币 2 4 2 4 2 4 9" xfId="31517" xr:uid="{00000000-0005-0000-0000-00004D7B0000}"/>
    <cellStyle name="货币 2 4 2 4 2 5" xfId="40956" xr:uid="{00000000-0005-0000-0000-00002CA00000}"/>
    <cellStyle name="货币 2 4 2 4 2 5 10" xfId="45831" xr:uid="{00000000-0005-0000-0000-000037B30000}"/>
    <cellStyle name="货币 2 4 2 4 2 5 2" xfId="45832" xr:uid="{00000000-0005-0000-0000-000038B30000}"/>
    <cellStyle name="货币 2 4 2 4 2 5 2 2" xfId="24588" xr:uid="{00000000-0005-0000-0000-00003C600000}"/>
    <cellStyle name="货币 2 4 2 4 2 5 2 2 2" xfId="45833" xr:uid="{00000000-0005-0000-0000-000039B30000}"/>
    <cellStyle name="货币 2 4 2 4 2 5 2 3" xfId="24591" xr:uid="{00000000-0005-0000-0000-00003F600000}"/>
    <cellStyle name="货币 2 4 2 4 2 5 2 4" xfId="31195" xr:uid="{00000000-0005-0000-0000-00000B7A0000}"/>
    <cellStyle name="货币 2 4 2 4 2 5 2 5" xfId="31199" xr:uid="{00000000-0005-0000-0000-00000F7A0000}"/>
    <cellStyle name="货币 2 4 2 4 2 5 3" xfId="11128" xr:uid="{00000000-0005-0000-0000-0000A82B0000}"/>
    <cellStyle name="货币 2 4 2 4 2 5 3 2" xfId="15525" xr:uid="{00000000-0005-0000-0000-0000D53C0000}"/>
    <cellStyle name="货币 2 4 2 4 2 5 4" xfId="11133" xr:uid="{00000000-0005-0000-0000-0000AD2B0000}"/>
    <cellStyle name="货币 2 4 2 4 2 5 5" xfId="45834" xr:uid="{00000000-0005-0000-0000-00003AB30000}"/>
    <cellStyle name="货币 2 4 2 4 2 5 6" xfId="45835" xr:uid="{00000000-0005-0000-0000-00003BB30000}"/>
    <cellStyle name="货币 2 4 2 4 2 5 7" xfId="45836" xr:uid="{00000000-0005-0000-0000-00003CB30000}"/>
    <cellStyle name="货币 2 4 2 4 2 5 8" xfId="45837" xr:uid="{00000000-0005-0000-0000-00003DB30000}"/>
    <cellStyle name="货币 2 4 2 4 2 5 9" xfId="45838" xr:uid="{00000000-0005-0000-0000-00003EB30000}"/>
    <cellStyle name="货币 2 4 2 4 2 6" xfId="40958" xr:uid="{00000000-0005-0000-0000-00002EA00000}"/>
    <cellStyle name="货币 2 4 2 4 2 6 2" xfId="45839" xr:uid="{00000000-0005-0000-0000-00003FB30000}"/>
    <cellStyle name="货币 2 4 2 4 2 6 2 2" xfId="45840" xr:uid="{00000000-0005-0000-0000-000040B30000}"/>
    <cellStyle name="货币 2 4 2 4 2 6 3" xfId="29413" xr:uid="{00000000-0005-0000-0000-000015730000}"/>
    <cellStyle name="货币 2 4 2 4 2 6 4" xfId="45841" xr:uid="{00000000-0005-0000-0000-000041B30000}"/>
    <cellStyle name="货币 2 4 2 4 2 6 5" xfId="45842" xr:uid="{00000000-0005-0000-0000-000042B30000}"/>
    <cellStyle name="货币 2 4 2 4 2 6 6" xfId="45843" xr:uid="{00000000-0005-0000-0000-000043B30000}"/>
    <cellStyle name="货币 2 4 2 4 2 6 7" xfId="45844" xr:uid="{00000000-0005-0000-0000-000044B30000}"/>
    <cellStyle name="货币 2 4 2 4 2 6 8" xfId="45845" xr:uid="{00000000-0005-0000-0000-000045B30000}"/>
    <cellStyle name="货币 2 4 2 4 2 6 9" xfId="45846" xr:uid="{00000000-0005-0000-0000-000046B30000}"/>
    <cellStyle name="货币 2 4 2 4 2 7" xfId="40960" xr:uid="{00000000-0005-0000-0000-000030A00000}"/>
    <cellStyle name="货币 2 4 2 4 2 7 2" xfId="45847" xr:uid="{00000000-0005-0000-0000-000047B30000}"/>
    <cellStyle name="货币 2 4 2 4 2 8" xfId="45848" xr:uid="{00000000-0005-0000-0000-000048B30000}"/>
    <cellStyle name="货币 2 4 2 4 2 9" xfId="45849" xr:uid="{00000000-0005-0000-0000-000049B30000}"/>
    <cellStyle name="货币 2 4 2 4 20" xfId="16455" xr:uid="{00000000-0005-0000-0000-000077400000}"/>
    <cellStyle name="货币 2 4 2 4 21" xfId="16463" xr:uid="{00000000-0005-0000-0000-00007F400000}"/>
    <cellStyle name="货币 2 4 2 4 22" xfId="6357" xr:uid="{00000000-0005-0000-0000-000005190000}"/>
    <cellStyle name="货币 2 4 2 4 23" xfId="3769" xr:uid="{00000000-0005-0000-0000-0000E90E0000}"/>
    <cellStyle name="货币 2 4 2 4 3" xfId="45850" xr:uid="{00000000-0005-0000-0000-00004AB30000}"/>
    <cellStyle name="货币 2 4 2 4 3 10" xfId="39498" xr:uid="{00000000-0005-0000-0000-00007A9A0000}"/>
    <cellStyle name="货币 2 4 2 4 3 11" xfId="39500" xr:uid="{00000000-0005-0000-0000-00007C9A0000}"/>
    <cellStyle name="货币 2 4 2 4 3 12" xfId="39502" xr:uid="{00000000-0005-0000-0000-00007E9A0000}"/>
    <cellStyle name="货币 2 4 2 4 3 13" xfId="39504" xr:uid="{00000000-0005-0000-0000-0000809A0000}"/>
    <cellStyle name="货币 2 4 2 4 3 14" xfId="45851" xr:uid="{00000000-0005-0000-0000-00004BB30000}"/>
    <cellStyle name="货币 2 4 2 4 3 15" xfId="45852" xr:uid="{00000000-0005-0000-0000-00004CB30000}"/>
    <cellStyle name="货币 2 4 2 4 3 16" xfId="1854" xr:uid="{00000000-0005-0000-0000-00006E070000}"/>
    <cellStyle name="货币 2 4 2 4 3 17" xfId="1930" xr:uid="{00000000-0005-0000-0000-0000BA070000}"/>
    <cellStyle name="货币 2 4 2 4 3 18" xfId="1914" xr:uid="{00000000-0005-0000-0000-0000AA070000}"/>
    <cellStyle name="货币 2 4 2 4 3 2" xfId="45853" xr:uid="{00000000-0005-0000-0000-00004DB30000}"/>
    <cellStyle name="货币 2 4 2 4 3 2 10" xfId="45854" xr:uid="{00000000-0005-0000-0000-00004EB30000}"/>
    <cellStyle name="货币 2 4 2 4 3 2 2" xfId="1046" xr:uid="{00000000-0005-0000-0000-000046040000}"/>
    <cellStyle name="货币 2 4 2 4 3 2 2 2" xfId="45855" xr:uid="{00000000-0005-0000-0000-00004FB30000}"/>
    <cellStyle name="货币 2 4 2 4 3 2 3" xfId="10204" xr:uid="{00000000-0005-0000-0000-00000C280000}"/>
    <cellStyle name="货币 2 4 2 4 3 2 4" xfId="45856" xr:uid="{00000000-0005-0000-0000-000050B30000}"/>
    <cellStyle name="货币 2 4 2 4 3 2 5" xfId="45857" xr:uid="{00000000-0005-0000-0000-000051B30000}"/>
    <cellStyle name="货币 2 4 2 4 3 2 6" xfId="45858" xr:uid="{00000000-0005-0000-0000-000052B30000}"/>
    <cellStyle name="货币 2 4 2 4 3 2 7" xfId="45859" xr:uid="{00000000-0005-0000-0000-000053B30000}"/>
    <cellStyle name="货币 2 4 2 4 3 2 8" xfId="45860" xr:uid="{00000000-0005-0000-0000-000054B30000}"/>
    <cellStyle name="货币 2 4 2 4 3 2 9" xfId="45861" xr:uid="{00000000-0005-0000-0000-000055B30000}"/>
    <cellStyle name="货币 2 4 2 4 3 3" xfId="45862" xr:uid="{00000000-0005-0000-0000-000056B30000}"/>
    <cellStyle name="货币 2 4 2 4 3 3 2" xfId="45863" xr:uid="{00000000-0005-0000-0000-000057B30000}"/>
    <cellStyle name="货币 2 4 2 4 3 3 3" xfId="45864" xr:uid="{00000000-0005-0000-0000-000058B30000}"/>
    <cellStyle name="货币 2 4 2 4 3 3 4" xfId="45865" xr:uid="{00000000-0005-0000-0000-000059B30000}"/>
    <cellStyle name="货币 2 4 2 4 3 3 5" xfId="45866" xr:uid="{00000000-0005-0000-0000-00005AB30000}"/>
    <cellStyle name="货币 2 4 2 4 3 3 6" xfId="45867" xr:uid="{00000000-0005-0000-0000-00005BB30000}"/>
    <cellStyle name="货币 2 4 2 4 3 4" xfId="45868" xr:uid="{00000000-0005-0000-0000-00005CB30000}"/>
    <cellStyle name="货币 2 4 2 4 3 4 2" xfId="45869" xr:uid="{00000000-0005-0000-0000-00005DB30000}"/>
    <cellStyle name="货币 2 4 2 4 3 4 3" xfId="45870" xr:uid="{00000000-0005-0000-0000-00005EB30000}"/>
    <cellStyle name="货币 2 4 2 4 3 4 4" xfId="45871" xr:uid="{00000000-0005-0000-0000-00005FB30000}"/>
    <cellStyle name="货币 2 4 2 4 3 4 5" xfId="45872" xr:uid="{00000000-0005-0000-0000-000060B30000}"/>
    <cellStyle name="货币 2 4 2 4 3 4 6" xfId="43700" xr:uid="{00000000-0005-0000-0000-0000E4AA0000}"/>
    <cellStyle name="货币 2 4 2 4 3 5" xfId="45873" xr:uid="{00000000-0005-0000-0000-000061B30000}"/>
    <cellStyle name="货币 2 4 2 4 3 5 2" xfId="45875" xr:uid="{00000000-0005-0000-0000-000063B30000}"/>
    <cellStyle name="货币 2 4 2 4 3 5 3" xfId="4336" xr:uid="{00000000-0005-0000-0000-000020110000}"/>
    <cellStyle name="货币 2 4 2 4 3 5 4" xfId="3443" xr:uid="{00000000-0005-0000-0000-0000A30D0000}"/>
    <cellStyle name="货币 2 4 2 4 3 5 5" xfId="45877" xr:uid="{00000000-0005-0000-0000-000065B30000}"/>
    <cellStyle name="货币 2 4 2 4 3 5 6" xfId="45879" xr:uid="{00000000-0005-0000-0000-000067B30000}"/>
    <cellStyle name="货币 2 4 2 4 3 6" xfId="45880" xr:uid="{00000000-0005-0000-0000-000068B30000}"/>
    <cellStyle name="货币 2 4 2 4 3 6 2" xfId="45881" xr:uid="{00000000-0005-0000-0000-000069B30000}"/>
    <cellStyle name="货币 2 4 2 4 3 6 3" xfId="29422" xr:uid="{00000000-0005-0000-0000-00001E730000}"/>
    <cellStyle name="货币 2 4 2 4 3 6 4" xfId="45882" xr:uid="{00000000-0005-0000-0000-00006AB30000}"/>
    <cellStyle name="货币 2 4 2 4 3 6 5" xfId="45883" xr:uid="{00000000-0005-0000-0000-00006BB30000}"/>
    <cellStyle name="货币 2 4 2 4 3 6 6" xfId="45884" xr:uid="{00000000-0005-0000-0000-00006CB30000}"/>
    <cellStyle name="货币 2 4 2 4 3 7" xfId="45885" xr:uid="{00000000-0005-0000-0000-00006DB30000}"/>
    <cellStyle name="货币 2 4 2 4 3 8" xfId="45886" xr:uid="{00000000-0005-0000-0000-00006EB30000}"/>
    <cellStyle name="货币 2 4 2 4 3 9" xfId="45888" xr:uid="{00000000-0005-0000-0000-000070B30000}"/>
    <cellStyle name="货币 2 4 2 4 4" xfId="45889" xr:uid="{00000000-0005-0000-0000-000071B30000}"/>
    <cellStyle name="货币 2 4 2 4 4 10" xfId="43147" xr:uid="{00000000-0005-0000-0000-0000BBA80000}"/>
    <cellStyle name="货币 2 4 2 4 4 11" xfId="43149" xr:uid="{00000000-0005-0000-0000-0000BDA80000}"/>
    <cellStyle name="货币 2 4 2 4 4 12" xfId="43151" xr:uid="{00000000-0005-0000-0000-0000BFA80000}"/>
    <cellStyle name="货币 2 4 2 4 4 13" xfId="43153" xr:uid="{00000000-0005-0000-0000-0000C1A80000}"/>
    <cellStyle name="货币 2 4 2 4 4 14" xfId="43155" xr:uid="{00000000-0005-0000-0000-0000C3A80000}"/>
    <cellStyle name="货币 2 4 2 4 4 15" xfId="30767" xr:uid="{00000000-0005-0000-0000-00005F780000}"/>
    <cellStyle name="货币 2 4 2 4 4 2" xfId="45890" xr:uid="{00000000-0005-0000-0000-000072B30000}"/>
    <cellStyle name="货币 2 4 2 4 4 2 2" xfId="34829" xr:uid="{00000000-0005-0000-0000-00003D880000}"/>
    <cellStyle name="货币 2 4 2 4 4 2 2 2" xfId="34770" xr:uid="{00000000-0005-0000-0000-000002880000}"/>
    <cellStyle name="货币 2 4 2 4 4 2 3" xfId="26341" xr:uid="{00000000-0005-0000-0000-000015670000}"/>
    <cellStyle name="货币 2 4 2 4 4 2 4" xfId="26348" xr:uid="{00000000-0005-0000-0000-00001C670000}"/>
    <cellStyle name="货币 2 4 2 4 4 2 5" xfId="26355" xr:uid="{00000000-0005-0000-0000-000023670000}"/>
    <cellStyle name="货币 2 4 2 4 4 2 6" xfId="26362" xr:uid="{00000000-0005-0000-0000-00002A670000}"/>
    <cellStyle name="货币 2 4 2 4 4 2 7" xfId="26365" xr:uid="{00000000-0005-0000-0000-00002D670000}"/>
    <cellStyle name="货币 2 4 2 4 4 2 8" xfId="45891" xr:uid="{00000000-0005-0000-0000-000073B30000}"/>
    <cellStyle name="货币 2 4 2 4 4 2 9" xfId="45892" xr:uid="{00000000-0005-0000-0000-000074B30000}"/>
    <cellStyle name="货币 2 4 2 4 4 3" xfId="45893" xr:uid="{00000000-0005-0000-0000-000075B30000}"/>
    <cellStyle name="货币 2 4 2 4 4 3 2" xfId="45894" xr:uid="{00000000-0005-0000-0000-000076B30000}"/>
    <cellStyle name="货币 2 4 2 4 4 3 3" xfId="26370" xr:uid="{00000000-0005-0000-0000-000032670000}"/>
    <cellStyle name="货币 2 4 2 4 4 3 4" xfId="26374" xr:uid="{00000000-0005-0000-0000-000036670000}"/>
    <cellStyle name="货币 2 4 2 4 4 3 5" xfId="276" xr:uid="{00000000-0005-0000-0000-000026010000}"/>
    <cellStyle name="货币 2 4 2 4 4 3 6" xfId="292" xr:uid="{00000000-0005-0000-0000-000037010000}"/>
    <cellStyle name="货币 2 4 2 4 4 4" xfId="45895" xr:uid="{00000000-0005-0000-0000-000077B30000}"/>
    <cellStyle name="货币 2 4 2 4 4 4 2" xfId="45896" xr:uid="{00000000-0005-0000-0000-000078B30000}"/>
    <cellStyle name="货币 2 4 2 4 4 5" xfId="19529" xr:uid="{00000000-0005-0000-0000-0000794C0000}"/>
    <cellStyle name="货币 2 4 2 4 4 6" xfId="19533" xr:uid="{00000000-0005-0000-0000-00007D4C0000}"/>
    <cellStyle name="货币 2 4 2 4 4 7" xfId="19537" xr:uid="{00000000-0005-0000-0000-0000814C0000}"/>
    <cellStyle name="货币 2 4 2 4 4 8" xfId="45897" xr:uid="{00000000-0005-0000-0000-000079B30000}"/>
    <cellStyle name="货币 2 4 2 4 4 9" xfId="45899" xr:uid="{00000000-0005-0000-0000-00007BB30000}"/>
    <cellStyle name="货币 2 4 2 4 5" xfId="1627" xr:uid="{00000000-0005-0000-0000-00008B060000}"/>
    <cellStyle name="货币 2 4 2 4 5 10" xfId="45900" xr:uid="{00000000-0005-0000-0000-00007CB30000}"/>
    <cellStyle name="货币 2 4 2 4 5 11" xfId="45901" xr:uid="{00000000-0005-0000-0000-00007DB30000}"/>
    <cellStyle name="货币 2 4 2 4 5 12" xfId="44660" xr:uid="{00000000-0005-0000-0000-0000A4AE0000}"/>
    <cellStyle name="货币 2 4 2 4 5 13" xfId="4823" xr:uid="{00000000-0005-0000-0000-000007130000}"/>
    <cellStyle name="货币 2 4 2 4 5 2" xfId="601" xr:uid="{00000000-0005-0000-0000-000082020000}"/>
    <cellStyle name="货币 2 4 2 4 5 2 2" xfId="35030" xr:uid="{00000000-0005-0000-0000-000006890000}"/>
    <cellStyle name="货币 2 4 2 4 5 2 2 2" xfId="45902" xr:uid="{00000000-0005-0000-0000-00007EB30000}"/>
    <cellStyle name="货币 2 4 2 4 5 2 3" xfId="35038" xr:uid="{00000000-0005-0000-0000-00000E890000}"/>
    <cellStyle name="货币 2 4 2 4 5 2 4" xfId="35042" xr:uid="{00000000-0005-0000-0000-000012890000}"/>
    <cellStyle name="货币 2 4 2 4 5 2 5" xfId="35046" xr:uid="{00000000-0005-0000-0000-000016890000}"/>
    <cellStyle name="货币 2 4 2 4 5 2 6" xfId="45903" xr:uid="{00000000-0005-0000-0000-00007FB30000}"/>
    <cellStyle name="货币 2 4 2 4 5 2 7" xfId="45904" xr:uid="{00000000-0005-0000-0000-000080B30000}"/>
    <cellStyle name="货币 2 4 2 4 5 2 8" xfId="45905" xr:uid="{00000000-0005-0000-0000-000081B30000}"/>
    <cellStyle name="货币 2 4 2 4 5 2 9" xfId="45906" xr:uid="{00000000-0005-0000-0000-000082B30000}"/>
    <cellStyle name="货币 2 4 2 4 5 3" xfId="45907" xr:uid="{00000000-0005-0000-0000-000083B30000}"/>
    <cellStyle name="货币 2 4 2 4 5 3 2" xfId="45908" xr:uid="{00000000-0005-0000-0000-000084B30000}"/>
    <cellStyle name="货币 2 4 2 4 5 3 3" xfId="45909" xr:uid="{00000000-0005-0000-0000-000085B30000}"/>
    <cellStyle name="货币 2 4 2 4 5 3 4" xfId="45910" xr:uid="{00000000-0005-0000-0000-000086B30000}"/>
    <cellStyle name="货币 2 4 2 4 5 3 5" xfId="45911" xr:uid="{00000000-0005-0000-0000-000087B30000}"/>
    <cellStyle name="货币 2 4 2 4 5 3 6" xfId="45913" xr:uid="{00000000-0005-0000-0000-000089B30000}"/>
    <cellStyle name="货币 2 4 2 4 5 4" xfId="45914" xr:uid="{00000000-0005-0000-0000-00008AB30000}"/>
    <cellStyle name="货币 2 4 2 4 5 4 2" xfId="45915" xr:uid="{00000000-0005-0000-0000-00008BB30000}"/>
    <cellStyle name="货币 2 4 2 4 5 5" xfId="45916" xr:uid="{00000000-0005-0000-0000-00008CB30000}"/>
    <cellStyle name="货币 2 4 2 4 5 6" xfId="45917" xr:uid="{00000000-0005-0000-0000-00008DB30000}"/>
    <cellStyle name="货币 2 4 2 4 5 7" xfId="45918" xr:uid="{00000000-0005-0000-0000-00008EB30000}"/>
    <cellStyle name="货币 2 4 2 4 5 8" xfId="45919" xr:uid="{00000000-0005-0000-0000-00008FB30000}"/>
    <cellStyle name="货币 2 4 2 4 5 9" xfId="45920" xr:uid="{00000000-0005-0000-0000-000090B30000}"/>
    <cellStyle name="货币 2 4 2 4 6" xfId="3256" xr:uid="{00000000-0005-0000-0000-0000E80C0000}"/>
    <cellStyle name="货币 2 4 2 4 6 10" xfId="45921" xr:uid="{00000000-0005-0000-0000-000091B30000}"/>
    <cellStyle name="货币 2 4 2 4 6 11" xfId="45922" xr:uid="{00000000-0005-0000-0000-000092B30000}"/>
    <cellStyle name="货币 2 4 2 4 6 12" xfId="45923" xr:uid="{00000000-0005-0000-0000-000093B30000}"/>
    <cellStyle name="货币 2 4 2 4 6 2" xfId="4225" xr:uid="{00000000-0005-0000-0000-0000B1100000}"/>
    <cellStyle name="货币 2 4 2 4 6 2 2" xfId="27604" xr:uid="{00000000-0005-0000-0000-0000046C0000}"/>
    <cellStyle name="货币 2 4 2 4 6 2 2 2" xfId="45924" xr:uid="{00000000-0005-0000-0000-000094B30000}"/>
    <cellStyle name="货币 2 4 2 4 6 2 3" xfId="27609" xr:uid="{00000000-0005-0000-0000-0000096C0000}"/>
    <cellStyle name="货币 2 4 2 4 6 2 4" xfId="27614" xr:uid="{00000000-0005-0000-0000-00000E6C0000}"/>
    <cellStyle name="货币 2 4 2 4 6 2 5" xfId="27619" xr:uid="{00000000-0005-0000-0000-0000136C0000}"/>
    <cellStyle name="货币 2 4 2 4 6 2 6" xfId="45925" xr:uid="{00000000-0005-0000-0000-000095B30000}"/>
    <cellStyle name="货币 2 4 2 4 6 2 7" xfId="45926" xr:uid="{00000000-0005-0000-0000-000096B30000}"/>
    <cellStyle name="货币 2 4 2 4 6 2 8" xfId="45927" xr:uid="{00000000-0005-0000-0000-000097B30000}"/>
    <cellStyle name="货币 2 4 2 4 6 2 9" xfId="45928" xr:uid="{00000000-0005-0000-0000-000098B30000}"/>
    <cellStyle name="货币 2 4 2 4 6 3" xfId="45929" xr:uid="{00000000-0005-0000-0000-000099B30000}"/>
    <cellStyle name="货币 2 4 2 4 6 3 2" xfId="27664" xr:uid="{00000000-0005-0000-0000-0000406C0000}"/>
    <cellStyle name="货币 2 4 2 4 6 3 3" xfId="27669" xr:uid="{00000000-0005-0000-0000-0000456C0000}"/>
    <cellStyle name="货币 2 4 2 4 6 3 4" xfId="22367" xr:uid="{00000000-0005-0000-0000-00008F570000}"/>
    <cellStyle name="货币 2 4 2 4 6 3 5" xfId="27673" xr:uid="{00000000-0005-0000-0000-0000496C0000}"/>
    <cellStyle name="货币 2 4 2 4 6 3 6" xfId="45930" xr:uid="{00000000-0005-0000-0000-00009AB30000}"/>
    <cellStyle name="货币 2 4 2 4 6 4" xfId="45931" xr:uid="{00000000-0005-0000-0000-00009BB30000}"/>
    <cellStyle name="货币 2 4 2 4 6 4 2" xfId="27694" xr:uid="{00000000-0005-0000-0000-00005E6C0000}"/>
    <cellStyle name="货币 2 4 2 4 6 5" xfId="45932" xr:uid="{00000000-0005-0000-0000-00009CB30000}"/>
    <cellStyle name="货币 2 4 2 4 6 6" xfId="45933" xr:uid="{00000000-0005-0000-0000-00009DB30000}"/>
    <cellStyle name="货币 2 4 2 4 6 7" xfId="45934" xr:uid="{00000000-0005-0000-0000-00009EB30000}"/>
    <cellStyle name="货币 2 4 2 4 6 8" xfId="45935" xr:uid="{00000000-0005-0000-0000-00009FB30000}"/>
    <cellStyle name="货币 2 4 2 4 6 9" xfId="45936" xr:uid="{00000000-0005-0000-0000-0000A0B30000}"/>
    <cellStyle name="货币 2 4 2 4 7" xfId="5261" xr:uid="{00000000-0005-0000-0000-0000BD140000}"/>
    <cellStyle name="货币 2 4 2 4 7 2" xfId="4955" xr:uid="{00000000-0005-0000-0000-00008B130000}"/>
    <cellStyle name="货币 2 4 2 4 7 2 2" xfId="21090" xr:uid="{00000000-0005-0000-0000-000092520000}"/>
    <cellStyle name="货币 2 4 2 4 7 3" xfId="45937" xr:uid="{00000000-0005-0000-0000-0000A1B30000}"/>
    <cellStyle name="货币 2 4 2 4 7 4" xfId="40974" xr:uid="{00000000-0005-0000-0000-00003EA00000}"/>
    <cellStyle name="货币 2 4 2 4 7 5" xfId="40976" xr:uid="{00000000-0005-0000-0000-000040A00000}"/>
    <cellStyle name="货币 2 4 2 4 7 6" xfId="40978" xr:uid="{00000000-0005-0000-0000-000042A00000}"/>
    <cellStyle name="货币 2 4 2 4 7 7" xfId="45938" xr:uid="{00000000-0005-0000-0000-0000A2B30000}"/>
    <cellStyle name="货币 2 4 2 4 7 8" xfId="45939" xr:uid="{00000000-0005-0000-0000-0000A3B30000}"/>
    <cellStyle name="货币 2 4 2 4 7 9" xfId="45940" xr:uid="{00000000-0005-0000-0000-0000A4B30000}"/>
    <cellStyle name="货币 2 4 2 4 8" xfId="4137" xr:uid="{00000000-0005-0000-0000-000059100000}"/>
    <cellStyle name="货币 2 4 2 4 8 2" xfId="5271" xr:uid="{00000000-0005-0000-0000-0000C7140000}"/>
    <cellStyle name="货币 2 4 2 4 8 3" xfId="45941" xr:uid="{00000000-0005-0000-0000-0000A5B30000}"/>
    <cellStyle name="货币 2 4 2 4 8 4" xfId="45942" xr:uid="{00000000-0005-0000-0000-0000A6B30000}"/>
    <cellStyle name="货币 2 4 2 4 8 5" xfId="45943" xr:uid="{00000000-0005-0000-0000-0000A7B30000}"/>
    <cellStyle name="货币 2 4 2 4 8 6" xfId="45944" xr:uid="{00000000-0005-0000-0000-0000A8B30000}"/>
    <cellStyle name="货币 2 4 2 4 9" xfId="5273" xr:uid="{00000000-0005-0000-0000-0000C9140000}"/>
    <cellStyle name="货币 2 4 2 4 9 2" xfId="5286" xr:uid="{00000000-0005-0000-0000-0000D6140000}"/>
    <cellStyle name="货币 2 4 2 4 9 3" xfId="45945" xr:uid="{00000000-0005-0000-0000-0000A9B30000}"/>
    <cellStyle name="货币 2 4 2 4 9 4" xfId="45946" xr:uid="{00000000-0005-0000-0000-0000AAB30000}"/>
    <cellStyle name="货币 2 4 2 4 9 5" xfId="19549" xr:uid="{00000000-0005-0000-0000-00008D4C0000}"/>
    <cellStyle name="货币 2 4 2 4 9 6" xfId="45947" xr:uid="{00000000-0005-0000-0000-0000ABB30000}"/>
    <cellStyle name="货币 2 4 2 5" xfId="45948" xr:uid="{00000000-0005-0000-0000-0000ACB30000}"/>
    <cellStyle name="货币 2 4 2 5 10" xfId="45949" xr:uid="{00000000-0005-0000-0000-0000ADB30000}"/>
    <cellStyle name="货币 2 4 2 5 11" xfId="45950" xr:uid="{00000000-0005-0000-0000-0000AEB30000}"/>
    <cellStyle name="货币 2 4 2 5 12" xfId="45951" xr:uid="{00000000-0005-0000-0000-0000AFB30000}"/>
    <cellStyle name="货币 2 4 2 5 13" xfId="32606" xr:uid="{00000000-0005-0000-0000-00008E7F0000}"/>
    <cellStyle name="货币 2 4 2 5 14" xfId="18306" xr:uid="{00000000-0005-0000-0000-0000B2470000}"/>
    <cellStyle name="货币 2 4 2 5 15" xfId="18309" xr:uid="{00000000-0005-0000-0000-0000B5470000}"/>
    <cellStyle name="货币 2 4 2 5 16" xfId="18313" xr:uid="{00000000-0005-0000-0000-0000B9470000}"/>
    <cellStyle name="货币 2 4 2 5 17" xfId="45952" xr:uid="{00000000-0005-0000-0000-0000B0B30000}"/>
    <cellStyle name="货币 2 4 2 5 18" xfId="45953" xr:uid="{00000000-0005-0000-0000-0000B1B30000}"/>
    <cellStyle name="货币 2 4 2 5 19" xfId="45954" xr:uid="{00000000-0005-0000-0000-0000B2B30000}"/>
    <cellStyle name="货币 2 4 2 5 2" xfId="34892" xr:uid="{00000000-0005-0000-0000-00007C880000}"/>
    <cellStyle name="货币 2 4 2 5 2 10" xfId="38500" xr:uid="{00000000-0005-0000-0000-000094960000}"/>
    <cellStyle name="货币 2 4 2 5 2 11" xfId="38503" xr:uid="{00000000-0005-0000-0000-000097960000}"/>
    <cellStyle name="货币 2 4 2 5 2 12" xfId="38505" xr:uid="{00000000-0005-0000-0000-000099960000}"/>
    <cellStyle name="货币 2 4 2 5 2 13" xfId="38507" xr:uid="{00000000-0005-0000-0000-00009B960000}"/>
    <cellStyle name="货币 2 4 2 5 2 14" xfId="45955" xr:uid="{00000000-0005-0000-0000-0000B3B30000}"/>
    <cellStyle name="货币 2 4 2 5 2 15" xfId="45956" xr:uid="{00000000-0005-0000-0000-0000B4B30000}"/>
    <cellStyle name="货币 2 4 2 5 2 16" xfId="45957" xr:uid="{00000000-0005-0000-0000-0000B5B30000}"/>
    <cellStyle name="货币 2 4 2 5 2 17" xfId="45958" xr:uid="{00000000-0005-0000-0000-0000B6B30000}"/>
    <cellStyle name="货币 2 4 2 5 2 18" xfId="45959" xr:uid="{00000000-0005-0000-0000-0000B7B30000}"/>
    <cellStyle name="货币 2 4 2 5 2 2" xfId="45071" xr:uid="{00000000-0005-0000-0000-00003FB00000}"/>
    <cellStyle name="货币 2 4 2 5 2 2 10" xfId="3597" xr:uid="{00000000-0005-0000-0000-00003D0E0000}"/>
    <cellStyle name="货币 2 4 2 5 2 2 2" xfId="32880" xr:uid="{00000000-0005-0000-0000-0000A0800000}"/>
    <cellStyle name="货币 2 4 2 5 2 2 2 2" xfId="38245" xr:uid="{00000000-0005-0000-0000-000095950000}"/>
    <cellStyle name="货币 2 4 2 5 2 2 3" xfId="23641" xr:uid="{00000000-0005-0000-0000-0000895C0000}"/>
    <cellStyle name="货币 2 4 2 5 2 2 4" xfId="23651" xr:uid="{00000000-0005-0000-0000-0000935C0000}"/>
    <cellStyle name="货币 2 4 2 5 2 2 5" xfId="23658" xr:uid="{00000000-0005-0000-0000-00009A5C0000}"/>
    <cellStyle name="货币 2 4 2 5 2 2 6" xfId="39408" xr:uid="{00000000-0005-0000-0000-0000209A0000}"/>
    <cellStyle name="货币 2 4 2 5 2 2 7" xfId="39410" xr:uid="{00000000-0005-0000-0000-0000229A0000}"/>
    <cellStyle name="货币 2 4 2 5 2 2 8" xfId="39412" xr:uid="{00000000-0005-0000-0000-0000249A0000}"/>
    <cellStyle name="货币 2 4 2 5 2 2 9" xfId="39414" xr:uid="{00000000-0005-0000-0000-0000269A0000}"/>
    <cellStyle name="货币 2 4 2 5 2 3" xfId="45960" xr:uid="{00000000-0005-0000-0000-0000B8B30000}"/>
    <cellStyle name="货币 2 4 2 5 2 3 2" xfId="45961" xr:uid="{00000000-0005-0000-0000-0000B9B30000}"/>
    <cellStyle name="货币 2 4 2 5 2 3 3" xfId="39417" xr:uid="{00000000-0005-0000-0000-0000299A0000}"/>
    <cellStyle name="货币 2 4 2 5 2 3 4" xfId="39420" xr:uid="{00000000-0005-0000-0000-00002C9A0000}"/>
    <cellStyle name="货币 2 4 2 5 2 3 5" xfId="19982" xr:uid="{00000000-0005-0000-0000-00003E4E0000}"/>
    <cellStyle name="货币 2 4 2 5 2 3 6" xfId="19985" xr:uid="{00000000-0005-0000-0000-0000414E0000}"/>
    <cellStyle name="货币 2 4 2 5 2 4" xfId="45962" xr:uid="{00000000-0005-0000-0000-0000BAB30000}"/>
    <cellStyle name="货币 2 4 2 5 2 4 2" xfId="45963" xr:uid="{00000000-0005-0000-0000-0000BBB30000}"/>
    <cellStyle name="货币 2 4 2 5 2 4 3" xfId="39424" xr:uid="{00000000-0005-0000-0000-0000309A0000}"/>
    <cellStyle name="货币 2 4 2 5 2 4 4" xfId="39426" xr:uid="{00000000-0005-0000-0000-0000329A0000}"/>
    <cellStyle name="货币 2 4 2 5 2 4 5" xfId="20001" xr:uid="{00000000-0005-0000-0000-0000514E0000}"/>
    <cellStyle name="货币 2 4 2 5 2 4 6" xfId="39428" xr:uid="{00000000-0005-0000-0000-0000349A0000}"/>
    <cellStyle name="货币 2 4 2 5 2 5" xfId="45964" xr:uid="{00000000-0005-0000-0000-0000BCB30000}"/>
    <cellStyle name="货币 2 4 2 5 2 5 2" xfId="45965" xr:uid="{00000000-0005-0000-0000-0000BDB30000}"/>
    <cellStyle name="货币 2 4 2 5 2 5 3" xfId="9133" xr:uid="{00000000-0005-0000-0000-0000DD230000}"/>
    <cellStyle name="货币 2 4 2 5 2 5 4" xfId="9144" xr:uid="{00000000-0005-0000-0000-0000E8230000}"/>
    <cellStyle name="货币 2 4 2 5 2 5 5" xfId="9150" xr:uid="{00000000-0005-0000-0000-0000EE230000}"/>
    <cellStyle name="货币 2 4 2 5 2 5 6" xfId="9153" xr:uid="{00000000-0005-0000-0000-0000F1230000}"/>
    <cellStyle name="货币 2 4 2 5 2 6" xfId="45966" xr:uid="{00000000-0005-0000-0000-0000BEB30000}"/>
    <cellStyle name="货币 2 4 2 5 2 6 2" xfId="45967" xr:uid="{00000000-0005-0000-0000-0000BFB30000}"/>
    <cellStyle name="货币 2 4 2 5 2 6 3" xfId="32779" xr:uid="{00000000-0005-0000-0000-00003B800000}"/>
    <cellStyle name="货币 2 4 2 5 2 6 4" xfId="45968" xr:uid="{00000000-0005-0000-0000-0000C0B30000}"/>
    <cellStyle name="货币 2 4 2 5 2 6 5" xfId="45969" xr:uid="{00000000-0005-0000-0000-0000C1B30000}"/>
    <cellStyle name="货币 2 4 2 5 2 6 6" xfId="45970" xr:uid="{00000000-0005-0000-0000-0000C2B30000}"/>
    <cellStyle name="货币 2 4 2 5 2 7" xfId="45971" xr:uid="{00000000-0005-0000-0000-0000C3B30000}"/>
    <cellStyle name="货币 2 4 2 5 2 8" xfId="45972" xr:uid="{00000000-0005-0000-0000-0000C4B30000}"/>
    <cellStyle name="货币 2 4 2 5 2 9" xfId="45973" xr:uid="{00000000-0005-0000-0000-0000C5B30000}"/>
    <cellStyle name="货币 2 4 2 5 3" xfId="34894" xr:uid="{00000000-0005-0000-0000-00007E880000}"/>
    <cellStyle name="货币 2 4 2 5 3 10" xfId="45974" xr:uid="{00000000-0005-0000-0000-0000C6B30000}"/>
    <cellStyle name="货币 2 4 2 5 3 11" xfId="45975" xr:uid="{00000000-0005-0000-0000-0000C7B30000}"/>
    <cellStyle name="货币 2 4 2 5 3 12" xfId="45976" xr:uid="{00000000-0005-0000-0000-0000C8B30000}"/>
    <cellStyle name="货币 2 4 2 5 3 2" xfId="45977" xr:uid="{00000000-0005-0000-0000-0000C9B30000}"/>
    <cellStyle name="货币 2 4 2 5 3 2 2" xfId="45978" xr:uid="{00000000-0005-0000-0000-0000CAB30000}"/>
    <cellStyle name="货币 2 4 2 5 3 2 2 2" xfId="40011" xr:uid="{00000000-0005-0000-0000-00007B9C0000}"/>
    <cellStyle name="货币 2 4 2 5 3 2 3" xfId="39453" xr:uid="{00000000-0005-0000-0000-00004D9A0000}"/>
    <cellStyle name="货币 2 4 2 5 3 2 4" xfId="39455" xr:uid="{00000000-0005-0000-0000-00004F9A0000}"/>
    <cellStyle name="货币 2 4 2 5 3 2 5" xfId="39457" xr:uid="{00000000-0005-0000-0000-0000519A0000}"/>
    <cellStyle name="货币 2 4 2 5 3 3" xfId="45979" xr:uid="{00000000-0005-0000-0000-0000CBB30000}"/>
    <cellStyle name="货币 2 4 2 5 3 3 2" xfId="45980" xr:uid="{00000000-0005-0000-0000-0000CCB30000}"/>
    <cellStyle name="货币 2 4 2 5 3 4" xfId="45981" xr:uid="{00000000-0005-0000-0000-0000CDB30000}"/>
    <cellStyle name="货币 2 4 2 5 3 5" xfId="45982" xr:uid="{00000000-0005-0000-0000-0000CEB30000}"/>
    <cellStyle name="货币 2 4 2 5 3 6" xfId="45983" xr:uid="{00000000-0005-0000-0000-0000CFB30000}"/>
    <cellStyle name="货币 2 4 2 5 3 7" xfId="45984" xr:uid="{00000000-0005-0000-0000-0000D0B30000}"/>
    <cellStyle name="货币 2 4 2 5 3 8" xfId="45985" xr:uid="{00000000-0005-0000-0000-0000D1B30000}"/>
    <cellStyle name="货币 2 4 2 5 3 9" xfId="45987" xr:uid="{00000000-0005-0000-0000-0000D3B30000}"/>
    <cellStyle name="货币 2 4 2 5 4" xfId="34896" xr:uid="{00000000-0005-0000-0000-000080880000}"/>
    <cellStyle name="货币 2 4 2 5 4 10" xfId="26578" xr:uid="{00000000-0005-0000-0000-000002680000}"/>
    <cellStyle name="货币 2 4 2 5 4 11" xfId="43960" xr:uid="{00000000-0005-0000-0000-0000E8AB0000}"/>
    <cellStyle name="货币 2 4 2 5 4 2" xfId="45988" xr:uid="{00000000-0005-0000-0000-0000D4B30000}"/>
    <cellStyle name="货币 2 4 2 5 4 2 2" xfId="35391" xr:uid="{00000000-0005-0000-0000-00006F8A0000}"/>
    <cellStyle name="货币 2 4 2 5 4 2 2 2" xfId="34991" xr:uid="{00000000-0005-0000-0000-0000DF880000}"/>
    <cellStyle name="货币 2 4 2 5 4 2 3" xfId="23725" xr:uid="{00000000-0005-0000-0000-0000DD5C0000}"/>
    <cellStyle name="货币 2 4 2 5 4 2 4" xfId="35394" xr:uid="{00000000-0005-0000-0000-0000728A0000}"/>
    <cellStyle name="货币 2 4 2 5 4 2 5" xfId="35398" xr:uid="{00000000-0005-0000-0000-0000768A0000}"/>
    <cellStyle name="货币 2 4 2 5 4 3" xfId="45989" xr:uid="{00000000-0005-0000-0000-0000D5B30000}"/>
    <cellStyle name="货币 2 4 2 5 4 3 2" xfId="45990" xr:uid="{00000000-0005-0000-0000-0000D6B30000}"/>
    <cellStyle name="货币 2 4 2 5 4 4" xfId="45991" xr:uid="{00000000-0005-0000-0000-0000D7B30000}"/>
    <cellStyle name="货币 2 4 2 5 4 5" xfId="45992" xr:uid="{00000000-0005-0000-0000-0000D8B30000}"/>
    <cellStyle name="货币 2 4 2 5 4 6" xfId="45993" xr:uid="{00000000-0005-0000-0000-0000D9B30000}"/>
    <cellStyle name="货币 2 4 2 5 4 7" xfId="45994" xr:uid="{00000000-0005-0000-0000-0000DAB30000}"/>
    <cellStyle name="货币 2 4 2 5 4 8" xfId="45995" xr:uid="{00000000-0005-0000-0000-0000DBB30000}"/>
    <cellStyle name="货币 2 4 2 5 4 9" xfId="45996" xr:uid="{00000000-0005-0000-0000-0000DCB30000}"/>
    <cellStyle name="货币 2 4 2 5 5" xfId="1055" xr:uid="{00000000-0005-0000-0000-00004F040000}"/>
    <cellStyle name="货币 2 4 2 5 5 10" xfId="30357" xr:uid="{00000000-0005-0000-0000-0000C5760000}"/>
    <cellStyle name="货币 2 4 2 5 5 2" xfId="18883" xr:uid="{00000000-0005-0000-0000-0000F3490000}"/>
    <cellStyle name="货币 2 4 2 5 5 2 2" xfId="45997" xr:uid="{00000000-0005-0000-0000-0000DDB30000}"/>
    <cellStyle name="货币 2 4 2 5 5 2 2 2" xfId="40769" xr:uid="{00000000-0005-0000-0000-0000719F0000}"/>
    <cellStyle name="货币 2 4 2 5 5 2 3" xfId="39523" xr:uid="{00000000-0005-0000-0000-0000939A0000}"/>
    <cellStyle name="货币 2 4 2 5 5 2 4" xfId="39379" xr:uid="{00000000-0005-0000-0000-0000039A0000}"/>
    <cellStyle name="货币 2 4 2 5 5 2 5" xfId="39381" xr:uid="{00000000-0005-0000-0000-0000059A0000}"/>
    <cellStyle name="货币 2 4 2 5 5 3" xfId="45998" xr:uid="{00000000-0005-0000-0000-0000DEB30000}"/>
    <cellStyle name="货币 2 4 2 5 5 3 2" xfId="45999" xr:uid="{00000000-0005-0000-0000-0000DFB30000}"/>
    <cellStyle name="货币 2 4 2 5 5 4" xfId="46000" xr:uid="{00000000-0005-0000-0000-0000E0B30000}"/>
    <cellStyle name="货币 2 4 2 5 5 5" xfId="46001" xr:uid="{00000000-0005-0000-0000-0000E1B30000}"/>
    <cellStyle name="货币 2 4 2 5 5 6" xfId="46002" xr:uid="{00000000-0005-0000-0000-0000E2B30000}"/>
    <cellStyle name="货币 2 4 2 5 5 7" xfId="46003" xr:uid="{00000000-0005-0000-0000-0000E3B30000}"/>
    <cellStyle name="货币 2 4 2 5 5 8" xfId="46004" xr:uid="{00000000-0005-0000-0000-0000E4B30000}"/>
    <cellStyle name="货币 2 4 2 5 5 9" xfId="46005" xr:uid="{00000000-0005-0000-0000-0000E5B30000}"/>
    <cellStyle name="货币 2 4 2 5 6" xfId="34898" xr:uid="{00000000-0005-0000-0000-000082880000}"/>
    <cellStyle name="货币 2 4 2 5 6 2" xfId="46006" xr:uid="{00000000-0005-0000-0000-0000E6B30000}"/>
    <cellStyle name="货币 2 4 2 5 6 2 2" xfId="27966" xr:uid="{00000000-0005-0000-0000-00006E6D0000}"/>
    <cellStyle name="货币 2 4 2 5 6 3" xfId="46007" xr:uid="{00000000-0005-0000-0000-0000E7B30000}"/>
    <cellStyle name="货币 2 4 2 5 6 4" xfId="46008" xr:uid="{00000000-0005-0000-0000-0000E8B30000}"/>
    <cellStyle name="货币 2 4 2 5 6 5" xfId="46009" xr:uid="{00000000-0005-0000-0000-0000E9B30000}"/>
    <cellStyle name="货币 2 4 2 5 6 6" xfId="46010" xr:uid="{00000000-0005-0000-0000-0000EAB30000}"/>
    <cellStyle name="货币 2 4 2 5 6 7" xfId="46011" xr:uid="{00000000-0005-0000-0000-0000EBB30000}"/>
    <cellStyle name="货币 2 4 2 5 6 8" xfId="46012" xr:uid="{00000000-0005-0000-0000-0000ECB30000}"/>
    <cellStyle name="货币 2 4 2 5 6 9" xfId="46013" xr:uid="{00000000-0005-0000-0000-0000EDB30000}"/>
    <cellStyle name="货币 2 4 2 5 7" xfId="34900" xr:uid="{00000000-0005-0000-0000-000084880000}"/>
    <cellStyle name="货币 2 4 2 5 7 2" xfId="46015" xr:uid="{00000000-0005-0000-0000-0000EFB30000}"/>
    <cellStyle name="货币 2 4 2 5 7 3" xfId="46017" xr:uid="{00000000-0005-0000-0000-0000F1B30000}"/>
    <cellStyle name="货币 2 4 2 5 7 4" xfId="46018" xr:uid="{00000000-0005-0000-0000-0000F2B30000}"/>
    <cellStyle name="货币 2 4 2 5 7 5" xfId="46019" xr:uid="{00000000-0005-0000-0000-0000F3B30000}"/>
    <cellStyle name="货币 2 4 2 5 7 6" xfId="46020" xr:uid="{00000000-0005-0000-0000-0000F4B30000}"/>
    <cellStyle name="货币 2 4 2 5 8" xfId="46021" xr:uid="{00000000-0005-0000-0000-0000F5B30000}"/>
    <cellStyle name="货币 2 4 2 5 9" xfId="46022" xr:uid="{00000000-0005-0000-0000-0000F6B30000}"/>
    <cellStyle name="货币 2 4 2 6" xfId="46023" xr:uid="{00000000-0005-0000-0000-0000F7B30000}"/>
    <cellStyle name="货币 2 4 2 6 10" xfId="46024" xr:uid="{00000000-0005-0000-0000-0000F8B30000}"/>
    <cellStyle name="货币 2 4 2 6 11" xfId="39658" xr:uid="{00000000-0005-0000-0000-00001A9B0000}"/>
    <cellStyle name="货币 2 4 2 6 12" xfId="37655" xr:uid="{00000000-0005-0000-0000-000047930000}"/>
    <cellStyle name="货币 2 4 2 6 13" xfId="32642" xr:uid="{00000000-0005-0000-0000-0000B27F0000}"/>
    <cellStyle name="货币 2 4 2 6 14" xfId="18338" xr:uid="{00000000-0005-0000-0000-0000D2470000}"/>
    <cellStyle name="货币 2 4 2 6 15" xfId="18342" xr:uid="{00000000-0005-0000-0000-0000D6470000}"/>
    <cellStyle name="货币 2 4 2 6 16" xfId="18346" xr:uid="{00000000-0005-0000-0000-0000DA470000}"/>
    <cellStyle name="货币 2 4 2 6 17" xfId="39660" xr:uid="{00000000-0005-0000-0000-00001C9B0000}"/>
    <cellStyle name="货币 2 4 2 6 18" xfId="39662" xr:uid="{00000000-0005-0000-0000-00001E9B0000}"/>
    <cellStyle name="货币 2 4 2 6 2" xfId="34904" xr:uid="{00000000-0005-0000-0000-000088880000}"/>
    <cellStyle name="货币 2 4 2 6 2 10" xfId="35969" xr:uid="{00000000-0005-0000-0000-0000B18C0000}"/>
    <cellStyle name="货币 2 4 2 6 2 2" xfId="18946" xr:uid="{00000000-0005-0000-0000-0000324A0000}"/>
    <cellStyle name="货币 2 4 2 6 2 2 2" xfId="46025" xr:uid="{00000000-0005-0000-0000-0000F9B30000}"/>
    <cellStyle name="货币 2 4 2 6 2 3" xfId="25384" xr:uid="{00000000-0005-0000-0000-000058630000}"/>
    <cellStyle name="货币 2 4 2 6 2 4" xfId="25386" xr:uid="{00000000-0005-0000-0000-00005A630000}"/>
    <cellStyle name="货币 2 4 2 6 2 5" xfId="25389" xr:uid="{00000000-0005-0000-0000-00005D630000}"/>
    <cellStyle name="货币 2 4 2 6 2 6" xfId="46026" xr:uid="{00000000-0005-0000-0000-0000FAB30000}"/>
    <cellStyle name="货币 2 4 2 6 2 7" xfId="46027" xr:uid="{00000000-0005-0000-0000-0000FBB30000}"/>
    <cellStyle name="货币 2 4 2 6 2 8" xfId="46028" xr:uid="{00000000-0005-0000-0000-0000FCB30000}"/>
    <cellStyle name="货币 2 4 2 6 2 9" xfId="46029" xr:uid="{00000000-0005-0000-0000-0000FDB30000}"/>
    <cellStyle name="货币 2 4 2 6 3" xfId="34907" xr:uid="{00000000-0005-0000-0000-00008B880000}"/>
    <cellStyle name="货币 2 4 2 6 3 2" xfId="18952" xr:uid="{00000000-0005-0000-0000-0000384A0000}"/>
    <cellStyle name="货币 2 4 2 6 3 3" xfId="6189" xr:uid="{00000000-0005-0000-0000-00005D180000}"/>
    <cellStyle name="货币 2 4 2 6 3 4" xfId="25392" xr:uid="{00000000-0005-0000-0000-000060630000}"/>
    <cellStyle name="货币 2 4 2 6 3 5" xfId="25396" xr:uid="{00000000-0005-0000-0000-000064630000}"/>
    <cellStyle name="货币 2 4 2 6 3 6" xfId="46030" xr:uid="{00000000-0005-0000-0000-0000FEB30000}"/>
    <cellStyle name="货币 2 4 2 6 4" xfId="34910" xr:uid="{00000000-0005-0000-0000-00008E880000}"/>
    <cellStyle name="货币 2 4 2 6 4 2" xfId="46031" xr:uid="{00000000-0005-0000-0000-0000FFB30000}"/>
    <cellStyle name="货币 2 4 2 6 4 3" xfId="46032" xr:uid="{00000000-0005-0000-0000-000000B40000}"/>
    <cellStyle name="货币 2 4 2 6 4 4" xfId="46033" xr:uid="{00000000-0005-0000-0000-000001B40000}"/>
    <cellStyle name="货币 2 4 2 6 4 5" xfId="46034" xr:uid="{00000000-0005-0000-0000-000002B40000}"/>
    <cellStyle name="货币 2 4 2 6 4 6" xfId="15013" xr:uid="{00000000-0005-0000-0000-0000D53A0000}"/>
    <cellStyle name="货币 2 4 2 6 5" xfId="5305" xr:uid="{00000000-0005-0000-0000-0000E9140000}"/>
    <cellStyle name="货币 2 4 2 6 5 2" xfId="27387" xr:uid="{00000000-0005-0000-0000-00002B6B0000}"/>
    <cellStyle name="货币 2 4 2 6 5 3" xfId="46035" xr:uid="{00000000-0005-0000-0000-000003B40000}"/>
    <cellStyle name="货币 2 4 2 6 5 4" xfId="46036" xr:uid="{00000000-0005-0000-0000-000004B40000}"/>
    <cellStyle name="货币 2 4 2 6 5 5" xfId="46037" xr:uid="{00000000-0005-0000-0000-000005B40000}"/>
    <cellStyle name="货币 2 4 2 6 5 6" xfId="46038" xr:uid="{00000000-0005-0000-0000-000006B40000}"/>
    <cellStyle name="货币 2 4 2 6 6" xfId="39949" xr:uid="{00000000-0005-0000-0000-00003D9C0000}"/>
    <cellStyle name="货币 2 4 2 6 6 2" xfId="46039" xr:uid="{00000000-0005-0000-0000-000007B40000}"/>
    <cellStyle name="货币 2 4 2 6 6 3" xfId="46040" xr:uid="{00000000-0005-0000-0000-000008B40000}"/>
    <cellStyle name="货币 2 4 2 6 6 4" xfId="46041" xr:uid="{00000000-0005-0000-0000-000009B40000}"/>
    <cellStyle name="货币 2 4 2 6 6 5" xfId="46042" xr:uid="{00000000-0005-0000-0000-00000AB40000}"/>
    <cellStyle name="货币 2 4 2 6 6 6" xfId="46043" xr:uid="{00000000-0005-0000-0000-00000BB40000}"/>
    <cellStyle name="货币 2 4 2 6 7" xfId="38670" xr:uid="{00000000-0005-0000-0000-00003E970000}"/>
    <cellStyle name="货币 2 4 2 6 8" xfId="39951" xr:uid="{00000000-0005-0000-0000-00003F9C0000}"/>
    <cellStyle name="货币 2 4 2 6 9" xfId="39953" xr:uid="{00000000-0005-0000-0000-0000419C0000}"/>
    <cellStyle name="货币 2 4 2 7" xfId="46044" xr:uid="{00000000-0005-0000-0000-00000CB40000}"/>
    <cellStyle name="货币 2 4 2 7 10" xfId="46045" xr:uid="{00000000-0005-0000-0000-00000DB40000}"/>
    <cellStyle name="货币 2 4 2 7 11" xfId="46046" xr:uid="{00000000-0005-0000-0000-00000EB40000}"/>
    <cellStyle name="货币 2 4 2 7 12" xfId="46047" xr:uid="{00000000-0005-0000-0000-00000FB40000}"/>
    <cellStyle name="货币 2 4 2 7 13" xfId="32671" xr:uid="{00000000-0005-0000-0000-0000CF7F0000}"/>
    <cellStyle name="货币 2 4 2 7 14" xfId="18375" xr:uid="{00000000-0005-0000-0000-0000F7470000}"/>
    <cellStyle name="货币 2 4 2 7 15" xfId="46048" xr:uid="{00000000-0005-0000-0000-000010B40000}"/>
    <cellStyle name="货币 2 4 2 7 16" xfId="46049" xr:uid="{00000000-0005-0000-0000-000011B40000}"/>
    <cellStyle name="货币 2 4 2 7 17" xfId="46050" xr:uid="{00000000-0005-0000-0000-000012B40000}"/>
    <cellStyle name="货币 2 4 2 7 18" xfId="46051" xr:uid="{00000000-0005-0000-0000-000013B40000}"/>
    <cellStyle name="货币 2 4 2 7 2" xfId="46052" xr:uid="{00000000-0005-0000-0000-000014B40000}"/>
    <cellStyle name="货币 2 4 2 7 2 10" xfId="46053" xr:uid="{00000000-0005-0000-0000-000015B40000}"/>
    <cellStyle name="货币 2 4 2 7 2 2" xfId="19016" xr:uid="{00000000-0005-0000-0000-0000784A0000}"/>
    <cellStyle name="货币 2 4 2 7 2 2 2" xfId="21376" xr:uid="{00000000-0005-0000-0000-0000B0530000}"/>
    <cellStyle name="货币 2 4 2 7 2 3" xfId="46054" xr:uid="{00000000-0005-0000-0000-000016B40000}"/>
    <cellStyle name="货币 2 4 2 7 2 4" xfId="29463" xr:uid="{00000000-0005-0000-0000-000047730000}"/>
    <cellStyle name="货币 2 4 2 7 2 5" xfId="46055" xr:uid="{00000000-0005-0000-0000-000017B40000}"/>
    <cellStyle name="货币 2 4 2 7 2 6" xfId="46056" xr:uid="{00000000-0005-0000-0000-000018B40000}"/>
    <cellStyle name="货币 2 4 2 7 2 7" xfId="46057" xr:uid="{00000000-0005-0000-0000-000019B40000}"/>
    <cellStyle name="货币 2 4 2 7 2 8" xfId="46058" xr:uid="{00000000-0005-0000-0000-00001AB40000}"/>
    <cellStyle name="货币 2 4 2 7 2 9" xfId="46059" xr:uid="{00000000-0005-0000-0000-00001BB40000}"/>
    <cellStyle name="货币 2 4 2 7 3" xfId="46060" xr:uid="{00000000-0005-0000-0000-00001CB40000}"/>
    <cellStyle name="货币 2 4 2 7 3 2" xfId="26755" xr:uid="{00000000-0005-0000-0000-0000B3680000}"/>
    <cellStyle name="货币 2 4 2 7 3 3" xfId="46061" xr:uid="{00000000-0005-0000-0000-00001DB40000}"/>
    <cellStyle name="货币 2 4 2 7 3 4" xfId="46062" xr:uid="{00000000-0005-0000-0000-00001EB40000}"/>
    <cellStyle name="货币 2 4 2 7 3 5" xfId="46063" xr:uid="{00000000-0005-0000-0000-00001FB40000}"/>
    <cellStyle name="货币 2 4 2 7 3 6" xfId="46064" xr:uid="{00000000-0005-0000-0000-000020B40000}"/>
    <cellStyle name="货币 2 4 2 7 4" xfId="46065" xr:uid="{00000000-0005-0000-0000-000021B40000}"/>
    <cellStyle name="货币 2 4 2 7 4 2" xfId="26764" xr:uid="{00000000-0005-0000-0000-0000BC680000}"/>
    <cellStyle name="货币 2 4 2 7 4 3" xfId="32308" xr:uid="{00000000-0005-0000-0000-0000647E0000}"/>
    <cellStyle name="货币 2 4 2 7 4 4" xfId="32310" xr:uid="{00000000-0005-0000-0000-0000667E0000}"/>
    <cellStyle name="货币 2 4 2 7 4 5" xfId="32313" xr:uid="{00000000-0005-0000-0000-0000697E0000}"/>
    <cellStyle name="货币 2 4 2 7 4 6" xfId="46066" xr:uid="{00000000-0005-0000-0000-000022B40000}"/>
    <cellStyle name="货币 2 4 2 7 5" xfId="633" xr:uid="{00000000-0005-0000-0000-0000A5020000}"/>
    <cellStyle name="货币 2 4 2 7 5 2" xfId="46067" xr:uid="{00000000-0005-0000-0000-000023B40000}"/>
    <cellStyle name="货币 2 4 2 7 5 3" xfId="46068" xr:uid="{00000000-0005-0000-0000-000024B40000}"/>
    <cellStyle name="货币 2 4 2 7 5 4" xfId="46069" xr:uid="{00000000-0005-0000-0000-000025B40000}"/>
    <cellStyle name="货币 2 4 2 7 5 5" xfId="46070" xr:uid="{00000000-0005-0000-0000-000026B40000}"/>
    <cellStyle name="货币 2 4 2 7 5 6" xfId="46071" xr:uid="{00000000-0005-0000-0000-000027B40000}"/>
    <cellStyle name="货币 2 4 2 7 6" xfId="46072" xr:uid="{00000000-0005-0000-0000-000028B40000}"/>
    <cellStyle name="货币 2 4 2 7 6 2" xfId="46073" xr:uid="{00000000-0005-0000-0000-000029B40000}"/>
    <cellStyle name="货币 2 4 2 7 6 3" xfId="46074" xr:uid="{00000000-0005-0000-0000-00002AB40000}"/>
    <cellStyle name="货币 2 4 2 7 6 4" xfId="46075" xr:uid="{00000000-0005-0000-0000-00002BB40000}"/>
    <cellStyle name="货币 2 4 2 7 6 5" xfId="46076" xr:uid="{00000000-0005-0000-0000-00002CB40000}"/>
    <cellStyle name="货币 2 4 2 7 6 6" xfId="46077" xr:uid="{00000000-0005-0000-0000-00002DB40000}"/>
    <cellStyle name="货币 2 4 2 7 7" xfId="46078" xr:uid="{00000000-0005-0000-0000-00002EB40000}"/>
    <cellStyle name="货币 2 4 2 7 8" xfId="46079" xr:uid="{00000000-0005-0000-0000-00002FB40000}"/>
    <cellStyle name="货币 2 4 2 7 9" xfId="46080" xr:uid="{00000000-0005-0000-0000-000030B40000}"/>
    <cellStyle name="货币 2 4 2 8" xfId="46081" xr:uid="{00000000-0005-0000-0000-000031B40000}"/>
    <cellStyle name="货币 2 4 2 8 10" xfId="46083" xr:uid="{00000000-0005-0000-0000-000033B40000}"/>
    <cellStyle name="货币 2 4 2 8 11" xfId="46085" xr:uid="{00000000-0005-0000-0000-000035B40000}"/>
    <cellStyle name="货币 2 4 2 8 12" xfId="46087" xr:uid="{00000000-0005-0000-0000-000037B40000}"/>
    <cellStyle name="货币 2 4 2 8 13" xfId="21073" xr:uid="{00000000-0005-0000-0000-000081520000}"/>
    <cellStyle name="货币 2 4 2 8 14" xfId="18413" xr:uid="{00000000-0005-0000-0000-00001D480000}"/>
    <cellStyle name="货币 2 4 2 8 15" xfId="46089" xr:uid="{00000000-0005-0000-0000-000039B40000}"/>
    <cellStyle name="货币 2 4 2 8 2" xfId="13400" xr:uid="{00000000-0005-0000-0000-000088340000}"/>
    <cellStyle name="货币 2 4 2 8 2 2" xfId="16101" xr:uid="{00000000-0005-0000-0000-0000153F0000}"/>
    <cellStyle name="货币 2 4 2 8 2 2 2" xfId="46090" xr:uid="{00000000-0005-0000-0000-00003AB40000}"/>
    <cellStyle name="货币 2 4 2 8 2 3" xfId="46091" xr:uid="{00000000-0005-0000-0000-00003BB40000}"/>
    <cellStyle name="货币 2 4 2 8 2 4" xfId="46092" xr:uid="{00000000-0005-0000-0000-00003CB40000}"/>
    <cellStyle name="货币 2 4 2 8 2 5" xfId="46093" xr:uid="{00000000-0005-0000-0000-00003DB40000}"/>
    <cellStyle name="货币 2 4 2 8 2 6" xfId="46094" xr:uid="{00000000-0005-0000-0000-00003EB40000}"/>
    <cellStyle name="货币 2 4 2 8 2 7" xfId="46095" xr:uid="{00000000-0005-0000-0000-00003FB40000}"/>
    <cellStyle name="货币 2 4 2 8 2 8" xfId="46096" xr:uid="{00000000-0005-0000-0000-000040B40000}"/>
    <cellStyle name="货币 2 4 2 8 2 9" xfId="46097" xr:uid="{00000000-0005-0000-0000-000041B40000}"/>
    <cellStyle name="货币 2 4 2 8 3" xfId="13406" xr:uid="{00000000-0005-0000-0000-00008E340000}"/>
    <cellStyle name="货币 2 4 2 8 3 2" xfId="46098" xr:uid="{00000000-0005-0000-0000-000042B40000}"/>
    <cellStyle name="货币 2 4 2 8 3 3" xfId="46099" xr:uid="{00000000-0005-0000-0000-000043B40000}"/>
    <cellStyle name="货币 2 4 2 8 3 4" xfId="46100" xr:uid="{00000000-0005-0000-0000-000044B40000}"/>
    <cellStyle name="货币 2 4 2 8 3 5" xfId="46101" xr:uid="{00000000-0005-0000-0000-000045B40000}"/>
    <cellStyle name="货币 2 4 2 8 3 6" xfId="46102" xr:uid="{00000000-0005-0000-0000-000046B40000}"/>
    <cellStyle name="货币 2 4 2 8 4" xfId="13413" xr:uid="{00000000-0005-0000-0000-000095340000}"/>
    <cellStyle name="货币 2 4 2 8 4 2" xfId="46103" xr:uid="{00000000-0005-0000-0000-000047B40000}"/>
    <cellStyle name="货币 2 4 2 8 5" xfId="5322" xr:uid="{00000000-0005-0000-0000-0000FA140000}"/>
    <cellStyle name="货币 2 4 2 8 6" xfId="2701" xr:uid="{00000000-0005-0000-0000-0000BD0A0000}"/>
    <cellStyle name="货币 2 4 2 8 7" xfId="2838" xr:uid="{00000000-0005-0000-0000-0000460B0000}"/>
    <cellStyle name="货币 2 4 2 8 8" xfId="2885" xr:uid="{00000000-0005-0000-0000-0000750B0000}"/>
    <cellStyle name="货币 2 4 2 8 9" xfId="46104" xr:uid="{00000000-0005-0000-0000-000048B40000}"/>
    <cellStyle name="货币 2 4 2 9" xfId="46105" xr:uid="{00000000-0005-0000-0000-000049B40000}"/>
    <cellStyle name="货币 2 4 2 9 10" xfId="46106" xr:uid="{00000000-0005-0000-0000-00004AB40000}"/>
    <cellStyle name="货币 2 4 2 9 11" xfId="19663" xr:uid="{00000000-0005-0000-0000-0000FF4C0000}"/>
    <cellStyle name="货币 2 4 2 9 12" xfId="19666" xr:uid="{00000000-0005-0000-0000-0000024D0000}"/>
    <cellStyle name="货币 2 4 2 9 13" xfId="16540" xr:uid="{00000000-0005-0000-0000-0000CC400000}"/>
    <cellStyle name="货币 2 4 2 9 14" xfId="16544" xr:uid="{00000000-0005-0000-0000-0000D0400000}"/>
    <cellStyle name="货币 2 4 2 9 2" xfId="16119" xr:uid="{00000000-0005-0000-0000-0000273F0000}"/>
    <cellStyle name="货币 2 4 2 9 2 2" xfId="12862" xr:uid="{00000000-0005-0000-0000-00006E320000}"/>
    <cellStyle name="货币 2 4 2 9 2 2 2" xfId="46107" xr:uid="{00000000-0005-0000-0000-00004BB40000}"/>
    <cellStyle name="货币 2 4 2 9 2 3" xfId="46108" xr:uid="{00000000-0005-0000-0000-00004CB40000}"/>
    <cellStyle name="货币 2 4 2 9 2 4" xfId="41188" xr:uid="{00000000-0005-0000-0000-000014A10000}"/>
    <cellStyle name="货币 2 4 2 9 2 5" xfId="41190" xr:uid="{00000000-0005-0000-0000-000016A10000}"/>
    <cellStyle name="货币 2 4 2 9 2 6" xfId="41192" xr:uid="{00000000-0005-0000-0000-000018A10000}"/>
    <cellStyle name="货币 2 4 2 9 2 7" xfId="41194" xr:uid="{00000000-0005-0000-0000-00001AA10000}"/>
    <cellStyle name="货币 2 4 2 9 2 8" xfId="46109" xr:uid="{00000000-0005-0000-0000-00004DB40000}"/>
    <cellStyle name="货币 2 4 2 9 2 9" xfId="46110" xr:uid="{00000000-0005-0000-0000-00004EB40000}"/>
    <cellStyle name="货币 2 4 2 9 3" xfId="16122" xr:uid="{00000000-0005-0000-0000-00002A3F0000}"/>
    <cellStyle name="货币 2 4 2 9 3 2" xfId="46111" xr:uid="{00000000-0005-0000-0000-00004FB40000}"/>
    <cellStyle name="货币 2 4 2 9 3 3" xfId="46112" xr:uid="{00000000-0005-0000-0000-000050B40000}"/>
    <cellStyle name="货币 2 4 2 9 3 4" xfId="46113" xr:uid="{00000000-0005-0000-0000-000051B40000}"/>
    <cellStyle name="货币 2 4 2 9 3 5" xfId="46114" xr:uid="{00000000-0005-0000-0000-000052B40000}"/>
    <cellStyle name="货币 2 4 2 9 3 6" xfId="46115" xr:uid="{00000000-0005-0000-0000-000053B40000}"/>
    <cellStyle name="货币 2 4 2 9 4" xfId="16128" xr:uid="{00000000-0005-0000-0000-0000303F0000}"/>
    <cellStyle name="货币 2 4 2 9 4 2" xfId="46116" xr:uid="{00000000-0005-0000-0000-000054B40000}"/>
    <cellStyle name="货币 2 4 2 9 5" xfId="5325" xr:uid="{00000000-0005-0000-0000-0000FD140000}"/>
    <cellStyle name="货币 2 4 2 9 6" xfId="714" xr:uid="{00000000-0005-0000-0000-0000FA020000}"/>
    <cellStyle name="货币 2 4 2 9 7" xfId="2997" xr:uid="{00000000-0005-0000-0000-0000E50B0000}"/>
    <cellStyle name="货币 2 4 2 9 8" xfId="3013" xr:uid="{00000000-0005-0000-0000-0000F50B0000}"/>
    <cellStyle name="货币 2 4 2 9 9" xfId="46117" xr:uid="{00000000-0005-0000-0000-000055B40000}"/>
    <cellStyle name="货币 2 4 20" xfId="45371" xr:uid="{00000000-0005-0000-0000-00006BB10000}"/>
    <cellStyle name="货币 2 4 21" xfId="45373" xr:uid="{00000000-0005-0000-0000-00006DB10000}"/>
    <cellStyle name="货币 2 4 22" xfId="45381" xr:uid="{00000000-0005-0000-0000-000075B10000}"/>
    <cellStyle name="货币 2 4 23" xfId="45383" xr:uid="{00000000-0005-0000-0000-000077B10000}"/>
    <cellStyle name="货币 2 4 24" xfId="45385" xr:uid="{00000000-0005-0000-0000-000079B10000}"/>
    <cellStyle name="货币 2 4 25" xfId="46118" xr:uid="{00000000-0005-0000-0000-000056B40000}"/>
    <cellStyle name="货币 2 4 26" xfId="24638" xr:uid="{00000000-0005-0000-0000-00006E600000}"/>
    <cellStyle name="货币 2 4 27" xfId="46119" xr:uid="{00000000-0005-0000-0000-000057B40000}"/>
    <cellStyle name="货币 2 4 28" xfId="46120" xr:uid="{00000000-0005-0000-0000-000058B40000}"/>
    <cellStyle name="货币 2 4 3" xfId="46121" xr:uid="{00000000-0005-0000-0000-000059B40000}"/>
    <cellStyle name="货币 2 4 3 10" xfId="46122" xr:uid="{00000000-0005-0000-0000-00005AB40000}"/>
    <cellStyle name="货币 2 4 3 10 2" xfId="10000" xr:uid="{00000000-0005-0000-0000-000040270000}"/>
    <cellStyle name="货币 2 4 3 10 3" xfId="5716" xr:uid="{00000000-0005-0000-0000-000084160000}"/>
    <cellStyle name="货币 2 4 3 10 4" xfId="10357" xr:uid="{00000000-0005-0000-0000-0000A5280000}"/>
    <cellStyle name="货币 2 4 3 10 5" xfId="46123" xr:uid="{00000000-0005-0000-0000-00005BB40000}"/>
    <cellStyle name="货币 2 4 3 10 6" xfId="46124" xr:uid="{00000000-0005-0000-0000-00005CB40000}"/>
    <cellStyle name="货币 2 4 3 11" xfId="46125" xr:uid="{00000000-0005-0000-0000-00005DB40000}"/>
    <cellStyle name="货币 2 4 3 11 2" xfId="10624" xr:uid="{00000000-0005-0000-0000-0000B0290000}"/>
    <cellStyle name="货币 2 4 3 11 3" xfId="6822" xr:uid="{00000000-0005-0000-0000-0000D61A0000}"/>
    <cellStyle name="货币 2 4 3 11 4" xfId="6839" xr:uid="{00000000-0005-0000-0000-0000E71A0000}"/>
    <cellStyle name="货币 2 4 3 11 5" xfId="46126" xr:uid="{00000000-0005-0000-0000-00005EB40000}"/>
    <cellStyle name="货币 2 4 3 11 6" xfId="46127" xr:uid="{00000000-0005-0000-0000-00005FB40000}"/>
    <cellStyle name="货币 2 4 3 12" xfId="46128" xr:uid="{00000000-0005-0000-0000-000060B40000}"/>
    <cellStyle name="货币 2 4 3 13" xfId="46129" xr:uid="{00000000-0005-0000-0000-000061B40000}"/>
    <cellStyle name="货币 2 4 3 14" xfId="11692" xr:uid="{00000000-0005-0000-0000-0000DC2D0000}"/>
    <cellStyle name="货币 2 4 3 15" xfId="5957" xr:uid="{00000000-0005-0000-0000-000075170000}"/>
    <cellStyle name="货币 2 4 3 16" xfId="11701" xr:uid="{00000000-0005-0000-0000-0000E52D0000}"/>
    <cellStyle name="货币 2 4 3 17" xfId="11745" xr:uid="{00000000-0005-0000-0000-0000112E0000}"/>
    <cellStyle name="货币 2 4 3 18" xfId="11750" xr:uid="{00000000-0005-0000-0000-0000162E0000}"/>
    <cellStyle name="货币 2 4 3 19" xfId="23357" xr:uid="{00000000-0005-0000-0000-00006D5B0000}"/>
    <cellStyle name="货币 2 4 3 2" xfId="46130" xr:uid="{00000000-0005-0000-0000-000062B40000}"/>
    <cellStyle name="货币 2 4 3 2 10" xfId="46131" xr:uid="{00000000-0005-0000-0000-000063B40000}"/>
    <cellStyle name="货币 2 4 3 2 11" xfId="46132" xr:uid="{00000000-0005-0000-0000-000064B40000}"/>
    <cellStyle name="货币 2 4 3 2 12" xfId="46133" xr:uid="{00000000-0005-0000-0000-000065B40000}"/>
    <cellStyle name="货币 2 4 3 2 13" xfId="46134" xr:uid="{00000000-0005-0000-0000-000066B40000}"/>
    <cellStyle name="货币 2 4 3 2 14" xfId="46135" xr:uid="{00000000-0005-0000-0000-000067B40000}"/>
    <cellStyle name="货币 2 4 3 2 15" xfId="46136" xr:uid="{00000000-0005-0000-0000-000068B40000}"/>
    <cellStyle name="货币 2 4 3 2 16" xfId="3149" xr:uid="{00000000-0005-0000-0000-00007D0C0000}"/>
    <cellStyle name="货币 2 4 3 2 17" xfId="46137" xr:uid="{00000000-0005-0000-0000-000069B40000}"/>
    <cellStyle name="货币 2 4 3 2 18" xfId="46138" xr:uid="{00000000-0005-0000-0000-00006AB40000}"/>
    <cellStyle name="货币 2 4 3 2 2" xfId="46139" xr:uid="{00000000-0005-0000-0000-00006BB40000}"/>
    <cellStyle name="货币 2 4 3 2 2 10" xfId="46140" xr:uid="{00000000-0005-0000-0000-00006CB40000}"/>
    <cellStyle name="货币 2 4 3 2 2 11" xfId="46141" xr:uid="{00000000-0005-0000-0000-00006DB40000}"/>
    <cellStyle name="货币 2 4 3 2 2 12" xfId="15524" xr:uid="{00000000-0005-0000-0000-0000D43C0000}"/>
    <cellStyle name="货币 2 4 3 2 2 2" xfId="46142" xr:uid="{00000000-0005-0000-0000-00006EB40000}"/>
    <cellStyle name="货币 2 4 3 2 2 2 2" xfId="9914" xr:uid="{00000000-0005-0000-0000-0000EA260000}"/>
    <cellStyle name="货币 2 4 3 2 2 2 2 2" xfId="11402" xr:uid="{00000000-0005-0000-0000-0000BA2C0000}"/>
    <cellStyle name="货币 2 4 3 2 2 2 3" xfId="9920" xr:uid="{00000000-0005-0000-0000-0000F0260000}"/>
    <cellStyle name="货币 2 4 3 2 2 2 4" xfId="9927" xr:uid="{00000000-0005-0000-0000-0000F7260000}"/>
    <cellStyle name="货币 2 4 3 2 2 2 5" xfId="4132" xr:uid="{00000000-0005-0000-0000-000054100000}"/>
    <cellStyle name="货币 2 4 3 2 2 3" xfId="46143" xr:uid="{00000000-0005-0000-0000-00006FB40000}"/>
    <cellStyle name="货币 2 4 3 2 2 3 2" xfId="46144" xr:uid="{00000000-0005-0000-0000-000070B40000}"/>
    <cellStyle name="货币 2 4 3 2 2 4" xfId="46145" xr:uid="{00000000-0005-0000-0000-000071B40000}"/>
    <cellStyle name="货币 2 4 3 2 2 5" xfId="46146" xr:uid="{00000000-0005-0000-0000-000072B40000}"/>
    <cellStyle name="货币 2 4 3 2 2 6" xfId="46147" xr:uid="{00000000-0005-0000-0000-000073B40000}"/>
    <cellStyle name="货币 2 4 3 2 2 7" xfId="45830" xr:uid="{00000000-0005-0000-0000-000036B30000}"/>
    <cellStyle name="货币 2 4 3 2 2 8" xfId="46148" xr:uid="{00000000-0005-0000-0000-000074B40000}"/>
    <cellStyle name="货币 2 4 3 2 2 9" xfId="46149" xr:uid="{00000000-0005-0000-0000-000075B40000}"/>
    <cellStyle name="货币 2 4 3 2 3" xfId="46150" xr:uid="{00000000-0005-0000-0000-000076B40000}"/>
    <cellStyle name="货币 2 4 3 2 3 10" xfId="33209" xr:uid="{00000000-0005-0000-0000-0000E9810000}"/>
    <cellStyle name="货币 2 4 3 2 3 11" xfId="33211" xr:uid="{00000000-0005-0000-0000-0000EB810000}"/>
    <cellStyle name="货币 2 4 3 2 3 12" xfId="33213" xr:uid="{00000000-0005-0000-0000-0000ED810000}"/>
    <cellStyle name="货币 2 4 3 2 3 2" xfId="46151" xr:uid="{00000000-0005-0000-0000-000077B40000}"/>
    <cellStyle name="货币 2 4 3 2 3 2 2" xfId="46152" xr:uid="{00000000-0005-0000-0000-000078B40000}"/>
    <cellStyle name="货币 2 4 3 2 3 2 2 2" xfId="14734" xr:uid="{00000000-0005-0000-0000-0000BE390000}"/>
    <cellStyle name="货币 2 4 3 2 3 2 3" xfId="46153" xr:uid="{00000000-0005-0000-0000-000079B40000}"/>
    <cellStyle name="货币 2 4 3 2 3 2 4" xfId="46154" xr:uid="{00000000-0005-0000-0000-00007AB40000}"/>
    <cellStyle name="货币 2 4 3 2 3 2 5" xfId="46155" xr:uid="{00000000-0005-0000-0000-00007BB40000}"/>
    <cellStyle name="货币 2 4 3 2 3 3" xfId="46156" xr:uid="{00000000-0005-0000-0000-00007CB40000}"/>
    <cellStyle name="货币 2 4 3 2 3 3 2" xfId="46157" xr:uid="{00000000-0005-0000-0000-00007DB40000}"/>
    <cellStyle name="货币 2 4 3 2 3 4" xfId="46158" xr:uid="{00000000-0005-0000-0000-00007EB40000}"/>
    <cellStyle name="货币 2 4 3 2 3 5" xfId="21731" xr:uid="{00000000-0005-0000-0000-000013550000}"/>
    <cellStyle name="货币 2 4 3 2 3 6" xfId="21736" xr:uid="{00000000-0005-0000-0000-000018550000}"/>
    <cellStyle name="货币 2 4 3 2 3 7" xfId="21740" xr:uid="{00000000-0005-0000-0000-00001C550000}"/>
    <cellStyle name="货币 2 4 3 2 3 8" xfId="21750" xr:uid="{00000000-0005-0000-0000-000026550000}"/>
    <cellStyle name="货币 2 4 3 2 3 9" xfId="21757" xr:uid="{00000000-0005-0000-0000-00002D550000}"/>
    <cellStyle name="货币 2 4 3 2 4" xfId="46159" xr:uid="{00000000-0005-0000-0000-00007FB40000}"/>
    <cellStyle name="货币 2 4 3 2 4 10" xfId="45390" xr:uid="{00000000-0005-0000-0000-00007EB10000}"/>
    <cellStyle name="货币 2 4 3 2 4 2" xfId="46160" xr:uid="{00000000-0005-0000-0000-000080B40000}"/>
    <cellStyle name="货币 2 4 3 2 4 2 2" xfId="46161" xr:uid="{00000000-0005-0000-0000-000081B40000}"/>
    <cellStyle name="货币 2 4 3 2 4 2 2 2" xfId="17049" xr:uid="{00000000-0005-0000-0000-0000C9420000}"/>
    <cellStyle name="货币 2 4 3 2 4 2 3" xfId="46162" xr:uid="{00000000-0005-0000-0000-000082B40000}"/>
    <cellStyle name="货币 2 4 3 2 4 2 4" xfId="46163" xr:uid="{00000000-0005-0000-0000-000083B40000}"/>
    <cellStyle name="货币 2 4 3 2 4 2 5" xfId="46164" xr:uid="{00000000-0005-0000-0000-000084B40000}"/>
    <cellStyle name="货币 2 4 3 2 4 3" xfId="31465" xr:uid="{00000000-0005-0000-0000-0000197B0000}"/>
    <cellStyle name="货币 2 4 3 2 4 3 2" xfId="46165" xr:uid="{00000000-0005-0000-0000-000085B40000}"/>
    <cellStyle name="货币 2 4 3 2 4 4" xfId="46166" xr:uid="{00000000-0005-0000-0000-000086B40000}"/>
    <cellStyle name="货币 2 4 3 2 4 5" xfId="21767" xr:uid="{00000000-0005-0000-0000-000037550000}"/>
    <cellStyle name="货币 2 4 3 2 4 6" xfId="21771" xr:uid="{00000000-0005-0000-0000-00003B550000}"/>
    <cellStyle name="货币 2 4 3 2 4 7" xfId="21775" xr:uid="{00000000-0005-0000-0000-00003F550000}"/>
    <cellStyle name="货币 2 4 3 2 4 8" xfId="21779" xr:uid="{00000000-0005-0000-0000-000043550000}"/>
    <cellStyle name="货币 2 4 3 2 4 9" xfId="21783" xr:uid="{00000000-0005-0000-0000-000047550000}"/>
    <cellStyle name="货币 2 4 3 2 5" xfId="1891" xr:uid="{00000000-0005-0000-0000-000093070000}"/>
    <cellStyle name="货币 2 4 3 2 5 10" xfId="39715" xr:uid="{00000000-0005-0000-0000-0000539B0000}"/>
    <cellStyle name="货币 2 4 3 2 5 2" xfId="2513" xr:uid="{00000000-0005-0000-0000-0000010A0000}"/>
    <cellStyle name="货币 2 4 3 2 5 2 2" xfId="3553" xr:uid="{00000000-0005-0000-0000-0000110E0000}"/>
    <cellStyle name="货币 2 4 3 2 5 2 2 2" xfId="18672" xr:uid="{00000000-0005-0000-0000-000020490000}"/>
    <cellStyle name="货币 2 4 3 2 5 2 3" xfId="46167" xr:uid="{00000000-0005-0000-0000-000087B40000}"/>
    <cellStyle name="货币 2 4 3 2 5 2 4" xfId="46168" xr:uid="{00000000-0005-0000-0000-000088B40000}"/>
    <cellStyle name="货币 2 4 3 2 5 2 5" xfId="46169" xr:uid="{00000000-0005-0000-0000-000089B40000}"/>
    <cellStyle name="货币 2 4 3 2 5 3" xfId="2895" xr:uid="{00000000-0005-0000-0000-00007F0B0000}"/>
    <cellStyle name="货币 2 4 3 2 5 3 2" xfId="31746" xr:uid="{00000000-0005-0000-0000-0000327C0000}"/>
    <cellStyle name="货币 2 4 3 2 5 4" xfId="41926" xr:uid="{00000000-0005-0000-0000-0000F6A30000}"/>
    <cellStyle name="货币 2 4 3 2 5 5" xfId="21270" xr:uid="{00000000-0005-0000-0000-000046530000}"/>
    <cellStyle name="货币 2 4 3 2 5 6" xfId="41928" xr:uid="{00000000-0005-0000-0000-0000F8A30000}"/>
    <cellStyle name="货币 2 4 3 2 5 7" xfId="46170" xr:uid="{00000000-0005-0000-0000-00008AB40000}"/>
    <cellStyle name="货币 2 4 3 2 5 8" xfId="46171" xr:uid="{00000000-0005-0000-0000-00008BB40000}"/>
    <cellStyle name="货币 2 4 3 2 5 9" xfId="46172" xr:uid="{00000000-0005-0000-0000-00008CB40000}"/>
    <cellStyle name="货币 2 4 3 2 6" xfId="2534" xr:uid="{00000000-0005-0000-0000-0000160A0000}"/>
    <cellStyle name="货币 2 4 3 2 6 2" xfId="2556" xr:uid="{00000000-0005-0000-0000-00002C0A0000}"/>
    <cellStyle name="货币 2 4 3 2 6 2 2" xfId="46173" xr:uid="{00000000-0005-0000-0000-00008DB40000}"/>
    <cellStyle name="货币 2 4 3 2 6 3" xfId="46174" xr:uid="{00000000-0005-0000-0000-00008EB40000}"/>
    <cellStyle name="货币 2 4 3 2 6 4" xfId="46175" xr:uid="{00000000-0005-0000-0000-00008FB40000}"/>
    <cellStyle name="货币 2 4 3 2 6 5" xfId="46177" xr:uid="{00000000-0005-0000-0000-000091B40000}"/>
    <cellStyle name="货币 2 4 3 2 6 6" xfId="46178" xr:uid="{00000000-0005-0000-0000-000092B40000}"/>
    <cellStyle name="货币 2 4 3 2 6 7" xfId="46179" xr:uid="{00000000-0005-0000-0000-000093B40000}"/>
    <cellStyle name="货币 2 4 3 2 6 8" xfId="46180" xr:uid="{00000000-0005-0000-0000-000094B40000}"/>
    <cellStyle name="货币 2 4 3 2 6 9" xfId="46181" xr:uid="{00000000-0005-0000-0000-000095B40000}"/>
    <cellStyle name="货币 2 4 3 2 7" xfId="5337" xr:uid="{00000000-0005-0000-0000-000009150000}"/>
    <cellStyle name="货币 2 4 3 2 7 2" xfId="4149" xr:uid="{00000000-0005-0000-0000-000065100000}"/>
    <cellStyle name="货币 2 4 3 2 8" xfId="5346" xr:uid="{00000000-0005-0000-0000-000012150000}"/>
    <cellStyle name="货币 2 4 3 2 9" xfId="5361" xr:uid="{00000000-0005-0000-0000-000021150000}"/>
    <cellStyle name="货币 2 4 3 20" xfId="5956" xr:uid="{00000000-0005-0000-0000-000074170000}"/>
    <cellStyle name="货币 2 4 3 21" xfId="11700" xr:uid="{00000000-0005-0000-0000-0000E42D0000}"/>
    <cellStyle name="货币 2 4 3 22" xfId="11744" xr:uid="{00000000-0005-0000-0000-0000102E0000}"/>
    <cellStyle name="货币 2 4 3 23" xfId="11749" xr:uid="{00000000-0005-0000-0000-0000152E0000}"/>
    <cellStyle name="货币 2 4 3 3" xfId="46182" xr:uid="{00000000-0005-0000-0000-000096B40000}"/>
    <cellStyle name="货币 2 4 3 3 10" xfId="46183" xr:uid="{00000000-0005-0000-0000-000097B40000}"/>
    <cellStyle name="货币 2 4 3 3 11" xfId="46184" xr:uid="{00000000-0005-0000-0000-000098B40000}"/>
    <cellStyle name="货币 2 4 3 3 12" xfId="45458" xr:uid="{00000000-0005-0000-0000-0000C2B10000}"/>
    <cellStyle name="货币 2 4 3 3 13" xfId="44875" xr:uid="{00000000-0005-0000-0000-00007BAF0000}"/>
    <cellStyle name="货币 2 4 3 3 14" xfId="29614" xr:uid="{00000000-0005-0000-0000-0000DE730000}"/>
    <cellStyle name="货币 2 4 3 3 15" xfId="29624" xr:uid="{00000000-0005-0000-0000-0000E8730000}"/>
    <cellStyle name="货币 2 4 3 3 16" xfId="29630" xr:uid="{00000000-0005-0000-0000-0000EE730000}"/>
    <cellStyle name="货币 2 4 3 3 17" xfId="44131" xr:uid="{00000000-0005-0000-0000-000093AC0000}"/>
    <cellStyle name="货币 2 4 3 3 18" xfId="43058" xr:uid="{00000000-0005-0000-0000-000062A80000}"/>
    <cellStyle name="货币 2 4 3 3 2" xfId="46185" xr:uid="{00000000-0005-0000-0000-000099B40000}"/>
    <cellStyle name="货币 2 4 3 3 2 10" xfId="38212" xr:uid="{00000000-0005-0000-0000-000074950000}"/>
    <cellStyle name="货币 2 4 3 3 2 2" xfId="46186" xr:uid="{00000000-0005-0000-0000-00009AB40000}"/>
    <cellStyle name="货币 2 4 3 3 2 2 2" xfId="46187" xr:uid="{00000000-0005-0000-0000-00009BB40000}"/>
    <cellStyle name="货币 2 4 3 3 2 3" xfId="46188" xr:uid="{00000000-0005-0000-0000-00009CB40000}"/>
    <cellStyle name="货币 2 4 3 3 2 4" xfId="46189" xr:uid="{00000000-0005-0000-0000-00009DB40000}"/>
    <cellStyle name="货币 2 4 3 3 2 5" xfId="46190" xr:uid="{00000000-0005-0000-0000-00009EB40000}"/>
    <cellStyle name="货币 2 4 3 3 2 6" xfId="46191" xr:uid="{00000000-0005-0000-0000-00009FB40000}"/>
    <cellStyle name="货币 2 4 3 3 2 7" xfId="46192" xr:uid="{00000000-0005-0000-0000-0000A0B40000}"/>
    <cellStyle name="货币 2 4 3 3 2 8" xfId="46193" xr:uid="{00000000-0005-0000-0000-0000A1B40000}"/>
    <cellStyle name="货币 2 4 3 3 2 9" xfId="46194" xr:uid="{00000000-0005-0000-0000-0000A2B40000}"/>
    <cellStyle name="货币 2 4 3 3 3" xfId="46195" xr:uid="{00000000-0005-0000-0000-0000A3B40000}"/>
    <cellStyle name="货币 2 4 3 3 3 2" xfId="46196" xr:uid="{00000000-0005-0000-0000-0000A4B40000}"/>
    <cellStyle name="货币 2 4 3 3 3 3" xfId="46197" xr:uid="{00000000-0005-0000-0000-0000A5B40000}"/>
    <cellStyle name="货币 2 4 3 3 3 4" xfId="46198" xr:uid="{00000000-0005-0000-0000-0000A6B40000}"/>
    <cellStyle name="货币 2 4 3 3 3 5" xfId="21806" xr:uid="{00000000-0005-0000-0000-00005E550000}"/>
    <cellStyle name="货币 2 4 3 3 3 6" xfId="21812" xr:uid="{00000000-0005-0000-0000-000064550000}"/>
    <cellStyle name="货币 2 4 3 3 4" xfId="46199" xr:uid="{00000000-0005-0000-0000-0000A7B40000}"/>
    <cellStyle name="货币 2 4 3 3 4 2" xfId="46200" xr:uid="{00000000-0005-0000-0000-0000A8B40000}"/>
    <cellStyle name="货币 2 4 3 3 4 3" xfId="31472" xr:uid="{00000000-0005-0000-0000-0000207B0000}"/>
    <cellStyle name="货币 2 4 3 3 4 4" xfId="46201" xr:uid="{00000000-0005-0000-0000-0000A9B40000}"/>
    <cellStyle name="货币 2 4 3 3 4 5" xfId="21870" xr:uid="{00000000-0005-0000-0000-00009E550000}"/>
    <cellStyle name="货币 2 4 3 3 4 6" xfId="21875" xr:uid="{00000000-0005-0000-0000-0000A3550000}"/>
    <cellStyle name="货币 2 4 3 3 5" xfId="851" xr:uid="{00000000-0005-0000-0000-000083030000}"/>
    <cellStyle name="货币 2 4 3 3 5 2" xfId="417" xr:uid="{00000000-0005-0000-0000-0000BC010000}"/>
    <cellStyle name="货币 2 4 3 3 5 3" xfId="5005" xr:uid="{00000000-0005-0000-0000-0000BD130000}"/>
    <cellStyle name="货币 2 4 3 3 5 4" xfId="5430" xr:uid="{00000000-0005-0000-0000-000066150000}"/>
    <cellStyle name="货币 2 4 3 3 5 5" xfId="4771" xr:uid="{00000000-0005-0000-0000-0000D3120000}"/>
    <cellStyle name="货币 2 4 3 3 5 6" xfId="5439" xr:uid="{00000000-0005-0000-0000-00006F150000}"/>
    <cellStyle name="货币 2 4 3 3 6" xfId="886" xr:uid="{00000000-0005-0000-0000-0000A6030000}"/>
    <cellStyle name="货币 2 4 3 3 6 2" xfId="908" xr:uid="{00000000-0005-0000-0000-0000BC030000}"/>
    <cellStyle name="货币 2 4 3 3 6 3" xfId="5474" xr:uid="{00000000-0005-0000-0000-000092150000}"/>
    <cellStyle name="货币 2 4 3 3 6 4" xfId="5481" xr:uid="{00000000-0005-0000-0000-000099150000}"/>
    <cellStyle name="货币 2 4 3 3 6 5" xfId="4783" xr:uid="{00000000-0005-0000-0000-0000DF120000}"/>
    <cellStyle name="货币 2 4 3 3 6 6" xfId="5494" xr:uid="{00000000-0005-0000-0000-0000A6150000}"/>
    <cellStyle name="货币 2 4 3 3 7" xfId="5522" xr:uid="{00000000-0005-0000-0000-0000C2150000}"/>
    <cellStyle name="货币 2 4 3 3 8" xfId="119" xr:uid="{00000000-0005-0000-0000-000081000000}"/>
    <cellStyle name="货币 2 4 3 3 9" xfId="5534" xr:uid="{00000000-0005-0000-0000-0000CE150000}"/>
    <cellStyle name="货币 2 4 3 4" xfId="46202" xr:uid="{00000000-0005-0000-0000-0000AAB40000}"/>
    <cellStyle name="货币 2 4 3 4 10" xfId="46203" xr:uid="{00000000-0005-0000-0000-0000ABB40000}"/>
    <cellStyle name="货币 2 4 3 4 11" xfId="46204" xr:uid="{00000000-0005-0000-0000-0000ACB40000}"/>
    <cellStyle name="货币 2 4 3 4 12" xfId="46205" xr:uid="{00000000-0005-0000-0000-0000ADB40000}"/>
    <cellStyle name="货币 2 4 3 4 13" xfId="46206" xr:uid="{00000000-0005-0000-0000-0000AEB40000}"/>
    <cellStyle name="货币 2 4 3 4 14" xfId="46207" xr:uid="{00000000-0005-0000-0000-0000AFB40000}"/>
    <cellStyle name="货币 2 4 3 4 15" xfId="46208" xr:uid="{00000000-0005-0000-0000-0000B0B40000}"/>
    <cellStyle name="货币 2 4 3 4 2" xfId="24156" xr:uid="{00000000-0005-0000-0000-00008C5E0000}"/>
    <cellStyle name="货币 2 4 3 4 2 2" xfId="43181" xr:uid="{00000000-0005-0000-0000-0000DDA80000}"/>
    <cellStyle name="货币 2 4 3 4 2 2 2" xfId="46209" xr:uid="{00000000-0005-0000-0000-0000B1B40000}"/>
    <cellStyle name="货币 2 4 3 4 2 3" xfId="43183" xr:uid="{00000000-0005-0000-0000-0000DFA80000}"/>
    <cellStyle name="货币 2 4 3 4 2 4" xfId="46210" xr:uid="{00000000-0005-0000-0000-0000B2B40000}"/>
    <cellStyle name="货币 2 4 3 4 2 5" xfId="46211" xr:uid="{00000000-0005-0000-0000-0000B3B40000}"/>
    <cellStyle name="货币 2 4 3 4 2 6" xfId="46212" xr:uid="{00000000-0005-0000-0000-0000B4B40000}"/>
    <cellStyle name="货币 2 4 3 4 2 7" xfId="46213" xr:uid="{00000000-0005-0000-0000-0000B5B40000}"/>
    <cellStyle name="货币 2 4 3 4 2 8" xfId="46214" xr:uid="{00000000-0005-0000-0000-0000B6B40000}"/>
    <cellStyle name="货币 2 4 3 4 2 9" xfId="32306" xr:uid="{00000000-0005-0000-0000-0000627E0000}"/>
    <cellStyle name="货币 2 4 3 4 3" xfId="24158" xr:uid="{00000000-0005-0000-0000-00008E5E0000}"/>
    <cellStyle name="货币 2 4 3 4 3 2" xfId="43188" xr:uid="{00000000-0005-0000-0000-0000E4A80000}"/>
    <cellStyle name="货币 2 4 3 4 3 3" xfId="43190" xr:uid="{00000000-0005-0000-0000-0000E6A80000}"/>
    <cellStyle name="货币 2 4 3 4 3 4" xfId="46215" xr:uid="{00000000-0005-0000-0000-0000B7B40000}"/>
    <cellStyle name="货币 2 4 3 4 3 5" xfId="21909" xr:uid="{00000000-0005-0000-0000-0000C5550000}"/>
    <cellStyle name="货币 2 4 3 4 3 6" xfId="46216" xr:uid="{00000000-0005-0000-0000-0000B8B40000}"/>
    <cellStyle name="货币 2 4 3 4 4" xfId="24160" xr:uid="{00000000-0005-0000-0000-0000905E0000}"/>
    <cellStyle name="货币 2 4 3 4 4 2" xfId="46217" xr:uid="{00000000-0005-0000-0000-0000B9B40000}"/>
    <cellStyle name="货币 2 4 3 4 5" xfId="2525" xr:uid="{00000000-0005-0000-0000-00000D0A0000}"/>
    <cellStyle name="货币 2 4 3 4 6" xfId="2901" xr:uid="{00000000-0005-0000-0000-0000850B0000}"/>
    <cellStyle name="货币 2 4 3 4 7" xfId="5568" xr:uid="{00000000-0005-0000-0000-0000F0150000}"/>
    <cellStyle name="货币 2 4 3 4 8" xfId="4392" xr:uid="{00000000-0005-0000-0000-000058110000}"/>
    <cellStyle name="货币 2 4 3 4 9" xfId="5579" xr:uid="{00000000-0005-0000-0000-0000FB150000}"/>
    <cellStyle name="货币 2 4 3 5" xfId="46218" xr:uid="{00000000-0005-0000-0000-0000BAB40000}"/>
    <cellStyle name="货币 2 4 3 5 10" xfId="46219" xr:uid="{00000000-0005-0000-0000-0000BBB40000}"/>
    <cellStyle name="货币 2 4 3 5 11" xfId="46220" xr:uid="{00000000-0005-0000-0000-0000BCB40000}"/>
    <cellStyle name="货币 2 4 3 5 12" xfId="46221" xr:uid="{00000000-0005-0000-0000-0000BDB40000}"/>
    <cellStyle name="货币 2 4 3 5 13" xfId="46222" xr:uid="{00000000-0005-0000-0000-0000BEB40000}"/>
    <cellStyle name="货币 2 4 3 5 2" xfId="34920" xr:uid="{00000000-0005-0000-0000-000098880000}"/>
    <cellStyle name="货币 2 4 3 5 2 2" xfId="46223" xr:uid="{00000000-0005-0000-0000-0000BFB40000}"/>
    <cellStyle name="货币 2 4 3 5 2 2 2" xfId="31846" xr:uid="{00000000-0005-0000-0000-0000967C0000}"/>
    <cellStyle name="货币 2 4 3 5 2 3" xfId="46224" xr:uid="{00000000-0005-0000-0000-0000C0B40000}"/>
    <cellStyle name="货币 2 4 3 5 2 4" xfId="46225" xr:uid="{00000000-0005-0000-0000-0000C1B40000}"/>
    <cellStyle name="货币 2 4 3 5 2 5" xfId="46226" xr:uid="{00000000-0005-0000-0000-0000C2B40000}"/>
    <cellStyle name="货币 2 4 3 5 2 6" xfId="46227" xr:uid="{00000000-0005-0000-0000-0000C3B40000}"/>
    <cellStyle name="货币 2 4 3 5 2 7" xfId="46228" xr:uid="{00000000-0005-0000-0000-0000C4B40000}"/>
    <cellStyle name="货币 2 4 3 5 2 8" xfId="46229" xr:uid="{00000000-0005-0000-0000-0000C5B40000}"/>
    <cellStyle name="货币 2 4 3 5 2 9" xfId="46230" xr:uid="{00000000-0005-0000-0000-0000C6B40000}"/>
    <cellStyle name="货币 2 4 3 5 3" xfId="34922" xr:uid="{00000000-0005-0000-0000-00009A880000}"/>
    <cellStyle name="货币 2 4 3 5 3 2" xfId="46231" xr:uid="{00000000-0005-0000-0000-0000C7B40000}"/>
    <cellStyle name="货币 2 4 3 5 3 3" xfId="46232" xr:uid="{00000000-0005-0000-0000-0000C8B40000}"/>
    <cellStyle name="货币 2 4 3 5 3 4" xfId="46233" xr:uid="{00000000-0005-0000-0000-0000C9B40000}"/>
    <cellStyle name="货币 2 4 3 5 3 5" xfId="46234" xr:uid="{00000000-0005-0000-0000-0000CAB40000}"/>
    <cellStyle name="货币 2 4 3 5 3 6" xfId="46235" xr:uid="{00000000-0005-0000-0000-0000CBB40000}"/>
    <cellStyle name="货币 2 4 3 5 4" xfId="34924" xr:uid="{00000000-0005-0000-0000-00009C880000}"/>
    <cellStyle name="货币 2 4 3 5 4 2" xfId="36841" xr:uid="{00000000-0005-0000-0000-000019900000}"/>
    <cellStyle name="货币 2 4 3 5 5" xfId="2562" xr:uid="{00000000-0005-0000-0000-0000320A0000}"/>
    <cellStyle name="货币 2 4 3 5 6" xfId="3752" xr:uid="{00000000-0005-0000-0000-0000D80E0000}"/>
    <cellStyle name="货币 2 4 3 5 7" xfId="6894" xr:uid="{00000000-0005-0000-0000-00001E1B0000}"/>
    <cellStyle name="货币 2 4 3 5 8" xfId="46236" xr:uid="{00000000-0005-0000-0000-0000CCB40000}"/>
    <cellStyle name="货币 2 4 3 5 9" xfId="46237" xr:uid="{00000000-0005-0000-0000-0000CDB40000}"/>
    <cellStyle name="货币 2 4 3 6" xfId="46238" xr:uid="{00000000-0005-0000-0000-0000CEB40000}"/>
    <cellStyle name="货币 2 4 3 6 10" xfId="46240" xr:uid="{00000000-0005-0000-0000-0000D0B40000}"/>
    <cellStyle name="货币 2 4 3 6 11" xfId="40475" xr:uid="{00000000-0005-0000-0000-00004B9E0000}"/>
    <cellStyle name="货币 2 4 3 6 12" xfId="40478" xr:uid="{00000000-0005-0000-0000-00004E9E0000}"/>
    <cellStyle name="货币 2 4 3 6 2" xfId="34929" xr:uid="{00000000-0005-0000-0000-0000A1880000}"/>
    <cellStyle name="货币 2 4 3 6 2 2" xfId="46241" xr:uid="{00000000-0005-0000-0000-0000D1B40000}"/>
    <cellStyle name="货币 2 4 3 6 2 2 2" xfId="5218" xr:uid="{00000000-0005-0000-0000-000092140000}"/>
    <cellStyle name="货币 2 4 3 6 2 3" xfId="46242" xr:uid="{00000000-0005-0000-0000-0000D2B40000}"/>
    <cellStyle name="货币 2 4 3 6 2 4" xfId="46243" xr:uid="{00000000-0005-0000-0000-0000D3B40000}"/>
    <cellStyle name="货币 2 4 3 6 2 5" xfId="46244" xr:uid="{00000000-0005-0000-0000-0000D4B40000}"/>
    <cellStyle name="货币 2 4 3 6 2 6" xfId="46245" xr:uid="{00000000-0005-0000-0000-0000D5B40000}"/>
    <cellStyle name="货币 2 4 3 6 2 7" xfId="46246" xr:uid="{00000000-0005-0000-0000-0000D6B40000}"/>
    <cellStyle name="货币 2 4 3 6 2 8" xfId="46247" xr:uid="{00000000-0005-0000-0000-0000D7B40000}"/>
    <cellStyle name="货币 2 4 3 6 2 9" xfId="29709" xr:uid="{00000000-0005-0000-0000-00003D740000}"/>
    <cellStyle name="货币 2 4 3 6 3" xfId="34339" xr:uid="{00000000-0005-0000-0000-000053860000}"/>
    <cellStyle name="货币 2 4 3 6 3 2" xfId="26775" xr:uid="{00000000-0005-0000-0000-0000C7680000}"/>
    <cellStyle name="货币 2 4 3 6 3 3" xfId="26777" xr:uid="{00000000-0005-0000-0000-0000C9680000}"/>
    <cellStyle name="货币 2 4 3 6 3 4" xfId="26779" xr:uid="{00000000-0005-0000-0000-0000CB680000}"/>
    <cellStyle name="货币 2 4 3 6 3 5" xfId="26781" xr:uid="{00000000-0005-0000-0000-0000CD680000}"/>
    <cellStyle name="货币 2 4 3 6 3 6" xfId="26783" xr:uid="{00000000-0005-0000-0000-0000CF680000}"/>
    <cellStyle name="货币 2 4 3 6 4" xfId="34931" xr:uid="{00000000-0005-0000-0000-0000A3880000}"/>
    <cellStyle name="货币 2 4 3 6 4 2" xfId="46249" xr:uid="{00000000-0005-0000-0000-0000D9B40000}"/>
    <cellStyle name="货币 2 4 3 6 5" xfId="4153" xr:uid="{00000000-0005-0000-0000-000069100000}"/>
    <cellStyle name="货币 2 4 3 6 6" xfId="4165" xr:uid="{00000000-0005-0000-0000-000075100000}"/>
    <cellStyle name="货币 2 4 3 6 7" xfId="46250" xr:uid="{00000000-0005-0000-0000-0000DAB40000}"/>
    <cellStyle name="货币 2 4 3 6 8" xfId="46251" xr:uid="{00000000-0005-0000-0000-0000DBB40000}"/>
    <cellStyle name="货币 2 4 3 6 9" xfId="46252" xr:uid="{00000000-0005-0000-0000-0000DCB40000}"/>
    <cellStyle name="货币 2 4 3 7" xfId="4367" xr:uid="{00000000-0005-0000-0000-00003F110000}"/>
    <cellStyle name="货币 2 4 3 7 2" xfId="30234" xr:uid="{00000000-0005-0000-0000-00004A760000}"/>
    <cellStyle name="货币 2 4 3 7 2 2" xfId="27027" xr:uid="{00000000-0005-0000-0000-0000C3690000}"/>
    <cellStyle name="货币 2 4 3 7 3" xfId="46253" xr:uid="{00000000-0005-0000-0000-0000DDB40000}"/>
    <cellStyle name="货币 2 4 3 7 4" xfId="46254" xr:uid="{00000000-0005-0000-0000-0000DEB40000}"/>
    <cellStyle name="货币 2 4 3 7 5" xfId="4404" xr:uid="{00000000-0005-0000-0000-000064110000}"/>
    <cellStyle name="货币 2 4 3 7 6" xfId="2957" xr:uid="{00000000-0005-0000-0000-0000BD0B0000}"/>
    <cellStyle name="货币 2 4 3 7 7" xfId="46255" xr:uid="{00000000-0005-0000-0000-0000DFB40000}"/>
    <cellStyle name="货币 2 4 3 7 8" xfId="46256" xr:uid="{00000000-0005-0000-0000-0000E0B40000}"/>
    <cellStyle name="货币 2 4 3 7 9" xfId="46257" xr:uid="{00000000-0005-0000-0000-0000E1B40000}"/>
    <cellStyle name="货币 2 4 3 8" xfId="4415" xr:uid="{00000000-0005-0000-0000-00006F110000}"/>
    <cellStyle name="货币 2 4 3 8 2" xfId="16291" xr:uid="{00000000-0005-0000-0000-0000D33F0000}"/>
    <cellStyle name="货币 2 4 3 8 3" xfId="5777" xr:uid="{00000000-0005-0000-0000-0000C1160000}"/>
    <cellStyle name="货币 2 4 3 8 4" xfId="12405" xr:uid="{00000000-0005-0000-0000-0000A5300000}"/>
    <cellStyle name="货币 2 4 3 8 5" xfId="5625" xr:uid="{00000000-0005-0000-0000-000029160000}"/>
    <cellStyle name="货币 2 4 3 8 6" xfId="232" xr:uid="{00000000-0005-0000-0000-0000F9000000}"/>
    <cellStyle name="货币 2 4 3 9" xfId="46258" xr:uid="{00000000-0005-0000-0000-0000E2B40000}"/>
    <cellStyle name="货币 2 4 3 9 2" xfId="16295" xr:uid="{00000000-0005-0000-0000-0000D73F0000}"/>
    <cellStyle name="货币 2 4 3 9 3" xfId="4255" xr:uid="{00000000-0005-0000-0000-0000CF100000}"/>
    <cellStyle name="货币 2 4 3 9 4" xfId="16298" xr:uid="{00000000-0005-0000-0000-0000DA3F0000}"/>
    <cellStyle name="货币 2 4 3 9 5" xfId="4353" xr:uid="{00000000-0005-0000-0000-000031110000}"/>
    <cellStyle name="货币 2 4 3 9 6" xfId="3451" xr:uid="{00000000-0005-0000-0000-0000AB0D0000}"/>
    <cellStyle name="货币 2 4 4" xfId="46259" xr:uid="{00000000-0005-0000-0000-0000E3B40000}"/>
    <cellStyle name="货币 2 4 4 10" xfId="46260" xr:uid="{00000000-0005-0000-0000-0000E4B40000}"/>
    <cellStyle name="货币 2 4 4 10 2" xfId="46261" xr:uid="{00000000-0005-0000-0000-0000E5B40000}"/>
    <cellStyle name="货币 2 4 4 10 3" xfId="46262" xr:uid="{00000000-0005-0000-0000-0000E6B40000}"/>
    <cellStyle name="货币 2 4 4 10 4" xfId="46263" xr:uid="{00000000-0005-0000-0000-0000E7B40000}"/>
    <cellStyle name="货币 2 4 4 10 5" xfId="43297" xr:uid="{00000000-0005-0000-0000-000051A90000}"/>
    <cellStyle name="货币 2 4 4 10 6" xfId="43300" xr:uid="{00000000-0005-0000-0000-000054A90000}"/>
    <cellStyle name="货币 2 4 4 11" xfId="46264" xr:uid="{00000000-0005-0000-0000-0000E8B40000}"/>
    <cellStyle name="货币 2 4 4 11 2" xfId="37571" xr:uid="{00000000-0005-0000-0000-0000F3920000}"/>
    <cellStyle name="货币 2 4 4 11 3" xfId="37573" xr:uid="{00000000-0005-0000-0000-0000F5920000}"/>
    <cellStyle name="货币 2 4 4 11 4" xfId="37575" xr:uid="{00000000-0005-0000-0000-0000F7920000}"/>
    <cellStyle name="货币 2 4 4 11 5" xfId="37577" xr:uid="{00000000-0005-0000-0000-0000F9920000}"/>
    <cellStyle name="货币 2 4 4 11 6" xfId="37581" xr:uid="{00000000-0005-0000-0000-0000FD920000}"/>
    <cellStyle name="货币 2 4 4 12" xfId="46265" xr:uid="{00000000-0005-0000-0000-0000E9B40000}"/>
    <cellStyle name="货币 2 4 4 13" xfId="46266" xr:uid="{00000000-0005-0000-0000-0000EAB40000}"/>
    <cellStyle name="货币 2 4 4 14" xfId="46267" xr:uid="{00000000-0005-0000-0000-0000EBB40000}"/>
    <cellStyle name="货币 2 4 4 15" xfId="46269" xr:uid="{00000000-0005-0000-0000-0000EDB40000}"/>
    <cellStyle name="货币 2 4 4 16" xfId="46271" xr:uid="{00000000-0005-0000-0000-0000EFB40000}"/>
    <cellStyle name="货币 2 4 4 17" xfId="46273" xr:uid="{00000000-0005-0000-0000-0000F1B40000}"/>
    <cellStyle name="货币 2 4 4 18" xfId="23420" xr:uid="{00000000-0005-0000-0000-0000AC5B0000}"/>
    <cellStyle name="货币 2 4 4 19" xfId="23424" xr:uid="{00000000-0005-0000-0000-0000B05B0000}"/>
    <cellStyle name="货币 2 4 4 2" xfId="46274" xr:uid="{00000000-0005-0000-0000-0000F2B40000}"/>
    <cellStyle name="货币 2 4 4 2 10" xfId="46275" xr:uid="{00000000-0005-0000-0000-0000F3B40000}"/>
    <cellStyle name="货币 2 4 4 2 11" xfId="46276" xr:uid="{00000000-0005-0000-0000-0000F4B40000}"/>
    <cellStyle name="货币 2 4 4 2 12" xfId="46277" xr:uid="{00000000-0005-0000-0000-0000F5B40000}"/>
    <cellStyle name="货币 2 4 4 2 13" xfId="46278" xr:uid="{00000000-0005-0000-0000-0000F6B40000}"/>
    <cellStyle name="货币 2 4 4 2 14" xfId="46279" xr:uid="{00000000-0005-0000-0000-0000F7B40000}"/>
    <cellStyle name="货币 2 4 4 2 15" xfId="46280" xr:uid="{00000000-0005-0000-0000-0000F8B40000}"/>
    <cellStyle name="货币 2 4 4 2 16" xfId="46281" xr:uid="{00000000-0005-0000-0000-0000F9B40000}"/>
    <cellStyle name="货币 2 4 4 2 17" xfId="46282" xr:uid="{00000000-0005-0000-0000-0000FAB40000}"/>
    <cellStyle name="货币 2 4 4 2 18" xfId="46283" xr:uid="{00000000-0005-0000-0000-0000FBB40000}"/>
    <cellStyle name="货币 2 4 4 2 2" xfId="46284" xr:uid="{00000000-0005-0000-0000-0000FCB40000}"/>
    <cellStyle name="货币 2 4 4 2 2 10" xfId="16079" xr:uid="{00000000-0005-0000-0000-0000FF3E0000}"/>
    <cellStyle name="货币 2 4 4 2 2 11" xfId="16084" xr:uid="{00000000-0005-0000-0000-0000043F0000}"/>
    <cellStyle name="货币 2 4 4 2 2 12" xfId="16090" xr:uid="{00000000-0005-0000-0000-00000A3F0000}"/>
    <cellStyle name="货币 2 4 4 2 2 2" xfId="46285" xr:uid="{00000000-0005-0000-0000-0000FDB40000}"/>
    <cellStyle name="货币 2 4 4 2 2 2 2" xfId="39602" xr:uid="{00000000-0005-0000-0000-0000E29A0000}"/>
    <cellStyle name="货币 2 4 4 2 2 2 2 2" xfId="22213" xr:uid="{00000000-0005-0000-0000-0000F5560000}"/>
    <cellStyle name="货币 2 4 4 2 2 2 3" xfId="39604" xr:uid="{00000000-0005-0000-0000-0000E49A0000}"/>
    <cellStyle name="货币 2 4 4 2 2 2 4" xfId="39606" xr:uid="{00000000-0005-0000-0000-0000E69A0000}"/>
    <cellStyle name="货币 2 4 4 2 2 2 5" xfId="46286" xr:uid="{00000000-0005-0000-0000-0000FEB40000}"/>
    <cellStyle name="货币 2 4 4 2 2 3" xfId="46287" xr:uid="{00000000-0005-0000-0000-0000FFB40000}"/>
    <cellStyle name="货币 2 4 4 2 2 3 2" xfId="2356" xr:uid="{00000000-0005-0000-0000-000064090000}"/>
    <cellStyle name="货币 2 4 4 2 2 4" xfId="46288" xr:uid="{00000000-0005-0000-0000-000000B50000}"/>
    <cellStyle name="货币 2 4 4 2 2 5" xfId="46290" xr:uid="{00000000-0005-0000-0000-000002B50000}"/>
    <cellStyle name="货币 2 4 4 2 2 6" xfId="46292" xr:uid="{00000000-0005-0000-0000-000004B50000}"/>
    <cellStyle name="货币 2 4 4 2 2 7" xfId="46294" xr:uid="{00000000-0005-0000-0000-000006B50000}"/>
    <cellStyle name="货币 2 4 4 2 2 8" xfId="46296" xr:uid="{00000000-0005-0000-0000-000008B50000}"/>
    <cellStyle name="货币 2 4 4 2 2 9" xfId="46298" xr:uid="{00000000-0005-0000-0000-00000AB50000}"/>
    <cellStyle name="货币 2 4 4 2 3" xfId="46299" xr:uid="{00000000-0005-0000-0000-00000BB50000}"/>
    <cellStyle name="货币 2 4 4 2 3 10" xfId="46300" xr:uid="{00000000-0005-0000-0000-00000CB50000}"/>
    <cellStyle name="货币 2 4 4 2 3 11" xfId="46301" xr:uid="{00000000-0005-0000-0000-00000DB50000}"/>
    <cellStyle name="货币 2 4 4 2 3 12" xfId="30326" xr:uid="{00000000-0005-0000-0000-0000A6760000}"/>
    <cellStyle name="货币 2 4 4 2 3 2" xfId="46302" xr:uid="{00000000-0005-0000-0000-00000EB50000}"/>
    <cellStyle name="货币 2 4 4 2 3 2 2" xfId="35838" xr:uid="{00000000-0005-0000-0000-00002E8C0000}"/>
    <cellStyle name="货币 2 4 4 2 3 2 2 2" xfId="11405" xr:uid="{00000000-0005-0000-0000-0000BD2C0000}"/>
    <cellStyle name="货币 2 4 4 2 3 2 3" xfId="35840" xr:uid="{00000000-0005-0000-0000-0000308C0000}"/>
    <cellStyle name="货币 2 4 4 2 3 2 4" xfId="35843" xr:uid="{00000000-0005-0000-0000-0000338C0000}"/>
    <cellStyle name="货币 2 4 4 2 3 2 5" xfId="35845" xr:uid="{00000000-0005-0000-0000-0000358C0000}"/>
    <cellStyle name="货币 2 4 4 2 3 3" xfId="46303" xr:uid="{00000000-0005-0000-0000-00000FB50000}"/>
    <cellStyle name="货币 2 4 4 2 3 3 2" xfId="2953" xr:uid="{00000000-0005-0000-0000-0000B90B0000}"/>
    <cellStyle name="货币 2 4 4 2 3 4" xfId="46304" xr:uid="{00000000-0005-0000-0000-000010B50000}"/>
    <cellStyle name="货币 2 4 4 2 3 5" xfId="10886" xr:uid="{00000000-0005-0000-0000-0000B62A0000}"/>
    <cellStyle name="货币 2 4 4 2 3 6" xfId="21374" xr:uid="{00000000-0005-0000-0000-0000AE530000}"/>
    <cellStyle name="货币 2 4 4 2 3 7" xfId="21385" xr:uid="{00000000-0005-0000-0000-0000B9530000}"/>
    <cellStyle name="货币 2 4 4 2 3 8" xfId="22133" xr:uid="{00000000-0005-0000-0000-0000A5560000}"/>
    <cellStyle name="货币 2 4 4 2 3 9" xfId="22139" xr:uid="{00000000-0005-0000-0000-0000AB560000}"/>
    <cellStyle name="货币 2 4 4 2 4" xfId="46305" xr:uid="{00000000-0005-0000-0000-000011B50000}"/>
    <cellStyle name="货币 2 4 4 2 4 10" xfId="46307" xr:uid="{00000000-0005-0000-0000-000013B50000}"/>
    <cellStyle name="货币 2 4 4 2 4 2" xfId="46308" xr:uid="{00000000-0005-0000-0000-000014B50000}"/>
    <cellStyle name="货币 2 4 4 2 4 2 2" xfId="32317" xr:uid="{00000000-0005-0000-0000-00006D7E0000}"/>
    <cellStyle name="货币 2 4 4 2 4 2 2 2" xfId="14740" xr:uid="{00000000-0005-0000-0000-0000C4390000}"/>
    <cellStyle name="货币 2 4 4 2 4 2 3" xfId="32320" xr:uid="{00000000-0005-0000-0000-0000707E0000}"/>
    <cellStyle name="货币 2 4 4 2 4 2 4" xfId="32323" xr:uid="{00000000-0005-0000-0000-0000737E0000}"/>
    <cellStyle name="货币 2 4 4 2 4 2 5" xfId="32330" xr:uid="{00000000-0005-0000-0000-00007A7E0000}"/>
    <cellStyle name="货币 2 4 4 2 4 3" xfId="46309" xr:uid="{00000000-0005-0000-0000-000015B50000}"/>
    <cellStyle name="货币 2 4 4 2 4 3 2" xfId="3425" xr:uid="{00000000-0005-0000-0000-0000910D0000}"/>
    <cellStyle name="货币 2 4 4 2 4 4" xfId="46310" xr:uid="{00000000-0005-0000-0000-000016B50000}"/>
    <cellStyle name="货币 2 4 4 2 4 5" xfId="21569" xr:uid="{00000000-0005-0000-0000-000071540000}"/>
    <cellStyle name="货币 2 4 4 2 4 6" xfId="22151" xr:uid="{00000000-0005-0000-0000-0000B7560000}"/>
    <cellStyle name="货币 2 4 4 2 4 7" xfId="22157" xr:uid="{00000000-0005-0000-0000-0000BD560000}"/>
    <cellStyle name="货币 2 4 4 2 4 8" xfId="22161" xr:uid="{00000000-0005-0000-0000-0000C1560000}"/>
    <cellStyle name="货币 2 4 4 2 4 9" xfId="22165" xr:uid="{00000000-0005-0000-0000-0000C5560000}"/>
    <cellStyle name="货币 2 4 4 2 5" xfId="5650" xr:uid="{00000000-0005-0000-0000-000042160000}"/>
    <cellStyle name="货币 2 4 4 2 5 10" xfId="41560" xr:uid="{00000000-0005-0000-0000-000088A20000}"/>
    <cellStyle name="货币 2 4 4 2 5 2" xfId="5662" xr:uid="{00000000-0005-0000-0000-00004E160000}"/>
    <cellStyle name="货币 2 4 4 2 5 2 2" xfId="3274" xr:uid="{00000000-0005-0000-0000-0000FA0C0000}"/>
    <cellStyle name="货币 2 4 4 2 5 2 2 2" xfId="17072" xr:uid="{00000000-0005-0000-0000-0000E0420000}"/>
    <cellStyle name="货币 2 4 4 2 5 2 3" xfId="34143" xr:uid="{00000000-0005-0000-0000-00008F850000}"/>
    <cellStyle name="货币 2 4 4 2 5 2 4" xfId="34158" xr:uid="{00000000-0005-0000-0000-00009E850000}"/>
    <cellStyle name="货币 2 4 4 2 5 2 5" xfId="33654" xr:uid="{00000000-0005-0000-0000-0000A6830000}"/>
    <cellStyle name="货币 2 4 4 2 5 3" xfId="5675" xr:uid="{00000000-0005-0000-0000-00005B160000}"/>
    <cellStyle name="货币 2 4 4 2 5 3 2" xfId="3360" xr:uid="{00000000-0005-0000-0000-0000500D0000}"/>
    <cellStyle name="货币 2 4 4 2 5 4" xfId="46311" xr:uid="{00000000-0005-0000-0000-000017B50000}"/>
    <cellStyle name="货币 2 4 4 2 5 5" xfId="22167" xr:uid="{00000000-0005-0000-0000-0000C7560000}"/>
    <cellStyle name="货币 2 4 4 2 5 6" xfId="42923" xr:uid="{00000000-0005-0000-0000-0000DBA70000}"/>
    <cellStyle name="货币 2 4 4 2 5 7" xfId="42925" xr:uid="{00000000-0005-0000-0000-0000DDA70000}"/>
    <cellStyle name="货币 2 4 4 2 5 8" xfId="42927" xr:uid="{00000000-0005-0000-0000-0000DFA70000}"/>
    <cellStyle name="货币 2 4 4 2 5 9" xfId="46312" xr:uid="{00000000-0005-0000-0000-000018B50000}"/>
    <cellStyle name="货币 2 4 4 2 6" xfId="5683" xr:uid="{00000000-0005-0000-0000-000063160000}"/>
    <cellStyle name="货币 2 4 4 2 6 2" xfId="5692" xr:uid="{00000000-0005-0000-0000-00006C160000}"/>
    <cellStyle name="货币 2 4 4 2 6 2 2" xfId="32365" xr:uid="{00000000-0005-0000-0000-00009D7E0000}"/>
    <cellStyle name="货币 2 4 4 2 6 3" xfId="46313" xr:uid="{00000000-0005-0000-0000-000019B50000}"/>
    <cellStyle name="货币 2 4 4 2 6 4" xfId="46314" xr:uid="{00000000-0005-0000-0000-00001AB50000}"/>
    <cellStyle name="货币 2 4 4 2 6 5" xfId="42930" xr:uid="{00000000-0005-0000-0000-0000E2A70000}"/>
    <cellStyle name="货币 2 4 4 2 6 6" xfId="46315" xr:uid="{00000000-0005-0000-0000-00001BB50000}"/>
    <cellStyle name="货币 2 4 4 2 6 7" xfId="46316" xr:uid="{00000000-0005-0000-0000-00001CB50000}"/>
    <cellStyle name="货币 2 4 4 2 6 8" xfId="46317" xr:uid="{00000000-0005-0000-0000-00001DB50000}"/>
    <cellStyle name="货币 2 4 4 2 6 9" xfId="46318" xr:uid="{00000000-0005-0000-0000-00001EB50000}"/>
    <cellStyle name="货币 2 4 4 2 7" xfId="5702" xr:uid="{00000000-0005-0000-0000-000076160000}"/>
    <cellStyle name="货币 2 4 4 2 7 2" xfId="5719" xr:uid="{00000000-0005-0000-0000-000087160000}"/>
    <cellStyle name="货币 2 4 4 2 8" xfId="117" xr:uid="{00000000-0005-0000-0000-00007F000000}"/>
    <cellStyle name="货币 2 4 4 2 9" xfId="5729" xr:uid="{00000000-0005-0000-0000-000091160000}"/>
    <cellStyle name="货币 2 4 4 20" xfId="46268" xr:uid="{00000000-0005-0000-0000-0000ECB40000}"/>
    <cellStyle name="货币 2 4 4 21" xfId="46270" xr:uid="{00000000-0005-0000-0000-0000EEB40000}"/>
    <cellStyle name="货币 2 4 4 22" xfId="46272" xr:uid="{00000000-0005-0000-0000-0000F0B40000}"/>
    <cellStyle name="货币 2 4 4 23" xfId="23419" xr:uid="{00000000-0005-0000-0000-0000AB5B0000}"/>
    <cellStyle name="货币 2 4 4 3" xfId="46319" xr:uid="{00000000-0005-0000-0000-00001FB50000}"/>
    <cellStyle name="货币 2 4 4 3 10" xfId="46320" xr:uid="{00000000-0005-0000-0000-000020B50000}"/>
    <cellStyle name="货币 2 4 4 3 11" xfId="46321" xr:uid="{00000000-0005-0000-0000-000021B50000}"/>
    <cellStyle name="货币 2 4 4 3 12" xfId="46322" xr:uid="{00000000-0005-0000-0000-000022B50000}"/>
    <cellStyle name="货币 2 4 4 3 13" xfId="45037" xr:uid="{00000000-0005-0000-0000-00001DB00000}"/>
    <cellStyle name="货币 2 4 4 3 14" xfId="45039" xr:uid="{00000000-0005-0000-0000-00001FB00000}"/>
    <cellStyle name="货币 2 4 4 3 15" xfId="45041" xr:uid="{00000000-0005-0000-0000-000021B00000}"/>
    <cellStyle name="货币 2 4 4 3 16" xfId="45043" xr:uid="{00000000-0005-0000-0000-000023B00000}"/>
    <cellStyle name="货币 2 4 4 3 17" xfId="45045" xr:uid="{00000000-0005-0000-0000-000025B00000}"/>
    <cellStyle name="货币 2 4 4 3 18" xfId="8033" xr:uid="{00000000-0005-0000-0000-0000911F0000}"/>
    <cellStyle name="货币 2 4 4 3 2" xfId="46323" xr:uid="{00000000-0005-0000-0000-000023B50000}"/>
    <cellStyle name="货币 2 4 4 3 2 10" xfId="46324" xr:uid="{00000000-0005-0000-0000-000024B50000}"/>
    <cellStyle name="货币 2 4 4 3 2 2" xfId="46325" xr:uid="{00000000-0005-0000-0000-000025B50000}"/>
    <cellStyle name="货币 2 4 4 3 2 2 2" xfId="46326" xr:uid="{00000000-0005-0000-0000-000026B50000}"/>
    <cellStyle name="货币 2 4 4 3 2 3" xfId="46327" xr:uid="{00000000-0005-0000-0000-000027B50000}"/>
    <cellStyle name="货币 2 4 4 3 2 4" xfId="46328" xr:uid="{00000000-0005-0000-0000-000028B50000}"/>
    <cellStyle name="货币 2 4 4 3 2 5" xfId="46329" xr:uid="{00000000-0005-0000-0000-000029B50000}"/>
    <cellStyle name="货币 2 4 4 3 2 6" xfId="46330" xr:uid="{00000000-0005-0000-0000-00002AB50000}"/>
    <cellStyle name="货币 2 4 4 3 2 7" xfId="46331" xr:uid="{00000000-0005-0000-0000-00002BB50000}"/>
    <cellStyle name="货币 2 4 4 3 2 8" xfId="46332" xr:uid="{00000000-0005-0000-0000-00002CB50000}"/>
    <cellStyle name="货币 2 4 4 3 2 9" xfId="46333" xr:uid="{00000000-0005-0000-0000-00002DB50000}"/>
    <cellStyle name="货币 2 4 4 3 3" xfId="46334" xr:uid="{00000000-0005-0000-0000-00002EB50000}"/>
    <cellStyle name="货币 2 4 4 3 3 2" xfId="46336" xr:uid="{00000000-0005-0000-0000-000030B50000}"/>
    <cellStyle name="货币 2 4 4 3 3 3" xfId="46338" xr:uid="{00000000-0005-0000-0000-000032B50000}"/>
    <cellStyle name="货币 2 4 4 3 3 4" xfId="46340" xr:uid="{00000000-0005-0000-0000-000034B50000}"/>
    <cellStyle name="货币 2 4 4 3 3 5" xfId="8399" xr:uid="{00000000-0005-0000-0000-0000FF200000}"/>
    <cellStyle name="货币 2 4 4 3 3 6" xfId="17346" xr:uid="{00000000-0005-0000-0000-0000F2430000}"/>
    <cellStyle name="货币 2 4 4 3 4" xfId="46341" xr:uid="{00000000-0005-0000-0000-000035B50000}"/>
    <cellStyle name="货币 2 4 4 3 4 2" xfId="46342" xr:uid="{00000000-0005-0000-0000-000036B50000}"/>
    <cellStyle name="货币 2 4 4 3 4 3" xfId="35633" xr:uid="{00000000-0005-0000-0000-0000618B0000}"/>
    <cellStyle name="货币 2 4 4 3 4 4" xfId="35638" xr:uid="{00000000-0005-0000-0000-0000668B0000}"/>
    <cellStyle name="货币 2 4 4 3 4 5" xfId="22215" xr:uid="{00000000-0005-0000-0000-0000F7560000}"/>
    <cellStyle name="货币 2 4 4 3 4 6" xfId="22218" xr:uid="{00000000-0005-0000-0000-0000FA560000}"/>
    <cellStyle name="货币 2 4 4 3 5" xfId="826" xr:uid="{00000000-0005-0000-0000-00006A030000}"/>
    <cellStyle name="货币 2 4 4 3 5 2" xfId="5758" xr:uid="{00000000-0005-0000-0000-0000AE160000}"/>
    <cellStyle name="货币 2 4 4 3 5 3" xfId="5767" xr:uid="{00000000-0005-0000-0000-0000B7160000}"/>
    <cellStyle name="货币 2 4 4 3 5 4" xfId="3199" xr:uid="{00000000-0005-0000-0000-0000AF0C0000}"/>
    <cellStyle name="货币 2 4 4 3 5 5" xfId="3220" xr:uid="{00000000-0005-0000-0000-0000C40C0000}"/>
    <cellStyle name="货币 2 4 4 3 5 6" xfId="5769" xr:uid="{00000000-0005-0000-0000-0000B9160000}"/>
    <cellStyle name="货币 2 4 4 3 6" xfId="5781" xr:uid="{00000000-0005-0000-0000-0000C5160000}"/>
    <cellStyle name="货币 2 4 4 3 6 2" xfId="5787" xr:uid="{00000000-0005-0000-0000-0000CB160000}"/>
    <cellStyle name="货币 2 4 4 3 6 3" xfId="3192" xr:uid="{00000000-0005-0000-0000-0000A80C0000}"/>
    <cellStyle name="货币 2 4 4 3 6 4" xfId="5820" xr:uid="{00000000-0005-0000-0000-0000EC160000}"/>
    <cellStyle name="货币 2 4 4 3 6 5" xfId="5838" xr:uid="{00000000-0005-0000-0000-0000FE160000}"/>
    <cellStyle name="货币 2 4 4 3 6 6" xfId="5850" xr:uid="{00000000-0005-0000-0000-00000A170000}"/>
    <cellStyle name="货币 2 4 4 3 7" xfId="5880" xr:uid="{00000000-0005-0000-0000-000028170000}"/>
    <cellStyle name="货币 2 4 4 3 8" xfId="5891" xr:uid="{00000000-0005-0000-0000-000033170000}"/>
    <cellStyle name="货币 2 4 4 3 9" xfId="5902" xr:uid="{00000000-0005-0000-0000-00003E170000}"/>
    <cellStyle name="货币 2 4 4 4" xfId="46343" xr:uid="{00000000-0005-0000-0000-000037B50000}"/>
    <cellStyle name="货币 2 4 4 4 10" xfId="46345" xr:uid="{00000000-0005-0000-0000-000039B50000}"/>
    <cellStyle name="货币 2 4 4 4 11" xfId="46346" xr:uid="{00000000-0005-0000-0000-00003AB50000}"/>
    <cellStyle name="货币 2 4 4 4 12" xfId="46347" xr:uid="{00000000-0005-0000-0000-00003BB50000}"/>
    <cellStyle name="货币 2 4 4 4 13" xfId="46348" xr:uid="{00000000-0005-0000-0000-00003CB50000}"/>
    <cellStyle name="货币 2 4 4 4 14" xfId="46349" xr:uid="{00000000-0005-0000-0000-00003DB50000}"/>
    <cellStyle name="货币 2 4 4 4 15" xfId="46350" xr:uid="{00000000-0005-0000-0000-00003EB50000}"/>
    <cellStyle name="货币 2 4 4 4 2" xfId="46351" xr:uid="{00000000-0005-0000-0000-00003FB50000}"/>
    <cellStyle name="货币 2 4 4 4 2 2" xfId="46352" xr:uid="{00000000-0005-0000-0000-000040B50000}"/>
    <cellStyle name="货币 2 4 4 4 2 2 2" xfId="46353" xr:uid="{00000000-0005-0000-0000-000041B50000}"/>
    <cellStyle name="货币 2 4 4 4 2 3" xfId="46354" xr:uid="{00000000-0005-0000-0000-000042B50000}"/>
    <cellStyle name="货币 2 4 4 4 2 4" xfId="46355" xr:uid="{00000000-0005-0000-0000-000043B50000}"/>
    <cellStyle name="货币 2 4 4 4 2 5" xfId="46356" xr:uid="{00000000-0005-0000-0000-000044B50000}"/>
    <cellStyle name="货币 2 4 4 4 2 6" xfId="46357" xr:uid="{00000000-0005-0000-0000-000045B50000}"/>
    <cellStyle name="货币 2 4 4 4 2 7" xfId="46358" xr:uid="{00000000-0005-0000-0000-000046B50000}"/>
    <cellStyle name="货币 2 4 4 4 2 8" xfId="46359" xr:uid="{00000000-0005-0000-0000-000047B50000}"/>
    <cellStyle name="货币 2 4 4 4 2 9" xfId="46360" xr:uid="{00000000-0005-0000-0000-000048B50000}"/>
    <cellStyle name="货币 2 4 4 4 3" xfId="46361" xr:uid="{00000000-0005-0000-0000-000049B50000}"/>
    <cellStyle name="货币 2 4 4 4 3 2" xfId="44348" xr:uid="{00000000-0005-0000-0000-00006CAD0000}"/>
    <cellStyle name="货币 2 4 4 4 3 3" xfId="44350" xr:uid="{00000000-0005-0000-0000-00006EAD0000}"/>
    <cellStyle name="货币 2 4 4 4 3 4" xfId="44352" xr:uid="{00000000-0005-0000-0000-000070AD0000}"/>
    <cellStyle name="货币 2 4 4 4 3 5" xfId="22261" xr:uid="{00000000-0005-0000-0000-000025570000}"/>
    <cellStyle name="货币 2 4 4 4 3 6" xfId="46362" xr:uid="{00000000-0005-0000-0000-00004AB50000}"/>
    <cellStyle name="货币 2 4 4 4 4" xfId="46363" xr:uid="{00000000-0005-0000-0000-00004BB50000}"/>
    <cellStyle name="货币 2 4 4 4 4 2" xfId="46364" xr:uid="{00000000-0005-0000-0000-00004CB50000}"/>
    <cellStyle name="货币 2 4 4 4 5" xfId="426" xr:uid="{00000000-0005-0000-0000-0000C5010000}"/>
    <cellStyle name="货币 2 4 4 4 6" xfId="5942" xr:uid="{00000000-0005-0000-0000-000066170000}"/>
    <cellStyle name="货币 2 4 4 4 7" xfId="5953" xr:uid="{00000000-0005-0000-0000-000071170000}"/>
    <cellStyle name="货币 2 4 4 4 8" xfId="5966" xr:uid="{00000000-0005-0000-0000-00007E170000}"/>
    <cellStyle name="货币 2 4 4 4 9" xfId="5977" xr:uid="{00000000-0005-0000-0000-000089170000}"/>
    <cellStyle name="货币 2 4 4 5" xfId="46365" xr:uid="{00000000-0005-0000-0000-00004DB50000}"/>
    <cellStyle name="货币 2 4 4 5 10" xfId="3105" xr:uid="{00000000-0005-0000-0000-0000510C0000}"/>
    <cellStyle name="货币 2 4 4 5 11" xfId="22636" xr:uid="{00000000-0005-0000-0000-00009C580000}"/>
    <cellStyle name="货币 2 4 4 5 12" xfId="22639" xr:uid="{00000000-0005-0000-0000-00009F580000}"/>
    <cellStyle name="货币 2 4 4 5 13" xfId="43000" xr:uid="{00000000-0005-0000-0000-000028A80000}"/>
    <cellStyle name="货币 2 4 4 5 2" xfId="46366" xr:uid="{00000000-0005-0000-0000-00004EB50000}"/>
    <cellStyle name="货币 2 4 4 5 2 2" xfId="46367" xr:uid="{00000000-0005-0000-0000-00004FB50000}"/>
    <cellStyle name="货币 2 4 4 5 2 2 2" xfId="46368" xr:uid="{00000000-0005-0000-0000-000050B50000}"/>
    <cellStyle name="货币 2 4 4 5 2 3" xfId="46369" xr:uid="{00000000-0005-0000-0000-000051B50000}"/>
    <cellStyle name="货币 2 4 4 5 2 4" xfId="22785" xr:uid="{00000000-0005-0000-0000-000031590000}"/>
    <cellStyle name="货币 2 4 4 5 2 5" xfId="46370" xr:uid="{00000000-0005-0000-0000-000052B50000}"/>
    <cellStyle name="货币 2 4 4 5 2 6" xfId="46371" xr:uid="{00000000-0005-0000-0000-000053B50000}"/>
    <cellStyle name="货币 2 4 4 5 2 7" xfId="46372" xr:uid="{00000000-0005-0000-0000-000054B50000}"/>
    <cellStyle name="货币 2 4 4 5 2 8" xfId="46373" xr:uid="{00000000-0005-0000-0000-000055B50000}"/>
    <cellStyle name="货币 2 4 4 5 2 9" xfId="46374" xr:uid="{00000000-0005-0000-0000-000056B50000}"/>
    <cellStyle name="货币 2 4 4 5 3" xfId="46375" xr:uid="{00000000-0005-0000-0000-000057B50000}"/>
    <cellStyle name="货币 2 4 4 5 3 2" xfId="46376" xr:uid="{00000000-0005-0000-0000-000058B50000}"/>
    <cellStyle name="货币 2 4 4 5 3 3" xfId="46377" xr:uid="{00000000-0005-0000-0000-000059B50000}"/>
    <cellStyle name="货币 2 4 4 5 3 4" xfId="46378" xr:uid="{00000000-0005-0000-0000-00005AB50000}"/>
    <cellStyle name="货币 2 4 4 5 3 5" xfId="46379" xr:uid="{00000000-0005-0000-0000-00005BB50000}"/>
    <cellStyle name="货币 2 4 4 5 3 6" xfId="46380" xr:uid="{00000000-0005-0000-0000-00005CB50000}"/>
    <cellStyle name="货币 2 4 4 5 4" xfId="46381" xr:uid="{00000000-0005-0000-0000-00005DB50000}"/>
    <cellStyle name="货币 2 4 4 5 4 2" xfId="46382" xr:uid="{00000000-0005-0000-0000-00005EB50000}"/>
    <cellStyle name="货币 2 4 4 5 5" xfId="911" xr:uid="{00000000-0005-0000-0000-0000BF030000}"/>
    <cellStyle name="货币 2 4 4 5 6" xfId="6932" xr:uid="{00000000-0005-0000-0000-0000441B0000}"/>
    <cellStyle name="货币 2 4 4 5 7" xfId="46383" xr:uid="{00000000-0005-0000-0000-00005FB50000}"/>
    <cellStyle name="货币 2 4 4 5 8" xfId="46384" xr:uid="{00000000-0005-0000-0000-000060B50000}"/>
    <cellStyle name="货币 2 4 4 5 9" xfId="46385" xr:uid="{00000000-0005-0000-0000-000061B50000}"/>
    <cellStyle name="货币 2 4 4 6" xfId="46386" xr:uid="{00000000-0005-0000-0000-000062B50000}"/>
    <cellStyle name="货币 2 4 4 6 10" xfId="46388" xr:uid="{00000000-0005-0000-0000-000064B50000}"/>
    <cellStyle name="货币 2 4 4 6 11" xfId="40633" xr:uid="{00000000-0005-0000-0000-0000E99E0000}"/>
    <cellStyle name="货币 2 4 4 6 12" xfId="30150" xr:uid="{00000000-0005-0000-0000-0000F6750000}"/>
    <cellStyle name="货币 2 4 4 6 2" xfId="46390" xr:uid="{00000000-0005-0000-0000-000066B50000}"/>
    <cellStyle name="货币 2 4 4 6 2 2" xfId="46391" xr:uid="{00000000-0005-0000-0000-000067B50000}"/>
    <cellStyle name="货币 2 4 4 6 2 2 2" xfId="8548" xr:uid="{00000000-0005-0000-0000-000094210000}"/>
    <cellStyle name="货币 2 4 4 6 2 3" xfId="46392" xr:uid="{00000000-0005-0000-0000-000068B50000}"/>
    <cellStyle name="货币 2 4 4 6 2 4" xfId="46393" xr:uid="{00000000-0005-0000-0000-000069B50000}"/>
    <cellStyle name="货币 2 4 4 6 2 5" xfId="46394" xr:uid="{00000000-0005-0000-0000-00006AB50000}"/>
    <cellStyle name="货币 2 4 4 6 2 6" xfId="46395" xr:uid="{00000000-0005-0000-0000-00006BB50000}"/>
    <cellStyle name="货币 2 4 4 6 2 7" xfId="46396" xr:uid="{00000000-0005-0000-0000-00006CB50000}"/>
    <cellStyle name="货币 2 4 4 6 2 8" xfId="46397" xr:uid="{00000000-0005-0000-0000-00006DB50000}"/>
    <cellStyle name="货币 2 4 4 6 2 9" xfId="46398" xr:uid="{00000000-0005-0000-0000-00006EB50000}"/>
    <cellStyle name="货币 2 4 4 6 3" xfId="46399" xr:uid="{00000000-0005-0000-0000-00006FB50000}"/>
    <cellStyle name="货币 2 4 4 6 3 2" xfId="46400" xr:uid="{00000000-0005-0000-0000-000070B50000}"/>
    <cellStyle name="货币 2 4 4 6 3 3" xfId="46401" xr:uid="{00000000-0005-0000-0000-000071B50000}"/>
    <cellStyle name="货币 2 4 4 6 3 4" xfId="46402" xr:uid="{00000000-0005-0000-0000-000072B50000}"/>
    <cellStyle name="货币 2 4 4 6 3 5" xfId="46403" xr:uid="{00000000-0005-0000-0000-000073B50000}"/>
    <cellStyle name="货币 2 4 4 6 3 6" xfId="46404" xr:uid="{00000000-0005-0000-0000-000074B50000}"/>
    <cellStyle name="货币 2 4 4 6 4" xfId="41606" xr:uid="{00000000-0005-0000-0000-0000B6A20000}"/>
    <cellStyle name="货币 2 4 4 6 4 2" xfId="46405" xr:uid="{00000000-0005-0000-0000-000075B50000}"/>
    <cellStyle name="货币 2 4 4 6 5" xfId="921" xr:uid="{00000000-0005-0000-0000-0000C9030000}"/>
    <cellStyle name="货币 2 4 4 6 6" xfId="6936" xr:uid="{00000000-0005-0000-0000-0000481B0000}"/>
    <cellStyle name="货币 2 4 4 6 7" xfId="46406" xr:uid="{00000000-0005-0000-0000-000076B50000}"/>
    <cellStyle name="货币 2 4 4 6 8" xfId="46407" xr:uid="{00000000-0005-0000-0000-000077B50000}"/>
    <cellStyle name="货币 2 4 4 6 9" xfId="46408" xr:uid="{00000000-0005-0000-0000-000078B50000}"/>
    <cellStyle name="货币 2 4 4 7" xfId="3619" xr:uid="{00000000-0005-0000-0000-0000530E0000}"/>
    <cellStyle name="货币 2 4 4 7 2" xfId="46409" xr:uid="{00000000-0005-0000-0000-000079B50000}"/>
    <cellStyle name="货币 2 4 4 7 2 2" xfId="46410" xr:uid="{00000000-0005-0000-0000-00007AB50000}"/>
    <cellStyle name="货币 2 4 4 7 3" xfId="46411" xr:uid="{00000000-0005-0000-0000-00007BB50000}"/>
    <cellStyle name="货币 2 4 4 7 4" xfId="46412" xr:uid="{00000000-0005-0000-0000-00007CB50000}"/>
    <cellStyle name="货币 2 4 4 7 5" xfId="928" xr:uid="{00000000-0005-0000-0000-0000D0030000}"/>
    <cellStyle name="货币 2 4 4 7 6" xfId="3568" xr:uid="{00000000-0005-0000-0000-0000200E0000}"/>
    <cellStyle name="货币 2 4 4 7 7" xfId="46413" xr:uid="{00000000-0005-0000-0000-00007DB50000}"/>
    <cellStyle name="货币 2 4 4 7 8" xfId="46414" xr:uid="{00000000-0005-0000-0000-00007EB50000}"/>
    <cellStyle name="货币 2 4 4 7 9" xfId="46415" xr:uid="{00000000-0005-0000-0000-00007FB50000}"/>
    <cellStyle name="货币 2 4 4 8" xfId="46416" xr:uid="{00000000-0005-0000-0000-000080B50000}"/>
    <cellStyle name="货币 2 4 4 8 2" xfId="16388" xr:uid="{00000000-0005-0000-0000-000034400000}"/>
    <cellStyle name="货币 2 4 4 8 3" xfId="5876" xr:uid="{00000000-0005-0000-0000-000024170000}"/>
    <cellStyle name="货币 2 4 4 8 4" xfId="16394" xr:uid="{00000000-0005-0000-0000-00003A400000}"/>
    <cellStyle name="货币 2 4 4 8 5" xfId="947" xr:uid="{00000000-0005-0000-0000-0000E3030000}"/>
    <cellStyle name="货币 2 4 4 8 6" xfId="3613" xr:uid="{00000000-0005-0000-0000-00004D0E0000}"/>
    <cellStyle name="货币 2 4 4 9" xfId="46417" xr:uid="{00000000-0005-0000-0000-000081B50000}"/>
    <cellStyle name="货币 2 4 4 9 2" xfId="16399" xr:uid="{00000000-0005-0000-0000-00003F400000}"/>
    <cellStyle name="货币 2 4 4 9 3" xfId="16401" xr:uid="{00000000-0005-0000-0000-000041400000}"/>
    <cellStyle name="货币 2 4 4 9 4" xfId="16407" xr:uid="{00000000-0005-0000-0000-000047400000}"/>
    <cellStyle name="货币 2 4 4 9 5" xfId="22" xr:uid="{00000000-0005-0000-0000-000018000000}"/>
    <cellStyle name="货币 2 4 4 9 6" xfId="3671" xr:uid="{00000000-0005-0000-0000-0000870E0000}"/>
    <cellStyle name="货币 2 4 5" xfId="46418" xr:uid="{00000000-0005-0000-0000-000082B50000}"/>
    <cellStyle name="货币 2 4 5 10" xfId="46419" xr:uid="{00000000-0005-0000-0000-000083B50000}"/>
    <cellStyle name="货币 2 4 5 10 2" xfId="46420" xr:uid="{00000000-0005-0000-0000-000084B50000}"/>
    <cellStyle name="货币 2 4 5 10 3" xfId="46421" xr:uid="{00000000-0005-0000-0000-000085B50000}"/>
    <cellStyle name="货币 2 4 5 10 4" xfId="46422" xr:uid="{00000000-0005-0000-0000-000086B50000}"/>
    <cellStyle name="货币 2 4 5 10 5" xfId="46423" xr:uid="{00000000-0005-0000-0000-000087B50000}"/>
    <cellStyle name="货币 2 4 5 10 6" xfId="46424" xr:uid="{00000000-0005-0000-0000-000088B50000}"/>
    <cellStyle name="货币 2 4 5 11" xfId="46425" xr:uid="{00000000-0005-0000-0000-000089B50000}"/>
    <cellStyle name="货币 2 4 5 11 2" xfId="10092" xr:uid="{00000000-0005-0000-0000-00009C270000}"/>
    <cellStyle name="货币 2 4 5 11 3" xfId="10095" xr:uid="{00000000-0005-0000-0000-00009F270000}"/>
    <cellStyle name="货币 2 4 5 11 4" xfId="10098" xr:uid="{00000000-0005-0000-0000-0000A2270000}"/>
    <cellStyle name="货币 2 4 5 11 5" xfId="10101" xr:uid="{00000000-0005-0000-0000-0000A5270000}"/>
    <cellStyle name="货币 2 4 5 11 6" xfId="10105" xr:uid="{00000000-0005-0000-0000-0000A9270000}"/>
    <cellStyle name="货币 2 4 5 12" xfId="46426" xr:uid="{00000000-0005-0000-0000-00008AB50000}"/>
    <cellStyle name="货币 2 4 5 13" xfId="9123" xr:uid="{00000000-0005-0000-0000-0000D3230000}"/>
    <cellStyle name="货币 2 4 5 14" xfId="9136" xr:uid="{00000000-0005-0000-0000-0000E0230000}"/>
    <cellStyle name="货币 2 4 5 15" xfId="31324" xr:uid="{00000000-0005-0000-0000-00008C7A0000}"/>
    <cellStyle name="货币 2 4 5 16" xfId="31173" xr:uid="{00000000-0005-0000-0000-0000F5790000}"/>
    <cellStyle name="货币 2 4 5 17" xfId="31327" xr:uid="{00000000-0005-0000-0000-00008F7A0000}"/>
    <cellStyle name="货币 2 4 5 18" xfId="31330" xr:uid="{00000000-0005-0000-0000-0000927A0000}"/>
    <cellStyle name="货币 2 4 5 19" xfId="46427" xr:uid="{00000000-0005-0000-0000-00008BB50000}"/>
    <cellStyle name="货币 2 4 5 2" xfId="46428" xr:uid="{00000000-0005-0000-0000-00008CB50000}"/>
    <cellStyle name="货币 2 4 5 2 10" xfId="46429" xr:uid="{00000000-0005-0000-0000-00008DB50000}"/>
    <cellStyle name="货币 2 4 5 2 11" xfId="46430" xr:uid="{00000000-0005-0000-0000-00008EB50000}"/>
    <cellStyle name="货币 2 4 5 2 12" xfId="46431" xr:uid="{00000000-0005-0000-0000-00008FB50000}"/>
    <cellStyle name="货币 2 4 5 2 13" xfId="46432" xr:uid="{00000000-0005-0000-0000-000090B50000}"/>
    <cellStyle name="货币 2 4 5 2 14" xfId="46433" xr:uid="{00000000-0005-0000-0000-000091B50000}"/>
    <cellStyle name="货币 2 4 5 2 15" xfId="46434" xr:uid="{00000000-0005-0000-0000-000092B50000}"/>
    <cellStyle name="货币 2 4 5 2 16" xfId="46435" xr:uid="{00000000-0005-0000-0000-000093B50000}"/>
    <cellStyle name="货币 2 4 5 2 17" xfId="46436" xr:uid="{00000000-0005-0000-0000-000094B50000}"/>
    <cellStyle name="货币 2 4 5 2 18" xfId="46437" xr:uid="{00000000-0005-0000-0000-000095B50000}"/>
    <cellStyle name="货币 2 4 5 2 2" xfId="44817" xr:uid="{00000000-0005-0000-0000-000041AF0000}"/>
    <cellStyle name="货币 2 4 5 2 2 10" xfId="46438" xr:uid="{00000000-0005-0000-0000-000096B50000}"/>
    <cellStyle name="货币 2 4 5 2 2 11" xfId="46439" xr:uid="{00000000-0005-0000-0000-000097B50000}"/>
    <cellStyle name="货币 2 4 5 2 2 12" xfId="46440" xr:uid="{00000000-0005-0000-0000-000098B50000}"/>
    <cellStyle name="货币 2 4 5 2 2 2" xfId="46441" xr:uid="{00000000-0005-0000-0000-000099B50000}"/>
    <cellStyle name="货币 2 4 5 2 2 2 2" xfId="10569" xr:uid="{00000000-0005-0000-0000-000079290000}"/>
    <cellStyle name="货币 2 4 5 2 2 2 2 2" xfId="10579" xr:uid="{00000000-0005-0000-0000-000083290000}"/>
    <cellStyle name="货币 2 4 5 2 2 2 3" xfId="3894" xr:uid="{00000000-0005-0000-0000-0000660F0000}"/>
    <cellStyle name="货币 2 4 5 2 2 2 4" xfId="10623" xr:uid="{00000000-0005-0000-0000-0000AF290000}"/>
    <cellStyle name="货币 2 4 5 2 2 2 5" xfId="6821" xr:uid="{00000000-0005-0000-0000-0000D51A0000}"/>
    <cellStyle name="货币 2 4 5 2 2 3" xfId="46442" xr:uid="{00000000-0005-0000-0000-00009AB50000}"/>
    <cellStyle name="货币 2 4 5 2 2 3 2" xfId="10738" xr:uid="{00000000-0005-0000-0000-0000222A0000}"/>
    <cellStyle name="货币 2 4 5 2 2 4" xfId="7547" xr:uid="{00000000-0005-0000-0000-0000AB1D0000}"/>
    <cellStyle name="货币 2 4 5 2 2 5" xfId="7549" xr:uid="{00000000-0005-0000-0000-0000AD1D0000}"/>
    <cellStyle name="货币 2 4 5 2 2 6" xfId="7552" xr:uid="{00000000-0005-0000-0000-0000B01D0000}"/>
    <cellStyle name="货币 2 4 5 2 2 7" xfId="31820" xr:uid="{00000000-0005-0000-0000-00007C7C0000}"/>
    <cellStyle name="货币 2 4 5 2 2 8" xfId="46443" xr:uid="{00000000-0005-0000-0000-00009BB50000}"/>
    <cellStyle name="货币 2 4 5 2 2 9" xfId="46444" xr:uid="{00000000-0005-0000-0000-00009CB50000}"/>
    <cellStyle name="货币 2 4 5 2 3" xfId="44819" xr:uid="{00000000-0005-0000-0000-000043AF0000}"/>
    <cellStyle name="货币 2 4 5 2 3 10" xfId="23666" xr:uid="{00000000-0005-0000-0000-0000A25C0000}"/>
    <cellStyle name="货币 2 4 5 2 3 11" xfId="23669" xr:uid="{00000000-0005-0000-0000-0000A55C0000}"/>
    <cellStyle name="货币 2 4 5 2 3 12" xfId="19979" xr:uid="{00000000-0005-0000-0000-00003B4E0000}"/>
    <cellStyle name="货币 2 4 5 2 3 2" xfId="46445" xr:uid="{00000000-0005-0000-0000-00009DB50000}"/>
    <cellStyle name="货币 2 4 5 2 3 2 2" xfId="11273" xr:uid="{00000000-0005-0000-0000-0000392C0000}"/>
    <cellStyle name="货币 2 4 5 2 3 2 2 2" xfId="37347" xr:uid="{00000000-0005-0000-0000-000013920000}"/>
    <cellStyle name="货币 2 4 5 2 3 2 3" xfId="11280" xr:uid="{00000000-0005-0000-0000-0000402C0000}"/>
    <cellStyle name="货币 2 4 5 2 3 2 4" xfId="11289" xr:uid="{00000000-0005-0000-0000-0000492C0000}"/>
    <cellStyle name="货币 2 4 5 2 3 2 5" xfId="5897" xr:uid="{00000000-0005-0000-0000-000039170000}"/>
    <cellStyle name="货币 2 4 5 2 3 3" xfId="46446" xr:uid="{00000000-0005-0000-0000-00009EB50000}"/>
    <cellStyle name="货币 2 4 5 2 3 3 2" xfId="11408" xr:uid="{00000000-0005-0000-0000-0000C02C0000}"/>
    <cellStyle name="货币 2 4 5 2 3 4" xfId="7566" xr:uid="{00000000-0005-0000-0000-0000BE1D0000}"/>
    <cellStyle name="货币 2 4 5 2 3 5" xfId="7583" xr:uid="{00000000-0005-0000-0000-0000CF1D0000}"/>
    <cellStyle name="货币 2 4 5 2 3 6" xfId="7596" xr:uid="{00000000-0005-0000-0000-0000DC1D0000}"/>
    <cellStyle name="货币 2 4 5 2 3 7" xfId="22427" xr:uid="{00000000-0005-0000-0000-0000CB570000}"/>
    <cellStyle name="货币 2 4 5 2 3 8" xfId="22436" xr:uid="{00000000-0005-0000-0000-0000D4570000}"/>
    <cellStyle name="货币 2 4 5 2 3 9" xfId="22442" xr:uid="{00000000-0005-0000-0000-0000DA570000}"/>
    <cellStyle name="货币 2 4 5 2 4" xfId="44821" xr:uid="{00000000-0005-0000-0000-000045AF0000}"/>
    <cellStyle name="货币 2 4 5 2 4 10" xfId="46448" xr:uid="{00000000-0005-0000-0000-0000A0B50000}"/>
    <cellStyle name="货币 2 4 5 2 4 2" xfId="46449" xr:uid="{00000000-0005-0000-0000-0000A1B50000}"/>
    <cellStyle name="货币 2 4 5 2 4 2 2" xfId="2923" xr:uid="{00000000-0005-0000-0000-00009B0B0000}"/>
    <cellStyle name="货币 2 4 5 2 4 2 2 2" xfId="46450" xr:uid="{00000000-0005-0000-0000-0000A2B50000}"/>
    <cellStyle name="货币 2 4 5 2 4 2 3" xfId="11720" xr:uid="{00000000-0005-0000-0000-0000F82D0000}"/>
    <cellStyle name="货币 2 4 5 2 4 2 4" xfId="11723" xr:uid="{00000000-0005-0000-0000-0000FB2D0000}"/>
    <cellStyle name="货币 2 4 5 2 4 2 5" xfId="5973" xr:uid="{00000000-0005-0000-0000-000085170000}"/>
    <cellStyle name="货币 2 4 5 2 4 3" xfId="46451" xr:uid="{00000000-0005-0000-0000-0000A3B50000}"/>
    <cellStyle name="货币 2 4 5 2 4 3 2" xfId="2964" xr:uid="{00000000-0005-0000-0000-0000C40B0000}"/>
    <cellStyle name="货币 2 4 5 2 4 4" xfId="2979" xr:uid="{00000000-0005-0000-0000-0000D30B0000}"/>
    <cellStyle name="货币 2 4 5 2 4 5" xfId="172" xr:uid="{00000000-0005-0000-0000-0000B9000000}"/>
    <cellStyle name="货币 2 4 5 2 4 6" xfId="7605" xr:uid="{00000000-0005-0000-0000-0000E51D0000}"/>
    <cellStyle name="货币 2 4 5 2 4 7" xfId="22450" xr:uid="{00000000-0005-0000-0000-0000E2570000}"/>
    <cellStyle name="货币 2 4 5 2 4 8" xfId="22453" xr:uid="{00000000-0005-0000-0000-0000E5570000}"/>
    <cellStyle name="货币 2 4 5 2 4 9" xfId="22455" xr:uid="{00000000-0005-0000-0000-0000E7570000}"/>
    <cellStyle name="货币 2 4 5 2 5" xfId="6001" xr:uid="{00000000-0005-0000-0000-0000A1170000}"/>
    <cellStyle name="货币 2 4 5 2 5 10" xfId="26476" xr:uid="{00000000-0005-0000-0000-00009C670000}"/>
    <cellStyle name="货币 2 4 5 2 5 2" xfId="1975" xr:uid="{00000000-0005-0000-0000-0000E7070000}"/>
    <cellStyle name="货币 2 4 5 2 5 2 2" xfId="3034" xr:uid="{00000000-0005-0000-0000-00000A0C0000}"/>
    <cellStyle name="货币 2 4 5 2 5 2 2 2" xfId="46452" xr:uid="{00000000-0005-0000-0000-0000A4B50000}"/>
    <cellStyle name="货币 2 4 5 2 5 2 3" xfId="11991" xr:uid="{00000000-0005-0000-0000-0000072F0000}"/>
    <cellStyle name="货币 2 4 5 2 5 2 4" xfId="11994" xr:uid="{00000000-0005-0000-0000-00000A2F0000}"/>
    <cellStyle name="货币 2 4 5 2 5 2 5" xfId="11997" xr:uid="{00000000-0005-0000-0000-00000D2F0000}"/>
    <cellStyle name="货币 2 4 5 2 5 3" xfId="3062" xr:uid="{00000000-0005-0000-0000-0000260C0000}"/>
    <cellStyle name="货币 2 4 5 2 5 3 2" xfId="12056" xr:uid="{00000000-0005-0000-0000-0000482F0000}"/>
    <cellStyle name="货币 2 4 5 2 5 4" xfId="3082" xr:uid="{00000000-0005-0000-0000-00003A0C0000}"/>
    <cellStyle name="货币 2 4 5 2 5 5" xfId="1365" xr:uid="{00000000-0005-0000-0000-000085050000}"/>
    <cellStyle name="货币 2 4 5 2 5 6" xfId="7624" xr:uid="{00000000-0005-0000-0000-0000F81D0000}"/>
    <cellStyle name="货币 2 4 5 2 5 7" xfId="46453" xr:uid="{00000000-0005-0000-0000-0000A5B50000}"/>
    <cellStyle name="货币 2 4 5 2 5 8" xfId="46454" xr:uid="{00000000-0005-0000-0000-0000A6B50000}"/>
    <cellStyle name="货币 2 4 5 2 5 9" xfId="46455" xr:uid="{00000000-0005-0000-0000-0000A7B50000}"/>
    <cellStyle name="货币 2 4 5 2 6" xfId="6004" xr:uid="{00000000-0005-0000-0000-0000A4170000}"/>
    <cellStyle name="货币 2 4 5 2 6 2" xfId="1984" xr:uid="{00000000-0005-0000-0000-0000F0070000}"/>
    <cellStyle name="货币 2 4 5 2 6 2 2" xfId="4669" xr:uid="{00000000-0005-0000-0000-00006D120000}"/>
    <cellStyle name="货币 2 4 5 2 6 3" xfId="35761" xr:uid="{00000000-0005-0000-0000-0000E18B0000}"/>
    <cellStyle name="货币 2 4 5 2 6 4" xfId="4708" xr:uid="{00000000-0005-0000-0000-000094120000}"/>
    <cellStyle name="货币 2 4 5 2 6 5" xfId="1394" xr:uid="{00000000-0005-0000-0000-0000A2050000}"/>
    <cellStyle name="货币 2 4 5 2 6 6" xfId="46456" xr:uid="{00000000-0005-0000-0000-0000A8B50000}"/>
    <cellStyle name="货币 2 4 5 2 6 7" xfId="46457" xr:uid="{00000000-0005-0000-0000-0000A9B50000}"/>
    <cellStyle name="货币 2 4 5 2 6 8" xfId="46458" xr:uid="{00000000-0005-0000-0000-0000AAB50000}"/>
    <cellStyle name="货币 2 4 5 2 6 9" xfId="46459" xr:uid="{00000000-0005-0000-0000-0000ABB50000}"/>
    <cellStyle name="货币 2 4 5 2 7" xfId="6006" xr:uid="{00000000-0005-0000-0000-0000A6170000}"/>
    <cellStyle name="货币 2 4 5 2 7 2" xfId="6012" xr:uid="{00000000-0005-0000-0000-0000AC170000}"/>
    <cellStyle name="货币 2 4 5 2 8" xfId="6022" xr:uid="{00000000-0005-0000-0000-0000B6170000}"/>
    <cellStyle name="货币 2 4 5 2 9" xfId="6035" xr:uid="{00000000-0005-0000-0000-0000C3170000}"/>
    <cellStyle name="货币 2 4 5 20" xfId="31323" xr:uid="{00000000-0005-0000-0000-00008B7A0000}"/>
    <cellStyle name="货币 2 4 5 21" xfId="31172" xr:uid="{00000000-0005-0000-0000-0000F4790000}"/>
    <cellStyle name="货币 2 4 5 22" xfId="31326" xr:uid="{00000000-0005-0000-0000-00008E7A0000}"/>
    <cellStyle name="货币 2 4 5 23" xfId="31329" xr:uid="{00000000-0005-0000-0000-0000917A0000}"/>
    <cellStyle name="货币 2 4 5 3" xfId="46460" xr:uid="{00000000-0005-0000-0000-0000ACB50000}"/>
    <cellStyle name="货币 2 4 5 3 10" xfId="36849" xr:uid="{00000000-0005-0000-0000-000021900000}"/>
    <cellStyle name="货币 2 4 5 3 11" xfId="36852" xr:uid="{00000000-0005-0000-0000-000024900000}"/>
    <cellStyle name="货币 2 4 5 3 12" xfId="36854" xr:uid="{00000000-0005-0000-0000-000026900000}"/>
    <cellStyle name="货币 2 4 5 3 13" xfId="3916" xr:uid="{00000000-0005-0000-0000-00007C0F0000}"/>
    <cellStyle name="货币 2 4 5 3 14" xfId="36856" xr:uid="{00000000-0005-0000-0000-000028900000}"/>
    <cellStyle name="货币 2 4 5 3 15" xfId="36859" xr:uid="{00000000-0005-0000-0000-00002B900000}"/>
    <cellStyle name="货币 2 4 5 3 16" xfId="36862" xr:uid="{00000000-0005-0000-0000-00002E900000}"/>
    <cellStyle name="货币 2 4 5 3 17" xfId="4933" xr:uid="{00000000-0005-0000-0000-000075130000}"/>
    <cellStyle name="货币 2 4 5 3 18" xfId="5012" xr:uid="{00000000-0005-0000-0000-0000C4130000}"/>
    <cellStyle name="货币 2 4 5 3 2" xfId="44823" xr:uid="{00000000-0005-0000-0000-000047AF0000}"/>
    <cellStyle name="货币 2 4 5 3 2 10" xfId="46461" xr:uid="{00000000-0005-0000-0000-0000ADB50000}"/>
    <cellStyle name="货币 2 4 5 3 2 2" xfId="46462" xr:uid="{00000000-0005-0000-0000-0000AEB50000}"/>
    <cellStyle name="货币 2 4 5 3 2 2 2" xfId="8984" xr:uid="{00000000-0005-0000-0000-000048230000}"/>
    <cellStyle name="货币 2 4 5 3 2 3" xfId="46463" xr:uid="{00000000-0005-0000-0000-0000AFB50000}"/>
    <cellStyle name="货币 2 4 5 3 2 4" xfId="46464" xr:uid="{00000000-0005-0000-0000-0000B0B50000}"/>
    <cellStyle name="货币 2 4 5 3 2 5" xfId="46465" xr:uid="{00000000-0005-0000-0000-0000B1B50000}"/>
    <cellStyle name="货币 2 4 5 3 2 6" xfId="46466" xr:uid="{00000000-0005-0000-0000-0000B2B50000}"/>
    <cellStyle name="货币 2 4 5 3 2 7" xfId="46467" xr:uid="{00000000-0005-0000-0000-0000B3B50000}"/>
    <cellStyle name="货币 2 4 5 3 2 8" xfId="46468" xr:uid="{00000000-0005-0000-0000-0000B4B50000}"/>
    <cellStyle name="货币 2 4 5 3 2 9" xfId="41484" xr:uid="{00000000-0005-0000-0000-00003CA20000}"/>
    <cellStyle name="货币 2 4 5 3 3" xfId="44826" xr:uid="{00000000-0005-0000-0000-00004AAF0000}"/>
    <cellStyle name="货币 2 4 5 3 3 2" xfId="46469" xr:uid="{00000000-0005-0000-0000-0000B5B50000}"/>
    <cellStyle name="货币 2 4 5 3 3 3" xfId="46470" xr:uid="{00000000-0005-0000-0000-0000B6B50000}"/>
    <cellStyle name="货币 2 4 5 3 3 4" xfId="46471" xr:uid="{00000000-0005-0000-0000-0000B7B50000}"/>
    <cellStyle name="货币 2 4 5 3 3 5" xfId="22459" xr:uid="{00000000-0005-0000-0000-0000EB570000}"/>
    <cellStyle name="货币 2 4 5 3 3 6" xfId="22463" xr:uid="{00000000-0005-0000-0000-0000EF570000}"/>
    <cellStyle name="货币 2 4 5 3 4" xfId="44830" xr:uid="{00000000-0005-0000-0000-00004EAF0000}"/>
    <cellStyle name="货币 2 4 5 3 4 2" xfId="46472" xr:uid="{00000000-0005-0000-0000-0000B8B50000}"/>
    <cellStyle name="货币 2 4 5 3 4 3" xfId="35662" xr:uid="{00000000-0005-0000-0000-00007E8B0000}"/>
    <cellStyle name="货币 2 4 5 3 4 4" xfId="38905" xr:uid="{00000000-0005-0000-0000-000029980000}"/>
    <cellStyle name="货币 2 4 5 3 4 5" xfId="22479" xr:uid="{00000000-0005-0000-0000-0000FF570000}"/>
    <cellStyle name="货币 2 4 5 3 4 6" xfId="22482" xr:uid="{00000000-0005-0000-0000-000002580000}"/>
    <cellStyle name="货币 2 4 5 3 5" xfId="6052" xr:uid="{00000000-0005-0000-0000-0000D4170000}"/>
    <cellStyle name="货币 2 4 5 3 5 2" xfId="2162" xr:uid="{00000000-0005-0000-0000-0000A2080000}"/>
    <cellStyle name="货币 2 4 5 3 5 3" xfId="3532" xr:uid="{00000000-0005-0000-0000-0000FC0D0000}"/>
    <cellStyle name="货币 2 4 5 3 5 4" xfId="3537" xr:uid="{00000000-0005-0000-0000-0000010E0000}"/>
    <cellStyle name="货币 2 4 5 3 5 5" xfId="6179" xr:uid="{00000000-0005-0000-0000-000053180000}"/>
    <cellStyle name="货币 2 4 5 3 5 6" xfId="6182" xr:uid="{00000000-0005-0000-0000-000056180000}"/>
    <cellStyle name="货币 2 4 5 3 6" xfId="6202" xr:uid="{00000000-0005-0000-0000-00006A180000}"/>
    <cellStyle name="货币 2 4 5 3 6 2" xfId="2179" xr:uid="{00000000-0005-0000-0000-0000B3080000}"/>
    <cellStyle name="货币 2 4 5 3 6 3" xfId="4626" xr:uid="{00000000-0005-0000-0000-000042120000}"/>
    <cellStyle name="货币 2 4 5 3 6 4" xfId="6213" xr:uid="{00000000-0005-0000-0000-000075180000}"/>
    <cellStyle name="货币 2 4 5 3 6 5" xfId="4177" xr:uid="{00000000-0005-0000-0000-000081100000}"/>
    <cellStyle name="货币 2 4 5 3 6 6" xfId="6217" xr:uid="{00000000-0005-0000-0000-000079180000}"/>
    <cellStyle name="货币 2 4 5 3 7" xfId="6228" xr:uid="{00000000-0005-0000-0000-000084180000}"/>
    <cellStyle name="货币 2 4 5 3 8" xfId="6242" xr:uid="{00000000-0005-0000-0000-000092180000}"/>
    <cellStyle name="货币 2 4 5 3 9" xfId="6251" xr:uid="{00000000-0005-0000-0000-00009B180000}"/>
    <cellStyle name="货币 2 4 5 4" xfId="46473" xr:uid="{00000000-0005-0000-0000-0000B9B50000}"/>
    <cellStyle name="货币 2 4 5 4 10" xfId="46474" xr:uid="{00000000-0005-0000-0000-0000BAB50000}"/>
    <cellStyle name="货币 2 4 5 4 11" xfId="46475" xr:uid="{00000000-0005-0000-0000-0000BBB50000}"/>
    <cellStyle name="货币 2 4 5 4 12" xfId="46476" xr:uid="{00000000-0005-0000-0000-0000BCB50000}"/>
    <cellStyle name="货币 2 4 5 4 13" xfId="46477" xr:uid="{00000000-0005-0000-0000-0000BDB50000}"/>
    <cellStyle name="货币 2 4 5 4 14" xfId="46478" xr:uid="{00000000-0005-0000-0000-0000BEB50000}"/>
    <cellStyle name="货币 2 4 5 4 15" xfId="46479" xr:uid="{00000000-0005-0000-0000-0000BFB50000}"/>
    <cellStyle name="货币 2 4 5 4 2" xfId="46480" xr:uid="{00000000-0005-0000-0000-0000C0B50000}"/>
    <cellStyle name="货币 2 4 5 4 2 2" xfId="46481" xr:uid="{00000000-0005-0000-0000-0000C1B50000}"/>
    <cellStyle name="货币 2 4 5 4 2 2 2" xfId="6696" xr:uid="{00000000-0005-0000-0000-0000581A0000}"/>
    <cellStyle name="货币 2 4 5 4 2 3" xfId="46482" xr:uid="{00000000-0005-0000-0000-0000C2B50000}"/>
    <cellStyle name="货币 2 4 5 4 2 4" xfId="46483" xr:uid="{00000000-0005-0000-0000-0000C3B50000}"/>
    <cellStyle name="货币 2 4 5 4 2 5" xfId="34355" xr:uid="{00000000-0005-0000-0000-000063860000}"/>
    <cellStyle name="货币 2 4 5 4 2 6" xfId="34357" xr:uid="{00000000-0005-0000-0000-000065860000}"/>
    <cellStyle name="货币 2 4 5 4 2 7" xfId="34359" xr:uid="{00000000-0005-0000-0000-000067860000}"/>
    <cellStyle name="货币 2 4 5 4 2 8" xfId="34361" xr:uid="{00000000-0005-0000-0000-000069860000}"/>
    <cellStyle name="货币 2 4 5 4 2 9" xfId="34363" xr:uid="{00000000-0005-0000-0000-00006B860000}"/>
    <cellStyle name="货币 2 4 5 4 3" xfId="46484" xr:uid="{00000000-0005-0000-0000-0000C4B50000}"/>
    <cellStyle name="货币 2 4 5 4 3 2" xfId="46485" xr:uid="{00000000-0005-0000-0000-0000C5B50000}"/>
    <cellStyle name="货币 2 4 5 4 3 3" xfId="46486" xr:uid="{00000000-0005-0000-0000-0000C6B50000}"/>
    <cellStyle name="货币 2 4 5 4 3 4" xfId="46487" xr:uid="{00000000-0005-0000-0000-0000C7B50000}"/>
    <cellStyle name="货币 2 4 5 4 3 5" xfId="22502" xr:uid="{00000000-0005-0000-0000-000016580000}"/>
    <cellStyle name="货币 2 4 5 4 3 6" xfId="46488" xr:uid="{00000000-0005-0000-0000-0000C8B50000}"/>
    <cellStyle name="货币 2 4 5 4 4" xfId="46489" xr:uid="{00000000-0005-0000-0000-0000C9B50000}"/>
    <cellStyle name="货币 2 4 5 4 4 2" xfId="46490" xr:uid="{00000000-0005-0000-0000-0000CAB50000}"/>
    <cellStyle name="货币 2 4 5 4 5" xfId="3561" xr:uid="{00000000-0005-0000-0000-0000190E0000}"/>
    <cellStyle name="货币 2 4 5 4 6" xfId="6268" xr:uid="{00000000-0005-0000-0000-0000AC180000}"/>
    <cellStyle name="货币 2 4 5 4 7" xfId="1797" xr:uid="{00000000-0005-0000-0000-000035070000}"/>
    <cellStyle name="货币 2 4 5 4 8" xfId="4282" xr:uid="{00000000-0005-0000-0000-0000EA100000}"/>
    <cellStyle name="货币 2 4 5 4 9" xfId="4310" xr:uid="{00000000-0005-0000-0000-000006110000}"/>
    <cellStyle name="货币 2 4 5 5" xfId="46491" xr:uid="{00000000-0005-0000-0000-0000CBB50000}"/>
    <cellStyle name="货币 2 4 5 5 10" xfId="46492" xr:uid="{00000000-0005-0000-0000-0000CCB50000}"/>
    <cellStyle name="货币 2 4 5 5 11" xfId="46493" xr:uid="{00000000-0005-0000-0000-0000CDB50000}"/>
    <cellStyle name="货币 2 4 5 5 12" xfId="46494" xr:uid="{00000000-0005-0000-0000-0000CEB50000}"/>
    <cellStyle name="货币 2 4 5 5 13" xfId="31914" xr:uid="{00000000-0005-0000-0000-0000DA7C0000}"/>
    <cellStyle name="货币 2 4 5 5 2" xfId="46495" xr:uid="{00000000-0005-0000-0000-0000CFB50000}"/>
    <cellStyle name="货币 2 4 5 5 2 2" xfId="46496" xr:uid="{00000000-0005-0000-0000-0000D0B50000}"/>
    <cellStyle name="货币 2 4 5 5 2 2 2" xfId="18114" xr:uid="{00000000-0005-0000-0000-0000F2460000}"/>
    <cellStyle name="货币 2 4 5 5 2 3" xfId="46497" xr:uid="{00000000-0005-0000-0000-0000D1B50000}"/>
    <cellStyle name="货币 2 4 5 5 2 4" xfId="46498" xr:uid="{00000000-0005-0000-0000-0000D2B50000}"/>
    <cellStyle name="货币 2 4 5 5 2 5" xfId="46499" xr:uid="{00000000-0005-0000-0000-0000D3B50000}"/>
    <cellStyle name="货币 2 4 5 5 2 6" xfId="46500" xr:uid="{00000000-0005-0000-0000-0000D4B50000}"/>
    <cellStyle name="货币 2 4 5 5 2 7" xfId="46501" xr:uid="{00000000-0005-0000-0000-0000D5B50000}"/>
    <cellStyle name="货币 2 4 5 5 2 8" xfId="46502" xr:uid="{00000000-0005-0000-0000-0000D6B50000}"/>
    <cellStyle name="货币 2 4 5 5 2 9" xfId="46503" xr:uid="{00000000-0005-0000-0000-0000D7B50000}"/>
    <cellStyle name="货币 2 4 5 5 3" xfId="46504" xr:uid="{00000000-0005-0000-0000-0000D8B50000}"/>
    <cellStyle name="货币 2 4 5 5 3 2" xfId="46505" xr:uid="{00000000-0005-0000-0000-0000D9B50000}"/>
    <cellStyle name="货币 2 4 5 5 3 3" xfId="46506" xr:uid="{00000000-0005-0000-0000-0000DAB50000}"/>
    <cellStyle name="货币 2 4 5 5 3 4" xfId="46507" xr:uid="{00000000-0005-0000-0000-0000DBB50000}"/>
    <cellStyle name="货币 2 4 5 5 3 5" xfId="46508" xr:uid="{00000000-0005-0000-0000-0000DCB50000}"/>
    <cellStyle name="货币 2 4 5 5 3 6" xfId="46509" xr:uid="{00000000-0005-0000-0000-0000DDB50000}"/>
    <cellStyle name="货币 2 4 5 5 4" xfId="46510" xr:uid="{00000000-0005-0000-0000-0000DEB50000}"/>
    <cellStyle name="货币 2 4 5 5 4 2" xfId="46511" xr:uid="{00000000-0005-0000-0000-0000DFB50000}"/>
    <cellStyle name="货币 2 4 5 5 5" xfId="6336" xr:uid="{00000000-0005-0000-0000-0000F0180000}"/>
    <cellStyle name="货币 2 4 5 5 6" xfId="46512" xr:uid="{00000000-0005-0000-0000-0000E0B50000}"/>
    <cellStyle name="货币 2 4 5 5 7" xfId="46513" xr:uid="{00000000-0005-0000-0000-0000E1B50000}"/>
    <cellStyle name="货币 2 4 5 5 8" xfId="46514" xr:uid="{00000000-0005-0000-0000-0000E2B50000}"/>
    <cellStyle name="货币 2 4 5 5 9" xfId="46515" xr:uid="{00000000-0005-0000-0000-0000E3B50000}"/>
    <cellStyle name="货币 2 4 5 6" xfId="46516" xr:uid="{00000000-0005-0000-0000-0000E4B50000}"/>
    <cellStyle name="货币 2 4 5 6 10" xfId="46517" xr:uid="{00000000-0005-0000-0000-0000E5B50000}"/>
    <cellStyle name="货币 2 4 5 6 11" xfId="40830" xr:uid="{00000000-0005-0000-0000-0000AE9F0000}"/>
    <cellStyle name="货币 2 4 5 6 12" xfId="40832" xr:uid="{00000000-0005-0000-0000-0000B09F0000}"/>
    <cellStyle name="货币 2 4 5 6 2" xfId="46518" xr:uid="{00000000-0005-0000-0000-0000E6B50000}"/>
    <cellStyle name="货币 2 4 5 6 2 2" xfId="46519" xr:uid="{00000000-0005-0000-0000-0000E7B50000}"/>
    <cellStyle name="货币 2 4 5 6 2 2 2" xfId="19576" xr:uid="{00000000-0005-0000-0000-0000A84C0000}"/>
    <cellStyle name="货币 2 4 5 6 2 3" xfId="46520" xr:uid="{00000000-0005-0000-0000-0000E8B50000}"/>
    <cellStyle name="货币 2 4 5 6 2 4" xfId="46521" xr:uid="{00000000-0005-0000-0000-0000E9B50000}"/>
    <cellStyle name="货币 2 4 5 6 2 5" xfId="46522" xr:uid="{00000000-0005-0000-0000-0000EAB50000}"/>
    <cellStyle name="货币 2 4 5 6 2 6" xfId="46523" xr:uid="{00000000-0005-0000-0000-0000EBB50000}"/>
    <cellStyle name="货币 2 4 5 6 2 7" xfId="46524" xr:uid="{00000000-0005-0000-0000-0000ECB50000}"/>
    <cellStyle name="货币 2 4 5 6 2 8" xfId="46525" xr:uid="{00000000-0005-0000-0000-0000EDB50000}"/>
    <cellStyle name="货币 2 4 5 6 2 9" xfId="46526" xr:uid="{00000000-0005-0000-0000-0000EEB50000}"/>
    <cellStyle name="货币 2 4 5 6 3" xfId="46527" xr:uid="{00000000-0005-0000-0000-0000EFB50000}"/>
    <cellStyle name="货币 2 4 5 6 3 2" xfId="46528" xr:uid="{00000000-0005-0000-0000-0000F0B50000}"/>
    <cellStyle name="货币 2 4 5 6 3 3" xfId="46529" xr:uid="{00000000-0005-0000-0000-0000F1B50000}"/>
    <cellStyle name="货币 2 4 5 6 3 4" xfId="46530" xr:uid="{00000000-0005-0000-0000-0000F2B50000}"/>
    <cellStyle name="货币 2 4 5 6 3 5" xfId="46531" xr:uid="{00000000-0005-0000-0000-0000F3B50000}"/>
    <cellStyle name="货币 2 4 5 6 3 6" xfId="46532" xr:uid="{00000000-0005-0000-0000-0000F4B50000}"/>
    <cellStyle name="货币 2 4 5 6 4" xfId="46533" xr:uid="{00000000-0005-0000-0000-0000F5B50000}"/>
    <cellStyle name="货币 2 4 5 6 4 2" xfId="33343" xr:uid="{00000000-0005-0000-0000-00006F820000}"/>
    <cellStyle name="货币 2 4 5 6 5" xfId="6342" xr:uid="{00000000-0005-0000-0000-0000F6180000}"/>
    <cellStyle name="货币 2 4 5 6 6" xfId="46534" xr:uid="{00000000-0005-0000-0000-0000F6B50000}"/>
    <cellStyle name="货币 2 4 5 6 7" xfId="46535" xr:uid="{00000000-0005-0000-0000-0000F7B50000}"/>
    <cellStyle name="货币 2 4 5 6 8" xfId="46536" xr:uid="{00000000-0005-0000-0000-0000F8B50000}"/>
    <cellStyle name="货币 2 4 5 6 9" xfId="46537" xr:uid="{00000000-0005-0000-0000-0000F9B50000}"/>
    <cellStyle name="货币 2 4 5 7" xfId="46538" xr:uid="{00000000-0005-0000-0000-0000FAB50000}"/>
    <cellStyle name="货币 2 4 5 7 2" xfId="19517" xr:uid="{00000000-0005-0000-0000-00006D4C0000}"/>
    <cellStyle name="货币 2 4 5 7 2 2" xfId="46539" xr:uid="{00000000-0005-0000-0000-0000FBB50000}"/>
    <cellStyle name="货币 2 4 5 7 3" xfId="19520" xr:uid="{00000000-0005-0000-0000-0000704C0000}"/>
    <cellStyle name="货币 2 4 5 7 4" xfId="19523" xr:uid="{00000000-0005-0000-0000-0000734C0000}"/>
    <cellStyle name="货币 2 4 5 7 5" xfId="6346" xr:uid="{00000000-0005-0000-0000-0000FA180000}"/>
    <cellStyle name="货币 2 4 5 7 6" xfId="19525" xr:uid="{00000000-0005-0000-0000-0000754C0000}"/>
    <cellStyle name="货币 2 4 5 7 7" xfId="46540" xr:uid="{00000000-0005-0000-0000-0000FCB50000}"/>
    <cellStyle name="货币 2 4 5 7 8" xfId="46541" xr:uid="{00000000-0005-0000-0000-0000FDB50000}"/>
    <cellStyle name="货币 2 4 5 7 9" xfId="46542" xr:uid="{00000000-0005-0000-0000-0000FEB50000}"/>
    <cellStyle name="货币 2 4 5 8" xfId="46543" xr:uid="{00000000-0005-0000-0000-0000FFB50000}"/>
    <cellStyle name="货币 2 4 5 8 2" xfId="16450" xr:uid="{00000000-0005-0000-0000-000072400000}"/>
    <cellStyle name="货币 2 4 5 8 3" xfId="16454" xr:uid="{00000000-0005-0000-0000-000076400000}"/>
    <cellStyle name="货币 2 4 5 8 4" xfId="16462" xr:uid="{00000000-0005-0000-0000-00007E400000}"/>
    <cellStyle name="货币 2 4 5 8 5" xfId="6356" xr:uid="{00000000-0005-0000-0000-000004190000}"/>
    <cellStyle name="货币 2 4 5 8 6" xfId="3768" xr:uid="{00000000-0005-0000-0000-0000E80E0000}"/>
    <cellStyle name="货币 2 4 5 9" xfId="46544" xr:uid="{00000000-0005-0000-0000-000000B60000}"/>
    <cellStyle name="货币 2 4 5 9 2" xfId="16478" xr:uid="{00000000-0005-0000-0000-00008E400000}"/>
    <cellStyle name="货币 2 4 5 9 3" xfId="16481" xr:uid="{00000000-0005-0000-0000-000091400000}"/>
    <cellStyle name="货币 2 4 5 9 4" xfId="16485" xr:uid="{00000000-0005-0000-0000-000095400000}"/>
    <cellStyle name="货币 2 4 5 9 5" xfId="4901" xr:uid="{00000000-0005-0000-0000-000055130000}"/>
    <cellStyle name="货币 2 4 5 9 6" xfId="19558" xr:uid="{00000000-0005-0000-0000-0000964C0000}"/>
    <cellStyle name="货币 2 4 6" xfId="46545" xr:uid="{00000000-0005-0000-0000-000001B60000}"/>
    <cellStyle name="货币 2 4 6 10" xfId="46546" xr:uid="{00000000-0005-0000-0000-000002B60000}"/>
    <cellStyle name="货币 2 4 6 10 2" xfId="46547" xr:uid="{00000000-0005-0000-0000-000003B60000}"/>
    <cellStyle name="货币 2 4 6 10 3" xfId="46549" xr:uid="{00000000-0005-0000-0000-000005B60000}"/>
    <cellStyle name="货币 2 4 6 10 4" xfId="46551" xr:uid="{00000000-0005-0000-0000-000007B60000}"/>
    <cellStyle name="货币 2 4 6 10 5" xfId="46553" xr:uid="{00000000-0005-0000-0000-000009B60000}"/>
    <cellStyle name="货币 2 4 6 10 6" xfId="46555" xr:uid="{00000000-0005-0000-0000-00000BB60000}"/>
    <cellStyle name="货币 2 4 6 11" xfId="46556" xr:uid="{00000000-0005-0000-0000-00000CB60000}"/>
    <cellStyle name="货币 2 4 6 11 2" xfId="27762" xr:uid="{00000000-0005-0000-0000-0000A26C0000}"/>
    <cellStyle name="货币 2 4 6 11 3" xfId="27767" xr:uid="{00000000-0005-0000-0000-0000A76C0000}"/>
    <cellStyle name="货币 2 4 6 11 4" xfId="2689" xr:uid="{00000000-0005-0000-0000-0000B10A0000}"/>
    <cellStyle name="货币 2 4 6 11 5" xfId="21088" xr:uid="{00000000-0005-0000-0000-000090520000}"/>
    <cellStyle name="货币 2 4 6 11 6" xfId="21096" xr:uid="{00000000-0005-0000-0000-000098520000}"/>
    <cellStyle name="货币 2 4 6 12" xfId="46557" xr:uid="{00000000-0005-0000-0000-00000DB60000}"/>
    <cellStyle name="货币 2 4 6 13" xfId="9961" xr:uid="{00000000-0005-0000-0000-000019270000}"/>
    <cellStyle name="货币 2 4 6 14" xfId="9967" xr:uid="{00000000-0005-0000-0000-00001F270000}"/>
    <cellStyle name="货币 2 4 6 15" xfId="31391" xr:uid="{00000000-0005-0000-0000-0000CF7A0000}"/>
    <cellStyle name="货币 2 4 6 16" xfId="17703" xr:uid="{00000000-0005-0000-0000-000057450000}"/>
    <cellStyle name="货币 2 4 6 17" xfId="17706" xr:uid="{00000000-0005-0000-0000-00005A450000}"/>
    <cellStyle name="货币 2 4 6 18" xfId="17709" xr:uid="{00000000-0005-0000-0000-00005D450000}"/>
    <cellStyle name="货币 2 4 6 19" xfId="17711" xr:uid="{00000000-0005-0000-0000-00005F450000}"/>
    <cellStyle name="货币 2 4 6 2" xfId="46558" xr:uid="{00000000-0005-0000-0000-00000EB60000}"/>
    <cellStyle name="货币 2 4 6 2 10" xfId="13103" xr:uid="{00000000-0005-0000-0000-00005F330000}"/>
    <cellStyle name="货币 2 4 6 2 11" xfId="20722" xr:uid="{00000000-0005-0000-0000-000022510000}"/>
    <cellStyle name="货币 2 4 6 2 12" xfId="20731" xr:uid="{00000000-0005-0000-0000-00002B510000}"/>
    <cellStyle name="货币 2 4 6 2 13" xfId="20738" xr:uid="{00000000-0005-0000-0000-000032510000}"/>
    <cellStyle name="货币 2 4 6 2 14" xfId="269" xr:uid="{00000000-0005-0000-0000-00001F010000}"/>
    <cellStyle name="货币 2 4 6 2 15" xfId="26786" xr:uid="{00000000-0005-0000-0000-0000D2680000}"/>
    <cellStyle name="货币 2 4 6 2 16" xfId="26789" xr:uid="{00000000-0005-0000-0000-0000D5680000}"/>
    <cellStyle name="货币 2 4 6 2 17" xfId="26791" xr:uid="{00000000-0005-0000-0000-0000D7680000}"/>
    <cellStyle name="货币 2 4 6 2 18" xfId="46559" xr:uid="{00000000-0005-0000-0000-00000FB60000}"/>
    <cellStyle name="货币 2 4 6 2 2" xfId="46560" xr:uid="{00000000-0005-0000-0000-000010B60000}"/>
    <cellStyle name="货币 2 4 6 2 2 10" xfId="9966" xr:uid="{00000000-0005-0000-0000-00001E270000}"/>
    <cellStyle name="货币 2 4 6 2 2 11" xfId="31390" xr:uid="{00000000-0005-0000-0000-0000CE7A0000}"/>
    <cellStyle name="货币 2 4 6 2 2 12" xfId="17702" xr:uid="{00000000-0005-0000-0000-000056450000}"/>
    <cellStyle name="货币 2 4 6 2 2 2" xfId="17670" xr:uid="{00000000-0005-0000-0000-000036450000}"/>
    <cellStyle name="货币 2 4 6 2 2 2 2" xfId="46561" xr:uid="{00000000-0005-0000-0000-000011B60000}"/>
    <cellStyle name="货币 2 4 6 2 2 2 2 2" xfId="46563" xr:uid="{00000000-0005-0000-0000-000013B60000}"/>
    <cellStyle name="货币 2 4 6 2 2 2 3" xfId="46082" xr:uid="{00000000-0005-0000-0000-000032B40000}"/>
    <cellStyle name="货币 2 4 6 2 2 2 4" xfId="46084" xr:uid="{00000000-0005-0000-0000-000034B40000}"/>
    <cellStyle name="货币 2 4 6 2 2 2 5" xfId="46086" xr:uid="{00000000-0005-0000-0000-000036B40000}"/>
    <cellStyle name="货币 2 4 6 2 2 3" xfId="17672" xr:uid="{00000000-0005-0000-0000-000038450000}"/>
    <cellStyle name="货币 2 4 6 2 2 3 2" xfId="18555" xr:uid="{00000000-0005-0000-0000-0000AB480000}"/>
    <cellStyle name="货币 2 4 6 2 2 4" xfId="17674" xr:uid="{00000000-0005-0000-0000-00003A450000}"/>
    <cellStyle name="货币 2 4 6 2 2 5" xfId="17676" xr:uid="{00000000-0005-0000-0000-00003C450000}"/>
    <cellStyle name="货币 2 4 6 2 2 6" xfId="46564" xr:uid="{00000000-0005-0000-0000-000014B60000}"/>
    <cellStyle name="货币 2 4 6 2 2 7" xfId="46565" xr:uid="{00000000-0005-0000-0000-000015B60000}"/>
    <cellStyle name="货币 2 4 6 2 2 8" xfId="46566" xr:uid="{00000000-0005-0000-0000-000016B60000}"/>
    <cellStyle name="货币 2 4 6 2 2 9" xfId="46567" xr:uid="{00000000-0005-0000-0000-000017B60000}"/>
    <cellStyle name="货币 2 4 6 2 3" xfId="46568" xr:uid="{00000000-0005-0000-0000-000018B60000}"/>
    <cellStyle name="货币 2 4 6 2 3 10" xfId="46570" xr:uid="{00000000-0005-0000-0000-00001AB60000}"/>
    <cellStyle name="货币 2 4 6 2 3 11" xfId="46572" xr:uid="{00000000-0005-0000-0000-00001CB60000}"/>
    <cellStyle name="货币 2 4 6 2 3 12" xfId="46574" xr:uid="{00000000-0005-0000-0000-00001EB60000}"/>
    <cellStyle name="货币 2 4 6 2 3 2" xfId="43260" xr:uid="{00000000-0005-0000-0000-00002CA90000}"/>
    <cellStyle name="货币 2 4 6 2 3 2 2" xfId="46575" xr:uid="{00000000-0005-0000-0000-00001FB60000}"/>
    <cellStyle name="货币 2 4 6 2 3 2 2 2" xfId="46577" xr:uid="{00000000-0005-0000-0000-000021B60000}"/>
    <cellStyle name="货币 2 4 6 2 3 2 3" xfId="46578" xr:uid="{00000000-0005-0000-0000-000022B60000}"/>
    <cellStyle name="货币 2 4 6 2 3 2 4" xfId="46579" xr:uid="{00000000-0005-0000-0000-000023B60000}"/>
    <cellStyle name="货币 2 4 6 2 3 2 5" xfId="46580" xr:uid="{00000000-0005-0000-0000-000024B60000}"/>
    <cellStyle name="货币 2 4 6 2 3 3" xfId="43262" xr:uid="{00000000-0005-0000-0000-00002EA90000}"/>
    <cellStyle name="货币 2 4 6 2 3 3 2" xfId="46581" xr:uid="{00000000-0005-0000-0000-000025B60000}"/>
    <cellStyle name="货币 2 4 6 2 3 4" xfId="43264" xr:uid="{00000000-0005-0000-0000-000030A90000}"/>
    <cellStyle name="货币 2 4 6 2 3 5" xfId="20263" xr:uid="{00000000-0005-0000-0000-0000574F0000}"/>
    <cellStyle name="货币 2 4 6 2 3 6" xfId="20296" xr:uid="{00000000-0005-0000-0000-0000784F0000}"/>
    <cellStyle name="货币 2 4 6 2 3 7" xfId="28" xr:uid="{00000000-0005-0000-0000-00001E000000}"/>
    <cellStyle name="货币 2 4 6 2 3 8" xfId="20312" xr:uid="{00000000-0005-0000-0000-0000884F0000}"/>
    <cellStyle name="货币 2 4 6 2 3 9" xfId="46582" xr:uid="{00000000-0005-0000-0000-000026B60000}"/>
    <cellStyle name="货币 2 4 6 2 4" xfId="46583" xr:uid="{00000000-0005-0000-0000-000027B60000}"/>
    <cellStyle name="货币 2 4 6 2 4 10" xfId="46586" xr:uid="{00000000-0005-0000-0000-00002AB60000}"/>
    <cellStyle name="货币 2 4 6 2 4 2" xfId="43268" xr:uid="{00000000-0005-0000-0000-000034A90000}"/>
    <cellStyle name="货币 2 4 6 2 4 2 2" xfId="46587" xr:uid="{00000000-0005-0000-0000-00002BB60000}"/>
    <cellStyle name="货币 2 4 6 2 4 2 2 2" xfId="46589" xr:uid="{00000000-0005-0000-0000-00002DB60000}"/>
    <cellStyle name="货币 2 4 6 2 4 2 3" xfId="46590" xr:uid="{00000000-0005-0000-0000-00002EB60000}"/>
    <cellStyle name="货币 2 4 6 2 4 2 4" xfId="46591" xr:uid="{00000000-0005-0000-0000-00002FB60000}"/>
    <cellStyle name="货币 2 4 6 2 4 2 5" xfId="46592" xr:uid="{00000000-0005-0000-0000-000030B60000}"/>
    <cellStyle name="货币 2 4 6 2 4 3" xfId="43270" xr:uid="{00000000-0005-0000-0000-000036A90000}"/>
    <cellStyle name="货币 2 4 6 2 4 3 2" xfId="11956" xr:uid="{00000000-0005-0000-0000-0000E42E0000}"/>
    <cellStyle name="货币 2 4 6 2 4 4" xfId="43272" xr:uid="{00000000-0005-0000-0000-000038A90000}"/>
    <cellStyle name="货币 2 4 6 2 4 5" xfId="22585" xr:uid="{00000000-0005-0000-0000-000069580000}"/>
    <cellStyle name="货币 2 4 6 2 4 6" xfId="46593" xr:uid="{00000000-0005-0000-0000-000031B60000}"/>
    <cellStyle name="货币 2 4 6 2 4 7" xfId="46594" xr:uid="{00000000-0005-0000-0000-000032B60000}"/>
    <cellStyle name="货币 2 4 6 2 4 8" xfId="46595" xr:uid="{00000000-0005-0000-0000-000033B60000}"/>
    <cellStyle name="货币 2 4 6 2 4 9" xfId="4817" xr:uid="{00000000-0005-0000-0000-000001130000}"/>
    <cellStyle name="货币 2 4 6 2 5" xfId="46596" xr:uid="{00000000-0005-0000-0000-000034B60000}"/>
    <cellStyle name="货币 2 4 6 2 5 10" xfId="46598" xr:uid="{00000000-0005-0000-0000-000036B60000}"/>
    <cellStyle name="货币 2 4 6 2 5 2" xfId="37558" xr:uid="{00000000-0005-0000-0000-0000E6920000}"/>
    <cellStyle name="货币 2 4 6 2 5 2 2" xfId="46599" xr:uid="{00000000-0005-0000-0000-000037B60000}"/>
    <cellStyle name="货币 2 4 6 2 5 2 2 2" xfId="39598" xr:uid="{00000000-0005-0000-0000-0000DE9A0000}"/>
    <cellStyle name="货币 2 4 6 2 5 2 3" xfId="46600" xr:uid="{00000000-0005-0000-0000-000038B60000}"/>
    <cellStyle name="货币 2 4 6 2 5 2 4" xfId="46601" xr:uid="{00000000-0005-0000-0000-000039B60000}"/>
    <cellStyle name="货币 2 4 6 2 5 2 5" xfId="46602" xr:uid="{00000000-0005-0000-0000-00003AB60000}"/>
    <cellStyle name="货币 2 4 6 2 5 3" xfId="43275" xr:uid="{00000000-0005-0000-0000-00003BA90000}"/>
    <cellStyle name="货币 2 4 6 2 5 3 2" xfId="15930" xr:uid="{00000000-0005-0000-0000-00006A3E0000}"/>
    <cellStyle name="货币 2 4 6 2 5 4" xfId="43277" xr:uid="{00000000-0005-0000-0000-00003DA90000}"/>
    <cellStyle name="货币 2 4 6 2 5 5" xfId="2402" xr:uid="{00000000-0005-0000-0000-000092090000}"/>
    <cellStyle name="货币 2 4 6 2 5 6" xfId="46603" xr:uid="{00000000-0005-0000-0000-00003BB60000}"/>
    <cellStyle name="货币 2 4 6 2 5 7" xfId="46604" xr:uid="{00000000-0005-0000-0000-00003CB60000}"/>
    <cellStyle name="货币 2 4 6 2 5 8" xfId="46605" xr:uid="{00000000-0005-0000-0000-00003DB60000}"/>
    <cellStyle name="货币 2 4 6 2 5 9" xfId="4865" xr:uid="{00000000-0005-0000-0000-000031130000}"/>
    <cellStyle name="货币 2 4 6 2 6" xfId="46606" xr:uid="{00000000-0005-0000-0000-00003EB60000}"/>
    <cellStyle name="货币 2 4 6 2 6 2" xfId="43281" xr:uid="{00000000-0005-0000-0000-000041A90000}"/>
    <cellStyle name="货币 2 4 6 2 6 2 2" xfId="46607" xr:uid="{00000000-0005-0000-0000-00003FB60000}"/>
    <cellStyle name="货币 2 4 6 2 6 3" xfId="37342" xr:uid="{00000000-0005-0000-0000-00000E920000}"/>
    <cellStyle name="货币 2 4 6 2 6 4" xfId="15362" xr:uid="{00000000-0005-0000-0000-0000323C0000}"/>
    <cellStyle name="货币 2 4 6 2 6 5" xfId="2420" xr:uid="{00000000-0005-0000-0000-0000A4090000}"/>
    <cellStyle name="货币 2 4 6 2 6 6" xfId="15365" xr:uid="{00000000-0005-0000-0000-0000353C0000}"/>
    <cellStyle name="货币 2 4 6 2 6 7" xfId="15367" xr:uid="{00000000-0005-0000-0000-0000373C0000}"/>
    <cellStyle name="货币 2 4 6 2 6 8" xfId="46608" xr:uid="{00000000-0005-0000-0000-000040B60000}"/>
    <cellStyle name="货币 2 4 6 2 6 9" xfId="46609" xr:uid="{00000000-0005-0000-0000-000041B60000}"/>
    <cellStyle name="货币 2 4 6 2 7" xfId="46610" xr:uid="{00000000-0005-0000-0000-000042B60000}"/>
    <cellStyle name="货币 2 4 6 2 7 2" xfId="17728" xr:uid="{00000000-0005-0000-0000-000070450000}"/>
    <cellStyle name="货币 2 4 6 2 8" xfId="46611" xr:uid="{00000000-0005-0000-0000-000043B60000}"/>
    <cellStyle name="货币 2 4 6 2 9" xfId="46612" xr:uid="{00000000-0005-0000-0000-000044B60000}"/>
    <cellStyle name="货币 2 4 6 20" xfId="31389" xr:uid="{00000000-0005-0000-0000-0000CD7A0000}"/>
    <cellStyle name="货币 2 4 6 21" xfId="17701" xr:uid="{00000000-0005-0000-0000-000055450000}"/>
    <cellStyle name="货币 2 4 6 22" xfId="17705" xr:uid="{00000000-0005-0000-0000-000059450000}"/>
    <cellStyle name="货币 2 4 6 23" xfId="17708" xr:uid="{00000000-0005-0000-0000-00005C450000}"/>
    <cellStyle name="货币 2 4 6 3" xfId="46613" xr:uid="{00000000-0005-0000-0000-000045B60000}"/>
    <cellStyle name="货币 2 4 6 3 10" xfId="46614" xr:uid="{00000000-0005-0000-0000-000046B60000}"/>
    <cellStyle name="货币 2 4 6 3 11" xfId="46615" xr:uid="{00000000-0005-0000-0000-000047B60000}"/>
    <cellStyle name="货币 2 4 6 3 12" xfId="46616" xr:uid="{00000000-0005-0000-0000-000048B60000}"/>
    <cellStyle name="货币 2 4 6 3 13" xfId="46617" xr:uid="{00000000-0005-0000-0000-000049B60000}"/>
    <cellStyle name="货币 2 4 6 3 14" xfId="46618" xr:uid="{00000000-0005-0000-0000-00004AB60000}"/>
    <cellStyle name="货币 2 4 6 3 15" xfId="46619" xr:uid="{00000000-0005-0000-0000-00004BB60000}"/>
    <cellStyle name="货币 2 4 6 3 16" xfId="46620" xr:uid="{00000000-0005-0000-0000-00004CB60000}"/>
    <cellStyle name="货币 2 4 6 3 17" xfId="46621" xr:uid="{00000000-0005-0000-0000-00004DB60000}"/>
    <cellStyle name="货币 2 4 6 3 18" xfId="46622" xr:uid="{00000000-0005-0000-0000-00004EB60000}"/>
    <cellStyle name="货币 2 4 6 3 2" xfId="18412" xr:uid="{00000000-0005-0000-0000-00001C480000}"/>
    <cellStyle name="货币 2 4 6 3 2 10" xfId="46624" xr:uid="{00000000-0005-0000-0000-000050B60000}"/>
    <cellStyle name="货币 2 4 6 3 2 2" xfId="46625" xr:uid="{00000000-0005-0000-0000-000051B60000}"/>
    <cellStyle name="货币 2 4 6 3 2 2 2" xfId="46626" xr:uid="{00000000-0005-0000-0000-000052B60000}"/>
    <cellStyle name="货币 2 4 6 3 2 3" xfId="46627" xr:uid="{00000000-0005-0000-0000-000053B60000}"/>
    <cellStyle name="货币 2 4 6 3 2 4" xfId="46628" xr:uid="{00000000-0005-0000-0000-000054B60000}"/>
    <cellStyle name="货币 2 4 6 3 2 5" xfId="46629" xr:uid="{00000000-0005-0000-0000-000055B60000}"/>
    <cellStyle name="货币 2 4 6 3 2 6" xfId="46630" xr:uid="{00000000-0005-0000-0000-000056B60000}"/>
    <cellStyle name="货币 2 4 6 3 2 7" xfId="46631" xr:uid="{00000000-0005-0000-0000-000057B60000}"/>
    <cellStyle name="货币 2 4 6 3 2 8" xfId="46632" xr:uid="{00000000-0005-0000-0000-000058B60000}"/>
    <cellStyle name="货币 2 4 6 3 2 9" xfId="46633" xr:uid="{00000000-0005-0000-0000-000059B60000}"/>
    <cellStyle name="货币 2 4 6 3 3" xfId="46088" xr:uid="{00000000-0005-0000-0000-000038B40000}"/>
    <cellStyle name="货币 2 4 6 3 3 2" xfId="43289" xr:uid="{00000000-0005-0000-0000-000049A90000}"/>
    <cellStyle name="货币 2 4 6 3 3 3" xfId="22047" xr:uid="{00000000-0005-0000-0000-00004F560000}"/>
    <cellStyle name="货币 2 4 6 3 3 4" xfId="43291" xr:uid="{00000000-0005-0000-0000-00004BA90000}"/>
    <cellStyle name="货币 2 4 6 3 3 5" xfId="22590" xr:uid="{00000000-0005-0000-0000-00006E580000}"/>
    <cellStyle name="货币 2 4 6 3 3 6" xfId="43293" xr:uid="{00000000-0005-0000-0000-00004DA90000}"/>
    <cellStyle name="货币 2 4 6 3 4" xfId="46634" xr:uid="{00000000-0005-0000-0000-00005AB60000}"/>
    <cellStyle name="货币 2 4 6 3 4 2" xfId="43299" xr:uid="{00000000-0005-0000-0000-000053A90000}"/>
    <cellStyle name="货币 2 4 6 3 4 3" xfId="43302" xr:uid="{00000000-0005-0000-0000-000056A90000}"/>
    <cellStyle name="货币 2 4 6 3 4 4" xfId="43304" xr:uid="{00000000-0005-0000-0000-000058A90000}"/>
    <cellStyle name="货币 2 4 6 3 4 5" xfId="43306" xr:uid="{00000000-0005-0000-0000-00005AA90000}"/>
    <cellStyle name="货币 2 4 6 3 4 6" xfId="46635" xr:uid="{00000000-0005-0000-0000-00005BB60000}"/>
    <cellStyle name="货币 2 4 6 3 5" xfId="46636" xr:uid="{00000000-0005-0000-0000-00005CB60000}"/>
    <cellStyle name="货币 2 4 6 3 5 2" xfId="37580" xr:uid="{00000000-0005-0000-0000-0000FC920000}"/>
    <cellStyle name="货币 2 4 6 3 5 3" xfId="46637" xr:uid="{00000000-0005-0000-0000-00005DB60000}"/>
    <cellStyle name="货币 2 4 6 3 5 4" xfId="46638" xr:uid="{00000000-0005-0000-0000-00005EB60000}"/>
    <cellStyle name="货币 2 4 6 3 5 5" xfId="46639" xr:uid="{00000000-0005-0000-0000-00005FB60000}"/>
    <cellStyle name="货币 2 4 6 3 5 6" xfId="46640" xr:uid="{00000000-0005-0000-0000-000060B60000}"/>
    <cellStyle name="货币 2 4 6 3 6" xfId="46641" xr:uid="{00000000-0005-0000-0000-000061B60000}"/>
    <cellStyle name="货币 2 4 6 3 6 2" xfId="46642" xr:uid="{00000000-0005-0000-0000-000062B60000}"/>
    <cellStyle name="货币 2 4 6 3 6 3" xfId="46643" xr:uid="{00000000-0005-0000-0000-000063B60000}"/>
    <cellStyle name="货币 2 4 6 3 6 4" xfId="15392" xr:uid="{00000000-0005-0000-0000-0000503C0000}"/>
    <cellStyle name="货币 2 4 6 3 6 5" xfId="46644" xr:uid="{00000000-0005-0000-0000-000064B60000}"/>
    <cellStyle name="货币 2 4 6 3 6 6" xfId="46344" xr:uid="{00000000-0005-0000-0000-000038B50000}"/>
    <cellStyle name="货币 2 4 6 3 7" xfId="46645" xr:uid="{00000000-0005-0000-0000-000065B60000}"/>
    <cellStyle name="货币 2 4 6 3 8" xfId="46646" xr:uid="{00000000-0005-0000-0000-000066B60000}"/>
    <cellStyle name="货币 2 4 6 3 9" xfId="26503" xr:uid="{00000000-0005-0000-0000-0000B7670000}"/>
    <cellStyle name="货币 2 4 6 4" xfId="46647" xr:uid="{00000000-0005-0000-0000-000067B60000}"/>
    <cellStyle name="货币 2 4 6 4 10" xfId="40807" xr:uid="{00000000-0005-0000-0000-0000979F0000}"/>
    <cellStyle name="货币 2 4 6 4 11" xfId="40809" xr:uid="{00000000-0005-0000-0000-0000999F0000}"/>
    <cellStyle name="货币 2 4 6 4 12" xfId="35084" xr:uid="{00000000-0005-0000-0000-00003C890000}"/>
    <cellStyle name="货币 2 4 6 4 13" xfId="7616" xr:uid="{00000000-0005-0000-0000-0000F01D0000}"/>
    <cellStyle name="货币 2 4 6 4 14" xfId="7829" xr:uid="{00000000-0005-0000-0000-0000C51E0000}"/>
    <cellStyle name="货币 2 4 6 4 15" xfId="9801" xr:uid="{00000000-0005-0000-0000-000079260000}"/>
    <cellStyle name="货币 2 4 6 4 2" xfId="21183" xr:uid="{00000000-0005-0000-0000-0000EF520000}"/>
    <cellStyle name="货币 2 4 6 4 2 2" xfId="19204" xr:uid="{00000000-0005-0000-0000-0000344B0000}"/>
    <cellStyle name="货币 2 4 6 4 2 2 2" xfId="46648" xr:uid="{00000000-0005-0000-0000-000068B60000}"/>
    <cellStyle name="货币 2 4 6 4 2 3" xfId="19206" xr:uid="{00000000-0005-0000-0000-0000364B0000}"/>
    <cellStyle name="货币 2 4 6 4 2 4" xfId="46649" xr:uid="{00000000-0005-0000-0000-000069B60000}"/>
    <cellStyle name="货币 2 4 6 4 2 5" xfId="46650" xr:uid="{00000000-0005-0000-0000-00006AB60000}"/>
    <cellStyle name="货币 2 4 6 4 2 6" xfId="36307" xr:uid="{00000000-0005-0000-0000-0000038E0000}"/>
    <cellStyle name="货币 2 4 6 4 2 7" xfId="36309" xr:uid="{00000000-0005-0000-0000-0000058E0000}"/>
    <cellStyle name="货币 2 4 6 4 2 8" xfId="36313" xr:uid="{00000000-0005-0000-0000-0000098E0000}"/>
    <cellStyle name="货币 2 4 6 4 2 9" xfId="36317" xr:uid="{00000000-0005-0000-0000-00000D8E0000}"/>
    <cellStyle name="货币 2 4 6 4 3" xfId="21190" xr:uid="{00000000-0005-0000-0000-0000F6520000}"/>
    <cellStyle name="货币 2 4 6 4 3 2" xfId="43316" xr:uid="{00000000-0005-0000-0000-000064A90000}"/>
    <cellStyle name="货币 2 4 6 4 3 3" xfId="43318" xr:uid="{00000000-0005-0000-0000-000066A90000}"/>
    <cellStyle name="货币 2 4 6 4 3 4" xfId="43320" xr:uid="{00000000-0005-0000-0000-000068A90000}"/>
    <cellStyle name="货币 2 4 6 4 3 5" xfId="43322" xr:uid="{00000000-0005-0000-0000-00006AA90000}"/>
    <cellStyle name="货币 2 4 6 4 3 6" xfId="36345" xr:uid="{00000000-0005-0000-0000-0000298E0000}"/>
    <cellStyle name="货币 2 4 6 4 4" xfId="35051" xr:uid="{00000000-0005-0000-0000-00001B890000}"/>
    <cellStyle name="货币 2 4 6 4 4 2" xfId="43326" xr:uid="{00000000-0005-0000-0000-00006EA90000}"/>
    <cellStyle name="货币 2 4 6 4 5" xfId="35053" xr:uid="{00000000-0005-0000-0000-00001D890000}"/>
    <cellStyle name="货币 2 4 6 4 6" xfId="6451" xr:uid="{00000000-0005-0000-0000-000063190000}"/>
    <cellStyle name="货币 2 4 6 4 7" xfId="46651" xr:uid="{00000000-0005-0000-0000-00006BB60000}"/>
    <cellStyle name="货币 2 4 6 4 8" xfId="46652" xr:uid="{00000000-0005-0000-0000-00006CB60000}"/>
    <cellStyle name="货币 2 4 6 4 9" xfId="46653" xr:uid="{00000000-0005-0000-0000-00006DB60000}"/>
    <cellStyle name="货币 2 4 6 5" xfId="46654" xr:uid="{00000000-0005-0000-0000-00006EB60000}"/>
    <cellStyle name="货币 2 4 6 5 10" xfId="46655" xr:uid="{00000000-0005-0000-0000-00006FB60000}"/>
    <cellStyle name="货币 2 4 6 5 11" xfId="46656" xr:uid="{00000000-0005-0000-0000-000070B60000}"/>
    <cellStyle name="货币 2 4 6 5 12" xfId="40368" xr:uid="{00000000-0005-0000-0000-0000E09D0000}"/>
    <cellStyle name="货币 2 4 6 5 13" xfId="38762" xr:uid="{00000000-0005-0000-0000-00009A970000}"/>
    <cellStyle name="货币 2 4 6 5 2" xfId="46657" xr:uid="{00000000-0005-0000-0000-000071B60000}"/>
    <cellStyle name="货币 2 4 6 5 2 2" xfId="46658" xr:uid="{00000000-0005-0000-0000-000072B60000}"/>
    <cellStyle name="货币 2 4 6 5 2 2 2" xfId="46659" xr:uid="{00000000-0005-0000-0000-000073B60000}"/>
    <cellStyle name="货币 2 4 6 5 2 3" xfId="46660" xr:uid="{00000000-0005-0000-0000-000074B60000}"/>
    <cellStyle name="货币 2 4 6 5 2 4" xfId="46661" xr:uid="{00000000-0005-0000-0000-000075B60000}"/>
    <cellStyle name="货币 2 4 6 5 2 5" xfId="46662" xr:uid="{00000000-0005-0000-0000-000076B60000}"/>
    <cellStyle name="货币 2 4 6 5 2 6" xfId="36454" xr:uid="{00000000-0005-0000-0000-0000968E0000}"/>
    <cellStyle name="货币 2 4 6 5 2 7" xfId="36456" xr:uid="{00000000-0005-0000-0000-0000988E0000}"/>
    <cellStyle name="货币 2 4 6 5 2 8" xfId="36460" xr:uid="{00000000-0005-0000-0000-00009C8E0000}"/>
    <cellStyle name="货币 2 4 6 5 2 9" xfId="36468" xr:uid="{00000000-0005-0000-0000-0000A48E0000}"/>
    <cellStyle name="货币 2 4 6 5 3" xfId="46663" xr:uid="{00000000-0005-0000-0000-000077B60000}"/>
    <cellStyle name="货币 2 4 6 5 3 2" xfId="43337" xr:uid="{00000000-0005-0000-0000-000079A90000}"/>
    <cellStyle name="货币 2 4 6 5 3 3" xfId="43339" xr:uid="{00000000-0005-0000-0000-00007BA90000}"/>
    <cellStyle name="货币 2 4 6 5 3 4" xfId="43341" xr:uid="{00000000-0005-0000-0000-00007DA90000}"/>
    <cellStyle name="货币 2 4 6 5 3 5" xfId="43343" xr:uid="{00000000-0005-0000-0000-00007FA90000}"/>
    <cellStyle name="货币 2 4 6 5 3 6" xfId="36487" xr:uid="{00000000-0005-0000-0000-0000B78E0000}"/>
    <cellStyle name="货币 2 4 6 5 4" xfId="46664" xr:uid="{00000000-0005-0000-0000-000078B60000}"/>
    <cellStyle name="货币 2 4 6 5 4 2" xfId="43346" xr:uid="{00000000-0005-0000-0000-000082A90000}"/>
    <cellStyle name="货币 2 4 6 5 5" xfId="46665" xr:uid="{00000000-0005-0000-0000-000079B60000}"/>
    <cellStyle name="货币 2 4 6 5 6" xfId="46666" xr:uid="{00000000-0005-0000-0000-00007AB60000}"/>
    <cellStyle name="货币 2 4 6 5 7" xfId="40349" xr:uid="{00000000-0005-0000-0000-0000CD9D0000}"/>
    <cellStyle name="货币 2 4 6 5 8" xfId="40351" xr:uid="{00000000-0005-0000-0000-0000CF9D0000}"/>
    <cellStyle name="货币 2 4 6 5 9" xfId="40353" xr:uid="{00000000-0005-0000-0000-0000D19D0000}"/>
    <cellStyle name="货币 2 4 6 6" xfId="46667" xr:uid="{00000000-0005-0000-0000-00007BB60000}"/>
    <cellStyle name="货币 2 4 6 6 10" xfId="46668" xr:uid="{00000000-0005-0000-0000-00007CB60000}"/>
    <cellStyle name="货币 2 4 6 6 11" xfId="41027" xr:uid="{00000000-0005-0000-0000-000073A00000}"/>
    <cellStyle name="货币 2 4 6 6 12" xfId="41029" xr:uid="{00000000-0005-0000-0000-000075A00000}"/>
    <cellStyle name="货币 2 4 6 6 2" xfId="46669" xr:uid="{00000000-0005-0000-0000-00007DB60000}"/>
    <cellStyle name="货币 2 4 6 6 2 2" xfId="15046" xr:uid="{00000000-0005-0000-0000-0000F63A0000}"/>
    <cellStyle name="货币 2 4 6 6 2 2 2" xfId="46670" xr:uid="{00000000-0005-0000-0000-00007EB60000}"/>
    <cellStyle name="货币 2 4 6 6 2 3" xfId="15051" xr:uid="{00000000-0005-0000-0000-0000FB3A0000}"/>
    <cellStyle name="货币 2 4 6 6 2 4" xfId="15056" xr:uid="{00000000-0005-0000-0000-0000003B0000}"/>
    <cellStyle name="货币 2 4 6 6 2 5" xfId="15060" xr:uid="{00000000-0005-0000-0000-0000043B0000}"/>
    <cellStyle name="货币 2 4 6 6 2 6" xfId="15064" xr:uid="{00000000-0005-0000-0000-0000083B0000}"/>
    <cellStyle name="货币 2 4 6 6 2 7" xfId="25008" xr:uid="{00000000-0005-0000-0000-0000E0610000}"/>
    <cellStyle name="货币 2 4 6 6 2 8" xfId="25011" xr:uid="{00000000-0005-0000-0000-0000E3610000}"/>
    <cellStyle name="货币 2 4 6 6 2 9" xfId="25014" xr:uid="{00000000-0005-0000-0000-0000E6610000}"/>
    <cellStyle name="货币 2 4 6 6 3" xfId="46671" xr:uid="{00000000-0005-0000-0000-00007FB60000}"/>
    <cellStyle name="货币 2 4 6 6 3 2" xfId="46672" xr:uid="{00000000-0005-0000-0000-000080B60000}"/>
    <cellStyle name="货币 2 4 6 6 3 3" xfId="46673" xr:uid="{00000000-0005-0000-0000-000081B60000}"/>
    <cellStyle name="货币 2 4 6 6 3 4" xfId="46674" xr:uid="{00000000-0005-0000-0000-000082B60000}"/>
    <cellStyle name="货币 2 4 6 6 3 5" xfId="46675" xr:uid="{00000000-0005-0000-0000-000083B60000}"/>
    <cellStyle name="货币 2 4 6 6 3 6" xfId="36667" xr:uid="{00000000-0005-0000-0000-00006B8F0000}"/>
    <cellStyle name="货币 2 4 6 6 4" xfId="46676" xr:uid="{00000000-0005-0000-0000-000084B60000}"/>
    <cellStyle name="货币 2 4 6 6 4 2" xfId="46677" xr:uid="{00000000-0005-0000-0000-000085B60000}"/>
    <cellStyle name="货币 2 4 6 6 5" xfId="46678" xr:uid="{00000000-0005-0000-0000-000086B60000}"/>
    <cellStyle name="货币 2 4 6 6 6" xfId="46679" xr:uid="{00000000-0005-0000-0000-000087B60000}"/>
    <cellStyle name="货币 2 4 6 6 7" xfId="46680" xr:uid="{00000000-0005-0000-0000-000088B60000}"/>
    <cellStyle name="货币 2 4 6 6 8" xfId="2328" xr:uid="{00000000-0005-0000-0000-000048090000}"/>
    <cellStyle name="货币 2 4 6 6 9" xfId="46681" xr:uid="{00000000-0005-0000-0000-000089B60000}"/>
    <cellStyle name="货币 2 4 6 7" xfId="46682" xr:uid="{00000000-0005-0000-0000-00008AB60000}"/>
    <cellStyle name="货币 2 4 6 7 2" xfId="19650" xr:uid="{00000000-0005-0000-0000-0000F24C0000}"/>
    <cellStyle name="货币 2 4 6 7 2 2" xfId="19338" xr:uid="{00000000-0005-0000-0000-0000BA4B0000}"/>
    <cellStyle name="货币 2 4 6 7 3" xfId="19654" xr:uid="{00000000-0005-0000-0000-0000F64C0000}"/>
    <cellStyle name="货币 2 4 6 7 4" xfId="19657" xr:uid="{00000000-0005-0000-0000-0000F94C0000}"/>
    <cellStyle name="货币 2 4 6 7 5" xfId="19659" xr:uid="{00000000-0005-0000-0000-0000FB4C0000}"/>
    <cellStyle name="货币 2 4 6 7 6" xfId="19661" xr:uid="{00000000-0005-0000-0000-0000FD4C0000}"/>
    <cellStyle name="货币 2 4 6 7 7" xfId="46683" xr:uid="{00000000-0005-0000-0000-00008BB60000}"/>
    <cellStyle name="货币 2 4 6 7 8" xfId="46684" xr:uid="{00000000-0005-0000-0000-00008CB60000}"/>
    <cellStyle name="货币 2 4 6 7 9" xfId="46685" xr:uid="{00000000-0005-0000-0000-00008DB60000}"/>
    <cellStyle name="货币 2 4 6 8" xfId="46686" xr:uid="{00000000-0005-0000-0000-00008EB60000}"/>
    <cellStyle name="货币 2 4 6 8 2" xfId="16543" xr:uid="{00000000-0005-0000-0000-0000CF400000}"/>
    <cellStyle name="货币 2 4 6 8 3" xfId="16550" xr:uid="{00000000-0005-0000-0000-0000D6400000}"/>
    <cellStyle name="货币 2 4 6 8 4" xfId="1669" xr:uid="{00000000-0005-0000-0000-0000B5060000}"/>
    <cellStyle name="货币 2 4 6 8 5" xfId="6575" xr:uid="{00000000-0005-0000-0000-0000DF190000}"/>
    <cellStyle name="货币 2 4 6 8 6" xfId="6598" xr:uid="{00000000-0005-0000-0000-0000F6190000}"/>
    <cellStyle name="货币 2 4 6 9" xfId="46687" xr:uid="{00000000-0005-0000-0000-00008FB60000}"/>
    <cellStyle name="货币 2 4 6 9 2" xfId="16563" xr:uid="{00000000-0005-0000-0000-0000E3400000}"/>
    <cellStyle name="货币 2 4 6 9 3" xfId="16567" xr:uid="{00000000-0005-0000-0000-0000E7400000}"/>
    <cellStyle name="货币 2 4 6 9 4" xfId="16571" xr:uid="{00000000-0005-0000-0000-0000EB400000}"/>
    <cellStyle name="货币 2 4 6 9 5" xfId="16574" xr:uid="{00000000-0005-0000-0000-0000EE400000}"/>
    <cellStyle name="货币 2 4 6 9 6" xfId="41942" xr:uid="{00000000-0005-0000-0000-000006A40000}"/>
    <cellStyle name="货币 2 4 7" xfId="46688" xr:uid="{00000000-0005-0000-0000-000090B60000}"/>
    <cellStyle name="货币 2 4 7 10" xfId="46689" xr:uid="{00000000-0005-0000-0000-000091B60000}"/>
    <cellStyle name="货币 2 4 7 11" xfId="46690" xr:uid="{00000000-0005-0000-0000-000092B60000}"/>
    <cellStyle name="货币 2 4 7 12" xfId="46691" xr:uid="{00000000-0005-0000-0000-000093B60000}"/>
    <cellStyle name="货币 2 4 7 13" xfId="46692" xr:uid="{00000000-0005-0000-0000-000094B60000}"/>
    <cellStyle name="货币 2 4 7 14" xfId="46569" xr:uid="{00000000-0005-0000-0000-000019B60000}"/>
    <cellStyle name="货币 2 4 7 15" xfId="46571" xr:uid="{00000000-0005-0000-0000-00001BB60000}"/>
    <cellStyle name="货币 2 4 7 16" xfId="46573" xr:uid="{00000000-0005-0000-0000-00001DB60000}"/>
    <cellStyle name="货币 2 4 7 17" xfId="46693" xr:uid="{00000000-0005-0000-0000-000095B60000}"/>
    <cellStyle name="货币 2 4 7 18" xfId="3065" xr:uid="{00000000-0005-0000-0000-0000290C0000}"/>
    <cellStyle name="货币 2 4 7 19" xfId="46694" xr:uid="{00000000-0005-0000-0000-000096B60000}"/>
    <cellStyle name="货币 2 4 7 2" xfId="23004" xr:uid="{00000000-0005-0000-0000-00000C5A0000}"/>
    <cellStyle name="货币 2 4 7 2 10" xfId="46695" xr:uid="{00000000-0005-0000-0000-000097B60000}"/>
    <cellStyle name="货币 2 4 7 2 11" xfId="46696" xr:uid="{00000000-0005-0000-0000-000098B60000}"/>
    <cellStyle name="货币 2 4 7 2 12" xfId="46697" xr:uid="{00000000-0005-0000-0000-000099B60000}"/>
    <cellStyle name="货币 2 4 7 2 13" xfId="46698" xr:uid="{00000000-0005-0000-0000-00009AB60000}"/>
    <cellStyle name="货币 2 4 7 2 14" xfId="46699" xr:uid="{00000000-0005-0000-0000-00009BB60000}"/>
    <cellStyle name="货币 2 4 7 2 15" xfId="46700" xr:uid="{00000000-0005-0000-0000-00009CB60000}"/>
    <cellStyle name="货币 2 4 7 2 16" xfId="6826" xr:uid="{00000000-0005-0000-0000-0000DA1A0000}"/>
    <cellStyle name="货币 2 4 7 2 17" xfId="6842" xr:uid="{00000000-0005-0000-0000-0000EA1A0000}"/>
    <cellStyle name="货币 2 4 7 2 18" xfId="46701" xr:uid="{00000000-0005-0000-0000-00009DB60000}"/>
    <cellStyle name="货币 2 4 7 2 2" xfId="46702" xr:uid="{00000000-0005-0000-0000-00009EB60000}"/>
    <cellStyle name="货币 2 4 7 2 2 10" xfId="36546" xr:uid="{00000000-0005-0000-0000-0000F28E0000}"/>
    <cellStyle name="货币 2 4 7 2 2 2" xfId="46703" xr:uid="{00000000-0005-0000-0000-00009FB60000}"/>
    <cellStyle name="货币 2 4 7 2 2 2 2" xfId="46704" xr:uid="{00000000-0005-0000-0000-0000A0B60000}"/>
    <cellStyle name="货币 2 4 7 2 2 3" xfId="46705" xr:uid="{00000000-0005-0000-0000-0000A1B60000}"/>
    <cellStyle name="货币 2 4 7 2 2 4" xfId="46706" xr:uid="{00000000-0005-0000-0000-0000A2B60000}"/>
    <cellStyle name="货币 2 4 7 2 2 5" xfId="46707" xr:uid="{00000000-0005-0000-0000-0000A3B60000}"/>
    <cellStyle name="货币 2 4 7 2 2 6" xfId="46708" xr:uid="{00000000-0005-0000-0000-0000A4B60000}"/>
    <cellStyle name="货币 2 4 7 2 2 7" xfId="46709" xr:uid="{00000000-0005-0000-0000-0000A5B60000}"/>
    <cellStyle name="货币 2 4 7 2 2 8" xfId="46710" xr:uid="{00000000-0005-0000-0000-0000A6B60000}"/>
    <cellStyle name="货币 2 4 7 2 2 9" xfId="46711" xr:uid="{00000000-0005-0000-0000-0000A7B60000}"/>
    <cellStyle name="货币 2 4 7 2 3" xfId="46712" xr:uid="{00000000-0005-0000-0000-0000A8B60000}"/>
    <cellStyle name="货币 2 4 7 2 3 2" xfId="43444" xr:uid="{00000000-0005-0000-0000-0000E4A90000}"/>
    <cellStyle name="货币 2 4 7 2 3 3" xfId="43446" xr:uid="{00000000-0005-0000-0000-0000E6A90000}"/>
    <cellStyle name="货币 2 4 7 2 3 4" xfId="43448" xr:uid="{00000000-0005-0000-0000-0000E8A90000}"/>
    <cellStyle name="货币 2 4 7 2 3 5" xfId="43450" xr:uid="{00000000-0005-0000-0000-0000EAA90000}"/>
    <cellStyle name="货币 2 4 7 2 3 6" xfId="20464" xr:uid="{00000000-0005-0000-0000-000020500000}"/>
    <cellStyle name="货币 2 4 7 2 4" xfId="46713" xr:uid="{00000000-0005-0000-0000-0000A9B60000}"/>
    <cellStyle name="货币 2 4 7 2 4 2" xfId="43453" xr:uid="{00000000-0005-0000-0000-0000EDA90000}"/>
    <cellStyle name="货币 2 4 7 2 4 3" xfId="43455" xr:uid="{00000000-0005-0000-0000-0000EFA90000}"/>
    <cellStyle name="货币 2 4 7 2 4 4" xfId="43457" xr:uid="{00000000-0005-0000-0000-0000F1A90000}"/>
    <cellStyle name="货币 2 4 7 2 4 5" xfId="43459" xr:uid="{00000000-0005-0000-0000-0000F3A90000}"/>
    <cellStyle name="货币 2 4 7 2 4 6" xfId="46714" xr:uid="{00000000-0005-0000-0000-0000AAB60000}"/>
    <cellStyle name="货币 2 4 7 2 5" xfId="46715" xr:uid="{00000000-0005-0000-0000-0000ABB60000}"/>
    <cellStyle name="货币 2 4 7 2 5 2" xfId="43463" xr:uid="{00000000-0005-0000-0000-0000F7A90000}"/>
    <cellStyle name="货币 2 4 7 2 5 3" xfId="43465" xr:uid="{00000000-0005-0000-0000-0000F9A90000}"/>
    <cellStyle name="货币 2 4 7 2 5 4" xfId="43467" xr:uid="{00000000-0005-0000-0000-0000FBA90000}"/>
    <cellStyle name="货币 2 4 7 2 5 5" xfId="2987" xr:uid="{00000000-0005-0000-0000-0000DB0B0000}"/>
    <cellStyle name="货币 2 4 7 2 5 6" xfId="46716" xr:uid="{00000000-0005-0000-0000-0000ACB60000}"/>
    <cellStyle name="货币 2 4 7 2 6" xfId="46717" xr:uid="{00000000-0005-0000-0000-0000ADB60000}"/>
    <cellStyle name="货币 2 4 7 2 6 2" xfId="43471" xr:uid="{00000000-0005-0000-0000-0000FFA90000}"/>
    <cellStyle name="货币 2 4 7 2 6 3" xfId="2815" xr:uid="{00000000-0005-0000-0000-00002F0B0000}"/>
    <cellStyle name="货币 2 4 7 2 6 4" xfId="43473" xr:uid="{00000000-0005-0000-0000-000001AA0000}"/>
    <cellStyle name="货币 2 4 7 2 6 5" xfId="3005" xr:uid="{00000000-0005-0000-0000-0000ED0B0000}"/>
    <cellStyle name="货币 2 4 7 2 6 6" xfId="46718" xr:uid="{00000000-0005-0000-0000-0000AEB60000}"/>
    <cellStyle name="货币 2 4 7 2 7" xfId="46719" xr:uid="{00000000-0005-0000-0000-0000AFB60000}"/>
    <cellStyle name="货币 2 4 7 2 8" xfId="46720" xr:uid="{00000000-0005-0000-0000-0000B0B60000}"/>
    <cellStyle name="货币 2 4 7 2 9" xfId="46721" xr:uid="{00000000-0005-0000-0000-0000B1B60000}"/>
    <cellStyle name="货币 2 4 7 3" xfId="46722" xr:uid="{00000000-0005-0000-0000-0000B2B60000}"/>
    <cellStyle name="货币 2 4 7 3 10" xfId="46723" xr:uid="{00000000-0005-0000-0000-0000B3B60000}"/>
    <cellStyle name="货币 2 4 7 3 11" xfId="46724" xr:uid="{00000000-0005-0000-0000-0000B4B60000}"/>
    <cellStyle name="货币 2 4 7 3 12" xfId="46725" xr:uid="{00000000-0005-0000-0000-0000B5B60000}"/>
    <cellStyle name="货币 2 4 7 3 2" xfId="46726" xr:uid="{00000000-0005-0000-0000-0000B6B60000}"/>
    <cellStyle name="货币 2 4 7 3 2 2" xfId="46727" xr:uid="{00000000-0005-0000-0000-0000B7B60000}"/>
    <cellStyle name="货币 2 4 7 3 2 2 2" xfId="16150" xr:uid="{00000000-0005-0000-0000-0000463F0000}"/>
    <cellStyle name="货币 2 4 7 3 2 3" xfId="46728" xr:uid="{00000000-0005-0000-0000-0000B8B60000}"/>
    <cellStyle name="货币 2 4 7 3 2 4" xfId="46729" xr:uid="{00000000-0005-0000-0000-0000B9B60000}"/>
    <cellStyle name="货币 2 4 7 3 2 5" xfId="46730" xr:uid="{00000000-0005-0000-0000-0000BAB60000}"/>
    <cellStyle name="货币 2 4 7 3 3" xfId="46731" xr:uid="{00000000-0005-0000-0000-0000BBB60000}"/>
    <cellStyle name="货币 2 4 7 3 3 2" xfId="43485" xr:uid="{00000000-0005-0000-0000-00000DAA0000}"/>
    <cellStyle name="货币 2 4 7 3 4" xfId="46732" xr:uid="{00000000-0005-0000-0000-0000BCB60000}"/>
    <cellStyle name="货币 2 4 7 3 5" xfId="46733" xr:uid="{00000000-0005-0000-0000-0000BDB60000}"/>
    <cellStyle name="货币 2 4 7 3 6" xfId="46734" xr:uid="{00000000-0005-0000-0000-0000BEB60000}"/>
    <cellStyle name="货币 2 4 7 3 7" xfId="46735" xr:uid="{00000000-0005-0000-0000-0000BFB60000}"/>
    <cellStyle name="货币 2 4 7 3 8" xfId="46736" xr:uid="{00000000-0005-0000-0000-0000C0B60000}"/>
    <cellStyle name="货币 2 4 7 3 9" xfId="46737" xr:uid="{00000000-0005-0000-0000-0000C1B60000}"/>
    <cellStyle name="货币 2 4 7 4" xfId="46738" xr:uid="{00000000-0005-0000-0000-0000C2B60000}"/>
    <cellStyle name="货币 2 4 7 4 10" xfId="41418" xr:uid="{00000000-0005-0000-0000-0000FAA10000}"/>
    <cellStyle name="货币 2 4 7 4 11" xfId="19953" xr:uid="{00000000-0005-0000-0000-0000214E0000}"/>
    <cellStyle name="货币 2 4 7 4 2" xfId="46739" xr:uid="{00000000-0005-0000-0000-0000C3B60000}"/>
    <cellStyle name="货币 2 4 7 4 2 2" xfId="35648" xr:uid="{00000000-0005-0000-0000-0000708B0000}"/>
    <cellStyle name="货币 2 4 7 4 2 2 2" xfId="46740" xr:uid="{00000000-0005-0000-0000-0000C4B60000}"/>
    <cellStyle name="货币 2 4 7 4 2 3" xfId="35650" xr:uid="{00000000-0005-0000-0000-0000728B0000}"/>
    <cellStyle name="货币 2 4 7 4 2 4" xfId="42825" xr:uid="{00000000-0005-0000-0000-000079A70000}"/>
    <cellStyle name="货币 2 4 7 4 2 5" xfId="42827" xr:uid="{00000000-0005-0000-0000-00007BA70000}"/>
    <cellStyle name="货币 2 4 7 4 3" xfId="46741" xr:uid="{00000000-0005-0000-0000-0000C5B60000}"/>
    <cellStyle name="货币 2 4 7 4 3 2" xfId="43507" xr:uid="{00000000-0005-0000-0000-000023AA0000}"/>
    <cellStyle name="货币 2 4 7 4 4" xfId="46742" xr:uid="{00000000-0005-0000-0000-0000C6B60000}"/>
    <cellStyle name="货币 2 4 7 4 5" xfId="10122" xr:uid="{00000000-0005-0000-0000-0000BA270000}"/>
    <cellStyle name="货币 2 4 7 4 6" xfId="6972" xr:uid="{00000000-0005-0000-0000-00006C1B0000}"/>
    <cellStyle name="货币 2 4 7 4 7" xfId="46743" xr:uid="{00000000-0005-0000-0000-0000C7B60000}"/>
    <cellStyle name="货币 2 4 7 4 8" xfId="46744" xr:uid="{00000000-0005-0000-0000-0000C8B60000}"/>
    <cellStyle name="货币 2 4 7 4 9" xfId="46745" xr:uid="{00000000-0005-0000-0000-0000C9B60000}"/>
    <cellStyle name="货币 2 4 7 5" xfId="46746" xr:uid="{00000000-0005-0000-0000-0000CAB60000}"/>
    <cellStyle name="货币 2 4 7 5 10" xfId="46747" xr:uid="{00000000-0005-0000-0000-0000CBB60000}"/>
    <cellStyle name="货币 2 4 7 5 2" xfId="46748" xr:uid="{00000000-0005-0000-0000-0000CCB60000}"/>
    <cellStyle name="货币 2 4 7 5 2 2" xfId="45204" xr:uid="{00000000-0005-0000-0000-0000C4B00000}"/>
    <cellStyle name="货币 2 4 7 5 2 2 2" xfId="8832" xr:uid="{00000000-0005-0000-0000-0000B0220000}"/>
    <cellStyle name="货币 2 4 7 5 2 3" xfId="46749" xr:uid="{00000000-0005-0000-0000-0000CDB60000}"/>
    <cellStyle name="货币 2 4 7 5 2 4" xfId="46750" xr:uid="{00000000-0005-0000-0000-0000CEB60000}"/>
    <cellStyle name="货币 2 4 7 5 2 5" xfId="46751" xr:uid="{00000000-0005-0000-0000-0000CFB60000}"/>
    <cellStyle name="货币 2 4 7 5 3" xfId="29587" xr:uid="{00000000-0005-0000-0000-0000C3730000}"/>
    <cellStyle name="货币 2 4 7 5 3 2" xfId="29591" xr:uid="{00000000-0005-0000-0000-0000C7730000}"/>
    <cellStyle name="货币 2 4 7 5 4" xfId="28416" xr:uid="{00000000-0005-0000-0000-0000306F0000}"/>
    <cellStyle name="货币 2 4 7 5 5" xfId="23501" xr:uid="{00000000-0005-0000-0000-0000FD5B0000}"/>
    <cellStyle name="货币 2 4 7 5 6" xfId="23540" xr:uid="{00000000-0005-0000-0000-0000245C0000}"/>
    <cellStyle name="货币 2 4 7 5 7" xfId="12392" xr:uid="{00000000-0005-0000-0000-000098300000}"/>
    <cellStyle name="货币 2 4 7 5 8" xfId="12412" xr:uid="{00000000-0005-0000-0000-0000AC300000}"/>
    <cellStyle name="货币 2 4 7 5 9" xfId="482" xr:uid="{00000000-0005-0000-0000-000001020000}"/>
    <cellStyle name="货币 2 4 7 6" xfId="46752" xr:uid="{00000000-0005-0000-0000-0000D0B60000}"/>
    <cellStyle name="货币 2 4 7 6 2" xfId="40136" xr:uid="{00000000-0005-0000-0000-0000F89C0000}"/>
    <cellStyle name="货币 2 4 7 6 2 2" xfId="25410" xr:uid="{00000000-0005-0000-0000-000072630000}"/>
    <cellStyle name="货币 2 4 7 6 3" xfId="29735" xr:uid="{00000000-0005-0000-0000-000057740000}"/>
    <cellStyle name="货币 2 4 7 6 4" xfId="29738" xr:uid="{00000000-0005-0000-0000-00005A740000}"/>
    <cellStyle name="货币 2 4 7 6 5" xfId="23575" xr:uid="{00000000-0005-0000-0000-0000475C0000}"/>
    <cellStyle name="货币 2 4 7 6 6" xfId="23590" xr:uid="{00000000-0005-0000-0000-0000565C0000}"/>
    <cellStyle name="货币 2 4 7 6 7" xfId="12482" xr:uid="{00000000-0005-0000-0000-0000F2300000}"/>
    <cellStyle name="货币 2 4 7 6 8" xfId="12513" xr:uid="{00000000-0005-0000-0000-000011310000}"/>
    <cellStyle name="货币 2 4 7 6 9" xfId="2943" xr:uid="{00000000-0005-0000-0000-0000AF0B0000}"/>
    <cellStyle name="货币 2 4 7 7" xfId="46753" xr:uid="{00000000-0005-0000-0000-0000D1B60000}"/>
    <cellStyle name="货币 2 4 7 7 2" xfId="19741" xr:uid="{00000000-0005-0000-0000-00004D4D0000}"/>
    <cellStyle name="货币 2 4 7 7 3" xfId="19747" xr:uid="{00000000-0005-0000-0000-0000534D0000}"/>
    <cellStyle name="货币 2 4 7 7 4" xfId="19752" xr:uid="{00000000-0005-0000-0000-0000584D0000}"/>
    <cellStyle name="货币 2 4 7 7 5" xfId="19756" xr:uid="{00000000-0005-0000-0000-00005C4D0000}"/>
    <cellStyle name="货币 2 4 7 7 6" xfId="19759" xr:uid="{00000000-0005-0000-0000-00005F4D0000}"/>
    <cellStyle name="货币 2 4 7 8" xfId="46754" xr:uid="{00000000-0005-0000-0000-0000D2B60000}"/>
    <cellStyle name="货币 2 4 7 9" xfId="46755" xr:uid="{00000000-0005-0000-0000-0000D3B60000}"/>
    <cellStyle name="货币 2 4 8" xfId="46756" xr:uid="{00000000-0005-0000-0000-0000D4B60000}"/>
    <cellStyle name="货币 2 4 8 10" xfId="46757" xr:uid="{00000000-0005-0000-0000-0000D5B60000}"/>
    <cellStyle name="货币 2 4 8 11" xfId="46758" xr:uid="{00000000-0005-0000-0000-0000D6B60000}"/>
    <cellStyle name="货币 2 4 8 12" xfId="46759" xr:uid="{00000000-0005-0000-0000-0000D7B60000}"/>
    <cellStyle name="货币 2 4 8 13" xfId="46761" xr:uid="{00000000-0005-0000-0000-0000D9B60000}"/>
    <cellStyle name="货币 2 4 8 14" xfId="46585" xr:uid="{00000000-0005-0000-0000-000029B60000}"/>
    <cellStyle name="货币 2 4 8 15" xfId="46763" xr:uid="{00000000-0005-0000-0000-0000DBB60000}"/>
    <cellStyle name="货币 2 4 8 16" xfId="46765" xr:uid="{00000000-0005-0000-0000-0000DDB60000}"/>
    <cellStyle name="货币 2 4 8 17" xfId="46767" xr:uid="{00000000-0005-0000-0000-0000DFB60000}"/>
    <cellStyle name="货币 2 4 8 18" xfId="46768" xr:uid="{00000000-0005-0000-0000-0000E0B60000}"/>
    <cellStyle name="货币 2 4 8 2" xfId="46769" xr:uid="{00000000-0005-0000-0000-0000E1B60000}"/>
    <cellStyle name="货币 2 4 8 2 10" xfId="46770" xr:uid="{00000000-0005-0000-0000-0000E2B60000}"/>
    <cellStyle name="货币 2 4 8 2 2" xfId="46771" xr:uid="{00000000-0005-0000-0000-0000E3B60000}"/>
    <cellStyle name="货币 2 4 8 2 2 2" xfId="39326" xr:uid="{00000000-0005-0000-0000-0000CE990000}"/>
    <cellStyle name="货币 2 4 8 2 3" xfId="46772" xr:uid="{00000000-0005-0000-0000-0000E4B60000}"/>
    <cellStyle name="货币 2 4 8 2 4" xfId="46773" xr:uid="{00000000-0005-0000-0000-0000E5B60000}"/>
    <cellStyle name="货币 2 4 8 2 5" xfId="46774" xr:uid="{00000000-0005-0000-0000-0000E6B60000}"/>
    <cellStyle name="货币 2 4 8 2 6" xfId="46775" xr:uid="{00000000-0005-0000-0000-0000E7B60000}"/>
    <cellStyle name="货币 2 4 8 2 7" xfId="46776" xr:uid="{00000000-0005-0000-0000-0000E8B60000}"/>
    <cellStyle name="货币 2 4 8 2 8" xfId="46777" xr:uid="{00000000-0005-0000-0000-0000E9B60000}"/>
    <cellStyle name="货币 2 4 8 2 9" xfId="46778" xr:uid="{00000000-0005-0000-0000-0000EAB60000}"/>
    <cellStyle name="货币 2 4 8 3" xfId="46779" xr:uid="{00000000-0005-0000-0000-0000EBB60000}"/>
    <cellStyle name="货币 2 4 8 3 2" xfId="46780" xr:uid="{00000000-0005-0000-0000-0000ECB60000}"/>
    <cellStyle name="货币 2 4 8 3 3" xfId="46781" xr:uid="{00000000-0005-0000-0000-0000EDB60000}"/>
    <cellStyle name="货币 2 4 8 3 4" xfId="46782" xr:uid="{00000000-0005-0000-0000-0000EEB60000}"/>
    <cellStyle name="货币 2 4 8 3 5" xfId="46783" xr:uid="{00000000-0005-0000-0000-0000EFB60000}"/>
    <cellStyle name="货币 2 4 8 3 6" xfId="46784" xr:uid="{00000000-0005-0000-0000-0000F0B60000}"/>
    <cellStyle name="货币 2 4 8 4" xfId="46785" xr:uid="{00000000-0005-0000-0000-0000F1B60000}"/>
    <cellStyle name="货币 2 4 8 4 2" xfId="46786" xr:uid="{00000000-0005-0000-0000-0000F2B60000}"/>
    <cellStyle name="货币 2 4 8 4 3" xfId="46787" xr:uid="{00000000-0005-0000-0000-0000F3B60000}"/>
    <cellStyle name="货币 2 4 8 4 4" xfId="46788" xr:uid="{00000000-0005-0000-0000-0000F4B60000}"/>
    <cellStyle name="货币 2 4 8 4 5" xfId="46789" xr:uid="{00000000-0005-0000-0000-0000F5B60000}"/>
    <cellStyle name="货币 2 4 8 4 6" xfId="46790" xr:uid="{00000000-0005-0000-0000-0000F6B60000}"/>
    <cellStyle name="货币 2 4 8 5" xfId="46791" xr:uid="{00000000-0005-0000-0000-0000F7B60000}"/>
    <cellStyle name="货币 2 4 8 5 2" xfId="46792" xr:uid="{00000000-0005-0000-0000-0000F8B60000}"/>
    <cellStyle name="货币 2 4 8 5 3" xfId="46793" xr:uid="{00000000-0005-0000-0000-0000F9B60000}"/>
    <cellStyle name="货币 2 4 8 5 4" xfId="46794" xr:uid="{00000000-0005-0000-0000-0000FAB60000}"/>
    <cellStyle name="货币 2 4 8 5 5" xfId="23810" xr:uid="{00000000-0005-0000-0000-0000325D0000}"/>
    <cellStyle name="货币 2 4 8 5 6" xfId="12948" xr:uid="{00000000-0005-0000-0000-0000C4320000}"/>
    <cellStyle name="货币 2 4 8 6" xfId="46795" xr:uid="{00000000-0005-0000-0000-0000FBB60000}"/>
    <cellStyle name="货币 2 4 8 6 2" xfId="46796" xr:uid="{00000000-0005-0000-0000-0000FCB60000}"/>
    <cellStyle name="货币 2 4 8 6 3" xfId="46797" xr:uid="{00000000-0005-0000-0000-0000FDB60000}"/>
    <cellStyle name="货币 2 4 8 6 4" xfId="46798" xr:uid="{00000000-0005-0000-0000-0000FEB60000}"/>
    <cellStyle name="货币 2 4 8 6 5" xfId="23837" xr:uid="{00000000-0005-0000-0000-00004D5D0000}"/>
    <cellStyle name="货币 2 4 8 6 6" xfId="23848" xr:uid="{00000000-0005-0000-0000-0000585D0000}"/>
    <cellStyle name="货币 2 4 8 7" xfId="46799" xr:uid="{00000000-0005-0000-0000-0000FFB60000}"/>
    <cellStyle name="货币 2 4 8 8" xfId="46800" xr:uid="{00000000-0005-0000-0000-000000B70000}"/>
    <cellStyle name="货币 2 4 8 9" xfId="46801" xr:uid="{00000000-0005-0000-0000-000001B70000}"/>
    <cellStyle name="货币 2 4 9" xfId="46802" xr:uid="{00000000-0005-0000-0000-000002B70000}"/>
    <cellStyle name="货币 2 4 9 10" xfId="43991" xr:uid="{00000000-0005-0000-0000-000007AC0000}"/>
    <cellStyle name="货币 2 4 9 11" xfId="43993" xr:uid="{00000000-0005-0000-0000-000009AC0000}"/>
    <cellStyle name="货币 2 4 9 12" xfId="43995" xr:uid="{00000000-0005-0000-0000-00000BAC0000}"/>
    <cellStyle name="货币 2 4 9 13" xfId="43997" xr:uid="{00000000-0005-0000-0000-00000DAC0000}"/>
    <cellStyle name="货币 2 4 9 14" xfId="46597" xr:uid="{00000000-0005-0000-0000-000035B60000}"/>
    <cellStyle name="货币 2 4 9 15" xfId="46803" xr:uid="{00000000-0005-0000-0000-000003B70000}"/>
    <cellStyle name="货币 2 4 9 16" xfId="46804" xr:uid="{00000000-0005-0000-0000-000004B70000}"/>
    <cellStyle name="货币 2 4 9 17" xfId="46805" xr:uid="{00000000-0005-0000-0000-000005B70000}"/>
    <cellStyle name="货币 2 4 9 18" xfId="46806" xr:uid="{00000000-0005-0000-0000-000006B70000}"/>
    <cellStyle name="货币 2 4 9 2" xfId="44014" xr:uid="{00000000-0005-0000-0000-00001EAC0000}"/>
    <cellStyle name="货币 2 4 9 2 10" xfId="44016" xr:uid="{00000000-0005-0000-0000-000020AC0000}"/>
    <cellStyle name="货币 2 4 9 2 2" xfId="44020" xr:uid="{00000000-0005-0000-0000-000024AC0000}"/>
    <cellStyle name="货币 2 4 9 2 2 2" xfId="31650" xr:uid="{00000000-0005-0000-0000-0000D27B0000}"/>
    <cellStyle name="货币 2 4 9 2 3" xfId="44027" xr:uid="{00000000-0005-0000-0000-00002BAC0000}"/>
    <cellStyle name="货币 2 4 9 2 4" xfId="44029" xr:uid="{00000000-0005-0000-0000-00002DAC0000}"/>
    <cellStyle name="货币 2 4 9 2 5" xfId="44031" xr:uid="{00000000-0005-0000-0000-00002FAC0000}"/>
    <cellStyle name="货币 2 4 9 2 6" xfId="44033" xr:uid="{00000000-0005-0000-0000-000031AC0000}"/>
    <cellStyle name="货币 2 4 9 2 7" xfId="44035" xr:uid="{00000000-0005-0000-0000-000033AC0000}"/>
    <cellStyle name="货币 2 4 9 2 8" xfId="44037" xr:uid="{00000000-0005-0000-0000-000035AC0000}"/>
    <cellStyle name="货币 2 4 9 2 9" xfId="44039" xr:uid="{00000000-0005-0000-0000-000037AC0000}"/>
    <cellStyle name="货币 2 4 9 3" xfId="44041" xr:uid="{00000000-0005-0000-0000-000039AC0000}"/>
    <cellStyle name="货币 2 4 9 3 2" xfId="44044" xr:uid="{00000000-0005-0000-0000-00003CAC0000}"/>
    <cellStyle name="货币 2 4 9 3 3" xfId="44047" xr:uid="{00000000-0005-0000-0000-00003FAC0000}"/>
    <cellStyle name="货币 2 4 9 3 4" xfId="44049" xr:uid="{00000000-0005-0000-0000-000041AC0000}"/>
    <cellStyle name="货币 2 4 9 3 5" xfId="44051" xr:uid="{00000000-0005-0000-0000-000043AC0000}"/>
    <cellStyle name="货币 2 4 9 3 6" xfId="44053" xr:uid="{00000000-0005-0000-0000-000045AC0000}"/>
    <cellStyle name="货币 2 4 9 4" xfId="44058" xr:uid="{00000000-0005-0000-0000-00004AAC0000}"/>
    <cellStyle name="货币 2 4 9 4 2" xfId="44060" xr:uid="{00000000-0005-0000-0000-00004CAC0000}"/>
    <cellStyle name="货币 2 4 9 4 3" xfId="44067" xr:uid="{00000000-0005-0000-0000-000053AC0000}"/>
    <cellStyle name="货币 2 4 9 4 4" xfId="44069" xr:uid="{00000000-0005-0000-0000-000055AC0000}"/>
    <cellStyle name="货币 2 4 9 4 5" xfId="44071" xr:uid="{00000000-0005-0000-0000-000057AC0000}"/>
    <cellStyle name="货币 2 4 9 4 6" xfId="44073" xr:uid="{00000000-0005-0000-0000-000059AC0000}"/>
    <cellStyle name="货币 2 4 9 5" xfId="44078" xr:uid="{00000000-0005-0000-0000-00005EAC0000}"/>
    <cellStyle name="货币 2 4 9 5 2" xfId="44080" xr:uid="{00000000-0005-0000-0000-000060AC0000}"/>
    <cellStyle name="货币 2 4 9 5 3" xfId="44083" xr:uid="{00000000-0005-0000-0000-000063AC0000}"/>
    <cellStyle name="货币 2 4 9 5 4" xfId="44085" xr:uid="{00000000-0005-0000-0000-000065AC0000}"/>
    <cellStyle name="货币 2 4 9 5 5" xfId="287" xr:uid="{00000000-0005-0000-0000-000032010000}"/>
    <cellStyle name="货币 2 4 9 5 6" xfId="316" xr:uid="{00000000-0005-0000-0000-000051010000}"/>
    <cellStyle name="货币 2 4 9 6" xfId="44087" xr:uid="{00000000-0005-0000-0000-000067AC0000}"/>
    <cellStyle name="货币 2 4 9 6 2" xfId="44089" xr:uid="{00000000-0005-0000-0000-000069AC0000}"/>
    <cellStyle name="货币 2 4 9 6 3" xfId="46807" xr:uid="{00000000-0005-0000-0000-000007B70000}"/>
    <cellStyle name="货币 2 4 9 6 4" xfId="46808" xr:uid="{00000000-0005-0000-0000-000008B70000}"/>
    <cellStyle name="货币 2 4 9 6 5" xfId="22405" xr:uid="{00000000-0005-0000-0000-0000B5570000}"/>
    <cellStyle name="货币 2 4 9 6 6" xfId="24047" xr:uid="{00000000-0005-0000-0000-00001F5E0000}"/>
    <cellStyle name="货币 2 4 9 7" xfId="44091" xr:uid="{00000000-0005-0000-0000-00006BAC0000}"/>
    <cellStyle name="货币 2 4 9 8" xfId="44093" xr:uid="{00000000-0005-0000-0000-00006DAC0000}"/>
    <cellStyle name="货币 2 4 9 9" xfId="46809" xr:uid="{00000000-0005-0000-0000-000009B70000}"/>
    <cellStyle name="货币 2 5" xfId="22113" xr:uid="{00000000-0005-0000-0000-000091560000}"/>
    <cellStyle name="货币 2 5 10" xfId="46810" xr:uid="{00000000-0005-0000-0000-00000AB70000}"/>
    <cellStyle name="货币 2 5 10 10" xfId="15601" xr:uid="{00000000-0005-0000-0000-0000213D0000}"/>
    <cellStyle name="货币 2 5 10 11" xfId="15608" xr:uid="{00000000-0005-0000-0000-0000283D0000}"/>
    <cellStyle name="货币 2 5 10 12" xfId="16257" xr:uid="{00000000-0005-0000-0000-0000B13F0000}"/>
    <cellStyle name="货币 2 5 10 13" xfId="16264" xr:uid="{00000000-0005-0000-0000-0000B83F0000}"/>
    <cellStyle name="货币 2 5 10 14" xfId="1171" xr:uid="{00000000-0005-0000-0000-0000C3040000}"/>
    <cellStyle name="货币 2 5 10 15" xfId="46811" xr:uid="{00000000-0005-0000-0000-00000BB70000}"/>
    <cellStyle name="货币 2 5 10 2" xfId="24896" xr:uid="{00000000-0005-0000-0000-000070610000}"/>
    <cellStyle name="货币 2 5 10 2 2" xfId="15638" xr:uid="{00000000-0005-0000-0000-0000463D0000}"/>
    <cellStyle name="货币 2 5 10 2 2 2" xfId="44499" xr:uid="{00000000-0005-0000-0000-000003AE0000}"/>
    <cellStyle name="货币 2 5 10 2 3" xfId="15644" xr:uid="{00000000-0005-0000-0000-00004C3D0000}"/>
    <cellStyle name="货币 2 5 10 2 4" xfId="15649" xr:uid="{00000000-0005-0000-0000-0000513D0000}"/>
    <cellStyle name="货币 2 5 10 2 5" xfId="23192" xr:uid="{00000000-0005-0000-0000-0000C85A0000}"/>
    <cellStyle name="货币 2 5 10 2 6" xfId="23071" xr:uid="{00000000-0005-0000-0000-00004F5A0000}"/>
    <cellStyle name="货币 2 5 10 2 7" xfId="46812" xr:uid="{00000000-0005-0000-0000-00000CB70000}"/>
    <cellStyle name="货币 2 5 10 2 8" xfId="46813" xr:uid="{00000000-0005-0000-0000-00000DB70000}"/>
    <cellStyle name="货币 2 5 10 2 9" xfId="46814" xr:uid="{00000000-0005-0000-0000-00000EB70000}"/>
    <cellStyle name="货币 2 5 10 3" xfId="25812" xr:uid="{00000000-0005-0000-0000-000004650000}"/>
    <cellStyle name="货币 2 5 10 3 2" xfId="46816" xr:uid="{00000000-0005-0000-0000-000010B70000}"/>
    <cellStyle name="货币 2 5 10 3 3" xfId="46818" xr:uid="{00000000-0005-0000-0000-000012B70000}"/>
    <cellStyle name="货币 2 5 10 3 4" xfId="46820" xr:uid="{00000000-0005-0000-0000-000014B70000}"/>
    <cellStyle name="货币 2 5 10 3 5" xfId="46822" xr:uid="{00000000-0005-0000-0000-000016B70000}"/>
    <cellStyle name="货币 2 5 10 3 6" xfId="46824" xr:uid="{00000000-0005-0000-0000-000018B70000}"/>
    <cellStyle name="货币 2 5 10 4" xfId="25815" xr:uid="{00000000-0005-0000-0000-000007650000}"/>
    <cellStyle name="货币 2 5 10 4 2" xfId="46826" xr:uid="{00000000-0005-0000-0000-00001AB70000}"/>
    <cellStyle name="货币 2 5 10 5" xfId="25817" xr:uid="{00000000-0005-0000-0000-000009650000}"/>
    <cellStyle name="货币 2 5 10 6" xfId="25819" xr:uid="{00000000-0005-0000-0000-00000B650000}"/>
    <cellStyle name="货币 2 5 10 7" xfId="25822" xr:uid="{00000000-0005-0000-0000-00000E650000}"/>
    <cellStyle name="货币 2 5 10 8" xfId="25825" xr:uid="{00000000-0005-0000-0000-000011650000}"/>
    <cellStyle name="货币 2 5 10 9" xfId="25828" xr:uid="{00000000-0005-0000-0000-000014650000}"/>
    <cellStyle name="货币 2 5 11" xfId="46827" xr:uid="{00000000-0005-0000-0000-00001BB70000}"/>
    <cellStyle name="货币 2 5 11 10" xfId="25977" xr:uid="{00000000-0005-0000-0000-0000A9650000}"/>
    <cellStyle name="货币 2 5 11 11" xfId="139" xr:uid="{00000000-0005-0000-0000-000096000000}"/>
    <cellStyle name="货币 2 5 11 12" xfId="46828" xr:uid="{00000000-0005-0000-0000-00001CB70000}"/>
    <cellStyle name="货币 2 5 11 13" xfId="46829" xr:uid="{00000000-0005-0000-0000-00001DB70000}"/>
    <cellStyle name="货币 2 5 11 14" xfId="46830" xr:uid="{00000000-0005-0000-0000-00001EB70000}"/>
    <cellStyle name="货币 2 5 11 2" xfId="46831" xr:uid="{00000000-0005-0000-0000-00001FB70000}"/>
    <cellStyle name="货币 2 5 11 2 2" xfId="44265" xr:uid="{00000000-0005-0000-0000-000019AD0000}"/>
    <cellStyle name="货币 2 5 11 2 2 2" xfId="44675" xr:uid="{00000000-0005-0000-0000-0000B3AE0000}"/>
    <cellStyle name="货币 2 5 11 2 3" xfId="44267" xr:uid="{00000000-0005-0000-0000-00001BAD0000}"/>
    <cellStyle name="货币 2 5 11 2 4" xfId="44269" xr:uid="{00000000-0005-0000-0000-00001DAD0000}"/>
    <cellStyle name="货币 2 5 11 2 5" xfId="44271" xr:uid="{00000000-0005-0000-0000-00001FAD0000}"/>
    <cellStyle name="货币 2 5 11 2 6" xfId="44273" xr:uid="{00000000-0005-0000-0000-000021AD0000}"/>
    <cellStyle name="货币 2 5 11 2 7" xfId="44275" xr:uid="{00000000-0005-0000-0000-000023AD0000}"/>
    <cellStyle name="货币 2 5 11 2 8" xfId="46832" xr:uid="{00000000-0005-0000-0000-000020B70000}"/>
    <cellStyle name="货币 2 5 11 2 9" xfId="46833" xr:uid="{00000000-0005-0000-0000-000021B70000}"/>
    <cellStyle name="货币 2 5 11 3" xfId="31582" xr:uid="{00000000-0005-0000-0000-00008E7B0000}"/>
    <cellStyle name="货币 2 5 11 3 2" xfId="44289" xr:uid="{00000000-0005-0000-0000-000031AD0000}"/>
    <cellStyle name="货币 2 5 11 3 3" xfId="16600" xr:uid="{00000000-0005-0000-0000-000008410000}"/>
    <cellStyle name="货币 2 5 11 3 4" xfId="16609" xr:uid="{00000000-0005-0000-0000-000011410000}"/>
    <cellStyle name="货币 2 5 11 3 5" xfId="44292" xr:uid="{00000000-0005-0000-0000-000034AD0000}"/>
    <cellStyle name="货币 2 5 11 3 6" xfId="44295" xr:uid="{00000000-0005-0000-0000-000037AD0000}"/>
    <cellStyle name="货币 2 5 11 4" xfId="34101" xr:uid="{00000000-0005-0000-0000-000065850000}"/>
    <cellStyle name="货币 2 5 11 4 2" xfId="5806" xr:uid="{00000000-0005-0000-0000-0000DE160000}"/>
    <cellStyle name="货币 2 5 11 5" xfId="34118" xr:uid="{00000000-0005-0000-0000-000076850000}"/>
    <cellStyle name="货币 2 5 11 6" xfId="34130" xr:uid="{00000000-0005-0000-0000-000082850000}"/>
    <cellStyle name="货币 2 5 11 7" xfId="34132" xr:uid="{00000000-0005-0000-0000-000084850000}"/>
    <cellStyle name="货币 2 5 11 8" xfId="34134" xr:uid="{00000000-0005-0000-0000-000086850000}"/>
    <cellStyle name="货币 2 5 11 9" xfId="34136" xr:uid="{00000000-0005-0000-0000-000088850000}"/>
    <cellStyle name="货币 2 5 12" xfId="46834" xr:uid="{00000000-0005-0000-0000-000022B70000}"/>
    <cellStyle name="货币 2 5 12 10" xfId="46835" xr:uid="{00000000-0005-0000-0000-000023B70000}"/>
    <cellStyle name="货币 2 5 12 2" xfId="46836" xr:uid="{00000000-0005-0000-0000-000024B70000}"/>
    <cellStyle name="货币 2 5 12 2 2" xfId="44359" xr:uid="{00000000-0005-0000-0000-000077AD0000}"/>
    <cellStyle name="货币 2 5 12 2 2 2" xfId="20045" xr:uid="{00000000-0005-0000-0000-00007D4E0000}"/>
    <cellStyle name="货币 2 5 12 2 3" xfId="44362" xr:uid="{00000000-0005-0000-0000-00007AAD0000}"/>
    <cellStyle name="货币 2 5 12 2 4" xfId="44365" xr:uid="{00000000-0005-0000-0000-00007DAD0000}"/>
    <cellStyle name="货币 2 5 12 2 5" xfId="44368" xr:uid="{00000000-0005-0000-0000-000080AD0000}"/>
    <cellStyle name="货币 2 5 12 3" xfId="46837" xr:uid="{00000000-0005-0000-0000-000025B70000}"/>
    <cellStyle name="货币 2 5 12 3 2" xfId="44377" xr:uid="{00000000-0005-0000-0000-000089AD0000}"/>
    <cellStyle name="货币 2 5 12 4" xfId="34145" xr:uid="{00000000-0005-0000-0000-000091850000}"/>
    <cellStyle name="货币 2 5 12 5" xfId="34160" xr:uid="{00000000-0005-0000-0000-0000A0850000}"/>
    <cellStyle name="货币 2 5 12 6" xfId="33657" xr:uid="{00000000-0005-0000-0000-0000A9830000}"/>
    <cellStyle name="货币 2 5 12 7" xfId="33661" xr:uid="{00000000-0005-0000-0000-0000AD830000}"/>
    <cellStyle name="货币 2 5 12 8" xfId="33666" xr:uid="{00000000-0005-0000-0000-0000B2830000}"/>
    <cellStyle name="货币 2 5 12 9" xfId="33671" xr:uid="{00000000-0005-0000-0000-0000B7830000}"/>
    <cellStyle name="货币 2 5 13" xfId="46838" xr:uid="{00000000-0005-0000-0000-000026B70000}"/>
    <cellStyle name="货币 2 5 13 2" xfId="46839" xr:uid="{00000000-0005-0000-0000-000027B70000}"/>
    <cellStyle name="货币 2 5 13 2 2" xfId="44402" xr:uid="{00000000-0005-0000-0000-0000A2AD0000}"/>
    <cellStyle name="货币 2 5 13 3" xfId="46840" xr:uid="{00000000-0005-0000-0000-000028B70000}"/>
    <cellStyle name="货币 2 5 13 4" xfId="256" xr:uid="{00000000-0005-0000-0000-000011010000}"/>
    <cellStyle name="货币 2 5 13 5" xfId="34178" xr:uid="{00000000-0005-0000-0000-0000B2850000}"/>
    <cellStyle name="货币 2 5 13 6" xfId="33686" xr:uid="{00000000-0005-0000-0000-0000C6830000}"/>
    <cellStyle name="货币 2 5 13 7" xfId="33688" xr:uid="{00000000-0005-0000-0000-0000C8830000}"/>
    <cellStyle name="货币 2 5 13 8" xfId="33691" xr:uid="{00000000-0005-0000-0000-0000CB830000}"/>
    <cellStyle name="货币 2 5 13 9" xfId="33695" xr:uid="{00000000-0005-0000-0000-0000CF830000}"/>
    <cellStyle name="货币 2 5 14" xfId="46841" xr:uid="{00000000-0005-0000-0000-000029B70000}"/>
    <cellStyle name="货币 2 5 14 2" xfId="46842" xr:uid="{00000000-0005-0000-0000-00002AB70000}"/>
    <cellStyle name="货币 2 5 14 2 2" xfId="3710" xr:uid="{00000000-0005-0000-0000-0000AE0E0000}"/>
    <cellStyle name="货币 2 5 14 3" xfId="41078" xr:uid="{00000000-0005-0000-0000-0000A6A00000}"/>
    <cellStyle name="货币 2 5 14 4" xfId="3723" xr:uid="{00000000-0005-0000-0000-0000BB0E0000}"/>
    <cellStyle name="货币 2 5 14 5" xfId="34182" xr:uid="{00000000-0005-0000-0000-0000B6850000}"/>
    <cellStyle name="货币 2 5 14 6" xfId="33702" xr:uid="{00000000-0005-0000-0000-0000D6830000}"/>
    <cellStyle name="货币 2 5 14 7" xfId="33706" xr:uid="{00000000-0005-0000-0000-0000DA830000}"/>
    <cellStyle name="货币 2 5 14 8" xfId="33709" xr:uid="{00000000-0005-0000-0000-0000DD830000}"/>
    <cellStyle name="货币 2 5 14 9" xfId="33713" xr:uid="{00000000-0005-0000-0000-0000E1830000}"/>
    <cellStyle name="货币 2 5 15" xfId="46845" xr:uid="{00000000-0005-0000-0000-00002DB70000}"/>
    <cellStyle name="货币 2 5 15 2" xfId="6276" xr:uid="{00000000-0005-0000-0000-0000B4180000}"/>
    <cellStyle name="货币 2 5 15 3" xfId="25980" xr:uid="{00000000-0005-0000-0000-0000AC650000}"/>
    <cellStyle name="货币 2 5 15 4" xfId="25983" xr:uid="{00000000-0005-0000-0000-0000AF650000}"/>
    <cellStyle name="货币 2 5 15 5" xfId="25986" xr:uid="{00000000-0005-0000-0000-0000B2650000}"/>
    <cellStyle name="货币 2 5 15 6" xfId="25989" xr:uid="{00000000-0005-0000-0000-0000B5650000}"/>
    <cellStyle name="货币 2 5 16" xfId="46848" xr:uid="{00000000-0005-0000-0000-000030B70000}"/>
    <cellStyle name="货币 2 5 16 2" xfId="46849" xr:uid="{00000000-0005-0000-0000-000031B70000}"/>
    <cellStyle name="货币 2 5 16 3" xfId="46850" xr:uid="{00000000-0005-0000-0000-000032B70000}"/>
    <cellStyle name="货币 2 5 16 4" xfId="24826" xr:uid="{00000000-0005-0000-0000-00002A610000}"/>
    <cellStyle name="货币 2 5 16 5" xfId="24829" xr:uid="{00000000-0005-0000-0000-00002D610000}"/>
    <cellStyle name="货币 2 5 16 6" xfId="33725" xr:uid="{00000000-0005-0000-0000-0000ED830000}"/>
    <cellStyle name="货币 2 5 17" xfId="46853" xr:uid="{00000000-0005-0000-0000-000035B70000}"/>
    <cellStyle name="货币 2 5 18" xfId="46856" xr:uid="{00000000-0005-0000-0000-000038B70000}"/>
    <cellStyle name="货币 2 5 19" xfId="46859" xr:uid="{00000000-0005-0000-0000-00003BB70000}"/>
    <cellStyle name="货币 2 5 2" xfId="46860" xr:uid="{00000000-0005-0000-0000-00003CB70000}"/>
    <cellStyle name="货币 2 5 2 10" xfId="46861" xr:uid="{00000000-0005-0000-0000-00003DB70000}"/>
    <cellStyle name="货币 2 5 2 10 2" xfId="11715" xr:uid="{00000000-0005-0000-0000-0000F32D0000}"/>
    <cellStyle name="货币 2 5 2 10 2 2" xfId="46862" xr:uid="{00000000-0005-0000-0000-00003EB70000}"/>
    <cellStyle name="货币 2 5 2 10 3" xfId="46306" xr:uid="{00000000-0005-0000-0000-000012B50000}"/>
    <cellStyle name="货币 2 5 2 10 4" xfId="46863" xr:uid="{00000000-0005-0000-0000-00003FB70000}"/>
    <cellStyle name="货币 2 5 2 10 5" xfId="46864" xr:uid="{00000000-0005-0000-0000-000040B70000}"/>
    <cellStyle name="货币 2 5 2 10 6" xfId="46865" xr:uid="{00000000-0005-0000-0000-000041B70000}"/>
    <cellStyle name="货币 2 5 2 10 7" xfId="46866" xr:uid="{00000000-0005-0000-0000-000042B70000}"/>
    <cellStyle name="货币 2 5 2 10 8" xfId="46867" xr:uid="{00000000-0005-0000-0000-000043B70000}"/>
    <cellStyle name="货币 2 5 2 10 9" xfId="46868" xr:uid="{00000000-0005-0000-0000-000044B70000}"/>
    <cellStyle name="货币 2 5 2 11" xfId="46869" xr:uid="{00000000-0005-0000-0000-000045B70000}"/>
    <cellStyle name="货币 2 5 2 11 2" xfId="46870" xr:uid="{00000000-0005-0000-0000-000046B70000}"/>
    <cellStyle name="货币 2 5 2 11 3" xfId="46871" xr:uid="{00000000-0005-0000-0000-000047B70000}"/>
    <cellStyle name="货币 2 5 2 11 4" xfId="46872" xr:uid="{00000000-0005-0000-0000-000048B70000}"/>
    <cellStyle name="货币 2 5 2 11 5" xfId="41039" xr:uid="{00000000-0005-0000-0000-00007FA00000}"/>
    <cellStyle name="货币 2 5 2 11 6" xfId="41041" xr:uid="{00000000-0005-0000-0000-000081A00000}"/>
    <cellStyle name="货币 2 5 2 12" xfId="46873" xr:uid="{00000000-0005-0000-0000-000049B70000}"/>
    <cellStyle name="货币 2 5 2 12 2" xfId="38743" xr:uid="{00000000-0005-0000-0000-000087970000}"/>
    <cellStyle name="货币 2 5 2 12 3" xfId="38745" xr:uid="{00000000-0005-0000-0000-000089970000}"/>
    <cellStyle name="货币 2 5 2 12 4" xfId="38747" xr:uid="{00000000-0005-0000-0000-00008B970000}"/>
    <cellStyle name="货币 2 5 2 12 5" xfId="38749" xr:uid="{00000000-0005-0000-0000-00008D970000}"/>
    <cellStyle name="货币 2 5 2 12 6" xfId="38751" xr:uid="{00000000-0005-0000-0000-00008F970000}"/>
    <cellStyle name="货币 2 5 2 13" xfId="46874" xr:uid="{00000000-0005-0000-0000-00004AB70000}"/>
    <cellStyle name="货币 2 5 2 13 2" xfId="38759" xr:uid="{00000000-0005-0000-0000-000097970000}"/>
    <cellStyle name="货币 2 5 2 13 3" xfId="27274" xr:uid="{00000000-0005-0000-0000-0000BA6A0000}"/>
    <cellStyle name="货币 2 5 2 13 4" xfId="40363" xr:uid="{00000000-0005-0000-0000-0000DB9D0000}"/>
    <cellStyle name="货币 2 5 2 13 5" xfId="40365" xr:uid="{00000000-0005-0000-0000-0000DD9D0000}"/>
    <cellStyle name="货币 2 5 2 13 6" xfId="46875" xr:uid="{00000000-0005-0000-0000-00004BB70000}"/>
    <cellStyle name="货币 2 5 2 14" xfId="46876" xr:uid="{00000000-0005-0000-0000-00004CB70000}"/>
    <cellStyle name="货币 2 5 2 14 2" xfId="40372" xr:uid="{00000000-0005-0000-0000-0000E49D0000}"/>
    <cellStyle name="货币 2 5 2 14 3" xfId="46877" xr:uid="{00000000-0005-0000-0000-00004DB70000}"/>
    <cellStyle name="货币 2 5 2 14 4" xfId="46878" xr:uid="{00000000-0005-0000-0000-00004EB70000}"/>
    <cellStyle name="货币 2 5 2 14 5" xfId="46879" xr:uid="{00000000-0005-0000-0000-00004FB70000}"/>
    <cellStyle name="货币 2 5 2 14 6" xfId="8361" xr:uid="{00000000-0005-0000-0000-0000D9200000}"/>
    <cellStyle name="货币 2 5 2 15" xfId="46881" xr:uid="{00000000-0005-0000-0000-000051B70000}"/>
    <cellStyle name="货币 2 5 2 16" xfId="45101" xr:uid="{00000000-0005-0000-0000-00005DB00000}"/>
    <cellStyle name="货币 2 5 2 17" xfId="45104" xr:uid="{00000000-0005-0000-0000-000060B00000}"/>
    <cellStyle name="货币 2 5 2 18" xfId="45107" xr:uid="{00000000-0005-0000-0000-000063B00000}"/>
    <cellStyle name="货币 2 5 2 19" xfId="45110" xr:uid="{00000000-0005-0000-0000-000066B00000}"/>
    <cellStyle name="货币 2 5 2 2" xfId="46882" xr:uid="{00000000-0005-0000-0000-000052B70000}"/>
    <cellStyle name="货币 2 5 2 2 10" xfId="46883" xr:uid="{00000000-0005-0000-0000-000053B70000}"/>
    <cellStyle name="货币 2 5 2 2 10 2" xfId="37256" xr:uid="{00000000-0005-0000-0000-0000B8910000}"/>
    <cellStyle name="货币 2 5 2 2 10 3" xfId="6802" xr:uid="{00000000-0005-0000-0000-0000C21A0000}"/>
    <cellStyle name="货币 2 5 2 2 10 4" xfId="37258" xr:uid="{00000000-0005-0000-0000-0000BA910000}"/>
    <cellStyle name="货币 2 5 2 2 10 5" xfId="37260" xr:uid="{00000000-0005-0000-0000-0000BC910000}"/>
    <cellStyle name="货币 2 5 2 2 10 6" xfId="31579" xr:uid="{00000000-0005-0000-0000-00008B7B0000}"/>
    <cellStyle name="货币 2 5 2 2 11" xfId="46884" xr:uid="{00000000-0005-0000-0000-000054B70000}"/>
    <cellStyle name="货币 2 5 2 2 11 2" xfId="36763" xr:uid="{00000000-0005-0000-0000-0000CB8F0000}"/>
    <cellStyle name="货币 2 5 2 2 11 3" xfId="37265" xr:uid="{00000000-0005-0000-0000-0000C1910000}"/>
    <cellStyle name="货币 2 5 2 2 11 4" xfId="37267" xr:uid="{00000000-0005-0000-0000-0000C3910000}"/>
    <cellStyle name="货币 2 5 2 2 11 5" xfId="46885" xr:uid="{00000000-0005-0000-0000-000055B70000}"/>
    <cellStyle name="货币 2 5 2 2 11 6" xfId="46886" xr:uid="{00000000-0005-0000-0000-000056B70000}"/>
    <cellStyle name="货币 2 5 2 2 12" xfId="46887" xr:uid="{00000000-0005-0000-0000-000057B70000}"/>
    <cellStyle name="货币 2 5 2 2 13" xfId="46888" xr:uid="{00000000-0005-0000-0000-000058B70000}"/>
    <cellStyle name="货币 2 5 2 2 14" xfId="46889" xr:uid="{00000000-0005-0000-0000-000059B70000}"/>
    <cellStyle name="货币 2 5 2 2 15" xfId="46891" xr:uid="{00000000-0005-0000-0000-00005BB70000}"/>
    <cellStyle name="货币 2 5 2 2 16" xfId="46893" xr:uid="{00000000-0005-0000-0000-00005DB70000}"/>
    <cellStyle name="货币 2 5 2 2 17" xfId="46895" xr:uid="{00000000-0005-0000-0000-00005FB70000}"/>
    <cellStyle name="货币 2 5 2 2 18" xfId="46897" xr:uid="{00000000-0005-0000-0000-000061B70000}"/>
    <cellStyle name="货币 2 5 2 2 19" xfId="46898" xr:uid="{00000000-0005-0000-0000-000062B70000}"/>
    <cellStyle name="货币 2 5 2 2 2" xfId="46899" xr:uid="{00000000-0005-0000-0000-000063B70000}"/>
    <cellStyle name="货币 2 5 2 2 2 10" xfId="46900" xr:uid="{00000000-0005-0000-0000-000064B70000}"/>
    <cellStyle name="货币 2 5 2 2 2 11" xfId="46901" xr:uid="{00000000-0005-0000-0000-000065B70000}"/>
    <cellStyle name="货币 2 5 2 2 2 12" xfId="46902" xr:uid="{00000000-0005-0000-0000-000066B70000}"/>
    <cellStyle name="货币 2 5 2 2 2 13" xfId="46903" xr:uid="{00000000-0005-0000-0000-000067B70000}"/>
    <cellStyle name="货币 2 5 2 2 2 14" xfId="29381" xr:uid="{00000000-0005-0000-0000-0000F5720000}"/>
    <cellStyle name="货币 2 5 2 2 2 15" xfId="29384" xr:uid="{00000000-0005-0000-0000-0000F8720000}"/>
    <cellStyle name="货币 2 5 2 2 2 16" xfId="14160" xr:uid="{00000000-0005-0000-0000-000080370000}"/>
    <cellStyle name="货币 2 5 2 2 2 17" xfId="46904" xr:uid="{00000000-0005-0000-0000-000068B70000}"/>
    <cellStyle name="货币 2 5 2 2 2 18" xfId="46905" xr:uid="{00000000-0005-0000-0000-000069B70000}"/>
    <cellStyle name="货币 2 5 2 2 2 2" xfId="46906" xr:uid="{00000000-0005-0000-0000-00006AB70000}"/>
    <cellStyle name="货币 2 5 2 2 2 2 10" xfId="9471" xr:uid="{00000000-0005-0000-0000-00002F250000}"/>
    <cellStyle name="货币 2 5 2 2 2 2 11" xfId="46907" xr:uid="{00000000-0005-0000-0000-00006BB70000}"/>
    <cellStyle name="货币 2 5 2 2 2 2 12" xfId="46908" xr:uid="{00000000-0005-0000-0000-00006CB70000}"/>
    <cellStyle name="货币 2 5 2 2 2 2 2" xfId="12974" xr:uid="{00000000-0005-0000-0000-0000DE320000}"/>
    <cellStyle name="货币 2 5 2 2 2 2 2 2" xfId="46909" xr:uid="{00000000-0005-0000-0000-00006DB70000}"/>
    <cellStyle name="货币 2 5 2 2 2 2 2 2 2" xfId="24529" xr:uid="{00000000-0005-0000-0000-000001600000}"/>
    <cellStyle name="货币 2 5 2 2 2 2 2 3" xfId="46910" xr:uid="{00000000-0005-0000-0000-00006EB70000}"/>
    <cellStyle name="货币 2 5 2 2 2 2 2 4" xfId="46911" xr:uid="{00000000-0005-0000-0000-00006FB70000}"/>
    <cellStyle name="货币 2 5 2 2 2 2 2 5" xfId="36016" xr:uid="{00000000-0005-0000-0000-0000E08C0000}"/>
    <cellStyle name="货币 2 5 2 2 2 2 3" xfId="12976" xr:uid="{00000000-0005-0000-0000-0000E0320000}"/>
    <cellStyle name="货币 2 5 2 2 2 2 3 2" xfId="16843" xr:uid="{00000000-0005-0000-0000-0000FB410000}"/>
    <cellStyle name="货币 2 5 2 2 2 2 4" xfId="12979" xr:uid="{00000000-0005-0000-0000-0000E3320000}"/>
    <cellStyle name="货币 2 5 2 2 2 2 5" xfId="6720" xr:uid="{00000000-0005-0000-0000-0000701A0000}"/>
    <cellStyle name="货币 2 5 2 2 2 2 6" xfId="6726" xr:uid="{00000000-0005-0000-0000-0000761A0000}"/>
    <cellStyle name="货币 2 5 2 2 2 2 7" xfId="6734" xr:uid="{00000000-0005-0000-0000-00007E1A0000}"/>
    <cellStyle name="货币 2 5 2 2 2 2 8" xfId="26708" xr:uid="{00000000-0005-0000-0000-000084680000}"/>
    <cellStyle name="货币 2 5 2 2 2 2 9" xfId="26712" xr:uid="{00000000-0005-0000-0000-000088680000}"/>
    <cellStyle name="货币 2 5 2 2 2 3" xfId="46912" xr:uid="{00000000-0005-0000-0000-000070B70000}"/>
    <cellStyle name="货币 2 5 2 2 2 3 10" xfId="24130" xr:uid="{00000000-0005-0000-0000-0000725E0000}"/>
    <cellStyle name="货币 2 5 2 2 2 3 11" xfId="6153" xr:uid="{00000000-0005-0000-0000-000039180000}"/>
    <cellStyle name="货币 2 5 2 2 2 3 12" xfId="46913" xr:uid="{00000000-0005-0000-0000-000071B70000}"/>
    <cellStyle name="货币 2 5 2 2 2 3 2" xfId="46914" xr:uid="{00000000-0005-0000-0000-000072B70000}"/>
    <cellStyle name="货币 2 5 2 2 2 3 2 2" xfId="46915" xr:uid="{00000000-0005-0000-0000-000073B70000}"/>
    <cellStyle name="货币 2 5 2 2 2 3 2 2 2" xfId="24771" xr:uid="{00000000-0005-0000-0000-0000F3600000}"/>
    <cellStyle name="货币 2 5 2 2 2 3 2 3" xfId="46916" xr:uid="{00000000-0005-0000-0000-000074B70000}"/>
    <cellStyle name="货币 2 5 2 2 2 3 2 4" xfId="46917" xr:uid="{00000000-0005-0000-0000-000075B70000}"/>
    <cellStyle name="货币 2 5 2 2 2 3 2 5" xfId="46918" xr:uid="{00000000-0005-0000-0000-000076B70000}"/>
    <cellStyle name="货币 2 5 2 2 2 3 3" xfId="26715" xr:uid="{00000000-0005-0000-0000-00008B680000}"/>
    <cellStyle name="货币 2 5 2 2 2 3 3 2" xfId="26717" xr:uid="{00000000-0005-0000-0000-00008D680000}"/>
    <cellStyle name="货币 2 5 2 2 2 3 4" xfId="26723" xr:uid="{00000000-0005-0000-0000-000093680000}"/>
    <cellStyle name="货币 2 5 2 2 2 3 5" xfId="26726" xr:uid="{00000000-0005-0000-0000-000096680000}"/>
    <cellStyle name="货币 2 5 2 2 2 3 6" xfId="18987" xr:uid="{00000000-0005-0000-0000-00005B4A0000}"/>
    <cellStyle name="货币 2 5 2 2 2 3 7" xfId="3296" xr:uid="{00000000-0005-0000-0000-0000100D0000}"/>
    <cellStyle name="货币 2 5 2 2 2 3 8" xfId="18991" xr:uid="{00000000-0005-0000-0000-00005F4A0000}"/>
    <cellStyle name="货币 2 5 2 2 2 3 9" xfId="9020" xr:uid="{00000000-0005-0000-0000-00006C230000}"/>
    <cellStyle name="货币 2 5 2 2 2 4" xfId="46919" xr:uid="{00000000-0005-0000-0000-000077B70000}"/>
    <cellStyle name="货币 2 5 2 2 2 4 10" xfId="46920" xr:uid="{00000000-0005-0000-0000-000078B70000}"/>
    <cellStyle name="货币 2 5 2 2 2 4 2" xfId="46921" xr:uid="{00000000-0005-0000-0000-000079B70000}"/>
    <cellStyle name="货币 2 5 2 2 2 4 2 2" xfId="46922" xr:uid="{00000000-0005-0000-0000-00007AB70000}"/>
    <cellStyle name="货币 2 5 2 2 2 4 2 2 2" xfId="24397" xr:uid="{00000000-0005-0000-0000-00007D5F0000}"/>
    <cellStyle name="货币 2 5 2 2 2 4 2 3" xfId="46923" xr:uid="{00000000-0005-0000-0000-00007BB70000}"/>
    <cellStyle name="货币 2 5 2 2 2 4 2 4" xfId="46924" xr:uid="{00000000-0005-0000-0000-00007CB70000}"/>
    <cellStyle name="货币 2 5 2 2 2 4 2 5" xfId="46925" xr:uid="{00000000-0005-0000-0000-00007DB70000}"/>
    <cellStyle name="货币 2 5 2 2 2 4 3" xfId="26730" xr:uid="{00000000-0005-0000-0000-00009A680000}"/>
    <cellStyle name="货币 2 5 2 2 2 4 3 2" xfId="26734" xr:uid="{00000000-0005-0000-0000-00009E680000}"/>
    <cellStyle name="货币 2 5 2 2 2 4 4" xfId="26740" xr:uid="{00000000-0005-0000-0000-0000A4680000}"/>
    <cellStyle name="货币 2 5 2 2 2 4 5" xfId="26744" xr:uid="{00000000-0005-0000-0000-0000A8680000}"/>
    <cellStyle name="货币 2 5 2 2 2 4 6" xfId="18997" xr:uid="{00000000-0005-0000-0000-0000654A0000}"/>
    <cellStyle name="货币 2 5 2 2 2 4 7" xfId="19001" xr:uid="{00000000-0005-0000-0000-0000694A0000}"/>
    <cellStyle name="货币 2 5 2 2 2 4 8" xfId="19005" xr:uid="{00000000-0005-0000-0000-00006D4A0000}"/>
    <cellStyle name="货币 2 5 2 2 2 4 9" xfId="19012" xr:uid="{00000000-0005-0000-0000-0000744A0000}"/>
    <cellStyle name="货币 2 5 2 2 2 5" xfId="46926" xr:uid="{00000000-0005-0000-0000-00007EB70000}"/>
    <cellStyle name="货币 2 5 2 2 2 5 10" xfId="46927" xr:uid="{00000000-0005-0000-0000-00007FB70000}"/>
    <cellStyle name="货币 2 5 2 2 2 5 2" xfId="46928" xr:uid="{00000000-0005-0000-0000-000080B70000}"/>
    <cellStyle name="货币 2 5 2 2 2 5 2 2" xfId="46929" xr:uid="{00000000-0005-0000-0000-000081B70000}"/>
    <cellStyle name="货币 2 5 2 2 2 5 2 2 2" xfId="14995" xr:uid="{00000000-0005-0000-0000-0000C33A0000}"/>
    <cellStyle name="货币 2 5 2 2 2 5 2 3" xfId="30085" xr:uid="{00000000-0005-0000-0000-0000B5750000}"/>
    <cellStyle name="货币 2 5 2 2 2 5 2 4" xfId="10527" xr:uid="{00000000-0005-0000-0000-00004F290000}"/>
    <cellStyle name="货币 2 5 2 2 2 5 2 5" xfId="46930" xr:uid="{00000000-0005-0000-0000-000082B70000}"/>
    <cellStyle name="货币 2 5 2 2 2 5 3" xfId="23113" xr:uid="{00000000-0005-0000-0000-0000795A0000}"/>
    <cellStyle name="货币 2 5 2 2 2 5 3 2" xfId="26746" xr:uid="{00000000-0005-0000-0000-0000AA680000}"/>
    <cellStyle name="货币 2 5 2 2 2 5 4" xfId="26750" xr:uid="{00000000-0005-0000-0000-0000AE680000}"/>
    <cellStyle name="货币 2 5 2 2 2 5 5" xfId="13785" xr:uid="{00000000-0005-0000-0000-000009360000}"/>
    <cellStyle name="货币 2 5 2 2 2 5 6" xfId="13791" xr:uid="{00000000-0005-0000-0000-00000F360000}"/>
    <cellStyle name="货币 2 5 2 2 2 5 7" xfId="13797" xr:uid="{00000000-0005-0000-0000-000015360000}"/>
    <cellStyle name="货币 2 5 2 2 2 5 8" xfId="18380" xr:uid="{00000000-0005-0000-0000-0000FC470000}"/>
    <cellStyle name="货币 2 5 2 2 2 5 9" xfId="26753" xr:uid="{00000000-0005-0000-0000-0000B1680000}"/>
    <cellStyle name="货币 2 5 2 2 2 6" xfId="46931" xr:uid="{00000000-0005-0000-0000-000083B70000}"/>
    <cellStyle name="货币 2 5 2 2 2 6 2" xfId="46932" xr:uid="{00000000-0005-0000-0000-000084B70000}"/>
    <cellStyle name="货币 2 5 2 2 2 6 2 2" xfId="46933" xr:uid="{00000000-0005-0000-0000-000085B70000}"/>
    <cellStyle name="货币 2 5 2 2 2 6 3" xfId="26758" xr:uid="{00000000-0005-0000-0000-0000B6680000}"/>
    <cellStyle name="货币 2 5 2 2 2 6 4" xfId="26760" xr:uid="{00000000-0005-0000-0000-0000B8680000}"/>
    <cellStyle name="货币 2 5 2 2 2 6 5" xfId="12014" xr:uid="{00000000-0005-0000-0000-00001E2F0000}"/>
    <cellStyle name="货币 2 5 2 2 2 6 6" xfId="26762" xr:uid="{00000000-0005-0000-0000-0000BA680000}"/>
    <cellStyle name="货币 2 5 2 2 2 6 7" xfId="25839" xr:uid="{00000000-0005-0000-0000-00001F650000}"/>
    <cellStyle name="货币 2 5 2 2 2 6 8" xfId="25842" xr:uid="{00000000-0005-0000-0000-000022650000}"/>
    <cellStyle name="货币 2 5 2 2 2 6 9" xfId="25845" xr:uid="{00000000-0005-0000-0000-000025650000}"/>
    <cellStyle name="货币 2 5 2 2 2 7" xfId="46934" xr:uid="{00000000-0005-0000-0000-000086B70000}"/>
    <cellStyle name="货币 2 5 2 2 2 7 2" xfId="46935" xr:uid="{00000000-0005-0000-0000-000087B70000}"/>
    <cellStyle name="货币 2 5 2 2 2 8" xfId="46936" xr:uid="{00000000-0005-0000-0000-000088B70000}"/>
    <cellStyle name="货币 2 5 2 2 2 9" xfId="46937" xr:uid="{00000000-0005-0000-0000-000089B70000}"/>
    <cellStyle name="货币 2 5 2 2 20" xfId="46890" xr:uid="{00000000-0005-0000-0000-00005AB70000}"/>
    <cellStyle name="货币 2 5 2 2 21" xfId="46892" xr:uid="{00000000-0005-0000-0000-00005CB70000}"/>
    <cellStyle name="货币 2 5 2 2 22" xfId="46894" xr:uid="{00000000-0005-0000-0000-00005EB70000}"/>
    <cellStyle name="货币 2 5 2 2 23" xfId="46896" xr:uid="{00000000-0005-0000-0000-000060B70000}"/>
    <cellStyle name="货币 2 5 2 2 3" xfId="46938" xr:uid="{00000000-0005-0000-0000-00008AB70000}"/>
    <cellStyle name="货币 2 5 2 2 3 10" xfId="46289" xr:uid="{00000000-0005-0000-0000-000001B50000}"/>
    <cellStyle name="货币 2 5 2 2 3 11" xfId="46291" xr:uid="{00000000-0005-0000-0000-000003B50000}"/>
    <cellStyle name="货币 2 5 2 2 3 12" xfId="46293" xr:uid="{00000000-0005-0000-0000-000005B50000}"/>
    <cellStyle name="货币 2 5 2 2 3 13" xfId="46295" xr:uid="{00000000-0005-0000-0000-000007B50000}"/>
    <cellStyle name="货币 2 5 2 2 3 14" xfId="46297" xr:uid="{00000000-0005-0000-0000-000009B50000}"/>
    <cellStyle name="货币 2 5 2 2 3 15" xfId="46939" xr:uid="{00000000-0005-0000-0000-00008BB70000}"/>
    <cellStyle name="货币 2 5 2 2 3 16" xfId="46940" xr:uid="{00000000-0005-0000-0000-00008CB70000}"/>
    <cellStyle name="货币 2 5 2 2 3 17" xfId="46941" xr:uid="{00000000-0005-0000-0000-00008DB70000}"/>
    <cellStyle name="货币 2 5 2 2 3 18" xfId="46942" xr:uid="{00000000-0005-0000-0000-00008EB70000}"/>
    <cellStyle name="货币 2 5 2 2 3 2" xfId="46943" xr:uid="{00000000-0005-0000-0000-00008FB70000}"/>
    <cellStyle name="货币 2 5 2 2 3 2 10" xfId="12182" xr:uid="{00000000-0005-0000-0000-0000C62F0000}"/>
    <cellStyle name="货币 2 5 2 2 3 2 2" xfId="13099" xr:uid="{00000000-0005-0000-0000-00005B330000}"/>
    <cellStyle name="货币 2 5 2 2 3 2 2 2" xfId="33419" xr:uid="{00000000-0005-0000-0000-0000BB820000}"/>
    <cellStyle name="货币 2 5 2 2 3 2 3" xfId="13102" xr:uid="{00000000-0005-0000-0000-00005E330000}"/>
    <cellStyle name="货币 2 5 2 2 3 2 4" xfId="20721" xr:uid="{00000000-0005-0000-0000-000021510000}"/>
    <cellStyle name="货币 2 5 2 2 3 2 5" xfId="20730" xr:uid="{00000000-0005-0000-0000-00002A510000}"/>
    <cellStyle name="货币 2 5 2 2 3 2 6" xfId="20737" xr:uid="{00000000-0005-0000-0000-000031510000}"/>
    <cellStyle name="货币 2 5 2 2 3 2 7" xfId="268" xr:uid="{00000000-0005-0000-0000-00001E010000}"/>
    <cellStyle name="货币 2 5 2 2 3 2 8" xfId="26785" xr:uid="{00000000-0005-0000-0000-0000D1680000}"/>
    <cellStyle name="货币 2 5 2 2 3 2 9" xfId="26788" xr:uid="{00000000-0005-0000-0000-0000D4680000}"/>
    <cellStyle name="货币 2 5 2 2 3 3" xfId="45329" xr:uid="{00000000-0005-0000-0000-000041B10000}"/>
    <cellStyle name="货币 2 5 2 2 3 3 2" xfId="45331" xr:uid="{00000000-0005-0000-0000-000043B10000}"/>
    <cellStyle name="货币 2 5 2 2 3 3 3" xfId="20947" xr:uid="{00000000-0005-0000-0000-000003520000}"/>
    <cellStyle name="货币 2 5 2 2 3 3 4" xfId="20952" xr:uid="{00000000-0005-0000-0000-000008520000}"/>
    <cellStyle name="货币 2 5 2 2 3 3 5" xfId="20957" xr:uid="{00000000-0005-0000-0000-00000D520000}"/>
    <cellStyle name="货币 2 5 2 2 3 3 6" xfId="19035" xr:uid="{00000000-0005-0000-0000-00008B4A0000}"/>
    <cellStyle name="货币 2 5 2 2 3 4" xfId="45333" xr:uid="{00000000-0005-0000-0000-000045B10000}"/>
    <cellStyle name="货币 2 5 2 2 3 4 2" xfId="46944" xr:uid="{00000000-0005-0000-0000-000090B70000}"/>
    <cellStyle name="货币 2 5 2 2 3 4 3" xfId="26798" xr:uid="{00000000-0005-0000-0000-0000DE680000}"/>
    <cellStyle name="货币 2 5 2 2 3 4 4" xfId="26802" xr:uid="{00000000-0005-0000-0000-0000E2680000}"/>
    <cellStyle name="货币 2 5 2 2 3 4 5" xfId="26806" xr:uid="{00000000-0005-0000-0000-0000E6680000}"/>
    <cellStyle name="货币 2 5 2 2 3 4 6" xfId="19053" xr:uid="{00000000-0005-0000-0000-00009D4A0000}"/>
    <cellStyle name="货币 2 5 2 2 3 5" xfId="45335" xr:uid="{00000000-0005-0000-0000-000047B10000}"/>
    <cellStyle name="货币 2 5 2 2 3 5 2" xfId="46945" xr:uid="{00000000-0005-0000-0000-000091B70000}"/>
    <cellStyle name="货币 2 5 2 2 3 5 3" xfId="26810" xr:uid="{00000000-0005-0000-0000-0000EA680000}"/>
    <cellStyle name="货币 2 5 2 2 3 5 4" xfId="26813" xr:uid="{00000000-0005-0000-0000-0000ED680000}"/>
    <cellStyle name="货币 2 5 2 2 3 5 5" xfId="15428" xr:uid="{00000000-0005-0000-0000-0000743C0000}"/>
    <cellStyle name="货币 2 5 2 2 3 5 6" xfId="18417" xr:uid="{00000000-0005-0000-0000-000021480000}"/>
    <cellStyle name="货币 2 5 2 2 3 6" xfId="45337" xr:uid="{00000000-0005-0000-0000-000049B10000}"/>
    <cellStyle name="货币 2 5 2 2 3 6 2" xfId="46946" xr:uid="{00000000-0005-0000-0000-000092B70000}"/>
    <cellStyle name="货币 2 5 2 2 3 6 3" xfId="20982" xr:uid="{00000000-0005-0000-0000-000026520000}"/>
    <cellStyle name="货币 2 5 2 2 3 6 4" xfId="20986" xr:uid="{00000000-0005-0000-0000-00002A520000}"/>
    <cellStyle name="货币 2 5 2 2 3 6 5" xfId="15502" xr:uid="{00000000-0005-0000-0000-0000BE3C0000}"/>
    <cellStyle name="货币 2 5 2 2 3 6 6" xfId="20990" xr:uid="{00000000-0005-0000-0000-00002E520000}"/>
    <cellStyle name="货币 2 5 2 2 3 7" xfId="46947" xr:uid="{00000000-0005-0000-0000-000093B70000}"/>
    <cellStyle name="货币 2 5 2 2 3 8" xfId="46949" xr:uid="{00000000-0005-0000-0000-000095B70000}"/>
    <cellStyle name="货币 2 5 2 2 3 9" xfId="46950" xr:uid="{00000000-0005-0000-0000-000096B70000}"/>
    <cellStyle name="货币 2 5 2 2 4" xfId="46951" xr:uid="{00000000-0005-0000-0000-000097B70000}"/>
    <cellStyle name="货币 2 5 2 2 4 10" xfId="46952" xr:uid="{00000000-0005-0000-0000-000098B70000}"/>
    <cellStyle name="货币 2 5 2 2 4 11" xfId="46953" xr:uid="{00000000-0005-0000-0000-000099B70000}"/>
    <cellStyle name="货币 2 5 2 2 4 12" xfId="46954" xr:uid="{00000000-0005-0000-0000-00009AB70000}"/>
    <cellStyle name="货币 2 5 2 2 4 13" xfId="46955" xr:uid="{00000000-0005-0000-0000-00009BB70000}"/>
    <cellStyle name="货币 2 5 2 2 4 14" xfId="46956" xr:uid="{00000000-0005-0000-0000-00009CB70000}"/>
    <cellStyle name="货币 2 5 2 2 4 15" xfId="46957" xr:uid="{00000000-0005-0000-0000-00009DB70000}"/>
    <cellStyle name="货币 2 5 2 2 4 2" xfId="46958" xr:uid="{00000000-0005-0000-0000-00009EB70000}"/>
    <cellStyle name="货币 2 5 2 2 4 2 2" xfId="46959" xr:uid="{00000000-0005-0000-0000-00009FB70000}"/>
    <cellStyle name="货币 2 5 2 2 4 2 2 2" xfId="36275" xr:uid="{00000000-0005-0000-0000-0000E38D0000}"/>
    <cellStyle name="货币 2 5 2 2 4 2 3" xfId="26838" xr:uid="{00000000-0005-0000-0000-000006690000}"/>
    <cellStyle name="货币 2 5 2 2 4 2 4" xfId="26843" xr:uid="{00000000-0005-0000-0000-00000B690000}"/>
    <cellStyle name="货币 2 5 2 2 4 2 5" xfId="26846" xr:uid="{00000000-0005-0000-0000-00000E690000}"/>
    <cellStyle name="货币 2 5 2 2 4 2 6" xfId="26849" xr:uid="{00000000-0005-0000-0000-000011690000}"/>
    <cellStyle name="货币 2 5 2 2 4 2 7" xfId="9947" xr:uid="{00000000-0005-0000-0000-00000B270000}"/>
    <cellStyle name="货币 2 5 2 2 4 2 8" xfId="26851" xr:uid="{00000000-0005-0000-0000-000013690000}"/>
    <cellStyle name="货币 2 5 2 2 4 2 9" xfId="26853" xr:uid="{00000000-0005-0000-0000-000015690000}"/>
    <cellStyle name="货币 2 5 2 2 4 3" xfId="45340" xr:uid="{00000000-0005-0000-0000-00004CB10000}"/>
    <cellStyle name="货币 2 5 2 2 4 3 2" xfId="41894" xr:uid="{00000000-0005-0000-0000-0000D6A30000}"/>
    <cellStyle name="货币 2 5 2 2 4 3 3" xfId="26858" xr:uid="{00000000-0005-0000-0000-00001A690000}"/>
    <cellStyle name="货币 2 5 2 2 4 3 4" xfId="26862" xr:uid="{00000000-0005-0000-0000-00001E690000}"/>
    <cellStyle name="货币 2 5 2 2 4 3 5" xfId="26866" xr:uid="{00000000-0005-0000-0000-000022690000}"/>
    <cellStyle name="货币 2 5 2 2 4 3 6" xfId="19071" xr:uid="{00000000-0005-0000-0000-0000AF4A0000}"/>
    <cellStyle name="货币 2 5 2 2 4 4" xfId="46960" xr:uid="{00000000-0005-0000-0000-0000A0B70000}"/>
    <cellStyle name="货币 2 5 2 2 4 4 2" xfId="46961" xr:uid="{00000000-0005-0000-0000-0000A1B70000}"/>
    <cellStyle name="货币 2 5 2 2 4 5" xfId="46962" xr:uid="{00000000-0005-0000-0000-0000A2B70000}"/>
    <cellStyle name="货币 2 5 2 2 4 6" xfId="46963" xr:uid="{00000000-0005-0000-0000-0000A3B70000}"/>
    <cellStyle name="货币 2 5 2 2 4 7" xfId="46562" xr:uid="{00000000-0005-0000-0000-000012B60000}"/>
    <cellStyle name="货币 2 5 2 2 4 8" xfId="46964" xr:uid="{00000000-0005-0000-0000-0000A4B70000}"/>
    <cellStyle name="货币 2 5 2 2 4 9" xfId="46965" xr:uid="{00000000-0005-0000-0000-0000A5B70000}"/>
    <cellStyle name="货币 2 5 2 2 5" xfId="46966" xr:uid="{00000000-0005-0000-0000-0000A6B70000}"/>
    <cellStyle name="货币 2 5 2 2 5 10" xfId="46967" xr:uid="{00000000-0005-0000-0000-0000A7B70000}"/>
    <cellStyle name="货币 2 5 2 2 5 11" xfId="42581" xr:uid="{00000000-0005-0000-0000-000085A60000}"/>
    <cellStyle name="货币 2 5 2 2 5 12" xfId="45093" xr:uid="{00000000-0005-0000-0000-000055B00000}"/>
    <cellStyle name="货币 2 5 2 2 5 13" xfId="45095" xr:uid="{00000000-0005-0000-0000-000057B00000}"/>
    <cellStyle name="货币 2 5 2 2 5 2" xfId="33986" xr:uid="{00000000-0005-0000-0000-0000F2840000}"/>
    <cellStyle name="货币 2 5 2 2 5 2 2" xfId="46968" xr:uid="{00000000-0005-0000-0000-0000A8B70000}"/>
    <cellStyle name="货币 2 5 2 2 5 2 2 2" xfId="8803" xr:uid="{00000000-0005-0000-0000-000093220000}"/>
    <cellStyle name="货币 2 5 2 2 5 2 3" xfId="26889" xr:uid="{00000000-0005-0000-0000-000039690000}"/>
    <cellStyle name="货币 2 5 2 2 5 2 4" xfId="26893" xr:uid="{00000000-0005-0000-0000-00003D690000}"/>
    <cellStyle name="货币 2 5 2 2 5 2 5" xfId="26897" xr:uid="{00000000-0005-0000-0000-000041690000}"/>
    <cellStyle name="货币 2 5 2 2 5 2 6" xfId="26901" xr:uid="{00000000-0005-0000-0000-000045690000}"/>
    <cellStyle name="货币 2 5 2 2 5 2 7" xfId="10084" xr:uid="{00000000-0005-0000-0000-000094270000}"/>
    <cellStyle name="货币 2 5 2 2 5 2 8" xfId="26904" xr:uid="{00000000-0005-0000-0000-000048690000}"/>
    <cellStyle name="货币 2 5 2 2 5 2 9" xfId="26907" xr:uid="{00000000-0005-0000-0000-00004B690000}"/>
    <cellStyle name="货币 2 5 2 2 5 3" xfId="45080" xr:uid="{00000000-0005-0000-0000-000048B00000}"/>
    <cellStyle name="货币 2 5 2 2 5 3 2" xfId="42224" xr:uid="{00000000-0005-0000-0000-000020A50000}"/>
    <cellStyle name="货币 2 5 2 2 5 3 3" xfId="6753" xr:uid="{00000000-0005-0000-0000-0000911A0000}"/>
    <cellStyle name="货币 2 5 2 2 5 3 4" xfId="8163" xr:uid="{00000000-0005-0000-0000-000013200000}"/>
    <cellStyle name="货币 2 5 2 2 5 3 5" xfId="8170" xr:uid="{00000000-0005-0000-0000-00001A200000}"/>
    <cellStyle name="货币 2 5 2 2 5 3 6" xfId="5257" xr:uid="{00000000-0005-0000-0000-0000B9140000}"/>
    <cellStyle name="货币 2 5 2 2 5 4" xfId="45082" xr:uid="{00000000-0005-0000-0000-00004AB00000}"/>
    <cellStyle name="货币 2 5 2 2 5 4 2" xfId="46969" xr:uid="{00000000-0005-0000-0000-0000A9B70000}"/>
    <cellStyle name="货币 2 5 2 2 5 5" xfId="45084" xr:uid="{00000000-0005-0000-0000-00004CB00000}"/>
    <cellStyle name="货币 2 5 2 2 5 6" xfId="46970" xr:uid="{00000000-0005-0000-0000-0000AAB70000}"/>
    <cellStyle name="货币 2 5 2 2 5 7" xfId="46971" xr:uid="{00000000-0005-0000-0000-0000ABB70000}"/>
    <cellStyle name="货币 2 5 2 2 5 8" xfId="46972" xr:uid="{00000000-0005-0000-0000-0000ACB70000}"/>
    <cellStyle name="货币 2 5 2 2 5 9" xfId="46973" xr:uid="{00000000-0005-0000-0000-0000ADB70000}"/>
    <cellStyle name="货币 2 5 2 2 6" xfId="46974" xr:uid="{00000000-0005-0000-0000-0000AEB70000}"/>
    <cellStyle name="货币 2 5 2 2 6 10" xfId="46975" xr:uid="{00000000-0005-0000-0000-0000AFB70000}"/>
    <cellStyle name="货币 2 5 2 2 6 11" xfId="46976" xr:uid="{00000000-0005-0000-0000-0000B0B70000}"/>
    <cellStyle name="货币 2 5 2 2 6 12" xfId="46977" xr:uid="{00000000-0005-0000-0000-0000B1B70000}"/>
    <cellStyle name="货币 2 5 2 2 6 2" xfId="46978" xr:uid="{00000000-0005-0000-0000-0000B2B70000}"/>
    <cellStyle name="货币 2 5 2 2 6 2 2" xfId="46979" xr:uid="{00000000-0005-0000-0000-0000B3B70000}"/>
    <cellStyle name="货币 2 5 2 2 6 2 2 2" xfId="11104" xr:uid="{00000000-0005-0000-0000-0000902B0000}"/>
    <cellStyle name="货币 2 5 2 2 6 2 3" xfId="24144" xr:uid="{00000000-0005-0000-0000-0000805E0000}"/>
    <cellStyle name="货币 2 5 2 2 6 2 4" xfId="26924" xr:uid="{00000000-0005-0000-0000-00005C690000}"/>
    <cellStyle name="货币 2 5 2 2 6 2 5" xfId="26928" xr:uid="{00000000-0005-0000-0000-000060690000}"/>
    <cellStyle name="货币 2 5 2 2 6 2 6" xfId="26932" xr:uid="{00000000-0005-0000-0000-000064690000}"/>
    <cellStyle name="货币 2 5 2 2 6 2 7" xfId="26934" xr:uid="{00000000-0005-0000-0000-000066690000}"/>
    <cellStyle name="货币 2 5 2 2 6 2 8" xfId="26936" xr:uid="{00000000-0005-0000-0000-000068690000}"/>
    <cellStyle name="货币 2 5 2 2 6 2 9" xfId="26940" xr:uid="{00000000-0005-0000-0000-00006C690000}"/>
    <cellStyle name="货币 2 5 2 2 6 3" xfId="46980" xr:uid="{00000000-0005-0000-0000-0000B4B70000}"/>
    <cellStyle name="货币 2 5 2 2 6 3 2" xfId="46981" xr:uid="{00000000-0005-0000-0000-0000B5B70000}"/>
    <cellStyle name="货币 2 5 2 2 6 3 3" xfId="8227" xr:uid="{00000000-0005-0000-0000-000053200000}"/>
    <cellStyle name="货币 2 5 2 2 6 3 4" xfId="58" xr:uid="{00000000-0005-0000-0000-00003E000000}"/>
    <cellStyle name="货币 2 5 2 2 6 3 5" xfId="26943" xr:uid="{00000000-0005-0000-0000-00006F690000}"/>
    <cellStyle name="货币 2 5 2 2 6 3 6" xfId="26946" xr:uid="{00000000-0005-0000-0000-000072690000}"/>
    <cellStyle name="货币 2 5 2 2 6 4" xfId="46982" xr:uid="{00000000-0005-0000-0000-0000B6B70000}"/>
    <cellStyle name="货币 2 5 2 2 6 4 2" xfId="46983" xr:uid="{00000000-0005-0000-0000-0000B7B70000}"/>
    <cellStyle name="货币 2 5 2 2 6 5" xfId="46984" xr:uid="{00000000-0005-0000-0000-0000B8B70000}"/>
    <cellStyle name="货币 2 5 2 2 6 6" xfId="46985" xr:uid="{00000000-0005-0000-0000-0000B9B70000}"/>
    <cellStyle name="货币 2 5 2 2 6 7" xfId="46986" xr:uid="{00000000-0005-0000-0000-0000BAB70000}"/>
    <cellStyle name="货币 2 5 2 2 6 8" xfId="46987" xr:uid="{00000000-0005-0000-0000-0000BBB70000}"/>
    <cellStyle name="货币 2 5 2 2 6 9" xfId="46988" xr:uid="{00000000-0005-0000-0000-0000BCB70000}"/>
    <cellStyle name="货币 2 5 2 2 7" xfId="46989" xr:uid="{00000000-0005-0000-0000-0000BDB70000}"/>
    <cellStyle name="货币 2 5 2 2 7 2" xfId="46990" xr:uid="{00000000-0005-0000-0000-0000BEB70000}"/>
    <cellStyle name="货币 2 5 2 2 7 2 2" xfId="34097" xr:uid="{00000000-0005-0000-0000-000061850000}"/>
    <cellStyle name="货币 2 5 2 2 7 3" xfId="46991" xr:uid="{00000000-0005-0000-0000-0000BFB70000}"/>
    <cellStyle name="货币 2 5 2 2 7 4" xfId="46992" xr:uid="{00000000-0005-0000-0000-0000C0B70000}"/>
    <cellStyle name="货币 2 5 2 2 7 5" xfId="46993" xr:uid="{00000000-0005-0000-0000-0000C1B70000}"/>
    <cellStyle name="货币 2 5 2 2 7 6" xfId="46994" xr:uid="{00000000-0005-0000-0000-0000C2B70000}"/>
    <cellStyle name="货币 2 5 2 2 7 7" xfId="46995" xr:uid="{00000000-0005-0000-0000-0000C3B70000}"/>
    <cellStyle name="货币 2 5 2 2 7 8" xfId="46996" xr:uid="{00000000-0005-0000-0000-0000C4B70000}"/>
    <cellStyle name="货币 2 5 2 2 7 9" xfId="46997" xr:uid="{00000000-0005-0000-0000-0000C5B70000}"/>
    <cellStyle name="货币 2 5 2 2 8" xfId="46998" xr:uid="{00000000-0005-0000-0000-0000C6B70000}"/>
    <cellStyle name="货币 2 5 2 2 8 2" xfId="46999" xr:uid="{00000000-0005-0000-0000-0000C7B70000}"/>
    <cellStyle name="货币 2 5 2 2 8 3" xfId="47000" xr:uid="{00000000-0005-0000-0000-0000C8B70000}"/>
    <cellStyle name="货币 2 5 2 2 8 4" xfId="47001" xr:uid="{00000000-0005-0000-0000-0000C9B70000}"/>
    <cellStyle name="货币 2 5 2 2 8 5" xfId="47002" xr:uid="{00000000-0005-0000-0000-0000CAB70000}"/>
    <cellStyle name="货币 2 5 2 2 8 6" xfId="47003" xr:uid="{00000000-0005-0000-0000-0000CBB70000}"/>
    <cellStyle name="货币 2 5 2 2 9" xfId="47004" xr:uid="{00000000-0005-0000-0000-0000CCB70000}"/>
    <cellStyle name="货币 2 5 2 2 9 2" xfId="5740" xr:uid="{00000000-0005-0000-0000-00009C160000}"/>
    <cellStyle name="货币 2 5 2 2 9 3" xfId="7670" xr:uid="{00000000-0005-0000-0000-0000261E0000}"/>
    <cellStyle name="货币 2 5 2 2 9 4" xfId="7675" xr:uid="{00000000-0005-0000-0000-00002B1E0000}"/>
    <cellStyle name="货币 2 5 2 2 9 5" xfId="7681" xr:uid="{00000000-0005-0000-0000-0000311E0000}"/>
    <cellStyle name="货币 2 5 2 2 9 6" xfId="47005" xr:uid="{00000000-0005-0000-0000-0000CDB70000}"/>
    <cellStyle name="货币 2 5 2 20" xfId="46880" xr:uid="{00000000-0005-0000-0000-000050B70000}"/>
    <cellStyle name="货币 2 5 2 21" xfId="45100" xr:uid="{00000000-0005-0000-0000-00005CB00000}"/>
    <cellStyle name="货币 2 5 2 22" xfId="45103" xr:uid="{00000000-0005-0000-0000-00005FB00000}"/>
    <cellStyle name="货币 2 5 2 23" xfId="45106" xr:uid="{00000000-0005-0000-0000-000062B00000}"/>
    <cellStyle name="货币 2 5 2 24" xfId="45109" xr:uid="{00000000-0005-0000-0000-000065B00000}"/>
    <cellStyle name="货币 2 5 2 25" xfId="45112" xr:uid="{00000000-0005-0000-0000-000068B00000}"/>
    <cellStyle name="货币 2 5 2 26" xfId="47006" xr:uid="{00000000-0005-0000-0000-0000CEB70000}"/>
    <cellStyle name="货币 2 5 2 3" xfId="47007" xr:uid="{00000000-0005-0000-0000-0000CFB70000}"/>
    <cellStyle name="货币 2 5 2 3 10" xfId="47008" xr:uid="{00000000-0005-0000-0000-0000D0B70000}"/>
    <cellStyle name="货币 2 5 2 3 10 2" xfId="47009" xr:uid="{00000000-0005-0000-0000-0000D1B70000}"/>
    <cellStyle name="货币 2 5 2 3 10 3" xfId="47010" xr:uid="{00000000-0005-0000-0000-0000D2B70000}"/>
    <cellStyle name="货币 2 5 2 3 10 4" xfId="47011" xr:uid="{00000000-0005-0000-0000-0000D3B70000}"/>
    <cellStyle name="货币 2 5 2 3 10 5" xfId="47012" xr:uid="{00000000-0005-0000-0000-0000D4B70000}"/>
    <cellStyle name="货币 2 5 2 3 10 6" xfId="47013" xr:uid="{00000000-0005-0000-0000-0000D5B70000}"/>
    <cellStyle name="货币 2 5 2 3 11" xfId="47014" xr:uid="{00000000-0005-0000-0000-0000D6B70000}"/>
    <cellStyle name="货币 2 5 2 3 11 2" xfId="43419" xr:uid="{00000000-0005-0000-0000-0000CBA90000}"/>
    <cellStyle name="货币 2 5 2 3 11 3" xfId="43425" xr:uid="{00000000-0005-0000-0000-0000D1A90000}"/>
    <cellStyle name="货币 2 5 2 3 11 4" xfId="43428" xr:uid="{00000000-0005-0000-0000-0000D4A90000}"/>
    <cellStyle name="货币 2 5 2 3 11 5" xfId="43430" xr:uid="{00000000-0005-0000-0000-0000D6A90000}"/>
    <cellStyle name="货币 2 5 2 3 11 6" xfId="47015" xr:uid="{00000000-0005-0000-0000-0000D7B70000}"/>
    <cellStyle name="货币 2 5 2 3 12" xfId="27758" xr:uid="{00000000-0005-0000-0000-00009E6C0000}"/>
    <cellStyle name="货币 2 5 2 3 13" xfId="27761" xr:uid="{00000000-0005-0000-0000-0000A16C0000}"/>
    <cellStyle name="货币 2 5 2 3 14" xfId="27766" xr:uid="{00000000-0005-0000-0000-0000A66C0000}"/>
    <cellStyle name="货币 2 5 2 3 15" xfId="2688" xr:uid="{00000000-0005-0000-0000-0000B00A0000}"/>
    <cellStyle name="货币 2 5 2 3 16" xfId="21087" xr:uid="{00000000-0005-0000-0000-00008F520000}"/>
    <cellStyle name="货币 2 5 2 3 17" xfId="21095" xr:uid="{00000000-0005-0000-0000-000097520000}"/>
    <cellStyle name="货币 2 5 2 3 18" xfId="21101" xr:uid="{00000000-0005-0000-0000-00009D520000}"/>
    <cellStyle name="货币 2 5 2 3 19" xfId="21104" xr:uid="{00000000-0005-0000-0000-0000A0520000}"/>
    <cellStyle name="货币 2 5 2 3 2" xfId="47016" xr:uid="{00000000-0005-0000-0000-0000D8B70000}"/>
    <cellStyle name="货币 2 5 2 3 2 10" xfId="47017" xr:uid="{00000000-0005-0000-0000-0000D9B70000}"/>
    <cellStyle name="货币 2 5 2 3 2 11" xfId="47018" xr:uid="{00000000-0005-0000-0000-0000DAB70000}"/>
    <cellStyle name="货币 2 5 2 3 2 12" xfId="47019" xr:uid="{00000000-0005-0000-0000-0000DBB70000}"/>
    <cellStyle name="货币 2 5 2 3 2 13" xfId="45874" xr:uid="{00000000-0005-0000-0000-000062B30000}"/>
    <cellStyle name="货币 2 5 2 3 2 14" xfId="4335" xr:uid="{00000000-0005-0000-0000-00001F110000}"/>
    <cellStyle name="货币 2 5 2 3 2 15" xfId="3442" xr:uid="{00000000-0005-0000-0000-0000A20D0000}"/>
    <cellStyle name="货币 2 5 2 3 2 16" xfId="45876" xr:uid="{00000000-0005-0000-0000-000064B30000}"/>
    <cellStyle name="货币 2 5 2 3 2 17" xfId="45878" xr:uid="{00000000-0005-0000-0000-000066B30000}"/>
    <cellStyle name="货币 2 5 2 3 2 18" xfId="43958" xr:uid="{00000000-0005-0000-0000-0000E6AB0000}"/>
    <cellStyle name="货币 2 5 2 3 2 2" xfId="47020" xr:uid="{00000000-0005-0000-0000-0000DCB70000}"/>
    <cellStyle name="货币 2 5 2 3 2 2 10" xfId="2758" xr:uid="{00000000-0005-0000-0000-0000F60A0000}"/>
    <cellStyle name="货币 2 5 2 3 2 2 11" xfId="8259" xr:uid="{00000000-0005-0000-0000-000073200000}"/>
    <cellStyle name="货币 2 5 2 3 2 2 12" xfId="8271" xr:uid="{00000000-0005-0000-0000-00007F200000}"/>
    <cellStyle name="货币 2 5 2 3 2 2 2" xfId="8634" xr:uid="{00000000-0005-0000-0000-0000EA210000}"/>
    <cellStyle name="货币 2 5 2 3 2 2 2 2" xfId="47021" xr:uid="{00000000-0005-0000-0000-0000DDB70000}"/>
    <cellStyle name="货币 2 5 2 3 2 2 2 2 2" xfId="47022" xr:uid="{00000000-0005-0000-0000-0000DEB70000}"/>
    <cellStyle name="货币 2 5 2 3 2 2 2 3" xfId="14804" xr:uid="{00000000-0005-0000-0000-0000043A0000}"/>
    <cellStyle name="货币 2 5 2 3 2 2 2 4" xfId="14807" xr:uid="{00000000-0005-0000-0000-0000073A0000}"/>
    <cellStyle name="货币 2 5 2 3 2 2 2 5" xfId="14809" xr:uid="{00000000-0005-0000-0000-0000093A0000}"/>
    <cellStyle name="货币 2 5 2 3 2 2 3" xfId="1340" xr:uid="{00000000-0005-0000-0000-00006C050000}"/>
    <cellStyle name="货币 2 5 2 3 2 2 3 2" xfId="26997" xr:uid="{00000000-0005-0000-0000-0000A5690000}"/>
    <cellStyle name="货币 2 5 2 3 2 2 4" xfId="1527" xr:uid="{00000000-0005-0000-0000-000027060000}"/>
    <cellStyle name="货币 2 5 2 3 2 2 5" xfId="11192" xr:uid="{00000000-0005-0000-0000-0000E82B0000}"/>
    <cellStyle name="货币 2 5 2 3 2 2 6" xfId="13468" xr:uid="{00000000-0005-0000-0000-0000CC340000}"/>
    <cellStyle name="货币 2 5 2 3 2 2 7" xfId="25416" xr:uid="{00000000-0005-0000-0000-000078630000}"/>
    <cellStyle name="货币 2 5 2 3 2 2 8" xfId="25420" xr:uid="{00000000-0005-0000-0000-00007C630000}"/>
    <cellStyle name="货币 2 5 2 3 2 2 9" xfId="25424" xr:uid="{00000000-0005-0000-0000-000080630000}"/>
    <cellStyle name="货币 2 5 2 3 2 3" xfId="47023" xr:uid="{00000000-0005-0000-0000-0000DFB70000}"/>
    <cellStyle name="货币 2 5 2 3 2 3 10" xfId="47024" xr:uid="{00000000-0005-0000-0000-0000E0B70000}"/>
    <cellStyle name="货币 2 5 2 3 2 3 11" xfId="47025" xr:uid="{00000000-0005-0000-0000-0000E1B70000}"/>
    <cellStyle name="货币 2 5 2 3 2 3 12" xfId="47026" xr:uid="{00000000-0005-0000-0000-0000E2B70000}"/>
    <cellStyle name="货币 2 5 2 3 2 3 2" xfId="47027" xr:uid="{00000000-0005-0000-0000-0000E3B70000}"/>
    <cellStyle name="货币 2 5 2 3 2 3 2 2" xfId="47028" xr:uid="{00000000-0005-0000-0000-0000E4B70000}"/>
    <cellStyle name="货币 2 5 2 3 2 3 2 2 2" xfId="47029" xr:uid="{00000000-0005-0000-0000-0000E5B70000}"/>
    <cellStyle name="货币 2 5 2 3 2 3 2 3" xfId="15162" xr:uid="{00000000-0005-0000-0000-00006A3B0000}"/>
    <cellStyle name="货币 2 5 2 3 2 3 2 4" xfId="15164" xr:uid="{00000000-0005-0000-0000-00006C3B0000}"/>
    <cellStyle name="货币 2 5 2 3 2 3 2 5" xfId="15166" xr:uid="{00000000-0005-0000-0000-00006E3B0000}"/>
    <cellStyle name="货币 2 5 2 3 2 3 3" xfId="27002" xr:uid="{00000000-0005-0000-0000-0000AA690000}"/>
    <cellStyle name="货币 2 5 2 3 2 3 3 2" xfId="22552" xr:uid="{00000000-0005-0000-0000-000048580000}"/>
    <cellStyle name="货币 2 5 2 3 2 3 4" xfId="27005" xr:uid="{00000000-0005-0000-0000-0000AD690000}"/>
    <cellStyle name="货币 2 5 2 3 2 3 5" xfId="27008" xr:uid="{00000000-0005-0000-0000-0000B0690000}"/>
    <cellStyle name="货币 2 5 2 3 2 3 6" xfId="19209" xr:uid="{00000000-0005-0000-0000-0000394B0000}"/>
    <cellStyle name="货币 2 5 2 3 2 3 7" xfId="1893" xr:uid="{00000000-0005-0000-0000-000095070000}"/>
    <cellStyle name="货币 2 5 2 3 2 3 8" xfId="19214" xr:uid="{00000000-0005-0000-0000-00003E4B0000}"/>
    <cellStyle name="货币 2 5 2 3 2 3 9" xfId="5331" xr:uid="{00000000-0005-0000-0000-000003150000}"/>
    <cellStyle name="货币 2 5 2 3 2 4" xfId="47030" xr:uid="{00000000-0005-0000-0000-0000E6B70000}"/>
    <cellStyle name="货币 2 5 2 3 2 4 10" xfId="40119" xr:uid="{00000000-0005-0000-0000-0000E79C0000}"/>
    <cellStyle name="货币 2 5 2 3 2 4 2" xfId="47031" xr:uid="{00000000-0005-0000-0000-0000E7B70000}"/>
    <cellStyle name="货币 2 5 2 3 2 4 2 2" xfId="47032" xr:uid="{00000000-0005-0000-0000-0000E8B70000}"/>
    <cellStyle name="货币 2 5 2 3 2 4 2 2 2" xfId="1644" xr:uid="{00000000-0005-0000-0000-00009C060000}"/>
    <cellStyle name="货币 2 5 2 3 2 4 2 3" xfId="15676" xr:uid="{00000000-0005-0000-0000-00006C3D0000}"/>
    <cellStyle name="货币 2 5 2 3 2 4 2 4" xfId="15678" xr:uid="{00000000-0005-0000-0000-00006E3D0000}"/>
    <cellStyle name="货币 2 5 2 3 2 4 2 5" xfId="15680" xr:uid="{00000000-0005-0000-0000-0000703D0000}"/>
    <cellStyle name="货币 2 5 2 3 2 4 3" xfId="27012" xr:uid="{00000000-0005-0000-0000-0000B4690000}"/>
    <cellStyle name="货币 2 5 2 3 2 4 3 2" xfId="22575" xr:uid="{00000000-0005-0000-0000-00005F580000}"/>
    <cellStyle name="货币 2 5 2 3 2 4 4" xfId="27015" xr:uid="{00000000-0005-0000-0000-0000B7690000}"/>
    <cellStyle name="货币 2 5 2 3 2 4 5" xfId="27018" xr:uid="{00000000-0005-0000-0000-0000BA690000}"/>
    <cellStyle name="货币 2 5 2 3 2 4 6" xfId="19218" xr:uid="{00000000-0005-0000-0000-0000424B0000}"/>
    <cellStyle name="货币 2 5 2 3 2 4 7" xfId="27021" xr:uid="{00000000-0005-0000-0000-0000BD690000}"/>
    <cellStyle name="货币 2 5 2 3 2 4 8" xfId="27023" xr:uid="{00000000-0005-0000-0000-0000BF690000}"/>
    <cellStyle name="货币 2 5 2 3 2 4 9" xfId="27025" xr:uid="{00000000-0005-0000-0000-0000C1690000}"/>
    <cellStyle name="货币 2 5 2 3 2 5" xfId="47033" xr:uid="{00000000-0005-0000-0000-0000E9B70000}"/>
    <cellStyle name="货币 2 5 2 3 2 5 10" xfId="47034" xr:uid="{00000000-0005-0000-0000-0000EAB70000}"/>
    <cellStyle name="货币 2 5 2 3 2 5 2" xfId="47035" xr:uid="{00000000-0005-0000-0000-0000EBB70000}"/>
    <cellStyle name="货币 2 5 2 3 2 5 2 2" xfId="47036" xr:uid="{00000000-0005-0000-0000-0000ECB70000}"/>
    <cellStyle name="货币 2 5 2 3 2 5 2 2 2" xfId="24403" xr:uid="{00000000-0005-0000-0000-0000835F0000}"/>
    <cellStyle name="货币 2 5 2 3 2 5 2 3" xfId="47037" xr:uid="{00000000-0005-0000-0000-0000EDB70000}"/>
    <cellStyle name="货币 2 5 2 3 2 5 2 4" xfId="47038" xr:uid="{00000000-0005-0000-0000-0000EEB70000}"/>
    <cellStyle name="货币 2 5 2 3 2 5 2 5" xfId="47039" xr:uid="{00000000-0005-0000-0000-0000EFB70000}"/>
    <cellStyle name="货币 2 5 2 3 2 5 3" xfId="16756" xr:uid="{00000000-0005-0000-0000-0000A4410000}"/>
    <cellStyle name="货币 2 5 2 3 2 5 3 2" xfId="3461" xr:uid="{00000000-0005-0000-0000-0000B50D0000}"/>
    <cellStyle name="货币 2 5 2 3 2 5 4" xfId="16763" xr:uid="{00000000-0005-0000-0000-0000AB410000}"/>
    <cellStyle name="货币 2 5 2 3 2 5 5" xfId="3211" xr:uid="{00000000-0005-0000-0000-0000BB0C0000}"/>
    <cellStyle name="货币 2 5 2 3 2 5 6" xfId="16768" xr:uid="{00000000-0005-0000-0000-0000B0410000}"/>
    <cellStyle name="货币 2 5 2 3 2 5 7" xfId="27030" xr:uid="{00000000-0005-0000-0000-0000C6690000}"/>
    <cellStyle name="货币 2 5 2 3 2 5 8" xfId="27032" xr:uid="{00000000-0005-0000-0000-0000C8690000}"/>
    <cellStyle name="货币 2 5 2 3 2 5 9" xfId="27034" xr:uid="{00000000-0005-0000-0000-0000CA690000}"/>
    <cellStyle name="货币 2 5 2 3 2 6" xfId="47040" xr:uid="{00000000-0005-0000-0000-0000F0B70000}"/>
    <cellStyle name="货币 2 5 2 3 2 6 2" xfId="47041" xr:uid="{00000000-0005-0000-0000-0000F1B70000}"/>
    <cellStyle name="货币 2 5 2 3 2 6 2 2" xfId="47042" xr:uid="{00000000-0005-0000-0000-0000F2B70000}"/>
    <cellStyle name="货币 2 5 2 3 2 6 3" xfId="12253" xr:uid="{00000000-0005-0000-0000-00000D300000}"/>
    <cellStyle name="货币 2 5 2 3 2 6 4" xfId="27037" xr:uid="{00000000-0005-0000-0000-0000CD690000}"/>
    <cellStyle name="货币 2 5 2 3 2 6 5" xfId="13885" xr:uid="{00000000-0005-0000-0000-00006D360000}"/>
    <cellStyle name="货币 2 5 2 3 2 6 6" xfId="27040" xr:uid="{00000000-0005-0000-0000-0000D0690000}"/>
    <cellStyle name="货币 2 5 2 3 2 6 7" xfId="27042" xr:uid="{00000000-0005-0000-0000-0000D2690000}"/>
    <cellStyle name="货币 2 5 2 3 2 6 8" xfId="27044" xr:uid="{00000000-0005-0000-0000-0000D4690000}"/>
    <cellStyle name="货币 2 5 2 3 2 6 9" xfId="27046" xr:uid="{00000000-0005-0000-0000-0000D6690000}"/>
    <cellStyle name="货币 2 5 2 3 2 7" xfId="47043" xr:uid="{00000000-0005-0000-0000-0000F3B70000}"/>
    <cellStyle name="货币 2 5 2 3 2 7 2" xfId="47044" xr:uid="{00000000-0005-0000-0000-0000F4B70000}"/>
    <cellStyle name="货币 2 5 2 3 2 8" xfId="47045" xr:uid="{00000000-0005-0000-0000-0000F5B70000}"/>
    <cellStyle name="货币 2 5 2 3 2 9" xfId="47046" xr:uid="{00000000-0005-0000-0000-0000F6B70000}"/>
    <cellStyle name="货币 2 5 2 3 20" xfId="2687" xr:uid="{00000000-0005-0000-0000-0000AF0A0000}"/>
    <cellStyle name="货币 2 5 2 3 21" xfId="21086" xr:uid="{00000000-0005-0000-0000-00008E520000}"/>
    <cellStyle name="货币 2 5 2 3 22" xfId="21094" xr:uid="{00000000-0005-0000-0000-000096520000}"/>
    <cellStyle name="货币 2 5 2 3 23" xfId="21100" xr:uid="{00000000-0005-0000-0000-00009C520000}"/>
    <cellStyle name="货币 2 5 2 3 3" xfId="47047" xr:uid="{00000000-0005-0000-0000-0000F7B70000}"/>
    <cellStyle name="货币 2 5 2 3 3 10" xfId="47048" xr:uid="{00000000-0005-0000-0000-0000F8B70000}"/>
    <cellStyle name="货币 2 5 2 3 3 11" xfId="47049" xr:uid="{00000000-0005-0000-0000-0000F9B70000}"/>
    <cellStyle name="货币 2 5 2 3 3 12" xfId="47050" xr:uid="{00000000-0005-0000-0000-0000FAB70000}"/>
    <cellStyle name="货币 2 5 2 3 3 13" xfId="47051" xr:uid="{00000000-0005-0000-0000-0000FBB70000}"/>
    <cellStyle name="货币 2 5 2 3 3 14" xfId="47052" xr:uid="{00000000-0005-0000-0000-0000FCB70000}"/>
    <cellStyle name="货币 2 5 2 3 3 15" xfId="47053" xr:uid="{00000000-0005-0000-0000-0000FDB70000}"/>
    <cellStyle name="货币 2 5 2 3 3 16" xfId="47054" xr:uid="{00000000-0005-0000-0000-0000FEB70000}"/>
    <cellStyle name="货币 2 5 2 3 3 17" xfId="47055" xr:uid="{00000000-0005-0000-0000-0000FFB70000}"/>
    <cellStyle name="货币 2 5 2 3 3 18" xfId="4323" xr:uid="{00000000-0005-0000-0000-000013110000}"/>
    <cellStyle name="货币 2 5 2 3 3 2" xfId="47056" xr:uid="{00000000-0005-0000-0000-000000B80000}"/>
    <cellStyle name="货币 2 5 2 3 3 2 10" xfId="47057" xr:uid="{00000000-0005-0000-0000-000001B80000}"/>
    <cellStyle name="货币 2 5 2 3 3 2 2" xfId="13553" xr:uid="{00000000-0005-0000-0000-000021350000}"/>
    <cellStyle name="货币 2 5 2 3 3 2 2 2" xfId="47058" xr:uid="{00000000-0005-0000-0000-000002B80000}"/>
    <cellStyle name="货币 2 5 2 3 3 2 3" xfId="13557" xr:uid="{00000000-0005-0000-0000-000025350000}"/>
    <cellStyle name="货币 2 5 2 3 3 2 4" xfId="23274" xr:uid="{00000000-0005-0000-0000-00001A5B0000}"/>
    <cellStyle name="货币 2 5 2 3 3 2 5" xfId="23279" xr:uid="{00000000-0005-0000-0000-00001F5B0000}"/>
    <cellStyle name="货币 2 5 2 3 3 2 6" xfId="23284" xr:uid="{00000000-0005-0000-0000-0000245B0000}"/>
    <cellStyle name="货币 2 5 2 3 3 2 7" xfId="27056" xr:uid="{00000000-0005-0000-0000-0000E0690000}"/>
    <cellStyle name="货币 2 5 2 3 3 2 8" xfId="27059" xr:uid="{00000000-0005-0000-0000-0000E3690000}"/>
    <cellStyle name="货币 2 5 2 3 3 2 9" xfId="27062" xr:uid="{00000000-0005-0000-0000-0000E6690000}"/>
    <cellStyle name="货币 2 5 2 3 3 3" xfId="45350" xr:uid="{00000000-0005-0000-0000-000056B10000}"/>
    <cellStyle name="货币 2 5 2 3 3 3 2" xfId="47059" xr:uid="{00000000-0005-0000-0000-000003B80000}"/>
    <cellStyle name="货币 2 5 2 3 3 3 3" xfId="19778" xr:uid="{00000000-0005-0000-0000-0000724D0000}"/>
    <cellStyle name="货币 2 5 2 3 3 3 4" xfId="19785" xr:uid="{00000000-0005-0000-0000-0000794D0000}"/>
    <cellStyle name="货币 2 5 2 3 3 3 5" xfId="19792" xr:uid="{00000000-0005-0000-0000-0000804D0000}"/>
    <cellStyle name="货币 2 5 2 3 3 3 6" xfId="19235" xr:uid="{00000000-0005-0000-0000-0000534B0000}"/>
    <cellStyle name="货币 2 5 2 3 3 4" xfId="47060" xr:uid="{00000000-0005-0000-0000-000004B80000}"/>
    <cellStyle name="货币 2 5 2 3 3 4 2" xfId="47061" xr:uid="{00000000-0005-0000-0000-000005B80000}"/>
    <cellStyle name="货币 2 5 2 3 3 4 3" xfId="27068" xr:uid="{00000000-0005-0000-0000-0000EC690000}"/>
    <cellStyle name="货币 2 5 2 3 3 4 4" xfId="27071" xr:uid="{00000000-0005-0000-0000-0000EF690000}"/>
    <cellStyle name="货币 2 5 2 3 3 4 5" xfId="27074" xr:uid="{00000000-0005-0000-0000-0000F2690000}"/>
    <cellStyle name="货币 2 5 2 3 3 4 6" xfId="19250" xr:uid="{00000000-0005-0000-0000-0000624B0000}"/>
    <cellStyle name="货币 2 5 2 3 3 5" xfId="47062" xr:uid="{00000000-0005-0000-0000-000006B80000}"/>
    <cellStyle name="货币 2 5 2 3 3 5 2" xfId="47063" xr:uid="{00000000-0005-0000-0000-000007B80000}"/>
    <cellStyle name="货币 2 5 2 3 3 5 3" xfId="16779" xr:uid="{00000000-0005-0000-0000-0000BB410000}"/>
    <cellStyle name="货币 2 5 2 3 3 5 4" xfId="16794" xr:uid="{00000000-0005-0000-0000-0000CA410000}"/>
    <cellStyle name="货币 2 5 2 3 3 5 5" xfId="16805" xr:uid="{00000000-0005-0000-0000-0000D5410000}"/>
    <cellStyle name="货币 2 5 2 3 3 5 6" xfId="16810" xr:uid="{00000000-0005-0000-0000-0000DA410000}"/>
    <cellStyle name="货币 2 5 2 3 3 6" xfId="35603" xr:uid="{00000000-0005-0000-0000-0000438B0000}"/>
    <cellStyle name="货币 2 5 2 3 3 6 2" xfId="47064" xr:uid="{00000000-0005-0000-0000-000008B80000}"/>
    <cellStyle name="货币 2 5 2 3 3 6 3" xfId="16821" xr:uid="{00000000-0005-0000-0000-0000E5410000}"/>
    <cellStyle name="货币 2 5 2 3 3 6 4" xfId="27078" xr:uid="{00000000-0005-0000-0000-0000F6690000}"/>
    <cellStyle name="货币 2 5 2 3 3 6 5" xfId="27081" xr:uid="{00000000-0005-0000-0000-0000F9690000}"/>
    <cellStyle name="货币 2 5 2 3 3 6 6" xfId="27084" xr:uid="{00000000-0005-0000-0000-0000FC690000}"/>
    <cellStyle name="货币 2 5 2 3 3 7" xfId="47065" xr:uid="{00000000-0005-0000-0000-000009B80000}"/>
    <cellStyle name="货币 2 5 2 3 3 8" xfId="47066" xr:uid="{00000000-0005-0000-0000-00000AB80000}"/>
    <cellStyle name="货币 2 5 2 3 3 9" xfId="47067" xr:uid="{00000000-0005-0000-0000-00000BB80000}"/>
    <cellStyle name="货币 2 5 2 3 4" xfId="47068" xr:uid="{00000000-0005-0000-0000-00000CB80000}"/>
    <cellStyle name="货币 2 5 2 3 4 10" xfId="47069" xr:uid="{00000000-0005-0000-0000-00000DB80000}"/>
    <cellStyle name="货币 2 5 2 3 4 11" xfId="47070" xr:uid="{00000000-0005-0000-0000-00000EB80000}"/>
    <cellStyle name="货币 2 5 2 3 4 12" xfId="19194" xr:uid="{00000000-0005-0000-0000-00002A4B0000}"/>
    <cellStyle name="货币 2 5 2 3 4 13" xfId="47071" xr:uid="{00000000-0005-0000-0000-00000FB80000}"/>
    <cellStyle name="货币 2 5 2 3 4 14" xfId="47072" xr:uid="{00000000-0005-0000-0000-000010B80000}"/>
    <cellStyle name="货币 2 5 2 3 4 15" xfId="47073" xr:uid="{00000000-0005-0000-0000-000011B80000}"/>
    <cellStyle name="货币 2 5 2 3 4 2" xfId="47074" xr:uid="{00000000-0005-0000-0000-000012B80000}"/>
    <cellStyle name="货币 2 5 2 3 4 2 2" xfId="35303" xr:uid="{00000000-0005-0000-0000-0000178A0000}"/>
    <cellStyle name="货币 2 5 2 3 4 2 2 2" xfId="20689" xr:uid="{00000000-0005-0000-0000-000001510000}"/>
    <cellStyle name="货币 2 5 2 3 4 2 3" xfId="25277" xr:uid="{00000000-0005-0000-0000-0000ED620000}"/>
    <cellStyle name="货币 2 5 2 3 4 2 4" xfId="25286" xr:uid="{00000000-0005-0000-0000-0000F6620000}"/>
    <cellStyle name="货币 2 5 2 3 4 2 5" xfId="25292" xr:uid="{00000000-0005-0000-0000-0000FC620000}"/>
    <cellStyle name="货币 2 5 2 3 4 2 6" xfId="25297" xr:uid="{00000000-0005-0000-0000-000001630000}"/>
    <cellStyle name="货币 2 5 2 3 4 2 7" xfId="27089" xr:uid="{00000000-0005-0000-0000-0000016A0000}"/>
    <cellStyle name="货币 2 5 2 3 4 2 8" xfId="12772" xr:uid="{00000000-0005-0000-0000-000014320000}"/>
    <cellStyle name="货币 2 5 2 3 4 2 9" xfId="14368" xr:uid="{00000000-0005-0000-0000-000050380000}"/>
    <cellStyle name="货币 2 5 2 3 4 3" xfId="47075" xr:uid="{00000000-0005-0000-0000-000013B80000}"/>
    <cellStyle name="货币 2 5 2 3 4 3 2" xfId="43055" xr:uid="{00000000-0005-0000-0000-00005FA80000}"/>
    <cellStyle name="货币 2 5 2 3 4 3 3" xfId="25313" xr:uid="{00000000-0005-0000-0000-000011630000}"/>
    <cellStyle name="货币 2 5 2 3 4 3 4" xfId="25318" xr:uid="{00000000-0005-0000-0000-000016630000}"/>
    <cellStyle name="货币 2 5 2 3 4 3 5" xfId="25324" xr:uid="{00000000-0005-0000-0000-00001C630000}"/>
    <cellStyle name="货币 2 5 2 3 4 3 6" xfId="19269" xr:uid="{00000000-0005-0000-0000-0000754B0000}"/>
    <cellStyle name="货币 2 5 2 3 4 4" xfId="47076" xr:uid="{00000000-0005-0000-0000-000014B80000}"/>
    <cellStyle name="货币 2 5 2 3 4 4 2" xfId="47077" xr:uid="{00000000-0005-0000-0000-000015B80000}"/>
    <cellStyle name="货币 2 5 2 3 4 5" xfId="47078" xr:uid="{00000000-0005-0000-0000-000016B80000}"/>
    <cellStyle name="货币 2 5 2 3 4 6" xfId="47079" xr:uid="{00000000-0005-0000-0000-000017B80000}"/>
    <cellStyle name="货币 2 5 2 3 4 7" xfId="19166" xr:uid="{00000000-0005-0000-0000-00000E4B0000}"/>
    <cellStyle name="货币 2 5 2 3 4 8" xfId="19171" xr:uid="{00000000-0005-0000-0000-0000134B0000}"/>
    <cellStyle name="货币 2 5 2 3 4 9" xfId="19176" xr:uid="{00000000-0005-0000-0000-0000184B0000}"/>
    <cellStyle name="货币 2 5 2 3 5" xfId="47080" xr:uid="{00000000-0005-0000-0000-000018B80000}"/>
    <cellStyle name="货币 2 5 2 3 5 10" xfId="47081" xr:uid="{00000000-0005-0000-0000-000019B80000}"/>
    <cellStyle name="货币 2 5 2 3 5 11" xfId="47082" xr:uid="{00000000-0005-0000-0000-00001AB80000}"/>
    <cellStyle name="货币 2 5 2 3 5 12" xfId="47083" xr:uid="{00000000-0005-0000-0000-00001BB80000}"/>
    <cellStyle name="货币 2 5 2 3 5 13" xfId="47084" xr:uid="{00000000-0005-0000-0000-00001CB80000}"/>
    <cellStyle name="货币 2 5 2 3 5 2" xfId="37805" xr:uid="{00000000-0005-0000-0000-0000DD930000}"/>
    <cellStyle name="货币 2 5 2 3 5 2 2" xfId="35322" xr:uid="{00000000-0005-0000-0000-00002A8A0000}"/>
    <cellStyle name="货币 2 5 2 3 5 2 2 2" xfId="13113" xr:uid="{00000000-0005-0000-0000-000069330000}"/>
    <cellStyle name="货币 2 5 2 3 5 2 3" xfId="26239" xr:uid="{00000000-0005-0000-0000-0000AF660000}"/>
    <cellStyle name="货币 2 5 2 3 5 2 4" xfId="26245" xr:uid="{00000000-0005-0000-0000-0000B5660000}"/>
    <cellStyle name="货币 2 5 2 3 5 2 5" xfId="26251" xr:uid="{00000000-0005-0000-0000-0000BB660000}"/>
    <cellStyle name="货币 2 5 2 3 5 2 6" xfId="26256" xr:uid="{00000000-0005-0000-0000-0000C0660000}"/>
    <cellStyle name="货币 2 5 2 3 5 2 7" xfId="27104" xr:uid="{00000000-0005-0000-0000-0000106A0000}"/>
    <cellStyle name="货币 2 5 2 3 5 2 8" xfId="27106" xr:uid="{00000000-0005-0000-0000-0000126A0000}"/>
    <cellStyle name="货币 2 5 2 3 5 2 9" xfId="27108" xr:uid="{00000000-0005-0000-0000-0000146A0000}"/>
    <cellStyle name="货币 2 5 2 3 5 3" xfId="47085" xr:uid="{00000000-0005-0000-0000-00001DB80000}"/>
    <cellStyle name="货币 2 5 2 3 5 3 2" xfId="47086" xr:uid="{00000000-0005-0000-0000-00001EB80000}"/>
    <cellStyle name="货币 2 5 2 3 5 3 3" xfId="26305" xr:uid="{00000000-0005-0000-0000-0000F1660000}"/>
    <cellStyle name="货币 2 5 2 3 5 3 4" xfId="26310" xr:uid="{00000000-0005-0000-0000-0000F6660000}"/>
    <cellStyle name="货币 2 5 2 3 5 3 5" xfId="26316" xr:uid="{00000000-0005-0000-0000-0000FC660000}"/>
    <cellStyle name="货币 2 5 2 3 5 3 6" xfId="26321" xr:uid="{00000000-0005-0000-0000-000001670000}"/>
    <cellStyle name="货币 2 5 2 3 5 4" xfId="47087" xr:uid="{00000000-0005-0000-0000-00001FB80000}"/>
    <cellStyle name="货币 2 5 2 3 5 4 2" xfId="47088" xr:uid="{00000000-0005-0000-0000-000020B80000}"/>
    <cellStyle name="货币 2 5 2 3 5 5" xfId="47089" xr:uid="{00000000-0005-0000-0000-000021B80000}"/>
    <cellStyle name="货币 2 5 2 3 5 6" xfId="47090" xr:uid="{00000000-0005-0000-0000-000022B80000}"/>
    <cellStyle name="货币 2 5 2 3 5 7" xfId="47091" xr:uid="{00000000-0005-0000-0000-000023B80000}"/>
    <cellStyle name="货币 2 5 2 3 5 8" xfId="47092" xr:uid="{00000000-0005-0000-0000-000024B80000}"/>
    <cellStyle name="货币 2 5 2 3 5 9" xfId="47093" xr:uid="{00000000-0005-0000-0000-000025B80000}"/>
    <cellStyle name="货币 2 5 2 3 6" xfId="47094" xr:uid="{00000000-0005-0000-0000-000026B80000}"/>
    <cellStyle name="货币 2 5 2 3 6 10" xfId="10260" xr:uid="{00000000-0005-0000-0000-000044280000}"/>
    <cellStyle name="货币 2 5 2 3 6 11" xfId="47095" xr:uid="{00000000-0005-0000-0000-000027B80000}"/>
    <cellStyle name="货币 2 5 2 3 6 12" xfId="47096" xr:uid="{00000000-0005-0000-0000-000028B80000}"/>
    <cellStyle name="货币 2 5 2 3 6 2" xfId="47097" xr:uid="{00000000-0005-0000-0000-000029B80000}"/>
    <cellStyle name="货币 2 5 2 3 6 2 2" xfId="9090" xr:uid="{00000000-0005-0000-0000-0000B2230000}"/>
    <cellStyle name="货币 2 5 2 3 6 2 2 2" xfId="14486" xr:uid="{00000000-0005-0000-0000-0000C6380000}"/>
    <cellStyle name="货币 2 5 2 3 6 2 3" xfId="9104" xr:uid="{00000000-0005-0000-0000-0000C0230000}"/>
    <cellStyle name="货币 2 5 2 3 6 2 4" xfId="1598" xr:uid="{00000000-0005-0000-0000-00006E060000}"/>
    <cellStyle name="货币 2 5 2 3 6 2 5" xfId="27125" xr:uid="{00000000-0005-0000-0000-0000256A0000}"/>
    <cellStyle name="货币 2 5 2 3 6 2 6" xfId="27128" xr:uid="{00000000-0005-0000-0000-0000286A0000}"/>
    <cellStyle name="货币 2 5 2 3 6 2 7" xfId="27130" xr:uid="{00000000-0005-0000-0000-00002A6A0000}"/>
    <cellStyle name="货币 2 5 2 3 6 2 8" xfId="27132" xr:uid="{00000000-0005-0000-0000-00002C6A0000}"/>
    <cellStyle name="货币 2 5 2 3 6 2 9" xfId="27135" xr:uid="{00000000-0005-0000-0000-00002F6A0000}"/>
    <cellStyle name="货币 2 5 2 3 6 3" xfId="47098" xr:uid="{00000000-0005-0000-0000-00002AB80000}"/>
    <cellStyle name="货币 2 5 2 3 6 3 2" xfId="47099" xr:uid="{00000000-0005-0000-0000-00002BB80000}"/>
    <cellStyle name="货币 2 5 2 3 6 3 3" xfId="25546" xr:uid="{00000000-0005-0000-0000-0000FA630000}"/>
    <cellStyle name="货币 2 5 2 3 6 3 4" xfId="27142" xr:uid="{00000000-0005-0000-0000-0000366A0000}"/>
    <cellStyle name="货币 2 5 2 3 6 3 5" xfId="27147" xr:uid="{00000000-0005-0000-0000-00003B6A0000}"/>
    <cellStyle name="货币 2 5 2 3 6 3 6" xfId="27150" xr:uid="{00000000-0005-0000-0000-00003E6A0000}"/>
    <cellStyle name="货币 2 5 2 3 6 4" xfId="47100" xr:uid="{00000000-0005-0000-0000-00002CB80000}"/>
    <cellStyle name="货币 2 5 2 3 6 4 2" xfId="47101" xr:uid="{00000000-0005-0000-0000-00002DB80000}"/>
    <cellStyle name="货币 2 5 2 3 6 5" xfId="47102" xr:uid="{00000000-0005-0000-0000-00002EB80000}"/>
    <cellStyle name="货币 2 5 2 3 6 6" xfId="47103" xr:uid="{00000000-0005-0000-0000-00002FB80000}"/>
    <cellStyle name="货币 2 5 2 3 6 7" xfId="47104" xr:uid="{00000000-0005-0000-0000-000030B80000}"/>
    <cellStyle name="货币 2 5 2 3 6 8" xfId="47105" xr:uid="{00000000-0005-0000-0000-000031B80000}"/>
    <cellStyle name="货币 2 5 2 3 6 9" xfId="47106" xr:uid="{00000000-0005-0000-0000-000032B80000}"/>
    <cellStyle name="货币 2 5 2 3 7" xfId="47107" xr:uid="{00000000-0005-0000-0000-000033B80000}"/>
    <cellStyle name="货币 2 5 2 3 7 2" xfId="47108" xr:uid="{00000000-0005-0000-0000-000034B80000}"/>
    <cellStyle name="货币 2 5 2 3 7 2 2" xfId="5644" xr:uid="{00000000-0005-0000-0000-00003C160000}"/>
    <cellStyle name="货币 2 5 2 3 7 3" xfId="47109" xr:uid="{00000000-0005-0000-0000-000035B80000}"/>
    <cellStyle name="货币 2 5 2 3 7 4" xfId="27633" xr:uid="{00000000-0005-0000-0000-0000216C0000}"/>
    <cellStyle name="货币 2 5 2 3 7 5" xfId="30417" xr:uid="{00000000-0005-0000-0000-000001770000}"/>
    <cellStyle name="货币 2 5 2 3 7 6" xfId="47110" xr:uid="{00000000-0005-0000-0000-000036B80000}"/>
    <cellStyle name="货币 2 5 2 3 7 7" xfId="47111" xr:uid="{00000000-0005-0000-0000-000037B80000}"/>
    <cellStyle name="货币 2 5 2 3 7 8" xfId="47112" xr:uid="{00000000-0005-0000-0000-000038B80000}"/>
    <cellStyle name="货币 2 5 2 3 7 9" xfId="47113" xr:uid="{00000000-0005-0000-0000-000039B80000}"/>
    <cellStyle name="货币 2 5 2 3 8" xfId="47115" xr:uid="{00000000-0005-0000-0000-00003BB80000}"/>
    <cellStyle name="货币 2 5 2 3 8 2" xfId="47117" xr:uid="{00000000-0005-0000-0000-00003DB80000}"/>
    <cellStyle name="货币 2 5 2 3 8 3" xfId="47118" xr:uid="{00000000-0005-0000-0000-00003EB80000}"/>
    <cellStyle name="货币 2 5 2 3 8 4" xfId="30420" xr:uid="{00000000-0005-0000-0000-000004770000}"/>
    <cellStyle name="货币 2 5 2 3 8 5" xfId="47119" xr:uid="{00000000-0005-0000-0000-00003FB80000}"/>
    <cellStyle name="货币 2 5 2 3 8 6" xfId="47120" xr:uid="{00000000-0005-0000-0000-000040B80000}"/>
    <cellStyle name="货币 2 5 2 3 9" xfId="47122" xr:uid="{00000000-0005-0000-0000-000042B80000}"/>
    <cellStyle name="货币 2 5 2 3 9 2" xfId="8607" xr:uid="{00000000-0005-0000-0000-0000CF210000}"/>
    <cellStyle name="货币 2 5 2 3 9 3" xfId="2726" xr:uid="{00000000-0005-0000-0000-0000D60A0000}"/>
    <cellStyle name="货币 2 5 2 3 9 4" xfId="8615" xr:uid="{00000000-0005-0000-0000-0000D7210000}"/>
    <cellStyle name="货币 2 5 2 3 9 5" xfId="8625" xr:uid="{00000000-0005-0000-0000-0000E1210000}"/>
    <cellStyle name="货币 2 5 2 3 9 6" xfId="47123" xr:uid="{00000000-0005-0000-0000-000043B80000}"/>
    <cellStyle name="货币 2 5 2 4" xfId="28890" xr:uid="{00000000-0005-0000-0000-00000A710000}"/>
    <cellStyle name="货币 2 5 2 4 10" xfId="21667" xr:uid="{00000000-0005-0000-0000-0000D3540000}"/>
    <cellStyle name="货币 2 5 2 4 10 2" xfId="47124" xr:uid="{00000000-0005-0000-0000-000044B80000}"/>
    <cellStyle name="货币 2 5 2 4 10 3" xfId="47125" xr:uid="{00000000-0005-0000-0000-000045B80000}"/>
    <cellStyle name="货币 2 5 2 4 10 4" xfId="25520" xr:uid="{00000000-0005-0000-0000-0000E0630000}"/>
    <cellStyle name="货币 2 5 2 4 10 5" xfId="25524" xr:uid="{00000000-0005-0000-0000-0000E4630000}"/>
    <cellStyle name="货币 2 5 2 4 10 6" xfId="9060" xr:uid="{00000000-0005-0000-0000-000094230000}"/>
    <cellStyle name="货币 2 5 2 4 11" xfId="21672" xr:uid="{00000000-0005-0000-0000-0000D8540000}"/>
    <cellStyle name="货币 2 5 2 4 11 2" xfId="43915" xr:uid="{00000000-0005-0000-0000-0000BBAB0000}"/>
    <cellStyle name="货币 2 5 2 4 11 3" xfId="43917" xr:uid="{00000000-0005-0000-0000-0000BDAB0000}"/>
    <cellStyle name="货币 2 5 2 4 11 4" xfId="25530" xr:uid="{00000000-0005-0000-0000-0000EA630000}"/>
    <cellStyle name="货币 2 5 2 4 11 5" xfId="25536" xr:uid="{00000000-0005-0000-0000-0000F0630000}"/>
    <cellStyle name="货币 2 5 2 4 11 6" xfId="21949" xr:uid="{00000000-0005-0000-0000-0000ED550000}"/>
    <cellStyle name="货币 2 5 2 4 12" xfId="21677" xr:uid="{00000000-0005-0000-0000-0000DD540000}"/>
    <cellStyle name="货币 2 5 2 4 13" xfId="25568" xr:uid="{00000000-0005-0000-0000-000010640000}"/>
    <cellStyle name="货币 2 5 2 4 14" xfId="47126" xr:uid="{00000000-0005-0000-0000-000046B80000}"/>
    <cellStyle name="货币 2 5 2 4 15" xfId="47128" xr:uid="{00000000-0005-0000-0000-000048B80000}"/>
    <cellStyle name="货币 2 5 2 4 16" xfId="47130" xr:uid="{00000000-0005-0000-0000-00004AB80000}"/>
    <cellStyle name="货币 2 5 2 4 17" xfId="47132" xr:uid="{00000000-0005-0000-0000-00004CB80000}"/>
    <cellStyle name="货币 2 5 2 4 18" xfId="47134" xr:uid="{00000000-0005-0000-0000-00004EB80000}"/>
    <cellStyle name="货币 2 5 2 4 19" xfId="47135" xr:uid="{00000000-0005-0000-0000-00004FB80000}"/>
    <cellStyle name="货币 2 5 2 4 2" xfId="41118" xr:uid="{00000000-0005-0000-0000-0000CEA00000}"/>
    <cellStyle name="货币 2 5 2 4 2 10" xfId="47136" xr:uid="{00000000-0005-0000-0000-000050B80000}"/>
    <cellStyle name="货币 2 5 2 4 2 11" xfId="47137" xr:uid="{00000000-0005-0000-0000-000051B80000}"/>
    <cellStyle name="货币 2 5 2 4 2 12" xfId="47138" xr:uid="{00000000-0005-0000-0000-000052B80000}"/>
    <cellStyle name="货币 2 5 2 4 2 13" xfId="47139" xr:uid="{00000000-0005-0000-0000-000053B80000}"/>
    <cellStyle name="货币 2 5 2 4 2 14" xfId="47140" xr:uid="{00000000-0005-0000-0000-000054B80000}"/>
    <cellStyle name="货币 2 5 2 4 2 15" xfId="29487" xr:uid="{00000000-0005-0000-0000-00005F730000}"/>
    <cellStyle name="货币 2 5 2 4 2 16" xfId="40073" xr:uid="{00000000-0005-0000-0000-0000B99C0000}"/>
    <cellStyle name="货币 2 5 2 4 2 17" xfId="12789" xr:uid="{00000000-0005-0000-0000-000025320000}"/>
    <cellStyle name="货币 2 5 2 4 2 18" xfId="18021" xr:uid="{00000000-0005-0000-0000-000095460000}"/>
    <cellStyle name="货币 2 5 2 4 2 2" xfId="47141" xr:uid="{00000000-0005-0000-0000-000055B80000}"/>
    <cellStyle name="货币 2 5 2 4 2 2 10" xfId="47142" xr:uid="{00000000-0005-0000-0000-000056B80000}"/>
    <cellStyle name="货币 2 5 2 4 2 2 11" xfId="47143" xr:uid="{00000000-0005-0000-0000-000057B80000}"/>
    <cellStyle name="货币 2 5 2 4 2 2 12" xfId="47144" xr:uid="{00000000-0005-0000-0000-000058B80000}"/>
    <cellStyle name="货币 2 5 2 4 2 2 2" xfId="5093" xr:uid="{00000000-0005-0000-0000-000015140000}"/>
    <cellStyle name="货币 2 5 2 4 2 2 2 2" xfId="47145" xr:uid="{00000000-0005-0000-0000-000059B80000}"/>
    <cellStyle name="货币 2 5 2 4 2 2 2 2 2" xfId="47146" xr:uid="{00000000-0005-0000-0000-00005AB80000}"/>
    <cellStyle name="货币 2 5 2 4 2 2 2 3" xfId="47147" xr:uid="{00000000-0005-0000-0000-00005BB80000}"/>
    <cellStyle name="货币 2 5 2 4 2 2 2 4" xfId="47148" xr:uid="{00000000-0005-0000-0000-00005CB80000}"/>
    <cellStyle name="货币 2 5 2 4 2 2 2 5" xfId="47149" xr:uid="{00000000-0005-0000-0000-00005DB80000}"/>
    <cellStyle name="货币 2 5 2 4 2 2 3" xfId="7422" xr:uid="{00000000-0005-0000-0000-00002E1D0000}"/>
    <cellStyle name="货币 2 5 2 4 2 2 3 2" xfId="27208" xr:uid="{00000000-0005-0000-0000-0000786A0000}"/>
    <cellStyle name="货币 2 5 2 4 2 2 4" xfId="9389" xr:uid="{00000000-0005-0000-0000-0000DD240000}"/>
    <cellStyle name="货币 2 5 2 4 2 2 5" xfId="11594" xr:uid="{00000000-0005-0000-0000-00007A2D0000}"/>
    <cellStyle name="货币 2 5 2 4 2 2 6" xfId="13935" xr:uid="{00000000-0005-0000-0000-00009F360000}"/>
    <cellStyle name="货币 2 5 2 4 2 2 7" xfId="26505" xr:uid="{00000000-0005-0000-0000-0000B9670000}"/>
    <cellStyle name="货币 2 5 2 4 2 2 8" xfId="26511" xr:uid="{00000000-0005-0000-0000-0000BF670000}"/>
    <cellStyle name="货币 2 5 2 4 2 2 9" xfId="5498" xr:uid="{00000000-0005-0000-0000-0000AA150000}"/>
    <cellStyle name="货币 2 5 2 4 2 3" xfId="47150" xr:uid="{00000000-0005-0000-0000-00005EB80000}"/>
    <cellStyle name="货币 2 5 2 4 2 3 10" xfId="45729" xr:uid="{00000000-0005-0000-0000-0000D1B20000}"/>
    <cellStyle name="货币 2 5 2 4 2 3 11" xfId="45731" xr:uid="{00000000-0005-0000-0000-0000D3B20000}"/>
    <cellStyle name="货币 2 5 2 4 2 3 12" xfId="45733" xr:uid="{00000000-0005-0000-0000-0000D5B20000}"/>
    <cellStyle name="货币 2 5 2 4 2 3 2" xfId="47151" xr:uid="{00000000-0005-0000-0000-00005FB80000}"/>
    <cellStyle name="货币 2 5 2 4 2 3 2 2" xfId="47152" xr:uid="{00000000-0005-0000-0000-000060B80000}"/>
    <cellStyle name="货币 2 5 2 4 2 3 2 2 2" xfId="1025" xr:uid="{00000000-0005-0000-0000-000031040000}"/>
    <cellStyle name="货币 2 5 2 4 2 3 2 3" xfId="47153" xr:uid="{00000000-0005-0000-0000-000061B80000}"/>
    <cellStyle name="货币 2 5 2 4 2 3 2 4" xfId="47154" xr:uid="{00000000-0005-0000-0000-000062B80000}"/>
    <cellStyle name="货币 2 5 2 4 2 3 2 5" xfId="47155" xr:uid="{00000000-0005-0000-0000-000063B80000}"/>
    <cellStyle name="货币 2 5 2 4 2 3 3" xfId="27211" xr:uid="{00000000-0005-0000-0000-00007B6A0000}"/>
    <cellStyle name="货币 2 5 2 4 2 3 3 2" xfId="47156" xr:uid="{00000000-0005-0000-0000-000064B80000}"/>
    <cellStyle name="货币 2 5 2 4 2 3 4" xfId="27213" xr:uid="{00000000-0005-0000-0000-00007D6A0000}"/>
    <cellStyle name="货币 2 5 2 4 2 3 5" xfId="26516" xr:uid="{00000000-0005-0000-0000-0000C4670000}"/>
    <cellStyle name="货币 2 5 2 4 2 3 6" xfId="27215" xr:uid="{00000000-0005-0000-0000-00007F6A0000}"/>
    <cellStyle name="货币 2 5 2 4 2 3 7" xfId="3969" xr:uid="{00000000-0005-0000-0000-0000B10F0000}"/>
    <cellStyle name="货币 2 5 2 4 2 3 8" xfId="47157" xr:uid="{00000000-0005-0000-0000-000065B80000}"/>
    <cellStyle name="货币 2 5 2 4 2 3 9" xfId="47158" xr:uid="{00000000-0005-0000-0000-000066B80000}"/>
    <cellStyle name="货币 2 5 2 4 2 4" xfId="47159" xr:uid="{00000000-0005-0000-0000-000067B80000}"/>
    <cellStyle name="货币 2 5 2 4 2 4 10" xfId="47160" xr:uid="{00000000-0005-0000-0000-000068B80000}"/>
    <cellStyle name="货币 2 5 2 4 2 4 2" xfId="47161" xr:uid="{00000000-0005-0000-0000-000069B80000}"/>
    <cellStyle name="货币 2 5 2 4 2 4 2 2" xfId="4014" xr:uid="{00000000-0005-0000-0000-0000DE0F0000}"/>
    <cellStyle name="货币 2 5 2 4 2 4 2 2 2" xfId="47162" xr:uid="{00000000-0005-0000-0000-00006AB80000}"/>
    <cellStyle name="货币 2 5 2 4 2 4 2 3" xfId="47163" xr:uid="{00000000-0005-0000-0000-00006BB80000}"/>
    <cellStyle name="货币 2 5 2 4 2 4 2 4" xfId="47164" xr:uid="{00000000-0005-0000-0000-00006CB80000}"/>
    <cellStyle name="货币 2 5 2 4 2 4 2 5" xfId="47165" xr:uid="{00000000-0005-0000-0000-00006DB80000}"/>
    <cellStyle name="货币 2 5 2 4 2 4 3" xfId="27217" xr:uid="{00000000-0005-0000-0000-0000816A0000}"/>
    <cellStyle name="货币 2 5 2 4 2 4 3 2" xfId="47166" xr:uid="{00000000-0005-0000-0000-00006EB80000}"/>
    <cellStyle name="货币 2 5 2 4 2 4 4" xfId="27219" xr:uid="{00000000-0005-0000-0000-0000836A0000}"/>
    <cellStyle name="货币 2 5 2 4 2 4 5" xfId="27221" xr:uid="{00000000-0005-0000-0000-0000856A0000}"/>
    <cellStyle name="货币 2 5 2 4 2 4 6" xfId="27223" xr:uid="{00000000-0005-0000-0000-0000876A0000}"/>
    <cellStyle name="货币 2 5 2 4 2 4 7" xfId="47167" xr:uid="{00000000-0005-0000-0000-00006FB80000}"/>
    <cellStyle name="货币 2 5 2 4 2 4 8" xfId="47168" xr:uid="{00000000-0005-0000-0000-000070B80000}"/>
    <cellStyle name="货币 2 5 2 4 2 4 9" xfId="47169" xr:uid="{00000000-0005-0000-0000-000071B80000}"/>
    <cellStyle name="货币 2 5 2 4 2 5" xfId="47170" xr:uid="{00000000-0005-0000-0000-000072B80000}"/>
    <cellStyle name="货币 2 5 2 4 2 5 10" xfId="47171" xr:uid="{00000000-0005-0000-0000-000073B80000}"/>
    <cellStyle name="货币 2 5 2 4 2 5 2" xfId="12667" xr:uid="{00000000-0005-0000-0000-0000AB310000}"/>
    <cellStyle name="货币 2 5 2 4 2 5 2 2" xfId="47172" xr:uid="{00000000-0005-0000-0000-000074B80000}"/>
    <cellStyle name="货币 2 5 2 4 2 5 2 2 2" xfId="47173" xr:uid="{00000000-0005-0000-0000-000075B80000}"/>
    <cellStyle name="货币 2 5 2 4 2 5 2 3" xfId="47174" xr:uid="{00000000-0005-0000-0000-000076B80000}"/>
    <cellStyle name="货币 2 5 2 4 2 5 2 4" xfId="47175" xr:uid="{00000000-0005-0000-0000-000077B80000}"/>
    <cellStyle name="货币 2 5 2 4 2 5 2 5" xfId="47176" xr:uid="{00000000-0005-0000-0000-000078B80000}"/>
    <cellStyle name="货币 2 5 2 4 2 5 3" xfId="12677" xr:uid="{00000000-0005-0000-0000-0000B5310000}"/>
    <cellStyle name="货币 2 5 2 4 2 5 3 2" xfId="47178" xr:uid="{00000000-0005-0000-0000-00007AB80000}"/>
    <cellStyle name="货币 2 5 2 4 2 5 4" xfId="47179" xr:uid="{00000000-0005-0000-0000-00007BB80000}"/>
    <cellStyle name="货币 2 5 2 4 2 5 5" xfId="47180" xr:uid="{00000000-0005-0000-0000-00007CB80000}"/>
    <cellStyle name="货币 2 5 2 4 2 5 6" xfId="47181" xr:uid="{00000000-0005-0000-0000-00007DB80000}"/>
    <cellStyle name="货币 2 5 2 4 2 5 7" xfId="47182" xr:uid="{00000000-0005-0000-0000-00007EB80000}"/>
    <cellStyle name="货币 2 5 2 4 2 5 8" xfId="47183" xr:uid="{00000000-0005-0000-0000-00007FB80000}"/>
    <cellStyle name="货币 2 5 2 4 2 5 9" xfId="47184" xr:uid="{00000000-0005-0000-0000-000080B80000}"/>
    <cellStyle name="货币 2 5 2 4 2 6" xfId="47185" xr:uid="{00000000-0005-0000-0000-000081B80000}"/>
    <cellStyle name="货币 2 5 2 4 2 6 2" xfId="47186" xr:uid="{00000000-0005-0000-0000-000082B80000}"/>
    <cellStyle name="货币 2 5 2 4 2 6 2 2" xfId="47187" xr:uid="{00000000-0005-0000-0000-000083B80000}"/>
    <cellStyle name="货币 2 5 2 4 2 6 3" xfId="47188" xr:uid="{00000000-0005-0000-0000-000084B80000}"/>
    <cellStyle name="货币 2 5 2 4 2 6 4" xfId="47189" xr:uid="{00000000-0005-0000-0000-000085B80000}"/>
    <cellStyle name="货币 2 5 2 4 2 6 5" xfId="47190" xr:uid="{00000000-0005-0000-0000-000086B80000}"/>
    <cellStyle name="货币 2 5 2 4 2 6 6" xfId="47191" xr:uid="{00000000-0005-0000-0000-000087B80000}"/>
    <cellStyle name="货币 2 5 2 4 2 6 7" xfId="47192" xr:uid="{00000000-0005-0000-0000-000088B80000}"/>
    <cellStyle name="货币 2 5 2 4 2 6 8" xfId="47193" xr:uid="{00000000-0005-0000-0000-000089B80000}"/>
    <cellStyle name="货币 2 5 2 4 2 6 9" xfId="47194" xr:uid="{00000000-0005-0000-0000-00008AB80000}"/>
    <cellStyle name="货币 2 5 2 4 2 7" xfId="47195" xr:uid="{00000000-0005-0000-0000-00008BB80000}"/>
    <cellStyle name="货币 2 5 2 4 2 7 2" xfId="38395" xr:uid="{00000000-0005-0000-0000-00002B960000}"/>
    <cellStyle name="货币 2 5 2 4 2 8" xfId="47196" xr:uid="{00000000-0005-0000-0000-00008CB80000}"/>
    <cellStyle name="货币 2 5 2 4 2 9" xfId="47197" xr:uid="{00000000-0005-0000-0000-00008DB80000}"/>
    <cellStyle name="货币 2 5 2 4 20" xfId="47127" xr:uid="{00000000-0005-0000-0000-000047B80000}"/>
    <cellStyle name="货币 2 5 2 4 21" xfId="47129" xr:uid="{00000000-0005-0000-0000-000049B80000}"/>
    <cellStyle name="货币 2 5 2 4 22" xfId="47131" xr:uid="{00000000-0005-0000-0000-00004BB80000}"/>
    <cellStyle name="货币 2 5 2 4 23" xfId="47133" xr:uid="{00000000-0005-0000-0000-00004DB80000}"/>
    <cellStyle name="货币 2 5 2 4 3" xfId="41120" xr:uid="{00000000-0005-0000-0000-0000D0A00000}"/>
    <cellStyle name="货币 2 5 2 4 3 10" xfId="27285" xr:uid="{00000000-0005-0000-0000-0000C56A0000}"/>
    <cellStyle name="货币 2 5 2 4 3 11" xfId="27288" xr:uid="{00000000-0005-0000-0000-0000C86A0000}"/>
    <cellStyle name="货币 2 5 2 4 3 12" xfId="27290" xr:uid="{00000000-0005-0000-0000-0000CA6A0000}"/>
    <cellStyle name="货币 2 5 2 4 3 13" xfId="47198" xr:uid="{00000000-0005-0000-0000-00008EB80000}"/>
    <cellStyle name="货币 2 5 2 4 3 14" xfId="47199" xr:uid="{00000000-0005-0000-0000-00008FB80000}"/>
    <cellStyle name="货币 2 5 2 4 3 15" xfId="47200" xr:uid="{00000000-0005-0000-0000-000090B80000}"/>
    <cellStyle name="货币 2 5 2 4 3 16" xfId="47201" xr:uid="{00000000-0005-0000-0000-000091B80000}"/>
    <cellStyle name="货币 2 5 2 4 3 17" xfId="47202" xr:uid="{00000000-0005-0000-0000-000092B80000}"/>
    <cellStyle name="货币 2 5 2 4 3 18" xfId="47203" xr:uid="{00000000-0005-0000-0000-000093B80000}"/>
    <cellStyle name="货币 2 5 2 4 3 2" xfId="47204" xr:uid="{00000000-0005-0000-0000-000094B80000}"/>
    <cellStyle name="货币 2 5 2 4 3 2 10" xfId="37289" xr:uid="{00000000-0005-0000-0000-0000D9910000}"/>
    <cellStyle name="货币 2 5 2 4 3 2 2" xfId="14012" xr:uid="{00000000-0005-0000-0000-0000EC360000}"/>
    <cellStyle name="货币 2 5 2 4 3 2 2 2" xfId="31216" xr:uid="{00000000-0005-0000-0000-0000207A0000}"/>
    <cellStyle name="货币 2 5 2 4 3 2 3" xfId="6132" xr:uid="{00000000-0005-0000-0000-000024180000}"/>
    <cellStyle name="货币 2 5 2 4 3 2 4" xfId="27231" xr:uid="{00000000-0005-0000-0000-00008F6A0000}"/>
    <cellStyle name="货币 2 5 2 4 3 2 5" xfId="26524" xr:uid="{00000000-0005-0000-0000-0000CC670000}"/>
    <cellStyle name="货币 2 5 2 4 3 2 6" xfId="27235" xr:uid="{00000000-0005-0000-0000-0000936A0000}"/>
    <cellStyle name="货币 2 5 2 4 3 2 7" xfId="36183" xr:uid="{00000000-0005-0000-0000-0000878D0000}"/>
    <cellStyle name="货币 2 5 2 4 3 2 8" xfId="32697" xr:uid="{00000000-0005-0000-0000-0000E97F0000}"/>
    <cellStyle name="货币 2 5 2 4 3 2 9" xfId="36185" xr:uid="{00000000-0005-0000-0000-0000898D0000}"/>
    <cellStyle name="货币 2 5 2 4 3 3" xfId="45362" xr:uid="{00000000-0005-0000-0000-000062B10000}"/>
    <cellStyle name="货币 2 5 2 4 3 3 2" xfId="27187" xr:uid="{00000000-0005-0000-0000-0000636A0000}"/>
    <cellStyle name="货币 2 5 2 4 3 3 3" xfId="27191" xr:uid="{00000000-0005-0000-0000-0000676A0000}"/>
    <cellStyle name="货币 2 5 2 4 3 3 4" xfId="27197" xr:uid="{00000000-0005-0000-0000-00006D6A0000}"/>
    <cellStyle name="货币 2 5 2 4 3 3 5" xfId="27202" xr:uid="{00000000-0005-0000-0000-0000726A0000}"/>
    <cellStyle name="货币 2 5 2 4 3 3 6" xfId="2676" xr:uid="{00000000-0005-0000-0000-0000A40A0000}"/>
    <cellStyle name="货币 2 5 2 4 3 4" xfId="47205" xr:uid="{00000000-0005-0000-0000-000095B80000}"/>
    <cellStyle name="货币 2 5 2 4 3 4 2" xfId="2376" xr:uid="{00000000-0005-0000-0000-000078090000}"/>
    <cellStyle name="货币 2 5 2 4 3 4 3" xfId="4481" xr:uid="{00000000-0005-0000-0000-0000B1110000}"/>
    <cellStyle name="货币 2 5 2 4 3 4 4" xfId="2602" xr:uid="{00000000-0005-0000-0000-00005A0A0000}"/>
    <cellStyle name="货币 2 5 2 4 3 4 5" xfId="36190" xr:uid="{00000000-0005-0000-0000-00008E8D0000}"/>
    <cellStyle name="货币 2 5 2 4 3 4 6" xfId="8417" xr:uid="{00000000-0005-0000-0000-000011210000}"/>
    <cellStyle name="货币 2 5 2 4 3 5" xfId="47206" xr:uid="{00000000-0005-0000-0000-000096B80000}"/>
    <cellStyle name="货币 2 5 2 4 3 5 2" xfId="3235" xr:uid="{00000000-0005-0000-0000-0000D30C0000}"/>
    <cellStyle name="货币 2 5 2 4 3 5 3" xfId="4528" xr:uid="{00000000-0005-0000-0000-0000E0110000}"/>
    <cellStyle name="货币 2 5 2 4 3 5 4" xfId="14500" xr:uid="{00000000-0005-0000-0000-0000D4380000}"/>
    <cellStyle name="货币 2 5 2 4 3 5 5" xfId="36194" xr:uid="{00000000-0005-0000-0000-0000928D0000}"/>
    <cellStyle name="货币 2 5 2 4 3 5 6" xfId="8464" xr:uid="{00000000-0005-0000-0000-000040210000}"/>
    <cellStyle name="货币 2 5 2 4 3 6" xfId="47207" xr:uid="{00000000-0005-0000-0000-000097B80000}"/>
    <cellStyle name="货币 2 5 2 4 3 6 2" xfId="47208" xr:uid="{00000000-0005-0000-0000-000098B80000}"/>
    <cellStyle name="货币 2 5 2 4 3 6 3" xfId="47209" xr:uid="{00000000-0005-0000-0000-000099B80000}"/>
    <cellStyle name="货币 2 5 2 4 3 6 4" xfId="47210" xr:uid="{00000000-0005-0000-0000-00009AB80000}"/>
    <cellStyle name="货币 2 5 2 4 3 6 5" xfId="47211" xr:uid="{00000000-0005-0000-0000-00009BB80000}"/>
    <cellStyle name="货币 2 5 2 4 3 6 6" xfId="47212" xr:uid="{00000000-0005-0000-0000-00009CB80000}"/>
    <cellStyle name="货币 2 5 2 4 3 7" xfId="47213" xr:uid="{00000000-0005-0000-0000-00009DB80000}"/>
    <cellStyle name="货币 2 5 2 4 3 8" xfId="47214" xr:uid="{00000000-0005-0000-0000-00009EB80000}"/>
    <cellStyle name="货币 2 5 2 4 3 9" xfId="47215" xr:uid="{00000000-0005-0000-0000-00009FB80000}"/>
    <cellStyle name="货币 2 5 2 4 4" xfId="47216" xr:uid="{00000000-0005-0000-0000-0000A0B80000}"/>
    <cellStyle name="货币 2 5 2 4 4 10" xfId="47218" xr:uid="{00000000-0005-0000-0000-0000A2B80000}"/>
    <cellStyle name="货币 2 5 2 4 4 11" xfId="47220" xr:uid="{00000000-0005-0000-0000-0000A4B80000}"/>
    <cellStyle name="货币 2 5 2 4 4 12" xfId="47221" xr:uid="{00000000-0005-0000-0000-0000A5B80000}"/>
    <cellStyle name="货币 2 5 2 4 4 13" xfId="34595" xr:uid="{00000000-0005-0000-0000-000053870000}"/>
    <cellStyle name="货币 2 5 2 4 4 14" xfId="13226" xr:uid="{00000000-0005-0000-0000-0000DA330000}"/>
    <cellStyle name="货币 2 5 2 4 4 15" xfId="13230" xr:uid="{00000000-0005-0000-0000-0000DE330000}"/>
    <cellStyle name="货币 2 5 2 4 4 2" xfId="47222" xr:uid="{00000000-0005-0000-0000-0000A6B80000}"/>
    <cellStyle name="货币 2 5 2 4 4 2 2" xfId="47223" xr:uid="{00000000-0005-0000-0000-0000A7B80000}"/>
    <cellStyle name="货币 2 5 2 4 4 2 2 2" xfId="6798" xr:uid="{00000000-0005-0000-0000-0000BE1A0000}"/>
    <cellStyle name="货币 2 5 2 4 4 2 3" xfId="27246" xr:uid="{00000000-0005-0000-0000-00009E6A0000}"/>
    <cellStyle name="货币 2 5 2 4 4 2 4" xfId="19464" xr:uid="{00000000-0005-0000-0000-0000384C0000}"/>
    <cellStyle name="货币 2 5 2 4 4 2 5" xfId="19468" xr:uid="{00000000-0005-0000-0000-00003C4C0000}"/>
    <cellStyle name="货币 2 5 2 4 4 2 6" xfId="19471" xr:uid="{00000000-0005-0000-0000-00003F4C0000}"/>
    <cellStyle name="货币 2 5 2 4 4 2 7" xfId="10933" xr:uid="{00000000-0005-0000-0000-0000E52A0000}"/>
    <cellStyle name="货币 2 5 2 4 4 2 8" xfId="15126" xr:uid="{00000000-0005-0000-0000-0000463B0000}"/>
    <cellStyle name="货币 2 5 2 4 4 2 9" xfId="15130" xr:uid="{00000000-0005-0000-0000-00004A3B0000}"/>
    <cellStyle name="货币 2 5 2 4 4 3" xfId="47224" xr:uid="{00000000-0005-0000-0000-0000A8B80000}"/>
    <cellStyle name="货币 2 5 2 4 4 3 2" xfId="47225" xr:uid="{00000000-0005-0000-0000-0000A9B80000}"/>
    <cellStyle name="货币 2 5 2 4 4 3 3" xfId="27252" xr:uid="{00000000-0005-0000-0000-0000A46A0000}"/>
    <cellStyle name="货币 2 5 2 4 4 3 4" xfId="47226" xr:uid="{00000000-0005-0000-0000-0000AAB80000}"/>
    <cellStyle name="货币 2 5 2 4 4 3 5" xfId="47227" xr:uid="{00000000-0005-0000-0000-0000ABB80000}"/>
    <cellStyle name="货币 2 5 2 4 4 3 6" xfId="47228" xr:uid="{00000000-0005-0000-0000-0000ACB80000}"/>
    <cellStyle name="货币 2 5 2 4 4 4" xfId="47229" xr:uid="{00000000-0005-0000-0000-0000ADB80000}"/>
    <cellStyle name="货币 2 5 2 4 4 4 2" xfId="47230" xr:uid="{00000000-0005-0000-0000-0000AEB80000}"/>
    <cellStyle name="货币 2 5 2 4 4 5" xfId="47231" xr:uid="{00000000-0005-0000-0000-0000AFB80000}"/>
    <cellStyle name="货币 2 5 2 4 4 6" xfId="47232" xr:uid="{00000000-0005-0000-0000-0000B0B80000}"/>
    <cellStyle name="货币 2 5 2 4 4 7" xfId="47233" xr:uid="{00000000-0005-0000-0000-0000B1B80000}"/>
    <cellStyle name="货币 2 5 2 4 4 8" xfId="47234" xr:uid="{00000000-0005-0000-0000-0000B2B80000}"/>
    <cellStyle name="货币 2 5 2 4 4 9" xfId="47235" xr:uid="{00000000-0005-0000-0000-0000B3B80000}"/>
    <cellStyle name="货币 2 5 2 4 5" xfId="47236" xr:uid="{00000000-0005-0000-0000-0000B4B80000}"/>
    <cellStyle name="货币 2 5 2 4 5 10" xfId="47237" xr:uid="{00000000-0005-0000-0000-0000B5B80000}"/>
    <cellStyle name="货币 2 5 2 4 5 11" xfId="47238" xr:uid="{00000000-0005-0000-0000-0000B6B80000}"/>
    <cellStyle name="货币 2 5 2 4 5 12" xfId="47239" xr:uid="{00000000-0005-0000-0000-0000B7B80000}"/>
    <cellStyle name="货币 2 5 2 4 5 13" xfId="47240" xr:uid="{00000000-0005-0000-0000-0000B8B80000}"/>
    <cellStyle name="货币 2 5 2 4 5 2" xfId="47241" xr:uid="{00000000-0005-0000-0000-0000B9B80000}"/>
    <cellStyle name="货币 2 5 2 4 5 2 2" xfId="47242" xr:uid="{00000000-0005-0000-0000-0000BAB80000}"/>
    <cellStyle name="货币 2 5 2 4 5 2 2 2" xfId="2996" xr:uid="{00000000-0005-0000-0000-0000E40B0000}"/>
    <cellStyle name="货币 2 5 2 4 5 2 3" xfId="721" xr:uid="{00000000-0005-0000-0000-000001030000}"/>
    <cellStyle name="货币 2 5 2 4 5 2 4" xfId="27257" xr:uid="{00000000-0005-0000-0000-0000A96A0000}"/>
    <cellStyle name="货币 2 5 2 4 5 2 5" xfId="27259" xr:uid="{00000000-0005-0000-0000-0000AB6A0000}"/>
    <cellStyle name="货币 2 5 2 4 5 2 6" xfId="27261" xr:uid="{00000000-0005-0000-0000-0000AD6A0000}"/>
    <cellStyle name="货币 2 5 2 4 5 2 7" xfId="47243" xr:uid="{00000000-0005-0000-0000-0000BBB80000}"/>
    <cellStyle name="货币 2 5 2 4 5 2 8" xfId="6057" xr:uid="{00000000-0005-0000-0000-0000D9170000}"/>
    <cellStyle name="货币 2 5 2 4 5 2 9" xfId="24433" xr:uid="{00000000-0005-0000-0000-0000A15F0000}"/>
    <cellStyle name="货币 2 5 2 4 5 3" xfId="47244" xr:uid="{00000000-0005-0000-0000-0000BCB80000}"/>
    <cellStyle name="货币 2 5 2 4 5 3 2" xfId="47245" xr:uid="{00000000-0005-0000-0000-0000BDB80000}"/>
    <cellStyle name="货币 2 5 2 4 5 3 3" xfId="27265" xr:uid="{00000000-0005-0000-0000-0000B16A0000}"/>
    <cellStyle name="货币 2 5 2 4 5 3 4" xfId="47246" xr:uid="{00000000-0005-0000-0000-0000BEB80000}"/>
    <cellStyle name="货币 2 5 2 4 5 3 5" xfId="47247" xr:uid="{00000000-0005-0000-0000-0000BFB80000}"/>
    <cellStyle name="货币 2 5 2 4 5 3 6" xfId="47248" xr:uid="{00000000-0005-0000-0000-0000C0B80000}"/>
    <cellStyle name="货币 2 5 2 4 5 4" xfId="47249" xr:uid="{00000000-0005-0000-0000-0000C1B80000}"/>
    <cellStyle name="货币 2 5 2 4 5 4 2" xfId="47250" xr:uid="{00000000-0005-0000-0000-0000C2B80000}"/>
    <cellStyle name="货币 2 5 2 4 5 5" xfId="47251" xr:uid="{00000000-0005-0000-0000-0000C3B80000}"/>
    <cellStyle name="货币 2 5 2 4 5 6" xfId="47252" xr:uid="{00000000-0005-0000-0000-0000C4B80000}"/>
    <cellStyle name="货币 2 5 2 4 5 7" xfId="47253" xr:uid="{00000000-0005-0000-0000-0000C5B80000}"/>
    <cellStyle name="货币 2 5 2 4 5 8" xfId="47254" xr:uid="{00000000-0005-0000-0000-0000C6B80000}"/>
    <cellStyle name="货币 2 5 2 4 5 9" xfId="47255" xr:uid="{00000000-0005-0000-0000-0000C7B80000}"/>
    <cellStyle name="货币 2 5 2 4 6" xfId="47256" xr:uid="{00000000-0005-0000-0000-0000C8B80000}"/>
    <cellStyle name="货币 2 5 2 4 6 10" xfId="12831" xr:uid="{00000000-0005-0000-0000-00004F320000}"/>
    <cellStyle name="货币 2 5 2 4 6 11" xfId="12835" xr:uid="{00000000-0005-0000-0000-000053320000}"/>
    <cellStyle name="货币 2 5 2 4 6 12" xfId="12840" xr:uid="{00000000-0005-0000-0000-000058320000}"/>
    <cellStyle name="货币 2 5 2 4 6 2" xfId="47257" xr:uid="{00000000-0005-0000-0000-0000C9B80000}"/>
    <cellStyle name="货币 2 5 2 4 6 2 2" xfId="47258" xr:uid="{00000000-0005-0000-0000-0000CAB80000}"/>
    <cellStyle name="货币 2 5 2 4 6 2 2 2" xfId="12227" xr:uid="{00000000-0005-0000-0000-0000F32F0000}"/>
    <cellStyle name="货币 2 5 2 4 6 2 3" xfId="27277" xr:uid="{00000000-0005-0000-0000-0000BD6A0000}"/>
    <cellStyle name="货币 2 5 2 4 6 2 4" xfId="47259" xr:uid="{00000000-0005-0000-0000-0000CBB80000}"/>
    <cellStyle name="货币 2 5 2 4 6 2 5" xfId="47260" xr:uid="{00000000-0005-0000-0000-0000CCB80000}"/>
    <cellStyle name="货币 2 5 2 4 6 2 6" xfId="47261" xr:uid="{00000000-0005-0000-0000-0000CDB80000}"/>
    <cellStyle name="货币 2 5 2 4 6 2 7" xfId="47262" xr:uid="{00000000-0005-0000-0000-0000CEB80000}"/>
    <cellStyle name="货币 2 5 2 4 6 2 8" xfId="25638" xr:uid="{00000000-0005-0000-0000-000056640000}"/>
    <cellStyle name="货币 2 5 2 4 6 2 9" xfId="25711" xr:uid="{00000000-0005-0000-0000-00009F640000}"/>
    <cellStyle name="货币 2 5 2 4 6 3" xfId="47263" xr:uid="{00000000-0005-0000-0000-0000CFB80000}"/>
    <cellStyle name="货币 2 5 2 4 6 3 2" xfId="47264" xr:uid="{00000000-0005-0000-0000-0000D0B80000}"/>
    <cellStyle name="货币 2 5 2 4 6 3 3" xfId="47265" xr:uid="{00000000-0005-0000-0000-0000D1B80000}"/>
    <cellStyle name="货币 2 5 2 4 6 3 4" xfId="47266" xr:uid="{00000000-0005-0000-0000-0000D2B80000}"/>
    <cellStyle name="货币 2 5 2 4 6 3 5" xfId="47267" xr:uid="{00000000-0005-0000-0000-0000D3B80000}"/>
    <cellStyle name="货币 2 5 2 4 6 3 6" xfId="47268" xr:uid="{00000000-0005-0000-0000-0000D4B80000}"/>
    <cellStyle name="货币 2 5 2 4 6 4" xfId="47269" xr:uid="{00000000-0005-0000-0000-0000D5B80000}"/>
    <cellStyle name="货币 2 5 2 4 6 4 2" xfId="47270" xr:uid="{00000000-0005-0000-0000-0000D6B80000}"/>
    <cellStyle name="货币 2 5 2 4 6 5" xfId="47271" xr:uid="{00000000-0005-0000-0000-0000D7B80000}"/>
    <cellStyle name="货币 2 5 2 4 6 6" xfId="47272" xr:uid="{00000000-0005-0000-0000-0000D8B80000}"/>
    <cellStyle name="货币 2 5 2 4 6 7" xfId="47273" xr:uid="{00000000-0005-0000-0000-0000D9B80000}"/>
    <cellStyle name="货币 2 5 2 4 6 8" xfId="47274" xr:uid="{00000000-0005-0000-0000-0000DAB80000}"/>
    <cellStyle name="货币 2 5 2 4 6 9" xfId="47275" xr:uid="{00000000-0005-0000-0000-0000DBB80000}"/>
    <cellStyle name="货币 2 5 2 4 7" xfId="47276" xr:uid="{00000000-0005-0000-0000-0000DCB80000}"/>
    <cellStyle name="货币 2 5 2 4 7 2" xfId="47277" xr:uid="{00000000-0005-0000-0000-0000DDB80000}"/>
    <cellStyle name="货币 2 5 2 4 7 2 2" xfId="47278" xr:uid="{00000000-0005-0000-0000-0000DEB80000}"/>
    <cellStyle name="货币 2 5 2 4 7 3" xfId="47279" xr:uid="{00000000-0005-0000-0000-0000DFB80000}"/>
    <cellStyle name="货币 2 5 2 4 7 4" xfId="30423" xr:uid="{00000000-0005-0000-0000-000007770000}"/>
    <cellStyle name="货币 2 5 2 4 7 5" xfId="30430" xr:uid="{00000000-0005-0000-0000-00000E770000}"/>
    <cellStyle name="货币 2 5 2 4 7 6" xfId="47280" xr:uid="{00000000-0005-0000-0000-0000E0B80000}"/>
    <cellStyle name="货币 2 5 2 4 7 7" xfId="47281" xr:uid="{00000000-0005-0000-0000-0000E1B80000}"/>
    <cellStyle name="货币 2 5 2 4 7 8" xfId="47282" xr:uid="{00000000-0005-0000-0000-0000E2B80000}"/>
    <cellStyle name="货币 2 5 2 4 7 9" xfId="47283" xr:uid="{00000000-0005-0000-0000-0000E3B80000}"/>
    <cellStyle name="货币 2 5 2 4 8" xfId="47285" xr:uid="{00000000-0005-0000-0000-0000E5B80000}"/>
    <cellStyle name="货币 2 5 2 4 8 2" xfId="47286" xr:uid="{00000000-0005-0000-0000-0000E6B80000}"/>
    <cellStyle name="货币 2 5 2 4 8 3" xfId="47287" xr:uid="{00000000-0005-0000-0000-0000E7B80000}"/>
    <cellStyle name="货币 2 5 2 4 8 4" xfId="30435" xr:uid="{00000000-0005-0000-0000-000013770000}"/>
    <cellStyle name="货币 2 5 2 4 8 5" xfId="47288" xr:uid="{00000000-0005-0000-0000-0000E8B80000}"/>
    <cellStyle name="货币 2 5 2 4 8 6" xfId="12592" xr:uid="{00000000-0005-0000-0000-000060310000}"/>
    <cellStyle name="货币 2 5 2 4 9" xfId="47289" xr:uid="{00000000-0005-0000-0000-0000E9B80000}"/>
    <cellStyle name="货币 2 5 2 4 9 2" xfId="12502" xr:uid="{00000000-0005-0000-0000-000006310000}"/>
    <cellStyle name="货币 2 5 2 4 9 3" xfId="7357" xr:uid="{00000000-0005-0000-0000-0000ED1C0000}"/>
    <cellStyle name="货币 2 5 2 4 9 4" xfId="12506" xr:uid="{00000000-0005-0000-0000-00000A310000}"/>
    <cellStyle name="货币 2 5 2 4 9 5" xfId="12511" xr:uid="{00000000-0005-0000-0000-00000F310000}"/>
    <cellStyle name="货币 2 5 2 4 9 6" xfId="47290" xr:uid="{00000000-0005-0000-0000-0000EAB80000}"/>
    <cellStyle name="货币 2 5 2 5" xfId="47291" xr:uid="{00000000-0005-0000-0000-0000EBB80000}"/>
    <cellStyle name="货币 2 5 2 5 10" xfId="47292" xr:uid="{00000000-0005-0000-0000-0000ECB80000}"/>
    <cellStyle name="货币 2 5 2 5 11" xfId="47293" xr:uid="{00000000-0005-0000-0000-0000EDB80000}"/>
    <cellStyle name="货币 2 5 2 5 12" xfId="47294" xr:uid="{00000000-0005-0000-0000-0000EEB80000}"/>
    <cellStyle name="货币 2 5 2 5 13" xfId="47295" xr:uid="{00000000-0005-0000-0000-0000EFB80000}"/>
    <cellStyle name="货币 2 5 2 5 14" xfId="18794" xr:uid="{00000000-0005-0000-0000-00009A490000}"/>
    <cellStyle name="货币 2 5 2 5 15" xfId="18798" xr:uid="{00000000-0005-0000-0000-00009E490000}"/>
    <cellStyle name="货币 2 5 2 5 16" xfId="18801" xr:uid="{00000000-0005-0000-0000-0000A1490000}"/>
    <cellStyle name="货币 2 5 2 5 17" xfId="47296" xr:uid="{00000000-0005-0000-0000-0000F0B80000}"/>
    <cellStyle name="货币 2 5 2 5 18" xfId="47297" xr:uid="{00000000-0005-0000-0000-0000F1B80000}"/>
    <cellStyle name="货币 2 5 2 5 19" xfId="47298" xr:uid="{00000000-0005-0000-0000-0000F2B80000}"/>
    <cellStyle name="货币 2 5 2 5 2" xfId="35121" xr:uid="{00000000-0005-0000-0000-000061890000}"/>
    <cellStyle name="货币 2 5 2 5 2 10" xfId="46844" xr:uid="{00000000-0005-0000-0000-00002CB70000}"/>
    <cellStyle name="货币 2 5 2 5 2 11" xfId="46847" xr:uid="{00000000-0005-0000-0000-00002FB70000}"/>
    <cellStyle name="货币 2 5 2 5 2 12" xfId="46852" xr:uid="{00000000-0005-0000-0000-000034B70000}"/>
    <cellStyle name="货币 2 5 2 5 2 13" xfId="46855" xr:uid="{00000000-0005-0000-0000-000037B70000}"/>
    <cellStyle name="货币 2 5 2 5 2 14" xfId="46858" xr:uid="{00000000-0005-0000-0000-00003AB70000}"/>
    <cellStyle name="货币 2 5 2 5 2 15" xfId="47300" xr:uid="{00000000-0005-0000-0000-0000F4B80000}"/>
    <cellStyle name="货币 2 5 2 5 2 16" xfId="47302" xr:uid="{00000000-0005-0000-0000-0000F6B80000}"/>
    <cellStyle name="货币 2 5 2 5 2 17" xfId="47304" xr:uid="{00000000-0005-0000-0000-0000F8B80000}"/>
    <cellStyle name="货币 2 5 2 5 2 18" xfId="38552" xr:uid="{00000000-0005-0000-0000-0000C8960000}"/>
    <cellStyle name="货币 2 5 2 5 2 2" xfId="47306" xr:uid="{00000000-0005-0000-0000-0000FAB80000}"/>
    <cellStyle name="货币 2 5 2 5 2 2 10" xfId="47308" xr:uid="{00000000-0005-0000-0000-0000FCB80000}"/>
    <cellStyle name="货币 2 5 2 5 2 2 2" xfId="47310" xr:uid="{00000000-0005-0000-0000-0000FEB80000}"/>
    <cellStyle name="货币 2 5 2 5 2 2 2 2" xfId="47312" xr:uid="{00000000-0005-0000-0000-000000B90000}"/>
    <cellStyle name="货币 2 5 2 5 2 2 3" xfId="10117" xr:uid="{00000000-0005-0000-0000-0000B5270000}"/>
    <cellStyle name="货币 2 5 2 5 2 2 4" xfId="10130" xr:uid="{00000000-0005-0000-0000-0000C2270000}"/>
    <cellStyle name="货币 2 5 2 5 2 2 5" xfId="47314" xr:uid="{00000000-0005-0000-0000-000002B90000}"/>
    <cellStyle name="货币 2 5 2 5 2 2 6" xfId="47316" xr:uid="{00000000-0005-0000-0000-000004B90000}"/>
    <cellStyle name="货币 2 5 2 5 2 2 7" xfId="47318" xr:uid="{00000000-0005-0000-0000-000006B90000}"/>
    <cellStyle name="货币 2 5 2 5 2 2 8" xfId="47320" xr:uid="{00000000-0005-0000-0000-000008B90000}"/>
    <cellStyle name="货币 2 5 2 5 2 2 9" xfId="47322" xr:uid="{00000000-0005-0000-0000-00000AB90000}"/>
    <cellStyle name="货币 2 5 2 5 2 3" xfId="24791" xr:uid="{00000000-0005-0000-0000-000007610000}"/>
    <cellStyle name="货币 2 5 2 5 2 3 2" xfId="47324" xr:uid="{00000000-0005-0000-0000-00000CB90000}"/>
    <cellStyle name="货币 2 5 2 5 2 3 3" xfId="47326" xr:uid="{00000000-0005-0000-0000-00000EB90000}"/>
    <cellStyle name="货币 2 5 2 5 2 3 4" xfId="28895" xr:uid="{00000000-0005-0000-0000-00000F710000}"/>
    <cellStyle name="货币 2 5 2 5 2 3 5" xfId="47328" xr:uid="{00000000-0005-0000-0000-000010B90000}"/>
    <cellStyle name="货币 2 5 2 5 2 3 6" xfId="47330" xr:uid="{00000000-0005-0000-0000-000012B90000}"/>
    <cellStyle name="货币 2 5 2 5 2 4" xfId="24795" xr:uid="{00000000-0005-0000-0000-00000B610000}"/>
    <cellStyle name="货币 2 5 2 5 2 4 2" xfId="47332" xr:uid="{00000000-0005-0000-0000-000014B90000}"/>
    <cellStyle name="货币 2 5 2 5 2 4 3" xfId="47334" xr:uid="{00000000-0005-0000-0000-000016B90000}"/>
    <cellStyle name="货币 2 5 2 5 2 4 4" xfId="28899" xr:uid="{00000000-0005-0000-0000-000013710000}"/>
    <cellStyle name="货币 2 5 2 5 2 4 5" xfId="47336" xr:uid="{00000000-0005-0000-0000-000018B90000}"/>
    <cellStyle name="货币 2 5 2 5 2 4 6" xfId="47338" xr:uid="{00000000-0005-0000-0000-00001AB90000}"/>
    <cellStyle name="货币 2 5 2 5 2 5" xfId="24801" xr:uid="{00000000-0005-0000-0000-000011610000}"/>
    <cellStyle name="货币 2 5 2 5 2 5 2" xfId="47340" xr:uid="{00000000-0005-0000-0000-00001CB90000}"/>
    <cellStyle name="货币 2 5 2 5 2 5 3" xfId="47342" xr:uid="{00000000-0005-0000-0000-00001EB90000}"/>
    <cellStyle name="货币 2 5 2 5 2 5 4" xfId="28905" xr:uid="{00000000-0005-0000-0000-000019710000}"/>
    <cellStyle name="货币 2 5 2 5 2 5 5" xfId="47344" xr:uid="{00000000-0005-0000-0000-000020B90000}"/>
    <cellStyle name="货币 2 5 2 5 2 5 6" xfId="47346" xr:uid="{00000000-0005-0000-0000-000022B90000}"/>
    <cellStyle name="货币 2 5 2 5 2 6" xfId="24807" xr:uid="{00000000-0005-0000-0000-000017610000}"/>
    <cellStyle name="货币 2 5 2 5 2 6 2" xfId="47348" xr:uid="{00000000-0005-0000-0000-000024B90000}"/>
    <cellStyle name="货币 2 5 2 5 2 6 3" xfId="47350" xr:uid="{00000000-0005-0000-0000-000026B90000}"/>
    <cellStyle name="货币 2 5 2 5 2 6 4" xfId="47352" xr:uid="{00000000-0005-0000-0000-000028B90000}"/>
    <cellStyle name="货币 2 5 2 5 2 6 5" xfId="47354" xr:uid="{00000000-0005-0000-0000-00002AB90000}"/>
    <cellStyle name="货币 2 5 2 5 2 6 6" xfId="47356" xr:uid="{00000000-0005-0000-0000-00002CB90000}"/>
    <cellStyle name="货币 2 5 2 5 2 7" xfId="24813" xr:uid="{00000000-0005-0000-0000-00001D610000}"/>
    <cellStyle name="货币 2 5 2 5 2 8" xfId="47358" xr:uid="{00000000-0005-0000-0000-00002EB90000}"/>
    <cellStyle name="货币 2 5 2 5 2 9" xfId="47359" xr:uid="{00000000-0005-0000-0000-00002FB90000}"/>
    <cellStyle name="货币 2 5 2 5 3" xfId="35124" xr:uid="{00000000-0005-0000-0000-000064890000}"/>
    <cellStyle name="货币 2 5 2 5 3 10" xfId="47362" xr:uid="{00000000-0005-0000-0000-000032B90000}"/>
    <cellStyle name="货币 2 5 2 5 3 11" xfId="47365" xr:uid="{00000000-0005-0000-0000-000035B90000}"/>
    <cellStyle name="货币 2 5 2 5 3 12" xfId="47368" xr:uid="{00000000-0005-0000-0000-000038B90000}"/>
    <cellStyle name="货币 2 5 2 5 3 2" xfId="39913" xr:uid="{00000000-0005-0000-0000-0000199C0000}"/>
    <cellStyle name="货币 2 5 2 5 3 2 2" xfId="47370" xr:uid="{00000000-0005-0000-0000-00003AB90000}"/>
    <cellStyle name="货币 2 5 2 5 3 2 2 2" xfId="47372" xr:uid="{00000000-0005-0000-0000-00003CB90000}"/>
    <cellStyle name="货币 2 5 2 5 3 2 3" xfId="47374" xr:uid="{00000000-0005-0000-0000-00003EB90000}"/>
    <cellStyle name="货币 2 5 2 5 3 2 4" xfId="47376" xr:uid="{00000000-0005-0000-0000-000040B90000}"/>
    <cellStyle name="货币 2 5 2 5 3 2 5" xfId="47378" xr:uid="{00000000-0005-0000-0000-000042B90000}"/>
    <cellStyle name="货币 2 5 2 5 3 3" xfId="14389" xr:uid="{00000000-0005-0000-0000-000065380000}"/>
    <cellStyle name="货币 2 5 2 5 3 3 2" xfId="30792" xr:uid="{00000000-0005-0000-0000-000078780000}"/>
    <cellStyle name="货币 2 5 2 5 3 4" xfId="14395" xr:uid="{00000000-0005-0000-0000-00006B380000}"/>
    <cellStyle name="货币 2 5 2 5 3 5" xfId="14401" xr:uid="{00000000-0005-0000-0000-000071380000}"/>
    <cellStyle name="货币 2 5 2 5 3 6" xfId="24816" xr:uid="{00000000-0005-0000-0000-000020610000}"/>
    <cellStyle name="货币 2 5 2 5 3 7" xfId="21257" xr:uid="{00000000-0005-0000-0000-000039530000}"/>
    <cellStyle name="货币 2 5 2 5 3 8" xfId="47380" xr:uid="{00000000-0005-0000-0000-000044B90000}"/>
    <cellStyle name="货币 2 5 2 5 3 9" xfId="47381" xr:uid="{00000000-0005-0000-0000-000045B90000}"/>
    <cellStyle name="货币 2 5 2 5 4" xfId="35127" xr:uid="{00000000-0005-0000-0000-000067890000}"/>
    <cellStyle name="货币 2 5 2 5 4 10" xfId="24979" xr:uid="{00000000-0005-0000-0000-0000C3610000}"/>
    <cellStyle name="货币 2 5 2 5 4 11" xfId="24984" xr:uid="{00000000-0005-0000-0000-0000C8610000}"/>
    <cellStyle name="货币 2 5 2 5 4 2" xfId="47383" xr:uid="{00000000-0005-0000-0000-000047B90000}"/>
    <cellStyle name="货币 2 5 2 5 4 2 2" xfId="47385" xr:uid="{00000000-0005-0000-0000-000049B90000}"/>
    <cellStyle name="货币 2 5 2 5 4 2 2 2" xfId="47387" xr:uid="{00000000-0005-0000-0000-00004BB90000}"/>
    <cellStyle name="货币 2 5 2 5 4 2 3" xfId="47389" xr:uid="{00000000-0005-0000-0000-00004DB90000}"/>
    <cellStyle name="货币 2 5 2 5 4 2 4" xfId="47391" xr:uid="{00000000-0005-0000-0000-00004FB90000}"/>
    <cellStyle name="货币 2 5 2 5 4 2 5" xfId="47393" xr:uid="{00000000-0005-0000-0000-000051B90000}"/>
    <cellStyle name="货币 2 5 2 5 4 3" xfId="47395" xr:uid="{00000000-0005-0000-0000-000053B90000}"/>
    <cellStyle name="货币 2 5 2 5 4 3 2" xfId="47397" xr:uid="{00000000-0005-0000-0000-000055B90000}"/>
    <cellStyle name="货币 2 5 2 5 4 4" xfId="47399" xr:uid="{00000000-0005-0000-0000-000057B90000}"/>
    <cellStyle name="货币 2 5 2 5 4 5" xfId="47401" xr:uid="{00000000-0005-0000-0000-000059B90000}"/>
    <cellStyle name="货币 2 5 2 5 4 6" xfId="47403" xr:uid="{00000000-0005-0000-0000-00005BB90000}"/>
    <cellStyle name="货币 2 5 2 5 4 7" xfId="47405" xr:uid="{00000000-0005-0000-0000-00005DB90000}"/>
    <cellStyle name="货币 2 5 2 5 4 8" xfId="47407" xr:uid="{00000000-0005-0000-0000-00005FB90000}"/>
    <cellStyle name="货币 2 5 2 5 4 9" xfId="47408" xr:uid="{00000000-0005-0000-0000-000060B90000}"/>
    <cellStyle name="货币 2 5 2 5 5" xfId="34002" xr:uid="{00000000-0005-0000-0000-000002850000}"/>
    <cellStyle name="货币 2 5 2 5 5 10" xfId="47411" xr:uid="{00000000-0005-0000-0000-000063B90000}"/>
    <cellStyle name="货币 2 5 2 5 5 2" xfId="47413" xr:uid="{00000000-0005-0000-0000-000065B90000}"/>
    <cellStyle name="货币 2 5 2 5 5 2 2" xfId="42297" xr:uid="{00000000-0005-0000-0000-000069A50000}"/>
    <cellStyle name="货币 2 5 2 5 5 2 2 2" xfId="17904" xr:uid="{00000000-0005-0000-0000-000020460000}"/>
    <cellStyle name="货币 2 5 2 5 5 2 3" xfId="47415" xr:uid="{00000000-0005-0000-0000-000067B90000}"/>
    <cellStyle name="货币 2 5 2 5 5 2 4" xfId="47417" xr:uid="{00000000-0005-0000-0000-000069B90000}"/>
    <cellStyle name="货币 2 5 2 5 5 2 5" xfId="47419" xr:uid="{00000000-0005-0000-0000-00006BB90000}"/>
    <cellStyle name="货币 2 5 2 5 5 3" xfId="47421" xr:uid="{00000000-0005-0000-0000-00006DB90000}"/>
    <cellStyle name="货币 2 5 2 5 5 3 2" xfId="32885" xr:uid="{00000000-0005-0000-0000-0000A5800000}"/>
    <cellStyle name="货币 2 5 2 5 5 4" xfId="47423" xr:uid="{00000000-0005-0000-0000-00006FB90000}"/>
    <cellStyle name="货币 2 5 2 5 5 5" xfId="47425" xr:uid="{00000000-0005-0000-0000-000071B90000}"/>
    <cellStyle name="货币 2 5 2 5 5 6" xfId="47427" xr:uid="{00000000-0005-0000-0000-000073B90000}"/>
    <cellStyle name="货币 2 5 2 5 5 7" xfId="47429" xr:uid="{00000000-0005-0000-0000-000075B90000}"/>
    <cellStyle name="货币 2 5 2 5 5 8" xfId="47431" xr:uid="{00000000-0005-0000-0000-000077B90000}"/>
    <cellStyle name="货币 2 5 2 5 5 9" xfId="47432" xr:uid="{00000000-0005-0000-0000-000078B90000}"/>
    <cellStyle name="货币 2 5 2 5 6" xfId="34005" xr:uid="{00000000-0005-0000-0000-000005850000}"/>
    <cellStyle name="货币 2 5 2 5 6 2" xfId="47434" xr:uid="{00000000-0005-0000-0000-00007AB90000}"/>
    <cellStyle name="货币 2 5 2 5 6 2 2" xfId="47436" xr:uid="{00000000-0005-0000-0000-00007CB90000}"/>
    <cellStyle name="货币 2 5 2 5 6 3" xfId="47438" xr:uid="{00000000-0005-0000-0000-00007EB90000}"/>
    <cellStyle name="货币 2 5 2 5 6 4" xfId="47440" xr:uid="{00000000-0005-0000-0000-000080B90000}"/>
    <cellStyle name="货币 2 5 2 5 6 5" xfId="47442" xr:uid="{00000000-0005-0000-0000-000082B90000}"/>
    <cellStyle name="货币 2 5 2 5 6 6" xfId="47444" xr:uid="{00000000-0005-0000-0000-000084B90000}"/>
    <cellStyle name="货币 2 5 2 5 6 7" xfId="47446" xr:uid="{00000000-0005-0000-0000-000086B90000}"/>
    <cellStyle name="货币 2 5 2 5 6 8" xfId="47448" xr:uid="{00000000-0005-0000-0000-000088B90000}"/>
    <cellStyle name="货币 2 5 2 5 6 9" xfId="47449" xr:uid="{00000000-0005-0000-0000-000089B90000}"/>
    <cellStyle name="货币 2 5 2 5 7" xfId="34008" xr:uid="{00000000-0005-0000-0000-000008850000}"/>
    <cellStyle name="货币 2 5 2 5 7 2" xfId="47451" xr:uid="{00000000-0005-0000-0000-00008BB90000}"/>
    <cellStyle name="货币 2 5 2 5 7 3" xfId="47453" xr:uid="{00000000-0005-0000-0000-00008DB90000}"/>
    <cellStyle name="货币 2 5 2 5 7 4" xfId="30439" xr:uid="{00000000-0005-0000-0000-000017770000}"/>
    <cellStyle name="货币 2 5 2 5 7 5" xfId="30443" xr:uid="{00000000-0005-0000-0000-00001B770000}"/>
    <cellStyle name="货币 2 5 2 5 7 6" xfId="47454" xr:uid="{00000000-0005-0000-0000-00008EB90000}"/>
    <cellStyle name="货币 2 5 2 5 8" xfId="47455" xr:uid="{00000000-0005-0000-0000-00008FB90000}"/>
    <cellStyle name="货币 2 5 2 5 9" xfId="47456" xr:uid="{00000000-0005-0000-0000-000090B90000}"/>
    <cellStyle name="货币 2 5 2 6" xfId="47457" xr:uid="{00000000-0005-0000-0000-000091B90000}"/>
    <cellStyle name="货币 2 5 2 6 10" xfId="47458" xr:uid="{00000000-0005-0000-0000-000092B90000}"/>
    <cellStyle name="货币 2 5 2 6 11" xfId="41519" xr:uid="{00000000-0005-0000-0000-00005FA20000}"/>
    <cellStyle name="货币 2 5 2 6 12" xfId="41522" xr:uid="{00000000-0005-0000-0000-000062A20000}"/>
    <cellStyle name="货币 2 5 2 6 13" xfId="41524" xr:uid="{00000000-0005-0000-0000-000064A20000}"/>
    <cellStyle name="货币 2 5 2 6 14" xfId="12082" xr:uid="{00000000-0005-0000-0000-0000622F0000}"/>
    <cellStyle name="货币 2 5 2 6 15" xfId="18815" xr:uid="{00000000-0005-0000-0000-0000AF490000}"/>
    <cellStyle name="货币 2 5 2 6 16" xfId="18818" xr:uid="{00000000-0005-0000-0000-0000B2490000}"/>
    <cellStyle name="货币 2 5 2 6 17" xfId="41526" xr:uid="{00000000-0005-0000-0000-000066A20000}"/>
    <cellStyle name="货币 2 5 2 6 18" xfId="41528" xr:uid="{00000000-0005-0000-0000-000068A20000}"/>
    <cellStyle name="货币 2 5 2 6 2" xfId="7976" xr:uid="{00000000-0005-0000-0000-0000581F0000}"/>
    <cellStyle name="货币 2 5 2 6 2 10" xfId="47459" xr:uid="{00000000-0005-0000-0000-000093B90000}"/>
    <cellStyle name="货币 2 5 2 6 2 2" xfId="47460" xr:uid="{00000000-0005-0000-0000-000094B90000}"/>
    <cellStyle name="货币 2 5 2 6 2 2 2" xfId="45534" xr:uid="{00000000-0005-0000-0000-00000EB20000}"/>
    <cellStyle name="货币 2 5 2 6 2 3" xfId="47461" xr:uid="{00000000-0005-0000-0000-000095B90000}"/>
    <cellStyle name="货币 2 5 2 6 2 4" xfId="47462" xr:uid="{00000000-0005-0000-0000-000096B90000}"/>
    <cellStyle name="货币 2 5 2 6 2 5" xfId="47463" xr:uid="{00000000-0005-0000-0000-000097B90000}"/>
    <cellStyle name="货币 2 5 2 6 2 6" xfId="47464" xr:uid="{00000000-0005-0000-0000-000098B90000}"/>
    <cellStyle name="货币 2 5 2 6 2 7" xfId="47465" xr:uid="{00000000-0005-0000-0000-000099B90000}"/>
    <cellStyle name="货币 2 5 2 6 2 8" xfId="47466" xr:uid="{00000000-0005-0000-0000-00009AB90000}"/>
    <cellStyle name="货币 2 5 2 6 2 9" xfId="47467" xr:uid="{00000000-0005-0000-0000-00009BB90000}"/>
    <cellStyle name="货币 2 5 2 6 3" xfId="7983" xr:uid="{00000000-0005-0000-0000-00005F1F0000}"/>
    <cellStyle name="货币 2 5 2 6 3 2" xfId="47468" xr:uid="{00000000-0005-0000-0000-00009CB90000}"/>
    <cellStyle name="货币 2 5 2 6 3 3" xfId="47469" xr:uid="{00000000-0005-0000-0000-00009DB90000}"/>
    <cellStyle name="货币 2 5 2 6 3 4" xfId="47470" xr:uid="{00000000-0005-0000-0000-00009EB90000}"/>
    <cellStyle name="货币 2 5 2 6 3 5" xfId="47471" xr:uid="{00000000-0005-0000-0000-00009FB90000}"/>
    <cellStyle name="货币 2 5 2 6 3 6" xfId="32268" xr:uid="{00000000-0005-0000-0000-00003C7E0000}"/>
    <cellStyle name="货币 2 5 2 6 4" xfId="35130" xr:uid="{00000000-0005-0000-0000-00006A890000}"/>
    <cellStyle name="货币 2 5 2 6 4 2" xfId="19290" xr:uid="{00000000-0005-0000-0000-00008A4B0000}"/>
    <cellStyle name="货币 2 5 2 6 4 3" xfId="19292" xr:uid="{00000000-0005-0000-0000-00008C4B0000}"/>
    <cellStyle name="货币 2 5 2 6 4 4" xfId="19294" xr:uid="{00000000-0005-0000-0000-00008E4B0000}"/>
    <cellStyle name="货币 2 5 2 6 4 5" xfId="19296" xr:uid="{00000000-0005-0000-0000-0000904B0000}"/>
    <cellStyle name="货币 2 5 2 6 4 6" xfId="19298" xr:uid="{00000000-0005-0000-0000-0000924B0000}"/>
    <cellStyle name="货币 2 5 2 6 5" xfId="47472" xr:uid="{00000000-0005-0000-0000-0000A0B90000}"/>
    <cellStyle name="货币 2 5 2 6 5 2" xfId="47473" xr:uid="{00000000-0005-0000-0000-0000A1B90000}"/>
    <cellStyle name="货币 2 5 2 6 5 3" xfId="47474" xr:uid="{00000000-0005-0000-0000-0000A2B90000}"/>
    <cellStyle name="货币 2 5 2 6 5 4" xfId="47475" xr:uid="{00000000-0005-0000-0000-0000A3B90000}"/>
    <cellStyle name="货币 2 5 2 6 5 5" xfId="47476" xr:uid="{00000000-0005-0000-0000-0000A4B90000}"/>
    <cellStyle name="货币 2 5 2 6 5 6" xfId="47477" xr:uid="{00000000-0005-0000-0000-0000A5B90000}"/>
    <cellStyle name="货币 2 5 2 6 6" xfId="47478" xr:uid="{00000000-0005-0000-0000-0000A6B90000}"/>
    <cellStyle name="货币 2 5 2 6 6 2" xfId="33149" xr:uid="{00000000-0005-0000-0000-0000AD810000}"/>
    <cellStyle name="货币 2 5 2 6 6 3" xfId="33151" xr:uid="{00000000-0005-0000-0000-0000AF810000}"/>
    <cellStyle name="货币 2 5 2 6 6 4" xfId="47479" xr:uid="{00000000-0005-0000-0000-0000A7B90000}"/>
    <cellStyle name="货币 2 5 2 6 6 5" xfId="47480" xr:uid="{00000000-0005-0000-0000-0000A8B90000}"/>
    <cellStyle name="货币 2 5 2 6 6 6" xfId="47481" xr:uid="{00000000-0005-0000-0000-0000A9B90000}"/>
    <cellStyle name="货币 2 5 2 6 7" xfId="47482" xr:uid="{00000000-0005-0000-0000-0000AAB90000}"/>
    <cellStyle name="货币 2 5 2 6 8" xfId="47483" xr:uid="{00000000-0005-0000-0000-0000ABB90000}"/>
    <cellStyle name="货币 2 5 2 6 9" xfId="47484" xr:uid="{00000000-0005-0000-0000-0000ACB90000}"/>
    <cellStyle name="货币 2 5 2 7" xfId="47485" xr:uid="{00000000-0005-0000-0000-0000ADB90000}"/>
    <cellStyle name="货币 2 5 2 7 10" xfId="47486" xr:uid="{00000000-0005-0000-0000-0000AEB90000}"/>
    <cellStyle name="货币 2 5 2 7 11" xfId="47487" xr:uid="{00000000-0005-0000-0000-0000AFB90000}"/>
    <cellStyle name="货币 2 5 2 7 12" xfId="47488" xr:uid="{00000000-0005-0000-0000-0000B0B90000}"/>
    <cellStyle name="货币 2 5 2 7 13" xfId="47489" xr:uid="{00000000-0005-0000-0000-0000B1B90000}"/>
    <cellStyle name="货币 2 5 2 7 14" xfId="849" xr:uid="{00000000-0005-0000-0000-000081030000}"/>
    <cellStyle name="货币 2 5 2 7 15" xfId="47490" xr:uid="{00000000-0005-0000-0000-0000B2B90000}"/>
    <cellStyle name="货币 2 5 2 7 16" xfId="47491" xr:uid="{00000000-0005-0000-0000-0000B3B90000}"/>
    <cellStyle name="货币 2 5 2 7 17" xfId="47492" xr:uid="{00000000-0005-0000-0000-0000B4B90000}"/>
    <cellStyle name="货币 2 5 2 7 18" xfId="47493" xr:uid="{00000000-0005-0000-0000-0000B5B90000}"/>
    <cellStyle name="货币 2 5 2 7 2" xfId="41215" xr:uid="{00000000-0005-0000-0000-00002FA10000}"/>
    <cellStyle name="货币 2 5 2 7 2 10" xfId="47494" xr:uid="{00000000-0005-0000-0000-0000B6B90000}"/>
    <cellStyle name="货币 2 5 2 7 2 2" xfId="47495" xr:uid="{00000000-0005-0000-0000-0000B7B90000}"/>
    <cellStyle name="货币 2 5 2 7 2 2 2" xfId="21749" xr:uid="{00000000-0005-0000-0000-000025550000}"/>
    <cellStyle name="货币 2 5 2 7 2 3" xfId="47496" xr:uid="{00000000-0005-0000-0000-0000B8B90000}"/>
    <cellStyle name="货币 2 5 2 7 2 4" xfId="47497" xr:uid="{00000000-0005-0000-0000-0000B9B90000}"/>
    <cellStyle name="货币 2 5 2 7 2 5" xfId="47498" xr:uid="{00000000-0005-0000-0000-0000BAB90000}"/>
    <cellStyle name="货币 2 5 2 7 2 6" xfId="47499" xr:uid="{00000000-0005-0000-0000-0000BBB90000}"/>
    <cellStyle name="货币 2 5 2 7 2 7" xfId="47500" xr:uid="{00000000-0005-0000-0000-0000BCB90000}"/>
    <cellStyle name="货币 2 5 2 7 2 8" xfId="47501" xr:uid="{00000000-0005-0000-0000-0000BDB90000}"/>
    <cellStyle name="货币 2 5 2 7 2 9" xfId="47502" xr:uid="{00000000-0005-0000-0000-0000BEB90000}"/>
    <cellStyle name="货币 2 5 2 7 3" xfId="41217" xr:uid="{00000000-0005-0000-0000-000031A10000}"/>
    <cellStyle name="货币 2 5 2 7 3 2" xfId="47503" xr:uid="{00000000-0005-0000-0000-0000BFB90000}"/>
    <cellStyle name="货币 2 5 2 7 3 3" xfId="47504" xr:uid="{00000000-0005-0000-0000-0000C0B90000}"/>
    <cellStyle name="货币 2 5 2 7 3 4" xfId="47505" xr:uid="{00000000-0005-0000-0000-0000C1B90000}"/>
    <cellStyle name="货币 2 5 2 7 3 5" xfId="47506" xr:uid="{00000000-0005-0000-0000-0000C2B90000}"/>
    <cellStyle name="货币 2 5 2 7 3 6" xfId="47507" xr:uid="{00000000-0005-0000-0000-0000C3B90000}"/>
    <cellStyle name="货币 2 5 2 7 4" xfId="47508" xr:uid="{00000000-0005-0000-0000-0000C4B90000}"/>
    <cellStyle name="货币 2 5 2 7 4 2" xfId="47509" xr:uid="{00000000-0005-0000-0000-0000C5B90000}"/>
    <cellStyle name="货币 2 5 2 7 4 3" xfId="47510" xr:uid="{00000000-0005-0000-0000-0000C6B90000}"/>
    <cellStyle name="货币 2 5 2 7 4 4" xfId="47511" xr:uid="{00000000-0005-0000-0000-0000C7B90000}"/>
    <cellStyle name="货币 2 5 2 7 4 5" xfId="47512" xr:uid="{00000000-0005-0000-0000-0000C8B90000}"/>
    <cellStyle name="货币 2 5 2 7 4 6" xfId="47513" xr:uid="{00000000-0005-0000-0000-0000C9B90000}"/>
    <cellStyle name="货币 2 5 2 7 5" xfId="47514" xr:uid="{00000000-0005-0000-0000-0000CAB90000}"/>
    <cellStyle name="货币 2 5 2 7 5 2" xfId="45223" xr:uid="{00000000-0005-0000-0000-0000D7B00000}"/>
    <cellStyle name="货币 2 5 2 7 5 3" xfId="45225" xr:uid="{00000000-0005-0000-0000-0000D9B00000}"/>
    <cellStyle name="货币 2 5 2 7 5 4" xfId="45227" xr:uid="{00000000-0005-0000-0000-0000DBB00000}"/>
    <cellStyle name="货币 2 5 2 7 5 5" xfId="45229" xr:uid="{00000000-0005-0000-0000-0000DDB00000}"/>
    <cellStyle name="货币 2 5 2 7 5 6" xfId="47515" xr:uid="{00000000-0005-0000-0000-0000CBB90000}"/>
    <cellStyle name="货币 2 5 2 7 6" xfId="47516" xr:uid="{00000000-0005-0000-0000-0000CCB90000}"/>
    <cellStyle name="货币 2 5 2 7 6 2" xfId="47517" xr:uid="{00000000-0005-0000-0000-0000CDB90000}"/>
    <cellStyle name="货币 2 5 2 7 6 3" xfId="47518" xr:uid="{00000000-0005-0000-0000-0000CEB90000}"/>
    <cellStyle name="货币 2 5 2 7 6 4" xfId="47519" xr:uid="{00000000-0005-0000-0000-0000CFB90000}"/>
    <cellStyle name="货币 2 5 2 7 6 5" xfId="47520" xr:uid="{00000000-0005-0000-0000-0000D0B90000}"/>
    <cellStyle name="货币 2 5 2 7 6 6" xfId="47521" xr:uid="{00000000-0005-0000-0000-0000D1B90000}"/>
    <cellStyle name="货币 2 5 2 7 7" xfId="47522" xr:uid="{00000000-0005-0000-0000-0000D2B90000}"/>
    <cellStyle name="货币 2 5 2 7 8" xfId="47523" xr:uid="{00000000-0005-0000-0000-0000D3B90000}"/>
    <cellStyle name="货币 2 5 2 7 9" xfId="47524" xr:uid="{00000000-0005-0000-0000-0000D4B90000}"/>
    <cellStyle name="货币 2 5 2 8" xfId="47525" xr:uid="{00000000-0005-0000-0000-0000D5B90000}"/>
    <cellStyle name="货币 2 5 2 8 10" xfId="47526" xr:uid="{00000000-0005-0000-0000-0000D6B90000}"/>
    <cellStyle name="货币 2 5 2 8 11" xfId="47527" xr:uid="{00000000-0005-0000-0000-0000D7B90000}"/>
    <cellStyle name="货币 2 5 2 8 12" xfId="27810" xr:uid="{00000000-0005-0000-0000-0000D26C0000}"/>
    <cellStyle name="货币 2 5 2 8 13" xfId="35221" xr:uid="{00000000-0005-0000-0000-0000C5890000}"/>
    <cellStyle name="货币 2 5 2 8 14" xfId="18847" xr:uid="{00000000-0005-0000-0000-0000CF490000}"/>
    <cellStyle name="货币 2 5 2 8 15" xfId="35224" xr:uid="{00000000-0005-0000-0000-0000C8890000}"/>
    <cellStyle name="货币 2 5 2 8 2" xfId="12156" xr:uid="{00000000-0005-0000-0000-0000AC2F0000}"/>
    <cellStyle name="货币 2 5 2 8 2 2" xfId="11792" xr:uid="{00000000-0005-0000-0000-0000402E0000}"/>
    <cellStyle name="货币 2 5 2 8 2 2 2" xfId="22132" xr:uid="{00000000-0005-0000-0000-0000A4560000}"/>
    <cellStyle name="货币 2 5 2 8 2 3" xfId="47528" xr:uid="{00000000-0005-0000-0000-0000D8B90000}"/>
    <cellStyle name="货币 2 5 2 8 2 4" xfId="47529" xr:uid="{00000000-0005-0000-0000-0000D9B90000}"/>
    <cellStyle name="货币 2 5 2 8 2 5" xfId="47530" xr:uid="{00000000-0005-0000-0000-0000DAB90000}"/>
    <cellStyle name="货币 2 5 2 8 2 6" xfId="47531" xr:uid="{00000000-0005-0000-0000-0000DBB90000}"/>
    <cellStyle name="货币 2 5 2 8 2 7" xfId="47532" xr:uid="{00000000-0005-0000-0000-0000DCB90000}"/>
    <cellStyle name="货币 2 5 2 8 2 8" xfId="47533" xr:uid="{00000000-0005-0000-0000-0000DDB90000}"/>
    <cellStyle name="货币 2 5 2 8 2 9" xfId="47534" xr:uid="{00000000-0005-0000-0000-0000DEB90000}"/>
    <cellStyle name="货币 2 5 2 8 3" xfId="12168" xr:uid="{00000000-0005-0000-0000-0000B82F0000}"/>
    <cellStyle name="货币 2 5 2 8 3 2" xfId="47535" xr:uid="{00000000-0005-0000-0000-0000DFB90000}"/>
    <cellStyle name="货币 2 5 2 8 3 3" xfId="47536" xr:uid="{00000000-0005-0000-0000-0000E0B90000}"/>
    <cellStyle name="货币 2 5 2 8 3 4" xfId="47537" xr:uid="{00000000-0005-0000-0000-0000E1B90000}"/>
    <cellStyle name="货币 2 5 2 8 3 5" xfId="47538" xr:uid="{00000000-0005-0000-0000-0000E2B90000}"/>
    <cellStyle name="货币 2 5 2 8 3 6" xfId="47539" xr:uid="{00000000-0005-0000-0000-0000E3B90000}"/>
    <cellStyle name="货币 2 5 2 8 4" xfId="12180" xr:uid="{00000000-0005-0000-0000-0000C42F0000}"/>
    <cellStyle name="货币 2 5 2 8 4 2" xfId="47540" xr:uid="{00000000-0005-0000-0000-0000E4B90000}"/>
    <cellStyle name="货币 2 5 2 8 5" xfId="4655" xr:uid="{00000000-0005-0000-0000-00005F120000}"/>
    <cellStyle name="货币 2 5 2 8 6" xfId="12188" xr:uid="{00000000-0005-0000-0000-0000CC2F0000}"/>
    <cellStyle name="货币 2 5 2 8 7" xfId="7144" xr:uid="{00000000-0005-0000-0000-0000181C0000}"/>
    <cellStyle name="货币 2 5 2 8 8" xfId="12191" xr:uid="{00000000-0005-0000-0000-0000CF2F0000}"/>
    <cellStyle name="货币 2 5 2 8 9" xfId="47541" xr:uid="{00000000-0005-0000-0000-0000E5B90000}"/>
    <cellStyle name="货币 2 5 2 9" xfId="47542" xr:uid="{00000000-0005-0000-0000-0000E6B90000}"/>
    <cellStyle name="货币 2 5 2 9 10" xfId="47543" xr:uid="{00000000-0005-0000-0000-0000E7B90000}"/>
    <cellStyle name="货币 2 5 2 9 11" xfId="47544" xr:uid="{00000000-0005-0000-0000-0000E8B90000}"/>
    <cellStyle name="货币 2 5 2 9 12" xfId="47545" xr:uid="{00000000-0005-0000-0000-0000E9B90000}"/>
    <cellStyle name="货币 2 5 2 9 13" xfId="47546" xr:uid="{00000000-0005-0000-0000-0000EAB90000}"/>
    <cellStyle name="货币 2 5 2 9 14" xfId="47547" xr:uid="{00000000-0005-0000-0000-0000EBB90000}"/>
    <cellStyle name="货币 2 5 2 9 2" xfId="756" xr:uid="{00000000-0005-0000-0000-000024030000}"/>
    <cellStyle name="货币 2 5 2 9 2 2" xfId="794" xr:uid="{00000000-0005-0000-0000-00004A030000}"/>
    <cellStyle name="货币 2 5 2 9 2 2 2" xfId="22435" xr:uid="{00000000-0005-0000-0000-0000D3570000}"/>
    <cellStyle name="货币 2 5 2 9 2 3" xfId="47548" xr:uid="{00000000-0005-0000-0000-0000ECB90000}"/>
    <cellStyle name="货币 2 5 2 9 2 4" xfId="47549" xr:uid="{00000000-0005-0000-0000-0000EDB90000}"/>
    <cellStyle name="货币 2 5 2 9 2 5" xfId="47550" xr:uid="{00000000-0005-0000-0000-0000EEB90000}"/>
    <cellStyle name="货币 2 5 2 9 2 6" xfId="47551" xr:uid="{00000000-0005-0000-0000-0000EFB90000}"/>
    <cellStyle name="货币 2 5 2 9 2 7" xfId="47552" xr:uid="{00000000-0005-0000-0000-0000F0B90000}"/>
    <cellStyle name="货币 2 5 2 9 2 8" xfId="47553" xr:uid="{00000000-0005-0000-0000-0000F1B90000}"/>
    <cellStyle name="货币 2 5 2 9 2 9" xfId="28228" xr:uid="{00000000-0005-0000-0000-0000746E0000}"/>
    <cellStyle name="货币 2 5 2 9 3" xfId="374" xr:uid="{00000000-0005-0000-0000-00008F010000}"/>
    <cellStyle name="货币 2 5 2 9 3 2" xfId="47554" xr:uid="{00000000-0005-0000-0000-0000F2B90000}"/>
    <cellStyle name="货币 2 5 2 9 3 3" xfId="47555" xr:uid="{00000000-0005-0000-0000-0000F3B90000}"/>
    <cellStyle name="货币 2 5 2 9 3 4" xfId="47556" xr:uid="{00000000-0005-0000-0000-0000F4B90000}"/>
    <cellStyle name="货币 2 5 2 9 3 5" xfId="47557" xr:uid="{00000000-0005-0000-0000-0000F5B90000}"/>
    <cellStyle name="货币 2 5 2 9 3 6" xfId="47558" xr:uid="{00000000-0005-0000-0000-0000F6B90000}"/>
    <cellStyle name="货币 2 5 2 9 4" xfId="12208" xr:uid="{00000000-0005-0000-0000-0000E02F0000}"/>
    <cellStyle name="货币 2 5 2 9 4 2" xfId="47559" xr:uid="{00000000-0005-0000-0000-0000F7B90000}"/>
    <cellStyle name="货币 2 5 2 9 5" xfId="4664" xr:uid="{00000000-0005-0000-0000-000068120000}"/>
    <cellStyle name="货币 2 5 2 9 6" xfId="12217" xr:uid="{00000000-0005-0000-0000-0000E92F0000}"/>
    <cellStyle name="货币 2 5 2 9 7" xfId="12226" xr:uid="{00000000-0005-0000-0000-0000F22F0000}"/>
    <cellStyle name="货币 2 5 2 9 8" xfId="12235" xr:uid="{00000000-0005-0000-0000-0000FB2F0000}"/>
    <cellStyle name="货币 2 5 2 9 9" xfId="47560" xr:uid="{00000000-0005-0000-0000-0000F8B90000}"/>
    <cellStyle name="货币 2 5 20" xfId="46843" xr:uid="{00000000-0005-0000-0000-00002BB70000}"/>
    <cellStyle name="货币 2 5 21" xfId="46846" xr:uid="{00000000-0005-0000-0000-00002EB70000}"/>
    <cellStyle name="货币 2 5 22" xfId="46851" xr:uid="{00000000-0005-0000-0000-000033B70000}"/>
    <cellStyle name="货币 2 5 23" xfId="46854" xr:uid="{00000000-0005-0000-0000-000036B70000}"/>
    <cellStyle name="货币 2 5 24" xfId="46857" xr:uid="{00000000-0005-0000-0000-000039B70000}"/>
    <cellStyle name="货币 2 5 25" xfId="47299" xr:uid="{00000000-0005-0000-0000-0000F3B80000}"/>
    <cellStyle name="货币 2 5 26" xfId="47301" xr:uid="{00000000-0005-0000-0000-0000F5B80000}"/>
    <cellStyle name="货币 2 5 27" xfId="47303" xr:uid="{00000000-0005-0000-0000-0000F7B80000}"/>
    <cellStyle name="货币 2 5 28" xfId="38551" xr:uid="{00000000-0005-0000-0000-0000C7960000}"/>
    <cellStyle name="货币 2 5 3" xfId="47305" xr:uid="{00000000-0005-0000-0000-0000F9B80000}"/>
    <cellStyle name="货币 2 5 3 10" xfId="47307" xr:uid="{00000000-0005-0000-0000-0000FBB80000}"/>
    <cellStyle name="货币 2 5 3 10 2" xfId="12290" xr:uid="{00000000-0005-0000-0000-000032300000}"/>
    <cellStyle name="货币 2 5 3 10 3" xfId="12298" xr:uid="{00000000-0005-0000-0000-00003A300000}"/>
    <cellStyle name="货币 2 5 3 10 4" xfId="12302" xr:uid="{00000000-0005-0000-0000-00003E300000}"/>
    <cellStyle name="货币 2 5 3 10 5" xfId="47561" xr:uid="{00000000-0005-0000-0000-0000F9B90000}"/>
    <cellStyle name="货币 2 5 3 10 6" xfId="47562" xr:uid="{00000000-0005-0000-0000-0000FAB90000}"/>
    <cellStyle name="货币 2 5 3 11" xfId="47563" xr:uid="{00000000-0005-0000-0000-0000FBB90000}"/>
    <cellStyle name="货币 2 5 3 11 2" xfId="20019" xr:uid="{00000000-0005-0000-0000-0000634E0000}"/>
    <cellStyle name="货币 2 5 3 11 3" xfId="20025" xr:uid="{00000000-0005-0000-0000-0000694E0000}"/>
    <cellStyle name="货币 2 5 3 11 4" xfId="20027" xr:uid="{00000000-0005-0000-0000-00006B4E0000}"/>
    <cellStyle name="货币 2 5 3 11 5" xfId="41265" xr:uid="{00000000-0005-0000-0000-000061A10000}"/>
    <cellStyle name="货币 2 5 3 11 6" xfId="41267" xr:uid="{00000000-0005-0000-0000-000063A10000}"/>
    <cellStyle name="货币 2 5 3 12" xfId="47564" xr:uid="{00000000-0005-0000-0000-0000FCB90000}"/>
    <cellStyle name="货币 2 5 3 13" xfId="47565" xr:uid="{00000000-0005-0000-0000-0000FDB90000}"/>
    <cellStyle name="货币 2 5 3 14" xfId="47566" xr:uid="{00000000-0005-0000-0000-0000FEB90000}"/>
    <cellStyle name="货币 2 5 3 15" xfId="47568" xr:uid="{00000000-0005-0000-0000-000000BA0000}"/>
    <cellStyle name="货币 2 5 3 16" xfId="47570" xr:uid="{00000000-0005-0000-0000-000002BA0000}"/>
    <cellStyle name="货币 2 5 3 17" xfId="47572" xr:uid="{00000000-0005-0000-0000-000004BA0000}"/>
    <cellStyle name="货币 2 5 3 18" xfId="14954" xr:uid="{00000000-0005-0000-0000-00009A3A0000}"/>
    <cellStyle name="货币 2 5 3 19" xfId="5803" xr:uid="{00000000-0005-0000-0000-0000DB160000}"/>
    <cellStyle name="货币 2 5 3 2" xfId="47309" xr:uid="{00000000-0005-0000-0000-0000FDB80000}"/>
    <cellStyle name="货币 2 5 3 2 10" xfId="47573" xr:uid="{00000000-0005-0000-0000-000005BA0000}"/>
    <cellStyle name="货币 2 5 3 2 11" xfId="47574" xr:uid="{00000000-0005-0000-0000-000006BA0000}"/>
    <cellStyle name="货币 2 5 3 2 12" xfId="21944" xr:uid="{00000000-0005-0000-0000-0000E8550000}"/>
    <cellStyle name="货币 2 5 3 2 13" xfId="20472" xr:uid="{00000000-0005-0000-0000-000028500000}"/>
    <cellStyle name="货币 2 5 3 2 14" xfId="20478" xr:uid="{00000000-0005-0000-0000-00002E500000}"/>
    <cellStyle name="货币 2 5 3 2 15" xfId="20485" xr:uid="{00000000-0005-0000-0000-000035500000}"/>
    <cellStyle name="货币 2 5 3 2 16" xfId="8202" xr:uid="{00000000-0005-0000-0000-00003A200000}"/>
    <cellStyle name="货币 2 5 3 2 17" xfId="20493" xr:uid="{00000000-0005-0000-0000-00003D500000}"/>
    <cellStyle name="货币 2 5 3 2 18" xfId="20500" xr:uid="{00000000-0005-0000-0000-000044500000}"/>
    <cellStyle name="货币 2 5 3 2 2" xfId="47311" xr:uid="{00000000-0005-0000-0000-0000FFB80000}"/>
    <cellStyle name="货币 2 5 3 2 2 10" xfId="47575" xr:uid="{00000000-0005-0000-0000-000007BA0000}"/>
    <cellStyle name="货币 2 5 3 2 2 11" xfId="47576" xr:uid="{00000000-0005-0000-0000-000008BA0000}"/>
    <cellStyle name="货币 2 5 3 2 2 12" xfId="47577" xr:uid="{00000000-0005-0000-0000-000009BA0000}"/>
    <cellStyle name="货币 2 5 3 2 2 2" xfId="47578" xr:uid="{00000000-0005-0000-0000-00000ABA0000}"/>
    <cellStyle name="货币 2 5 3 2 2 2 2" xfId="47579" xr:uid="{00000000-0005-0000-0000-00000BBA0000}"/>
    <cellStyle name="货币 2 5 3 2 2 2 2 2" xfId="47580" xr:uid="{00000000-0005-0000-0000-00000CBA0000}"/>
    <cellStyle name="货币 2 5 3 2 2 2 3" xfId="27746" xr:uid="{00000000-0005-0000-0000-0000926C0000}"/>
    <cellStyle name="货币 2 5 3 2 2 2 4" xfId="47581" xr:uid="{00000000-0005-0000-0000-00000DBA0000}"/>
    <cellStyle name="货币 2 5 3 2 2 2 5" xfId="45171" xr:uid="{00000000-0005-0000-0000-0000A3B00000}"/>
    <cellStyle name="货币 2 5 3 2 2 3" xfId="47582" xr:uid="{00000000-0005-0000-0000-00000EBA0000}"/>
    <cellStyle name="货币 2 5 3 2 2 3 2" xfId="47583" xr:uid="{00000000-0005-0000-0000-00000FBA0000}"/>
    <cellStyle name="货币 2 5 3 2 2 4" xfId="47584" xr:uid="{00000000-0005-0000-0000-000010BA0000}"/>
    <cellStyle name="货币 2 5 3 2 2 5" xfId="47585" xr:uid="{00000000-0005-0000-0000-000011BA0000}"/>
    <cellStyle name="货币 2 5 3 2 2 6" xfId="47586" xr:uid="{00000000-0005-0000-0000-000012BA0000}"/>
    <cellStyle name="货币 2 5 3 2 2 7" xfId="47587" xr:uid="{00000000-0005-0000-0000-000013BA0000}"/>
    <cellStyle name="货币 2 5 3 2 2 8" xfId="47588" xr:uid="{00000000-0005-0000-0000-000014BA0000}"/>
    <cellStyle name="货币 2 5 3 2 2 9" xfId="47589" xr:uid="{00000000-0005-0000-0000-000015BA0000}"/>
    <cellStyle name="货币 2 5 3 2 3" xfId="47590" xr:uid="{00000000-0005-0000-0000-000016BA0000}"/>
    <cellStyle name="货币 2 5 3 2 3 10" xfId="44025" xr:uid="{00000000-0005-0000-0000-000029AC0000}"/>
    <cellStyle name="货币 2 5 3 2 3 11" xfId="47591" xr:uid="{00000000-0005-0000-0000-000017BA0000}"/>
    <cellStyle name="货币 2 5 3 2 3 12" xfId="47592" xr:uid="{00000000-0005-0000-0000-000018BA0000}"/>
    <cellStyle name="货币 2 5 3 2 3 2" xfId="47593" xr:uid="{00000000-0005-0000-0000-000019BA0000}"/>
    <cellStyle name="货币 2 5 3 2 3 2 2" xfId="31674" xr:uid="{00000000-0005-0000-0000-0000EA7B0000}"/>
    <cellStyle name="货币 2 5 3 2 3 2 2 2" xfId="31676" xr:uid="{00000000-0005-0000-0000-0000EC7B0000}"/>
    <cellStyle name="货币 2 5 3 2 3 2 3" xfId="31679" xr:uid="{00000000-0005-0000-0000-0000EF7B0000}"/>
    <cellStyle name="货币 2 5 3 2 3 2 4" xfId="30847" xr:uid="{00000000-0005-0000-0000-0000AF780000}"/>
    <cellStyle name="货币 2 5 3 2 3 2 5" xfId="47594" xr:uid="{00000000-0005-0000-0000-00001ABA0000}"/>
    <cellStyle name="货币 2 5 3 2 3 3" xfId="47595" xr:uid="{00000000-0005-0000-0000-00001BBA0000}"/>
    <cellStyle name="货币 2 5 3 2 3 3 2" xfId="47596" xr:uid="{00000000-0005-0000-0000-00001CBA0000}"/>
    <cellStyle name="货币 2 5 3 2 3 4" xfId="47597" xr:uid="{00000000-0005-0000-0000-00001DBA0000}"/>
    <cellStyle name="货币 2 5 3 2 3 5" xfId="10511" xr:uid="{00000000-0005-0000-0000-00003F290000}"/>
    <cellStyle name="货币 2 5 3 2 3 6" xfId="5214" xr:uid="{00000000-0005-0000-0000-00008E140000}"/>
    <cellStyle name="货币 2 5 3 2 3 7" xfId="10542" xr:uid="{00000000-0005-0000-0000-00005E290000}"/>
    <cellStyle name="货币 2 5 3 2 3 8" xfId="10550" xr:uid="{00000000-0005-0000-0000-000066290000}"/>
    <cellStyle name="货币 2 5 3 2 3 9" xfId="47598" xr:uid="{00000000-0005-0000-0000-00001EBA0000}"/>
    <cellStyle name="货币 2 5 3 2 4" xfId="47599" xr:uid="{00000000-0005-0000-0000-00001FBA0000}"/>
    <cellStyle name="货币 2 5 3 2 4 10" xfId="3689" xr:uid="{00000000-0005-0000-0000-0000990E0000}"/>
    <cellStyle name="货币 2 5 3 2 4 2" xfId="47600" xr:uid="{00000000-0005-0000-0000-000020BA0000}"/>
    <cellStyle name="货币 2 5 3 2 4 2 2" xfId="47601" xr:uid="{00000000-0005-0000-0000-000021BA0000}"/>
    <cellStyle name="货币 2 5 3 2 4 2 2 2" xfId="13344" xr:uid="{00000000-0005-0000-0000-000050340000}"/>
    <cellStyle name="货币 2 5 3 2 4 2 3" xfId="47602" xr:uid="{00000000-0005-0000-0000-000022BA0000}"/>
    <cellStyle name="货币 2 5 3 2 4 2 4" xfId="47603" xr:uid="{00000000-0005-0000-0000-000023BA0000}"/>
    <cellStyle name="货币 2 5 3 2 4 2 5" xfId="47604" xr:uid="{00000000-0005-0000-0000-000024BA0000}"/>
    <cellStyle name="货币 2 5 3 2 4 3" xfId="47605" xr:uid="{00000000-0005-0000-0000-000025BA0000}"/>
    <cellStyle name="货币 2 5 3 2 4 3 2" xfId="47606" xr:uid="{00000000-0005-0000-0000-000026BA0000}"/>
    <cellStyle name="货币 2 5 3 2 4 4" xfId="47607" xr:uid="{00000000-0005-0000-0000-000027BA0000}"/>
    <cellStyle name="货币 2 5 3 2 4 5" xfId="10575" xr:uid="{00000000-0005-0000-0000-00007F290000}"/>
    <cellStyle name="货币 2 5 3 2 4 6" xfId="47608" xr:uid="{00000000-0005-0000-0000-000028BA0000}"/>
    <cellStyle name="货币 2 5 3 2 4 7" xfId="46576" xr:uid="{00000000-0005-0000-0000-000020B60000}"/>
    <cellStyle name="货币 2 5 3 2 4 8" xfId="47609" xr:uid="{00000000-0005-0000-0000-000029BA0000}"/>
    <cellStyle name="货币 2 5 3 2 4 9" xfId="47610" xr:uid="{00000000-0005-0000-0000-00002ABA0000}"/>
    <cellStyle name="货币 2 5 3 2 5" xfId="47611" xr:uid="{00000000-0005-0000-0000-00002BBA0000}"/>
    <cellStyle name="货币 2 5 3 2 5 10" xfId="28277" xr:uid="{00000000-0005-0000-0000-0000A56E0000}"/>
    <cellStyle name="货币 2 5 3 2 5 2" xfId="487" xr:uid="{00000000-0005-0000-0000-000006020000}"/>
    <cellStyle name="货币 2 5 3 2 5 2 2" xfId="47613" xr:uid="{00000000-0005-0000-0000-00002DBA0000}"/>
    <cellStyle name="货币 2 5 3 2 5 2 2 2" xfId="47615" xr:uid="{00000000-0005-0000-0000-00002FBA0000}"/>
    <cellStyle name="货币 2 5 3 2 5 2 3" xfId="47616" xr:uid="{00000000-0005-0000-0000-000030BA0000}"/>
    <cellStyle name="货币 2 5 3 2 5 2 4" xfId="47617" xr:uid="{00000000-0005-0000-0000-000031BA0000}"/>
    <cellStyle name="货币 2 5 3 2 5 2 5" xfId="47618" xr:uid="{00000000-0005-0000-0000-000032BA0000}"/>
    <cellStyle name="货币 2 5 3 2 5 3" xfId="47619" xr:uid="{00000000-0005-0000-0000-000033BA0000}"/>
    <cellStyle name="货币 2 5 3 2 5 3 2" xfId="47620" xr:uid="{00000000-0005-0000-0000-000034BA0000}"/>
    <cellStyle name="货币 2 5 3 2 5 4" xfId="47621" xr:uid="{00000000-0005-0000-0000-000035BA0000}"/>
    <cellStyle name="货币 2 5 3 2 5 5" xfId="47622" xr:uid="{00000000-0005-0000-0000-000036BA0000}"/>
    <cellStyle name="货币 2 5 3 2 5 6" xfId="47623" xr:uid="{00000000-0005-0000-0000-000037BA0000}"/>
    <cellStyle name="货币 2 5 3 2 5 7" xfId="47624" xr:uid="{00000000-0005-0000-0000-000038BA0000}"/>
    <cellStyle name="货币 2 5 3 2 5 8" xfId="47625" xr:uid="{00000000-0005-0000-0000-000039BA0000}"/>
    <cellStyle name="货币 2 5 3 2 5 9" xfId="47626" xr:uid="{00000000-0005-0000-0000-00003ABA0000}"/>
    <cellStyle name="货币 2 5 3 2 6" xfId="47627" xr:uid="{00000000-0005-0000-0000-00003BBA0000}"/>
    <cellStyle name="货币 2 5 3 2 6 2" xfId="19487" xr:uid="{00000000-0005-0000-0000-00004F4C0000}"/>
    <cellStyle name="货币 2 5 3 2 6 2 2" xfId="47628" xr:uid="{00000000-0005-0000-0000-00003CBA0000}"/>
    <cellStyle name="货币 2 5 3 2 6 3" xfId="19493" xr:uid="{00000000-0005-0000-0000-0000554C0000}"/>
    <cellStyle name="货币 2 5 3 2 6 4" xfId="47629" xr:uid="{00000000-0005-0000-0000-00003DBA0000}"/>
    <cellStyle name="货币 2 5 3 2 6 5" xfId="47630" xr:uid="{00000000-0005-0000-0000-00003EBA0000}"/>
    <cellStyle name="货币 2 5 3 2 6 6" xfId="47631" xr:uid="{00000000-0005-0000-0000-00003FBA0000}"/>
    <cellStyle name="货币 2 5 3 2 6 7" xfId="47632" xr:uid="{00000000-0005-0000-0000-000040BA0000}"/>
    <cellStyle name="货币 2 5 3 2 6 8" xfId="47633" xr:uid="{00000000-0005-0000-0000-000041BA0000}"/>
    <cellStyle name="货币 2 5 3 2 6 9" xfId="47634" xr:uid="{00000000-0005-0000-0000-000042BA0000}"/>
    <cellStyle name="货币 2 5 3 2 7" xfId="47635" xr:uid="{00000000-0005-0000-0000-000043BA0000}"/>
    <cellStyle name="货币 2 5 3 2 7 2" xfId="47637" xr:uid="{00000000-0005-0000-0000-000045BA0000}"/>
    <cellStyle name="货币 2 5 3 2 8" xfId="47638" xr:uid="{00000000-0005-0000-0000-000046BA0000}"/>
    <cellStyle name="货币 2 5 3 2 9" xfId="47639" xr:uid="{00000000-0005-0000-0000-000047BA0000}"/>
    <cellStyle name="货币 2 5 3 20" xfId="47567" xr:uid="{00000000-0005-0000-0000-0000FFB90000}"/>
    <cellStyle name="货币 2 5 3 21" xfId="47569" xr:uid="{00000000-0005-0000-0000-000001BA0000}"/>
    <cellStyle name="货币 2 5 3 22" xfId="47571" xr:uid="{00000000-0005-0000-0000-000003BA0000}"/>
    <cellStyle name="货币 2 5 3 23" xfId="14953" xr:uid="{00000000-0005-0000-0000-0000993A0000}"/>
    <cellStyle name="货币 2 5 3 3" xfId="10116" xr:uid="{00000000-0005-0000-0000-0000B4270000}"/>
    <cellStyle name="货币 2 5 3 3 10" xfId="47640" xr:uid="{00000000-0005-0000-0000-000048BA0000}"/>
    <cellStyle name="货币 2 5 3 3 11" xfId="47641" xr:uid="{00000000-0005-0000-0000-000049BA0000}"/>
    <cellStyle name="货币 2 5 3 3 12" xfId="47642" xr:uid="{00000000-0005-0000-0000-00004ABA0000}"/>
    <cellStyle name="货币 2 5 3 3 13" xfId="47643" xr:uid="{00000000-0005-0000-0000-00004BBA0000}"/>
    <cellStyle name="货币 2 5 3 3 14" xfId="47644" xr:uid="{00000000-0005-0000-0000-00004CBA0000}"/>
    <cellStyle name="货币 2 5 3 3 15" xfId="47645" xr:uid="{00000000-0005-0000-0000-00004DBA0000}"/>
    <cellStyle name="货币 2 5 3 3 16" xfId="47646" xr:uid="{00000000-0005-0000-0000-00004EBA0000}"/>
    <cellStyle name="货币 2 5 3 3 17" xfId="47647" xr:uid="{00000000-0005-0000-0000-00004FBA0000}"/>
    <cellStyle name="货币 2 5 3 3 18" xfId="47648" xr:uid="{00000000-0005-0000-0000-000050BA0000}"/>
    <cellStyle name="货币 2 5 3 3 2" xfId="47649" xr:uid="{00000000-0005-0000-0000-000051BA0000}"/>
    <cellStyle name="货币 2 5 3 3 2 10" xfId="47650" xr:uid="{00000000-0005-0000-0000-000052BA0000}"/>
    <cellStyle name="货币 2 5 3 3 2 2" xfId="42649" xr:uid="{00000000-0005-0000-0000-0000C9A60000}"/>
    <cellStyle name="货币 2 5 3 3 2 2 2" xfId="47651" xr:uid="{00000000-0005-0000-0000-000053BA0000}"/>
    <cellStyle name="货币 2 5 3 3 2 3" xfId="42651" xr:uid="{00000000-0005-0000-0000-0000CBA60000}"/>
    <cellStyle name="货币 2 5 3 3 2 4" xfId="42653" xr:uid="{00000000-0005-0000-0000-0000CDA60000}"/>
    <cellStyle name="货币 2 5 3 3 2 5" xfId="42655" xr:uid="{00000000-0005-0000-0000-0000CFA60000}"/>
    <cellStyle name="货币 2 5 3 3 2 6" xfId="47652" xr:uid="{00000000-0005-0000-0000-000054BA0000}"/>
    <cellStyle name="货币 2 5 3 3 2 7" xfId="47653" xr:uid="{00000000-0005-0000-0000-000055BA0000}"/>
    <cellStyle name="货币 2 5 3 3 2 8" xfId="47654" xr:uid="{00000000-0005-0000-0000-000056BA0000}"/>
    <cellStyle name="货币 2 5 3 3 2 9" xfId="47655" xr:uid="{00000000-0005-0000-0000-000057BA0000}"/>
    <cellStyle name="货币 2 5 3 3 3" xfId="47656" xr:uid="{00000000-0005-0000-0000-000058BA0000}"/>
    <cellStyle name="货币 2 5 3 3 3 2" xfId="42659" xr:uid="{00000000-0005-0000-0000-0000D3A60000}"/>
    <cellStyle name="货币 2 5 3 3 3 3" xfId="42661" xr:uid="{00000000-0005-0000-0000-0000D5A60000}"/>
    <cellStyle name="货币 2 5 3 3 3 4" xfId="42663" xr:uid="{00000000-0005-0000-0000-0000D7A60000}"/>
    <cellStyle name="货币 2 5 3 3 3 5" xfId="10720" xr:uid="{00000000-0005-0000-0000-0000102A0000}"/>
    <cellStyle name="货币 2 5 3 3 3 6" xfId="28187" xr:uid="{00000000-0005-0000-0000-00004B6E0000}"/>
    <cellStyle name="货币 2 5 3 3 4" xfId="47657" xr:uid="{00000000-0005-0000-0000-000059BA0000}"/>
    <cellStyle name="货币 2 5 3 3 4 2" xfId="24054" xr:uid="{00000000-0005-0000-0000-0000265E0000}"/>
    <cellStyle name="货币 2 5 3 3 4 3" xfId="1327" xr:uid="{00000000-0005-0000-0000-00005F050000}"/>
    <cellStyle name="货币 2 5 3 3 4 4" xfId="24056" xr:uid="{00000000-0005-0000-0000-0000285E0000}"/>
    <cellStyle name="货币 2 5 3 3 4 5" xfId="10740" xr:uid="{00000000-0005-0000-0000-0000242A0000}"/>
    <cellStyle name="货币 2 5 3 3 4 6" xfId="5281" xr:uid="{00000000-0005-0000-0000-0000D1140000}"/>
    <cellStyle name="货币 2 5 3 3 5" xfId="47658" xr:uid="{00000000-0005-0000-0000-00005ABA0000}"/>
    <cellStyle name="货币 2 5 3 3 5 2" xfId="37927" xr:uid="{00000000-0005-0000-0000-000057940000}"/>
    <cellStyle name="货币 2 5 3 3 5 3" xfId="47659" xr:uid="{00000000-0005-0000-0000-00005BBA0000}"/>
    <cellStyle name="货币 2 5 3 3 5 4" xfId="47660" xr:uid="{00000000-0005-0000-0000-00005CBA0000}"/>
    <cellStyle name="货币 2 5 3 3 5 5" xfId="47661" xr:uid="{00000000-0005-0000-0000-00005DBA0000}"/>
    <cellStyle name="货币 2 5 3 3 5 6" xfId="47662" xr:uid="{00000000-0005-0000-0000-00005EBA0000}"/>
    <cellStyle name="货币 2 5 3 3 6" xfId="47663" xr:uid="{00000000-0005-0000-0000-00005FBA0000}"/>
    <cellStyle name="货币 2 5 3 3 6 2" xfId="47664" xr:uid="{00000000-0005-0000-0000-000060BA0000}"/>
    <cellStyle name="货币 2 5 3 3 6 3" xfId="47665" xr:uid="{00000000-0005-0000-0000-000061BA0000}"/>
    <cellStyle name="货币 2 5 3 3 6 4" xfId="47666" xr:uid="{00000000-0005-0000-0000-000062BA0000}"/>
    <cellStyle name="货币 2 5 3 3 6 5" xfId="47667" xr:uid="{00000000-0005-0000-0000-000063BA0000}"/>
    <cellStyle name="货币 2 5 3 3 6 6" xfId="47668" xr:uid="{00000000-0005-0000-0000-000064BA0000}"/>
    <cellStyle name="货币 2 5 3 3 7" xfId="47669" xr:uid="{00000000-0005-0000-0000-000065BA0000}"/>
    <cellStyle name="货币 2 5 3 3 8" xfId="47671" xr:uid="{00000000-0005-0000-0000-000067BA0000}"/>
    <cellStyle name="货币 2 5 3 3 9" xfId="47673" xr:uid="{00000000-0005-0000-0000-000069BA0000}"/>
    <cellStyle name="货币 2 5 3 4" xfId="10129" xr:uid="{00000000-0005-0000-0000-0000C1270000}"/>
    <cellStyle name="货币 2 5 3 4 10" xfId="28442" xr:uid="{00000000-0005-0000-0000-00004A6F0000}"/>
    <cellStyle name="货币 2 5 3 4 11" xfId="28452" xr:uid="{00000000-0005-0000-0000-0000546F0000}"/>
    <cellStyle name="货币 2 5 3 4 12" xfId="28455" xr:uid="{00000000-0005-0000-0000-0000576F0000}"/>
    <cellStyle name="货币 2 5 3 4 13" xfId="28458" xr:uid="{00000000-0005-0000-0000-00005A6F0000}"/>
    <cellStyle name="货币 2 5 3 4 14" xfId="28461" xr:uid="{00000000-0005-0000-0000-00005D6F0000}"/>
    <cellStyle name="货币 2 5 3 4 15" xfId="28464" xr:uid="{00000000-0005-0000-0000-0000606F0000}"/>
    <cellStyle name="货币 2 5 3 4 2" xfId="41297" xr:uid="{00000000-0005-0000-0000-000081A10000}"/>
    <cellStyle name="货币 2 5 3 4 2 2" xfId="47674" xr:uid="{00000000-0005-0000-0000-00006ABA0000}"/>
    <cellStyle name="货币 2 5 3 4 2 2 2" xfId="47675" xr:uid="{00000000-0005-0000-0000-00006BBA0000}"/>
    <cellStyle name="货币 2 5 3 4 2 3" xfId="47676" xr:uid="{00000000-0005-0000-0000-00006CBA0000}"/>
    <cellStyle name="货币 2 5 3 4 2 4" xfId="47677" xr:uid="{00000000-0005-0000-0000-00006DBA0000}"/>
    <cellStyle name="货币 2 5 3 4 2 5" xfId="47678" xr:uid="{00000000-0005-0000-0000-00006EBA0000}"/>
    <cellStyle name="货币 2 5 3 4 2 6" xfId="47679" xr:uid="{00000000-0005-0000-0000-00006FBA0000}"/>
    <cellStyle name="货币 2 5 3 4 2 7" xfId="47680" xr:uid="{00000000-0005-0000-0000-000070BA0000}"/>
    <cellStyle name="货币 2 5 3 4 2 8" xfId="47681" xr:uid="{00000000-0005-0000-0000-000071BA0000}"/>
    <cellStyle name="货币 2 5 3 4 2 9" xfId="47682" xr:uid="{00000000-0005-0000-0000-000072BA0000}"/>
    <cellStyle name="货币 2 5 3 4 3" xfId="41299" xr:uid="{00000000-0005-0000-0000-000083A10000}"/>
    <cellStyle name="货币 2 5 3 4 3 2" xfId="47683" xr:uid="{00000000-0005-0000-0000-000073BA0000}"/>
    <cellStyle name="货币 2 5 3 4 3 3" xfId="47684" xr:uid="{00000000-0005-0000-0000-000074BA0000}"/>
    <cellStyle name="货币 2 5 3 4 3 4" xfId="47685" xr:uid="{00000000-0005-0000-0000-000075BA0000}"/>
    <cellStyle name="货币 2 5 3 4 3 5" xfId="47686" xr:uid="{00000000-0005-0000-0000-000076BA0000}"/>
    <cellStyle name="货币 2 5 3 4 3 6" xfId="47687" xr:uid="{00000000-0005-0000-0000-000077BA0000}"/>
    <cellStyle name="货币 2 5 3 4 4" xfId="47688" xr:uid="{00000000-0005-0000-0000-000078BA0000}"/>
    <cellStyle name="货币 2 5 3 4 4 2" xfId="35798" xr:uid="{00000000-0005-0000-0000-0000068C0000}"/>
    <cellStyle name="货币 2 5 3 4 5" xfId="47689" xr:uid="{00000000-0005-0000-0000-000079BA0000}"/>
    <cellStyle name="货币 2 5 3 4 6" xfId="7037" xr:uid="{00000000-0005-0000-0000-0000AD1B0000}"/>
    <cellStyle name="货币 2 5 3 4 7" xfId="47690" xr:uid="{00000000-0005-0000-0000-00007ABA0000}"/>
    <cellStyle name="货币 2 5 3 4 8" xfId="47692" xr:uid="{00000000-0005-0000-0000-00007CBA0000}"/>
    <cellStyle name="货币 2 5 3 4 9" xfId="47693" xr:uid="{00000000-0005-0000-0000-00007DBA0000}"/>
    <cellStyle name="货币 2 5 3 5" xfId="47313" xr:uid="{00000000-0005-0000-0000-000001B90000}"/>
    <cellStyle name="货币 2 5 3 5 10" xfId="47694" xr:uid="{00000000-0005-0000-0000-00007EBA0000}"/>
    <cellStyle name="货币 2 5 3 5 11" xfId="47695" xr:uid="{00000000-0005-0000-0000-00007FBA0000}"/>
    <cellStyle name="货币 2 5 3 5 12" xfId="47696" xr:uid="{00000000-0005-0000-0000-000080BA0000}"/>
    <cellStyle name="货币 2 5 3 5 13" xfId="47697" xr:uid="{00000000-0005-0000-0000-000081BA0000}"/>
    <cellStyle name="货币 2 5 3 5 2" xfId="15186" xr:uid="{00000000-0005-0000-0000-0000823B0000}"/>
    <cellStyle name="货币 2 5 3 5 2 2" xfId="47698" xr:uid="{00000000-0005-0000-0000-000082BA0000}"/>
    <cellStyle name="货币 2 5 3 5 2 2 2" xfId="47699" xr:uid="{00000000-0005-0000-0000-000083BA0000}"/>
    <cellStyle name="货币 2 5 3 5 2 3" xfId="47700" xr:uid="{00000000-0005-0000-0000-000084BA0000}"/>
    <cellStyle name="货币 2 5 3 5 2 4" xfId="47701" xr:uid="{00000000-0005-0000-0000-000085BA0000}"/>
    <cellStyle name="货币 2 5 3 5 2 5" xfId="47702" xr:uid="{00000000-0005-0000-0000-000086BA0000}"/>
    <cellStyle name="货币 2 5 3 5 2 6" xfId="47703" xr:uid="{00000000-0005-0000-0000-000087BA0000}"/>
    <cellStyle name="货币 2 5 3 5 2 7" xfId="47704" xr:uid="{00000000-0005-0000-0000-000088BA0000}"/>
    <cellStyle name="货币 2 5 3 5 2 8" xfId="47705" xr:uid="{00000000-0005-0000-0000-000089BA0000}"/>
    <cellStyle name="货币 2 5 3 5 2 9" xfId="47706" xr:uid="{00000000-0005-0000-0000-00008ABA0000}"/>
    <cellStyle name="货币 2 5 3 5 3" xfId="15190" xr:uid="{00000000-0005-0000-0000-0000863B0000}"/>
    <cellStyle name="货币 2 5 3 5 3 2" xfId="47707" xr:uid="{00000000-0005-0000-0000-00008BBA0000}"/>
    <cellStyle name="货币 2 5 3 5 3 3" xfId="47708" xr:uid="{00000000-0005-0000-0000-00008CBA0000}"/>
    <cellStyle name="货币 2 5 3 5 3 4" xfId="47709" xr:uid="{00000000-0005-0000-0000-00008DBA0000}"/>
    <cellStyle name="货币 2 5 3 5 3 5" xfId="47710" xr:uid="{00000000-0005-0000-0000-00008EBA0000}"/>
    <cellStyle name="货币 2 5 3 5 3 6" xfId="47711" xr:uid="{00000000-0005-0000-0000-00008FBA0000}"/>
    <cellStyle name="货币 2 5 3 5 4" xfId="15194" xr:uid="{00000000-0005-0000-0000-00008A3B0000}"/>
    <cellStyle name="货币 2 5 3 5 4 2" xfId="47712" xr:uid="{00000000-0005-0000-0000-000090BA0000}"/>
    <cellStyle name="货币 2 5 3 5 5" xfId="15197" xr:uid="{00000000-0005-0000-0000-00008D3B0000}"/>
    <cellStyle name="货币 2 5 3 5 6" xfId="7043" xr:uid="{00000000-0005-0000-0000-0000B31B0000}"/>
    <cellStyle name="货币 2 5 3 5 7" xfId="30079" xr:uid="{00000000-0005-0000-0000-0000AF750000}"/>
    <cellStyle name="货币 2 5 3 5 8" xfId="47713" xr:uid="{00000000-0005-0000-0000-000091BA0000}"/>
    <cellStyle name="货币 2 5 3 5 9" xfId="29125" xr:uid="{00000000-0005-0000-0000-0000F5710000}"/>
    <cellStyle name="货币 2 5 3 6" xfId="47315" xr:uid="{00000000-0005-0000-0000-000003B90000}"/>
    <cellStyle name="货币 2 5 3 6 10" xfId="41910" xr:uid="{00000000-0005-0000-0000-0000E6A30000}"/>
    <cellStyle name="货币 2 5 3 6 11" xfId="41913" xr:uid="{00000000-0005-0000-0000-0000E9A30000}"/>
    <cellStyle name="货币 2 5 3 6 12" xfId="41916" xr:uid="{00000000-0005-0000-0000-0000ECA30000}"/>
    <cellStyle name="货币 2 5 3 6 2" xfId="10666" xr:uid="{00000000-0005-0000-0000-0000DA290000}"/>
    <cellStyle name="货币 2 5 3 6 2 2" xfId="47714" xr:uid="{00000000-0005-0000-0000-000092BA0000}"/>
    <cellStyle name="货币 2 5 3 6 2 2 2" xfId="46948" xr:uid="{00000000-0005-0000-0000-000094B70000}"/>
    <cellStyle name="货币 2 5 3 6 2 3" xfId="47715" xr:uid="{00000000-0005-0000-0000-000093BA0000}"/>
    <cellStyle name="货币 2 5 3 6 2 4" xfId="47716" xr:uid="{00000000-0005-0000-0000-000094BA0000}"/>
    <cellStyle name="货币 2 5 3 6 2 5" xfId="47717" xr:uid="{00000000-0005-0000-0000-000095BA0000}"/>
    <cellStyle name="货币 2 5 3 6 2 6" xfId="47718" xr:uid="{00000000-0005-0000-0000-000096BA0000}"/>
    <cellStyle name="货币 2 5 3 6 2 7" xfId="47719" xr:uid="{00000000-0005-0000-0000-000097BA0000}"/>
    <cellStyle name="货币 2 5 3 6 2 8" xfId="47720" xr:uid="{00000000-0005-0000-0000-000098BA0000}"/>
    <cellStyle name="货币 2 5 3 6 2 9" xfId="47721" xr:uid="{00000000-0005-0000-0000-000099BA0000}"/>
    <cellStyle name="货币 2 5 3 6 3" xfId="7655" xr:uid="{00000000-0005-0000-0000-0000171E0000}"/>
    <cellStyle name="货币 2 5 3 6 3 2" xfId="47722" xr:uid="{00000000-0005-0000-0000-00009ABA0000}"/>
    <cellStyle name="货币 2 5 3 6 3 3" xfId="47723" xr:uid="{00000000-0005-0000-0000-00009BBA0000}"/>
    <cellStyle name="货币 2 5 3 6 3 4" xfId="47724" xr:uid="{00000000-0005-0000-0000-00009CBA0000}"/>
    <cellStyle name="货币 2 5 3 6 3 5" xfId="47725" xr:uid="{00000000-0005-0000-0000-00009DBA0000}"/>
    <cellStyle name="货币 2 5 3 6 3 6" xfId="47726" xr:uid="{00000000-0005-0000-0000-00009EBA0000}"/>
    <cellStyle name="货币 2 5 3 6 4" xfId="7663" xr:uid="{00000000-0005-0000-0000-00001F1E0000}"/>
    <cellStyle name="货币 2 5 3 6 4 2" xfId="47727" xr:uid="{00000000-0005-0000-0000-00009FBA0000}"/>
    <cellStyle name="货币 2 5 3 6 5" xfId="47728" xr:uid="{00000000-0005-0000-0000-0000A0BA0000}"/>
    <cellStyle name="货币 2 5 3 6 6" xfId="5738" xr:uid="{00000000-0005-0000-0000-00009A160000}"/>
    <cellStyle name="货币 2 5 3 6 7" xfId="47729" xr:uid="{00000000-0005-0000-0000-0000A1BA0000}"/>
    <cellStyle name="货币 2 5 3 6 8" xfId="47730" xr:uid="{00000000-0005-0000-0000-0000A2BA0000}"/>
    <cellStyle name="货币 2 5 3 6 9" xfId="47731" xr:uid="{00000000-0005-0000-0000-0000A3BA0000}"/>
    <cellStyle name="货币 2 5 3 7" xfId="47317" xr:uid="{00000000-0005-0000-0000-000005B90000}"/>
    <cellStyle name="货币 2 5 3 7 2" xfId="41323" xr:uid="{00000000-0005-0000-0000-00009BA10000}"/>
    <cellStyle name="货币 2 5 3 7 2 2" xfId="47732" xr:uid="{00000000-0005-0000-0000-0000A4BA0000}"/>
    <cellStyle name="货币 2 5 3 7 3" xfId="41325" xr:uid="{00000000-0005-0000-0000-00009DA10000}"/>
    <cellStyle name="货币 2 5 3 7 4" xfId="47733" xr:uid="{00000000-0005-0000-0000-0000A5BA0000}"/>
    <cellStyle name="货币 2 5 3 7 5" xfId="47734" xr:uid="{00000000-0005-0000-0000-0000A6BA0000}"/>
    <cellStyle name="货币 2 5 3 7 6" xfId="7050" xr:uid="{00000000-0005-0000-0000-0000BA1B0000}"/>
    <cellStyle name="货币 2 5 3 7 7" xfId="47735" xr:uid="{00000000-0005-0000-0000-0000A7BA0000}"/>
    <cellStyle name="货币 2 5 3 7 8" xfId="47736" xr:uid="{00000000-0005-0000-0000-0000A8BA0000}"/>
    <cellStyle name="货币 2 5 3 7 9" xfId="47737" xr:uid="{00000000-0005-0000-0000-0000A9BA0000}"/>
    <cellStyle name="货币 2 5 3 8" xfId="47319" xr:uid="{00000000-0005-0000-0000-000007B90000}"/>
    <cellStyle name="货币 2 5 3 8 2" xfId="12320" xr:uid="{00000000-0005-0000-0000-000050300000}"/>
    <cellStyle name="货币 2 5 3 8 3" xfId="12324" xr:uid="{00000000-0005-0000-0000-000054300000}"/>
    <cellStyle name="货币 2 5 3 8 4" xfId="12328" xr:uid="{00000000-0005-0000-0000-000058300000}"/>
    <cellStyle name="货币 2 5 3 8 5" xfId="12332" xr:uid="{00000000-0005-0000-0000-00005C300000}"/>
    <cellStyle name="货币 2 5 3 8 6" xfId="7055" xr:uid="{00000000-0005-0000-0000-0000BF1B0000}"/>
    <cellStyle name="货币 2 5 3 9" xfId="47321" xr:uid="{00000000-0005-0000-0000-000009B90000}"/>
    <cellStyle name="货币 2 5 3 9 2" xfId="12340" xr:uid="{00000000-0005-0000-0000-000064300000}"/>
    <cellStyle name="货币 2 5 3 9 3" xfId="12343" xr:uid="{00000000-0005-0000-0000-000067300000}"/>
    <cellStyle name="货币 2 5 3 9 4" xfId="12346" xr:uid="{00000000-0005-0000-0000-00006A300000}"/>
    <cellStyle name="货币 2 5 3 9 5" xfId="12350" xr:uid="{00000000-0005-0000-0000-00006E300000}"/>
    <cellStyle name="货币 2 5 3 9 6" xfId="7060" xr:uid="{00000000-0005-0000-0000-0000C41B0000}"/>
    <cellStyle name="货币 2 5 4" xfId="24790" xr:uid="{00000000-0005-0000-0000-000006610000}"/>
    <cellStyle name="货币 2 5 4 10" xfId="33673" xr:uid="{00000000-0005-0000-0000-0000B9830000}"/>
    <cellStyle name="货币 2 5 4 10 2" xfId="47738" xr:uid="{00000000-0005-0000-0000-0000AABA0000}"/>
    <cellStyle name="货币 2 5 4 10 3" xfId="47739" xr:uid="{00000000-0005-0000-0000-0000ABBA0000}"/>
    <cellStyle name="货币 2 5 4 10 4" xfId="47740" xr:uid="{00000000-0005-0000-0000-0000ACBA0000}"/>
    <cellStyle name="货币 2 5 4 10 5" xfId="47741" xr:uid="{00000000-0005-0000-0000-0000ADBA0000}"/>
    <cellStyle name="货币 2 5 4 10 6" xfId="47742" xr:uid="{00000000-0005-0000-0000-0000AEBA0000}"/>
    <cellStyle name="货币 2 5 4 11" xfId="33677" xr:uid="{00000000-0005-0000-0000-0000BD830000}"/>
    <cellStyle name="货币 2 5 4 11 2" xfId="47743" xr:uid="{00000000-0005-0000-0000-0000AFBA0000}"/>
    <cellStyle name="货币 2 5 4 11 3" xfId="47744" xr:uid="{00000000-0005-0000-0000-0000B0BA0000}"/>
    <cellStyle name="货币 2 5 4 11 4" xfId="47745" xr:uid="{00000000-0005-0000-0000-0000B1BA0000}"/>
    <cellStyle name="货币 2 5 4 11 5" xfId="41349" xr:uid="{00000000-0005-0000-0000-0000B5A10000}"/>
    <cellStyle name="货币 2 5 4 11 6" xfId="47746" xr:uid="{00000000-0005-0000-0000-0000B2BA0000}"/>
    <cellStyle name="货币 2 5 4 12" xfId="47747" xr:uid="{00000000-0005-0000-0000-0000B3BA0000}"/>
    <cellStyle name="货币 2 5 4 13" xfId="47748" xr:uid="{00000000-0005-0000-0000-0000B4BA0000}"/>
    <cellStyle name="货币 2 5 4 14" xfId="47749" xr:uid="{00000000-0005-0000-0000-0000B5BA0000}"/>
    <cellStyle name="货币 2 5 4 15" xfId="47751" xr:uid="{00000000-0005-0000-0000-0000B7BA0000}"/>
    <cellStyle name="货币 2 5 4 16" xfId="47753" xr:uid="{00000000-0005-0000-0000-0000B9BA0000}"/>
    <cellStyle name="货币 2 5 4 17" xfId="18854" xr:uid="{00000000-0005-0000-0000-0000D6490000}"/>
    <cellStyle name="货币 2 5 4 18" xfId="29391" xr:uid="{00000000-0005-0000-0000-0000FF720000}"/>
    <cellStyle name="货币 2 5 4 19" xfId="47754" xr:uid="{00000000-0005-0000-0000-0000BABA0000}"/>
    <cellStyle name="货币 2 5 4 2" xfId="47323" xr:uid="{00000000-0005-0000-0000-00000BB90000}"/>
    <cellStyle name="货币 2 5 4 2 10" xfId="47755" xr:uid="{00000000-0005-0000-0000-0000BBBA0000}"/>
    <cellStyle name="货币 2 5 4 2 11" xfId="47756" xr:uid="{00000000-0005-0000-0000-0000BCBA0000}"/>
    <cellStyle name="货币 2 5 4 2 12" xfId="47757" xr:uid="{00000000-0005-0000-0000-0000BDBA0000}"/>
    <cellStyle name="货币 2 5 4 2 13" xfId="47758" xr:uid="{00000000-0005-0000-0000-0000BEBA0000}"/>
    <cellStyle name="货币 2 5 4 2 14" xfId="47759" xr:uid="{00000000-0005-0000-0000-0000BFBA0000}"/>
    <cellStyle name="货币 2 5 4 2 15" xfId="47760" xr:uid="{00000000-0005-0000-0000-0000C0BA0000}"/>
    <cellStyle name="货币 2 5 4 2 16" xfId="47761" xr:uid="{00000000-0005-0000-0000-0000C1BA0000}"/>
    <cellStyle name="货币 2 5 4 2 17" xfId="47762" xr:uid="{00000000-0005-0000-0000-0000C2BA0000}"/>
    <cellStyle name="货币 2 5 4 2 18" xfId="47763" xr:uid="{00000000-0005-0000-0000-0000C3BA0000}"/>
    <cellStyle name="货币 2 5 4 2 2" xfId="47764" xr:uid="{00000000-0005-0000-0000-0000C4BA0000}"/>
    <cellStyle name="货币 2 5 4 2 2 10" xfId="47765" xr:uid="{00000000-0005-0000-0000-0000C5BA0000}"/>
    <cellStyle name="货币 2 5 4 2 2 11" xfId="47766" xr:uid="{00000000-0005-0000-0000-0000C6BA0000}"/>
    <cellStyle name="货币 2 5 4 2 2 12" xfId="46389" xr:uid="{00000000-0005-0000-0000-000065B50000}"/>
    <cellStyle name="货币 2 5 4 2 2 2" xfId="22089" xr:uid="{00000000-0005-0000-0000-000079560000}"/>
    <cellStyle name="货币 2 5 4 2 2 2 2" xfId="10812" xr:uid="{00000000-0005-0000-0000-00006C2A0000}"/>
    <cellStyle name="货币 2 5 4 2 2 2 2 2" xfId="22093" xr:uid="{00000000-0005-0000-0000-00007D560000}"/>
    <cellStyle name="货币 2 5 4 2 2 2 3" xfId="14137" xr:uid="{00000000-0005-0000-0000-000069370000}"/>
    <cellStyle name="货币 2 5 4 2 2 2 4" xfId="14145" xr:uid="{00000000-0005-0000-0000-000071370000}"/>
    <cellStyle name="货币 2 5 4 2 2 2 5" xfId="14150" xr:uid="{00000000-0005-0000-0000-000076370000}"/>
    <cellStyle name="货币 2 5 4 2 2 3" xfId="22101" xr:uid="{00000000-0005-0000-0000-000085560000}"/>
    <cellStyle name="货币 2 5 4 2 2 3 2" xfId="22103" xr:uid="{00000000-0005-0000-0000-000087560000}"/>
    <cellStyle name="货币 2 5 4 2 2 4" xfId="22122" xr:uid="{00000000-0005-0000-0000-00009A560000}"/>
    <cellStyle name="货币 2 5 4 2 2 5" xfId="47767" xr:uid="{00000000-0005-0000-0000-0000C7BA0000}"/>
    <cellStyle name="货币 2 5 4 2 2 6" xfId="47768" xr:uid="{00000000-0005-0000-0000-0000C8BA0000}"/>
    <cellStyle name="货币 2 5 4 2 2 7" xfId="47769" xr:uid="{00000000-0005-0000-0000-0000C9BA0000}"/>
    <cellStyle name="货币 2 5 4 2 2 8" xfId="47770" xr:uid="{00000000-0005-0000-0000-0000CABA0000}"/>
    <cellStyle name="货币 2 5 4 2 2 9" xfId="45348" xr:uid="{00000000-0005-0000-0000-000054B10000}"/>
    <cellStyle name="货币 2 5 4 2 3" xfId="47771" xr:uid="{00000000-0005-0000-0000-0000CBBA0000}"/>
    <cellStyle name="货币 2 5 4 2 3 10" xfId="47772" xr:uid="{00000000-0005-0000-0000-0000CCBA0000}"/>
    <cellStyle name="货币 2 5 4 2 3 11" xfId="21358" xr:uid="{00000000-0005-0000-0000-00009E530000}"/>
    <cellStyle name="货币 2 5 4 2 3 12" xfId="21365" xr:uid="{00000000-0005-0000-0000-0000A5530000}"/>
    <cellStyle name="货币 2 5 4 2 3 2" xfId="47773" xr:uid="{00000000-0005-0000-0000-0000CDBA0000}"/>
    <cellStyle name="货币 2 5 4 2 3 2 2" xfId="10882" xr:uid="{00000000-0005-0000-0000-0000B22A0000}"/>
    <cellStyle name="货币 2 5 4 2 3 2 2 2" xfId="41049" xr:uid="{00000000-0005-0000-0000-000089A00000}"/>
    <cellStyle name="货币 2 5 4 2 3 2 3" xfId="41051" xr:uid="{00000000-0005-0000-0000-00008BA00000}"/>
    <cellStyle name="货币 2 5 4 2 3 2 4" xfId="41053" xr:uid="{00000000-0005-0000-0000-00008DA00000}"/>
    <cellStyle name="货币 2 5 4 2 3 2 5" xfId="41055" xr:uid="{00000000-0005-0000-0000-00008FA00000}"/>
    <cellStyle name="货币 2 5 4 2 3 3" xfId="47774" xr:uid="{00000000-0005-0000-0000-0000CEBA0000}"/>
    <cellStyle name="货币 2 5 4 2 3 3 2" xfId="41069" xr:uid="{00000000-0005-0000-0000-00009DA00000}"/>
    <cellStyle name="货币 2 5 4 2 3 4" xfId="47775" xr:uid="{00000000-0005-0000-0000-0000CFBA0000}"/>
    <cellStyle name="货币 2 5 4 2 3 5" xfId="47776" xr:uid="{00000000-0005-0000-0000-0000D0BA0000}"/>
    <cellStyle name="货币 2 5 4 2 3 6" xfId="47777" xr:uid="{00000000-0005-0000-0000-0000D1BA0000}"/>
    <cellStyle name="货币 2 5 4 2 3 7" xfId="47778" xr:uid="{00000000-0005-0000-0000-0000D2BA0000}"/>
    <cellStyle name="货币 2 5 4 2 3 8" xfId="47779" xr:uid="{00000000-0005-0000-0000-0000D3BA0000}"/>
    <cellStyle name="货币 2 5 4 2 3 9" xfId="45360" xr:uid="{00000000-0005-0000-0000-000060B10000}"/>
    <cellStyle name="货币 2 5 4 2 4" xfId="47780" xr:uid="{00000000-0005-0000-0000-0000D4BA0000}"/>
    <cellStyle name="货币 2 5 4 2 4 10" xfId="39902" xr:uid="{00000000-0005-0000-0000-00000E9C0000}"/>
    <cellStyle name="货币 2 5 4 2 4 2" xfId="47781" xr:uid="{00000000-0005-0000-0000-0000D5BA0000}"/>
    <cellStyle name="货币 2 5 4 2 4 2 2" xfId="8395" xr:uid="{00000000-0005-0000-0000-0000FB200000}"/>
    <cellStyle name="货币 2 5 4 2 4 2 2 2" xfId="47782" xr:uid="{00000000-0005-0000-0000-0000D6BA0000}"/>
    <cellStyle name="货币 2 5 4 2 4 2 3" xfId="41133" xr:uid="{00000000-0005-0000-0000-0000DDA00000}"/>
    <cellStyle name="货币 2 5 4 2 4 2 4" xfId="41135" xr:uid="{00000000-0005-0000-0000-0000DFA00000}"/>
    <cellStyle name="货币 2 5 4 2 4 2 5" xfId="41137" xr:uid="{00000000-0005-0000-0000-0000E1A00000}"/>
    <cellStyle name="货币 2 5 4 2 4 3" xfId="47783" xr:uid="{00000000-0005-0000-0000-0000D7BA0000}"/>
    <cellStyle name="货币 2 5 4 2 4 3 2" xfId="41144" xr:uid="{00000000-0005-0000-0000-0000E8A00000}"/>
    <cellStyle name="货币 2 5 4 2 4 4" xfId="47784" xr:uid="{00000000-0005-0000-0000-0000D8BA0000}"/>
    <cellStyle name="货币 2 5 4 2 4 5" xfId="22237" xr:uid="{00000000-0005-0000-0000-00000D570000}"/>
    <cellStyle name="货币 2 5 4 2 4 6" xfId="47785" xr:uid="{00000000-0005-0000-0000-0000D9BA0000}"/>
    <cellStyle name="货币 2 5 4 2 4 7" xfId="46588" xr:uid="{00000000-0005-0000-0000-00002CB60000}"/>
    <cellStyle name="货币 2 5 4 2 4 8" xfId="22248" xr:uid="{00000000-0005-0000-0000-000018570000}"/>
    <cellStyle name="货币 2 5 4 2 4 9" xfId="22254" xr:uid="{00000000-0005-0000-0000-00001E570000}"/>
    <cellStyle name="货币 2 5 4 2 5" xfId="47786" xr:uid="{00000000-0005-0000-0000-0000DABA0000}"/>
    <cellStyle name="货币 2 5 4 2 5 10" xfId="39946" xr:uid="{00000000-0005-0000-0000-00003A9C0000}"/>
    <cellStyle name="货币 2 5 4 2 5 2" xfId="22257" xr:uid="{00000000-0005-0000-0000-000021570000}"/>
    <cellStyle name="货币 2 5 4 2 5 2 2" xfId="41168" xr:uid="{00000000-0005-0000-0000-000000A10000}"/>
    <cellStyle name="货币 2 5 4 2 5 2 2 2" xfId="2819" xr:uid="{00000000-0005-0000-0000-0000330B0000}"/>
    <cellStyle name="货币 2 5 4 2 5 2 3" xfId="41170" xr:uid="{00000000-0005-0000-0000-000002A10000}"/>
    <cellStyle name="货币 2 5 4 2 5 2 4" xfId="41172" xr:uid="{00000000-0005-0000-0000-000004A10000}"/>
    <cellStyle name="货币 2 5 4 2 5 2 5" xfId="41174" xr:uid="{00000000-0005-0000-0000-000006A10000}"/>
    <cellStyle name="货币 2 5 4 2 5 3" xfId="47787" xr:uid="{00000000-0005-0000-0000-0000DBBA0000}"/>
    <cellStyle name="货币 2 5 4 2 5 3 2" xfId="41181" xr:uid="{00000000-0005-0000-0000-00000DA10000}"/>
    <cellStyle name="货币 2 5 4 2 5 4" xfId="47788" xr:uid="{00000000-0005-0000-0000-0000DCBA0000}"/>
    <cellStyle name="货币 2 5 4 2 5 5" xfId="43030" xr:uid="{00000000-0005-0000-0000-000046A80000}"/>
    <cellStyle name="货币 2 5 4 2 5 6" xfId="47789" xr:uid="{00000000-0005-0000-0000-0000DDBA0000}"/>
    <cellStyle name="货币 2 5 4 2 5 7" xfId="47790" xr:uid="{00000000-0005-0000-0000-0000DEBA0000}"/>
    <cellStyle name="货币 2 5 4 2 5 8" xfId="47791" xr:uid="{00000000-0005-0000-0000-0000DFBA0000}"/>
    <cellStyle name="货币 2 5 4 2 5 9" xfId="45375" xr:uid="{00000000-0005-0000-0000-00006FB10000}"/>
    <cellStyle name="货币 2 5 4 2 6" xfId="47792" xr:uid="{00000000-0005-0000-0000-0000E0BA0000}"/>
    <cellStyle name="货币 2 5 4 2 6 2" xfId="22281" xr:uid="{00000000-0005-0000-0000-000039570000}"/>
    <cellStyle name="货币 2 5 4 2 6 2 2" xfId="41197" xr:uid="{00000000-0005-0000-0000-00001DA10000}"/>
    <cellStyle name="货币 2 5 4 2 6 3" xfId="47793" xr:uid="{00000000-0005-0000-0000-0000E1BA0000}"/>
    <cellStyle name="货币 2 5 4 2 6 4" xfId="47794" xr:uid="{00000000-0005-0000-0000-0000E2BA0000}"/>
    <cellStyle name="货币 2 5 4 2 6 5" xfId="47795" xr:uid="{00000000-0005-0000-0000-0000E3BA0000}"/>
    <cellStyle name="货币 2 5 4 2 6 6" xfId="47796" xr:uid="{00000000-0005-0000-0000-0000E4BA0000}"/>
    <cellStyle name="货币 2 5 4 2 6 7" xfId="47797" xr:uid="{00000000-0005-0000-0000-0000E5BA0000}"/>
    <cellStyle name="货币 2 5 4 2 6 8" xfId="47798" xr:uid="{00000000-0005-0000-0000-0000E6BA0000}"/>
    <cellStyle name="货币 2 5 4 2 6 9" xfId="47799" xr:uid="{00000000-0005-0000-0000-0000E7BA0000}"/>
    <cellStyle name="货币 2 5 4 2 7" xfId="47800" xr:uid="{00000000-0005-0000-0000-0000E8BA0000}"/>
    <cellStyle name="货币 2 5 4 2 7 2" xfId="47801" xr:uid="{00000000-0005-0000-0000-0000E9BA0000}"/>
    <cellStyle name="货币 2 5 4 2 8" xfId="47802" xr:uid="{00000000-0005-0000-0000-0000EABA0000}"/>
    <cellStyle name="货币 2 5 4 2 9" xfId="47803" xr:uid="{00000000-0005-0000-0000-0000EBBA0000}"/>
    <cellStyle name="货币 2 5 4 20" xfId="47750" xr:uid="{00000000-0005-0000-0000-0000B6BA0000}"/>
    <cellStyle name="货币 2 5 4 21" xfId="47752" xr:uid="{00000000-0005-0000-0000-0000B8BA0000}"/>
    <cellStyle name="货币 2 5 4 22" xfId="18853" xr:uid="{00000000-0005-0000-0000-0000D5490000}"/>
    <cellStyle name="货币 2 5 4 23" xfId="29390" xr:uid="{00000000-0005-0000-0000-0000FE720000}"/>
    <cellStyle name="货币 2 5 4 3" xfId="47325" xr:uid="{00000000-0005-0000-0000-00000DB90000}"/>
    <cellStyle name="货币 2 5 4 3 10" xfId="4991" xr:uid="{00000000-0005-0000-0000-0000AF130000}"/>
    <cellStyle name="货币 2 5 4 3 11" xfId="8983" xr:uid="{00000000-0005-0000-0000-000047230000}"/>
    <cellStyle name="货币 2 5 4 3 12" xfId="14171" xr:uid="{00000000-0005-0000-0000-00008B370000}"/>
    <cellStyle name="货币 2 5 4 3 13" xfId="11970" xr:uid="{00000000-0005-0000-0000-0000F22E0000}"/>
    <cellStyle name="货币 2 5 4 3 14" xfId="14188" xr:uid="{00000000-0005-0000-0000-00009C370000}"/>
    <cellStyle name="货币 2 5 4 3 15" xfId="14195" xr:uid="{00000000-0005-0000-0000-0000A3370000}"/>
    <cellStyle name="货币 2 5 4 3 16" xfId="47177" xr:uid="{00000000-0005-0000-0000-000079B80000}"/>
    <cellStyle name="货币 2 5 4 3 17" xfId="47804" xr:uid="{00000000-0005-0000-0000-0000ECBA0000}"/>
    <cellStyle name="货币 2 5 4 3 18" xfId="47805" xr:uid="{00000000-0005-0000-0000-0000EDBA0000}"/>
    <cellStyle name="货币 2 5 4 3 2" xfId="47806" xr:uid="{00000000-0005-0000-0000-0000EEBA0000}"/>
    <cellStyle name="货币 2 5 4 3 2 10" xfId="47807" xr:uid="{00000000-0005-0000-0000-0000EFBA0000}"/>
    <cellStyle name="货币 2 5 4 3 2 2" xfId="47808" xr:uid="{00000000-0005-0000-0000-0000F0BA0000}"/>
    <cellStyle name="货币 2 5 4 3 2 2 2" xfId="47809" xr:uid="{00000000-0005-0000-0000-0000F1BA0000}"/>
    <cellStyle name="货币 2 5 4 3 2 3" xfId="47810" xr:uid="{00000000-0005-0000-0000-0000F2BA0000}"/>
    <cellStyle name="货币 2 5 4 3 2 4" xfId="47811" xr:uid="{00000000-0005-0000-0000-0000F3BA0000}"/>
    <cellStyle name="货币 2 5 4 3 2 5" xfId="47812" xr:uid="{00000000-0005-0000-0000-0000F4BA0000}"/>
    <cellStyle name="货币 2 5 4 3 2 6" xfId="47813" xr:uid="{00000000-0005-0000-0000-0000F5BA0000}"/>
    <cellStyle name="货币 2 5 4 3 2 7" xfId="47814" xr:uid="{00000000-0005-0000-0000-0000F6BA0000}"/>
    <cellStyle name="货币 2 5 4 3 2 8" xfId="47815" xr:uid="{00000000-0005-0000-0000-0000F7BA0000}"/>
    <cellStyle name="货币 2 5 4 3 2 9" xfId="47816" xr:uid="{00000000-0005-0000-0000-0000F8BA0000}"/>
    <cellStyle name="货币 2 5 4 3 3" xfId="47817" xr:uid="{00000000-0005-0000-0000-0000F9BA0000}"/>
    <cellStyle name="货币 2 5 4 3 3 2" xfId="47818" xr:uid="{00000000-0005-0000-0000-0000FABA0000}"/>
    <cellStyle name="货币 2 5 4 3 3 3" xfId="47819" xr:uid="{00000000-0005-0000-0000-0000FBBA0000}"/>
    <cellStyle name="货币 2 5 4 3 3 4" xfId="47820" xr:uid="{00000000-0005-0000-0000-0000FCBA0000}"/>
    <cellStyle name="货币 2 5 4 3 3 5" xfId="47821" xr:uid="{00000000-0005-0000-0000-0000FDBA0000}"/>
    <cellStyle name="货币 2 5 4 3 3 6" xfId="47822" xr:uid="{00000000-0005-0000-0000-0000FEBA0000}"/>
    <cellStyle name="货币 2 5 4 3 4" xfId="47823" xr:uid="{00000000-0005-0000-0000-0000FFBA0000}"/>
    <cellStyle name="货币 2 5 4 3 4 2" xfId="47824" xr:uid="{00000000-0005-0000-0000-000000BB0000}"/>
    <cellStyle name="货币 2 5 4 3 4 3" xfId="47826" xr:uid="{00000000-0005-0000-0000-000002BB0000}"/>
    <cellStyle name="货币 2 5 4 3 4 4" xfId="47828" xr:uid="{00000000-0005-0000-0000-000004BB0000}"/>
    <cellStyle name="货币 2 5 4 3 4 5" xfId="47830" xr:uid="{00000000-0005-0000-0000-000006BB0000}"/>
    <cellStyle name="货币 2 5 4 3 4 6" xfId="47832" xr:uid="{00000000-0005-0000-0000-000008BB0000}"/>
    <cellStyle name="货币 2 5 4 3 5" xfId="47833" xr:uid="{00000000-0005-0000-0000-000009BB0000}"/>
    <cellStyle name="货币 2 5 4 3 5 2" xfId="8427" xr:uid="{00000000-0005-0000-0000-00001B210000}"/>
    <cellStyle name="货币 2 5 4 3 5 3" xfId="47834" xr:uid="{00000000-0005-0000-0000-00000ABB0000}"/>
    <cellStyle name="货币 2 5 4 3 5 4" xfId="47835" xr:uid="{00000000-0005-0000-0000-00000BBB0000}"/>
    <cellStyle name="货币 2 5 4 3 5 5" xfId="47836" xr:uid="{00000000-0005-0000-0000-00000CBB0000}"/>
    <cellStyle name="货币 2 5 4 3 5 6" xfId="47837" xr:uid="{00000000-0005-0000-0000-00000DBB0000}"/>
    <cellStyle name="货币 2 5 4 3 6" xfId="47838" xr:uid="{00000000-0005-0000-0000-00000EBB0000}"/>
    <cellStyle name="货币 2 5 4 3 6 2" xfId="47839" xr:uid="{00000000-0005-0000-0000-00000FBB0000}"/>
    <cellStyle name="货币 2 5 4 3 6 3" xfId="47840" xr:uid="{00000000-0005-0000-0000-000010BB0000}"/>
    <cellStyle name="货币 2 5 4 3 6 4" xfId="47841" xr:uid="{00000000-0005-0000-0000-000011BB0000}"/>
    <cellStyle name="货币 2 5 4 3 6 5" xfId="47842" xr:uid="{00000000-0005-0000-0000-000012BB0000}"/>
    <cellStyle name="货币 2 5 4 3 6 6" xfId="47843" xr:uid="{00000000-0005-0000-0000-000013BB0000}"/>
    <cellStyle name="货币 2 5 4 3 7" xfId="47844" xr:uid="{00000000-0005-0000-0000-000014BB0000}"/>
    <cellStyle name="货币 2 5 4 3 8" xfId="47846" xr:uid="{00000000-0005-0000-0000-000016BB0000}"/>
    <cellStyle name="货币 2 5 4 3 9" xfId="47847" xr:uid="{00000000-0005-0000-0000-000017BB0000}"/>
    <cellStyle name="货币 2 5 4 4" xfId="28894" xr:uid="{00000000-0005-0000-0000-00000E710000}"/>
    <cellStyle name="货币 2 5 4 4 10" xfId="47848" xr:uid="{00000000-0005-0000-0000-000018BB0000}"/>
    <cellStyle name="货币 2 5 4 4 11" xfId="47849" xr:uid="{00000000-0005-0000-0000-000019BB0000}"/>
    <cellStyle name="货币 2 5 4 4 12" xfId="47850" xr:uid="{00000000-0005-0000-0000-00001ABB0000}"/>
    <cellStyle name="货币 2 5 4 4 13" xfId="47851" xr:uid="{00000000-0005-0000-0000-00001BBB0000}"/>
    <cellStyle name="货币 2 5 4 4 14" xfId="47852" xr:uid="{00000000-0005-0000-0000-00001CBB0000}"/>
    <cellStyle name="货币 2 5 4 4 15" xfId="9506" xr:uid="{00000000-0005-0000-0000-000052250000}"/>
    <cellStyle name="货币 2 5 4 4 2" xfId="41357" xr:uid="{00000000-0005-0000-0000-0000BDA10000}"/>
    <cellStyle name="货币 2 5 4 4 2 2" xfId="47853" xr:uid="{00000000-0005-0000-0000-00001DBB0000}"/>
    <cellStyle name="货币 2 5 4 4 2 2 2" xfId="47854" xr:uid="{00000000-0005-0000-0000-00001EBB0000}"/>
    <cellStyle name="货币 2 5 4 4 2 3" xfId="47855" xr:uid="{00000000-0005-0000-0000-00001FBB0000}"/>
    <cellStyle name="货币 2 5 4 4 2 4" xfId="47856" xr:uid="{00000000-0005-0000-0000-000020BB0000}"/>
    <cellStyle name="货币 2 5 4 4 2 5" xfId="47857" xr:uid="{00000000-0005-0000-0000-000021BB0000}"/>
    <cellStyle name="货币 2 5 4 4 2 6" xfId="2261" xr:uid="{00000000-0005-0000-0000-000005090000}"/>
    <cellStyle name="货币 2 5 4 4 2 7" xfId="47858" xr:uid="{00000000-0005-0000-0000-000022BB0000}"/>
    <cellStyle name="货币 2 5 4 4 2 8" xfId="47859" xr:uid="{00000000-0005-0000-0000-000023BB0000}"/>
    <cellStyle name="货币 2 5 4 4 2 9" xfId="47860" xr:uid="{00000000-0005-0000-0000-000024BB0000}"/>
    <cellStyle name="货币 2 5 4 4 3" xfId="41359" xr:uid="{00000000-0005-0000-0000-0000BFA10000}"/>
    <cellStyle name="货币 2 5 4 4 3 2" xfId="47861" xr:uid="{00000000-0005-0000-0000-000025BB0000}"/>
    <cellStyle name="货币 2 5 4 4 3 3" xfId="47862" xr:uid="{00000000-0005-0000-0000-000026BB0000}"/>
    <cellStyle name="货币 2 5 4 4 3 4" xfId="47863" xr:uid="{00000000-0005-0000-0000-000027BB0000}"/>
    <cellStyle name="货币 2 5 4 4 3 5" xfId="47864" xr:uid="{00000000-0005-0000-0000-000028BB0000}"/>
    <cellStyle name="货币 2 5 4 4 3 6" xfId="47865" xr:uid="{00000000-0005-0000-0000-000029BB0000}"/>
    <cellStyle name="货币 2 5 4 4 4" xfId="47866" xr:uid="{00000000-0005-0000-0000-00002ABB0000}"/>
    <cellStyle name="货币 2 5 4 4 4 2" xfId="47867" xr:uid="{00000000-0005-0000-0000-00002BBB0000}"/>
    <cellStyle name="货币 2 5 4 4 5" xfId="47868" xr:uid="{00000000-0005-0000-0000-00002CBB0000}"/>
    <cellStyle name="货币 2 5 4 4 6" xfId="7066" xr:uid="{00000000-0005-0000-0000-0000CA1B0000}"/>
    <cellStyle name="货币 2 5 4 4 7" xfId="47869" xr:uid="{00000000-0005-0000-0000-00002DBB0000}"/>
    <cellStyle name="货币 2 5 4 4 8" xfId="47870" xr:uid="{00000000-0005-0000-0000-00002EBB0000}"/>
    <cellStyle name="货币 2 5 4 4 9" xfId="47871" xr:uid="{00000000-0005-0000-0000-00002FBB0000}"/>
    <cellStyle name="货币 2 5 4 5" xfId="47327" xr:uid="{00000000-0005-0000-0000-00000FB90000}"/>
    <cellStyle name="货币 2 5 4 5 10" xfId="6434" xr:uid="{00000000-0005-0000-0000-000052190000}"/>
    <cellStyle name="货币 2 5 4 5 11" xfId="6453" xr:uid="{00000000-0005-0000-0000-000065190000}"/>
    <cellStyle name="货币 2 5 4 5 12" xfId="11103" xr:uid="{00000000-0005-0000-0000-00008F2B0000}"/>
    <cellStyle name="货币 2 5 4 5 13" xfId="4374" xr:uid="{00000000-0005-0000-0000-000046110000}"/>
    <cellStyle name="货币 2 5 4 5 2" xfId="47872" xr:uid="{00000000-0005-0000-0000-000030BB0000}"/>
    <cellStyle name="货币 2 5 4 5 2 2" xfId="47873" xr:uid="{00000000-0005-0000-0000-000031BB0000}"/>
    <cellStyle name="货币 2 5 4 5 2 2 2" xfId="20059" xr:uid="{00000000-0005-0000-0000-00008B4E0000}"/>
    <cellStyle name="货币 2 5 4 5 2 3" xfId="47874" xr:uid="{00000000-0005-0000-0000-000032BB0000}"/>
    <cellStyle name="货币 2 5 4 5 2 4" xfId="47875" xr:uid="{00000000-0005-0000-0000-000033BB0000}"/>
    <cellStyle name="货币 2 5 4 5 2 5" xfId="47876" xr:uid="{00000000-0005-0000-0000-000034BB0000}"/>
    <cellStyle name="货币 2 5 4 5 2 6" xfId="47877" xr:uid="{00000000-0005-0000-0000-000035BB0000}"/>
    <cellStyle name="货币 2 5 4 5 2 7" xfId="47878" xr:uid="{00000000-0005-0000-0000-000036BB0000}"/>
    <cellStyle name="货币 2 5 4 5 2 8" xfId="47879" xr:uid="{00000000-0005-0000-0000-000037BB0000}"/>
    <cellStyle name="货币 2 5 4 5 2 9" xfId="47880" xr:uid="{00000000-0005-0000-0000-000038BB0000}"/>
    <cellStyle name="货币 2 5 4 5 3" xfId="47881" xr:uid="{00000000-0005-0000-0000-000039BB0000}"/>
    <cellStyle name="货币 2 5 4 5 3 2" xfId="47882" xr:uid="{00000000-0005-0000-0000-00003ABB0000}"/>
    <cellStyle name="货币 2 5 4 5 3 3" xfId="47883" xr:uid="{00000000-0005-0000-0000-00003BBB0000}"/>
    <cellStyle name="货币 2 5 4 5 3 4" xfId="47884" xr:uid="{00000000-0005-0000-0000-00003CBB0000}"/>
    <cellStyle name="货币 2 5 4 5 3 5" xfId="3003" xr:uid="{00000000-0005-0000-0000-0000EB0B0000}"/>
    <cellStyle name="货币 2 5 4 5 3 6" xfId="3018" xr:uid="{00000000-0005-0000-0000-0000FA0B0000}"/>
    <cellStyle name="货币 2 5 4 5 4" xfId="47885" xr:uid="{00000000-0005-0000-0000-00003DBB0000}"/>
    <cellStyle name="货币 2 5 4 5 4 2" xfId="47886" xr:uid="{00000000-0005-0000-0000-00003EBB0000}"/>
    <cellStyle name="货币 2 5 4 5 5" xfId="47887" xr:uid="{00000000-0005-0000-0000-00003FBB0000}"/>
    <cellStyle name="货币 2 5 4 5 6" xfId="47888" xr:uid="{00000000-0005-0000-0000-000040BB0000}"/>
    <cellStyle name="货币 2 5 4 5 7" xfId="47889" xr:uid="{00000000-0005-0000-0000-000041BB0000}"/>
    <cellStyle name="货币 2 5 4 5 8" xfId="47890" xr:uid="{00000000-0005-0000-0000-000042BB0000}"/>
    <cellStyle name="货币 2 5 4 5 9" xfId="47891" xr:uid="{00000000-0005-0000-0000-000043BB0000}"/>
    <cellStyle name="货币 2 5 4 6" xfId="47329" xr:uid="{00000000-0005-0000-0000-000011B90000}"/>
    <cellStyle name="货币 2 5 4 6 10" xfId="47892" xr:uid="{00000000-0005-0000-0000-000044BB0000}"/>
    <cellStyle name="货币 2 5 4 6 11" xfId="42465" xr:uid="{00000000-0005-0000-0000-000011A60000}"/>
    <cellStyle name="货币 2 5 4 6 12" xfId="42467" xr:uid="{00000000-0005-0000-0000-000013A60000}"/>
    <cellStyle name="货币 2 5 4 6 2" xfId="47893" xr:uid="{00000000-0005-0000-0000-000045BB0000}"/>
    <cellStyle name="货币 2 5 4 6 2 2" xfId="47894" xr:uid="{00000000-0005-0000-0000-000046BB0000}"/>
    <cellStyle name="货币 2 5 4 6 2 2 2" xfId="47896" xr:uid="{00000000-0005-0000-0000-000048BB0000}"/>
    <cellStyle name="货币 2 5 4 6 2 3" xfId="47897" xr:uid="{00000000-0005-0000-0000-000049BB0000}"/>
    <cellStyle name="货币 2 5 4 6 2 4" xfId="47898" xr:uid="{00000000-0005-0000-0000-00004ABB0000}"/>
    <cellStyle name="货币 2 5 4 6 2 5" xfId="47899" xr:uid="{00000000-0005-0000-0000-00004BBB0000}"/>
    <cellStyle name="货币 2 5 4 6 2 6" xfId="47900" xr:uid="{00000000-0005-0000-0000-00004CBB0000}"/>
    <cellStyle name="货币 2 5 4 6 2 7" xfId="47901" xr:uid="{00000000-0005-0000-0000-00004DBB0000}"/>
    <cellStyle name="货币 2 5 4 6 2 8" xfId="3402" xr:uid="{00000000-0005-0000-0000-00007A0D0000}"/>
    <cellStyle name="货币 2 5 4 6 2 9" xfId="2143" xr:uid="{00000000-0005-0000-0000-00008F080000}"/>
    <cellStyle name="货币 2 5 4 6 3" xfId="47902" xr:uid="{00000000-0005-0000-0000-00004EBB0000}"/>
    <cellStyle name="货币 2 5 4 6 3 2" xfId="47903" xr:uid="{00000000-0005-0000-0000-00004FBB0000}"/>
    <cellStyle name="货币 2 5 4 6 3 3" xfId="47904" xr:uid="{00000000-0005-0000-0000-000050BB0000}"/>
    <cellStyle name="货币 2 5 4 6 3 4" xfId="47905" xr:uid="{00000000-0005-0000-0000-000051BB0000}"/>
    <cellStyle name="货币 2 5 4 6 3 5" xfId="47906" xr:uid="{00000000-0005-0000-0000-000052BB0000}"/>
    <cellStyle name="货币 2 5 4 6 3 6" xfId="47907" xr:uid="{00000000-0005-0000-0000-000053BB0000}"/>
    <cellStyle name="货币 2 5 4 6 4" xfId="47908" xr:uid="{00000000-0005-0000-0000-000054BB0000}"/>
    <cellStyle name="货币 2 5 4 6 4 2" xfId="47909" xr:uid="{00000000-0005-0000-0000-000055BB0000}"/>
    <cellStyle name="货币 2 5 4 6 5" xfId="47910" xr:uid="{00000000-0005-0000-0000-000056BB0000}"/>
    <cellStyle name="货币 2 5 4 6 6" xfId="47911" xr:uid="{00000000-0005-0000-0000-000057BB0000}"/>
    <cellStyle name="货币 2 5 4 6 7" xfId="47912" xr:uid="{00000000-0005-0000-0000-000058BB0000}"/>
    <cellStyle name="货币 2 5 4 6 8" xfId="47913" xr:uid="{00000000-0005-0000-0000-000059BB0000}"/>
    <cellStyle name="货币 2 5 4 6 9" xfId="47914" xr:uid="{00000000-0005-0000-0000-00005ABB0000}"/>
    <cellStyle name="货币 2 5 4 7" xfId="12410" xr:uid="{00000000-0005-0000-0000-0000AA300000}"/>
    <cellStyle name="货币 2 5 4 7 2" xfId="47915" xr:uid="{00000000-0005-0000-0000-00005BBB0000}"/>
    <cellStyle name="货币 2 5 4 7 2 2" xfId="47916" xr:uid="{00000000-0005-0000-0000-00005CBB0000}"/>
    <cellStyle name="货币 2 5 4 7 3" xfId="47917" xr:uid="{00000000-0005-0000-0000-00005DBB0000}"/>
    <cellStyle name="货币 2 5 4 7 4" xfId="47918" xr:uid="{00000000-0005-0000-0000-00005EBB0000}"/>
    <cellStyle name="货币 2 5 4 7 5" xfId="47919" xr:uid="{00000000-0005-0000-0000-00005FBB0000}"/>
    <cellStyle name="货币 2 5 4 7 6" xfId="47920" xr:uid="{00000000-0005-0000-0000-000060BB0000}"/>
    <cellStyle name="货币 2 5 4 7 7" xfId="47921" xr:uid="{00000000-0005-0000-0000-000061BB0000}"/>
    <cellStyle name="货币 2 5 4 7 8" xfId="47922" xr:uid="{00000000-0005-0000-0000-000062BB0000}"/>
    <cellStyle name="货币 2 5 4 7 9" xfId="47923" xr:uid="{00000000-0005-0000-0000-000063BB0000}"/>
    <cellStyle name="货币 2 5 4 8" xfId="47924" xr:uid="{00000000-0005-0000-0000-000064BB0000}"/>
    <cellStyle name="货币 2 5 4 8 2" xfId="12426" xr:uid="{00000000-0005-0000-0000-0000BA300000}"/>
    <cellStyle name="货币 2 5 4 8 3" xfId="12433" xr:uid="{00000000-0005-0000-0000-0000C1300000}"/>
    <cellStyle name="货币 2 5 4 8 4" xfId="12441" xr:uid="{00000000-0005-0000-0000-0000C9300000}"/>
    <cellStyle name="货币 2 5 4 8 5" xfId="12448" xr:uid="{00000000-0005-0000-0000-0000D0300000}"/>
    <cellStyle name="货币 2 5 4 8 6" xfId="12453" xr:uid="{00000000-0005-0000-0000-0000D5300000}"/>
    <cellStyle name="货币 2 5 4 9" xfId="47925" xr:uid="{00000000-0005-0000-0000-000065BB0000}"/>
    <cellStyle name="货币 2 5 4 9 2" xfId="8258" xr:uid="{00000000-0005-0000-0000-000072200000}"/>
    <cellStyle name="货币 2 5 4 9 3" xfId="8270" xr:uid="{00000000-0005-0000-0000-00007E200000}"/>
    <cellStyle name="货币 2 5 4 9 4" xfId="8280" xr:uid="{00000000-0005-0000-0000-000088200000}"/>
    <cellStyle name="货币 2 5 4 9 5" xfId="6877" xr:uid="{00000000-0005-0000-0000-00000D1B0000}"/>
    <cellStyle name="货币 2 5 4 9 6" xfId="6883" xr:uid="{00000000-0005-0000-0000-0000131B0000}"/>
    <cellStyle name="货币 2 5 5" xfId="24794" xr:uid="{00000000-0005-0000-0000-00000A610000}"/>
    <cellStyle name="货币 2 5 5 10" xfId="47926" xr:uid="{00000000-0005-0000-0000-000066BB0000}"/>
    <cellStyle name="货币 2 5 5 10 2" xfId="47927" xr:uid="{00000000-0005-0000-0000-000067BB0000}"/>
    <cellStyle name="货币 2 5 5 10 3" xfId="47928" xr:uid="{00000000-0005-0000-0000-000068BB0000}"/>
    <cellStyle name="货币 2 5 5 10 4" xfId="47929" xr:uid="{00000000-0005-0000-0000-000069BB0000}"/>
    <cellStyle name="货币 2 5 5 10 5" xfId="47930" xr:uid="{00000000-0005-0000-0000-00006ABB0000}"/>
    <cellStyle name="货币 2 5 5 10 6" xfId="47931" xr:uid="{00000000-0005-0000-0000-00006BBB0000}"/>
    <cellStyle name="货币 2 5 5 11" xfId="46335" xr:uid="{00000000-0005-0000-0000-00002FB50000}"/>
    <cellStyle name="货币 2 5 5 11 2" xfId="36003" xr:uid="{00000000-0005-0000-0000-0000D38C0000}"/>
    <cellStyle name="货币 2 5 5 11 3" xfId="36005" xr:uid="{00000000-0005-0000-0000-0000D58C0000}"/>
    <cellStyle name="货币 2 5 5 11 4" xfId="20267" xr:uid="{00000000-0005-0000-0000-00005B4F0000}"/>
    <cellStyle name="货币 2 5 5 11 5" xfId="20299" xr:uid="{00000000-0005-0000-0000-00007B4F0000}"/>
    <cellStyle name="货币 2 5 5 11 6" xfId="33" xr:uid="{00000000-0005-0000-0000-000023000000}"/>
    <cellStyle name="货币 2 5 5 12" xfId="46337" xr:uid="{00000000-0005-0000-0000-000031B50000}"/>
    <cellStyle name="货币 2 5 5 13" xfId="46339" xr:uid="{00000000-0005-0000-0000-000033B50000}"/>
    <cellStyle name="货币 2 5 5 14" xfId="8398" xr:uid="{00000000-0005-0000-0000-0000FE200000}"/>
    <cellStyle name="货币 2 5 5 15" xfId="17345" xr:uid="{00000000-0005-0000-0000-0000F1430000}"/>
    <cellStyle name="货币 2 5 5 16" xfId="22193" xr:uid="{00000000-0005-0000-0000-0000E1560000}"/>
    <cellStyle name="货币 2 5 5 17" xfId="22199" xr:uid="{00000000-0005-0000-0000-0000E7560000}"/>
    <cellStyle name="货币 2 5 5 18" xfId="22204" xr:uid="{00000000-0005-0000-0000-0000EC560000}"/>
    <cellStyle name="货币 2 5 5 19" xfId="22207" xr:uid="{00000000-0005-0000-0000-0000EF560000}"/>
    <cellStyle name="货币 2 5 5 2" xfId="47331" xr:uid="{00000000-0005-0000-0000-000013B90000}"/>
    <cellStyle name="货币 2 5 5 2 10" xfId="47932" xr:uid="{00000000-0005-0000-0000-00006CBB0000}"/>
    <cellStyle name="货币 2 5 5 2 11" xfId="47933" xr:uid="{00000000-0005-0000-0000-00006DBB0000}"/>
    <cellStyle name="货币 2 5 5 2 12" xfId="47636" xr:uid="{00000000-0005-0000-0000-000044BA0000}"/>
    <cellStyle name="货币 2 5 5 2 13" xfId="47934" xr:uid="{00000000-0005-0000-0000-00006EBB0000}"/>
    <cellStyle name="货币 2 5 5 2 14" xfId="47935" xr:uid="{00000000-0005-0000-0000-00006FBB0000}"/>
    <cellStyle name="货币 2 5 5 2 15" xfId="47936" xr:uid="{00000000-0005-0000-0000-000070BB0000}"/>
    <cellStyle name="货币 2 5 5 2 16" xfId="47937" xr:uid="{00000000-0005-0000-0000-000071BB0000}"/>
    <cellStyle name="货币 2 5 5 2 17" xfId="47938" xr:uid="{00000000-0005-0000-0000-000072BB0000}"/>
    <cellStyle name="货币 2 5 5 2 18" xfId="47939" xr:uid="{00000000-0005-0000-0000-000073BB0000}"/>
    <cellStyle name="货币 2 5 5 2 2" xfId="47940" xr:uid="{00000000-0005-0000-0000-000074BB0000}"/>
    <cellStyle name="货币 2 5 5 2 2 10" xfId="27714" xr:uid="{00000000-0005-0000-0000-0000726C0000}"/>
    <cellStyle name="货币 2 5 5 2 2 11" xfId="30457" xr:uid="{00000000-0005-0000-0000-000029770000}"/>
    <cellStyle name="货币 2 5 5 2 2 12" xfId="9725" xr:uid="{00000000-0005-0000-0000-00002D260000}"/>
    <cellStyle name="货币 2 5 5 2 2 2" xfId="9744" xr:uid="{00000000-0005-0000-0000-000040260000}"/>
    <cellStyle name="货币 2 5 5 2 2 2 2" xfId="11325" xr:uid="{00000000-0005-0000-0000-00006D2C0000}"/>
    <cellStyle name="货币 2 5 5 2 2 2 2 2" xfId="46176" xr:uid="{00000000-0005-0000-0000-000090B40000}"/>
    <cellStyle name="货币 2 5 5 2 2 2 3" xfId="21785" xr:uid="{00000000-0005-0000-0000-000049550000}"/>
    <cellStyle name="货币 2 5 5 2 2 2 4" xfId="21788" xr:uid="{00000000-0005-0000-0000-00004C550000}"/>
    <cellStyle name="货币 2 5 5 2 2 2 5" xfId="21790" xr:uid="{00000000-0005-0000-0000-00004E550000}"/>
    <cellStyle name="货币 2 5 5 2 2 3" xfId="9751" xr:uid="{00000000-0005-0000-0000-000047260000}"/>
    <cellStyle name="货币 2 5 5 2 2 3 2" xfId="21896" xr:uid="{00000000-0005-0000-0000-0000B8550000}"/>
    <cellStyle name="货币 2 5 5 2 2 4" xfId="9759" xr:uid="{00000000-0005-0000-0000-00004F260000}"/>
    <cellStyle name="货币 2 5 5 2 2 5" xfId="11333" xr:uid="{00000000-0005-0000-0000-0000752C0000}"/>
    <cellStyle name="货币 2 5 5 2 2 6" xfId="5883" xr:uid="{00000000-0005-0000-0000-00002B170000}"/>
    <cellStyle name="货币 2 5 5 2 2 7" xfId="11341" xr:uid="{00000000-0005-0000-0000-00007D2C0000}"/>
    <cellStyle name="货币 2 5 5 2 2 8" xfId="32212" xr:uid="{00000000-0005-0000-0000-0000047E0000}"/>
    <cellStyle name="货币 2 5 5 2 2 9" xfId="47941" xr:uid="{00000000-0005-0000-0000-000075BB0000}"/>
    <cellStyle name="货币 2 5 5 2 3" xfId="47942" xr:uid="{00000000-0005-0000-0000-000076BB0000}"/>
    <cellStyle name="货币 2 5 5 2 3 10" xfId="47943" xr:uid="{00000000-0005-0000-0000-000077BB0000}"/>
    <cellStyle name="货币 2 5 5 2 3 11" xfId="47944" xr:uid="{00000000-0005-0000-0000-000078BB0000}"/>
    <cellStyle name="货币 2 5 5 2 3 12" xfId="47945" xr:uid="{00000000-0005-0000-0000-000079BB0000}"/>
    <cellStyle name="货币 2 5 5 2 3 2" xfId="11263" xr:uid="{00000000-0005-0000-0000-00002F2C0000}"/>
    <cellStyle name="货币 2 5 5 2 3 2 2" xfId="11377" xr:uid="{00000000-0005-0000-0000-0000A12C0000}"/>
    <cellStyle name="货币 2 5 5 2 3 2 2 2" xfId="42929" xr:uid="{00000000-0005-0000-0000-0000E1A70000}"/>
    <cellStyle name="货币 2 5 5 2 3 2 3" xfId="22170" xr:uid="{00000000-0005-0000-0000-0000CA560000}"/>
    <cellStyle name="货币 2 5 5 2 3 2 4" xfId="22173" xr:uid="{00000000-0005-0000-0000-0000CD560000}"/>
    <cellStyle name="货币 2 5 5 2 3 2 5" xfId="22176" xr:uid="{00000000-0005-0000-0000-0000D0560000}"/>
    <cellStyle name="货币 2 5 5 2 3 3" xfId="47946" xr:uid="{00000000-0005-0000-0000-00007ABB0000}"/>
    <cellStyle name="货币 2 5 5 2 3 3 2" xfId="22239" xr:uid="{00000000-0005-0000-0000-00000F570000}"/>
    <cellStyle name="货币 2 5 5 2 3 4" xfId="47947" xr:uid="{00000000-0005-0000-0000-00007BBB0000}"/>
    <cellStyle name="货币 2 5 5 2 3 5" xfId="47948" xr:uid="{00000000-0005-0000-0000-00007CBB0000}"/>
    <cellStyle name="货币 2 5 5 2 3 6" xfId="47949" xr:uid="{00000000-0005-0000-0000-00007DBB0000}"/>
    <cellStyle name="货币 2 5 5 2 3 7" xfId="47950" xr:uid="{00000000-0005-0000-0000-00007EBB0000}"/>
    <cellStyle name="货币 2 5 5 2 3 8" xfId="47951" xr:uid="{00000000-0005-0000-0000-00007FBB0000}"/>
    <cellStyle name="货币 2 5 5 2 3 9" xfId="47952" xr:uid="{00000000-0005-0000-0000-000080BB0000}"/>
    <cellStyle name="货币 2 5 5 2 4" xfId="47953" xr:uid="{00000000-0005-0000-0000-000081BB0000}"/>
    <cellStyle name="货币 2 5 5 2 4 10" xfId="40441" xr:uid="{00000000-0005-0000-0000-0000299E0000}"/>
    <cellStyle name="货币 2 5 5 2 4 2" xfId="39585" xr:uid="{00000000-0005-0000-0000-0000D19A0000}"/>
    <cellStyle name="货币 2 5 5 2 4 2 2" xfId="1371" xr:uid="{00000000-0005-0000-0000-00008B050000}"/>
    <cellStyle name="货币 2 5 5 2 4 2 2 2" xfId="1393" xr:uid="{00000000-0005-0000-0000-0000A1050000}"/>
    <cellStyle name="货币 2 5 5 2 4 2 3" xfId="1406" xr:uid="{00000000-0005-0000-0000-0000AE050000}"/>
    <cellStyle name="货币 2 5 5 2 4 2 4" xfId="1436" xr:uid="{00000000-0005-0000-0000-0000CC050000}"/>
    <cellStyle name="货币 2 5 5 2 4 2 5" xfId="1461" xr:uid="{00000000-0005-0000-0000-0000E5050000}"/>
    <cellStyle name="货币 2 5 5 2 4 3" xfId="39588" xr:uid="{00000000-0005-0000-0000-0000D49A0000}"/>
    <cellStyle name="货币 2 5 5 2 4 3 2" xfId="22489" xr:uid="{00000000-0005-0000-0000-000009580000}"/>
    <cellStyle name="货币 2 5 5 2 4 4" xfId="39591" xr:uid="{00000000-0005-0000-0000-0000D79A0000}"/>
    <cellStyle name="货币 2 5 5 2 4 5" xfId="11413" xr:uid="{00000000-0005-0000-0000-0000C52C0000}"/>
    <cellStyle name="货币 2 5 5 2 4 6" xfId="39594" xr:uid="{00000000-0005-0000-0000-0000DA9A0000}"/>
    <cellStyle name="货币 2 5 5 2 4 7" xfId="39597" xr:uid="{00000000-0005-0000-0000-0000DD9A0000}"/>
    <cellStyle name="货币 2 5 5 2 4 8" xfId="28363" xr:uid="{00000000-0005-0000-0000-0000FB6E0000}"/>
    <cellStyle name="货币 2 5 5 2 4 9" xfId="28365" xr:uid="{00000000-0005-0000-0000-0000FD6E0000}"/>
    <cellStyle name="货币 2 5 5 2 5" xfId="47954" xr:uid="{00000000-0005-0000-0000-000082BB0000}"/>
    <cellStyle name="货币 2 5 5 2 5 10" xfId="47955" xr:uid="{00000000-0005-0000-0000-000083BB0000}"/>
    <cellStyle name="货币 2 5 5 2 5 2" xfId="39608" xr:uid="{00000000-0005-0000-0000-0000E89A0000}"/>
    <cellStyle name="货币 2 5 5 2 5 2 2" xfId="2408" xr:uid="{00000000-0005-0000-0000-000098090000}"/>
    <cellStyle name="货币 2 5 5 2 5 2 2 2" xfId="2419" xr:uid="{00000000-0005-0000-0000-0000A3090000}"/>
    <cellStyle name="货币 2 5 5 2 5 2 3" xfId="2426" xr:uid="{00000000-0005-0000-0000-0000AA090000}"/>
    <cellStyle name="货币 2 5 5 2 5 2 4" xfId="2437" xr:uid="{00000000-0005-0000-0000-0000B5090000}"/>
    <cellStyle name="货币 2 5 5 2 5 2 5" xfId="2449" xr:uid="{00000000-0005-0000-0000-0000C1090000}"/>
    <cellStyle name="货币 2 5 5 2 5 3" xfId="39610" xr:uid="{00000000-0005-0000-0000-0000EA9A0000}"/>
    <cellStyle name="货币 2 5 5 2 5 3 2" xfId="22594" xr:uid="{00000000-0005-0000-0000-000072580000}"/>
    <cellStyle name="货币 2 5 5 2 5 4" xfId="39612" xr:uid="{00000000-0005-0000-0000-0000EC9A0000}"/>
    <cellStyle name="货币 2 5 5 2 5 5" xfId="39614" xr:uid="{00000000-0005-0000-0000-0000EE9A0000}"/>
    <cellStyle name="货币 2 5 5 2 5 6" xfId="39617" xr:uid="{00000000-0005-0000-0000-0000F19A0000}"/>
    <cellStyle name="货币 2 5 5 2 5 7" xfId="39619" xr:uid="{00000000-0005-0000-0000-0000F39A0000}"/>
    <cellStyle name="货币 2 5 5 2 5 8" xfId="47956" xr:uid="{00000000-0005-0000-0000-000084BB0000}"/>
    <cellStyle name="货币 2 5 5 2 5 9" xfId="47957" xr:uid="{00000000-0005-0000-0000-000085BB0000}"/>
    <cellStyle name="货币 2 5 5 2 6" xfId="47958" xr:uid="{00000000-0005-0000-0000-000086BB0000}"/>
    <cellStyle name="货币 2 5 5 2 6 2" xfId="39623" xr:uid="{00000000-0005-0000-0000-0000F79A0000}"/>
    <cellStyle name="货币 2 5 5 2 6 2 2" xfId="2999" xr:uid="{00000000-0005-0000-0000-0000E70B0000}"/>
    <cellStyle name="货币 2 5 5 2 6 3" xfId="39625" xr:uid="{00000000-0005-0000-0000-0000F99A0000}"/>
    <cellStyle name="货币 2 5 5 2 6 4" xfId="39627" xr:uid="{00000000-0005-0000-0000-0000FB9A0000}"/>
    <cellStyle name="货币 2 5 5 2 6 5" xfId="39629" xr:uid="{00000000-0005-0000-0000-0000FD9A0000}"/>
    <cellStyle name="货币 2 5 5 2 6 6" xfId="39631" xr:uid="{00000000-0005-0000-0000-0000FF9A0000}"/>
    <cellStyle name="货币 2 5 5 2 6 7" xfId="39633" xr:uid="{00000000-0005-0000-0000-0000019B0000}"/>
    <cellStyle name="货币 2 5 5 2 6 8" xfId="40631" xr:uid="{00000000-0005-0000-0000-0000E79E0000}"/>
    <cellStyle name="货币 2 5 5 2 6 9" xfId="40638" xr:uid="{00000000-0005-0000-0000-0000EE9E0000}"/>
    <cellStyle name="货币 2 5 5 2 7" xfId="47959" xr:uid="{00000000-0005-0000-0000-000087BB0000}"/>
    <cellStyle name="货币 2 5 5 2 7 2" xfId="39637" xr:uid="{00000000-0005-0000-0000-0000059B0000}"/>
    <cellStyle name="货币 2 5 5 2 8" xfId="47960" xr:uid="{00000000-0005-0000-0000-000088BB0000}"/>
    <cellStyle name="货币 2 5 5 2 9" xfId="47961" xr:uid="{00000000-0005-0000-0000-000089BB0000}"/>
    <cellStyle name="货币 2 5 5 20" xfId="17344" xr:uid="{00000000-0005-0000-0000-0000F0430000}"/>
    <cellStyle name="货币 2 5 5 21" xfId="22192" xr:uid="{00000000-0005-0000-0000-0000E0560000}"/>
    <cellStyle name="货币 2 5 5 22" xfId="22198" xr:uid="{00000000-0005-0000-0000-0000E6560000}"/>
    <cellStyle name="货币 2 5 5 23" xfId="22203" xr:uid="{00000000-0005-0000-0000-0000EB560000}"/>
    <cellStyle name="货币 2 5 5 3" xfId="47333" xr:uid="{00000000-0005-0000-0000-000015B90000}"/>
    <cellStyle name="货币 2 5 5 3 10" xfId="9791" xr:uid="{00000000-0005-0000-0000-00006F260000}"/>
    <cellStyle name="货币 2 5 5 3 11" xfId="6658" xr:uid="{00000000-0005-0000-0000-0000321A0000}"/>
    <cellStyle name="货币 2 5 5 3 12" xfId="6662" xr:uid="{00000000-0005-0000-0000-0000361A0000}"/>
    <cellStyle name="货币 2 5 5 3 13" xfId="47962" xr:uid="{00000000-0005-0000-0000-00008ABB0000}"/>
    <cellStyle name="货币 2 5 5 3 14" xfId="47963" xr:uid="{00000000-0005-0000-0000-00008BBB0000}"/>
    <cellStyle name="货币 2 5 5 3 15" xfId="47964" xr:uid="{00000000-0005-0000-0000-00008CBB0000}"/>
    <cellStyle name="货币 2 5 5 3 16" xfId="43496" xr:uid="{00000000-0005-0000-0000-000018AA0000}"/>
    <cellStyle name="货币 2 5 5 3 17" xfId="47965" xr:uid="{00000000-0005-0000-0000-00008DBB0000}"/>
    <cellStyle name="货币 2 5 5 3 18" xfId="47966" xr:uid="{00000000-0005-0000-0000-00008EBB0000}"/>
    <cellStyle name="货币 2 5 5 3 2" xfId="47967" xr:uid="{00000000-0005-0000-0000-00008FBB0000}"/>
    <cellStyle name="货币 2 5 5 3 2 10" xfId="35587" xr:uid="{00000000-0005-0000-0000-0000338B0000}"/>
    <cellStyle name="货币 2 5 5 3 2 2" xfId="9815" xr:uid="{00000000-0005-0000-0000-000087260000}"/>
    <cellStyle name="货币 2 5 5 3 2 2 2" xfId="10621" xr:uid="{00000000-0005-0000-0000-0000AD290000}"/>
    <cellStyle name="货币 2 5 5 3 2 3" xfId="47968" xr:uid="{00000000-0005-0000-0000-000090BB0000}"/>
    <cellStyle name="货币 2 5 5 3 2 4" xfId="9819" xr:uid="{00000000-0005-0000-0000-00008B260000}"/>
    <cellStyle name="货币 2 5 5 3 2 5" xfId="11694" xr:uid="{00000000-0005-0000-0000-0000DE2D0000}"/>
    <cellStyle name="货币 2 5 5 3 2 6" xfId="5959" xr:uid="{00000000-0005-0000-0000-000077170000}"/>
    <cellStyle name="货币 2 5 5 3 2 7" xfId="11703" xr:uid="{00000000-0005-0000-0000-0000E72D0000}"/>
    <cellStyle name="货币 2 5 5 3 2 8" xfId="11747" xr:uid="{00000000-0005-0000-0000-0000132E0000}"/>
    <cellStyle name="货币 2 5 5 3 2 9" xfId="11753" xr:uid="{00000000-0005-0000-0000-0000192E0000}"/>
    <cellStyle name="货币 2 5 5 3 3" xfId="47969" xr:uid="{00000000-0005-0000-0000-000091BB0000}"/>
    <cellStyle name="货币 2 5 5 3 3 2" xfId="47970" xr:uid="{00000000-0005-0000-0000-000092BB0000}"/>
    <cellStyle name="货币 2 5 5 3 3 3" xfId="47971" xr:uid="{00000000-0005-0000-0000-000093BB0000}"/>
    <cellStyle name="货币 2 5 5 3 3 4" xfId="47972" xr:uid="{00000000-0005-0000-0000-000094BB0000}"/>
    <cellStyle name="货币 2 5 5 3 3 5" xfId="47973" xr:uid="{00000000-0005-0000-0000-000095BB0000}"/>
    <cellStyle name="货币 2 5 5 3 3 6" xfId="29184" xr:uid="{00000000-0005-0000-0000-000030720000}"/>
    <cellStyle name="货币 2 5 5 3 4" xfId="7027" xr:uid="{00000000-0005-0000-0000-0000A31B0000}"/>
    <cellStyle name="货币 2 5 5 3 4 2" xfId="47974" xr:uid="{00000000-0005-0000-0000-000096BB0000}"/>
    <cellStyle name="货币 2 5 5 3 4 3" xfId="47975" xr:uid="{00000000-0005-0000-0000-000097BB0000}"/>
    <cellStyle name="货币 2 5 5 3 4 4" xfId="47976" xr:uid="{00000000-0005-0000-0000-000098BB0000}"/>
    <cellStyle name="货币 2 5 5 3 4 5" xfId="47977" xr:uid="{00000000-0005-0000-0000-000099BB0000}"/>
    <cellStyle name="货币 2 5 5 3 4 6" xfId="47978" xr:uid="{00000000-0005-0000-0000-00009ABB0000}"/>
    <cellStyle name="货币 2 5 5 3 5" xfId="7034" xr:uid="{00000000-0005-0000-0000-0000AA1B0000}"/>
    <cellStyle name="货币 2 5 5 3 5 2" xfId="7021" xr:uid="{00000000-0005-0000-0000-00009D1B0000}"/>
    <cellStyle name="货币 2 5 5 3 5 3" xfId="47979" xr:uid="{00000000-0005-0000-0000-00009BBB0000}"/>
    <cellStyle name="货币 2 5 5 3 5 4" xfId="47980" xr:uid="{00000000-0005-0000-0000-00009CBB0000}"/>
    <cellStyle name="货币 2 5 5 3 5 5" xfId="47981" xr:uid="{00000000-0005-0000-0000-00009DBB0000}"/>
    <cellStyle name="货币 2 5 5 3 5 6" xfId="47982" xr:uid="{00000000-0005-0000-0000-00009EBB0000}"/>
    <cellStyle name="货币 2 5 5 3 6" xfId="47983" xr:uid="{00000000-0005-0000-0000-00009FBB0000}"/>
    <cellStyle name="货币 2 5 5 3 6 2" xfId="7150" xr:uid="{00000000-0005-0000-0000-00001E1C0000}"/>
    <cellStyle name="货币 2 5 5 3 6 3" xfId="47984" xr:uid="{00000000-0005-0000-0000-0000A0BB0000}"/>
    <cellStyle name="货币 2 5 5 3 6 4" xfId="47985" xr:uid="{00000000-0005-0000-0000-0000A1BB0000}"/>
    <cellStyle name="货币 2 5 5 3 6 5" xfId="47986" xr:uid="{00000000-0005-0000-0000-0000A2BB0000}"/>
    <cellStyle name="货币 2 5 5 3 6 6" xfId="47987" xr:uid="{00000000-0005-0000-0000-0000A3BB0000}"/>
    <cellStyle name="货币 2 5 5 3 7" xfId="47988" xr:uid="{00000000-0005-0000-0000-0000A4BB0000}"/>
    <cellStyle name="货币 2 5 5 3 8" xfId="47989" xr:uid="{00000000-0005-0000-0000-0000A5BB0000}"/>
    <cellStyle name="货币 2 5 5 3 9" xfId="47990" xr:uid="{00000000-0005-0000-0000-0000A6BB0000}"/>
    <cellStyle name="货币 2 5 5 4" xfId="28898" xr:uid="{00000000-0005-0000-0000-000012710000}"/>
    <cellStyle name="货币 2 5 5 4 10" xfId="4829" xr:uid="{00000000-0005-0000-0000-00000D130000}"/>
    <cellStyle name="货币 2 5 5 4 11" xfId="47991" xr:uid="{00000000-0005-0000-0000-0000A7BB0000}"/>
    <cellStyle name="货币 2 5 5 4 12" xfId="47992" xr:uid="{00000000-0005-0000-0000-0000A8BB0000}"/>
    <cellStyle name="货币 2 5 5 4 13" xfId="47993" xr:uid="{00000000-0005-0000-0000-0000A9BB0000}"/>
    <cellStyle name="货币 2 5 5 4 14" xfId="19041" xr:uid="{00000000-0005-0000-0000-0000914A0000}"/>
    <cellStyle name="货币 2 5 5 4 15" xfId="47994" xr:uid="{00000000-0005-0000-0000-0000AABB0000}"/>
    <cellStyle name="货币 2 5 5 4 2" xfId="41400" xr:uid="{00000000-0005-0000-0000-0000E8A10000}"/>
    <cellStyle name="货币 2 5 5 4 2 2" xfId="47995" xr:uid="{00000000-0005-0000-0000-0000ABBB0000}"/>
    <cellStyle name="货币 2 5 5 4 2 2 2" xfId="11967" xr:uid="{00000000-0005-0000-0000-0000EF2E0000}"/>
    <cellStyle name="货币 2 5 5 4 2 3" xfId="47996" xr:uid="{00000000-0005-0000-0000-0000ACBB0000}"/>
    <cellStyle name="货币 2 5 5 4 2 4" xfId="47997" xr:uid="{00000000-0005-0000-0000-0000ADBB0000}"/>
    <cellStyle name="货币 2 5 5 4 2 5" xfId="47998" xr:uid="{00000000-0005-0000-0000-0000AEBB0000}"/>
    <cellStyle name="货币 2 5 5 4 2 6" xfId="5" xr:uid="{00000000-0005-0000-0000-000005000000}"/>
    <cellStyle name="货币 2 5 5 4 2 7" xfId="47999" xr:uid="{00000000-0005-0000-0000-0000AFBB0000}"/>
    <cellStyle name="货币 2 5 5 4 2 8" xfId="48000" xr:uid="{00000000-0005-0000-0000-0000B0BB0000}"/>
    <cellStyle name="货币 2 5 5 4 2 9" xfId="38261" xr:uid="{00000000-0005-0000-0000-0000A5950000}"/>
    <cellStyle name="货币 2 5 5 4 3" xfId="41402" xr:uid="{00000000-0005-0000-0000-0000EAA10000}"/>
    <cellStyle name="货币 2 5 5 4 3 2" xfId="48001" xr:uid="{00000000-0005-0000-0000-0000B1BB0000}"/>
    <cellStyle name="货币 2 5 5 4 3 3" xfId="48002" xr:uid="{00000000-0005-0000-0000-0000B2BB0000}"/>
    <cellStyle name="货币 2 5 5 4 3 4" xfId="48003" xr:uid="{00000000-0005-0000-0000-0000B3BB0000}"/>
    <cellStyle name="货币 2 5 5 4 3 5" xfId="48004" xr:uid="{00000000-0005-0000-0000-0000B4BB0000}"/>
    <cellStyle name="货币 2 5 5 4 3 6" xfId="48005" xr:uid="{00000000-0005-0000-0000-0000B5BB0000}"/>
    <cellStyle name="货币 2 5 5 4 4" xfId="48006" xr:uid="{00000000-0005-0000-0000-0000B6BB0000}"/>
    <cellStyle name="货币 2 5 5 4 4 2" xfId="48007" xr:uid="{00000000-0005-0000-0000-0000B7BB0000}"/>
    <cellStyle name="货币 2 5 5 4 5" xfId="48008" xr:uid="{00000000-0005-0000-0000-0000B8BB0000}"/>
    <cellStyle name="货币 2 5 5 4 6" xfId="5401" xr:uid="{00000000-0005-0000-0000-000049150000}"/>
    <cellStyle name="货币 2 5 5 4 7" xfId="48009" xr:uid="{00000000-0005-0000-0000-0000B9BB0000}"/>
    <cellStyle name="货币 2 5 5 4 8" xfId="48010" xr:uid="{00000000-0005-0000-0000-0000BABB0000}"/>
    <cellStyle name="货币 2 5 5 4 9" xfId="48011" xr:uid="{00000000-0005-0000-0000-0000BBBB0000}"/>
    <cellStyle name="货币 2 5 5 5" xfId="47335" xr:uid="{00000000-0005-0000-0000-000017B90000}"/>
    <cellStyle name="货币 2 5 5 5 10" xfId="48012" xr:uid="{00000000-0005-0000-0000-0000BCBB0000}"/>
    <cellStyle name="货币 2 5 5 5 11" xfId="48013" xr:uid="{00000000-0005-0000-0000-0000BDBB0000}"/>
    <cellStyle name="货币 2 5 5 5 12" xfId="48014" xr:uid="{00000000-0005-0000-0000-0000BEBB0000}"/>
    <cellStyle name="货币 2 5 5 5 13" xfId="48015" xr:uid="{00000000-0005-0000-0000-0000BFBB0000}"/>
    <cellStyle name="货币 2 5 5 5 2" xfId="48016" xr:uid="{00000000-0005-0000-0000-0000C0BB0000}"/>
    <cellStyle name="货币 2 5 5 5 2 2" xfId="48017" xr:uid="{00000000-0005-0000-0000-0000C1BB0000}"/>
    <cellStyle name="货币 2 5 5 5 2 2 2" xfId="6711" xr:uid="{00000000-0005-0000-0000-0000671A0000}"/>
    <cellStyle name="货币 2 5 5 5 2 3" xfId="48018" xr:uid="{00000000-0005-0000-0000-0000C2BB0000}"/>
    <cellStyle name="货币 2 5 5 5 2 4" xfId="48019" xr:uid="{00000000-0005-0000-0000-0000C3BB0000}"/>
    <cellStyle name="货币 2 5 5 5 2 5" xfId="48020" xr:uid="{00000000-0005-0000-0000-0000C4BB0000}"/>
    <cellStyle name="货币 2 5 5 5 2 6" xfId="48021" xr:uid="{00000000-0005-0000-0000-0000C5BB0000}"/>
    <cellStyle name="货币 2 5 5 5 2 7" xfId="48022" xr:uid="{00000000-0005-0000-0000-0000C6BB0000}"/>
    <cellStyle name="货币 2 5 5 5 2 8" xfId="22828" xr:uid="{00000000-0005-0000-0000-00005C590000}"/>
    <cellStyle name="货币 2 5 5 5 2 9" xfId="22831" xr:uid="{00000000-0005-0000-0000-00005F590000}"/>
    <cellStyle name="货币 2 5 5 5 3" xfId="48023" xr:uid="{00000000-0005-0000-0000-0000C7BB0000}"/>
    <cellStyle name="货币 2 5 5 5 3 2" xfId="48024" xr:uid="{00000000-0005-0000-0000-0000C8BB0000}"/>
    <cellStyle name="货币 2 5 5 5 3 3" xfId="48025" xr:uid="{00000000-0005-0000-0000-0000C9BB0000}"/>
    <cellStyle name="货币 2 5 5 5 3 4" xfId="48026" xr:uid="{00000000-0005-0000-0000-0000CABB0000}"/>
    <cellStyle name="货币 2 5 5 5 3 5" xfId="48027" xr:uid="{00000000-0005-0000-0000-0000CBBB0000}"/>
    <cellStyle name="货币 2 5 5 5 3 6" xfId="48028" xr:uid="{00000000-0005-0000-0000-0000CCBB0000}"/>
    <cellStyle name="货币 2 5 5 5 4" xfId="48029" xr:uid="{00000000-0005-0000-0000-0000CDBB0000}"/>
    <cellStyle name="货币 2 5 5 5 4 2" xfId="48030" xr:uid="{00000000-0005-0000-0000-0000CEBB0000}"/>
    <cellStyle name="货币 2 5 5 5 5" xfId="48031" xr:uid="{00000000-0005-0000-0000-0000CFBB0000}"/>
    <cellStyle name="货币 2 5 5 5 6" xfId="48032" xr:uid="{00000000-0005-0000-0000-0000D0BB0000}"/>
    <cellStyle name="货币 2 5 5 5 7" xfId="48033" xr:uid="{00000000-0005-0000-0000-0000D1BB0000}"/>
    <cellStyle name="货币 2 5 5 5 8" xfId="48034" xr:uid="{00000000-0005-0000-0000-0000D2BB0000}"/>
    <cellStyle name="货币 2 5 5 5 9" xfId="48035" xr:uid="{00000000-0005-0000-0000-0000D3BB0000}"/>
    <cellStyle name="货币 2 5 5 6" xfId="47337" xr:uid="{00000000-0005-0000-0000-000019B90000}"/>
    <cellStyle name="货币 2 5 5 6 10" xfId="48036" xr:uid="{00000000-0005-0000-0000-0000D4BB0000}"/>
    <cellStyle name="货币 2 5 5 6 11" xfId="42646" xr:uid="{00000000-0005-0000-0000-0000C6A60000}"/>
    <cellStyle name="货币 2 5 5 6 12" xfId="42648" xr:uid="{00000000-0005-0000-0000-0000C8A60000}"/>
    <cellStyle name="货币 2 5 5 6 2" xfId="48037" xr:uid="{00000000-0005-0000-0000-0000D5BB0000}"/>
    <cellStyle name="货币 2 5 5 6 2 2" xfId="31770" xr:uid="{00000000-0005-0000-0000-00004A7C0000}"/>
    <cellStyle name="货币 2 5 5 6 2 2 2" xfId="18129" xr:uid="{00000000-0005-0000-0000-000001470000}"/>
    <cellStyle name="货币 2 5 5 6 2 3" xfId="12334" xr:uid="{00000000-0005-0000-0000-00005E300000}"/>
    <cellStyle name="货币 2 5 5 6 2 4" xfId="48038" xr:uid="{00000000-0005-0000-0000-0000D6BB0000}"/>
    <cellStyle name="货币 2 5 5 6 2 5" xfId="48039" xr:uid="{00000000-0005-0000-0000-0000D7BB0000}"/>
    <cellStyle name="货币 2 5 5 6 2 6" xfId="30121" xr:uid="{00000000-0005-0000-0000-0000D9750000}"/>
    <cellStyle name="货币 2 5 5 6 2 7" xfId="48040" xr:uid="{00000000-0005-0000-0000-0000D8BB0000}"/>
    <cellStyle name="货币 2 5 5 6 2 8" xfId="48041" xr:uid="{00000000-0005-0000-0000-0000D9BB0000}"/>
    <cellStyle name="货币 2 5 5 6 2 9" xfId="48042" xr:uid="{00000000-0005-0000-0000-0000DABB0000}"/>
    <cellStyle name="货币 2 5 5 6 3" xfId="48043" xr:uid="{00000000-0005-0000-0000-0000DBBB0000}"/>
    <cellStyle name="货币 2 5 5 6 3 2" xfId="48044" xr:uid="{00000000-0005-0000-0000-0000DCBB0000}"/>
    <cellStyle name="货币 2 5 5 6 3 3" xfId="48045" xr:uid="{00000000-0005-0000-0000-0000DDBB0000}"/>
    <cellStyle name="货币 2 5 5 6 3 4" xfId="48046" xr:uid="{00000000-0005-0000-0000-0000DEBB0000}"/>
    <cellStyle name="货币 2 5 5 6 3 5" xfId="48047" xr:uid="{00000000-0005-0000-0000-0000DFBB0000}"/>
    <cellStyle name="货币 2 5 5 6 3 6" xfId="30123" xr:uid="{00000000-0005-0000-0000-0000DB750000}"/>
    <cellStyle name="货币 2 5 5 6 4" xfId="48048" xr:uid="{00000000-0005-0000-0000-0000E0BB0000}"/>
    <cellStyle name="货币 2 5 5 6 4 2" xfId="12362" xr:uid="{00000000-0005-0000-0000-00007A300000}"/>
    <cellStyle name="货币 2 5 5 6 5" xfId="48049" xr:uid="{00000000-0005-0000-0000-0000E1BB0000}"/>
    <cellStyle name="货币 2 5 5 6 6" xfId="48050" xr:uid="{00000000-0005-0000-0000-0000E2BB0000}"/>
    <cellStyle name="货币 2 5 5 6 7" xfId="48051" xr:uid="{00000000-0005-0000-0000-0000E3BB0000}"/>
    <cellStyle name="货币 2 5 5 6 8" xfId="48052" xr:uid="{00000000-0005-0000-0000-0000E4BB0000}"/>
    <cellStyle name="货币 2 5 5 6 9" xfId="48053" xr:uid="{00000000-0005-0000-0000-0000E5BB0000}"/>
    <cellStyle name="货币 2 5 5 7" xfId="48054" xr:uid="{00000000-0005-0000-0000-0000E6BB0000}"/>
    <cellStyle name="货币 2 5 5 7 2" xfId="19919" xr:uid="{00000000-0005-0000-0000-0000FF4D0000}"/>
    <cellStyle name="货币 2 5 5 7 2 2" xfId="48055" xr:uid="{00000000-0005-0000-0000-0000E7BB0000}"/>
    <cellStyle name="货币 2 5 5 7 3" xfId="19927" xr:uid="{00000000-0005-0000-0000-0000074E0000}"/>
    <cellStyle name="货币 2 5 5 7 4" xfId="19933" xr:uid="{00000000-0005-0000-0000-00000D4E0000}"/>
    <cellStyle name="货币 2 5 5 7 5" xfId="19939" xr:uid="{00000000-0005-0000-0000-0000134E0000}"/>
    <cellStyle name="货币 2 5 5 7 6" xfId="19942" xr:uid="{00000000-0005-0000-0000-0000164E0000}"/>
    <cellStyle name="货币 2 5 5 7 7" xfId="48056" xr:uid="{00000000-0005-0000-0000-0000E8BB0000}"/>
    <cellStyle name="货币 2 5 5 7 8" xfId="48057" xr:uid="{00000000-0005-0000-0000-0000E9BB0000}"/>
    <cellStyle name="货币 2 5 5 7 9" xfId="48058" xr:uid="{00000000-0005-0000-0000-0000EABB0000}"/>
    <cellStyle name="货币 2 5 5 8" xfId="48059" xr:uid="{00000000-0005-0000-0000-0000EBBB0000}"/>
    <cellStyle name="货币 2 5 5 8 2" xfId="12540" xr:uid="{00000000-0005-0000-0000-00002C310000}"/>
    <cellStyle name="货币 2 5 5 8 3" xfId="16938" xr:uid="{00000000-0005-0000-0000-00005A420000}"/>
    <cellStyle name="货币 2 5 5 8 4" xfId="16942" xr:uid="{00000000-0005-0000-0000-00005E420000}"/>
    <cellStyle name="货币 2 5 5 8 5" xfId="16946" xr:uid="{00000000-0005-0000-0000-000062420000}"/>
    <cellStyle name="货币 2 5 5 8 6" xfId="16951" xr:uid="{00000000-0005-0000-0000-000067420000}"/>
    <cellStyle name="货币 2 5 5 9" xfId="48060" xr:uid="{00000000-0005-0000-0000-0000ECBB0000}"/>
    <cellStyle name="货币 2 5 5 9 2" xfId="8898" xr:uid="{00000000-0005-0000-0000-0000F2220000}"/>
    <cellStyle name="货币 2 5 5 9 3" xfId="8910" xr:uid="{00000000-0005-0000-0000-0000FE220000}"/>
    <cellStyle name="货币 2 5 5 9 4" xfId="12289" xr:uid="{00000000-0005-0000-0000-000031300000}"/>
    <cellStyle name="货币 2 5 5 9 5" xfId="12297" xr:uid="{00000000-0005-0000-0000-000039300000}"/>
    <cellStyle name="货币 2 5 5 9 6" xfId="12301" xr:uid="{00000000-0005-0000-0000-00003D300000}"/>
    <cellStyle name="货币 2 5 6" xfId="24800" xr:uid="{00000000-0005-0000-0000-000010610000}"/>
    <cellStyle name="货币 2 5 6 10" xfId="48061" xr:uid="{00000000-0005-0000-0000-0000EDBB0000}"/>
    <cellStyle name="货币 2 5 6 10 2" xfId="48062" xr:uid="{00000000-0005-0000-0000-0000EEBB0000}"/>
    <cellStyle name="货币 2 5 6 10 3" xfId="5554" xr:uid="{00000000-0005-0000-0000-0000E2150000}"/>
    <cellStyle name="货币 2 5 6 10 4" xfId="48063" xr:uid="{00000000-0005-0000-0000-0000EFBB0000}"/>
    <cellStyle name="货币 2 5 6 10 5" xfId="48064" xr:uid="{00000000-0005-0000-0000-0000F0BB0000}"/>
    <cellStyle name="货币 2 5 6 10 6" xfId="48065" xr:uid="{00000000-0005-0000-0000-0000F1BB0000}"/>
    <cellStyle name="货币 2 5 6 11" xfId="5900" xr:uid="{00000000-0005-0000-0000-00003C170000}"/>
    <cellStyle name="货币 2 5 6 11 2" xfId="48067" xr:uid="{00000000-0005-0000-0000-0000F3BB0000}"/>
    <cellStyle name="货币 2 5 6 11 3" xfId="5561" xr:uid="{00000000-0005-0000-0000-0000E9150000}"/>
    <cellStyle name="货币 2 5 6 11 4" xfId="48069" xr:uid="{00000000-0005-0000-0000-0000F5BB0000}"/>
    <cellStyle name="货币 2 5 6 11 5" xfId="33948" xr:uid="{00000000-0005-0000-0000-0000CC840000}"/>
    <cellStyle name="货币 2 5 6 11 6" xfId="48071" xr:uid="{00000000-0005-0000-0000-0000F7BB0000}"/>
    <cellStyle name="货币 2 5 6 12" xfId="48072" xr:uid="{00000000-0005-0000-0000-0000F8BB0000}"/>
    <cellStyle name="货币 2 5 6 13" xfId="48073" xr:uid="{00000000-0005-0000-0000-0000F9BB0000}"/>
    <cellStyle name="货币 2 5 6 14" xfId="46623" xr:uid="{00000000-0005-0000-0000-00004FB60000}"/>
    <cellStyle name="货币 2 5 6 15" xfId="48075" xr:uid="{00000000-0005-0000-0000-0000FBBB0000}"/>
    <cellStyle name="货币 2 5 6 16" xfId="48077" xr:uid="{00000000-0005-0000-0000-0000FDBB0000}"/>
    <cellStyle name="货币 2 5 6 17" xfId="48079" xr:uid="{00000000-0005-0000-0000-0000FFBB0000}"/>
    <cellStyle name="货币 2 5 6 18" xfId="48081" xr:uid="{00000000-0005-0000-0000-000001BC0000}"/>
    <cellStyle name="货币 2 5 6 19" xfId="48082" xr:uid="{00000000-0005-0000-0000-000002BC0000}"/>
    <cellStyle name="货币 2 5 6 2" xfId="47339" xr:uid="{00000000-0005-0000-0000-00001BB90000}"/>
    <cellStyle name="货币 2 5 6 2 10" xfId="21842" xr:uid="{00000000-0005-0000-0000-000082550000}"/>
    <cellStyle name="货币 2 5 6 2 11" xfId="21850" xr:uid="{00000000-0005-0000-0000-00008A550000}"/>
    <cellStyle name="货币 2 5 6 2 12" xfId="21857" xr:uid="{00000000-0005-0000-0000-000091550000}"/>
    <cellStyle name="货币 2 5 6 2 13" xfId="21863" xr:uid="{00000000-0005-0000-0000-000097550000}"/>
    <cellStyle name="货币 2 5 6 2 14" xfId="48083" xr:uid="{00000000-0005-0000-0000-000003BC0000}"/>
    <cellStyle name="货币 2 5 6 2 15" xfId="48084" xr:uid="{00000000-0005-0000-0000-000004BC0000}"/>
    <cellStyle name="货币 2 5 6 2 16" xfId="48085" xr:uid="{00000000-0005-0000-0000-000005BC0000}"/>
    <cellStyle name="货币 2 5 6 2 17" xfId="48086" xr:uid="{00000000-0005-0000-0000-000006BC0000}"/>
    <cellStyle name="货币 2 5 6 2 18" xfId="48087" xr:uid="{00000000-0005-0000-0000-000007BC0000}"/>
    <cellStyle name="货币 2 5 6 2 2" xfId="48088" xr:uid="{00000000-0005-0000-0000-000008BC0000}"/>
    <cellStyle name="货币 2 5 6 2 2 10" xfId="48089" xr:uid="{00000000-0005-0000-0000-000009BC0000}"/>
    <cellStyle name="货币 2 5 6 2 2 11" xfId="48090" xr:uid="{00000000-0005-0000-0000-00000ABC0000}"/>
    <cellStyle name="货币 2 5 6 2 2 12" xfId="25448" xr:uid="{00000000-0005-0000-0000-000098630000}"/>
    <cellStyle name="货币 2 5 6 2 2 2" xfId="48091" xr:uid="{00000000-0005-0000-0000-00000BBC0000}"/>
    <cellStyle name="货币 2 5 6 2 2 2 2" xfId="14670" xr:uid="{00000000-0005-0000-0000-00007E390000}"/>
    <cellStyle name="货币 2 5 6 2 2 2 2 2" xfId="9129" xr:uid="{00000000-0005-0000-0000-0000D9230000}"/>
    <cellStyle name="货币 2 5 6 2 2 2 3" xfId="20562" xr:uid="{00000000-0005-0000-0000-000082500000}"/>
    <cellStyle name="货币 2 5 6 2 2 2 4" xfId="20571" xr:uid="{00000000-0005-0000-0000-00008B500000}"/>
    <cellStyle name="货币 2 5 6 2 2 2 5" xfId="22876" xr:uid="{00000000-0005-0000-0000-00008C590000}"/>
    <cellStyle name="货币 2 5 6 2 2 3" xfId="1999" xr:uid="{00000000-0005-0000-0000-0000FF070000}"/>
    <cellStyle name="货币 2 5 6 2 2 3 2" xfId="23709" xr:uid="{00000000-0005-0000-0000-0000CD5C0000}"/>
    <cellStyle name="货币 2 5 6 2 2 4" xfId="2025" xr:uid="{00000000-0005-0000-0000-000019080000}"/>
    <cellStyle name="货币 2 5 6 2 2 5" xfId="48092" xr:uid="{00000000-0005-0000-0000-00000CBC0000}"/>
    <cellStyle name="货币 2 5 6 2 2 6" xfId="48093" xr:uid="{00000000-0005-0000-0000-00000DBC0000}"/>
    <cellStyle name="货币 2 5 6 2 2 7" xfId="6667" xr:uid="{00000000-0005-0000-0000-00003B1A0000}"/>
    <cellStyle name="货币 2 5 6 2 2 8" xfId="8192" xr:uid="{00000000-0005-0000-0000-000030200000}"/>
    <cellStyle name="货币 2 5 6 2 2 9" xfId="11985" xr:uid="{00000000-0005-0000-0000-0000012F0000}"/>
    <cellStyle name="货币 2 5 6 2 3" xfId="48094" xr:uid="{00000000-0005-0000-0000-00000EBC0000}"/>
    <cellStyle name="货币 2 5 6 2 3 10" xfId="48095" xr:uid="{00000000-0005-0000-0000-00000FBC0000}"/>
    <cellStyle name="货币 2 5 6 2 3 11" xfId="48096" xr:uid="{00000000-0005-0000-0000-000010BC0000}"/>
    <cellStyle name="货币 2 5 6 2 3 12" xfId="48097" xr:uid="{00000000-0005-0000-0000-000011BC0000}"/>
    <cellStyle name="货币 2 5 6 2 3 2" xfId="44107" xr:uid="{00000000-0005-0000-0000-00007BAC0000}"/>
    <cellStyle name="货币 2 5 6 2 3 2 2" xfId="2193" xr:uid="{00000000-0005-0000-0000-0000C1080000}"/>
    <cellStyle name="货币 2 5 6 2 3 2 2 2" xfId="24963" xr:uid="{00000000-0005-0000-0000-0000B3610000}"/>
    <cellStyle name="货币 2 5 6 2 3 2 3" xfId="23880" xr:uid="{00000000-0005-0000-0000-0000785D0000}"/>
    <cellStyle name="货币 2 5 6 2 3 2 4" xfId="23884" xr:uid="{00000000-0005-0000-0000-00007C5D0000}"/>
    <cellStyle name="货币 2 5 6 2 3 2 5" xfId="23888" xr:uid="{00000000-0005-0000-0000-0000805D0000}"/>
    <cellStyle name="货币 2 5 6 2 3 3" xfId="14703" xr:uid="{00000000-0005-0000-0000-00009F390000}"/>
    <cellStyle name="货币 2 5 6 2 3 3 2" xfId="23928" xr:uid="{00000000-0005-0000-0000-0000A85D0000}"/>
    <cellStyle name="货币 2 5 6 2 3 4" xfId="44109" xr:uid="{00000000-0005-0000-0000-00007DAC0000}"/>
    <cellStyle name="货币 2 5 6 2 3 5" xfId="44111" xr:uid="{00000000-0005-0000-0000-00007FAC0000}"/>
    <cellStyle name="货币 2 5 6 2 3 6" xfId="44113" xr:uid="{00000000-0005-0000-0000-000081AC0000}"/>
    <cellStyle name="货币 2 5 6 2 3 7" xfId="44115" xr:uid="{00000000-0005-0000-0000-000083AC0000}"/>
    <cellStyle name="货币 2 5 6 2 3 8" xfId="44117" xr:uid="{00000000-0005-0000-0000-000085AC0000}"/>
    <cellStyle name="货币 2 5 6 2 3 9" xfId="48098" xr:uid="{00000000-0005-0000-0000-000012BC0000}"/>
    <cellStyle name="货币 2 5 6 2 4" xfId="48099" xr:uid="{00000000-0005-0000-0000-000013BC0000}"/>
    <cellStyle name="货币 2 5 6 2 4 10" xfId="48100" xr:uid="{00000000-0005-0000-0000-000014BC0000}"/>
    <cellStyle name="货币 2 5 6 2 4 2" xfId="44123" xr:uid="{00000000-0005-0000-0000-00008BAC0000}"/>
    <cellStyle name="货币 2 5 6 2 4 2 2" xfId="9541" xr:uid="{00000000-0005-0000-0000-000075250000}"/>
    <cellStyle name="货币 2 5 6 2 4 2 2 2" xfId="32830" xr:uid="{00000000-0005-0000-0000-00006E800000}"/>
    <cellStyle name="货币 2 5 6 2 4 2 3" xfId="23791" xr:uid="{00000000-0005-0000-0000-00001F5D0000}"/>
    <cellStyle name="货币 2 5 6 2 4 2 4" xfId="23795" xr:uid="{00000000-0005-0000-0000-0000235D0000}"/>
    <cellStyle name="货币 2 5 6 2 4 2 5" xfId="23799" xr:uid="{00000000-0005-0000-0000-0000275D0000}"/>
    <cellStyle name="货币 2 5 6 2 4 3" xfId="14743" xr:uid="{00000000-0005-0000-0000-0000C7390000}"/>
    <cellStyle name="货币 2 5 6 2 4 3 2" xfId="24107" xr:uid="{00000000-0005-0000-0000-00005B5E0000}"/>
    <cellStyle name="货币 2 5 6 2 4 4" xfId="44127" xr:uid="{00000000-0005-0000-0000-00008FAC0000}"/>
    <cellStyle name="货币 2 5 6 2 4 5" xfId="14754" xr:uid="{00000000-0005-0000-0000-0000D2390000}"/>
    <cellStyle name="货币 2 5 6 2 4 6" xfId="14763" xr:uid="{00000000-0005-0000-0000-0000DB390000}"/>
    <cellStyle name="货币 2 5 6 2 4 7" xfId="31399" xr:uid="{00000000-0005-0000-0000-0000D77A0000}"/>
    <cellStyle name="货币 2 5 6 2 4 8" xfId="48101" xr:uid="{00000000-0005-0000-0000-000015BC0000}"/>
    <cellStyle name="货币 2 5 6 2 4 9" xfId="11456" xr:uid="{00000000-0005-0000-0000-0000F02C0000}"/>
    <cellStyle name="货币 2 5 6 2 5" xfId="48102" xr:uid="{00000000-0005-0000-0000-000016BC0000}"/>
    <cellStyle name="货币 2 5 6 2 5 10" xfId="32834" xr:uid="{00000000-0005-0000-0000-000072800000}"/>
    <cellStyle name="货币 2 5 6 2 5 2" xfId="29623" xr:uid="{00000000-0005-0000-0000-0000E7730000}"/>
    <cellStyle name="货币 2 5 6 2 5 2 2" xfId="24220" xr:uid="{00000000-0005-0000-0000-0000CC5E0000}"/>
    <cellStyle name="货币 2 5 6 2 5 2 2 2" xfId="32839" xr:uid="{00000000-0005-0000-0000-000077800000}"/>
    <cellStyle name="货币 2 5 6 2 5 2 3" xfId="24224" xr:uid="{00000000-0005-0000-0000-0000D05E0000}"/>
    <cellStyle name="货币 2 5 6 2 5 2 4" xfId="3868" xr:uid="{00000000-0005-0000-0000-00004C0F0000}"/>
    <cellStyle name="货币 2 5 6 2 5 2 5" xfId="10428" xr:uid="{00000000-0005-0000-0000-0000EC280000}"/>
    <cellStyle name="货币 2 5 6 2 5 3" xfId="29629" xr:uid="{00000000-0005-0000-0000-0000ED730000}"/>
    <cellStyle name="货币 2 5 6 2 5 3 2" xfId="24231" xr:uid="{00000000-0005-0000-0000-0000D75E0000}"/>
    <cellStyle name="货币 2 5 6 2 5 4" xfId="44130" xr:uid="{00000000-0005-0000-0000-000092AC0000}"/>
    <cellStyle name="货币 2 5 6 2 5 5" xfId="43057" xr:uid="{00000000-0005-0000-0000-000061A80000}"/>
    <cellStyle name="货币 2 5 6 2 5 6" xfId="31402" xr:uid="{00000000-0005-0000-0000-0000DA7A0000}"/>
    <cellStyle name="货币 2 5 6 2 5 7" xfId="48103" xr:uid="{00000000-0005-0000-0000-000017BC0000}"/>
    <cellStyle name="货币 2 5 6 2 5 8" xfId="48104" xr:uid="{00000000-0005-0000-0000-000018BC0000}"/>
    <cellStyle name="货币 2 5 6 2 5 9" xfId="6765" xr:uid="{00000000-0005-0000-0000-00009D1A0000}"/>
    <cellStyle name="货币 2 5 6 2 6" xfId="48105" xr:uid="{00000000-0005-0000-0000-000019BC0000}"/>
    <cellStyle name="货币 2 5 6 2 6 2" xfId="44135" xr:uid="{00000000-0005-0000-0000-000097AC0000}"/>
    <cellStyle name="货币 2 5 6 2 6 2 2" xfId="24266" xr:uid="{00000000-0005-0000-0000-0000FA5E0000}"/>
    <cellStyle name="货币 2 5 6 2 6 3" xfId="32327" xr:uid="{00000000-0005-0000-0000-0000777E0000}"/>
    <cellStyle name="货币 2 5 6 2 6 4" xfId="44137" xr:uid="{00000000-0005-0000-0000-000099AC0000}"/>
    <cellStyle name="货币 2 5 6 2 6 5" xfId="44139" xr:uid="{00000000-0005-0000-0000-00009BAC0000}"/>
    <cellStyle name="货币 2 5 6 2 6 6" xfId="48106" xr:uid="{00000000-0005-0000-0000-00001ABC0000}"/>
    <cellStyle name="货币 2 5 6 2 6 7" xfId="48107" xr:uid="{00000000-0005-0000-0000-00001BBC0000}"/>
    <cellStyle name="货币 2 5 6 2 6 8" xfId="44978" xr:uid="{00000000-0005-0000-0000-0000E2AF0000}"/>
    <cellStyle name="货币 2 5 6 2 6 9" xfId="9159" xr:uid="{00000000-0005-0000-0000-0000F7230000}"/>
    <cellStyle name="货币 2 5 6 2 7" xfId="22930" xr:uid="{00000000-0005-0000-0000-0000C2590000}"/>
    <cellStyle name="货币 2 5 6 2 7 2" xfId="29766" xr:uid="{00000000-0005-0000-0000-000076740000}"/>
    <cellStyle name="货币 2 5 6 2 8" xfId="29775" xr:uid="{00000000-0005-0000-0000-00007F740000}"/>
    <cellStyle name="货币 2 5 6 2 9" xfId="29778" xr:uid="{00000000-0005-0000-0000-000082740000}"/>
    <cellStyle name="货币 2 5 6 20" xfId="48074" xr:uid="{00000000-0005-0000-0000-0000FABB0000}"/>
    <cellStyle name="货币 2 5 6 21" xfId="48076" xr:uid="{00000000-0005-0000-0000-0000FCBB0000}"/>
    <cellStyle name="货币 2 5 6 22" xfId="48078" xr:uid="{00000000-0005-0000-0000-0000FEBB0000}"/>
    <cellStyle name="货币 2 5 6 23" xfId="48080" xr:uid="{00000000-0005-0000-0000-000000BC0000}"/>
    <cellStyle name="货币 2 5 6 3" xfId="47341" xr:uid="{00000000-0005-0000-0000-00001DB90000}"/>
    <cellStyle name="货币 2 5 6 3 10" xfId="48108" xr:uid="{00000000-0005-0000-0000-00001CBC0000}"/>
    <cellStyle name="货币 2 5 6 3 11" xfId="48109" xr:uid="{00000000-0005-0000-0000-00001DBC0000}"/>
    <cellStyle name="货币 2 5 6 3 12" xfId="32865" xr:uid="{00000000-0005-0000-0000-000091800000}"/>
    <cellStyle name="货币 2 5 6 3 13" xfId="32868" xr:uid="{00000000-0005-0000-0000-000094800000}"/>
    <cellStyle name="货币 2 5 6 3 14" xfId="32871" xr:uid="{00000000-0005-0000-0000-000097800000}"/>
    <cellStyle name="货币 2 5 6 3 15" xfId="32874" xr:uid="{00000000-0005-0000-0000-00009A800000}"/>
    <cellStyle name="货币 2 5 6 3 16" xfId="32878" xr:uid="{00000000-0005-0000-0000-00009E800000}"/>
    <cellStyle name="货币 2 5 6 3 17" xfId="23638" xr:uid="{00000000-0005-0000-0000-0000865C0000}"/>
    <cellStyle name="货币 2 5 6 3 18" xfId="23648" xr:uid="{00000000-0005-0000-0000-0000905C0000}"/>
    <cellStyle name="货币 2 5 6 3 2" xfId="48110" xr:uid="{00000000-0005-0000-0000-00001EBC0000}"/>
    <cellStyle name="货币 2 5 6 3 2 10" xfId="40601" xr:uid="{00000000-0005-0000-0000-0000C99E0000}"/>
    <cellStyle name="货币 2 5 6 3 2 2" xfId="48111" xr:uid="{00000000-0005-0000-0000-00001FBC0000}"/>
    <cellStyle name="货币 2 5 6 3 2 2 2" xfId="15122" xr:uid="{00000000-0005-0000-0000-0000423B0000}"/>
    <cellStyle name="货币 2 5 6 3 2 3" xfId="3408" xr:uid="{00000000-0005-0000-0000-0000800D0000}"/>
    <cellStyle name="货币 2 5 6 3 2 4" xfId="48112" xr:uid="{00000000-0005-0000-0000-000020BC0000}"/>
    <cellStyle name="货币 2 5 6 3 2 5" xfId="48113" xr:uid="{00000000-0005-0000-0000-000021BC0000}"/>
    <cellStyle name="货币 2 5 6 3 2 6" xfId="40587" xr:uid="{00000000-0005-0000-0000-0000BB9E0000}"/>
    <cellStyle name="货币 2 5 6 3 2 7" xfId="40589" xr:uid="{00000000-0005-0000-0000-0000BD9E0000}"/>
    <cellStyle name="货币 2 5 6 3 2 8" xfId="40591" xr:uid="{00000000-0005-0000-0000-0000BF9E0000}"/>
    <cellStyle name="货币 2 5 6 3 2 9" xfId="40593" xr:uid="{00000000-0005-0000-0000-0000C19E0000}"/>
    <cellStyle name="货币 2 5 6 3 3" xfId="48114" xr:uid="{00000000-0005-0000-0000-000022BC0000}"/>
    <cellStyle name="货币 2 5 6 3 3 2" xfId="44144" xr:uid="{00000000-0005-0000-0000-0000A0AC0000}"/>
    <cellStyle name="货币 2 5 6 3 3 3" xfId="44146" xr:uid="{00000000-0005-0000-0000-0000A2AC0000}"/>
    <cellStyle name="货币 2 5 6 3 3 4" xfId="44148" xr:uid="{00000000-0005-0000-0000-0000A4AC0000}"/>
    <cellStyle name="货币 2 5 6 3 3 5" xfId="44150" xr:uid="{00000000-0005-0000-0000-0000A6AC0000}"/>
    <cellStyle name="货币 2 5 6 3 3 6" xfId="44152" xr:uid="{00000000-0005-0000-0000-0000A8AC0000}"/>
    <cellStyle name="货币 2 5 6 3 4" xfId="48115" xr:uid="{00000000-0005-0000-0000-000023BC0000}"/>
    <cellStyle name="货币 2 5 6 3 4 2" xfId="44159" xr:uid="{00000000-0005-0000-0000-0000AFAC0000}"/>
    <cellStyle name="货币 2 5 6 3 4 3" xfId="44162" xr:uid="{00000000-0005-0000-0000-0000B2AC0000}"/>
    <cellStyle name="货币 2 5 6 3 4 4" xfId="44164" xr:uid="{00000000-0005-0000-0000-0000B4AC0000}"/>
    <cellStyle name="货币 2 5 6 3 4 5" xfId="44166" xr:uid="{00000000-0005-0000-0000-0000B6AC0000}"/>
    <cellStyle name="货币 2 5 6 3 4 6" xfId="48116" xr:uid="{00000000-0005-0000-0000-000024BC0000}"/>
    <cellStyle name="货币 2 5 6 3 5" xfId="48117" xr:uid="{00000000-0005-0000-0000-000025BC0000}"/>
    <cellStyle name="货币 2 5 6 3 5 2" xfId="48118" xr:uid="{00000000-0005-0000-0000-000026BC0000}"/>
    <cellStyle name="货币 2 5 6 3 5 3" xfId="48119" xr:uid="{00000000-0005-0000-0000-000027BC0000}"/>
    <cellStyle name="货币 2 5 6 3 5 4" xfId="48120" xr:uid="{00000000-0005-0000-0000-000028BC0000}"/>
    <cellStyle name="货币 2 5 6 3 5 5" xfId="3599" xr:uid="{00000000-0005-0000-0000-00003F0E0000}"/>
    <cellStyle name="货币 2 5 6 3 5 6" xfId="3653" xr:uid="{00000000-0005-0000-0000-0000750E0000}"/>
    <cellStyle name="货币 2 5 6 3 6" xfId="48121" xr:uid="{00000000-0005-0000-0000-000029BC0000}"/>
    <cellStyle name="货币 2 5 6 3 6 2" xfId="48122" xr:uid="{00000000-0005-0000-0000-00002ABC0000}"/>
    <cellStyle name="货币 2 5 6 3 6 3" xfId="48123" xr:uid="{00000000-0005-0000-0000-00002BBC0000}"/>
    <cellStyle name="货币 2 5 6 3 6 4" xfId="48124" xr:uid="{00000000-0005-0000-0000-00002CBC0000}"/>
    <cellStyle name="货币 2 5 6 3 6 5" xfId="2352" xr:uid="{00000000-0005-0000-0000-000060090000}"/>
    <cellStyle name="货币 2 5 6 3 6 6" xfId="2367" xr:uid="{00000000-0005-0000-0000-00006F090000}"/>
    <cellStyle name="货币 2 5 6 3 7" xfId="22965" xr:uid="{00000000-0005-0000-0000-0000E5590000}"/>
    <cellStyle name="货币 2 5 6 3 8" xfId="29783" xr:uid="{00000000-0005-0000-0000-000087740000}"/>
    <cellStyle name="货币 2 5 6 3 9" xfId="29787" xr:uid="{00000000-0005-0000-0000-00008B740000}"/>
    <cellStyle name="货币 2 5 6 4" xfId="28904" xr:uid="{00000000-0005-0000-0000-000018710000}"/>
    <cellStyle name="货币 2 5 6 4 10" xfId="48125" xr:uid="{00000000-0005-0000-0000-00002DBC0000}"/>
    <cellStyle name="货币 2 5 6 4 11" xfId="48126" xr:uid="{00000000-0005-0000-0000-00002EBC0000}"/>
    <cellStyle name="货币 2 5 6 4 12" xfId="33126" xr:uid="{00000000-0005-0000-0000-000096810000}"/>
    <cellStyle name="货币 2 5 6 4 13" xfId="48127" xr:uid="{00000000-0005-0000-0000-00002FBC0000}"/>
    <cellStyle name="货币 2 5 6 4 14" xfId="48128" xr:uid="{00000000-0005-0000-0000-000030BC0000}"/>
    <cellStyle name="货币 2 5 6 4 15" xfId="48129" xr:uid="{00000000-0005-0000-0000-000031BC0000}"/>
    <cellStyle name="货币 2 5 6 4 2" xfId="48130" xr:uid="{00000000-0005-0000-0000-000032BC0000}"/>
    <cellStyle name="货币 2 5 6 4 2 2" xfId="48131" xr:uid="{00000000-0005-0000-0000-000033BC0000}"/>
    <cellStyle name="货币 2 5 6 4 2 2 2" xfId="15563" xr:uid="{00000000-0005-0000-0000-0000FB3C0000}"/>
    <cellStyle name="货币 2 5 6 4 2 3" xfId="3182" xr:uid="{00000000-0005-0000-0000-00009E0C0000}"/>
    <cellStyle name="货币 2 5 6 4 2 4" xfId="48132" xr:uid="{00000000-0005-0000-0000-000034BC0000}"/>
    <cellStyle name="货币 2 5 6 4 2 5" xfId="48133" xr:uid="{00000000-0005-0000-0000-000035BC0000}"/>
    <cellStyle name="货币 2 5 6 4 2 6" xfId="33224" xr:uid="{00000000-0005-0000-0000-0000F8810000}"/>
    <cellStyle name="货币 2 5 6 4 2 7" xfId="33227" xr:uid="{00000000-0005-0000-0000-0000FB810000}"/>
    <cellStyle name="货币 2 5 6 4 2 8" xfId="33230" xr:uid="{00000000-0005-0000-0000-0000FE810000}"/>
    <cellStyle name="货币 2 5 6 4 2 9" xfId="33233" xr:uid="{00000000-0005-0000-0000-000001820000}"/>
    <cellStyle name="货币 2 5 6 4 3" xfId="48134" xr:uid="{00000000-0005-0000-0000-000036BC0000}"/>
    <cellStyle name="货币 2 5 6 4 3 2" xfId="40255" xr:uid="{00000000-0005-0000-0000-00006F9D0000}"/>
    <cellStyle name="货币 2 5 6 4 3 3" xfId="40258" xr:uid="{00000000-0005-0000-0000-0000729D0000}"/>
    <cellStyle name="货币 2 5 6 4 3 4" xfId="40261" xr:uid="{00000000-0005-0000-0000-0000759D0000}"/>
    <cellStyle name="货币 2 5 6 4 3 5" xfId="40264" xr:uid="{00000000-0005-0000-0000-0000789D0000}"/>
    <cellStyle name="货币 2 5 6 4 3 6" xfId="6098" xr:uid="{00000000-0005-0000-0000-000002180000}"/>
    <cellStyle name="货币 2 5 6 4 4" xfId="48135" xr:uid="{00000000-0005-0000-0000-000037BC0000}"/>
    <cellStyle name="货币 2 5 6 4 4 2" xfId="44176" xr:uid="{00000000-0005-0000-0000-0000C0AC0000}"/>
    <cellStyle name="货币 2 5 6 4 5" xfId="48136" xr:uid="{00000000-0005-0000-0000-000038BC0000}"/>
    <cellStyle name="货币 2 5 6 4 6" xfId="7099" xr:uid="{00000000-0005-0000-0000-0000EB1B0000}"/>
    <cellStyle name="货币 2 5 6 4 7" xfId="23000" xr:uid="{00000000-0005-0000-0000-0000085A0000}"/>
    <cellStyle name="货币 2 5 6 4 8" xfId="29792" xr:uid="{00000000-0005-0000-0000-000090740000}"/>
    <cellStyle name="货币 2 5 6 4 9" xfId="29795" xr:uid="{00000000-0005-0000-0000-000093740000}"/>
    <cellStyle name="货币 2 5 6 5" xfId="47343" xr:uid="{00000000-0005-0000-0000-00001FB90000}"/>
    <cellStyle name="货币 2 5 6 5 10" xfId="48137" xr:uid="{00000000-0005-0000-0000-000039BC0000}"/>
    <cellStyle name="货币 2 5 6 5 11" xfId="48138" xr:uid="{00000000-0005-0000-0000-00003ABC0000}"/>
    <cellStyle name="货币 2 5 6 5 12" xfId="48139" xr:uid="{00000000-0005-0000-0000-00003BBC0000}"/>
    <cellStyle name="货币 2 5 6 5 13" xfId="48140" xr:uid="{00000000-0005-0000-0000-00003CBC0000}"/>
    <cellStyle name="货币 2 5 6 5 2" xfId="48141" xr:uid="{00000000-0005-0000-0000-00003DBC0000}"/>
    <cellStyle name="货币 2 5 6 5 2 2" xfId="48142" xr:uid="{00000000-0005-0000-0000-00003EBC0000}"/>
    <cellStyle name="货币 2 5 6 5 2 2 2" xfId="24874" xr:uid="{00000000-0005-0000-0000-00005A610000}"/>
    <cellStyle name="货币 2 5 6 5 2 3" xfId="32341" xr:uid="{00000000-0005-0000-0000-0000857E0000}"/>
    <cellStyle name="货币 2 5 6 5 2 4" xfId="48143" xr:uid="{00000000-0005-0000-0000-00003FBC0000}"/>
    <cellStyle name="货币 2 5 6 5 2 5" xfId="48144" xr:uid="{00000000-0005-0000-0000-000040BC0000}"/>
    <cellStyle name="货币 2 5 6 5 2 6" xfId="33380" xr:uid="{00000000-0005-0000-0000-000094820000}"/>
    <cellStyle name="货币 2 5 6 5 2 7" xfId="33383" xr:uid="{00000000-0005-0000-0000-000097820000}"/>
    <cellStyle name="货币 2 5 6 5 2 8" xfId="33386" xr:uid="{00000000-0005-0000-0000-00009A820000}"/>
    <cellStyle name="货币 2 5 6 5 2 9" xfId="33389" xr:uid="{00000000-0005-0000-0000-00009D820000}"/>
    <cellStyle name="货币 2 5 6 5 3" xfId="48145" xr:uid="{00000000-0005-0000-0000-000041BC0000}"/>
    <cellStyle name="货币 2 5 6 5 3 2" xfId="44189" xr:uid="{00000000-0005-0000-0000-0000CDAC0000}"/>
    <cellStyle name="货币 2 5 6 5 3 3" xfId="44191" xr:uid="{00000000-0005-0000-0000-0000CFAC0000}"/>
    <cellStyle name="货币 2 5 6 5 3 4" xfId="44193" xr:uid="{00000000-0005-0000-0000-0000D1AC0000}"/>
    <cellStyle name="货币 2 5 6 5 3 5" xfId="44195" xr:uid="{00000000-0005-0000-0000-0000D3AC0000}"/>
    <cellStyle name="货币 2 5 6 5 3 6" xfId="6648" xr:uid="{00000000-0005-0000-0000-0000281A0000}"/>
    <cellStyle name="货币 2 5 6 5 4" xfId="48146" xr:uid="{00000000-0005-0000-0000-000042BC0000}"/>
    <cellStyle name="货币 2 5 6 5 4 2" xfId="44200" xr:uid="{00000000-0005-0000-0000-0000D8AC0000}"/>
    <cellStyle name="货币 2 5 6 5 5" xfId="48147" xr:uid="{00000000-0005-0000-0000-000043BC0000}"/>
    <cellStyle name="货币 2 5 6 5 6" xfId="48148" xr:uid="{00000000-0005-0000-0000-000044BC0000}"/>
    <cellStyle name="货币 2 5 6 5 7" xfId="48149" xr:uid="{00000000-0005-0000-0000-000045BC0000}"/>
    <cellStyle name="货币 2 5 6 5 8" xfId="48150" xr:uid="{00000000-0005-0000-0000-000046BC0000}"/>
    <cellStyle name="货币 2 5 6 5 9" xfId="48151" xr:uid="{00000000-0005-0000-0000-000047BC0000}"/>
    <cellStyle name="货币 2 5 6 6" xfId="47345" xr:uid="{00000000-0005-0000-0000-000021B90000}"/>
    <cellStyle name="货币 2 5 6 6 10" xfId="28746" xr:uid="{00000000-0005-0000-0000-00007A700000}"/>
    <cellStyle name="货币 2 5 6 6 11" xfId="42881" xr:uid="{00000000-0005-0000-0000-0000B1A70000}"/>
    <cellStyle name="货币 2 5 6 6 12" xfId="42883" xr:uid="{00000000-0005-0000-0000-0000B3A70000}"/>
    <cellStyle name="货币 2 5 6 6 2" xfId="23028" xr:uid="{00000000-0005-0000-0000-0000245A0000}"/>
    <cellStyle name="货币 2 5 6 6 2 2" xfId="48152" xr:uid="{00000000-0005-0000-0000-000048BC0000}"/>
    <cellStyle name="货币 2 5 6 6 2 2 2" xfId="48153" xr:uid="{00000000-0005-0000-0000-000049BC0000}"/>
    <cellStyle name="货币 2 5 6 6 2 3" xfId="32346" xr:uid="{00000000-0005-0000-0000-00008A7E0000}"/>
    <cellStyle name="货币 2 5 6 6 2 4" xfId="48154" xr:uid="{00000000-0005-0000-0000-00004ABC0000}"/>
    <cellStyle name="货币 2 5 6 6 2 5" xfId="48155" xr:uid="{00000000-0005-0000-0000-00004BBC0000}"/>
    <cellStyle name="货币 2 5 6 6 2 6" xfId="33452" xr:uid="{00000000-0005-0000-0000-0000DC820000}"/>
    <cellStyle name="货币 2 5 6 6 2 7" xfId="33456" xr:uid="{00000000-0005-0000-0000-0000E0820000}"/>
    <cellStyle name="货币 2 5 6 6 2 8" xfId="32451" xr:uid="{00000000-0005-0000-0000-0000F37E0000}"/>
    <cellStyle name="货币 2 5 6 6 2 9" xfId="33460" xr:uid="{00000000-0005-0000-0000-0000E4820000}"/>
    <cellStyle name="货币 2 5 6 6 3" xfId="48156" xr:uid="{00000000-0005-0000-0000-00004CBC0000}"/>
    <cellStyle name="货币 2 5 6 6 3 2" xfId="48157" xr:uid="{00000000-0005-0000-0000-00004DBC0000}"/>
    <cellStyle name="货币 2 5 6 6 3 3" xfId="48158" xr:uid="{00000000-0005-0000-0000-00004EBC0000}"/>
    <cellStyle name="货币 2 5 6 6 3 4" xfId="48159" xr:uid="{00000000-0005-0000-0000-00004FBC0000}"/>
    <cellStyle name="货币 2 5 6 6 3 5" xfId="48160" xr:uid="{00000000-0005-0000-0000-000050BC0000}"/>
    <cellStyle name="货币 2 5 6 6 3 6" xfId="1504" xr:uid="{00000000-0005-0000-0000-000010060000}"/>
    <cellStyle name="货币 2 5 6 6 4" xfId="48161" xr:uid="{00000000-0005-0000-0000-000051BC0000}"/>
    <cellStyle name="货币 2 5 6 6 4 2" xfId="48162" xr:uid="{00000000-0005-0000-0000-000052BC0000}"/>
    <cellStyle name="货币 2 5 6 6 5" xfId="48163" xr:uid="{00000000-0005-0000-0000-000053BC0000}"/>
    <cellStyle name="货币 2 5 6 6 6" xfId="48164" xr:uid="{00000000-0005-0000-0000-000054BC0000}"/>
    <cellStyle name="货币 2 5 6 6 7" xfId="16884" xr:uid="{00000000-0005-0000-0000-000024420000}"/>
    <cellStyle name="货币 2 5 6 6 8" xfId="48165" xr:uid="{00000000-0005-0000-0000-000055BC0000}"/>
    <cellStyle name="货币 2 5 6 6 9" xfId="33485" xr:uid="{00000000-0005-0000-0000-0000FD820000}"/>
    <cellStyle name="货币 2 5 6 7" xfId="48166" xr:uid="{00000000-0005-0000-0000-000056BC0000}"/>
    <cellStyle name="货币 2 5 6 7 2" xfId="20092" xr:uid="{00000000-0005-0000-0000-0000AC4E0000}"/>
    <cellStyle name="货币 2 5 6 7 2 2" xfId="48167" xr:uid="{00000000-0005-0000-0000-000057BC0000}"/>
    <cellStyle name="货币 2 5 6 7 3" xfId="20100" xr:uid="{00000000-0005-0000-0000-0000B44E0000}"/>
    <cellStyle name="货币 2 5 6 7 4" xfId="20108" xr:uid="{00000000-0005-0000-0000-0000BC4E0000}"/>
    <cellStyle name="货币 2 5 6 7 5" xfId="20115" xr:uid="{00000000-0005-0000-0000-0000C34E0000}"/>
    <cellStyle name="货币 2 5 6 7 6" xfId="20119" xr:uid="{00000000-0005-0000-0000-0000C74E0000}"/>
    <cellStyle name="货币 2 5 6 7 7" xfId="48168" xr:uid="{00000000-0005-0000-0000-000058BC0000}"/>
    <cellStyle name="货币 2 5 6 7 8" xfId="48169" xr:uid="{00000000-0005-0000-0000-000059BC0000}"/>
    <cellStyle name="货币 2 5 6 7 9" xfId="48170" xr:uid="{00000000-0005-0000-0000-00005ABC0000}"/>
    <cellStyle name="货币 2 5 6 8" xfId="48171" xr:uid="{00000000-0005-0000-0000-00005BBC0000}"/>
    <cellStyle name="货币 2 5 6 8 2" xfId="17016" xr:uid="{00000000-0005-0000-0000-0000A8420000}"/>
    <cellStyle name="货币 2 5 6 8 3" xfId="17023" xr:uid="{00000000-0005-0000-0000-0000AF420000}"/>
    <cellStyle name="货币 2 5 6 8 4" xfId="17030" xr:uid="{00000000-0005-0000-0000-0000B6420000}"/>
    <cellStyle name="货币 2 5 6 8 5" xfId="17035" xr:uid="{00000000-0005-0000-0000-0000BB420000}"/>
    <cellStyle name="货币 2 5 6 8 6" xfId="17040" xr:uid="{00000000-0005-0000-0000-0000C0420000}"/>
    <cellStyle name="货币 2 5 6 9" xfId="48172" xr:uid="{00000000-0005-0000-0000-00005CBC0000}"/>
    <cellStyle name="货币 2 5 6 9 2" xfId="9706" xr:uid="{00000000-0005-0000-0000-00001A260000}"/>
    <cellStyle name="货币 2 5 6 9 3" xfId="17054" xr:uid="{00000000-0005-0000-0000-0000CE420000}"/>
    <cellStyle name="货币 2 5 6 9 4" xfId="17061" xr:uid="{00000000-0005-0000-0000-0000D5420000}"/>
    <cellStyle name="货币 2 5 6 9 5" xfId="17066" xr:uid="{00000000-0005-0000-0000-0000DA420000}"/>
    <cellStyle name="货币 2 5 6 9 6" xfId="48173" xr:uid="{00000000-0005-0000-0000-00005DBC0000}"/>
    <cellStyle name="货币 2 5 7" xfId="24806" xr:uid="{00000000-0005-0000-0000-000016610000}"/>
    <cellStyle name="货币 2 5 7 10" xfId="48174" xr:uid="{00000000-0005-0000-0000-00005EBC0000}"/>
    <cellStyle name="货币 2 5 7 11" xfId="48175" xr:uid="{00000000-0005-0000-0000-00005FBC0000}"/>
    <cellStyle name="货币 2 5 7 12" xfId="48176" xr:uid="{00000000-0005-0000-0000-000060BC0000}"/>
    <cellStyle name="货币 2 5 7 13" xfId="48177" xr:uid="{00000000-0005-0000-0000-000061BC0000}"/>
    <cellStyle name="货币 2 5 7 14" xfId="48178" xr:uid="{00000000-0005-0000-0000-000062BC0000}"/>
    <cellStyle name="货币 2 5 7 15" xfId="48179" xr:uid="{00000000-0005-0000-0000-000063BC0000}"/>
    <cellStyle name="货币 2 5 7 16" xfId="48180" xr:uid="{00000000-0005-0000-0000-000064BC0000}"/>
    <cellStyle name="货币 2 5 7 17" xfId="48181" xr:uid="{00000000-0005-0000-0000-000065BC0000}"/>
    <cellStyle name="货币 2 5 7 18" xfId="48182" xr:uid="{00000000-0005-0000-0000-000066BC0000}"/>
    <cellStyle name="货币 2 5 7 19" xfId="48183" xr:uid="{00000000-0005-0000-0000-000067BC0000}"/>
    <cellStyle name="货币 2 5 7 2" xfId="47347" xr:uid="{00000000-0005-0000-0000-000023B90000}"/>
    <cellStyle name="货币 2 5 7 2 10" xfId="32549" xr:uid="{00000000-0005-0000-0000-0000557F0000}"/>
    <cellStyle name="货币 2 5 7 2 11" xfId="32551" xr:uid="{00000000-0005-0000-0000-0000577F0000}"/>
    <cellStyle name="货币 2 5 7 2 12" xfId="48184" xr:uid="{00000000-0005-0000-0000-000068BC0000}"/>
    <cellStyle name="货币 2 5 7 2 13" xfId="48185" xr:uid="{00000000-0005-0000-0000-000069BC0000}"/>
    <cellStyle name="货币 2 5 7 2 14" xfId="48186" xr:uid="{00000000-0005-0000-0000-00006ABC0000}"/>
    <cellStyle name="货币 2 5 7 2 15" xfId="48187" xr:uid="{00000000-0005-0000-0000-00006BBC0000}"/>
    <cellStyle name="货币 2 5 7 2 16" xfId="48188" xr:uid="{00000000-0005-0000-0000-00006CBC0000}"/>
    <cellStyle name="货币 2 5 7 2 17" xfId="48189" xr:uid="{00000000-0005-0000-0000-00006DBC0000}"/>
    <cellStyle name="货币 2 5 7 2 18" xfId="48190" xr:uid="{00000000-0005-0000-0000-00006EBC0000}"/>
    <cellStyle name="货币 2 5 7 2 2" xfId="48191" xr:uid="{00000000-0005-0000-0000-00006FBC0000}"/>
    <cellStyle name="货币 2 5 7 2 2 10" xfId="23367" xr:uid="{00000000-0005-0000-0000-0000775B0000}"/>
    <cellStyle name="货币 2 5 7 2 2 2" xfId="48192" xr:uid="{00000000-0005-0000-0000-000070BC0000}"/>
    <cellStyle name="货币 2 5 7 2 2 2 2" xfId="16921" xr:uid="{00000000-0005-0000-0000-000049420000}"/>
    <cellStyle name="货币 2 5 7 2 2 3" xfId="48193" xr:uid="{00000000-0005-0000-0000-000071BC0000}"/>
    <cellStyle name="货币 2 5 7 2 2 4" xfId="48194" xr:uid="{00000000-0005-0000-0000-000072BC0000}"/>
    <cellStyle name="货币 2 5 7 2 2 5" xfId="48195" xr:uid="{00000000-0005-0000-0000-000073BC0000}"/>
    <cellStyle name="货币 2 5 7 2 2 6" xfId="7772" xr:uid="{00000000-0005-0000-0000-00008C1E0000}"/>
    <cellStyle name="货币 2 5 7 2 2 7" xfId="48196" xr:uid="{00000000-0005-0000-0000-000074BC0000}"/>
    <cellStyle name="货币 2 5 7 2 2 8" xfId="48197" xr:uid="{00000000-0005-0000-0000-000075BC0000}"/>
    <cellStyle name="货币 2 5 7 2 2 9" xfId="48198" xr:uid="{00000000-0005-0000-0000-000076BC0000}"/>
    <cellStyle name="货币 2 5 7 2 3" xfId="48199" xr:uid="{00000000-0005-0000-0000-000077BC0000}"/>
    <cellStyle name="货币 2 5 7 2 3 2" xfId="44356" xr:uid="{00000000-0005-0000-0000-000074AD0000}"/>
    <cellStyle name="货币 2 5 7 2 3 3" xfId="44358" xr:uid="{00000000-0005-0000-0000-000076AD0000}"/>
    <cellStyle name="货币 2 5 7 2 3 4" xfId="44361" xr:uid="{00000000-0005-0000-0000-000079AD0000}"/>
    <cellStyle name="货币 2 5 7 2 3 5" xfId="44364" xr:uid="{00000000-0005-0000-0000-00007CAD0000}"/>
    <cellStyle name="货币 2 5 7 2 3 6" xfId="44367" xr:uid="{00000000-0005-0000-0000-00007FAD0000}"/>
    <cellStyle name="货币 2 5 7 2 4" xfId="48200" xr:uid="{00000000-0005-0000-0000-000078BC0000}"/>
    <cellStyle name="货币 2 5 7 2 4 2" xfId="44374" xr:uid="{00000000-0005-0000-0000-000086AD0000}"/>
    <cellStyle name="货币 2 5 7 2 4 3" xfId="44376" xr:uid="{00000000-0005-0000-0000-000088AD0000}"/>
    <cellStyle name="货币 2 5 7 2 4 4" xfId="44379" xr:uid="{00000000-0005-0000-0000-00008BAD0000}"/>
    <cellStyle name="货币 2 5 7 2 4 5" xfId="17080" xr:uid="{00000000-0005-0000-0000-0000E8420000}"/>
    <cellStyle name="货币 2 5 7 2 4 6" xfId="48201" xr:uid="{00000000-0005-0000-0000-000079BC0000}"/>
    <cellStyle name="货币 2 5 7 2 5" xfId="48202" xr:uid="{00000000-0005-0000-0000-00007ABC0000}"/>
    <cellStyle name="货币 2 5 7 2 5 2" xfId="44383" xr:uid="{00000000-0005-0000-0000-00008FAD0000}"/>
    <cellStyle name="货币 2 5 7 2 5 3" xfId="17106" xr:uid="{00000000-0005-0000-0000-000002430000}"/>
    <cellStyle name="货币 2 5 7 2 5 4" xfId="34147" xr:uid="{00000000-0005-0000-0000-000093850000}"/>
    <cellStyle name="货币 2 5 7 2 5 5" xfId="34150" xr:uid="{00000000-0005-0000-0000-000096850000}"/>
    <cellStyle name="货币 2 5 7 2 5 6" xfId="34154" xr:uid="{00000000-0005-0000-0000-00009A850000}"/>
    <cellStyle name="货币 2 5 7 2 6" xfId="48203" xr:uid="{00000000-0005-0000-0000-00007BBC0000}"/>
    <cellStyle name="货币 2 5 7 2 6 2" xfId="44387" xr:uid="{00000000-0005-0000-0000-000093AD0000}"/>
    <cellStyle name="货币 2 5 7 2 6 3" xfId="15722" xr:uid="{00000000-0005-0000-0000-00009A3D0000}"/>
    <cellStyle name="货币 2 5 7 2 6 4" xfId="34162" xr:uid="{00000000-0005-0000-0000-0000A2850000}"/>
    <cellStyle name="货币 2 5 7 2 6 5" xfId="34165" xr:uid="{00000000-0005-0000-0000-0000A5850000}"/>
    <cellStyle name="货币 2 5 7 2 6 6" xfId="34168" xr:uid="{00000000-0005-0000-0000-0000A8850000}"/>
    <cellStyle name="货币 2 5 7 2 7" xfId="48204" xr:uid="{00000000-0005-0000-0000-00007CBC0000}"/>
    <cellStyle name="货币 2 5 7 2 8" xfId="48205" xr:uid="{00000000-0005-0000-0000-00007DBC0000}"/>
    <cellStyle name="货币 2 5 7 2 9" xfId="48206" xr:uid="{00000000-0005-0000-0000-00007EBC0000}"/>
    <cellStyle name="货币 2 5 7 3" xfId="47349" xr:uid="{00000000-0005-0000-0000-000025B90000}"/>
    <cellStyle name="货币 2 5 7 3 10" xfId="48207" xr:uid="{00000000-0005-0000-0000-00007FBC0000}"/>
    <cellStyle name="货币 2 5 7 3 11" xfId="48208" xr:uid="{00000000-0005-0000-0000-000080BC0000}"/>
    <cellStyle name="货币 2 5 7 3 12" xfId="28038" xr:uid="{00000000-0005-0000-0000-0000B66D0000}"/>
    <cellStyle name="货币 2 5 7 3 2" xfId="48209" xr:uid="{00000000-0005-0000-0000-000081BC0000}"/>
    <cellStyle name="货币 2 5 7 3 2 2" xfId="48210" xr:uid="{00000000-0005-0000-0000-000082BC0000}"/>
    <cellStyle name="货币 2 5 7 3 2 2 2" xfId="17290" xr:uid="{00000000-0005-0000-0000-0000BA430000}"/>
    <cellStyle name="货币 2 5 7 3 2 3" xfId="48211" xr:uid="{00000000-0005-0000-0000-000083BC0000}"/>
    <cellStyle name="货币 2 5 7 3 2 4" xfId="48212" xr:uid="{00000000-0005-0000-0000-000084BC0000}"/>
    <cellStyle name="货币 2 5 7 3 2 5" xfId="48213" xr:uid="{00000000-0005-0000-0000-000085BC0000}"/>
    <cellStyle name="货币 2 5 7 3 3" xfId="48214" xr:uid="{00000000-0005-0000-0000-000086BC0000}"/>
    <cellStyle name="货币 2 5 7 3 3 2" xfId="44400" xr:uid="{00000000-0005-0000-0000-0000A0AD0000}"/>
    <cellStyle name="货币 2 5 7 3 4" xfId="48215" xr:uid="{00000000-0005-0000-0000-000087BC0000}"/>
    <cellStyle name="货币 2 5 7 3 5" xfId="48216" xr:uid="{00000000-0005-0000-0000-000088BC0000}"/>
    <cellStyle name="货币 2 5 7 3 6" xfId="48217" xr:uid="{00000000-0005-0000-0000-000089BC0000}"/>
    <cellStyle name="货币 2 5 7 3 7" xfId="48218" xr:uid="{00000000-0005-0000-0000-00008ABC0000}"/>
    <cellStyle name="货币 2 5 7 3 8" xfId="48219" xr:uid="{00000000-0005-0000-0000-00008BBC0000}"/>
    <cellStyle name="货币 2 5 7 3 9" xfId="48220" xr:uid="{00000000-0005-0000-0000-00008CBC0000}"/>
    <cellStyle name="货币 2 5 7 4" xfId="47351" xr:uid="{00000000-0005-0000-0000-000027B90000}"/>
    <cellStyle name="货币 2 5 7 4 10" xfId="19598" xr:uid="{00000000-0005-0000-0000-0000BE4C0000}"/>
    <cellStyle name="货币 2 5 7 4 11" xfId="48221" xr:uid="{00000000-0005-0000-0000-00008DBC0000}"/>
    <cellStyle name="货币 2 5 7 4 2" xfId="48222" xr:uid="{00000000-0005-0000-0000-00008EBC0000}"/>
    <cellStyle name="货币 2 5 7 4 2 2" xfId="48223" xr:uid="{00000000-0005-0000-0000-00008FBC0000}"/>
    <cellStyle name="货币 2 5 7 4 2 2 2" xfId="16159" xr:uid="{00000000-0005-0000-0000-00004F3F0000}"/>
    <cellStyle name="货币 2 5 7 4 2 3" xfId="48224" xr:uid="{00000000-0005-0000-0000-000090BC0000}"/>
    <cellStyle name="货币 2 5 7 4 2 4" xfId="48225" xr:uid="{00000000-0005-0000-0000-000091BC0000}"/>
    <cellStyle name="货币 2 5 7 4 2 5" xfId="48226" xr:uid="{00000000-0005-0000-0000-000092BC0000}"/>
    <cellStyle name="货币 2 5 7 4 3" xfId="48227" xr:uid="{00000000-0005-0000-0000-000093BC0000}"/>
    <cellStyle name="货币 2 5 7 4 3 2" xfId="13951" xr:uid="{00000000-0005-0000-0000-0000AF360000}"/>
    <cellStyle name="货币 2 5 7 4 4" xfId="48228" xr:uid="{00000000-0005-0000-0000-000094BC0000}"/>
    <cellStyle name="货币 2 5 7 4 5" xfId="15818" xr:uid="{00000000-0005-0000-0000-0000FA3D0000}"/>
    <cellStyle name="货币 2 5 7 4 6" xfId="7119" xr:uid="{00000000-0005-0000-0000-0000FF1B0000}"/>
    <cellStyle name="货币 2 5 7 4 7" xfId="48229" xr:uid="{00000000-0005-0000-0000-000095BC0000}"/>
    <cellStyle name="货币 2 5 7 4 8" xfId="48230" xr:uid="{00000000-0005-0000-0000-000096BC0000}"/>
    <cellStyle name="货币 2 5 7 4 9" xfId="48231" xr:uid="{00000000-0005-0000-0000-000097BC0000}"/>
    <cellStyle name="货币 2 5 7 5" xfId="47353" xr:uid="{00000000-0005-0000-0000-000029B90000}"/>
    <cellStyle name="货币 2 5 7 5 10" xfId="48232" xr:uid="{00000000-0005-0000-0000-000098BC0000}"/>
    <cellStyle name="货币 2 5 7 5 2" xfId="48233" xr:uid="{00000000-0005-0000-0000-000099BC0000}"/>
    <cellStyle name="货币 2 5 7 5 2 2" xfId="48234" xr:uid="{00000000-0005-0000-0000-00009ABC0000}"/>
    <cellStyle name="货币 2 5 7 5 2 2 2" xfId="48235" xr:uid="{00000000-0005-0000-0000-00009BBC0000}"/>
    <cellStyle name="货币 2 5 7 5 2 3" xfId="48236" xr:uid="{00000000-0005-0000-0000-00009CBC0000}"/>
    <cellStyle name="货币 2 5 7 5 2 4" xfId="48237" xr:uid="{00000000-0005-0000-0000-00009DBC0000}"/>
    <cellStyle name="货币 2 5 7 5 2 5" xfId="48238" xr:uid="{00000000-0005-0000-0000-00009EBC0000}"/>
    <cellStyle name="货币 2 5 7 5 3" xfId="48239" xr:uid="{00000000-0005-0000-0000-00009FBC0000}"/>
    <cellStyle name="货币 2 5 7 5 3 2" xfId="40082" xr:uid="{00000000-0005-0000-0000-0000C29C0000}"/>
    <cellStyle name="货币 2 5 7 5 4" xfId="48240" xr:uid="{00000000-0005-0000-0000-0000A0BC0000}"/>
    <cellStyle name="货币 2 5 7 5 5" xfId="23162" xr:uid="{00000000-0005-0000-0000-0000AA5A0000}"/>
    <cellStyle name="货币 2 5 7 5 6" xfId="23165" xr:uid="{00000000-0005-0000-0000-0000AD5A0000}"/>
    <cellStyle name="货币 2 5 7 5 7" xfId="23168" xr:uid="{00000000-0005-0000-0000-0000B05A0000}"/>
    <cellStyle name="货币 2 5 7 5 8" xfId="24418" xr:uid="{00000000-0005-0000-0000-0000925F0000}"/>
    <cellStyle name="货币 2 5 7 5 9" xfId="8408" xr:uid="{00000000-0005-0000-0000-000008210000}"/>
    <cellStyle name="货币 2 5 7 6" xfId="47355" xr:uid="{00000000-0005-0000-0000-00002BB90000}"/>
    <cellStyle name="货币 2 5 7 6 2" xfId="13580" xr:uid="{00000000-0005-0000-0000-00003C350000}"/>
    <cellStyle name="货币 2 5 7 6 2 2" xfId="48241" xr:uid="{00000000-0005-0000-0000-0000A1BC0000}"/>
    <cellStyle name="货币 2 5 7 6 3" xfId="13583" xr:uid="{00000000-0005-0000-0000-00003F350000}"/>
    <cellStyle name="货币 2 5 7 6 4" xfId="48242" xr:uid="{00000000-0005-0000-0000-0000A2BC0000}"/>
    <cellStyle name="货币 2 5 7 6 5" xfId="23173" xr:uid="{00000000-0005-0000-0000-0000B55A0000}"/>
    <cellStyle name="货币 2 5 7 6 6" xfId="23176" xr:uid="{00000000-0005-0000-0000-0000B85A0000}"/>
    <cellStyle name="货币 2 5 7 6 7" xfId="23179" xr:uid="{00000000-0005-0000-0000-0000BB5A0000}"/>
    <cellStyle name="货币 2 5 7 6 8" xfId="15104" xr:uid="{00000000-0005-0000-0000-0000303B0000}"/>
    <cellStyle name="货币 2 5 7 6 9" xfId="13415" xr:uid="{00000000-0005-0000-0000-000097340000}"/>
    <cellStyle name="货币 2 5 7 7" xfId="48243" xr:uid="{00000000-0005-0000-0000-0000A3BC0000}"/>
    <cellStyle name="货币 2 5 7 7 2" xfId="20174" xr:uid="{00000000-0005-0000-0000-0000FE4E0000}"/>
    <cellStyle name="货币 2 5 7 7 3" xfId="20179" xr:uid="{00000000-0005-0000-0000-0000034F0000}"/>
    <cellStyle name="货币 2 5 7 7 4" xfId="20183" xr:uid="{00000000-0005-0000-0000-0000074F0000}"/>
    <cellStyle name="货币 2 5 7 7 5" xfId="20187" xr:uid="{00000000-0005-0000-0000-00000B4F0000}"/>
    <cellStyle name="货币 2 5 7 7 6" xfId="20190" xr:uid="{00000000-0005-0000-0000-00000E4F0000}"/>
    <cellStyle name="货币 2 5 7 8" xfId="48244" xr:uid="{00000000-0005-0000-0000-0000A4BC0000}"/>
    <cellStyle name="货币 2 5 7 9" xfId="48245" xr:uid="{00000000-0005-0000-0000-0000A5BC0000}"/>
    <cellStyle name="货币 2 5 8" xfId="24812" xr:uid="{00000000-0005-0000-0000-00001C610000}"/>
    <cellStyle name="货币 2 5 8 10" xfId="48246" xr:uid="{00000000-0005-0000-0000-0000A6BC0000}"/>
    <cellStyle name="货币 2 5 8 11" xfId="48247" xr:uid="{00000000-0005-0000-0000-0000A7BC0000}"/>
    <cellStyle name="货币 2 5 8 12" xfId="48248" xr:uid="{00000000-0005-0000-0000-0000A8BC0000}"/>
    <cellStyle name="货币 2 5 8 13" xfId="48250" xr:uid="{00000000-0005-0000-0000-0000AABC0000}"/>
    <cellStyle name="货币 2 5 8 14" xfId="48252" xr:uid="{00000000-0005-0000-0000-0000ACBC0000}"/>
    <cellStyle name="货币 2 5 8 15" xfId="48254" xr:uid="{00000000-0005-0000-0000-0000AEBC0000}"/>
    <cellStyle name="货币 2 5 8 16" xfId="48256" xr:uid="{00000000-0005-0000-0000-0000B0BC0000}"/>
    <cellStyle name="货币 2 5 8 17" xfId="48258" xr:uid="{00000000-0005-0000-0000-0000B2BC0000}"/>
    <cellStyle name="货币 2 5 8 18" xfId="48259" xr:uid="{00000000-0005-0000-0000-0000B3BC0000}"/>
    <cellStyle name="货币 2 5 8 2" xfId="48260" xr:uid="{00000000-0005-0000-0000-0000B4BC0000}"/>
    <cellStyle name="货币 2 5 8 2 10" xfId="34377" xr:uid="{00000000-0005-0000-0000-000079860000}"/>
    <cellStyle name="货币 2 5 8 2 2" xfId="48261" xr:uid="{00000000-0005-0000-0000-0000B5BC0000}"/>
    <cellStyle name="货币 2 5 8 2 2 2" xfId="39551" xr:uid="{00000000-0005-0000-0000-0000AF9A0000}"/>
    <cellStyle name="货币 2 5 8 2 3" xfId="48262" xr:uid="{00000000-0005-0000-0000-0000B6BC0000}"/>
    <cellStyle name="货币 2 5 8 2 4" xfId="46815" xr:uid="{00000000-0005-0000-0000-00000FB70000}"/>
    <cellStyle name="货币 2 5 8 2 5" xfId="46817" xr:uid="{00000000-0005-0000-0000-000011B70000}"/>
    <cellStyle name="货币 2 5 8 2 6" xfId="46819" xr:uid="{00000000-0005-0000-0000-000013B70000}"/>
    <cellStyle name="货币 2 5 8 2 7" xfId="46821" xr:uid="{00000000-0005-0000-0000-000015B70000}"/>
    <cellStyle name="货币 2 5 8 2 8" xfId="46823" xr:uid="{00000000-0005-0000-0000-000017B70000}"/>
    <cellStyle name="货币 2 5 8 2 9" xfId="48263" xr:uid="{00000000-0005-0000-0000-0000B7BC0000}"/>
    <cellStyle name="货币 2 5 8 3" xfId="48264" xr:uid="{00000000-0005-0000-0000-0000B8BC0000}"/>
    <cellStyle name="货币 2 5 8 3 2" xfId="48265" xr:uid="{00000000-0005-0000-0000-0000B9BC0000}"/>
    <cellStyle name="货币 2 5 8 3 3" xfId="48266" xr:uid="{00000000-0005-0000-0000-0000BABC0000}"/>
    <cellStyle name="货币 2 5 8 3 4" xfId="46825" xr:uid="{00000000-0005-0000-0000-000019B70000}"/>
    <cellStyle name="货币 2 5 8 3 5" xfId="48267" xr:uid="{00000000-0005-0000-0000-0000BBBC0000}"/>
    <cellStyle name="货币 2 5 8 3 6" xfId="48268" xr:uid="{00000000-0005-0000-0000-0000BCBC0000}"/>
    <cellStyle name="货币 2 5 8 4" xfId="48269" xr:uid="{00000000-0005-0000-0000-0000BDBC0000}"/>
    <cellStyle name="货币 2 5 8 4 2" xfId="48270" xr:uid="{00000000-0005-0000-0000-0000BEBC0000}"/>
    <cellStyle name="货币 2 5 8 4 3" xfId="48271" xr:uid="{00000000-0005-0000-0000-0000BFBC0000}"/>
    <cellStyle name="货币 2 5 8 4 4" xfId="48272" xr:uid="{00000000-0005-0000-0000-0000C0BC0000}"/>
    <cellStyle name="货币 2 5 8 4 5" xfId="48273" xr:uid="{00000000-0005-0000-0000-0000C1BC0000}"/>
    <cellStyle name="货币 2 5 8 4 6" xfId="48274" xr:uid="{00000000-0005-0000-0000-0000C2BC0000}"/>
    <cellStyle name="货币 2 5 8 5" xfId="48275" xr:uid="{00000000-0005-0000-0000-0000C3BC0000}"/>
    <cellStyle name="货币 2 5 8 5 2" xfId="48276" xr:uid="{00000000-0005-0000-0000-0000C4BC0000}"/>
    <cellStyle name="货币 2 5 8 5 3" xfId="48277" xr:uid="{00000000-0005-0000-0000-0000C5BC0000}"/>
    <cellStyle name="货币 2 5 8 5 4" xfId="48278" xr:uid="{00000000-0005-0000-0000-0000C6BC0000}"/>
    <cellStyle name="货币 2 5 8 5 5" xfId="6863" xr:uid="{00000000-0005-0000-0000-0000FF1A0000}"/>
    <cellStyle name="货币 2 5 8 5 6" xfId="23219" xr:uid="{00000000-0005-0000-0000-0000E35A0000}"/>
    <cellStyle name="货币 2 5 8 6" xfId="48279" xr:uid="{00000000-0005-0000-0000-0000C7BC0000}"/>
    <cellStyle name="货币 2 5 8 6 2" xfId="48280" xr:uid="{00000000-0005-0000-0000-0000C8BC0000}"/>
    <cellStyle name="货币 2 5 8 6 3" xfId="48281" xr:uid="{00000000-0005-0000-0000-0000C9BC0000}"/>
    <cellStyle name="货币 2 5 8 6 4" xfId="48282" xr:uid="{00000000-0005-0000-0000-0000CABC0000}"/>
    <cellStyle name="货币 2 5 8 6 5" xfId="6038" xr:uid="{00000000-0005-0000-0000-0000C6170000}"/>
    <cellStyle name="货币 2 5 8 6 6" xfId="6044" xr:uid="{00000000-0005-0000-0000-0000CC170000}"/>
    <cellStyle name="货币 2 5 8 7" xfId="48283" xr:uid="{00000000-0005-0000-0000-0000CBBC0000}"/>
    <cellStyle name="货币 2 5 8 8" xfId="48284" xr:uid="{00000000-0005-0000-0000-0000CCBC0000}"/>
    <cellStyle name="货币 2 5 8 9" xfId="48285" xr:uid="{00000000-0005-0000-0000-0000CDBC0000}"/>
    <cellStyle name="货币 2 5 9" xfId="47357" xr:uid="{00000000-0005-0000-0000-00002DB90000}"/>
    <cellStyle name="货币 2 5 9 10" xfId="44244" xr:uid="{00000000-0005-0000-0000-000004AD0000}"/>
    <cellStyle name="货币 2 5 9 11" xfId="44246" xr:uid="{00000000-0005-0000-0000-000006AD0000}"/>
    <cellStyle name="货币 2 5 9 12" xfId="44248" xr:uid="{00000000-0005-0000-0000-000008AD0000}"/>
    <cellStyle name="货币 2 5 9 13" xfId="44250" xr:uid="{00000000-0005-0000-0000-00000AAD0000}"/>
    <cellStyle name="货币 2 5 9 14" xfId="48286" xr:uid="{00000000-0005-0000-0000-0000CEBC0000}"/>
    <cellStyle name="货币 2 5 9 15" xfId="48287" xr:uid="{00000000-0005-0000-0000-0000CFBC0000}"/>
    <cellStyle name="货币 2 5 9 16" xfId="48288" xr:uid="{00000000-0005-0000-0000-0000D0BC0000}"/>
    <cellStyle name="货币 2 5 9 17" xfId="48289" xr:uid="{00000000-0005-0000-0000-0000D1BC0000}"/>
    <cellStyle name="货币 2 5 9 18" xfId="29396" xr:uid="{00000000-0005-0000-0000-000004730000}"/>
    <cellStyle name="货币 2 5 9 2" xfId="44277" xr:uid="{00000000-0005-0000-0000-000025AD0000}"/>
    <cellStyle name="货币 2 5 9 2 10" xfId="13706" xr:uid="{00000000-0005-0000-0000-0000BA350000}"/>
    <cellStyle name="货币 2 5 9 2 2" xfId="44279" xr:uid="{00000000-0005-0000-0000-000027AD0000}"/>
    <cellStyle name="货币 2 5 9 2 2 2" xfId="44281" xr:uid="{00000000-0005-0000-0000-000029AD0000}"/>
    <cellStyle name="货币 2 5 9 2 3" xfId="44286" xr:uid="{00000000-0005-0000-0000-00002EAD0000}"/>
    <cellStyle name="货币 2 5 9 2 4" xfId="44288" xr:uid="{00000000-0005-0000-0000-000030AD0000}"/>
    <cellStyle name="货币 2 5 9 2 5" xfId="16599" xr:uid="{00000000-0005-0000-0000-000007410000}"/>
    <cellStyle name="货币 2 5 9 2 6" xfId="16608" xr:uid="{00000000-0005-0000-0000-000010410000}"/>
    <cellStyle name="货币 2 5 9 2 7" xfId="44291" xr:uid="{00000000-0005-0000-0000-000033AD0000}"/>
    <cellStyle name="货币 2 5 9 2 8" xfId="44294" xr:uid="{00000000-0005-0000-0000-000036AD0000}"/>
    <cellStyle name="货币 2 5 9 2 9" xfId="44297" xr:uid="{00000000-0005-0000-0000-000039AD0000}"/>
    <cellStyle name="货币 2 5 9 3" xfId="44299" xr:uid="{00000000-0005-0000-0000-00003BAD0000}"/>
    <cellStyle name="货币 2 5 9 3 2" xfId="44301" xr:uid="{00000000-0005-0000-0000-00003DAD0000}"/>
    <cellStyle name="货币 2 5 9 3 3" xfId="44307" xr:uid="{00000000-0005-0000-0000-000043AD0000}"/>
    <cellStyle name="货币 2 5 9 3 4" xfId="5805" xr:uid="{00000000-0005-0000-0000-0000DD160000}"/>
    <cellStyle name="货币 2 5 9 3 5" xfId="34103" xr:uid="{00000000-0005-0000-0000-000067850000}"/>
    <cellStyle name="货币 2 5 9 3 6" xfId="34106" xr:uid="{00000000-0005-0000-0000-00006A850000}"/>
    <cellStyle name="货币 2 5 9 4" xfId="44309" xr:uid="{00000000-0005-0000-0000-000045AD0000}"/>
    <cellStyle name="货币 2 5 9 4 2" xfId="44314" xr:uid="{00000000-0005-0000-0000-00004AAD0000}"/>
    <cellStyle name="货币 2 5 9 4 3" xfId="44321" xr:uid="{00000000-0005-0000-0000-000051AD0000}"/>
    <cellStyle name="货币 2 5 9 4 4" xfId="11890" xr:uid="{00000000-0005-0000-0000-0000A22E0000}"/>
    <cellStyle name="货币 2 5 9 4 5" xfId="34120" xr:uid="{00000000-0005-0000-0000-000078850000}"/>
    <cellStyle name="货币 2 5 9 4 6" xfId="34123" xr:uid="{00000000-0005-0000-0000-00007B850000}"/>
    <cellStyle name="货币 2 5 9 5" xfId="44326" xr:uid="{00000000-0005-0000-0000-000056AD0000}"/>
    <cellStyle name="货币 2 5 9 5 2" xfId="44328" xr:uid="{00000000-0005-0000-0000-000058AD0000}"/>
    <cellStyle name="货币 2 5 9 5 3" xfId="44331" xr:uid="{00000000-0005-0000-0000-00005BAD0000}"/>
    <cellStyle name="货币 2 5 9 5 4" xfId="16682" xr:uid="{00000000-0005-0000-0000-00005A410000}"/>
    <cellStyle name="货币 2 5 9 5 5" xfId="16688" xr:uid="{00000000-0005-0000-0000-000060410000}"/>
    <cellStyle name="货币 2 5 9 5 6" xfId="24484" xr:uid="{00000000-0005-0000-0000-0000D45F0000}"/>
    <cellStyle name="货币 2 5 9 6" xfId="44333" xr:uid="{00000000-0005-0000-0000-00005DAD0000}"/>
    <cellStyle name="货币 2 5 9 6 2" xfId="44335" xr:uid="{00000000-0005-0000-0000-00005FAD0000}"/>
    <cellStyle name="货币 2 5 9 6 3" xfId="48290" xr:uid="{00000000-0005-0000-0000-0000D2BC0000}"/>
    <cellStyle name="货币 2 5 9 6 4" xfId="48291" xr:uid="{00000000-0005-0000-0000-0000D3BC0000}"/>
    <cellStyle name="货币 2 5 9 6 5" xfId="24496" xr:uid="{00000000-0005-0000-0000-0000E05F0000}"/>
    <cellStyle name="货币 2 5 9 6 6" xfId="24498" xr:uid="{00000000-0005-0000-0000-0000E25F0000}"/>
    <cellStyle name="货币 2 5 9 7" xfId="44337" xr:uid="{00000000-0005-0000-0000-000061AD0000}"/>
    <cellStyle name="货币 2 5 9 8" xfId="44339" xr:uid="{00000000-0005-0000-0000-000063AD0000}"/>
    <cellStyle name="货币 2 5 9 9" xfId="48292" xr:uid="{00000000-0005-0000-0000-0000D4BC0000}"/>
    <cellStyle name="货币 2 6" xfId="22117" xr:uid="{00000000-0005-0000-0000-000095560000}"/>
    <cellStyle name="货币 2 6 10" xfId="44254" xr:uid="{00000000-0005-0000-0000-00000EAD0000}"/>
    <cellStyle name="货币 2 6 10 2" xfId="9465" xr:uid="{00000000-0005-0000-0000-000029250000}"/>
    <cellStyle name="货币 2 6 10 2 2" xfId="17841" xr:uid="{00000000-0005-0000-0000-0000E1450000}"/>
    <cellStyle name="货币 2 6 10 3" xfId="9475" xr:uid="{00000000-0005-0000-0000-000033250000}"/>
    <cellStyle name="货币 2 6 10 4" xfId="9483" xr:uid="{00000000-0005-0000-0000-00003B250000}"/>
    <cellStyle name="货币 2 6 10 5" xfId="9490" xr:uid="{00000000-0005-0000-0000-000042250000}"/>
    <cellStyle name="货币 2 6 10 6" xfId="10848" xr:uid="{00000000-0005-0000-0000-0000902A0000}"/>
    <cellStyle name="货币 2 6 10 7" xfId="10855" xr:uid="{00000000-0005-0000-0000-0000972A0000}"/>
    <cellStyle name="货币 2 6 10 8" xfId="26986" xr:uid="{00000000-0005-0000-0000-00009A690000}"/>
    <cellStyle name="货币 2 6 10 9" xfId="26989" xr:uid="{00000000-0005-0000-0000-00009D690000}"/>
    <cellStyle name="货币 2 6 11" xfId="44256" xr:uid="{00000000-0005-0000-0000-000010AD0000}"/>
    <cellStyle name="货币 2 6 11 2" xfId="748" xr:uid="{00000000-0005-0000-0000-00001C030000}"/>
    <cellStyle name="货币 2 6 11 2 2" xfId="25915" xr:uid="{00000000-0005-0000-0000-00006B650000}"/>
    <cellStyle name="货币 2 6 11 3" xfId="13981" xr:uid="{00000000-0005-0000-0000-0000CD360000}"/>
    <cellStyle name="货币 2 6 11 4" xfId="13986" xr:uid="{00000000-0005-0000-0000-0000D2360000}"/>
    <cellStyle name="货币 2 6 11 5" xfId="36147" xr:uid="{00000000-0005-0000-0000-0000638D0000}"/>
    <cellStyle name="货币 2 6 11 6" xfId="36159" xr:uid="{00000000-0005-0000-0000-00006F8D0000}"/>
    <cellStyle name="货币 2 6 11 7" xfId="36161" xr:uid="{00000000-0005-0000-0000-0000718D0000}"/>
    <cellStyle name="货币 2 6 11 8" xfId="36163" xr:uid="{00000000-0005-0000-0000-0000738D0000}"/>
    <cellStyle name="货币 2 6 11 9" xfId="36165" xr:uid="{00000000-0005-0000-0000-0000758D0000}"/>
    <cellStyle name="货币 2 6 12" xfId="44258" xr:uid="{00000000-0005-0000-0000-000012AD0000}"/>
    <cellStyle name="货币 2 6 12 2" xfId="9532" xr:uid="{00000000-0005-0000-0000-00006C250000}"/>
    <cellStyle name="货币 2 6 12 3" xfId="13995" xr:uid="{00000000-0005-0000-0000-0000DB360000}"/>
    <cellStyle name="货币 2 6 12 4" xfId="13997" xr:uid="{00000000-0005-0000-0000-0000DD360000}"/>
    <cellStyle name="货币 2 6 12 5" xfId="28752" xr:uid="{00000000-0005-0000-0000-000080700000}"/>
    <cellStyle name="货币 2 6 12 6" xfId="28878" xr:uid="{00000000-0005-0000-0000-0000FE700000}"/>
    <cellStyle name="货币 2 6 13" xfId="44260" xr:uid="{00000000-0005-0000-0000-000014AD0000}"/>
    <cellStyle name="货币 2 6 13 2" xfId="9555" xr:uid="{00000000-0005-0000-0000-000083250000}"/>
    <cellStyle name="货币 2 6 13 3" xfId="14004" xr:uid="{00000000-0005-0000-0000-0000E4360000}"/>
    <cellStyle name="货币 2 6 13 4" xfId="6104" xr:uid="{00000000-0005-0000-0000-000008180000}"/>
    <cellStyle name="货币 2 6 13 5" xfId="9174" xr:uid="{00000000-0005-0000-0000-000006240000}"/>
    <cellStyle name="货币 2 6 13 6" xfId="9181" xr:uid="{00000000-0005-0000-0000-00000D240000}"/>
    <cellStyle name="货币 2 6 14" xfId="48293" xr:uid="{00000000-0005-0000-0000-0000D5BC0000}"/>
    <cellStyle name="货币 2 6 14 2" xfId="9578" xr:uid="{00000000-0005-0000-0000-00009A250000}"/>
    <cellStyle name="货币 2 6 14 3" xfId="14011" xr:uid="{00000000-0005-0000-0000-0000EB360000}"/>
    <cellStyle name="货币 2 6 14 4" xfId="6131" xr:uid="{00000000-0005-0000-0000-000023180000}"/>
    <cellStyle name="货币 2 6 14 5" xfId="27230" xr:uid="{00000000-0005-0000-0000-00008E6A0000}"/>
    <cellStyle name="货币 2 6 14 6" xfId="26523" xr:uid="{00000000-0005-0000-0000-0000CB670000}"/>
    <cellStyle name="货币 2 6 15" xfId="47361" xr:uid="{00000000-0005-0000-0000-000031B90000}"/>
    <cellStyle name="货币 2 6 16" xfId="47364" xr:uid="{00000000-0005-0000-0000-000034B90000}"/>
    <cellStyle name="货币 2 6 17" xfId="47367" xr:uid="{00000000-0005-0000-0000-000037B90000}"/>
    <cellStyle name="货币 2 6 18" xfId="48295" xr:uid="{00000000-0005-0000-0000-0000D7BC0000}"/>
    <cellStyle name="货币 2 6 19" xfId="48297" xr:uid="{00000000-0005-0000-0000-0000D9BC0000}"/>
    <cellStyle name="货币 2 6 2" xfId="39910" xr:uid="{00000000-0005-0000-0000-0000169C0000}"/>
    <cellStyle name="货币 2 6 2 10" xfId="39085" xr:uid="{00000000-0005-0000-0000-0000DD980000}"/>
    <cellStyle name="货币 2 6 2 10 2" xfId="48298" xr:uid="{00000000-0005-0000-0000-0000DABC0000}"/>
    <cellStyle name="货币 2 6 2 10 3" xfId="46447" xr:uid="{00000000-0005-0000-0000-00009FB50000}"/>
    <cellStyle name="货币 2 6 2 10 4" xfId="48299" xr:uid="{00000000-0005-0000-0000-0000DBBC0000}"/>
    <cellStyle name="货币 2 6 2 10 5" xfId="48300" xr:uid="{00000000-0005-0000-0000-0000DCBC0000}"/>
    <cellStyle name="货币 2 6 2 10 6" xfId="48301" xr:uid="{00000000-0005-0000-0000-0000DDBC0000}"/>
    <cellStyle name="货币 2 6 2 11" xfId="39087" xr:uid="{00000000-0005-0000-0000-0000DF980000}"/>
    <cellStyle name="货币 2 6 2 11 2" xfId="48302" xr:uid="{00000000-0005-0000-0000-0000DEBC0000}"/>
    <cellStyle name="货币 2 6 2 11 3" xfId="48303" xr:uid="{00000000-0005-0000-0000-0000DFBC0000}"/>
    <cellStyle name="货币 2 6 2 11 4" xfId="48304" xr:uid="{00000000-0005-0000-0000-0000E0BC0000}"/>
    <cellStyle name="货币 2 6 2 11 5" xfId="42909" xr:uid="{00000000-0005-0000-0000-0000CDA70000}"/>
    <cellStyle name="货币 2 6 2 11 6" xfId="42911" xr:uid="{00000000-0005-0000-0000-0000CFA70000}"/>
    <cellStyle name="货币 2 6 2 12" xfId="39089" xr:uid="{00000000-0005-0000-0000-0000E1980000}"/>
    <cellStyle name="货币 2 6 2 13" xfId="39091" xr:uid="{00000000-0005-0000-0000-0000E3980000}"/>
    <cellStyle name="货币 2 6 2 14" xfId="39093" xr:uid="{00000000-0005-0000-0000-0000E5980000}"/>
    <cellStyle name="货币 2 6 2 15" xfId="48306" xr:uid="{00000000-0005-0000-0000-0000E2BC0000}"/>
    <cellStyle name="货币 2 6 2 16" xfId="48308" xr:uid="{00000000-0005-0000-0000-0000E4BC0000}"/>
    <cellStyle name="货币 2 6 2 17" xfId="48310" xr:uid="{00000000-0005-0000-0000-0000E6BC0000}"/>
    <cellStyle name="货币 2 6 2 18" xfId="48312" xr:uid="{00000000-0005-0000-0000-0000E8BC0000}"/>
    <cellStyle name="货币 2 6 2 19" xfId="48313" xr:uid="{00000000-0005-0000-0000-0000E9BC0000}"/>
    <cellStyle name="货币 2 6 2 2" xfId="48314" xr:uid="{00000000-0005-0000-0000-0000EABC0000}"/>
    <cellStyle name="货币 2 6 2 2 10" xfId="48315" xr:uid="{00000000-0005-0000-0000-0000EBBC0000}"/>
    <cellStyle name="货币 2 6 2 2 11" xfId="48316" xr:uid="{00000000-0005-0000-0000-0000ECBC0000}"/>
    <cellStyle name="货币 2 6 2 2 12" xfId="48317" xr:uid="{00000000-0005-0000-0000-0000EDBC0000}"/>
    <cellStyle name="货币 2 6 2 2 13" xfId="48318" xr:uid="{00000000-0005-0000-0000-0000EEBC0000}"/>
    <cellStyle name="货币 2 6 2 2 14" xfId="5530" xr:uid="{00000000-0005-0000-0000-0000CA150000}"/>
    <cellStyle name="货币 2 6 2 2 15" xfId="48319" xr:uid="{00000000-0005-0000-0000-0000EFBC0000}"/>
    <cellStyle name="货币 2 6 2 2 16" xfId="48320" xr:uid="{00000000-0005-0000-0000-0000F0BC0000}"/>
    <cellStyle name="货币 2 6 2 2 17" xfId="48321" xr:uid="{00000000-0005-0000-0000-0000F1BC0000}"/>
    <cellStyle name="货币 2 6 2 2 18" xfId="48322" xr:uid="{00000000-0005-0000-0000-0000F2BC0000}"/>
    <cellStyle name="货币 2 6 2 2 2" xfId="37103" xr:uid="{00000000-0005-0000-0000-00001F910000}"/>
    <cellStyle name="货币 2 6 2 2 2 10" xfId="48323" xr:uid="{00000000-0005-0000-0000-0000F3BC0000}"/>
    <cellStyle name="货币 2 6 2 2 2 11" xfId="48324" xr:uid="{00000000-0005-0000-0000-0000F4BC0000}"/>
    <cellStyle name="货币 2 6 2 2 2 12" xfId="46248" xr:uid="{00000000-0005-0000-0000-0000D8B40000}"/>
    <cellStyle name="货币 2 6 2 2 2 2" xfId="46239" xr:uid="{00000000-0005-0000-0000-0000CFB40000}"/>
    <cellStyle name="货币 2 6 2 2 2 2 2" xfId="48325" xr:uid="{00000000-0005-0000-0000-0000F5BC0000}"/>
    <cellStyle name="货币 2 6 2 2 2 2 2 2" xfId="48326" xr:uid="{00000000-0005-0000-0000-0000F6BC0000}"/>
    <cellStyle name="货币 2 6 2 2 2 2 3" xfId="48327" xr:uid="{00000000-0005-0000-0000-0000F7BC0000}"/>
    <cellStyle name="货币 2 6 2 2 2 2 4" xfId="48328" xr:uid="{00000000-0005-0000-0000-0000F8BC0000}"/>
    <cellStyle name="货币 2 6 2 2 2 2 5" xfId="48329" xr:uid="{00000000-0005-0000-0000-0000F9BC0000}"/>
    <cellStyle name="货币 2 6 2 2 2 3" xfId="40474" xr:uid="{00000000-0005-0000-0000-00004A9E0000}"/>
    <cellStyle name="货币 2 6 2 2 2 3 2" xfId="48330" xr:uid="{00000000-0005-0000-0000-0000FABC0000}"/>
    <cellStyle name="货币 2 6 2 2 2 4" xfId="40477" xr:uid="{00000000-0005-0000-0000-00004D9E0000}"/>
    <cellStyle name="货币 2 6 2 2 2 5" xfId="40480" xr:uid="{00000000-0005-0000-0000-0000509E0000}"/>
    <cellStyle name="货币 2 6 2 2 2 6" xfId="40482" xr:uid="{00000000-0005-0000-0000-0000529E0000}"/>
    <cellStyle name="货币 2 6 2 2 2 7" xfId="40484" xr:uid="{00000000-0005-0000-0000-0000549E0000}"/>
    <cellStyle name="货币 2 6 2 2 2 8" xfId="48331" xr:uid="{00000000-0005-0000-0000-0000FBBC0000}"/>
    <cellStyle name="货币 2 6 2 2 2 9" xfId="44911" xr:uid="{00000000-0005-0000-0000-00009FAF0000}"/>
    <cellStyle name="货币 2 6 2 2 3" xfId="37105" xr:uid="{00000000-0005-0000-0000-000021910000}"/>
    <cellStyle name="货币 2 6 2 2 3 10" xfId="42130" xr:uid="{00000000-0005-0000-0000-0000C2A40000}"/>
    <cellStyle name="货币 2 6 2 2 3 11" xfId="48332" xr:uid="{00000000-0005-0000-0000-0000FCBC0000}"/>
    <cellStyle name="货币 2 6 2 2 3 12" xfId="48333" xr:uid="{00000000-0005-0000-0000-0000FDBC0000}"/>
    <cellStyle name="货币 2 6 2 2 3 2" xfId="17524" xr:uid="{00000000-0005-0000-0000-0000A4440000}"/>
    <cellStyle name="货币 2 6 2 2 3 2 2" xfId="48334" xr:uid="{00000000-0005-0000-0000-0000FEBC0000}"/>
    <cellStyle name="货币 2 6 2 2 3 2 2 2" xfId="37969" xr:uid="{00000000-0005-0000-0000-000081940000}"/>
    <cellStyle name="货币 2 6 2 2 3 2 3" xfId="48335" xr:uid="{00000000-0005-0000-0000-0000FFBC0000}"/>
    <cellStyle name="货币 2 6 2 2 3 2 4" xfId="48336" xr:uid="{00000000-0005-0000-0000-000000BD0000}"/>
    <cellStyle name="货币 2 6 2 2 3 2 5" xfId="48337" xr:uid="{00000000-0005-0000-0000-000001BD0000}"/>
    <cellStyle name="货币 2 6 2 2 3 3" xfId="17529" xr:uid="{00000000-0005-0000-0000-0000A9440000}"/>
    <cellStyle name="货币 2 6 2 2 3 3 2" xfId="48338" xr:uid="{00000000-0005-0000-0000-000002BD0000}"/>
    <cellStyle name="货币 2 6 2 2 3 4" xfId="18788" xr:uid="{00000000-0005-0000-0000-000094490000}"/>
    <cellStyle name="货币 2 6 2 2 3 5" xfId="18791" xr:uid="{00000000-0005-0000-0000-000097490000}"/>
    <cellStyle name="货币 2 6 2 2 3 6" xfId="12943" xr:uid="{00000000-0005-0000-0000-0000BF320000}"/>
    <cellStyle name="货币 2 6 2 2 3 7" xfId="40487" xr:uid="{00000000-0005-0000-0000-0000579E0000}"/>
    <cellStyle name="货币 2 6 2 2 3 8" xfId="47895" xr:uid="{00000000-0005-0000-0000-000047BB0000}"/>
    <cellStyle name="货币 2 6 2 2 3 9" xfId="48339" xr:uid="{00000000-0005-0000-0000-000003BD0000}"/>
    <cellStyle name="货币 2 6 2 2 4" xfId="48340" xr:uid="{00000000-0005-0000-0000-000004BD0000}"/>
    <cellStyle name="货币 2 6 2 2 4 10" xfId="38845" xr:uid="{00000000-0005-0000-0000-0000ED970000}"/>
    <cellStyle name="货币 2 6 2 2 4 2" xfId="48341" xr:uid="{00000000-0005-0000-0000-000005BD0000}"/>
    <cellStyle name="货币 2 6 2 2 4 2 2" xfId="47114" xr:uid="{00000000-0005-0000-0000-00003AB80000}"/>
    <cellStyle name="货币 2 6 2 2 4 2 2 2" xfId="47116" xr:uid="{00000000-0005-0000-0000-00003CB80000}"/>
    <cellStyle name="货币 2 6 2 2 4 2 3" xfId="47121" xr:uid="{00000000-0005-0000-0000-000041B80000}"/>
    <cellStyle name="货币 2 6 2 2 4 2 4" xfId="48342" xr:uid="{00000000-0005-0000-0000-000006BD0000}"/>
    <cellStyle name="货币 2 6 2 2 4 2 5" xfId="48343" xr:uid="{00000000-0005-0000-0000-000007BD0000}"/>
    <cellStyle name="货币 2 6 2 2 4 3" xfId="48344" xr:uid="{00000000-0005-0000-0000-000008BD0000}"/>
    <cellStyle name="货币 2 6 2 2 4 3 2" xfId="47284" xr:uid="{00000000-0005-0000-0000-0000E4B80000}"/>
    <cellStyle name="货币 2 6 2 2 4 4" xfId="48345" xr:uid="{00000000-0005-0000-0000-000009BD0000}"/>
    <cellStyle name="货币 2 6 2 2 4 5" xfId="48346" xr:uid="{00000000-0005-0000-0000-00000ABD0000}"/>
    <cellStyle name="货币 2 6 2 2 4 6" xfId="48347" xr:uid="{00000000-0005-0000-0000-00000BBD0000}"/>
    <cellStyle name="货币 2 6 2 2 4 7" xfId="48348" xr:uid="{00000000-0005-0000-0000-00000CBD0000}"/>
    <cellStyle name="货币 2 6 2 2 4 8" xfId="48349" xr:uid="{00000000-0005-0000-0000-00000DBD0000}"/>
    <cellStyle name="货币 2 6 2 2 4 9" xfId="48350" xr:uid="{00000000-0005-0000-0000-00000EBD0000}"/>
    <cellStyle name="货币 2 6 2 2 5" xfId="48351" xr:uid="{00000000-0005-0000-0000-00000FBD0000}"/>
    <cellStyle name="货币 2 6 2 2 5 10" xfId="48352" xr:uid="{00000000-0005-0000-0000-000010BD0000}"/>
    <cellStyle name="货币 2 6 2 2 5 2" xfId="17583" xr:uid="{00000000-0005-0000-0000-0000DF440000}"/>
    <cellStyle name="货币 2 6 2 2 5 2 2" xfId="47670" xr:uid="{00000000-0005-0000-0000-000066BA0000}"/>
    <cellStyle name="货币 2 6 2 2 5 2 2 2" xfId="21562" xr:uid="{00000000-0005-0000-0000-00006A540000}"/>
    <cellStyle name="货币 2 6 2 2 5 2 3" xfId="47672" xr:uid="{00000000-0005-0000-0000-000068BA0000}"/>
    <cellStyle name="货币 2 6 2 2 5 2 4" xfId="48353" xr:uid="{00000000-0005-0000-0000-000011BD0000}"/>
    <cellStyle name="货币 2 6 2 2 5 2 5" xfId="48354" xr:uid="{00000000-0005-0000-0000-000012BD0000}"/>
    <cellStyle name="货币 2 6 2 2 5 3" xfId="48355" xr:uid="{00000000-0005-0000-0000-000013BD0000}"/>
    <cellStyle name="货币 2 6 2 2 5 3 2" xfId="47691" xr:uid="{00000000-0005-0000-0000-00007BBA0000}"/>
    <cellStyle name="货币 2 6 2 2 5 4" xfId="48356" xr:uid="{00000000-0005-0000-0000-000014BD0000}"/>
    <cellStyle name="货币 2 6 2 2 5 5" xfId="48357" xr:uid="{00000000-0005-0000-0000-000015BD0000}"/>
    <cellStyle name="货币 2 6 2 2 5 6" xfId="34997" xr:uid="{00000000-0005-0000-0000-0000E5880000}"/>
    <cellStyle name="货币 2 6 2 2 5 7" xfId="34999" xr:uid="{00000000-0005-0000-0000-0000E7880000}"/>
    <cellStyle name="货币 2 6 2 2 5 8" xfId="299" xr:uid="{00000000-0005-0000-0000-00003F010000}"/>
    <cellStyle name="货币 2 6 2 2 5 9" xfId="48358" xr:uid="{00000000-0005-0000-0000-000016BD0000}"/>
    <cellStyle name="货币 2 6 2 2 6" xfId="48359" xr:uid="{00000000-0005-0000-0000-000017BD0000}"/>
    <cellStyle name="货币 2 6 2 2 6 2" xfId="48360" xr:uid="{00000000-0005-0000-0000-000018BD0000}"/>
    <cellStyle name="货币 2 6 2 2 6 2 2" xfId="47845" xr:uid="{00000000-0005-0000-0000-000015BB0000}"/>
    <cellStyle name="货币 2 6 2 2 6 3" xfId="48361" xr:uid="{00000000-0005-0000-0000-000019BD0000}"/>
    <cellStyle name="货币 2 6 2 2 6 4" xfId="48362" xr:uid="{00000000-0005-0000-0000-00001ABD0000}"/>
    <cellStyle name="货币 2 6 2 2 6 5" xfId="48363" xr:uid="{00000000-0005-0000-0000-00001BBD0000}"/>
    <cellStyle name="货币 2 6 2 2 6 6" xfId="48364" xr:uid="{00000000-0005-0000-0000-00001CBD0000}"/>
    <cellStyle name="货币 2 6 2 2 6 7" xfId="48365" xr:uid="{00000000-0005-0000-0000-00001DBD0000}"/>
    <cellStyle name="货币 2 6 2 2 6 8" xfId="48366" xr:uid="{00000000-0005-0000-0000-00001EBD0000}"/>
    <cellStyle name="货币 2 6 2 2 6 9" xfId="48367" xr:uid="{00000000-0005-0000-0000-00001FBD0000}"/>
    <cellStyle name="货币 2 6 2 2 7" xfId="48368" xr:uid="{00000000-0005-0000-0000-000020BD0000}"/>
    <cellStyle name="货币 2 6 2 2 7 2" xfId="48369" xr:uid="{00000000-0005-0000-0000-000021BD0000}"/>
    <cellStyle name="货币 2 6 2 2 8" xfId="48370" xr:uid="{00000000-0005-0000-0000-000022BD0000}"/>
    <cellStyle name="货币 2 6 2 2 9" xfId="48371" xr:uid="{00000000-0005-0000-0000-000023BD0000}"/>
    <cellStyle name="货币 2 6 2 20" xfId="48305" xr:uid="{00000000-0005-0000-0000-0000E1BC0000}"/>
    <cellStyle name="货币 2 6 2 21" xfId="48307" xr:uid="{00000000-0005-0000-0000-0000E3BC0000}"/>
    <cellStyle name="货币 2 6 2 22" xfId="48309" xr:uid="{00000000-0005-0000-0000-0000E5BC0000}"/>
    <cellStyle name="货币 2 6 2 23" xfId="48311" xr:uid="{00000000-0005-0000-0000-0000E7BC0000}"/>
    <cellStyle name="货币 2 6 2 3" xfId="48372" xr:uid="{00000000-0005-0000-0000-000024BD0000}"/>
    <cellStyle name="货币 2 6 2 3 10" xfId="48373" xr:uid="{00000000-0005-0000-0000-000025BD0000}"/>
    <cellStyle name="货币 2 6 2 3 11" xfId="48374" xr:uid="{00000000-0005-0000-0000-000026BD0000}"/>
    <cellStyle name="货币 2 6 2 3 12" xfId="48375" xr:uid="{00000000-0005-0000-0000-000027BD0000}"/>
    <cellStyle name="货币 2 6 2 3 13" xfId="48066" xr:uid="{00000000-0005-0000-0000-0000F2BB0000}"/>
    <cellStyle name="货币 2 6 2 3 14" xfId="5560" xr:uid="{00000000-0005-0000-0000-0000E8150000}"/>
    <cellStyle name="货币 2 6 2 3 15" xfId="48068" xr:uid="{00000000-0005-0000-0000-0000F4BB0000}"/>
    <cellStyle name="货币 2 6 2 3 16" xfId="33947" xr:uid="{00000000-0005-0000-0000-0000CB840000}"/>
    <cellStyle name="货币 2 6 2 3 17" xfId="48070" xr:uid="{00000000-0005-0000-0000-0000F6BB0000}"/>
    <cellStyle name="货币 2 6 2 3 18" xfId="42427" xr:uid="{00000000-0005-0000-0000-0000EBA50000}"/>
    <cellStyle name="货币 2 6 2 3 2" xfId="48376" xr:uid="{00000000-0005-0000-0000-000028BD0000}"/>
    <cellStyle name="货币 2 6 2 3 2 10" xfId="48378" xr:uid="{00000000-0005-0000-0000-00002ABD0000}"/>
    <cellStyle name="货币 2 6 2 3 2 2" xfId="48379" xr:uid="{00000000-0005-0000-0000-00002BBD0000}"/>
    <cellStyle name="货币 2 6 2 3 2 2 2" xfId="48380" xr:uid="{00000000-0005-0000-0000-00002CBD0000}"/>
    <cellStyle name="货币 2 6 2 3 2 3" xfId="48381" xr:uid="{00000000-0005-0000-0000-00002DBD0000}"/>
    <cellStyle name="货币 2 6 2 3 2 4" xfId="48382" xr:uid="{00000000-0005-0000-0000-00002EBD0000}"/>
    <cellStyle name="货币 2 6 2 3 2 5" xfId="48383" xr:uid="{00000000-0005-0000-0000-00002FBD0000}"/>
    <cellStyle name="货币 2 6 2 3 2 6" xfId="48384" xr:uid="{00000000-0005-0000-0000-000030BD0000}"/>
    <cellStyle name="货币 2 6 2 3 2 7" xfId="48385" xr:uid="{00000000-0005-0000-0000-000031BD0000}"/>
    <cellStyle name="货币 2 6 2 3 2 8" xfId="48386" xr:uid="{00000000-0005-0000-0000-000032BD0000}"/>
    <cellStyle name="货币 2 6 2 3 2 9" xfId="48387" xr:uid="{00000000-0005-0000-0000-000033BD0000}"/>
    <cellStyle name="货币 2 6 2 3 3" xfId="48388" xr:uid="{00000000-0005-0000-0000-000034BD0000}"/>
    <cellStyle name="货币 2 6 2 3 3 2" xfId="48389" xr:uid="{00000000-0005-0000-0000-000035BD0000}"/>
    <cellStyle name="货币 2 6 2 3 3 3" xfId="48390" xr:uid="{00000000-0005-0000-0000-000036BD0000}"/>
    <cellStyle name="货币 2 6 2 3 3 4" xfId="48391" xr:uid="{00000000-0005-0000-0000-000037BD0000}"/>
    <cellStyle name="货币 2 6 2 3 3 5" xfId="48392" xr:uid="{00000000-0005-0000-0000-000038BD0000}"/>
    <cellStyle name="货币 2 6 2 3 3 6" xfId="35767" xr:uid="{00000000-0005-0000-0000-0000E78B0000}"/>
    <cellStyle name="货币 2 6 2 3 4" xfId="48393" xr:uid="{00000000-0005-0000-0000-000039BD0000}"/>
    <cellStyle name="货币 2 6 2 3 4 2" xfId="48394" xr:uid="{00000000-0005-0000-0000-00003ABD0000}"/>
    <cellStyle name="货币 2 6 2 3 4 3" xfId="48395" xr:uid="{00000000-0005-0000-0000-00003BBD0000}"/>
    <cellStyle name="货币 2 6 2 3 4 4" xfId="48396" xr:uid="{00000000-0005-0000-0000-00003CBD0000}"/>
    <cellStyle name="货币 2 6 2 3 4 5" xfId="48397" xr:uid="{00000000-0005-0000-0000-00003DBD0000}"/>
    <cellStyle name="货币 2 6 2 3 4 6" xfId="48398" xr:uid="{00000000-0005-0000-0000-00003EBD0000}"/>
    <cellStyle name="货币 2 6 2 3 5" xfId="48399" xr:uid="{00000000-0005-0000-0000-00003FBD0000}"/>
    <cellStyle name="货币 2 6 2 3 5 2" xfId="38235" xr:uid="{00000000-0005-0000-0000-00008B950000}"/>
    <cellStyle name="货币 2 6 2 3 5 3" xfId="23099" xr:uid="{00000000-0005-0000-0000-00006B5A0000}"/>
    <cellStyle name="货币 2 6 2 3 5 4" xfId="48400" xr:uid="{00000000-0005-0000-0000-000040BD0000}"/>
    <cellStyle name="货币 2 6 2 3 5 5" xfId="48401" xr:uid="{00000000-0005-0000-0000-000041BD0000}"/>
    <cellStyle name="货币 2 6 2 3 5 6" xfId="48402" xr:uid="{00000000-0005-0000-0000-000042BD0000}"/>
    <cellStyle name="货币 2 6 2 3 6" xfId="36984" xr:uid="{00000000-0005-0000-0000-0000A8900000}"/>
    <cellStyle name="货币 2 6 2 3 6 2" xfId="36986" xr:uid="{00000000-0005-0000-0000-0000AA900000}"/>
    <cellStyle name="货币 2 6 2 3 6 3" xfId="48403" xr:uid="{00000000-0005-0000-0000-000043BD0000}"/>
    <cellStyle name="货币 2 6 2 3 6 4" xfId="47614" xr:uid="{00000000-0005-0000-0000-00002EBA0000}"/>
    <cellStyle name="货币 2 6 2 3 6 5" xfId="48404" xr:uid="{00000000-0005-0000-0000-000044BD0000}"/>
    <cellStyle name="货币 2 6 2 3 6 6" xfId="48405" xr:uid="{00000000-0005-0000-0000-000045BD0000}"/>
    <cellStyle name="货币 2 6 2 3 7" xfId="36988" xr:uid="{00000000-0005-0000-0000-0000AC900000}"/>
    <cellStyle name="货币 2 6 2 3 8" xfId="36990" xr:uid="{00000000-0005-0000-0000-0000AE900000}"/>
    <cellStyle name="货币 2 6 2 3 9" xfId="36992" xr:uid="{00000000-0005-0000-0000-0000B0900000}"/>
    <cellStyle name="货币 2 6 2 4" xfId="48406" xr:uid="{00000000-0005-0000-0000-000046BD0000}"/>
    <cellStyle name="货币 2 6 2 4 10" xfId="48407" xr:uid="{00000000-0005-0000-0000-000047BD0000}"/>
    <cellStyle name="货币 2 6 2 4 11" xfId="48408" xr:uid="{00000000-0005-0000-0000-000048BD0000}"/>
    <cellStyle name="货币 2 6 2 4 12" xfId="48409" xr:uid="{00000000-0005-0000-0000-000049BD0000}"/>
    <cellStyle name="货币 2 6 2 4 13" xfId="48410" xr:uid="{00000000-0005-0000-0000-00004ABD0000}"/>
    <cellStyle name="货币 2 6 2 4 14" xfId="8253" xr:uid="{00000000-0005-0000-0000-00006D200000}"/>
    <cellStyle name="货币 2 6 2 4 15" xfId="6529" xr:uid="{00000000-0005-0000-0000-0000B1190000}"/>
    <cellStyle name="货币 2 6 2 4 2" xfId="42969" xr:uid="{00000000-0005-0000-0000-000009A80000}"/>
    <cellStyle name="货币 2 6 2 4 2 2" xfId="48411" xr:uid="{00000000-0005-0000-0000-00004BBD0000}"/>
    <cellStyle name="货币 2 6 2 4 2 2 2" xfId="48412" xr:uid="{00000000-0005-0000-0000-00004CBD0000}"/>
    <cellStyle name="货币 2 6 2 4 2 3" xfId="48413" xr:uid="{00000000-0005-0000-0000-00004DBD0000}"/>
    <cellStyle name="货币 2 6 2 4 2 4" xfId="48414" xr:uid="{00000000-0005-0000-0000-00004EBD0000}"/>
    <cellStyle name="货币 2 6 2 4 2 5" xfId="48415" xr:uid="{00000000-0005-0000-0000-00004FBD0000}"/>
    <cellStyle name="货币 2 6 2 4 2 6" xfId="48416" xr:uid="{00000000-0005-0000-0000-000050BD0000}"/>
    <cellStyle name="货币 2 6 2 4 2 7" xfId="48417" xr:uid="{00000000-0005-0000-0000-000051BD0000}"/>
    <cellStyle name="货币 2 6 2 4 2 8" xfId="48418" xr:uid="{00000000-0005-0000-0000-000052BD0000}"/>
    <cellStyle name="货币 2 6 2 4 2 9" xfId="48419" xr:uid="{00000000-0005-0000-0000-000053BD0000}"/>
    <cellStyle name="货币 2 6 2 4 3" xfId="42971" xr:uid="{00000000-0005-0000-0000-00000BA80000}"/>
    <cellStyle name="货币 2 6 2 4 3 2" xfId="12080" xr:uid="{00000000-0005-0000-0000-0000602F0000}"/>
    <cellStyle name="货币 2 6 2 4 3 3" xfId="12086" xr:uid="{00000000-0005-0000-0000-0000662F0000}"/>
    <cellStyle name="货币 2 6 2 4 3 4" xfId="24647" xr:uid="{00000000-0005-0000-0000-000077600000}"/>
    <cellStyle name="货币 2 6 2 4 3 5" xfId="24649" xr:uid="{00000000-0005-0000-0000-000079600000}"/>
    <cellStyle name="货币 2 6 2 4 3 6" xfId="24651" xr:uid="{00000000-0005-0000-0000-00007B600000}"/>
    <cellStyle name="货币 2 6 2 4 4" xfId="48420" xr:uid="{00000000-0005-0000-0000-000054BD0000}"/>
    <cellStyle name="货币 2 6 2 4 4 2" xfId="48421" xr:uid="{00000000-0005-0000-0000-000055BD0000}"/>
    <cellStyle name="货币 2 6 2 4 5" xfId="48422" xr:uid="{00000000-0005-0000-0000-000056BD0000}"/>
    <cellStyle name="货币 2 6 2 4 6" xfId="36996" xr:uid="{00000000-0005-0000-0000-0000B4900000}"/>
    <cellStyle name="货币 2 6 2 4 7" xfId="48423" xr:uid="{00000000-0005-0000-0000-000057BD0000}"/>
    <cellStyle name="货币 2 6 2 4 8" xfId="48424" xr:uid="{00000000-0005-0000-0000-000058BD0000}"/>
    <cellStyle name="货币 2 6 2 4 9" xfId="48425" xr:uid="{00000000-0005-0000-0000-000059BD0000}"/>
    <cellStyle name="货币 2 6 2 5" xfId="48426" xr:uid="{00000000-0005-0000-0000-00005ABD0000}"/>
    <cellStyle name="货币 2 6 2 5 10" xfId="48427" xr:uid="{00000000-0005-0000-0000-00005BBD0000}"/>
    <cellStyle name="货币 2 6 2 5 11" xfId="48428" xr:uid="{00000000-0005-0000-0000-00005CBD0000}"/>
    <cellStyle name="货币 2 6 2 5 12" xfId="48429" xr:uid="{00000000-0005-0000-0000-00005DBD0000}"/>
    <cellStyle name="货币 2 6 2 5 13" xfId="35476" xr:uid="{00000000-0005-0000-0000-0000C48A0000}"/>
    <cellStyle name="货币 2 6 2 5 2" xfId="30452" xr:uid="{00000000-0005-0000-0000-000024770000}"/>
    <cellStyle name="货币 2 6 2 5 2 2" xfId="48430" xr:uid="{00000000-0005-0000-0000-00005EBD0000}"/>
    <cellStyle name="货币 2 6 2 5 2 2 2" xfId="48431" xr:uid="{00000000-0005-0000-0000-00005FBD0000}"/>
    <cellStyle name="货币 2 6 2 5 2 3" xfId="48432" xr:uid="{00000000-0005-0000-0000-000060BD0000}"/>
    <cellStyle name="货币 2 6 2 5 2 4" xfId="48433" xr:uid="{00000000-0005-0000-0000-000061BD0000}"/>
    <cellStyle name="货币 2 6 2 5 2 5" xfId="48434" xr:uid="{00000000-0005-0000-0000-000062BD0000}"/>
    <cellStyle name="货币 2 6 2 5 2 6" xfId="48435" xr:uid="{00000000-0005-0000-0000-000063BD0000}"/>
    <cellStyle name="货币 2 6 2 5 2 7" xfId="48436" xr:uid="{00000000-0005-0000-0000-000064BD0000}"/>
    <cellStyle name="货币 2 6 2 5 2 8" xfId="48437" xr:uid="{00000000-0005-0000-0000-000065BD0000}"/>
    <cellStyle name="货币 2 6 2 5 2 9" xfId="48438" xr:uid="{00000000-0005-0000-0000-000066BD0000}"/>
    <cellStyle name="货币 2 6 2 5 3" xfId="35184" xr:uid="{00000000-0005-0000-0000-0000A0890000}"/>
    <cellStyle name="货币 2 6 2 5 3 2" xfId="48439" xr:uid="{00000000-0005-0000-0000-000067BD0000}"/>
    <cellStyle name="货币 2 6 2 5 3 3" xfId="48440" xr:uid="{00000000-0005-0000-0000-000068BD0000}"/>
    <cellStyle name="货币 2 6 2 5 3 4" xfId="48441" xr:uid="{00000000-0005-0000-0000-000069BD0000}"/>
    <cellStyle name="货币 2 6 2 5 3 5" xfId="48442" xr:uid="{00000000-0005-0000-0000-00006ABD0000}"/>
    <cellStyle name="货币 2 6 2 5 3 6" xfId="48443" xr:uid="{00000000-0005-0000-0000-00006BBD0000}"/>
    <cellStyle name="货币 2 6 2 5 4" xfId="48444" xr:uid="{00000000-0005-0000-0000-00006CBD0000}"/>
    <cellStyle name="货币 2 6 2 5 4 2" xfId="48445" xr:uid="{00000000-0005-0000-0000-00006DBD0000}"/>
    <cellStyle name="货币 2 6 2 5 5" xfId="48446" xr:uid="{00000000-0005-0000-0000-00006EBD0000}"/>
    <cellStyle name="货币 2 6 2 5 6" xfId="48447" xr:uid="{00000000-0005-0000-0000-00006FBD0000}"/>
    <cellStyle name="货币 2 6 2 5 7" xfId="48448" xr:uid="{00000000-0005-0000-0000-000070BD0000}"/>
    <cellStyle name="货币 2 6 2 5 8" xfId="48449" xr:uid="{00000000-0005-0000-0000-000071BD0000}"/>
    <cellStyle name="货币 2 6 2 5 9" xfId="48450" xr:uid="{00000000-0005-0000-0000-000072BD0000}"/>
    <cellStyle name="货币 2 6 2 6" xfId="48451" xr:uid="{00000000-0005-0000-0000-000073BD0000}"/>
    <cellStyle name="货币 2 6 2 6 10" xfId="48452" xr:uid="{00000000-0005-0000-0000-000074BD0000}"/>
    <cellStyle name="货币 2 6 2 6 11" xfId="43176" xr:uid="{00000000-0005-0000-0000-0000D8A80000}"/>
    <cellStyle name="货币 2 6 2 6 12" xfId="43178" xr:uid="{00000000-0005-0000-0000-0000DAA80000}"/>
    <cellStyle name="货币 2 6 2 6 2" xfId="42991" xr:uid="{00000000-0005-0000-0000-00001FA80000}"/>
    <cellStyle name="货币 2 6 2 6 2 2" xfId="48453" xr:uid="{00000000-0005-0000-0000-000075BD0000}"/>
    <cellStyle name="货币 2 6 2 6 2 2 2" xfId="48454" xr:uid="{00000000-0005-0000-0000-000076BD0000}"/>
    <cellStyle name="货币 2 6 2 6 2 3" xfId="48455" xr:uid="{00000000-0005-0000-0000-000077BD0000}"/>
    <cellStyle name="货币 2 6 2 6 2 4" xfId="48456" xr:uid="{00000000-0005-0000-0000-000078BD0000}"/>
    <cellStyle name="货币 2 6 2 6 2 5" xfId="48457" xr:uid="{00000000-0005-0000-0000-000079BD0000}"/>
    <cellStyle name="货币 2 6 2 6 2 6" xfId="48458" xr:uid="{00000000-0005-0000-0000-00007ABD0000}"/>
    <cellStyle name="货币 2 6 2 6 2 7" xfId="48459" xr:uid="{00000000-0005-0000-0000-00007BBD0000}"/>
    <cellStyle name="货币 2 6 2 6 2 8" xfId="48460" xr:uid="{00000000-0005-0000-0000-00007CBD0000}"/>
    <cellStyle name="货币 2 6 2 6 2 9" xfId="48461" xr:uid="{00000000-0005-0000-0000-00007DBD0000}"/>
    <cellStyle name="货币 2 6 2 6 3" xfId="42993" xr:uid="{00000000-0005-0000-0000-000021A80000}"/>
    <cellStyle name="货币 2 6 2 6 3 2" xfId="48462" xr:uid="{00000000-0005-0000-0000-00007EBD0000}"/>
    <cellStyle name="货币 2 6 2 6 3 3" xfId="48463" xr:uid="{00000000-0005-0000-0000-00007FBD0000}"/>
    <cellStyle name="货币 2 6 2 6 3 4" xfId="48464" xr:uid="{00000000-0005-0000-0000-000080BD0000}"/>
    <cellStyle name="货币 2 6 2 6 3 5" xfId="48465" xr:uid="{00000000-0005-0000-0000-000081BD0000}"/>
    <cellStyle name="货币 2 6 2 6 3 6" xfId="48466" xr:uid="{00000000-0005-0000-0000-000082BD0000}"/>
    <cellStyle name="货币 2 6 2 6 4" xfId="48467" xr:uid="{00000000-0005-0000-0000-000083BD0000}"/>
    <cellStyle name="货币 2 6 2 6 4 2" xfId="48468" xr:uid="{00000000-0005-0000-0000-000084BD0000}"/>
    <cellStyle name="货币 2 6 2 6 5" xfId="48469" xr:uid="{00000000-0005-0000-0000-000085BD0000}"/>
    <cellStyle name="货币 2 6 2 6 6" xfId="48470" xr:uid="{00000000-0005-0000-0000-000086BD0000}"/>
    <cellStyle name="货币 2 6 2 6 7" xfId="48471" xr:uid="{00000000-0005-0000-0000-000087BD0000}"/>
    <cellStyle name="货币 2 6 2 6 8" xfId="48472" xr:uid="{00000000-0005-0000-0000-000088BD0000}"/>
    <cellStyle name="货币 2 6 2 6 9" xfId="48473" xr:uid="{00000000-0005-0000-0000-000089BD0000}"/>
    <cellStyle name="货币 2 6 2 7" xfId="48474" xr:uid="{00000000-0005-0000-0000-00008ABD0000}"/>
    <cellStyle name="货币 2 6 2 7 2" xfId="43003" xr:uid="{00000000-0005-0000-0000-00002BA80000}"/>
    <cellStyle name="货币 2 6 2 7 2 2" xfId="46387" xr:uid="{00000000-0005-0000-0000-000063B50000}"/>
    <cellStyle name="货币 2 6 2 7 3" xfId="43005" xr:uid="{00000000-0005-0000-0000-00002DA80000}"/>
    <cellStyle name="货币 2 6 2 7 4" xfId="48475" xr:uid="{00000000-0005-0000-0000-00008BBD0000}"/>
    <cellStyle name="货币 2 6 2 7 5" xfId="48476" xr:uid="{00000000-0005-0000-0000-00008CBD0000}"/>
    <cellStyle name="货币 2 6 2 7 6" xfId="48477" xr:uid="{00000000-0005-0000-0000-00008DBD0000}"/>
    <cellStyle name="货币 2 6 2 7 7" xfId="48478" xr:uid="{00000000-0005-0000-0000-00008EBD0000}"/>
    <cellStyle name="货币 2 6 2 7 8" xfId="48479" xr:uid="{00000000-0005-0000-0000-00008FBD0000}"/>
    <cellStyle name="货币 2 6 2 7 9" xfId="48480" xr:uid="{00000000-0005-0000-0000-000090BD0000}"/>
    <cellStyle name="货币 2 6 2 8" xfId="48481" xr:uid="{00000000-0005-0000-0000-000091BD0000}"/>
    <cellStyle name="货币 2 6 2 8 2" xfId="5563" xr:uid="{00000000-0005-0000-0000-0000EB150000}"/>
    <cellStyle name="货币 2 6 2 8 3" xfId="4386" xr:uid="{00000000-0005-0000-0000-000052110000}"/>
    <cellStyle name="货币 2 6 2 8 4" xfId="5571" xr:uid="{00000000-0005-0000-0000-0000F3150000}"/>
    <cellStyle name="货币 2 6 2 8 5" xfId="4578" xr:uid="{00000000-0005-0000-0000-000012120000}"/>
    <cellStyle name="货币 2 6 2 8 6" xfId="5592" xr:uid="{00000000-0005-0000-0000-000008160000}"/>
    <cellStyle name="货币 2 6 2 9" xfId="48482" xr:uid="{00000000-0005-0000-0000-000092BD0000}"/>
    <cellStyle name="货币 2 6 2 9 2" xfId="15849" xr:uid="{00000000-0005-0000-0000-0000193E0000}"/>
    <cellStyle name="货币 2 6 2 9 3" xfId="4399" xr:uid="{00000000-0005-0000-0000-00005F110000}"/>
    <cellStyle name="货币 2 6 2 9 4" xfId="15871" xr:uid="{00000000-0005-0000-0000-00002F3E0000}"/>
    <cellStyle name="货币 2 6 2 9 5" xfId="4612" xr:uid="{00000000-0005-0000-0000-000034120000}"/>
    <cellStyle name="货币 2 6 2 9 6" xfId="6631" xr:uid="{00000000-0005-0000-0000-0000171A0000}"/>
    <cellStyle name="货币 2 6 20" xfId="47360" xr:uid="{00000000-0005-0000-0000-000030B90000}"/>
    <cellStyle name="货币 2 6 21" xfId="47363" xr:uid="{00000000-0005-0000-0000-000033B90000}"/>
    <cellStyle name="货币 2 6 22" xfId="47366" xr:uid="{00000000-0005-0000-0000-000036B90000}"/>
    <cellStyle name="货币 2 6 23" xfId="48294" xr:uid="{00000000-0005-0000-0000-0000D6BC0000}"/>
    <cellStyle name="货币 2 6 24" xfId="48296" xr:uid="{00000000-0005-0000-0000-0000D8BC0000}"/>
    <cellStyle name="货币 2 6 25" xfId="43567" xr:uid="{00000000-0005-0000-0000-00005FAA0000}"/>
    <cellStyle name="货币 2 6 26" xfId="43624" xr:uid="{00000000-0005-0000-0000-000098AA0000}"/>
    <cellStyle name="货币 2 6 3" xfId="39912" xr:uid="{00000000-0005-0000-0000-0000189C0000}"/>
    <cellStyle name="货币 2 6 3 10" xfId="48483" xr:uid="{00000000-0005-0000-0000-000093BD0000}"/>
    <cellStyle name="货币 2 6 3 10 2" xfId="48484" xr:uid="{00000000-0005-0000-0000-000094BD0000}"/>
    <cellStyle name="货币 2 6 3 10 3" xfId="48485" xr:uid="{00000000-0005-0000-0000-000095BD0000}"/>
    <cellStyle name="货币 2 6 3 10 4" xfId="48486" xr:uid="{00000000-0005-0000-0000-000096BD0000}"/>
    <cellStyle name="货币 2 6 3 10 5" xfId="48487" xr:uid="{00000000-0005-0000-0000-000097BD0000}"/>
    <cellStyle name="货币 2 6 3 10 6" xfId="48488" xr:uid="{00000000-0005-0000-0000-000098BD0000}"/>
    <cellStyle name="货币 2 6 3 11" xfId="48489" xr:uid="{00000000-0005-0000-0000-000099BD0000}"/>
    <cellStyle name="货币 2 6 3 11 2" xfId="48490" xr:uid="{00000000-0005-0000-0000-00009ABD0000}"/>
    <cellStyle name="货币 2 6 3 11 3" xfId="48491" xr:uid="{00000000-0005-0000-0000-00009BBD0000}"/>
    <cellStyle name="货币 2 6 3 11 4" xfId="48492" xr:uid="{00000000-0005-0000-0000-00009CBD0000}"/>
    <cellStyle name="货币 2 6 3 11 5" xfId="43025" xr:uid="{00000000-0005-0000-0000-000041A80000}"/>
    <cellStyle name="货币 2 6 3 11 6" xfId="43027" xr:uid="{00000000-0005-0000-0000-000043A80000}"/>
    <cellStyle name="货币 2 6 3 12" xfId="48493" xr:uid="{00000000-0005-0000-0000-00009DBD0000}"/>
    <cellStyle name="货币 2 6 3 13" xfId="48494" xr:uid="{00000000-0005-0000-0000-00009EBD0000}"/>
    <cellStyle name="货币 2 6 3 14" xfId="48495" xr:uid="{00000000-0005-0000-0000-00009FBD0000}"/>
    <cellStyle name="货币 2 6 3 15" xfId="48497" xr:uid="{00000000-0005-0000-0000-0000A1BD0000}"/>
    <cellStyle name="货币 2 6 3 16" xfId="48499" xr:uid="{00000000-0005-0000-0000-0000A3BD0000}"/>
    <cellStyle name="货币 2 6 3 17" xfId="48501" xr:uid="{00000000-0005-0000-0000-0000A5BD0000}"/>
    <cellStyle name="货币 2 6 3 18" xfId="26328" xr:uid="{00000000-0005-0000-0000-000008670000}"/>
    <cellStyle name="货币 2 6 3 19" xfId="26333" xr:uid="{00000000-0005-0000-0000-00000D670000}"/>
    <cellStyle name="货币 2 6 3 2" xfId="47369" xr:uid="{00000000-0005-0000-0000-000039B90000}"/>
    <cellStyle name="货币 2 6 3 2 10" xfId="27636" xr:uid="{00000000-0005-0000-0000-0000246C0000}"/>
    <cellStyle name="货币 2 6 3 2 11" xfId="27643" xr:uid="{00000000-0005-0000-0000-00002B6C0000}"/>
    <cellStyle name="货币 2 6 3 2 12" xfId="27650" xr:uid="{00000000-0005-0000-0000-0000326C0000}"/>
    <cellStyle name="货币 2 6 3 2 13" xfId="37951" xr:uid="{00000000-0005-0000-0000-00006F940000}"/>
    <cellStyle name="货币 2 6 3 2 14" xfId="48502" xr:uid="{00000000-0005-0000-0000-0000A6BD0000}"/>
    <cellStyle name="货币 2 6 3 2 15" xfId="48503" xr:uid="{00000000-0005-0000-0000-0000A7BD0000}"/>
    <cellStyle name="货币 2 6 3 2 16" xfId="48504" xr:uid="{00000000-0005-0000-0000-0000A8BD0000}"/>
    <cellStyle name="货币 2 6 3 2 17" xfId="48505" xr:uid="{00000000-0005-0000-0000-0000A9BD0000}"/>
    <cellStyle name="货币 2 6 3 2 18" xfId="48506" xr:uid="{00000000-0005-0000-0000-0000AABD0000}"/>
    <cellStyle name="货币 2 6 3 2 2" xfId="47371" xr:uid="{00000000-0005-0000-0000-00003BB90000}"/>
    <cellStyle name="货币 2 6 3 2 2 10" xfId="48507" xr:uid="{00000000-0005-0000-0000-0000ABBD0000}"/>
    <cellStyle name="货币 2 6 3 2 2 11" xfId="48508" xr:uid="{00000000-0005-0000-0000-0000ACBD0000}"/>
    <cellStyle name="货币 2 6 3 2 2 12" xfId="48509" xr:uid="{00000000-0005-0000-0000-0000ADBD0000}"/>
    <cellStyle name="货币 2 6 3 2 2 2" xfId="48510" xr:uid="{00000000-0005-0000-0000-0000AEBD0000}"/>
    <cellStyle name="货币 2 6 3 2 2 2 2" xfId="48511" xr:uid="{00000000-0005-0000-0000-0000AFBD0000}"/>
    <cellStyle name="货币 2 6 3 2 2 2 2 2" xfId="48512" xr:uid="{00000000-0005-0000-0000-0000B0BD0000}"/>
    <cellStyle name="货币 2 6 3 2 2 2 3" xfId="48513" xr:uid="{00000000-0005-0000-0000-0000B1BD0000}"/>
    <cellStyle name="货币 2 6 3 2 2 2 4" xfId="48514" xr:uid="{00000000-0005-0000-0000-0000B2BD0000}"/>
    <cellStyle name="货币 2 6 3 2 2 2 5" xfId="48515" xr:uid="{00000000-0005-0000-0000-0000B3BD0000}"/>
    <cellStyle name="货币 2 6 3 2 2 3" xfId="48516" xr:uid="{00000000-0005-0000-0000-0000B4BD0000}"/>
    <cellStyle name="货币 2 6 3 2 2 3 2" xfId="48517" xr:uid="{00000000-0005-0000-0000-0000B5BD0000}"/>
    <cellStyle name="货币 2 6 3 2 2 4" xfId="48518" xr:uid="{00000000-0005-0000-0000-0000B6BD0000}"/>
    <cellStyle name="货币 2 6 3 2 2 5" xfId="48519" xr:uid="{00000000-0005-0000-0000-0000B7BD0000}"/>
    <cellStyle name="货币 2 6 3 2 2 6" xfId="48521" xr:uid="{00000000-0005-0000-0000-0000B9BD0000}"/>
    <cellStyle name="货币 2 6 3 2 2 7" xfId="48522" xr:uid="{00000000-0005-0000-0000-0000BABD0000}"/>
    <cellStyle name="货币 2 6 3 2 2 8" xfId="48523" xr:uid="{00000000-0005-0000-0000-0000BBBD0000}"/>
    <cellStyle name="货币 2 6 3 2 2 9" xfId="44919" xr:uid="{00000000-0005-0000-0000-0000A7AF0000}"/>
    <cellStyle name="货币 2 6 3 2 3" xfId="48377" xr:uid="{00000000-0005-0000-0000-000029BD0000}"/>
    <cellStyle name="货币 2 6 3 2 3 10" xfId="45073" xr:uid="{00000000-0005-0000-0000-000041B00000}"/>
    <cellStyle name="货币 2 6 3 2 3 11" xfId="48524" xr:uid="{00000000-0005-0000-0000-0000BCBD0000}"/>
    <cellStyle name="货币 2 6 3 2 3 12" xfId="13851" xr:uid="{00000000-0005-0000-0000-00004B360000}"/>
    <cellStyle name="货币 2 6 3 2 3 2" xfId="42529" xr:uid="{00000000-0005-0000-0000-000051A60000}"/>
    <cellStyle name="货币 2 6 3 2 3 2 2" xfId="48525" xr:uid="{00000000-0005-0000-0000-0000BDBD0000}"/>
    <cellStyle name="货币 2 6 3 2 3 2 2 2" xfId="48526" xr:uid="{00000000-0005-0000-0000-0000BEBD0000}"/>
    <cellStyle name="货币 2 6 3 2 3 2 3" xfId="48527" xr:uid="{00000000-0005-0000-0000-0000BFBD0000}"/>
    <cellStyle name="货币 2 6 3 2 3 2 4" xfId="48528" xr:uid="{00000000-0005-0000-0000-0000C0BD0000}"/>
    <cellStyle name="货币 2 6 3 2 3 2 5" xfId="48529" xr:uid="{00000000-0005-0000-0000-0000C1BD0000}"/>
    <cellStyle name="货币 2 6 3 2 3 3" xfId="42531" xr:uid="{00000000-0005-0000-0000-000053A60000}"/>
    <cellStyle name="货币 2 6 3 2 3 3 2" xfId="48530" xr:uid="{00000000-0005-0000-0000-0000C2BD0000}"/>
    <cellStyle name="货币 2 6 3 2 3 4" xfId="42533" xr:uid="{00000000-0005-0000-0000-000055A60000}"/>
    <cellStyle name="货币 2 6 3 2 3 5" xfId="8530" xr:uid="{00000000-0005-0000-0000-000082210000}"/>
    <cellStyle name="货币 2 6 3 2 3 6" xfId="8543" xr:uid="{00000000-0005-0000-0000-00008F210000}"/>
    <cellStyle name="货币 2 6 3 2 3 7" xfId="7267" xr:uid="{00000000-0005-0000-0000-0000931C0000}"/>
    <cellStyle name="货币 2 6 3 2 3 8" xfId="8554" xr:uid="{00000000-0005-0000-0000-00009A210000}"/>
    <cellStyle name="货币 2 6 3 2 3 9" xfId="48531" xr:uid="{00000000-0005-0000-0000-0000C3BD0000}"/>
    <cellStyle name="货币 2 6 3 2 4" xfId="48532" xr:uid="{00000000-0005-0000-0000-0000C4BD0000}"/>
    <cellStyle name="货币 2 6 3 2 4 10" xfId="48533" xr:uid="{00000000-0005-0000-0000-0000C5BD0000}"/>
    <cellStyle name="货币 2 6 3 2 4 2" xfId="48534" xr:uid="{00000000-0005-0000-0000-0000C6BD0000}"/>
    <cellStyle name="货币 2 6 3 2 4 2 2" xfId="48535" xr:uid="{00000000-0005-0000-0000-0000C7BD0000}"/>
    <cellStyle name="货币 2 6 3 2 4 2 2 2" xfId="36539" xr:uid="{00000000-0005-0000-0000-0000EB8E0000}"/>
    <cellStyle name="货币 2 6 3 2 4 2 3" xfId="48536" xr:uid="{00000000-0005-0000-0000-0000C8BD0000}"/>
    <cellStyle name="货币 2 6 3 2 4 2 4" xfId="48537" xr:uid="{00000000-0005-0000-0000-0000C9BD0000}"/>
    <cellStyle name="货币 2 6 3 2 4 2 5" xfId="48538" xr:uid="{00000000-0005-0000-0000-0000CABD0000}"/>
    <cellStyle name="货币 2 6 3 2 4 3" xfId="48539" xr:uid="{00000000-0005-0000-0000-0000CBBD0000}"/>
    <cellStyle name="货币 2 6 3 2 4 3 2" xfId="48540" xr:uid="{00000000-0005-0000-0000-0000CCBD0000}"/>
    <cellStyle name="货币 2 6 3 2 4 4" xfId="48541" xr:uid="{00000000-0005-0000-0000-0000CDBD0000}"/>
    <cellStyle name="货币 2 6 3 2 4 5" xfId="8600" xr:uid="{00000000-0005-0000-0000-0000C8210000}"/>
    <cellStyle name="货币 2 6 3 2 4 6" xfId="48542" xr:uid="{00000000-0005-0000-0000-0000CEBD0000}"/>
    <cellStyle name="货币 2 6 3 2 4 7" xfId="48543" xr:uid="{00000000-0005-0000-0000-0000CFBD0000}"/>
    <cellStyle name="货币 2 6 3 2 4 8" xfId="48544" xr:uid="{00000000-0005-0000-0000-0000D0BD0000}"/>
    <cellStyle name="货币 2 6 3 2 4 9" xfId="48545" xr:uid="{00000000-0005-0000-0000-0000D1BD0000}"/>
    <cellStyle name="货币 2 6 3 2 5" xfId="48546" xr:uid="{00000000-0005-0000-0000-0000D2BD0000}"/>
    <cellStyle name="货币 2 6 3 2 5 10" xfId="48547" xr:uid="{00000000-0005-0000-0000-0000D3BD0000}"/>
    <cellStyle name="货币 2 6 3 2 5 2" xfId="19261" xr:uid="{00000000-0005-0000-0000-00006D4B0000}"/>
    <cellStyle name="货币 2 6 3 2 5 2 2" xfId="48548" xr:uid="{00000000-0005-0000-0000-0000D4BD0000}"/>
    <cellStyle name="货币 2 6 3 2 5 2 2 2" xfId="23556" xr:uid="{00000000-0005-0000-0000-0000345C0000}"/>
    <cellStyle name="货币 2 6 3 2 5 2 3" xfId="41769" xr:uid="{00000000-0005-0000-0000-000059A30000}"/>
    <cellStyle name="货币 2 6 3 2 5 2 4" xfId="41771" xr:uid="{00000000-0005-0000-0000-00005BA30000}"/>
    <cellStyle name="货币 2 6 3 2 5 2 5" xfId="41773" xr:uid="{00000000-0005-0000-0000-00005DA30000}"/>
    <cellStyle name="货币 2 6 3 2 5 3" xfId="48549" xr:uid="{00000000-0005-0000-0000-0000D5BD0000}"/>
    <cellStyle name="货币 2 6 3 2 5 3 2" xfId="48550" xr:uid="{00000000-0005-0000-0000-0000D6BD0000}"/>
    <cellStyle name="货币 2 6 3 2 5 4" xfId="48551" xr:uid="{00000000-0005-0000-0000-0000D7BD0000}"/>
    <cellStyle name="货币 2 6 3 2 5 5" xfId="48552" xr:uid="{00000000-0005-0000-0000-0000D8BD0000}"/>
    <cellStyle name="货币 2 6 3 2 5 6" xfId="48553" xr:uid="{00000000-0005-0000-0000-0000D9BD0000}"/>
    <cellStyle name="货币 2 6 3 2 5 7" xfId="48554" xr:uid="{00000000-0005-0000-0000-0000DABD0000}"/>
    <cellStyle name="货币 2 6 3 2 5 8" xfId="48555" xr:uid="{00000000-0005-0000-0000-0000DBBD0000}"/>
    <cellStyle name="货币 2 6 3 2 5 9" xfId="1787" xr:uid="{00000000-0005-0000-0000-00002B070000}"/>
    <cellStyle name="货币 2 6 3 2 6" xfId="48556" xr:uid="{00000000-0005-0000-0000-0000DCBD0000}"/>
    <cellStyle name="货币 2 6 3 2 6 2" xfId="48557" xr:uid="{00000000-0005-0000-0000-0000DDBD0000}"/>
    <cellStyle name="货币 2 6 3 2 6 2 2" xfId="48558" xr:uid="{00000000-0005-0000-0000-0000DEBD0000}"/>
    <cellStyle name="货币 2 6 3 2 6 3" xfId="48559" xr:uid="{00000000-0005-0000-0000-0000DFBD0000}"/>
    <cellStyle name="货币 2 6 3 2 6 4" xfId="48560" xr:uid="{00000000-0005-0000-0000-0000E0BD0000}"/>
    <cellStyle name="货币 2 6 3 2 6 5" xfId="48561" xr:uid="{00000000-0005-0000-0000-0000E1BD0000}"/>
    <cellStyle name="货币 2 6 3 2 6 6" xfId="48562" xr:uid="{00000000-0005-0000-0000-0000E2BD0000}"/>
    <cellStyle name="货币 2 6 3 2 6 7" xfId="48563" xr:uid="{00000000-0005-0000-0000-0000E3BD0000}"/>
    <cellStyle name="货币 2 6 3 2 6 8" xfId="48564" xr:uid="{00000000-0005-0000-0000-0000E4BD0000}"/>
    <cellStyle name="货币 2 6 3 2 6 9" xfId="2658" xr:uid="{00000000-0005-0000-0000-0000920A0000}"/>
    <cellStyle name="货币 2 6 3 2 7" xfId="48565" xr:uid="{00000000-0005-0000-0000-0000E5BD0000}"/>
    <cellStyle name="货币 2 6 3 2 7 2" xfId="48566" xr:uid="{00000000-0005-0000-0000-0000E6BD0000}"/>
    <cellStyle name="货币 2 6 3 2 8" xfId="48567" xr:uid="{00000000-0005-0000-0000-0000E7BD0000}"/>
    <cellStyle name="货币 2 6 3 2 9" xfId="48568" xr:uid="{00000000-0005-0000-0000-0000E8BD0000}"/>
    <cellStyle name="货币 2 6 3 20" xfId="48496" xr:uid="{00000000-0005-0000-0000-0000A0BD0000}"/>
    <cellStyle name="货币 2 6 3 21" xfId="48498" xr:uid="{00000000-0005-0000-0000-0000A2BD0000}"/>
    <cellStyle name="货币 2 6 3 22" xfId="48500" xr:uid="{00000000-0005-0000-0000-0000A4BD0000}"/>
    <cellStyle name="货币 2 6 3 23" xfId="26327" xr:uid="{00000000-0005-0000-0000-000007670000}"/>
    <cellStyle name="货币 2 6 3 3" xfId="47373" xr:uid="{00000000-0005-0000-0000-00003DB90000}"/>
    <cellStyle name="货币 2 6 3 3 10" xfId="48569" xr:uid="{00000000-0005-0000-0000-0000E9BD0000}"/>
    <cellStyle name="货币 2 6 3 3 11" xfId="48570" xr:uid="{00000000-0005-0000-0000-0000EABD0000}"/>
    <cellStyle name="货币 2 6 3 3 12" xfId="48571" xr:uid="{00000000-0005-0000-0000-0000EBBD0000}"/>
    <cellStyle name="货币 2 6 3 3 13" xfId="48572" xr:uid="{00000000-0005-0000-0000-0000ECBD0000}"/>
    <cellStyle name="货币 2 6 3 3 14" xfId="48573" xr:uid="{00000000-0005-0000-0000-0000EDBD0000}"/>
    <cellStyle name="货币 2 6 3 3 15" xfId="48574" xr:uid="{00000000-0005-0000-0000-0000EEBD0000}"/>
    <cellStyle name="货币 2 6 3 3 16" xfId="48575" xr:uid="{00000000-0005-0000-0000-0000EFBD0000}"/>
    <cellStyle name="货币 2 6 3 3 17" xfId="48576" xr:uid="{00000000-0005-0000-0000-0000F0BD0000}"/>
    <cellStyle name="货币 2 6 3 3 18" xfId="48577" xr:uid="{00000000-0005-0000-0000-0000F1BD0000}"/>
    <cellStyle name="货币 2 6 3 3 2" xfId="48578" xr:uid="{00000000-0005-0000-0000-0000F2BD0000}"/>
    <cellStyle name="货币 2 6 3 3 2 10" xfId="48579" xr:uid="{00000000-0005-0000-0000-0000F3BD0000}"/>
    <cellStyle name="货币 2 6 3 3 2 2" xfId="48580" xr:uid="{00000000-0005-0000-0000-0000F4BD0000}"/>
    <cellStyle name="货币 2 6 3 3 2 2 2" xfId="10660" xr:uid="{00000000-0005-0000-0000-0000D4290000}"/>
    <cellStyle name="货币 2 6 3 3 2 3" xfId="48581" xr:uid="{00000000-0005-0000-0000-0000F5BD0000}"/>
    <cellStyle name="货币 2 6 3 3 2 4" xfId="48582" xr:uid="{00000000-0005-0000-0000-0000F6BD0000}"/>
    <cellStyle name="货币 2 6 3 3 2 5" xfId="48583" xr:uid="{00000000-0005-0000-0000-0000F7BD0000}"/>
    <cellStyle name="货币 2 6 3 3 2 6" xfId="48584" xr:uid="{00000000-0005-0000-0000-0000F8BD0000}"/>
    <cellStyle name="货币 2 6 3 3 2 7" xfId="48585" xr:uid="{00000000-0005-0000-0000-0000F9BD0000}"/>
    <cellStyle name="货币 2 6 3 3 2 8" xfId="48586" xr:uid="{00000000-0005-0000-0000-0000FABD0000}"/>
    <cellStyle name="货币 2 6 3 3 2 9" xfId="48587" xr:uid="{00000000-0005-0000-0000-0000FBBD0000}"/>
    <cellStyle name="货币 2 6 3 3 3" xfId="48588" xr:uid="{00000000-0005-0000-0000-0000FCBD0000}"/>
    <cellStyle name="货币 2 6 3 3 3 2" xfId="48589" xr:uid="{00000000-0005-0000-0000-0000FDBD0000}"/>
    <cellStyle name="货币 2 6 3 3 3 3" xfId="48590" xr:uid="{00000000-0005-0000-0000-0000FEBD0000}"/>
    <cellStyle name="货币 2 6 3 3 3 4" xfId="48591" xr:uid="{00000000-0005-0000-0000-0000FFBD0000}"/>
    <cellStyle name="货币 2 6 3 3 3 5" xfId="8749" xr:uid="{00000000-0005-0000-0000-00005D220000}"/>
    <cellStyle name="货币 2 6 3 3 3 6" xfId="31911" xr:uid="{00000000-0005-0000-0000-0000D77C0000}"/>
    <cellStyle name="货币 2 6 3 3 4" xfId="48592" xr:uid="{00000000-0005-0000-0000-000000BE0000}"/>
    <cellStyle name="货币 2 6 3 3 4 2" xfId="48593" xr:uid="{00000000-0005-0000-0000-000001BE0000}"/>
    <cellStyle name="货币 2 6 3 3 4 3" xfId="48594" xr:uid="{00000000-0005-0000-0000-000002BE0000}"/>
    <cellStyle name="货币 2 6 3 3 4 4" xfId="48595" xr:uid="{00000000-0005-0000-0000-000003BE0000}"/>
    <cellStyle name="货币 2 6 3 3 4 5" xfId="48596" xr:uid="{00000000-0005-0000-0000-000004BE0000}"/>
    <cellStyle name="货币 2 6 3 3 4 6" xfId="48597" xr:uid="{00000000-0005-0000-0000-000005BE0000}"/>
    <cellStyle name="货币 2 6 3 3 5" xfId="48598" xr:uid="{00000000-0005-0000-0000-000006BE0000}"/>
    <cellStyle name="货币 2 6 3 3 5 2" xfId="8648" xr:uid="{00000000-0005-0000-0000-0000F8210000}"/>
    <cellStyle name="货币 2 6 3 3 5 3" xfId="8657" xr:uid="{00000000-0005-0000-0000-000001220000}"/>
    <cellStyle name="货币 2 6 3 3 5 4" xfId="13802" xr:uid="{00000000-0005-0000-0000-00001A360000}"/>
    <cellStyle name="货币 2 6 3 3 5 5" xfId="13804" xr:uid="{00000000-0005-0000-0000-00001C360000}"/>
    <cellStyle name="货币 2 6 3 3 5 6" xfId="13809" xr:uid="{00000000-0005-0000-0000-000021360000}"/>
    <cellStyle name="货币 2 6 3 3 6" xfId="37005" xr:uid="{00000000-0005-0000-0000-0000BD900000}"/>
    <cellStyle name="货币 2 6 3 3 6 2" xfId="37007" xr:uid="{00000000-0005-0000-0000-0000BF900000}"/>
    <cellStyle name="货币 2 6 3 3 6 3" xfId="48599" xr:uid="{00000000-0005-0000-0000-000007BE0000}"/>
    <cellStyle name="货币 2 6 3 3 6 4" xfId="48600" xr:uid="{00000000-0005-0000-0000-000008BE0000}"/>
    <cellStyle name="货币 2 6 3 3 6 5" xfId="48601" xr:uid="{00000000-0005-0000-0000-000009BE0000}"/>
    <cellStyle name="货币 2 6 3 3 6 6" xfId="48602" xr:uid="{00000000-0005-0000-0000-00000ABE0000}"/>
    <cellStyle name="货币 2 6 3 3 7" xfId="37009" xr:uid="{00000000-0005-0000-0000-0000C1900000}"/>
    <cellStyle name="货币 2 6 3 3 8" xfId="37011" xr:uid="{00000000-0005-0000-0000-0000C3900000}"/>
    <cellStyle name="货币 2 6 3 3 9" xfId="37013" xr:uid="{00000000-0005-0000-0000-0000C5900000}"/>
    <cellStyle name="货币 2 6 3 4" xfId="47375" xr:uid="{00000000-0005-0000-0000-00003FB90000}"/>
    <cellStyle name="货币 2 6 3 4 10" xfId="48603" xr:uid="{00000000-0005-0000-0000-00000BBE0000}"/>
    <cellStyle name="货币 2 6 3 4 11" xfId="48604" xr:uid="{00000000-0005-0000-0000-00000CBE0000}"/>
    <cellStyle name="货币 2 6 3 4 12" xfId="48605" xr:uid="{00000000-0005-0000-0000-00000DBE0000}"/>
    <cellStyle name="货币 2 6 3 4 13" xfId="48606" xr:uid="{00000000-0005-0000-0000-00000EBE0000}"/>
    <cellStyle name="货币 2 6 3 4 14" xfId="48607" xr:uid="{00000000-0005-0000-0000-00000FBE0000}"/>
    <cellStyle name="货币 2 6 3 4 15" xfId="48608" xr:uid="{00000000-0005-0000-0000-000010BE0000}"/>
    <cellStyle name="货币 2 6 3 4 2" xfId="43046" xr:uid="{00000000-0005-0000-0000-000056A80000}"/>
    <cellStyle name="货币 2 6 3 4 2 2" xfId="48609" xr:uid="{00000000-0005-0000-0000-000011BE0000}"/>
    <cellStyle name="货币 2 6 3 4 2 2 2" xfId="48610" xr:uid="{00000000-0005-0000-0000-000012BE0000}"/>
    <cellStyle name="货币 2 6 3 4 2 3" xfId="48611" xr:uid="{00000000-0005-0000-0000-000013BE0000}"/>
    <cellStyle name="货币 2 6 3 4 2 4" xfId="48612" xr:uid="{00000000-0005-0000-0000-000014BE0000}"/>
    <cellStyle name="货币 2 6 3 4 2 5" xfId="48613" xr:uid="{00000000-0005-0000-0000-000015BE0000}"/>
    <cellStyle name="货币 2 6 3 4 2 6" xfId="48614" xr:uid="{00000000-0005-0000-0000-000016BE0000}"/>
    <cellStyle name="货币 2 6 3 4 2 7" xfId="48615" xr:uid="{00000000-0005-0000-0000-000017BE0000}"/>
    <cellStyle name="货币 2 6 3 4 2 8" xfId="48616" xr:uid="{00000000-0005-0000-0000-000018BE0000}"/>
    <cellStyle name="货币 2 6 3 4 2 9" xfId="40699" xr:uid="{00000000-0005-0000-0000-00002B9F0000}"/>
    <cellStyle name="货币 2 6 3 4 3" xfId="9720" xr:uid="{00000000-0005-0000-0000-000028260000}"/>
    <cellStyle name="货币 2 6 3 4 3 2" xfId="48617" xr:uid="{00000000-0005-0000-0000-000019BE0000}"/>
    <cellStyle name="货币 2 6 3 4 3 3" xfId="48618" xr:uid="{00000000-0005-0000-0000-00001ABE0000}"/>
    <cellStyle name="货币 2 6 3 4 3 4" xfId="48619" xr:uid="{00000000-0005-0000-0000-00001BBE0000}"/>
    <cellStyle name="货币 2 6 3 4 3 5" xfId="48620" xr:uid="{00000000-0005-0000-0000-00001CBE0000}"/>
    <cellStyle name="货币 2 6 3 4 3 6" xfId="48621" xr:uid="{00000000-0005-0000-0000-00001DBE0000}"/>
    <cellStyle name="货币 2 6 3 4 4" xfId="9723" xr:uid="{00000000-0005-0000-0000-00002B260000}"/>
    <cellStyle name="货币 2 6 3 4 4 2" xfId="48622" xr:uid="{00000000-0005-0000-0000-00001EBE0000}"/>
    <cellStyle name="货币 2 6 3 4 5" xfId="1965" xr:uid="{00000000-0005-0000-0000-0000DD070000}"/>
    <cellStyle name="货币 2 6 3 4 6" xfId="8157" xr:uid="{00000000-0005-0000-0000-00000D200000}"/>
    <cellStyle name="货币 2 6 3 4 7" xfId="6756" xr:uid="{00000000-0005-0000-0000-0000941A0000}"/>
    <cellStyle name="货币 2 6 3 4 8" xfId="8166" xr:uid="{00000000-0005-0000-0000-000016200000}"/>
    <cellStyle name="货币 2 6 3 4 9" xfId="8173" xr:uid="{00000000-0005-0000-0000-00001D200000}"/>
    <cellStyle name="货币 2 6 3 5" xfId="47377" xr:uid="{00000000-0005-0000-0000-000041B90000}"/>
    <cellStyle name="货币 2 6 3 5 10" xfId="48623" xr:uid="{00000000-0005-0000-0000-00001FBE0000}"/>
    <cellStyle name="货币 2 6 3 5 11" xfId="48624" xr:uid="{00000000-0005-0000-0000-000020BE0000}"/>
    <cellStyle name="货币 2 6 3 5 12" xfId="48625" xr:uid="{00000000-0005-0000-0000-000021BE0000}"/>
    <cellStyle name="货币 2 6 3 5 13" xfId="48626" xr:uid="{00000000-0005-0000-0000-000022BE0000}"/>
    <cellStyle name="货币 2 6 3 5 2" xfId="30481" xr:uid="{00000000-0005-0000-0000-000041770000}"/>
    <cellStyle name="货币 2 6 3 5 2 2" xfId="19398" xr:uid="{00000000-0005-0000-0000-0000F64B0000}"/>
    <cellStyle name="货币 2 6 3 5 2 2 2" xfId="48627" xr:uid="{00000000-0005-0000-0000-000023BE0000}"/>
    <cellStyle name="货币 2 6 3 5 2 3" xfId="48628" xr:uid="{00000000-0005-0000-0000-000024BE0000}"/>
    <cellStyle name="货币 2 6 3 5 2 4" xfId="48629" xr:uid="{00000000-0005-0000-0000-000025BE0000}"/>
    <cellStyle name="货币 2 6 3 5 2 5" xfId="48630" xr:uid="{00000000-0005-0000-0000-000026BE0000}"/>
    <cellStyle name="货币 2 6 3 5 2 6" xfId="48631" xr:uid="{00000000-0005-0000-0000-000027BE0000}"/>
    <cellStyle name="货币 2 6 3 5 2 7" xfId="48632" xr:uid="{00000000-0005-0000-0000-000028BE0000}"/>
    <cellStyle name="货币 2 6 3 5 2 8" xfId="48633" xr:uid="{00000000-0005-0000-0000-000029BE0000}"/>
    <cellStyle name="货币 2 6 3 5 2 9" xfId="48634" xr:uid="{00000000-0005-0000-0000-00002ABE0000}"/>
    <cellStyle name="货币 2 6 3 5 3" xfId="30736" xr:uid="{00000000-0005-0000-0000-000040780000}"/>
    <cellStyle name="货币 2 6 3 5 3 2" xfId="30739" xr:uid="{00000000-0005-0000-0000-000043780000}"/>
    <cellStyle name="货币 2 6 3 5 3 3" xfId="48635" xr:uid="{00000000-0005-0000-0000-00002BBE0000}"/>
    <cellStyle name="货币 2 6 3 5 3 4" xfId="48636" xr:uid="{00000000-0005-0000-0000-00002CBE0000}"/>
    <cellStyle name="货币 2 6 3 5 3 5" xfId="48637" xr:uid="{00000000-0005-0000-0000-00002DBE0000}"/>
    <cellStyle name="货币 2 6 3 5 3 6" xfId="48638" xr:uid="{00000000-0005-0000-0000-00002EBE0000}"/>
    <cellStyle name="货币 2 6 3 5 4" xfId="30741" xr:uid="{00000000-0005-0000-0000-000045780000}"/>
    <cellStyle name="货币 2 6 3 5 4 2" xfId="30743" xr:uid="{00000000-0005-0000-0000-000047780000}"/>
    <cellStyle name="货币 2 6 3 5 5" xfId="1990" xr:uid="{00000000-0005-0000-0000-0000F6070000}"/>
    <cellStyle name="货币 2 6 3 5 6" xfId="8177" xr:uid="{00000000-0005-0000-0000-000021200000}"/>
    <cellStyle name="货币 2 6 3 5 7" xfId="6783" xr:uid="{00000000-0005-0000-0000-0000AF1A0000}"/>
    <cellStyle name="货币 2 6 3 5 8" xfId="8187" xr:uid="{00000000-0005-0000-0000-00002B200000}"/>
    <cellStyle name="货币 2 6 3 5 9" xfId="8189" xr:uid="{00000000-0005-0000-0000-00002D200000}"/>
    <cellStyle name="货币 2 6 3 6" xfId="48639" xr:uid="{00000000-0005-0000-0000-00002FBE0000}"/>
    <cellStyle name="货币 2 6 3 6 10" xfId="48640" xr:uid="{00000000-0005-0000-0000-000030BE0000}"/>
    <cellStyle name="货币 2 6 3 6 11" xfId="43373" xr:uid="{00000000-0005-0000-0000-00009DA90000}"/>
    <cellStyle name="货币 2 6 3 6 12" xfId="13029" xr:uid="{00000000-0005-0000-0000-000015330000}"/>
    <cellStyle name="货币 2 6 3 6 2" xfId="5695" xr:uid="{00000000-0005-0000-0000-00006F160000}"/>
    <cellStyle name="货币 2 6 3 6 2 2" xfId="5706" xr:uid="{00000000-0005-0000-0000-00007A160000}"/>
    <cellStyle name="货币 2 6 3 6 2 2 2" xfId="8085" xr:uid="{00000000-0005-0000-0000-0000C51F0000}"/>
    <cellStyle name="货币 2 6 3 6 2 3" xfId="8087" xr:uid="{00000000-0005-0000-0000-0000C71F0000}"/>
    <cellStyle name="货币 2 6 3 6 2 4" xfId="8094" xr:uid="{00000000-0005-0000-0000-0000CE1F0000}"/>
    <cellStyle name="货币 2 6 3 6 2 5" xfId="8100" xr:uid="{00000000-0005-0000-0000-0000D41F0000}"/>
    <cellStyle name="货币 2 6 3 6 2 6" xfId="8104" xr:uid="{00000000-0005-0000-0000-0000D81F0000}"/>
    <cellStyle name="货币 2 6 3 6 2 7" xfId="8111" xr:uid="{00000000-0005-0000-0000-0000DF1F0000}"/>
    <cellStyle name="货币 2 6 3 6 2 8" xfId="8115" xr:uid="{00000000-0005-0000-0000-0000E31F0000}"/>
    <cellStyle name="货币 2 6 3 6 2 9" xfId="8121" xr:uid="{00000000-0005-0000-0000-0000E91F0000}"/>
    <cellStyle name="货币 2 6 3 6 3" xfId="111" xr:uid="{00000000-0005-0000-0000-000079000000}"/>
    <cellStyle name="货币 2 6 3 6 3 2" xfId="6812" xr:uid="{00000000-0005-0000-0000-0000CC1A0000}"/>
    <cellStyle name="货币 2 6 3 6 3 3" xfId="6828" xr:uid="{00000000-0005-0000-0000-0000DC1A0000}"/>
    <cellStyle name="货币 2 6 3 6 3 4" xfId="6856" xr:uid="{00000000-0005-0000-0000-0000F81A0000}"/>
    <cellStyle name="货币 2 6 3 6 3 5" xfId="6865" xr:uid="{00000000-0005-0000-0000-0000011B0000}"/>
    <cellStyle name="货币 2 6 3 6 3 6" xfId="8124" xr:uid="{00000000-0005-0000-0000-0000EC1F0000}"/>
    <cellStyle name="货币 2 6 3 6 4" xfId="5724" xr:uid="{00000000-0005-0000-0000-00008C160000}"/>
    <cellStyle name="货币 2 6 3 6 4 2" xfId="5052" xr:uid="{00000000-0005-0000-0000-0000EC130000}"/>
    <cellStyle name="货币 2 6 3 6 5" xfId="2011" xr:uid="{00000000-0005-0000-0000-00000B080000}"/>
    <cellStyle name="货币 2 6 3 6 6" xfId="8138" xr:uid="{00000000-0005-0000-0000-0000FA1F0000}"/>
    <cellStyle name="货币 2 6 3 6 7" xfId="12555" xr:uid="{00000000-0005-0000-0000-00003B310000}"/>
    <cellStyle name="货币 2 6 3 6 8" xfId="12563" xr:uid="{00000000-0005-0000-0000-000043310000}"/>
    <cellStyle name="货币 2 6 3 6 9" xfId="12569" xr:uid="{00000000-0005-0000-0000-000049310000}"/>
    <cellStyle name="货币 2 6 3 7" xfId="48641" xr:uid="{00000000-0005-0000-0000-000031BE0000}"/>
    <cellStyle name="货币 2 6 3 7 2" xfId="43069" xr:uid="{00000000-0005-0000-0000-00006DA80000}"/>
    <cellStyle name="货币 2 6 3 7 2 2" xfId="48642" xr:uid="{00000000-0005-0000-0000-000032BE0000}"/>
    <cellStyle name="货币 2 6 3 7 3" xfId="43071" xr:uid="{00000000-0005-0000-0000-00006FA80000}"/>
    <cellStyle name="货币 2 6 3 7 4" xfId="48643" xr:uid="{00000000-0005-0000-0000-000033BE0000}"/>
    <cellStyle name="货币 2 6 3 7 5" xfId="48644" xr:uid="{00000000-0005-0000-0000-000034BE0000}"/>
    <cellStyle name="货币 2 6 3 7 6" xfId="48645" xr:uid="{00000000-0005-0000-0000-000035BE0000}"/>
    <cellStyle name="货币 2 6 3 7 7" xfId="48646" xr:uid="{00000000-0005-0000-0000-000036BE0000}"/>
    <cellStyle name="货币 2 6 3 7 8" xfId="48647" xr:uid="{00000000-0005-0000-0000-000037BE0000}"/>
    <cellStyle name="货币 2 6 3 7 9" xfId="48648" xr:uid="{00000000-0005-0000-0000-000038BE0000}"/>
    <cellStyle name="货币 2 6 3 8" xfId="48649" xr:uid="{00000000-0005-0000-0000-000039BE0000}"/>
    <cellStyle name="货币 2 6 3 8 2" xfId="15941" xr:uid="{00000000-0005-0000-0000-0000753E0000}"/>
    <cellStyle name="货币 2 6 3 8 3" xfId="15946" xr:uid="{00000000-0005-0000-0000-00007A3E0000}"/>
    <cellStyle name="货币 2 6 3 8 4" xfId="15952" xr:uid="{00000000-0005-0000-0000-0000803E0000}"/>
    <cellStyle name="货币 2 6 3 8 5" xfId="15957" xr:uid="{00000000-0005-0000-0000-0000853E0000}"/>
    <cellStyle name="货币 2 6 3 8 6" xfId="15964" xr:uid="{00000000-0005-0000-0000-00008C3E0000}"/>
    <cellStyle name="货币 2 6 3 9" xfId="48650" xr:uid="{00000000-0005-0000-0000-00003ABE0000}"/>
    <cellStyle name="货币 2 6 3 9 2" xfId="12827" xr:uid="{00000000-0005-0000-0000-00004B320000}"/>
    <cellStyle name="货币 2 6 3 9 3" xfId="9780" xr:uid="{00000000-0005-0000-0000-000064260000}"/>
    <cellStyle name="货币 2 6 3 9 4" xfId="9788" xr:uid="{00000000-0005-0000-0000-00006C260000}"/>
    <cellStyle name="货币 2 6 3 9 5" xfId="6653" xr:uid="{00000000-0005-0000-0000-00002D1A0000}"/>
    <cellStyle name="货币 2 6 3 9 6" xfId="48651" xr:uid="{00000000-0005-0000-0000-00003BBE0000}"/>
    <cellStyle name="货币 2 6 4" xfId="14388" xr:uid="{00000000-0005-0000-0000-000064380000}"/>
    <cellStyle name="货币 2 6 4 10" xfId="29021" xr:uid="{00000000-0005-0000-0000-00008D710000}"/>
    <cellStyle name="货币 2 6 4 10 2" xfId="29026" xr:uid="{00000000-0005-0000-0000-000092710000}"/>
    <cellStyle name="货币 2 6 4 10 3" xfId="29030" xr:uid="{00000000-0005-0000-0000-000096710000}"/>
    <cellStyle name="货币 2 6 4 10 4" xfId="29034" xr:uid="{00000000-0005-0000-0000-00009A710000}"/>
    <cellStyle name="货币 2 6 4 10 5" xfId="29037" xr:uid="{00000000-0005-0000-0000-00009D710000}"/>
    <cellStyle name="货币 2 6 4 10 6" xfId="29040" xr:uid="{00000000-0005-0000-0000-0000A0710000}"/>
    <cellStyle name="货币 2 6 4 11" xfId="29043" xr:uid="{00000000-0005-0000-0000-0000A3710000}"/>
    <cellStyle name="货币 2 6 4 11 2" xfId="29046" xr:uid="{00000000-0005-0000-0000-0000A6710000}"/>
    <cellStyle name="货币 2 6 4 11 3" xfId="29048" xr:uid="{00000000-0005-0000-0000-0000A8710000}"/>
    <cellStyle name="货币 2 6 4 11 4" xfId="3086" xr:uid="{00000000-0005-0000-0000-00003E0C0000}"/>
    <cellStyle name="货币 2 6 4 11 5" xfId="43093" xr:uid="{00000000-0005-0000-0000-000085A80000}"/>
    <cellStyle name="货币 2 6 4 11 6" xfId="48652" xr:uid="{00000000-0005-0000-0000-00003CBE0000}"/>
    <cellStyle name="货币 2 6 4 12" xfId="29050" xr:uid="{00000000-0005-0000-0000-0000AA710000}"/>
    <cellStyle name="货币 2 6 4 13" xfId="48653" xr:uid="{00000000-0005-0000-0000-00003DBE0000}"/>
    <cellStyle name="货币 2 6 4 14" xfId="48654" xr:uid="{00000000-0005-0000-0000-00003EBE0000}"/>
    <cellStyle name="货币 2 6 4 15" xfId="48656" xr:uid="{00000000-0005-0000-0000-000040BE0000}"/>
    <cellStyle name="货币 2 6 4 16" xfId="48658" xr:uid="{00000000-0005-0000-0000-000042BE0000}"/>
    <cellStyle name="货币 2 6 4 17" xfId="48660" xr:uid="{00000000-0005-0000-0000-000044BE0000}"/>
    <cellStyle name="货币 2 6 4 18" xfId="29428" xr:uid="{00000000-0005-0000-0000-000024730000}"/>
    <cellStyle name="货币 2 6 4 19" xfId="48661" xr:uid="{00000000-0005-0000-0000-000045BE0000}"/>
    <cellStyle name="货币 2 6 4 2" xfId="30791" xr:uid="{00000000-0005-0000-0000-000077780000}"/>
    <cellStyle name="货币 2 6 4 2 10" xfId="48662" xr:uid="{00000000-0005-0000-0000-000046BE0000}"/>
    <cellStyle name="货币 2 6 4 2 11" xfId="48664" xr:uid="{00000000-0005-0000-0000-000048BE0000}"/>
    <cellStyle name="货币 2 6 4 2 12" xfId="48666" xr:uid="{00000000-0005-0000-0000-00004ABE0000}"/>
    <cellStyle name="货币 2 6 4 2 13" xfId="48668" xr:uid="{00000000-0005-0000-0000-00004CBE0000}"/>
    <cellStyle name="货币 2 6 4 2 14" xfId="48670" xr:uid="{00000000-0005-0000-0000-00004EBE0000}"/>
    <cellStyle name="货币 2 6 4 2 15" xfId="48672" xr:uid="{00000000-0005-0000-0000-000050BE0000}"/>
    <cellStyle name="货币 2 6 4 2 16" xfId="48674" xr:uid="{00000000-0005-0000-0000-000052BE0000}"/>
    <cellStyle name="货币 2 6 4 2 17" xfId="48676" xr:uid="{00000000-0005-0000-0000-000054BE0000}"/>
    <cellStyle name="货币 2 6 4 2 18" xfId="48678" xr:uid="{00000000-0005-0000-0000-000056BE0000}"/>
    <cellStyle name="货币 2 6 4 2 2" xfId="48679" xr:uid="{00000000-0005-0000-0000-000057BE0000}"/>
    <cellStyle name="货币 2 6 4 2 2 10" xfId="48680" xr:uid="{00000000-0005-0000-0000-000058BE0000}"/>
    <cellStyle name="货币 2 6 4 2 2 11" xfId="23857" xr:uid="{00000000-0005-0000-0000-0000615D0000}"/>
    <cellStyle name="货币 2 6 4 2 2 12" xfId="23860" xr:uid="{00000000-0005-0000-0000-0000645D0000}"/>
    <cellStyle name="货币 2 6 4 2 2 2" xfId="48681" xr:uid="{00000000-0005-0000-0000-000059BE0000}"/>
    <cellStyle name="货币 2 6 4 2 2 2 2" xfId="48682" xr:uid="{00000000-0005-0000-0000-00005ABE0000}"/>
    <cellStyle name="货币 2 6 4 2 2 2 2 2" xfId="43361" xr:uid="{00000000-0005-0000-0000-000091A90000}"/>
    <cellStyle name="货币 2 6 4 2 2 2 3" xfId="48683" xr:uid="{00000000-0005-0000-0000-00005BBE0000}"/>
    <cellStyle name="货币 2 6 4 2 2 2 4" xfId="48684" xr:uid="{00000000-0005-0000-0000-00005CBE0000}"/>
    <cellStyle name="货币 2 6 4 2 2 2 5" xfId="48685" xr:uid="{00000000-0005-0000-0000-00005DBE0000}"/>
    <cellStyle name="货币 2 6 4 2 2 3" xfId="48686" xr:uid="{00000000-0005-0000-0000-00005EBE0000}"/>
    <cellStyle name="货币 2 6 4 2 2 3 2" xfId="48687" xr:uid="{00000000-0005-0000-0000-00005FBE0000}"/>
    <cellStyle name="货币 2 6 4 2 2 4" xfId="48688" xr:uid="{00000000-0005-0000-0000-000060BE0000}"/>
    <cellStyle name="货币 2 6 4 2 2 5" xfId="48689" xr:uid="{00000000-0005-0000-0000-000061BE0000}"/>
    <cellStyle name="货币 2 6 4 2 2 6" xfId="48690" xr:uid="{00000000-0005-0000-0000-000062BE0000}"/>
    <cellStyle name="货币 2 6 4 2 2 7" xfId="48691" xr:uid="{00000000-0005-0000-0000-000063BE0000}"/>
    <cellStyle name="货币 2 6 4 2 2 8" xfId="48692" xr:uid="{00000000-0005-0000-0000-000064BE0000}"/>
    <cellStyle name="货币 2 6 4 2 2 9" xfId="44930" xr:uid="{00000000-0005-0000-0000-0000B2AF0000}"/>
    <cellStyle name="货币 2 6 4 2 3" xfId="48693" xr:uid="{00000000-0005-0000-0000-000065BE0000}"/>
    <cellStyle name="货币 2 6 4 2 3 10" xfId="48694" xr:uid="{00000000-0005-0000-0000-000066BE0000}"/>
    <cellStyle name="货币 2 6 4 2 3 11" xfId="48695" xr:uid="{00000000-0005-0000-0000-000067BE0000}"/>
    <cellStyle name="货币 2 6 4 2 3 12" xfId="48696" xr:uid="{00000000-0005-0000-0000-000068BE0000}"/>
    <cellStyle name="货币 2 6 4 2 3 2" xfId="23293" xr:uid="{00000000-0005-0000-0000-00002D5B0000}"/>
    <cellStyle name="货币 2 6 4 2 3 2 2" xfId="48697" xr:uid="{00000000-0005-0000-0000-000069BE0000}"/>
    <cellStyle name="货币 2 6 4 2 3 2 2 2" xfId="44215" xr:uid="{00000000-0005-0000-0000-0000E7AC0000}"/>
    <cellStyle name="货币 2 6 4 2 3 2 3" xfId="48698" xr:uid="{00000000-0005-0000-0000-00006ABE0000}"/>
    <cellStyle name="货币 2 6 4 2 3 2 4" xfId="48699" xr:uid="{00000000-0005-0000-0000-00006BBE0000}"/>
    <cellStyle name="货币 2 6 4 2 3 2 5" xfId="48700" xr:uid="{00000000-0005-0000-0000-00006CBE0000}"/>
    <cellStyle name="货币 2 6 4 2 3 3" xfId="23297" xr:uid="{00000000-0005-0000-0000-0000315B0000}"/>
    <cellStyle name="货币 2 6 4 2 3 3 2" xfId="48701" xr:uid="{00000000-0005-0000-0000-00006DBE0000}"/>
    <cellStyle name="货币 2 6 4 2 3 4" xfId="23300" xr:uid="{00000000-0005-0000-0000-0000345B0000}"/>
    <cellStyle name="货币 2 6 4 2 3 5" xfId="2191" xr:uid="{00000000-0005-0000-0000-0000BF080000}"/>
    <cellStyle name="货币 2 6 4 2 3 6" xfId="23878" xr:uid="{00000000-0005-0000-0000-0000765D0000}"/>
    <cellStyle name="货币 2 6 4 2 3 7" xfId="23882" xr:uid="{00000000-0005-0000-0000-00007A5D0000}"/>
    <cellStyle name="货币 2 6 4 2 3 8" xfId="23886" xr:uid="{00000000-0005-0000-0000-00007E5D0000}"/>
    <cellStyle name="货币 2 6 4 2 3 9" xfId="23890" xr:uid="{00000000-0005-0000-0000-0000825D0000}"/>
    <cellStyle name="货币 2 6 4 2 4" xfId="48702" xr:uid="{00000000-0005-0000-0000-00006EBE0000}"/>
    <cellStyle name="货币 2 6 4 2 4 10" xfId="14783" xr:uid="{00000000-0005-0000-0000-0000EF390000}"/>
    <cellStyle name="货币 2 6 4 2 4 2" xfId="23894" xr:uid="{00000000-0005-0000-0000-0000865D0000}"/>
    <cellStyle name="货币 2 6 4 2 4 2 2" xfId="21819" xr:uid="{00000000-0005-0000-0000-00006B550000}"/>
    <cellStyle name="货币 2 6 4 2 4 2 2 2" xfId="23899" xr:uid="{00000000-0005-0000-0000-00008B5D0000}"/>
    <cellStyle name="货币 2 6 4 2 4 2 3" xfId="21828" xr:uid="{00000000-0005-0000-0000-000074550000}"/>
    <cellStyle name="货币 2 6 4 2 4 2 4" xfId="21836" xr:uid="{00000000-0005-0000-0000-00007C550000}"/>
    <cellStyle name="货币 2 6 4 2 4 2 5" xfId="21844" xr:uid="{00000000-0005-0000-0000-000084550000}"/>
    <cellStyle name="货币 2 6 4 2 4 3" xfId="23908" xr:uid="{00000000-0005-0000-0000-0000945D0000}"/>
    <cellStyle name="货币 2 6 4 2 4 3 2" xfId="21877" xr:uid="{00000000-0005-0000-0000-0000A5550000}"/>
    <cellStyle name="货币 2 6 4 2 4 4" xfId="23917" xr:uid="{00000000-0005-0000-0000-00009D5D0000}"/>
    <cellStyle name="货币 2 6 4 2 4 5" xfId="23923" xr:uid="{00000000-0005-0000-0000-0000A35D0000}"/>
    <cellStyle name="货币 2 6 4 2 4 6" xfId="23930" xr:uid="{00000000-0005-0000-0000-0000AA5D0000}"/>
    <cellStyle name="货币 2 6 4 2 4 7" xfId="23936" xr:uid="{00000000-0005-0000-0000-0000B05D0000}"/>
    <cellStyle name="货币 2 6 4 2 4 8" xfId="23940" xr:uid="{00000000-0005-0000-0000-0000B45D0000}"/>
    <cellStyle name="货币 2 6 4 2 4 9" xfId="23944" xr:uid="{00000000-0005-0000-0000-0000B85D0000}"/>
    <cellStyle name="货币 2 6 4 2 5" xfId="48703" xr:uid="{00000000-0005-0000-0000-00006FBE0000}"/>
    <cellStyle name="货币 2 6 4 2 5 10" xfId="48704" xr:uid="{00000000-0005-0000-0000-000070BE0000}"/>
    <cellStyle name="货币 2 6 4 2 5 2" xfId="23948" xr:uid="{00000000-0005-0000-0000-0000BC5D0000}"/>
    <cellStyle name="货币 2 6 4 2 5 2 2" xfId="48705" xr:uid="{00000000-0005-0000-0000-000071BE0000}"/>
    <cellStyle name="货币 2 6 4 2 5 2 2 2" xfId="48706" xr:uid="{00000000-0005-0000-0000-000072BE0000}"/>
    <cellStyle name="货币 2 6 4 2 5 2 3" xfId="48707" xr:uid="{00000000-0005-0000-0000-000073BE0000}"/>
    <cellStyle name="货币 2 6 4 2 5 2 4" xfId="48708" xr:uid="{00000000-0005-0000-0000-000074BE0000}"/>
    <cellStyle name="货币 2 6 4 2 5 2 5" xfId="48709" xr:uid="{00000000-0005-0000-0000-000075BE0000}"/>
    <cellStyle name="货币 2 6 4 2 5 3" xfId="48710" xr:uid="{00000000-0005-0000-0000-000076BE0000}"/>
    <cellStyle name="货币 2 6 4 2 5 3 2" xfId="48711" xr:uid="{00000000-0005-0000-0000-000077BE0000}"/>
    <cellStyle name="货币 2 6 4 2 5 4" xfId="48712" xr:uid="{00000000-0005-0000-0000-000078BE0000}"/>
    <cellStyle name="货币 2 6 4 2 5 5" xfId="23955" xr:uid="{00000000-0005-0000-0000-0000C35D0000}"/>
    <cellStyle name="货币 2 6 4 2 5 6" xfId="23958" xr:uid="{00000000-0005-0000-0000-0000C65D0000}"/>
    <cellStyle name="货币 2 6 4 2 5 7" xfId="23961" xr:uid="{00000000-0005-0000-0000-0000C95D0000}"/>
    <cellStyle name="货币 2 6 4 2 5 8" xfId="141" xr:uid="{00000000-0005-0000-0000-000098000000}"/>
    <cellStyle name="货币 2 6 4 2 5 9" xfId="3898" xr:uid="{00000000-0005-0000-0000-00006A0F0000}"/>
    <cellStyle name="货币 2 6 4 2 6" xfId="48713" xr:uid="{00000000-0005-0000-0000-000079BE0000}"/>
    <cellStyle name="货币 2 6 4 2 6 2" xfId="1799" xr:uid="{00000000-0005-0000-0000-000037070000}"/>
    <cellStyle name="货币 2 6 4 2 6 2 2" xfId="31689" xr:uid="{00000000-0005-0000-0000-0000F97B0000}"/>
    <cellStyle name="货币 2 6 4 2 6 3" xfId="4264" xr:uid="{00000000-0005-0000-0000-0000D8100000}"/>
    <cellStyle name="货币 2 6 4 2 6 4" xfId="4291" xr:uid="{00000000-0005-0000-0000-0000F3100000}"/>
    <cellStyle name="货币 2 6 4 2 6 5" xfId="6287" xr:uid="{00000000-0005-0000-0000-0000BF180000}"/>
    <cellStyle name="货币 2 6 4 2 6 6" xfId="6305" xr:uid="{00000000-0005-0000-0000-0000D1180000}"/>
    <cellStyle name="货币 2 6 4 2 6 7" xfId="6323" xr:uid="{00000000-0005-0000-0000-0000E3180000}"/>
    <cellStyle name="货币 2 6 4 2 6 8" xfId="3974" xr:uid="{00000000-0005-0000-0000-0000B60F0000}"/>
    <cellStyle name="货币 2 6 4 2 6 9" xfId="3994" xr:uid="{00000000-0005-0000-0000-0000CA0F0000}"/>
    <cellStyle name="货币 2 6 4 2 7" xfId="48714" xr:uid="{00000000-0005-0000-0000-00007ABE0000}"/>
    <cellStyle name="货币 2 6 4 2 7 2" xfId="23967" xr:uid="{00000000-0005-0000-0000-0000CF5D0000}"/>
    <cellStyle name="货币 2 6 4 2 8" xfId="48715" xr:uid="{00000000-0005-0000-0000-00007BBE0000}"/>
    <cellStyle name="货币 2 6 4 2 9" xfId="48716" xr:uid="{00000000-0005-0000-0000-00007CBE0000}"/>
    <cellStyle name="货币 2 6 4 20" xfId="48655" xr:uid="{00000000-0005-0000-0000-00003FBE0000}"/>
    <cellStyle name="货币 2 6 4 21" xfId="48657" xr:uid="{00000000-0005-0000-0000-000041BE0000}"/>
    <cellStyle name="货币 2 6 4 22" xfId="48659" xr:uid="{00000000-0005-0000-0000-000043BE0000}"/>
    <cellStyle name="货币 2 6 4 23" xfId="29427" xr:uid="{00000000-0005-0000-0000-000023730000}"/>
    <cellStyle name="货币 2 6 4 3" xfId="30795" xr:uid="{00000000-0005-0000-0000-00007B780000}"/>
    <cellStyle name="货币 2 6 4 3 10" xfId="6524" xr:uid="{00000000-0005-0000-0000-0000AC190000}"/>
    <cellStyle name="货币 2 6 4 3 11" xfId="17942" xr:uid="{00000000-0005-0000-0000-000046460000}"/>
    <cellStyle name="货币 2 6 4 3 12" xfId="17945" xr:uid="{00000000-0005-0000-0000-000049460000}"/>
    <cellStyle name="货币 2 6 4 3 13" xfId="20432" xr:uid="{00000000-0005-0000-0000-000000500000}"/>
    <cellStyle name="货币 2 6 4 3 14" xfId="20435" xr:uid="{00000000-0005-0000-0000-000003500000}"/>
    <cellStyle name="货币 2 6 4 3 15" xfId="20437" xr:uid="{00000000-0005-0000-0000-000005500000}"/>
    <cellStyle name="货币 2 6 4 3 16" xfId="48717" xr:uid="{00000000-0005-0000-0000-00007DBE0000}"/>
    <cellStyle name="货币 2 6 4 3 17" xfId="48718" xr:uid="{00000000-0005-0000-0000-00007EBE0000}"/>
    <cellStyle name="货币 2 6 4 3 18" xfId="15394" xr:uid="{00000000-0005-0000-0000-0000523C0000}"/>
    <cellStyle name="货币 2 6 4 3 2" xfId="15778" xr:uid="{00000000-0005-0000-0000-0000D23D0000}"/>
    <cellStyle name="货币 2 6 4 3 2 10" xfId="48719" xr:uid="{00000000-0005-0000-0000-00007FBE0000}"/>
    <cellStyle name="货币 2 6 4 3 2 2" xfId="19845" xr:uid="{00000000-0005-0000-0000-0000B54D0000}"/>
    <cellStyle name="货币 2 6 4 3 2 2 2" xfId="14142" xr:uid="{00000000-0005-0000-0000-00006E370000}"/>
    <cellStyle name="货币 2 6 4 3 2 3" xfId="48720" xr:uid="{00000000-0005-0000-0000-000080BE0000}"/>
    <cellStyle name="货币 2 6 4 3 2 4" xfId="48721" xr:uid="{00000000-0005-0000-0000-000081BE0000}"/>
    <cellStyle name="货币 2 6 4 3 2 5" xfId="48722" xr:uid="{00000000-0005-0000-0000-000082BE0000}"/>
    <cellStyle name="货币 2 6 4 3 2 6" xfId="48723" xr:uid="{00000000-0005-0000-0000-000083BE0000}"/>
    <cellStyle name="货币 2 6 4 3 2 7" xfId="48724" xr:uid="{00000000-0005-0000-0000-000084BE0000}"/>
    <cellStyle name="货币 2 6 4 3 2 8" xfId="48725" xr:uid="{00000000-0005-0000-0000-000085BE0000}"/>
    <cellStyle name="货币 2 6 4 3 2 9" xfId="48726" xr:uid="{00000000-0005-0000-0000-000086BE0000}"/>
    <cellStyle name="货币 2 6 4 3 3" xfId="24068" xr:uid="{00000000-0005-0000-0000-0000345E0000}"/>
    <cellStyle name="货币 2 6 4 3 3 2" xfId="23769" xr:uid="{00000000-0005-0000-0000-0000095D0000}"/>
    <cellStyle name="货币 2 6 4 3 3 3" xfId="23775" xr:uid="{00000000-0005-0000-0000-00000F5D0000}"/>
    <cellStyle name="货币 2 6 4 3 3 4" xfId="23782" xr:uid="{00000000-0005-0000-0000-0000165D0000}"/>
    <cellStyle name="货币 2 6 4 3 3 5" xfId="9537" xr:uid="{00000000-0005-0000-0000-000071250000}"/>
    <cellStyle name="货币 2 6 4 3 3 6" xfId="23788" xr:uid="{00000000-0005-0000-0000-00001C5D0000}"/>
    <cellStyle name="货币 2 6 4 3 4" xfId="24080" xr:uid="{00000000-0005-0000-0000-0000405E0000}"/>
    <cellStyle name="货币 2 6 4 3 4 2" xfId="24088" xr:uid="{00000000-0005-0000-0000-0000485E0000}"/>
    <cellStyle name="货币 2 6 4 3 4 3" xfId="24096" xr:uid="{00000000-0005-0000-0000-0000505E0000}"/>
    <cellStyle name="货币 2 6 4 3 4 4" xfId="24102" xr:uid="{00000000-0005-0000-0000-0000565E0000}"/>
    <cellStyle name="货币 2 6 4 3 4 5" xfId="24105" xr:uid="{00000000-0005-0000-0000-0000595E0000}"/>
    <cellStyle name="货币 2 6 4 3 4 6" xfId="24109" xr:uid="{00000000-0005-0000-0000-00005D5E0000}"/>
    <cellStyle name="货币 2 6 4 3 5" xfId="24118" xr:uid="{00000000-0005-0000-0000-0000665E0000}"/>
    <cellStyle name="货币 2 6 4 3 5 2" xfId="9292" xr:uid="{00000000-0005-0000-0000-00007C240000}"/>
    <cellStyle name="货币 2 6 4 3 5 3" xfId="48727" xr:uid="{00000000-0005-0000-0000-000087BE0000}"/>
    <cellStyle name="货币 2 6 4 3 5 4" xfId="48728" xr:uid="{00000000-0005-0000-0000-000088BE0000}"/>
    <cellStyle name="货币 2 6 4 3 5 5" xfId="24125" xr:uid="{00000000-0005-0000-0000-00006D5E0000}"/>
    <cellStyle name="货币 2 6 4 3 5 6" xfId="48729" xr:uid="{00000000-0005-0000-0000-000089BE0000}"/>
    <cellStyle name="货币 2 6 4 3 6" xfId="24132" xr:uid="{00000000-0005-0000-0000-0000745E0000}"/>
    <cellStyle name="货币 2 6 4 3 6 2" xfId="11100" xr:uid="{00000000-0005-0000-0000-00008C2B0000}"/>
    <cellStyle name="货币 2 6 4 3 6 3" xfId="48730" xr:uid="{00000000-0005-0000-0000-00008ABE0000}"/>
    <cellStyle name="货币 2 6 4 3 6 4" xfId="48731" xr:uid="{00000000-0005-0000-0000-00008BBE0000}"/>
    <cellStyle name="货币 2 6 4 3 6 5" xfId="24136" xr:uid="{00000000-0005-0000-0000-0000785E0000}"/>
    <cellStyle name="货币 2 6 4 3 6 6" xfId="24139" xr:uid="{00000000-0005-0000-0000-00007B5E0000}"/>
    <cellStyle name="货币 2 6 4 3 7" xfId="24146" xr:uid="{00000000-0005-0000-0000-0000825E0000}"/>
    <cellStyle name="货币 2 6 4 3 8" xfId="37018" xr:uid="{00000000-0005-0000-0000-0000CA900000}"/>
    <cellStyle name="货币 2 6 4 3 9" xfId="37020" xr:uid="{00000000-0005-0000-0000-0000CC900000}"/>
    <cellStyle name="货币 2 6 4 4" xfId="30798" xr:uid="{00000000-0005-0000-0000-00007E780000}"/>
    <cellStyle name="货币 2 6 4 4 10" xfId="48732" xr:uid="{00000000-0005-0000-0000-00008CBE0000}"/>
    <cellStyle name="货币 2 6 4 4 11" xfId="48733" xr:uid="{00000000-0005-0000-0000-00008DBE0000}"/>
    <cellStyle name="货币 2 6 4 4 12" xfId="4585" xr:uid="{00000000-0005-0000-0000-000019120000}"/>
    <cellStyle name="货币 2 6 4 4 13" xfId="48734" xr:uid="{00000000-0005-0000-0000-00008EBE0000}"/>
    <cellStyle name="货币 2 6 4 4 14" xfId="48735" xr:uid="{00000000-0005-0000-0000-00008FBE0000}"/>
    <cellStyle name="货币 2 6 4 4 15" xfId="48736" xr:uid="{00000000-0005-0000-0000-000090BE0000}"/>
    <cellStyle name="货币 2 6 4 4 2" xfId="43101" xr:uid="{00000000-0005-0000-0000-00008DA80000}"/>
    <cellStyle name="货币 2 6 4 4 2 2" xfId="24190" xr:uid="{00000000-0005-0000-0000-0000AE5E0000}"/>
    <cellStyle name="货币 2 6 4 4 2 2 2" xfId="48737" xr:uid="{00000000-0005-0000-0000-000091BE0000}"/>
    <cellStyle name="货币 2 6 4 4 2 3" xfId="24194" xr:uid="{00000000-0005-0000-0000-0000B25E0000}"/>
    <cellStyle name="货币 2 6 4 4 2 4" xfId="24197" xr:uid="{00000000-0005-0000-0000-0000B55E0000}"/>
    <cellStyle name="货币 2 6 4 4 2 5" xfId="48738" xr:uid="{00000000-0005-0000-0000-000092BE0000}"/>
    <cellStyle name="货币 2 6 4 4 2 6" xfId="48739" xr:uid="{00000000-0005-0000-0000-000093BE0000}"/>
    <cellStyle name="货币 2 6 4 4 2 7" xfId="48740" xr:uid="{00000000-0005-0000-0000-000094BE0000}"/>
    <cellStyle name="货币 2 6 4 4 2 8" xfId="48741" xr:uid="{00000000-0005-0000-0000-000095BE0000}"/>
    <cellStyle name="货币 2 6 4 4 2 9" xfId="48742" xr:uid="{00000000-0005-0000-0000-000096BE0000}"/>
    <cellStyle name="货币 2 6 4 4 3" xfId="43103" xr:uid="{00000000-0005-0000-0000-00008FA80000}"/>
    <cellStyle name="货币 2 6 4 4 3 2" xfId="24208" xr:uid="{00000000-0005-0000-0000-0000C05E0000}"/>
    <cellStyle name="货币 2 6 4 4 3 3" xfId="24212" xr:uid="{00000000-0005-0000-0000-0000C45E0000}"/>
    <cellStyle name="货币 2 6 4 4 3 4" xfId="24215" xr:uid="{00000000-0005-0000-0000-0000C75E0000}"/>
    <cellStyle name="货币 2 6 4 4 3 5" xfId="24218" xr:uid="{00000000-0005-0000-0000-0000CA5E0000}"/>
    <cellStyle name="货币 2 6 4 4 3 6" xfId="24222" xr:uid="{00000000-0005-0000-0000-0000CE5E0000}"/>
    <cellStyle name="货币 2 6 4 4 4" xfId="48743" xr:uid="{00000000-0005-0000-0000-000097BE0000}"/>
    <cellStyle name="货币 2 6 4 4 4 2" xfId="48744" xr:uid="{00000000-0005-0000-0000-000098BE0000}"/>
    <cellStyle name="货币 2 6 4 4 5" xfId="2157" xr:uid="{00000000-0005-0000-0000-00009D080000}"/>
    <cellStyle name="货币 2 6 4 4 6" xfId="8214" xr:uid="{00000000-0005-0000-0000-000046200000}"/>
    <cellStyle name="货币 2 6 4 4 7" xfId="8229" xr:uid="{00000000-0005-0000-0000-000055200000}"/>
    <cellStyle name="货币 2 6 4 4 8" xfId="60" xr:uid="{00000000-0005-0000-0000-000040000000}"/>
    <cellStyle name="货币 2 6 4 4 9" xfId="48745" xr:uid="{00000000-0005-0000-0000-000099BE0000}"/>
    <cellStyle name="货币 2 6 4 5" xfId="30801" xr:uid="{00000000-0005-0000-0000-000081780000}"/>
    <cellStyle name="货币 2 6 4 5 10" xfId="3144" xr:uid="{00000000-0005-0000-0000-0000780C0000}"/>
    <cellStyle name="货币 2 6 4 5 11" xfId="48746" xr:uid="{00000000-0005-0000-0000-00009ABE0000}"/>
    <cellStyle name="货币 2 6 4 5 12" xfId="48747" xr:uid="{00000000-0005-0000-0000-00009BBE0000}"/>
    <cellStyle name="货币 2 6 4 5 13" xfId="48748" xr:uid="{00000000-0005-0000-0000-00009CBE0000}"/>
    <cellStyle name="货币 2 6 4 5 2" xfId="24248" xr:uid="{00000000-0005-0000-0000-0000E85E0000}"/>
    <cellStyle name="货币 2 6 4 5 2 2" xfId="24252" xr:uid="{00000000-0005-0000-0000-0000EC5E0000}"/>
    <cellStyle name="货币 2 6 4 5 2 2 2" xfId="48749" xr:uid="{00000000-0005-0000-0000-00009DBE0000}"/>
    <cellStyle name="货币 2 6 4 5 2 3" xfId="7749" xr:uid="{00000000-0005-0000-0000-0000751E0000}"/>
    <cellStyle name="货币 2 6 4 5 2 4" xfId="4010" xr:uid="{00000000-0005-0000-0000-0000DA0F0000}"/>
    <cellStyle name="货币 2 6 4 5 2 5" xfId="48750" xr:uid="{00000000-0005-0000-0000-00009EBE0000}"/>
    <cellStyle name="货币 2 6 4 5 2 6" xfId="48751" xr:uid="{00000000-0005-0000-0000-00009FBE0000}"/>
    <cellStyle name="货币 2 6 4 5 2 7" xfId="48752" xr:uid="{00000000-0005-0000-0000-0000A0BE0000}"/>
    <cellStyle name="货币 2 6 4 5 2 8" xfId="48753" xr:uid="{00000000-0005-0000-0000-0000A1BE0000}"/>
    <cellStyle name="货币 2 6 4 5 2 9" xfId="48754" xr:uid="{00000000-0005-0000-0000-0000A2BE0000}"/>
    <cellStyle name="货币 2 6 4 5 3" xfId="24256" xr:uid="{00000000-0005-0000-0000-0000F05E0000}"/>
    <cellStyle name="货币 2 6 4 5 3 2" xfId="24259" xr:uid="{00000000-0005-0000-0000-0000F35E0000}"/>
    <cellStyle name="货币 2 6 4 5 3 3" xfId="48755" xr:uid="{00000000-0005-0000-0000-0000A3BE0000}"/>
    <cellStyle name="货币 2 6 4 5 3 4" xfId="48756" xr:uid="{00000000-0005-0000-0000-0000A4BE0000}"/>
    <cellStyle name="货币 2 6 4 5 3 5" xfId="24264" xr:uid="{00000000-0005-0000-0000-0000F85E0000}"/>
    <cellStyle name="货币 2 6 4 5 3 6" xfId="24268" xr:uid="{00000000-0005-0000-0000-0000FC5E0000}"/>
    <cellStyle name="货币 2 6 4 5 4" xfId="24271" xr:uid="{00000000-0005-0000-0000-0000FF5E0000}"/>
    <cellStyle name="货币 2 6 4 5 4 2" xfId="24274" xr:uid="{00000000-0005-0000-0000-0000025F0000}"/>
    <cellStyle name="货币 2 6 4 5 5" xfId="2201" xr:uid="{00000000-0005-0000-0000-0000C9080000}"/>
    <cellStyle name="货币 2 6 4 5 6" xfId="24283" xr:uid="{00000000-0005-0000-0000-00000B5F0000}"/>
    <cellStyle name="货币 2 6 4 5 7" xfId="48757" xr:uid="{00000000-0005-0000-0000-0000A5BE0000}"/>
    <cellStyle name="货币 2 6 4 5 8" xfId="48758" xr:uid="{00000000-0005-0000-0000-0000A6BE0000}"/>
    <cellStyle name="货币 2 6 4 5 9" xfId="48759" xr:uid="{00000000-0005-0000-0000-0000A7BE0000}"/>
    <cellStyle name="货币 2 6 4 6" xfId="48760" xr:uid="{00000000-0005-0000-0000-0000A8BE0000}"/>
    <cellStyle name="货币 2 6 4 6 10" xfId="48761" xr:uid="{00000000-0005-0000-0000-0000A9BE0000}"/>
    <cellStyle name="货币 2 6 4 6 11" xfId="4317" xr:uid="{00000000-0005-0000-0000-00000D110000}"/>
    <cellStyle name="货币 2 6 4 6 12" xfId="43545" xr:uid="{00000000-0005-0000-0000-000049AA0000}"/>
    <cellStyle name="货币 2 6 4 6 2" xfId="48762" xr:uid="{00000000-0005-0000-0000-0000AABE0000}"/>
    <cellStyle name="货币 2 6 4 6 2 2" xfId="9203" xr:uid="{00000000-0005-0000-0000-000023240000}"/>
    <cellStyle name="货币 2 6 4 6 2 2 2" xfId="48763" xr:uid="{00000000-0005-0000-0000-0000ABBE0000}"/>
    <cellStyle name="货币 2 6 4 6 2 3" xfId="7856" xr:uid="{00000000-0005-0000-0000-0000E01E0000}"/>
    <cellStyle name="货币 2 6 4 6 2 4" xfId="7633" xr:uid="{00000000-0005-0000-0000-0000011E0000}"/>
    <cellStyle name="货币 2 6 4 6 2 5" xfId="48764" xr:uid="{00000000-0005-0000-0000-0000ACBE0000}"/>
    <cellStyle name="货币 2 6 4 6 2 6" xfId="48765" xr:uid="{00000000-0005-0000-0000-0000ADBE0000}"/>
    <cellStyle name="货币 2 6 4 6 2 7" xfId="48766" xr:uid="{00000000-0005-0000-0000-0000AEBE0000}"/>
    <cellStyle name="货币 2 6 4 6 2 8" xfId="48767" xr:uid="{00000000-0005-0000-0000-0000AFBE0000}"/>
    <cellStyle name="货币 2 6 4 6 2 9" xfId="48768" xr:uid="{00000000-0005-0000-0000-0000B0BE0000}"/>
    <cellStyle name="货币 2 6 4 6 3" xfId="48769" xr:uid="{00000000-0005-0000-0000-0000B1BE0000}"/>
    <cellStyle name="货币 2 6 4 6 3 2" xfId="6851" xr:uid="{00000000-0005-0000-0000-0000F31A0000}"/>
    <cellStyle name="货币 2 6 4 6 3 3" xfId="6910" xr:uid="{00000000-0005-0000-0000-00002E1B0000}"/>
    <cellStyle name="货币 2 6 4 6 3 4" xfId="6939" xr:uid="{00000000-0005-0000-0000-00004B1B0000}"/>
    <cellStyle name="货币 2 6 4 6 3 5" xfId="1444" xr:uid="{00000000-0005-0000-0000-0000D4050000}"/>
    <cellStyle name="货币 2 6 4 6 3 6" xfId="3584" xr:uid="{00000000-0005-0000-0000-0000300E0000}"/>
    <cellStyle name="货币 2 6 4 6 4" xfId="48770" xr:uid="{00000000-0005-0000-0000-0000B2BE0000}"/>
    <cellStyle name="货币 2 6 4 6 4 2" xfId="45319" xr:uid="{00000000-0005-0000-0000-000037B10000}"/>
    <cellStyle name="货币 2 6 4 6 5" xfId="48771" xr:uid="{00000000-0005-0000-0000-0000B3BE0000}"/>
    <cellStyle name="货币 2 6 4 6 6" xfId="48772" xr:uid="{00000000-0005-0000-0000-0000B4BE0000}"/>
    <cellStyle name="货币 2 6 4 6 7" xfId="48773" xr:uid="{00000000-0005-0000-0000-0000B5BE0000}"/>
    <cellStyle name="货币 2 6 4 6 8" xfId="48774" xr:uid="{00000000-0005-0000-0000-0000B6BE0000}"/>
    <cellStyle name="货币 2 6 4 6 9" xfId="48775" xr:uid="{00000000-0005-0000-0000-0000B7BE0000}"/>
    <cellStyle name="货币 2 6 4 7" xfId="48776" xr:uid="{00000000-0005-0000-0000-0000B8BE0000}"/>
    <cellStyle name="货币 2 6 4 7 2" xfId="48777" xr:uid="{00000000-0005-0000-0000-0000B9BE0000}"/>
    <cellStyle name="货币 2 6 4 7 2 2" xfId="12793" xr:uid="{00000000-0005-0000-0000-000029320000}"/>
    <cellStyle name="货币 2 6 4 7 3" xfId="48778" xr:uid="{00000000-0005-0000-0000-0000BABE0000}"/>
    <cellStyle name="货币 2 6 4 7 4" xfId="48779" xr:uid="{00000000-0005-0000-0000-0000BBBE0000}"/>
    <cellStyle name="货币 2 6 4 7 5" xfId="48780" xr:uid="{00000000-0005-0000-0000-0000BCBE0000}"/>
    <cellStyle name="货币 2 6 4 7 6" xfId="48781" xr:uid="{00000000-0005-0000-0000-0000BDBE0000}"/>
    <cellStyle name="货币 2 6 4 7 7" xfId="48782" xr:uid="{00000000-0005-0000-0000-0000BEBE0000}"/>
    <cellStyle name="货币 2 6 4 7 8" xfId="48783" xr:uid="{00000000-0005-0000-0000-0000BFBE0000}"/>
    <cellStyle name="货币 2 6 4 7 9" xfId="48784" xr:uid="{00000000-0005-0000-0000-0000C0BE0000}"/>
    <cellStyle name="货币 2 6 4 8" xfId="48785" xr:uid="{00000000-0005-0000-0000-0000C1BE0000}"/>
    <cellStyle name="货币 2 6 4 8 2" xfId="13826" xr:uid="{00000000-0005-0000-0000-000032360000}"/>
    <cellStyle name="货币 2 6 4 8 3" xfId="4276" xr:uid="{00000000-0005-0000-0000-0000E4100000}"/>
    <cellStyle name="货币 2 6 4 8 4" xfId="4302" xr:uid="{00000000-0005-0000-0000-0000FE100000}"/>
    <cellStyle name="货币 2 6 4 8 5" xfId="6296" xr:uid="{00000000-0005-0000-0000-0000C8180000}"/>
    <cellStyle name="货币 2 6 4 8 6" xfId="6313" xr:uid="{00000000-0005-0000-0000-0000D9180000}"/>
    <cellStyle name="货币 2 6 4 9" xfId="48786" xr:uid="{00000000-0005-0000-0000-0000C2BE0000}"/>
    <cellStyle name="货币 2 6 4 9 2" xfId="13840" xr:uid="{00000000-0005-0000-0000-000040360000}"/>
    <cellStyle name="货币 2 6 4 9 3" xfId="4328" xr:uid="{00000000-0005-0000-0000-000018110000}"/>
    <cellStyle name="货币 2 6 4 9 4" xfId="7544" xr:uid="{00000000-0005-0000-0000-0000A81D0000}"/>
    <cellStyle name="货币 2 6 4 9 5" xfId="310" xr:uid="{00000000-0005-0000-0000-00004A010000}"/>
    <cellStyle name="货币 2 6 4 9 6" xfId="48787" xr:uid="{00000000-0005-0000-0000-0000C3BE0000}"/>
    <cellStyle name="货币 2 6 5" xfId="14394" xr:uid="{00000000-0005-0000-0000-00006A380000}"/>
    <cellStyle name="货币 2 6 5 10" xfId="48788" xr:uid="{00000000-0005-0000-0000-0000C4BE0000}"/>
    <cellStyle name="货币 2 6 5 11" xfId="48789" xr:uid="{00000000-0005-0000-0000-0000C5BE0000}"/>
    <cellStyle name="货币 2 6 5 12" xfId="48790" xr:uid="{00000000-0005-0000-0000-0000C6BE0000}"/>
    <cellStyle name="货币 2 6 5 13" xfId="48791" xr:uid="{00000000-0005-0000-0000-0000C7BE0000}"/>
    <cellStyle name="货币 2 6 5 14" xfId="48792" xr:uid="{00000000-0005-0000-0000-0000C8BE0000}"/>
    <cellStyle name="货币 2 6 5 15" xfId="48793" xr:uid="{00000000-0005-0000-0000-0000C9BE0000}"/>
    <cellStyle name="货币 2 6 5 16" xfId="48794" xr:uid="{00000000-0005-0000-0000-0000CABE0000}"/>
    <cellStyle name="货币 2 6 5 17" xfId="48795" xr:uid="{00000000-0005-0000-0000-0000CBBE0000}"/>
    <cellStyle name="货币 2 6 5 18" xfId="48796" xr:uid="{00000000-0005-0000-0000-0000CCBE0000}"/>
    <cellStyle name="货币 2 6 5 19" xfId="40888" xr:uid="{00000000-0005-0000-0000-0000E89F0000}"/>
    <cellStyle name="货币 2 6 5 2" xfId="218" xr:uid="{00000000-0005-0000-0000-0000EA000000}"/>
    <cellStyle name="货币 2 6 5 2 10" xfId="48797" xr:uid="{00000000-0005-0000-0000-0000CDBE0000}"/>
    <cellStyle name="货币 2 6 5 2 11" xfId="44568" xr:uid="{00000000-0005-0000-0000-000048AE0000}"/>
    <cellStyle name="货币 2 6 5 2 12" xfId="44570" xr:uid="{00000000-0005-0000-0000-00004AAE0000}"/>
    <cellStyle name="货币 2 6 5 2 13" xfId="44572" xr:uid="{00000000-0005-0000-0000-00004CAE0000}"/>
    <cellStyle name="货币 2 6 5 2 14" xfId="12606" xr:uid="{00000000-0005-0000-0000-00006E310000}"/>
    <cellStyle name="货币 2 6 5 2 15" xfId="24736" xr:uid="{00000000-0005-0000-0000-0000D0600000}"/>
    <cellStyle name="货币 2 6 5 2 16" xfId="24739" xr:uid="{00000000-0005-0000-0000-0000D3600000}"/>
    <cellStyle name="货币 2 6 5 2 17" xfId="24741" xr:uid="{00000000-0005-0000-0000-0000D5600000}"/>
    <cellStyle name="货币 2 6 5 2 18" xfId="24743" xr:uid="{00000000-0005-0000-0000-0000D7600000}"/>
    <cellStyle name="货币 2 6 5 2 2" xfId="295" xr:uid="{00000000-0005-0000-0000-00003B010000}"/>
    <cellStyle name="货币 2 6 5 2 2 10" xfId="1478" xr:uid="{00000000-0005-0000-0000-0000F6050000}"/>
    <cellStyle name="货币 2 6 5 2 2 2" xfId="41574" xr:uid="{00000000-0005-0000-0000-000096A20000}"/>
    <cellStyle name="货币 2 6 5 2 2 2 2" xfId="10257" xr:uid="{00000000-0005-0000-0000-000041280000}"/>
    <cellStyle name="货币 2 6 5 2 2 3" xfId="41576" xr:uid="{00000000-0005-0000-0000-000098A20000}"/>
    <cellStyle name="货币 2 6 5 2 2 4" xfId="41578" xr:uid="{00000000-0005-0000-0000-00009AA20000}"/>
    <cellStyle name="货币 2 6 5 2 2 5" xfId="41580" xr:uid="{00000000-0005-0000-0000-00009CA20000}"/>
    <cellStyle name="货币 2 6 5 2 2 6" xfId="10024" xr:uid="{00000000-0005-0000-0000-000058270000}"/>
    <cellStyle name="货币 2 6 5 2 2 7" xfId="10034" xr:uid="{00000000-0005-0000-0000-000062270000}"/>
    <cellStyle name="货币 2 6 5 2 2 8" xfId="41582" xr:uid="{00000000-0005-0000-0000-00009EA20000}"/>
    <cellStyle name="货币 2 6 5 2 2 9" xfId="48798" xr:uid="{00000000-0005-0000-0000-0000CEBE0000}"/>
    <cellStyle name="货币 2 6 5 2 3" xfId="24454" xr:uid="{00000000-0005-0000-0000-0000B65F0000}"/>
    <cellStyle name="货币 2 6 5 2 3 2" xfId="41589" xr:uid="{00000000-0005-0000-0000-0000A5A20000}"/>
    <cellStyle name="货币 2 6 5 2 3 3" xfId="41591" xr:uid="{00000000-0005-0000-0000-0000A7A20000}"/>
    <cellStyle name="货币 2 6 5 2 3 4" xfId="41593" xr:uid="{00000000-0005-0000-0000-0000A9A20000}"/>
    <cellStyle name="货币 2 6 5 2 3 5" xfId="10073" xr:uid="{00000000-0005-0000-0000-000089270000}"/>
    <cellStyle name="货币 2 6 5 2 3 6" xfId="24462" xr:uid="{00000000-0005-0000-0000-0000BE5F0000}"/>
    <cellStyle name="货币 2 6 5 2 4" xfId="48799" xr:uid="{00000000-0005-0000-0000-0000CFBE0000}"/>
    <cellStyle name="货币 2 6 5 2 4 2" xfId="41599" xr:uid="{00000000-0005-0000-0000-0000AFA20000}"/>
    <cellStyle name="货币 2 6 5 2 4 3" xfId="41601" xr:uid="{00000000-0005-0000-0000-0000B1A20000}"/>
    <cellStyle name="货币 2 6 5 2 4 4" xfId="41603" xr:uid="{00000000-0005-0000-0000-0000B3A20000}"/>
    <cellStyle name="货币 2 6 5 2 4 5" xfId="24470" xr:uid="{00000000-0005-0000-0000-0000C65F0000}"/>
    <cellStyle name="货币 2 6 5 2 4 6" xfId="24474" xr:uid="{00000000-0005-0000-0000-0000CA5F0000}"/>
    <cellStyle name="货币 2 6 5 2 5" xfId="48800" xr:uid="{00000000-0005-0000-0000-0000D0BE0000}"/>
    <cellStyle name="货币 2 6 5 2 5 2" xfId="6924" xr:uid="{00000000-0005-0000-0000-00003C1B0000}"/>
    <cellStyle name="货币 2 6 5 2 5 3" xfId="41609" xr:uid="{00000000-0005-0000-0000-0000B9A20000}"/>
    <cellStyle name="货币 2 6 5 2 5 4" xfId="41612" xr:uid="{00000000-0005-0000-0000-0000BCA20000}"/>
    <cellStyle name="货币 2 6 5 2 5 5" xfId="33032" xr:uid="{00000000-0005-0000-0000-000038810000}"/>
    <cellStyle name="货币 2 6 5 2 5 6" xfId="33035" xr:uid="{00000000-0005-0000-0000-00003B810000}"/>
    <cellStyle name="货币 2 6 5 2 6" xfId="48801" xr:uid="{00000000-0005-0000-0000-0000D1BE0000}"/>
    <cellStyle name="货币 2 6 5 2 6 2" xfId="41616" xr:uid="{00000000-0005-0000-0000-0000C0A20000}"/>
    <cellStyle name="货币 2 6 5 2 6 3" xfId="41618" xr:uid="{00000000-0005-0000-0000-0000C2A20000}"/>
    <cellStyle name="货币 2 6 5 2 6 4" xfId="41620" xr:uid="{00000000-0005-0000-0000-0000C4A20000}"/>
    <cellStyle name="货币 2 6 5 2 6 5" xfId="20280" xr:uid="{00000000-0005-0000-0000-0000684F0000}"/>
    <cellStyle name="货币 2 6 5 2 6 6" xfId="20285" xr:uid="{00000000-0005-0000-0000-00006D4F0000}"/>
    <cellStyle name="货币 2 6 5 2 7" xfId="48802" xr:uid="{00000000-0005-0000-0000-0000D2BE0000}"/>
    <cellStyle name="货币 2 6 5 2 8" xfId="48803" xr:uid="{00000000-0005-0000-0000-0000D3BE0000}"/>
    <cellStyle name="货币 2 6 5 2 9" xfId="48804" xr:uid="{00000000-0005-0000-0000-0000D4BE0000}"/>
    <cellStyle name="货币 2 6 5 3" xfId="3307" xr:uid="{00000000-0005-0000-0000-00001B0D0000}"/>
    <cellStyle name="货币 2 6 5 3 10" xfId="48805" xr:uid="{00000000-0005-0000-0000-0000D5BE0000}"/>
    <cellStyle name="货币 2 6 5 3 11" xfId="48806" xr:uid="{00000000-0005-0000-0000-0000D6BE0000}"/>
    <cellStyle name="货币 2 6 5 3 12" xfId="48807" xr:uid="{00000000-0005-0000-0000-0000D7BE0000}"/>
    <cellStyle name="货币 2 6 5 3 2" xfId="3318" xr:uid="{00000000-0005-0000-0000-0000260D0000}"/>
    <cellStyle name="货币 2 6 5 3 2 2" xfId="41632" xr:uid="{00000000-0005-0000-0000-0000D0A20000}"/>
    <cellStyle name="货币 2 6 5 3 2 2 2" xfId="48808" xr:uid="{00000000-0005-0000-0000-0000D8BE0000}"/>
    <cellStyle name="货币 2 6 5 3 2 3" xfId="41634" xr:uid="{00000000-0005-0000-0000-0000D2A20000}"/>
    <cellStyle name="货币 2 6 5 3 2 4" xfId="41636" xr:uid="{00000000-0005-0000-0000-0000D4A20000}"/>
    <cellStyle name="货币 2 6 5 3 2 5" xfId="41638" xr:uid="{00000000-0005-0000-0000-0000D6A20000}"/>
    <cellStyle name="货币 2 6 5 3 3" xfId="48809" xr:uid="{00000000-0005-0000-0000-0000D9BE0000}"/>
    <cellStyle name="货币 2 6 5 3 3 2" xfId="41645" xr:uid="{00000000-0005-0000-0000-0000DDA20000}"/>
    <cellStyle name="货币 2 6 5 3 4" xfId="48810" xr:uid="{00000000-0005-0000-0000-0000DABE0000}"/>
    <cellStyle name="货币 2 6 5 3 5" xfId="48811" xr:uid="{00000000-0005-0000-0000-0000DBBE0000}"/>
    <cellStyle name="货币 2 6 5 3 6" xfId="24507" xr:uid="{00000000-0005-0000-0000-0000EB5F0000}"/>
    <cellStyle name="货币 2 6 5 3 7" xfId="48812" xr:uid="{00000000-0005-0000-0000-0000DCBE0000}"/>
    <cellStyle name="货币 2 6 5 3 8" xfId="48813" xr:uid="{00000000-0005-0000-0000-0000DDBE0000}"/>
    <cellStyle name="货币 2 6 5 3 9" xfId="48814" xr:uid="{00000000-0005-0000-0000-0000DEBE0000}"/>
    <cellStyle name="货币 2 6 5 4" xfId="2652" xr:uid="{00000000-0005-0000-0000-00008C0A0000}"/>
    <cellStyle name="货币 2 6 5 4 10" xfId="29078" xr:uid="{00000000-0005-0000-0000-0000C6710000}"/>
    <cellStyle name="货币 2 6 5 4 11" xfId="29081" xr:uid="{00000000-0005-0000-0000-0000C9710000}"/>
    <cellStyle name="货币 2 6 5 4 2" xfId="3370" xr:uid="{00000000-0005-0000-0000-00005A0D0000}"/>
    <cellStyle name="货币 2 6 5 4 2 2" xfId="41679" xr:uid="{00000000-0005-0000-0000-0000FFA20000}"/>
    <cellStyle name="货币 2 6 5 4 2 2 2" xfId="48815" xr:uid="{00000000-0005-0000-0000-0000DFBE0000}"/>
    <cellStyle name="货币 2 6 5 4 2 3" xfId="41681" xr:uid="{00000000-0005-0000-0000-000001A30000}"/>
    <cellStyle name="货币 2 6 5 4 2 4" xfId="41683" xr:uid="{00000000-0005-0000-0000-000003A30000}"/>
    <cellStyle name="货币 2 6 5 4 2 5" xfId="41685" xr:uid="{00000000-0005-0000-0000-000005A30000}"/>
    <cellStyle name="货币 2 6 5 4 3" xfId="43134" xr:uid="{00000000-0005-0000-0000-0000AEA80000}"/>
    <cellStyle name="货币 2 6 5 4 3 2" xfId="41691" xr:uid="{00000000-0005-0000-0000-00000BA30000}"/>
    <cellStyle name="货币 2 6 5 4 4" xfId="48816" xr:uid="{00000000-0005-0000-0000-0000E0BE0000}"/>
    <cellStyle name="货币 2 6 5 4 5" xfId="7414" xr:uid="{00000000-0005-0000-0000-0000261D0000}"/>
    <cellStyle name="货币 2 6 5 4 6" xfId="48817" xr:uid="{00000000-0005-0000-0000-0000E1BE0000}"/>
    <cellStyle name="货币 2 6 5 4 7" xfId="48818" xr:uid="{00000000-0005-0000-0000-0000E2BE0000}"/>
    <cellStyle name="货币 2 6 5 4 8" xfId="48819" xr:uid="{00000000-0005-0000-0000-0000E3BE0000}"/>
    <cellStyle name="货币 2 6 5 4 9" xfId="48820" xr:uid="{00000000-0005-0000-0000-0000E4BE0000}"/>
    <cellStyle name="货币 2 6 5 5" xfId="3382" xr:uid="{00000000-0005-0000-0000-0000660D0000}"/>
    <cellStyle name="货币 2 6 5 5 10" xfId="23922" xr:uid="{00000000-0005-0000-0000-0000A25D0000}"/>
    <cellStyle name="货币 2 6 5 5 2" xfId="48663" xr:uid="{00000000-0005-0000-0000-000047BE0000}"/>
    <cellStyle name="货币 2 6 5 5 2 2" xfId="41704" xr:uid="{00000000-0005-0000-0000-000018A30000}"/>
    <cellStyle name="货币 2 6 5 5 2 2 2" xfId="14193" xr:uid="{00000000-0005-0000-0000-0000A1370000}"/>
    <cellStyle name="货币 2 6 5 5 2 3" xfId="41706" xr:uid="{00000000-0005-0000-0000-00001AA30000}"/>
    <cellStyle name="货币 2 6 5 5 2 4" xfId="41708" xr:uid="{00000000-0005-0000-0000-00001CA30000}"/>
    <cellStyle name="货币 2 6 5 5 2 5" xfId="41710" xr:uid="{00000000-0005-0000-0000-00001EA30000}"/>
    <cellStyle name="货币 2 6 5 5 3" xfId="48665" xr:uid="{00000000-0005-0000-0000-000049BE0000}"/>
    <cellStyle name="货币 2 6 5 5 3 2" xfId="41716" xr:uid="{00000000-0005-0000-0000-000024A30000}"/>
    <cellStyle name="货币 2 6 5 5 4" xfId="48667" xr:uid="{00000000-0005-0000-0000-00004BBE0000}"/>
    <cellStyle name="货币 2 6 5 5 5" xfId="48669" xr:uid="{00000000-0005-0000-0000-00004DBE0000}"/>
    <cellStyle name="货币 2 6 5 5 6" xfId="48671" xr:uid="{00000000-0005-0000-0000-00004FBE0000}"/>
    <cellStyle name="货币 2 6 5 5 7" xfId="48673" xr:uid="{00000000-0005-0000-0000-000051BE0000}"/>
    <cellStyle name="货币 2 6 5 5 8" xfId="48675" xr:uid="{00000000-0005-0000-0000-000053BE0000}"/>
    <cellStyle name="货币 2 6 5 5 9" xfId="48677" xr:uid="{00000000-0005-0000-0000-000055BE0000}"/>
    <cellStyle name="货币 2 6 5 6" xfId="48821" xr:uid="{00000000-0005-0000-0000-0000E5BE0000}"/>
    <cellStyle name="货币 2 6 5 6 2" xfId="48822" xr:uid="{00000000-0005-0000-0000-0000E6BE0000}"/>
    <cellStyle name="货币 2 6 5 6 2 2" xfId="41725" xr:uid="{00000000-0005-0000-0000-00002DA30000}"/>
    <cellStyle name="货币 2 6 5 6 3" xfId="48823" xr:uid="{00000000-0005-0000-0000-0000E7BE0000}"/>
    <cellStyle name="货币 2 6 5 6 4" xfId="9279" xr:uid="{00000000-0005-0000-0000-00006F240000}"/>
    <cellStyle name="货币 2 6 5 6 5" xfId="9288" xr:uid="{00000000-0005-0000-0000-000078240000}"/>
    <cellStyle name="货币 2 6 5 6 6" xfId="24550" xr:uid="{00000000-0005-0000-0000-000016600000}"/>
    <cellStyle name="货币 2 6 5 6 7" xfId="24554" xr:uid="{00000000-0005-0000-0000-00001A600000}"/>
    <cellStyle name="货币 2 6 5 6 8" xfId="38640" xr:uid="{00000000-0005-0000-0000-000020970000}"/>
    <cellStyle name="货币 2 6 5 6 9" xfId="38642" xr:uid="{00000000-0005-0000-0000-000022970000}"/>
    <cellStyle name="货币 2 6 5 7" xfId="48824" xr:uid="{00000000-0005-0000-0000-0000E8BE0000}"/>
    <cellStyle name="货币 2 6 5 7 2" xfId="9302" xr:uid="{00000000-0005-0000-0000-000086240000}"/>
    <cellStyle name="货币 2 6 5 7 3" xfId="20380" xr:uid="{00000000-0005-0000-0000-0000CC4F0000}"/>
    <cellStyle name="货币 2 6 5 7 4" xfId="20385" xr:uid="{00000000-0005-0000-0000-0000D14F0000}"/>
    <cellStyle name="货币 2 6 5 7 5" xfId="20390" xr:uid="{00000000-0005-0000-0000-0000D64F0000}"/>
    <cellStyle name="货币 2 6 5 7 6" xfId="20392" xr:uid="{00000000-0005-0000-0000-0000D84F0000}"/>
    <cellStyle name="货币 2 6 5 8" xfId="48825" xr:uid="{00000000-0005-0000-0000-0000E9BE0000}"/>
    <cellStyle name="货币 2 6 5 9" xfId="48826" xr:uid="{00000000-0005-0000-0000-0000EABE0000}"/>
    <cellStyle name="货币 2 6 6" xfId="14400" xr:uid="{00000000-0005-0000-0000-000070380000}"/>
    <cellStyle name="货币 2 6 6 10" xfId="48827" xr:uid="{00000000-0005-0000-0000-0000EBBE0000}"/>
    <cellStyle name="货币 2 6 6 11" xfId="48828" xr:uid="{00000000-0005-0000-0000-0000ECBE0000}"/>
    <cellStyle name="货币 2 6 6 12" xfId="48829" xr:uid="{00000000-0005-0000-0000-0000EDBE0000}"/>
    <cellStyle name="货币 2 6 6 13" xfId="48830" xr:uid="{00000000-0005-0000-0000-0000EEBE0000}"/>
    <cellStyle name="货币 2 6 6 14" xfId="48831" xr:uid="{00000000-0005-0000-0000-0000EFBE0000}"/>
    <cellStyle name="货币 2 6 6 15" xfId="48832" xr:uid="{00000000-0005-0000-0000-0000F0BE0000}"/>
    <cellStyle name="货币 2 6 6 16" xfId="48833" xr:uid="{00000000-0005-0000-0000-0000F1BE0000}"/>
    <cellStyle name="货币 2 6 6 17" xfId="48834" xr:uid="{00000000-0005-0000-0000-0000F2BE0000}"/>
    <cellStyle name="货币 2 6 6 18" xfId="48835" xr:uid="{00000000-0005-0000-0000-0000F3BE0000}"/>
    <cellStyle name="货币 2 6 6 2" xfId="3447" xr:uid="{00000000-0005-0000-0000-0000A70D0000}"/>
    <cellStyle name="货币 2 6 6 2 10" xfId="48836" xr:uid="{00000000-0005-0000-0000-0000F4BE0000}"/>
    <cellStyle name="货币 2 6 6 2 2" xfId="1481" xr:uid="{00000000-0005-0000-0000-0000F9050000}"/>
    <cellStyle name="货币 2 6 6 2 2 2" xfId="41761" xr:uid="{00000000-0005-0000-0000-000051A30000}"/>
    <cellStyle name="货币 2 6 6 2 3" xfId="48837" xr:uid="{00000000-0005-0000-0000-0000F5BE0000}"/>
    <cellStyle name="货币 2 6 6 2 4" xfId="48838" xr:uid="{00000000-0005-0000-0000-0000F6BE0000}"/>
    <cellStyle name="货币 2 6 6 2 5" xfId="48839" xr:uid="{00000000-0005-0000-0000-0000F7BE0000}"/>
    <cellStyle name="货币 2 6 6 2 6" xfId="48840" xr:uid="{00000000-0005-0000-0000-0000F8BE0000}"/>
    <cellStyle name="货币 2 6 6 2 7" xfId="48841" xr:uid="{00000000-0005-0000-0000-0000F9BE0000}"/>
    <cellStyle name="货币 2 6 6 2 8" xfId="48842" xr:uid="{00000000-0005-0000-0000-0000FABE0000}"/>
    <cellStyle name="货币 2 6 6 2 9" xfId="48843" xr:uid="{00000000-0005-0000-0000-0000FBBE0000}"/>
    <cellStyle name="货币 2 6 6 3" xfId="3470" xr:uid="{00000000-0005-0000-0000-0000BE0D0000}"/>
    <cellStyle name="货币 2 6 6 3 2" xfId="48844" xr:uid="{00000000-0005-0000-0000-0000FCBE0000}"/>
    <cellStyle name="货币 2 6 6 3 3" xfId="48845" xr:uid="{00000000-0005-0000-0000-0000FDBE0000}"/>
    <cellStyle name="货币 2 6 6 3 4" xfId="48846" xr:uid="{00000000-0005-0000-0000-0000FEBE0000}"/>
    <cellStyle name="货币 2 6 6 3 5" xfId="48847" xr:uid="{00000000-0005-0000-0000-0000FFBE0000}"/>
    <cellStyle name="货币 2 6 6 3 6" xfId="48848" xr:uid="{00000000-0005-0000-0000-000000BF0000}"/>
    <cellStyle name="货币 2 6 6 4" xfId="43554" xr:uid="{00000000-0005-0000-0000-000052AA0000}"/>
    <cellStyle name="货币 2 6 6 4 2" xfId="48849" xr:uid="{00000000-0005-0000-0000-000001BF0000}"/>
    <cellStyle name="货币 2 6 6 4 3" xfId="48850" xr:uid="{00000000-0005-0000-0000-000002BF0000}"/>
    <cellStyle name="货币 2 6 6 4 4" xfId="48851" xr:uid="{00000000-0005-0000-0000-000003BF0000}"/>
    <cellStyle name="货币 2 6 6 4 5" xfId="48852" xr:uid="{00000000-0005-0000-0000-000004BF0000}"/>
    <cellStyle name="货币 2 6 6 4 6" xfId="48853" xr:uid="{00000000-0005-0000-0000-000005BF0000}"/>
    <cellStyle name="货币 2 6 6 5" xfId="43556" xr:uid="{00000000-0005-0000-0000-000054AA0000}"/>
    <cellStyle name="货币 2 6 6 5 2" xfId="48854" xr:uid="{00000000-0005-0000-0000-000006BF0000}"/>
    <cellStyle name="货币 2 6 6 5 3" xfId="48855" xr:uid="{00000000-0005-0000-0000-000007BF0000}"/>
    <cellStyle name="货币 2 6 6 5 4" xfId="48856" xr:uid="{00000000-0005-0000-0000-000008BF0000}"/>
    <cellStyle name="货币 2 6 6 5 5" xfId="48857" xr:uid="{00000000-0005-0000-0000-000009BF0000}"/>
    <cellStyle name="货币 2 6 6 5 6" xfId="48858" xr:uid="{00000000-0005-0000-0000-00000ABF0000}"/>
    <cellStyle name="货币 2 6 6 6" xfId="9331" xr:uid="{00000000-0005-0000-0000-0000A3240000}"/>
    <cellStyle name="货币 2 6 6 6 2" xfId="48859" xr:uid="{00000000-0005-0000-0000-00000BBF0000}"/>
    <cellStyle name="货币 2 6 6 6 3" xfId="48860" xr:uid="{00000000-0005-0000-0000-00000CBF0000}"/>
    <cellStyle name="货币 2 6 6 6 4" xfId="48861" xr:uid="{00000000-0005-0000-0000-00000DBF0000}"/>
    <cellStyle name="货币 2 6 6 6 5" xfId="48862" xr:uid="{00000000-0005-0000-0000-00000EBF0000}"/>
    <cellStyle name="货币 2 6 6 6 6" xfId="48863" xr:uid="{00000000-0005-0000-0000-00000FBF0000}"/>
    <cellStyle name="货币 2 6 6 7" xfId="43559" xr:uid="{00000000-0005-0000-0000-000057AA0000}"/>
    <cellStyle name="货币 2 6 6 8" xfId="43562" xr:uid="{00000000-0005-0000-0000-00005AAA0000}"/>
    <cellStyle name="货币 2 6 6 9" xfId="43565" xr:uid="{00000000-0005-0000-0000-00005DAA0000}"/>
    <cellStyle name="货币 2 6 7" xfId="24815" xr:uid="{00000000-0005-0000-0000-00001F610000}"/>
    <cellStyle name="货币 2 6 7 10" xfId="39115" xr:uid="{00000000-0005-0000-0000-0000FB980000}"/>
    <cellStyle name="货币 2 6 7 11" xfId="39117" xr:uid="{00000000-0005-0000-0000-0000FD980000}"/>
    <cellStyle name="货币 2 6 7 12" xfId="39119" xr:uid="{00000000-0005-0000-0000-0000FF980000}"/>
    <cellStyle name="货币 2 6 7 13" xfId="39121" xr:uid="{00000000-0005-0000-0000-000001990000}"/>
    <cellStyle name="货币 2 6 7 14" xfId="39123" xr:uid="{00000000-0005-0000-0000-000003990000}"/>
    <cellStyle name="货币 2 6 7 15" xfId="48864" xr:uid="{00000000-0005-0000-0000-000010BF0000}"/>
    <cellStyle name="货币 2 6 7 16" xfId="48865" xr:uid="{00000000-0005-0000-0000-000011BF0000}"/>
    <cellStyle name="货币 2 6 7 17" xfId="48866" xr:uid="{00000000-0005-0000-0000-000012BF0000}"/>
    <cellStyle name="货币 2 6 7 18" xfId="48867" xr:uid="{00000000-0005-0000-0000-000013BF0000}"/>
    <cellStyle name="货币 2 6 7 2" xfId="48868" xr:uid="{00000000-0005-0000-0000-000014BF0000}"/>
    <cellStyle name="货币 2 6 7 2 10" xfId="48869" xr:uid="{00000000-0005-0000-0000-000015BF0000}"/>
    <cellStyle name="货币 2 6 7 2 2" xfId="24927" xr:uid="{00000000-0005-0000-0000-00008F610000}"/>
    <cellStyle name="货币 2 6 7 2 2 2" xfId="41909" xr:uid="{00000000-0005-0000-0000-0000E5A30000}"/>
    <cellStyle name="货币 2 6 7 2 3" xfId="24934" xr:uid="{00000000-0005-0000-0000-000096610000}"/>
    <cellStyle name="货币 2 6 7 2 4" xfId="42935" xr:uid="{00000000-0005-0000-0000-0000E7A70000}"/>
    <cellStyle name="货币 2 6 7 2 5" xfId="42937" xr:uid="{00000000-0005-0000-0000-0000E9A70000}"/>
    <cellStyle name="货币 2 6 7 2 6" xfId="48870" xr:uid="{00000000-0005-0000-0000-000016BF0000}"/>
    <cellStyle name="货币 2 6 7 2 7" xfId="48871" xr:uid="{00000000-0005-0000-0000-000017BF0000}"/>
    <cellStyle name="货币 2 6 7 2 8" xfId="48872" xr:uid="{00000000-0005-0000-0000-000018BF0000}"/>
    <cellStyle name="货币 2 6 7 2 9" xfId="48873" xr:uid="{00000000-0005-0000-0000-000019BF0000}"/>
    <cellStyle name="货币 2 6 7 3" xfId="48874" xr:uid="{00000000-0005-0000-0000-00001ABF0000}"/>
    <cellStyle name="货币 2 6 7 3 2" xfId="48875" xr:uid="{00000000-0005-0000-0000-00001BBF0000}"/>
    <cellStyle name="货币 2 6 7 3 3" xfId="48876" xr:uid="{00000000-0005-0000-0000-00001CBF0000}"/>
    <cellStyle name="货币 2 6 7 3 4" xfId="48877" xr:uid="{00000000-0005-0000-0000-00001DBF0000}"/>
    <cellStyle name="货币 2 6 7 3 5" xfId="48878" xr:uid="{00000000-0005-0000-0000-00001EBF0000}"/>
    <cellStyle name="货币 2 6 7 3 6" xfId="48879" xr:uid="{00000000-0005-0000-0000-00001FBF0000}"/>
    <cellStyle name="货币 2 6 7 4" xfId="48880" xr:uid="{00000000-0005-0000-0000-000020BF0000}"/>
    <cellStyle name="货币 2 6 7 4 2" xfId="48881" xr:uid="{00000000-0005-0000-0000-000021BF0000}"/>
    <cellStyle name="货币 2 6 7 4 3" xfId="48882" xr:uid="{00000000-0005-0000-0000-000022BF0000}"/>
    <cellStyle name="货币 2 6 7 4 4" xfId="48883" xr:uid="{00000000-0005-0000-0000-000023BF0000}"/>
    <cellStyle name="货币 2 6 7 4 5" xfId="15846" xr:uid="{00000000-0005-0000-0000-0000163E0000}"/>
    <cellStyle name="货币 2 6 7 4 6" xfId="48884" xr:uid="{00000000-0005-0000-0000-000024BF0000}"/>
    <cellStyle name="货币 2 6 7 5" xfId="48885" xr:uid="{00000000-0005-0000-0000-000025BF0000}"/>
    <cellStyle name="货币 2 6 7 5 2" xfId="48886" xr:uid="{00000000-0005-0000-0000-000026BF0000}"/>
    <cellStyle name="货币 2 6 7 5 3" xfId="48887" xr:uid="{00000000-0005-0000-0000-000027BF0000}"/>
    <cellStyle name="货币 2 6 7 5 4" xfId="48888" xr:uid="{00000000-0005-0000-0000-000028BF0000}"/>
    <cellStyle name="货币 2 6 7 5 5" xfId="24566" xr:uid="{00000000-0005-0000-0000-000026600000}"/>
    <cellStyle name="货币 2 6 7 5 6" xfId="24570" xr:uid="{00000000-0005-0000-0000-00002A600000}"/>
    <cellStyle name="货币 2 6 7 6" xfId="48889" xr:uid="{00000000-0005-0000-0000-000029BF0000}"/>
    <cellStyle name="货币 2 6 7 6 2" xfId="48890" xr:uid="{00000000-0005-0000-0000-00002ABF0000}"/>
    <cellStyle name="货币 2 6 7 6 3" xfId="48891" xr:uid="{00000000-0005-0000-0000-00002BBF0000}"/>
    <cellStyle name="货币 2 6 7 6 4" xfId="48892" xr:uid="{00000000-0005-0000-0000-00002CBF0000}"/>
    <cellStyle name="货币 2 6 7 6 5" xfId="9360" xr:uid="{00000000-0005-0000-0000-0000C0240000}"/>
    <cellStyle name="货币 2 6 7 6 6" xfId="24600" xr:uid="{00000000-0005-0000-0000-000048600000}"/>
    <cellStyle name="货币 2 6 7 7" xfId="48893" xr:uid="{00000000-0005-0000-0000-00002DBF0000}"/>
    <cellStyle name="货币 2 6 7 8" xfId="9371" xr:uid="{00000000-0005-0000-0000-0000CB240000}"/>
    <cellStyle name="货币 2 6 7 9" xfId="48894" xr:uid="{00000000-0005-0000-0000-00002EBF0000}"/>
    <cellStyle name="货币 2 6 8" xfId="21256" xr:uid="{00000000-0005-0000-0000-000038530000}"/>
    <cellStyle name="货币 2 6 8 10" xfId="48895" xr:uid="{00000000-0005-0000-0000-00002FBF0000}"/>
    <cellStyle name="货币 2 6 8 11" xfId="48896" xr:uid="{00000000-0005-0000-0000-000030BF0000}"/>
    <cellStyle name="货币 2 6 8 12" xfId="48897" xr:uid="{00000000-0005-0000-0000-000031BF0000}"/>
    <cellStyle name="货币 2 6 8 13" xfId="48899" xr:uid="{00000000-0005-0000-0000-000033BF0000}"/>
    <cellStyle name="货币 2 6 8 14" xfId="48901" xr:uid="{00000000-0005-0000-0000-000035BF0000}"/>
    <cellStyle name="货币 2 6 8 15" xfId="48903" xr:uid="{00000000-0005-0000-0000-000037BF0000}"/>
    <cellStyle name="货币 2 6 8 2" xfId="48904" xr:uid="{00000000-0005-0000-0000-000038BF0000}"/>
    <cellStyle name="货币 2 6 8 2 2" xfId="48905" xr:uid="{00000000-0005-0000-0000-000039BF0000}"/>
    <cellStyle name="货币 2 6 8 2 2 2" xfId="39164" xr:uid="{00000000-0005-0000-0000-00002C990000}"/>
    <cellStyle name="货币 2 6 8 2 3" xfId="48906" xr:uid="{00000000-0005-0000-0000-00003ABF0000}"/>
    <cellStyle name="货币 2 6 8 2 4" xfId="48907" xr:uid="{00000000-0005-0000-0000-00003BBF0000}"/>
    <cellStyle name="货币 2 6 8 2 5" xfId="48908" xr:uid="{00000000-0005-0000-0000-00003CBF0000}"/>
    <cellStyle name="货币 2 6 8 2 6" xfId="48909" xr:uid="{00000000-0005-0000-0000-00003DBF0000}"/>
    <cellStyle name="货币 2 6 8 2 7" xfId="48910" xr:uid="{00000000-0005-0000-0000-00003EBF0000}"/>
    <cellStyle name="货币 2 6 8 2 8" xfId="48911" xr:uid="{00000000-0005-0000-0000-00003FBF0000}"/>
    <cellStyle name="货币 2 6 8 2 9" xfId="48912" xr:uid="{00000000-0005-0000-0000-000040BF0000}"/>
    <cellStyle name="货币 2 6 8 3" xfId="48913" xr:uid="{00000000-0005-0000-0000-000041BF0000}"/>
    <cellStyle name="货币 2 6 8 3 2" xfId="48914" xr:uid="{00000000-0005-0000-0000-000042BF0000}"/>
    <cellStyle name="货币 2 6 8 3 3" xfId="48915" xr:uid="{00000000-0005-0000-0000-000043BF0000}"/>
    <cellStyle name="货币 2 6 8 3 4" xfId="48916" xr:uid="{00000000-0005-0000-0000-000044BF0000}"/>
    <cellStyle name="货币 2 6 8 3 5" xfId="48917" xr:uid="{00000000-0005-0000-0000-000045BF0000}"/>
    <cellStyle name="货币 2 6 8 3 6" xfId="48918" xr:uid="{00000000-0005-0000-0000-000046BF0000}"/>
    <cellStyle name="货币 2 6 8 4" xfId="48919" xr:uid="{00000000-0005-0000-0000-000047BF0000}"/>
    <cellStyle name="货币 2 6 8 4 2" xfId="48920" xr:uid="{00000000-0005-0000-0000-000048BF0000}"/>
    <cellStyle name="货币 2 6 8 5" xfId="48921" xr:uid="{00000000-0005-0000-0000-000049BF0000}"/>
    <cellStyle name="货币 2 6 8 6" xfId="48922" xr:uid="{00000000-0005-0000-0000-00004ABF0000}"/>
    <cellStyle name="货币 2 6 8 7" xfId="48923" xr:uid="{00000000-0005-0000-0000-00004BBF0000}"/>
    <cellStyle name="货币 2 6 8 8" xfId="48924" xr:uid="{00000000-0005-0000-0000-00004CBF0000}"/>
    <cellStyle name="货币 2 6 8 9" xfId="48925" xr:uid="{00000000-0005-0000-0000-00004DBF0000}"/>
    <cellStyle name="货币 2 6 9" xfId="47379" xr:uid="{00000000-0005-0000-0000-000043B90000}"/>
    <cellStyle name="货币 2 6 9 10" xfId="29834" xr:uid="{00000000-0005-0000-0000-0000BA740000}"/>
    <cellStyle name="货币 2 6 9 11" xfId="29937" xr:uid="{00000000-0005-0000-0000-000021750000}"/>
    <cellStyle name="货币 2 6 9 12" xfId="29942" xr:uid="{00000000-0005-0000-0000-000026750000}"/>
    <cellStyle name="货币 2 6 9 13" xfId="29947" xr:uid="{00000000-0005-0000-0000-00002B750000}"/>
    <cellStyle name="货币 2 6 9 14" xfId="29952" xr:uid="{00000000-0005-0000-0000-000030750000}"/>
    <cellStyle name="货币 2 6 9 2" xfId="44488" xr:uid="{00000000-0005-0000-0000-0000F8AD0000}"/>
    <cellStyle name="货币 2 6 9 2 2" xfId="44495" xr:uid="{00000000-0005-0000-0000-0000FFAD0000}"/>
    <cellStyle name="货币 2 6 9 2 2 2" xfId="30058" xr:uid="{00000000-0005-0000-0000-00009A750000}"/>
    <cellStyle name="货币 2 6 9 2 3" xfId="44498" xr:uid="{00000000-0005-0000-0000-000002AE0000}"/>
    <cellStyle name="货币 2 6 9 2 4" xfId="44502" xr:uid="{00000000-0005-0000-0000-000006AE0000}"/>
    <cellStyle name="货币 2 6 9 2 5" xfId="44504" xr:uid="{00000000-0005-0000-0000-000008AE0000}"/>
    <cellStyle name="货币 2 6 9 2 6" xfId="44506" xr:uid="{00000000-0005-0000-0000-00000AAE0000}"/>
    <cellStyle name="货币 2 6 9 2 7" xfId="29972" xr:uid="{00000000-0005-0000-0000-000044750000}"/>
    <cellStyle name="货币 2 6 9 2 8" xfId="29975" xr:uid="{00000000-0005-0000-0000-000047750000}"/>
    <cellStyle name="货币 2 6 9 2 9" xfId="29978" xr:uid="{00000000-0005-0000-0000-00004A750000}"/>
    <cellStyle name="货币 2 6 9 3" xfId="44508" xr:uid="{00000000-0005-0000-0000-00000CAE0000}"/>
    <cellStyle name="货币 2 6 9 3 2" xfId="44510" xr:uid="{00000000-0005-0000-0000-00000EAE0000}"/>
    <cellStyle name="货币 2 6 9 3 3" xfId="44517" xr:uid="{00000000-0005-0000-0000-000015AE0000}"/>
    <cellStyle name="货币 2 6 9 3 4" xfId="44520" xr:uid="{00000000-0005-0000-0000-000018AE0000}"/>
    <cellStyle name="货币 2 6 9 3 5" xfId="44522" xr:uid="{00000000-0005-0000-0000-00001AAE0000}"/>
    <cellStyle name="货币 2 6 9 3 6" xfId="44524" xr:uid="{00000000-0005-0000-0000-00001CAE0000}"/>
    <cellStyle name="货币 2 6 9 4" xfId="44526" xr:uid="{00000000-0005-0000-0000-00001EAE0000}"/>
    <cellStyle name="货币 2 6 9 4 2" xfId="18220" xr:uid="{00000000-0005-0000-0000-00005C470000}"/>
    <cellStyle name="货币 2 6 9 5" xfId="44536" xr:uid="{00000000-0005-0000-0000-000028AE0000}"/>
    <cellStyle name="货币 2 6 9 6" xfId="44542" xr:uid="{00000000-0005-0000-0000-00002EAE0000}"/>
    <cellStyle name="货币 2 6 9 7" xfId="44544" xr:uid="{00000000-0005-0000-0000-000030AE0000}"/>
    <cellStyle name="货币 2 6 9 8" xfId="44546" xr:uid="{00000000-0005-0000-0000-000032AE0000}"/>
    <cellStyle name="货币 2 6 9 9" xfId="48926" xr:uid="{00000000-0005-0000-0000-00004EBF0000}"/>
    <cellStyle name="货币 2 7" xfId="24060" xr:uid="{00000000-0005-0000-0000-00002C5E0000}"/>
    <cellStyle name="货币 2 7 10" xfId="48927" xr:uid="{00000000-0005-0000-0000-00004FBF0000}"/>
    <cellStyle name="货币 2 7 10 2" xfId="12166" xr:uid="{00000000-0005-0000-0000-0000B62F0000}"/>
    <cellStyle name="货币 2 7 10 2 2" xfId="48928" xr:uid="{00000000-0005-0000-0000-000050BF0000}"/>
    <cellStyle name="货币 2 7 10 3" xfId="12178" xr:uid="{00000000-0005-0000-0000-0000C22F0000}"/>
    <cellStyle name="货币 2 7 10 4" xfId="4652" xr:uid="{00000000-0005-0000-0000-00005C120000}"/>
    <cellStyle name="货币 2 7 10 5" xfId="12186" xr:uid="{00000000-0005-0000-0000-0000CA2F0000}"/>
    <cellStyle name="货币 2 7 10 6" xfId="7142" xr:uid="{00000000-0005-0000-0000-0000161C0000}"/>
    <cellStyle name="货币 2 7 10 7" xfId="48929" xr:uid="{00000000-0005-0000-0000-000051BF0000}"/>
    <cellStyle name="货币 2 7 10 8" xfId="48930" xr:uid="{00000000-0005-0000-0000-000052BF0000}"/>
    <cellStyle name="货币 2 7 10 9" xfId="48931" xr:uid="{00000000-0005-0000-0000-000053BF0000}"/>
    <cellStyle name="货币 2 7 11" xfId="48932" xr:uid="{00000000-0005-0000-0000-000054BF0000}"/>
    <cellStyle name="货币 2 7 11 2" xfId="48933" xr:uid="{00000000-0005-0000-0000-000055BF0000}"/>
    <cellStyle name="货币 2 7 11 3" xfId="48934" xr:uid="{00000000-0005-0000-0000-000056BF0000}"/>
    <cellStyle name="货币 2 7 11 4" xfId="4661" xr:uid="{00000000-0005-0000-0000-000065120000}"/>
    <cellStyle name="货币 2 7 11 5" xfId="12215" xr:uid="{00000000-0005-0000-0000-0000E72F0000}"/>
    <cellStyle name="货币 2 7 11 6" xfId="12224" xr:uid="{00000000-0005-0000-0000-0000F02F0000}"/>
    <cellStyle name="货币 2 7 12" xfId="24971" xr:uid="{00000000-0005-0000-0000-0000BB610000}"/>
    <cellStyle name="货币 2 7 12 2" xfId="12261" xr:uid="{00000000-0005-0000-0000-000015300000}"/>
    <cellStyle name="货币 2 7 12 3" xfId="48935" xr:uid="{00000000-0005-0000-0000-000057BF0000}"/>
    <cellStyle name="货币 2 7 12 4" xfId="4689" xr:uid="{00000000-0005-0000-0000-000081120000}"/>
    <cellStyle name="货币 2 7 12 5" xfId="12271" xr:uid="{00000000-0005-0000-0000-00001F300000}"/>
    <cellStyle name="货币 2 7 12 6" xfId="12278" xr:uid="{00000000-0005-0000-0000-000026300000}"/>
    <cellStyle name="货币 2 7 13" xfId="24973" xr:uid="{00000000-0005-0000-0000-0000BD610000}"/>
    <cellStyle name="货币 2 7 13 2" xfId="16827" xr:uid="{00000000-0005-0000-0000-0000EB410000}"/>
    <cellStyle name="货币 2 7 13 3" xfId="16832" xr:uid="{00000000-0005-0000-0000-0000F0410000}"/>
    <cellStyle name="货币 2 7 13 4" xfId="2668" xr:uid="{00000000-0005-0000-0000-00009C0A0000}"/>
    <cellStyle name="货币 2 7 13 5" xfId="9430" xr:uid="{00000000-0005-0000-0000-000006250000}"/>
    <cellStyle name="货币 2 7 13 6" xfId="16838" xr:uid="{00000000-0005-0000-0000-0000F6410000}"/>
    <cellStyle name="货币 2 7 14" xfId="24975" xr:uid="{00000000-0005-0000-0000-0000BF610000}"/>
    <cellStyle name="货币 2 7 14 2" xfId="48936" xr:uid="{00000000-0005-0000-0000-000058BF0000}"/>
    <cellStyle name="货币 2 7 14 3" xfId="48937" xr:uid="{00000000-0005-0000-0000-000059BF0000}"/>
    <cellStyle name="货币 2 7 14 4" xfId="4717" xr:uid="{00000000-0005-0000-0000-00009D120000}"/>
    <cellStyle name="货币 2 7 14 5" xfId="16852" xr:uid="{00000000-0005-0000-0000-000004420000}"/>
    <cellStyle name="货币 2 7 14 6" xfId="16856" xr:uid="{00000000-0005-0000-0000-000008420000}"/>
    <cellStyle name="货币 2 7 15" xfId="24978" xr:uid="{00000000-0005-0000-0000-0000C2610000}"/>
    <cellStyle name="货币 2 7 16" xfId="24983" xr:uid="{00000000-0005-0000-0000-0000C7610000}"/>
    <cellStyle name="货币 2 7 17" xfId="24987" xr:uid="{00000000-0005-0000-0000-0000CB610000}"/>
    <cellStyle name="货币 2 7 18" xfId="24990" xr:uid="{00000000-0005-0000-0000-0000CE610000}"/>
    <cellStyle name="货币 2 7 19" xfId="24993" xr:uid="{00000000-0005-0000-0000-0000D1610000}"/>
    <cellStyle name="货币 2 7 2" xfId="48938" xr:uid="{00000000-0005-0000-0000-00005ABF0000}"/>
    <cellStyle name="货币 2 7 2 10" xfId="48939" xr:uid="{00000000-0005-0000-0000-00005BBF0000}"/>
    <cellStyle name="货币 2 7 2 10 2" xfId="46760" xr:uid="{00000000-0005-0000-0000-0000D8B60000}"/>
    <cellStyle name="货币 2 7 2 10 3" xfId="46584" xr:uid="{00000000-0005-0000-0000-000028B60000}"/>
    <cellStyle name="货币 2 7 2 10 4" xfId="46762" xr:uid="{00000000-0005-0000-0000-0000DAB60000}"/>
    <cellStyle name="货币 2 7 2 10 5" xfId="46764" xr:uid="{00000000-0005-0000-0000-0000DCB60000}"/>
    <cellStyle name="货币 2 7 2 10 6" xfId="46766" xr:uid="{00000000-0005-0000-0000-0000DEB60000}"/>
    <cellStyle name="货币 2 7 2 11" xfId="48940" xr:uid="{00000000-0005-0000-0000-00005CBF0000}"/>
    <cellStyle name="货币 2 7 2 11 2" xfId="48941" xr:uid="{00000000-0005-0000-0000-00005DBF0000}"/>
    <cellStyle name="货币 2 7 2 11 3" xfId="48942" xr:uid="{00000000-0005-0000-0000-00005EBF0000}"/>
    <cellStyle name="货币 2 7 2 11 4" xfId="48943" xr:uid="{00000000-0005-0000-0000-00005FBF0000}"/>
    <cellStyle name="货币 2 7 2 11 5" xfId="43833" xr:uid="{00000000-0005-0000-0000-000069AB0000}"/>
    <cellStyle name="货币 2 7 2 11 6" xfId="48944" xr:uid="{00000000-0005-0000-0000-000060BF0000}"/>
    <cellStyle name="货币 2 7 2 12" xfId="48945" xr:uid="{00000000-0005-0000-0000-000061BF0000}"/>
    <cellStyle name="货币 2 7 2 13" xfId="48946" xr:uid="{00000000-0005-0000-0000-000062BF0000}"/>
    <cellStyle name="货币 2 7 2 14" xfId="48947" xr:uid="{00000000-0005-0000-0000-000063BF0000}"/>
    <cellStyle name="货币 2 7 2 15" xfId="48949" xr:uid="{00000000-0005-0000-0000-000065BF0000}"/>
    <cellStyle name="货币 2 7 2 16" xfId="48951" xr:uid="{00000000-0005-0000-0000-000067BF0000}"/>
    <cellStyle name="货币 2 7 2 17" xfId="48953" xr:uid="{00000000-0005-0000-0000-000069BF0000}"/>
    <cellStyle name="货币 2 7 2 18" xfId="31405" xr:uid="{00000000-0005-0000-0000-0000DD7A0000}"/>
    <cellStyle name="货币 2 7 2 19" xfId="31408" xr:uid="{00000000-0005-0000-0000-0000E07A0000}"/>
    <cellStyle name="货币 2 7 2 2" xfId="48954" xr:uid="{00000000-0005-0000-0000-00006ABF0000}"/>
    <cellStyle name="货币 2 7 2 2 10" xfId="48955" xr:uid="{00000000-0005-0000-0000-00006BBF0000}"/>
    <cellStyle name="货币 2 7 2 2 11" xfId="48956" xr:uid="{00000000-0005-0000-0000-00006CBF0000}"/>
    <cellStyle name="货币 2 7 2 2 12" xfId="48957" xr:uid="{00000000-0005-0000-0000-00006DBF0000}"/>
    <cellStyle name="货币 2 7 2 2 13" xfId="48958" xr:uid="{00000000-0005-0000-0000-00006EBF0000}"/>
    <cellStyle name="货币 2 7 2 2 14" xfId="48959" xr:uid="{00000000-0005-0000-0000-00006FBF0000}"/>
    <cellStyle name="货币 2 7 2 2 15" xfId="15757" xr:uid="{00000000-0005-0000-0000-0000BD3D0000}"/>
    <cellStyle name="货币 2 7 2 2 16" xfId="15770" xr:uid="{00000000-0005-0000-0000-0000CA3D0000}"/>
    <cellStyle name="货币 2 7 2 2 17" xfId="15782" xr:uid="{00000000-0005-0000-0000-0000D63D0000}"/>
    <cellStyle name="货币 2 7 2 2 18" xfId="15787" xr:uid="{00000000-0005-0000-0000-0000DB3D0000}"/>
    <cellStyle name="货币 2 7 2 2 2" xfId="31379" xr:uid="{00000000-0005-0000-0000-0000C37A0000}"/>
    <cellStyle name="货币 2 7 2 2 2 10" xfId="41245" xr:uid="{00000000-0005-0000-0000-00004DA10000}"/>
    <cellStyle name="货币 2 7 2 2 2 11" xfId="41247" xr:uid="{00000000-0005-0000-0000-00004FA10000}"/>
    <cellStyle name="货币 2 7 2 2 2 12" xfId="41249" xr:uid="{00000000-0005-0000-0000-000051A10000}"/>
    <cellStyle name="货币 2 7 2 2 2 2" xfId="48960" xr:uid="{00000000-0005-0000-0000-000070BF0000}"/>
    <cellStyle name="货币 2 7 2 2 2 2 2" xfId="34551" xr:uid="{00000000-0005-0000-0000-000027870000}"/>
    <cellStyle name="货币 2 7 2 2 2 2 2 2" xfId="48961" xr:uid="{00000000-0005-0000-0000-000071BF0000}"/>
    <cellStyle name="货币 2 7 2 2 2 2 3" xfId="29475" xr:uid="{00000000-0005-0000-0000-000053730000}"/>
    <cellStyle name="货币 2 7 2 2 2 2 4" xfId="29480" xr:uid="{00000000-0005-0000-0000-000058730000}"/>
    <cellStyle name="货币 2 7 2 2 2 2 5" xfId="40997" xr:uid="{00000000-0005-0000-0000-000055A00000}"/>
    <cellStyle name="货币 2 7 2 2 2 3" xfId="48962" xr:uid="{00000000-0005-0000-0000-000072BF0000}"/>
    <cellStyle name="货币 2 7 2 2 2 3 2" xfId="48963" xr:uid="{00000000-0005-0000-0000-000073BF0000}"/>
    <cellStyle name="货币 2 7 2 2 2 4" xfId="48964" xr:uid="{00000000-0005-0000-0000-000074BF0000}"/>
    <cellStyle name="货币 2 7 2 2 2 5" xfId="18038" xr:uid="{00000000-0005-0000-0000-0000A6460000}"/>
    <cellStyle name="货币 2 7 2 2 2 6" xfId="18040" xr:uid="{00000000-0005-0000-0000-0000A8460000}"/>
    <cellStyle name="货币 2 7 2 2 2 7" xfId="18044" xr:uid="{00000000-0005-0000-0000-0000AC460000}"/>
    <cellStyle name="货币 2 7 2 2 2 8" xfId="18048" xr:uid="{00000000-0005-0000-0000-0000B0460000}"/>
    <cellStyle name="货币 2 7 2 2 2 9" xfId="48965" xr:uid="{00000000-0005-0000-0000-000075BF0000}"/>
    <cellStyle name="货币 2 7 2 2 3" xfId="25202" xr:uid="{00000000-0005-0000-0000-0000A2620000}"/>
    <cellStyle name="货币 2 7 2 2 3 10" xfId="25208" xr:uid="{00000000-0005-0000-0000-0000A8620000}"/>
    <cellStyle name="货币 2 7 2 2 3 11" xfId="48966" xr:uid="{00000000-0005-0000-0000-000076BF0000}"/>
    <cellStyle name="货币 2 7 2 2 3 12" xfId="40449" xr:uid="{00000000-0005-0000-0000-0000319E0000}"/>
    <cellStyle name="货币 2 7 2 2 3 2" xfId="25031" xr:uid="{00000000-0005-0000-0000-0000F7610000}"/>
    <cellStyle name="货币 2 7 2 2 3 2 2" xfId="3392" xr:uid="{00000000-0005-0000-0000-0000700D0000}"/>
    <cellStyle name="货币 2 7 2 2 3 2 2 2" xfId="34742" xr:uid="{00000000-0005-0000-0000-0000E6870000}"/>
    <cellStyle name="货币 2 7 2 2 3 2 3" xfId="29492" xr:uid="{00000000-0005-0000-0000-000064730000}"/>
    <cellStyle name="货币 2 7 2 2 3 2 4" xfId="41240" xr:uid="{00000000-0005-0000-0000-000048A10000}"/>
    <cellStyle name="货币 2 7 2 2 3 2 5" xfId="41243" xr:uid="{00000000-0005-0000-0000-00004BA10000}"/>
    <cellStyle name="货币 2 7 2 2 3 3" xfId="18067" xr:uid="{00000000-0005-0000-0000-0000C3460000}"/>
    <cellStyle name="货币 2 7 2 2 3 3 2" xfId="34966" xr:uid="{00000000-0005-0000-0000-0000C6880000}"/>
    <cellStyle name="货币 2 7 2 2 3 4" xfId="18081" xr:uid="{00000000-0005-0000-0000-0000D1460000}"/>
    <cellStyle name="货币 2 7 2 2 3 5" xfId="18098" xr:uid="{00000000-0005-0000-0000-0000E2460000}"/>
    <cellStyle name="货币 2 7 2 2 3 6" xfId="18110" xr:uid="{00000000-0005-0000-0000-0000EE460000}"/>
    <cellStyle name="货币 2 7 2 2 3 7" xfId="18121" xr:uid="{00000000-0005-0000-0000-0000F9460000}"/>
    <cellStyle name="货币 2 7 2 2 3 8" xfId="18128" xr:uid="{00000000-0005-0000-0000-000000470000}"/>
    <cellStyle name="货币 2 7 2 2 3 9" xfId="18140" xr:uid="{00000000-0005-0000-0000-00000C470000}"/>
    <cellStyle name="货币 2 7 2 2 4" xfId="25210" xr:uid="{00000000-0005-0000-0000-0000AA620000}"/>
    <cellStyle name="货币 2 7 2 2 4 10" xfId="1292" xr:uid="{00000000-0005-0000-0000-00003C050000}"/>
    <cellStyle name="货币 2 7 2 2 4 2" xfId="25214" xr:uid="{00000000-0005-0000-0000-0000AE620000}"/>
    <cellStyle name="货币 2 7 2 2 4 2 2" xfId="3502" xr:uid="{00000000-0005-0000-0000-0000DE0D0000}"/>
    <cellStyle name="货币 2 7 2 2 4 2 2 2" xfId="35921" xr:uid="{00000000-0005-0000-0000-0000818C0000}"/>
    <cellStyle name="货币 2 7 2 2 4 2 3" xfId="5238" xr:uid="{00000000-0005-0000-0000-0000A6140000}"/>
    <cellStyle name="货币 2 7 2 2 4 2 4" xfId="3927" xr:uid="{00000000-0005-0000-0000-0000870F0000}"/>
    <cellStyle name="货币 2 7 2 2 4 2 5" xfId="20061" xr:uid="{00000000-0005-0000-0000-00008D4E0000}"/>
    <cellStyle name="货币 2 7 2 2 4 3" xfId="18149" xr:uid="{00000000-0005-0000-0000-000015470000}"/>
    <cellStyle name="货币 2 7 2 2 4 3 2" xfId="35412" xr:uid="{00000000-0005-0000-0000-0000848A0000}"/>
    <cellStyle name="货币 2 7 2 2 4 4" xfId="18161" xr:uid="{00000000-0005-0000-0000-000021470000}"/>
    <cellStyle name="货币 2 7 2 2 4 5" xfId="18175" xr:uid="{00000000-0005-0000-0000-00002F470000}"/>
    <cellStyle name="货币 2 7 2 2 4 6" xfId="18182" xr:uid="{00000000-0005-0000-0000-000036470000}"/>
    <cellStyle name="货币 2 7 2 2 4 7" xfId="48967" xr:uid="{00000000-0005-0000-0000-000077BF0000}"/>
    <cellStyle name="货币 2 7 2 2 4 8" xfId="48968" xr:uid="{00000000-0005-0000-0000-000078BF0000}"/>
    <cellStyle name="货币 2 7 2 2 4 9" xfId="48969" xr:uid="{00000000-0005-0000-0000-000079BF0000}"/>
    <cellStyle name="货币 2 7 2 2 5" xfId="25217" xr:uid="{00000000-0005-0000-0000-0000B1620000}"/>
    <cellStyle name="货币 2 7 2 2 5 10" xfId="8226" xr:uid="{00000000-0005-0000-0000-000052200000}"/>
    <cellStyle name="货币 2 7 2 2 5 2" xfId="25224" xr:uid="{00000000-0005-0000-0000-0000B8620000}"/>
    <cellStyle name="货币 2 7 2 2 5 2 2" xfId="35553" xr:uid="{00000000-0005-0000-0000-0000118B0000}"/>
    <cellStyle name="货币 2 7 2 2 5 2 2 2" xfId="48970" xr:uid="{00000000-0005-0000-0000-00007ABF0000}"/>
    <cellStyle name="货币 2 7 2 2 5 2 3" xfId="48971" xr:uid="{00000000-0005-0000-0000-00007BBF0000}"/>
    <cellStyle name="货币 2 7 2 2 5 2 4" xfId="48972" xr:uid="{00000000-0005-0000-0000-00007CBF0000}"/>
    <cellStyle name="货币 2 7 2 2 5 2 5" xfId="48973" xr:uid="{00000000-0005-0000-0000-00007DBF0000}"/>
    <cellStyle name="货币 2 7 2 2 5 3" xfId="18191" xr:uid="{00000000-0005-0000-0000-00003F470000}"/>
    <cellStyle name="货币 2 7 2 2 5 3 2" xfId="35595" xr:uid="{00000000-0005-0000-0000-00003B8B0000}"/>
    <cellStyle name="货币 2 7 2 2 5 4" xfId="18197" xr:uid="{00000000-0005-0000-0000-000045470000}"/>
    <cellStyle name="货币 2 7 2 2 5 5" xfId="18202" xr:uid="{00000000-0005-0000-0000-00004A470000}"/>
    <cellStyle name="货币 2 7 2 2 5 6" xfId="18207" xr:uid="{00000000-0005-0000-0000-00004F470000}"/>
    <cellStyle name="货币 2 7 2 2 5 7" xfId="48974" xr:uid="{00000000-0005-0000-0000-00007EBF0000}"/>
    <cellStyle name="货币 2 7 2 2 5 8" xfId="48975" xr:uid="{00000000-0005-0000-0000-00007FBF0000}"/>
    <cellStyle name="货币 2 7 2 2 5 9" xfId="48976" xr:uid="{00000000-0005-0000-0000-000080BF0000}"/>
    <cellStyle name="货币 2 7 2 2 6" xfId="25226" xr:uid="{00000000-0005-0000-0000-0000BA620000}"/>
    <cellStyle name="货币 2 7 2 2 6 2" xfId="25231" xr:uid="{00000000-0005-0000-0000-0000BF620000}"/>
    <cellStyle name="货币 2 7 2 2 6 2 2" xfId="35745" xr:uid="{00000000-0005-0000-0000-0000D18B0000}"/>
    <cellStyle name="货币 2 7 2 2 6 3" xfId="18216" xr:uid="{00000000-0005-0000-0000-000058470000}"/>
    <cellStyle name="货币 2 7 2 2 6 4" xfId="18223" xr:uid="{00000000-0005-0000-0000-00005F470000}"/>
    <cellStyle name="货币 2 7 2 2 6 5" xfId="18229" xr:uid="{00000000-0005-0000-0000-000065470000}"/>
    <cellStyle name="货币 2 7 2 2 6 6" xfId="18235" xr:uid="{00000000-0005-0000-0000-00006B470000}"/>
    <cellStyle name="货币 2 7 2 2 6 7" xfId="48977" xr:uid="{00000000-0005-0000-0000-000081BF0000}"/>
    <cellStyle name="货币 2 7 2 2 6 8" xfId="48978" xr:uid="{00000000-0005-0000-0000-000082BF0000}"/>
    <cellStyle name="货币 2 7 2 2 6 9" xfId="48979" xr:uid="{00000000-0005-0000-0000-000083BF0000}"/>
    <cellStyle name="货币 2 7 2 2 7" xfId="25233" xr:uid="{00000000-0005-0000-0000-0000C1620000}"/>
    <cellStyle name="货币 2 7 2 2 7 2" xfId="25237" xr:uid="{00000000-0005-0000-0000-0000C5620000}"/>
    <cellStyle name="货币 2 7 2 2 8" xfId="25239" xr:uid="{00000000-0005-0000-0000-0000C7620000}"/>
    <cellStyle name="货币 2 7 2 2 9" xfId="25243" xr:uid="{00000000-0005-0000-0000-0000CB620000}"/>
    <cellStyle name="货币 2 7 2 20" xfId="48948" xr:uid="{00000000-0005-0000-0000-000064BF0000}"/>
    <cellStyle name="货币 2 7 2 21" xfId="48950" xr:uid="{00000000-0005-0000-0000-000066BF0000}"/>
    <cellStyle name="货币 2 7 2 22" xfId="48952" xr:uid="{00000000-0005-0000-0000-000068BF0000}"/>
    <cellStyle name="货币 2 7 2 23" xfId="31404" xr:uid="{00000000-0005-0000-0000-0000DC7A0000}"/>
    <cellStyle name="货币 2 7 2 3" xfId="48980" xr:uid="{00000000-0005-0000-0000-000084BF0000}"/>
    <cellStyle name="货币 2 7 2 3 10" xfId="48981" xr:uid="{00000000-0005-0000-0000-000085BF0000}"/>
    <cellStyle name="货币 2 7 2 3 11" xfId="48982" xr:uid="{00000000-0005-0000-0000-000086BF0000}"/>
    <cellStyle name="货币 2 7 2 3 12" xfId="32260" xr:uid="{00000000-0005-0000-0000-0000347E0000}"/>
    <cellStyle name="货币 2 7 2 3 13" xfId="48983" xr:uid="{00000000-0005-0000-0000-000087BF0000}"/>
    <cellStyle name="货币 2 7 2 3 14" xfId="48984" xr:uid="{00000000-0005-0000-0000-000088BF0000}"/>
    <cellStyle name="货币 2 7 2 3 15" xfId="25249" xr:uid="{00000000-0005-0000-0000-0000D1620000}"/>
    <cellStyle name="货币 2 7 2 3 16" xfId="25251" xr:uid="{00000000-0005-0000-0000-0000D3620000}"/>
    <cellStyle name="货币 2 7 2 3 17" xfId="3172" xr:uid="{00000000-0005-0000-0000-0000940C0000}"/>
    <cellStyle name="货币 2 7 2 3 18" xfId="25256" xr:uid="{00000000-0005-0000-0000-0000D8620000}"/>
    <cellStyle name="货币 2 7 2 3 2" xfId="48985" xr:uid="{00000000-0005-0000-0000-000089BF0000}"/>
    <cellStyle name="货币 2 7 2 3 2 10" xfId="48986" xr:uid="{00000000-0005-0000-0000-00008ABF0000}"/>
    <cellStyle name="货币 2 7 2 3 2 2" xfId="48987" xr:uid="{00000000-0005-0000-0000-00008BBF0000}"/>
    <cellStyle name="货币 2 7 2 3 2 2 2" xfId="48988" xr:uid="{00000000-0005-0000-0000-00008CBF0000}"/>
    <cellStyle name="货币 2 7 2 3 2 3" xfId="48989" xr:uid="{00000000-0005-0000-0000-00008DBF0000}"/>
    <cellStyle name="货币 2 7 2 3 2 4" xfId="48990" xr:uid="{00000000-0005-0000-0000-00008EBF0000}"/>
    <cellStyle name="货币 2 7 2 3 2 5" xfId="48991" xr:uid="{00000000-0005-0000-0000-00008FBF0000}"/>
    <cellStyle name="货币 2 7 2 3 2 6" xfId="48992" xr:uid="{00000000-0005-0000-0000-000090BF0000}"/>
    <cellStyle name="货币 2 7 2 3 2 7" xfId="48993" xr:uid="{00000000-0005-0000-0000-000091BF0000}"/>
    <cellStyle name="货币 2 7 2 3 2 8" xfId="48994" xr:uid="{00000000-0005-0000-0000-000092BF0000}"/>
    <cellStyle name="货币 2 7 2 3 2 9" xfId="48995" xr:uid="{00000000-0005-0000-0000-000093BF0000}"/>
    <cellStyle name="货币 2 7 2 3 3" xfId="25259" xr:uid="{00000000-0005-0000-0000-0000DB620000}"/>
    <cellStyle name="货币 2 7 2 3 3 2" xfId="25049" xr:uid="{00000000-0005-0000-0000-000009620000}"/>
    <cellStyle name="货币 2 7 2 3 3 3" xfId="18615" xr:uid="{00000000-0005-0000-0000-0000E7480000}"/>
    <cellStyle name="货币 2 7 2 3 3 4" xfId="18619" xr:uid="{00000000-0005-0000-0000-0000EB480000}"/>
    <cellStyle name="货币 2 7 2 3 3 5" xfId="18633" xr:uid="{00000000-0005-0000-0000-0000F9480000}"/>
    <cellStyle name="货币 2 7 2 3 3 6" xfId="18639" xr:uid="{00000000-0005-0000-0000-0000FF480000}"/>
    <cellStyle name="货币 2 7 2 3 4" xfId="25262" xr:uid="{00000000-0005-0000-0000-0000DE620000}"/>
    <cellStyle name="货币 2 7 2 3 4 2" xfId="25267" xr:uid="{00000000-0005-0000-0000-0000E3620000}"/>
    <cellStyle name="货币 2 7 2 3 4 3" xfId="18658" xr:uid="{00000000-0005-0000-0000-000012490000}"/>
    <cellStyle name="货币 2 7 2 3 4 4" xfId="18667" xr:uid="{00000000-0005-0000-0000-00001B490000}"/>
    <cellStyle name="货币 2 7 2 3 4 5" xfId="18691" xr:uid="{00000000-0005-0000-0000-000033490000}"/>
    <cellStyle name="货币 2 7 2 3 4 6" xfId="14406" xr:uid="{00000000-0005-0000-0000-000076380000}"/>
    <cellStyle name="货币 2 7 2 3 5" xfId="25270" xr:uid="{00000000-0005-0000-0000-0000E6620000}"/>
    <cellStyle name="货币 2 7 2 3 5 2" xfId="25272" xr:uid="{00000000-0005-0000-0000-0000E8620000}"/>
    <cellStyle name="货币 2 7 2 3 5 3" xfId="18699" xr:uid="{00000000-0005-0000-0000-00003B490000}"/>
    <cellStyle name="货币 2 7 2 3 5 4" xfId="18706" xr:uid="{00000000-0005-0000-0000-000042490000}"/>
    <cellStyle name="货币 2 7 2 3 5 5" xfId="18710" xr:uid="{00000000-0005-0000-0000-000046490000}"/>
    <cellStyle name="货币 2 7 2 3 5 6" xfId="18717" xr:uid="{00000000-0005-0000-0000-00004D490000}"/>
    <cellStyle name="货币 2 7 2 3 6" xfId="25274" xr:uid="{00000000-0005-0000-0000-0000EA620000}"/>
    <cellStyle name="货币 2 7 2 3 6 2" xfId="20685" xr:uid="{00000000-0005-0000-0000-0000FD500000}"/>
    <cellStyle name="货币 2 7 2 3 6 3" xfId="18728" xr:uid="{00000000-0005-0000-0000-000058490000}"/>
    <cellStyle name="货币 2 7 2 3 6 4" xfId="18736" xr:uid="{00000000-0005-0000-0000-000060490000}"/>
    <cellStyle name="货币 2 7 2 3 6 5" xfId="18743" xr:uid="{00000000-0005-0000-0000-000067490000}"/>
    <cellStyle name="货币 2 7 2 3 6 6" xfId="18750" xr:uid="{00000000-0005-0000-0000-00006E490000}"/>
    <cellStyle name="货币 2 7 2 3 7" xfId="25280" xr:uid="{00000000-0005-0000-0000-0000F0620000}"/>
    <cellStyle name="货币 2 7 2 3 8" xfId="25289" xr:uid="{00000000-0005-0000-0000-0000F9620000}"/>
    <cellStyle name="货币 2 7 2 3 9" xfId="25294" xr:uid="{00000000-0005-0000-0000-0000FE620000}"/>
    <cellStyle name="货币 2 7 2 4" xfId="48996" xr:uid="{00000000-0005-0000-0000-000094BF0000}"/>
    <cellStyle name="货币 2 7 2 4 10" xfId="48997" xr:uid="{00000000-0005-0000-0000-000095BF0000}"/>
    <cellStyle name="货币 2 7 2 4 11" xfId="48998" xr:uid="{00000000-0005-0000-0000-000096BF0000}"/>
    <cellStyle name="货币 2 7 2 4 12" xfId="48999" xr:uid="{00000000-0005-0000-0000-000097BF0000}"/>
    <cellStyle name="货币 2 7 2 4 13" xfId="49000" xr:uid="{00000000-0005-0000-0000-000098BF0000}"/>
    <cellStyle name="货币 2 7 2 4 14" xfId="2172" xr:uid="{00000000-0005-0000-0000-0000AC080000}"/>
    <cellStyle name="货币 2 7 2 4 15" xfId="2209" xr:uid="{00000000-0005-0000-0000-0000D1080000}"/>
    <cellStyle name="货币 2 7 2 4 2" xfId="43840" xr:uid="{00000000-0005-0000-0000-000070AB0000}"/>
    <cellStyle name="货币 2 7 2 4 2 2" xfId="12709" xr:uid="{00000000-0005-0000-0000-0000D5310000}"/>
    <cellStyle name="货币 2 7 2 4 2 2 2" xfId="49001" xr:uid="{00000000-0005-0000-0000-000099BF0000}"/>
    <cellStyle name="货币 2 7 2 4 2 3" xfId="12714" xr:uid="{00000000-0005-0000-0000-0000DA310000}"/>
    <cellStyle name="货币 2 7 2 4 2 4" xfId="12719" xr:uid="{00000000-0005-0000-0000-0000DF310000}"/>
    <cellStyle name="货币 2 7 2 4 2 5" xfId="12723" xr:uid="{00000000-0005-0000-0000-0000E3310000}"/>
    <cellStyle name="货币 2 7 2 4 2 6" xfId="3788" xr:uid="{00000000-0005-0000-0000-0000FC0E0000}"/>
    <cellStyle name="货币 2 7 2 4 2 7" xfId="49002" xr:uid="{00000000-0005-0000-0000-00009ABF0000}"/>
    <cellStyle name="货币 2 7 2 4 2 8" xfId="31810" xr:uid="{00000000-0005-0000-0000-0000727C0000}"/>
    <cellStyle name="货币 2 7 2 4 2 9" xfId="49003" xr:uid="{00000000-0005-0000-0000-00009BBF0000}"/>
    <cellStyle name="货币 2 7 2 4 3" xfId="25302" xr:uid="{00000000-0005-0000-0000-000006630000}"/>
    <cellStyle name="货币 2 7 2 4 3 2" xfId="12727" xr:uid="{00000000-0005-0000-0000-0000E7310000}"/>
    <cellStyle name="货币 2 7 2 4 3 3" xfId="12730" xr:uid="{00000000-0005-0000-0000-0000EA310000}"/>
    <cellStyle name="货币 2 7 2 4 3 4" xfId="12735" xr:uid="{00000000-0005-0000-0000-0000EF310000}"/>
    <cellStyle name="货币 2 7 2 4 3 5" xfId="12740" xr:uid="{00000000-0005-0000-0000-0000F4310000}"/>
    <cellStyle name="货币 2 7 2 4 3 6" xfId="3808" xr:uid="{00000000-0005-0000-0000-0000100F0000}"/>
    <cellStyle name="货币 2 7 2 4 4" xfId="25305" xr:uid="{00000000-0005-0000-0000-000009630000}"/>
    <cellStyle name="货币 2 7 2 4 4 2" xfId="8813" xr:uid="{00000000-0005-0000-0000-00009D220000}"/>
    <cellStyle name="货币 2 7 2 4 5" xfId="25307" xr:uid="{00000000-0005-0000-0000-00000B630000}"/>
    <cellStyle name="货币 2 7 2 4 6" xfId="25310" xr:uid="{00000000-0005-0000-0000-00000E630000}"/>
    <cellStyle name="货币 2 7 2 4 7" xfId="25315" xr:uid="{00000000-0005-0000-0000-000013630000}"/>
    <cellStyle name="货币 2 7 2 4 8" xfId="25321" xr:uid="{00000000-0005-0000-0000-000019630000}"/>
    <cellStyle name="货币 2 7 2 4 9" xfId="25326" xr:uid="{00000000-0005-0000-0000-00001E630000}"/>
    <cellStyle name="货币 2 7 2 5" xfId="49004" xr:uid="{00000000-0005-0000-0000-00009CBF0000}"/>
    <cellStyle name="货币 2 7 2 5 10" xfId="47825" xr:uid="{00000000-0005-0000-0000-000001BB0000}"/>
    <cellStyle name="货币 2 7 2 5 11" xfId="47827" xr:uid="{00000000-0005-0000-0000-000003BB0000}"/>
    <cellStyle name="货币 2 7 2 5 12" xfId="47829" xr:uid="{00000000-0005-0000-0000-000005BB0000}"/>
    <cellStyle name="货币 2 7 2 5 13" xfId="47831" xr:uid="{00000000-0005-0000-0000-000007BB0000}"/>
    <cellStyle name="货币 2 7 2 5 2" xfId="49005" xr:uid="{00000000-0005-0000-0000-00009DBF0000}"/>
    <cellStyle name="货币 2 7 2 5 2 2" xfId="49006" xr:uid="{00000000-0005-0000-0000-00009EBF0000}"/>
    <cellStyle name="货币 2 7 2 5 2 2 2" xfId="49007" xr:uid="{00000000-0005-0000-0000-00009FBF0000}"/>
    <cellStyle name="货币 2 7 2 5 2 3" xfId="49008" xr:uid="{00000000-0005-0000-0000-0000A0BF0000}"/>
    <cellStyle name="货币 2 7 2 5 2 4" xfId="49009" xr:uid="{00000000-0005-0000-0000-0000A1BF0000}"/>
    <cellStyle name="货币 2 7 2 5 2 5" xfId="49010" xr:uid="{00000000-0005-0000-0000-0000A2BF0000}"/>
    <cellStyle name="货币 2 7 2 5 2 6" xfId="1019" xr:uid="{00000000-0005-0000-0000-00002B040000}"/>
    <cellStyle name="货币 2 7 2 5 2 7" xfId="49011" xr:uid="{00000000-0005-0000-0000-0000A3BF0000}"/>
    <cellStyle name="货币 2 7 2 5 2 8" xfId="31817" xr:uid="{00000000-0005-0000-0000-0000797C0000}"/>
    <cellStyle name="货币 2 7 2 5 2 9" xfId="49012" xr:uid="{00000000-0005-0000-0000-0000A4BF0000}"/>
    <cellStyle name="货币 2 7 2 5 3" xfId="49013" xr:uid="{00000000-0005-0000-0000-0000A5BF0000}"/>
    <cellStyle name="货币 2 7 2 5 3 2" xfId="49014" xr:uid="{00000000-0005-0000-0000-0000A6BF0000}"/>
    <cellStyle name="货币 2 7 2 5 3 3" xfId="11464" xr:uid="{00000000-0005-0000-0000-0000F82C0000}"/>
    <cellStyle name="货币 2 7 2 5 3 4" xfId="49015" xr:uid="{00000000-0005-0000-0000-0000A7BF0000}"/>
    <cellStyle name="货币 2 7 2 5 3 5" xfId="49016" xr:uid="{00000000-0005-0000-0000-0000A8BF0000}"/>
    <cellStyle name="货币 2 7 2 5 3 6" xfId="1199" xr:uid="{00000000-0005-0000-0000-0000DF040000}"/>
    <cellStyle name="货币 2 7 2 5 4" xfId="40682" xr:uid="{00000000-0005-0000-0000-00001A9F0000}"/>
    <cellStyle name="货币 2 7 2 5 4 2" xfId="40684" xr:uid="{00000000-0005-0000-0000-00001C9F0000}"/>
    <cellStyle name="货币 2 7 2 5 5" xfId="40686" xr:uid="{00000000-0005-0000-0000-00001E9F0000}"/>
    <cellStyle name="货币 2 7 2 5 6" xfId="40688" xr:uid="{00000000-0005-0000-0000-0000209F0000}"/>
    <cellStyle name="货币 2 7 2 5 7" xfId="40690" xr:uid="{00000000-0005-0000-0000-0000229F0000}"/>
    <cellStyle name="货币 2 7 2 5 8" xfId="49017" xr:uid="{00000000-0005-0000-0000-0000A9BF0000}"/>
    <cellStyle name="货币 2 7 2 5 9" xfId="49018" xr:uid="{00000000-0005-0000-0000-0000AABF0000}"/>
    <cellStyle name="货币 2 7 2 6" xfId="49019" xr:uid="{00000000-0005-0000-0000-0000ABBF0000}"/>
    <cellStyle name="货币 2 7 2 6 10" xfId="17627" xr:uid="{00000000-0005-0000-0000-00000B450000}"/>
    <cellStyle name="货币 2 7 2 6 11" xfId="17744" xr:uid="{00000000-0005-0000-0000-000080450000}"/>
    <cellStyle name="货币 2 7 2 6 12" xfId="17748" xr:uid="{00000000-0005-0000-0000-000084450000}"/>
    <cellStyle name="货币 2 7 2 6 2" xfId="49020" xr:uid="{00000000-0005-0000-0000-0000ACBF0000}"/>
    <cellStyle name="货币 2 7 2 6 2 2" xfId="49021" xr:uid="{00000000-0005-0000-0000-0000ADBF0000}"/>
    <cellStyle name="货币 2 7 2 6 2 2 2" xfId="13938" xr:uid="{00000000-0005-0000-0000-0000A2360000}"/>
    <cellStyle name="货币 2 7 2 6 2 3" xfId="49022" xr:uid="{00000000-0005-0000-0000-0000AEBF0000}"/>
    <cellStyle name="货币 2 7 2 6 2 4" xfId="45002" xr:uid="{00000000-0005-0000-0000-0000FAAF0000}"/>
    <cellStyle name="货币 2 7 2 6 2 5" xfId="45004" xr:uid="{00000000-0005-0000-0000-0000FCAF0000}"/>
    <cellStyle name="货币 2 7 2 6 2 6" xfId="45006" xr:uid="{00000000-0005-0000-0000-0000FEAF0000}"/>
    <cellStyle name="货币 2 7 2 6 2 7" xfId="49023" xr:uid="{00000000-0005-0000-0000-0000AFBF0000}"/>
    <cellStyle name="货币 2 7 2 6 2 8" xfId="49024" xr:uid="{00000000-0005-0000-0000-0000B0BF0000}"/>
    <cellStyle name="货币 2 7 2 6 2 9" xfId="49025" xr:uid="{00000000-0005-0000-0000-0000B1BF0000}"/>
    <cellStyle name="货币 2 7 2 6 3" xfId="49026" xr:uid="{00000000-0005-0000-0000-0000B2BF0000}"/>
    <cellStyle name="货币 2 7 2 6 3 2" xfId="40558" xr:uid="{00000000-0005-0000-0000-00009E9E0000}"/>
    <cellStyle name="货币 2 7 2 6 3 3" xfId="6776" xr:uid="{00000000-0005-0000-0000-0000A81A0000}"/>
    <cellStyle name="货币 2 7 2 6 3 4" xfId="8184" xr:uid="{00000000-0005-0000-0000-000028200000}"/>
    <cellStyle name="货币 2 7 2 6 3 5" xfId="8454" xr:uid="{00000000-0005-0000-0000-000036210000}"/>
    <cellStyle name="货币 2 7 2 6 3 6" xfId="8515" xr:uid="{00000000-0005-0000-0000-000073210000}"/>
    <cellStyle name="货币 2 7 2 6 4" xfId="40693" xr:uid="{00000000-0005-0000-0000-0000259F0000}"/>
    <cellStyle name="货币 2 7 2 6 4 2" xfId="49027" xr:uid="{00000000-0005-0000-0000-0000B3BF0000}"/>
    <cellStyle name="货币 2 7 2 6 5" xfId="49028" xr:uid="{00000000-0005-0000-0000-0000B4BF0000}"/>
    <cellStyle name="货币 2 7 2 6 6" xfId="49029" xr:uid="{00000000-0005-0000-0000-0000B5BF0000}"/>
    <cellStyle name="货币 2 7 2 6 7" xfId="49030" xr:uid="{00000000-0005-0000-0000-0000B6BF0000}"/>
    <cellStyle name="货币 2 7 2 6 8" xfId="49031" xr:uid="{00000000-0005-0000-0000-0000B7BF0000}"/>
    <cellStyle name="货币 2 7 2 6 9" xfId="49032" xr:uid="{00000000-0005-0000-0000-0000B8BF0000}"/>
    <cellStyle name="货币 2 7 2 7" xfId="49033" xr:uid="{00000000-0005-0000-0000-0000B9BF0000}"/>
    <cellStyle name="货币 2 7 2 7 2" xfId="49034" xr:uid="{00000000-0005-0000-0000-0000BABF0000}"/>
    <cellStyle name="货币 2 7 2 7 2 2" xfId="49035" xr:uid="{00000000-0005-0000-0000-0000BBBF0000}"/>
    <cellStyle name="货币 2 7 2 7 3" xfId="49036" xr:uid="{00000000-0005-0000-0000-0000BCBF0000}"/>
    <cellStyle name="货币 2 7 2 7 4" xfId="49037" xr:uid="{00000000-0005-0000-0000-0000BDBF0000}"/>
    <cellStyle name="货币 2 7 2 7 5" xfId="49038" xr:uid="{00000000-0005-0000-0000-0000BEBF0000}"/>
    <cellStyle name="货币 2 7 2 7 6" xfId="49039" xr:uid="{00000000-0005-0000-0000-0000BFBF0000}"/>
    <cellStyle name="货币 2 7 2 7 7" xfId="49040" xr:uid="{00000000-0005-0000-0000-0000C0BF0000}"/>
    <cellStyle name="货币 2 7 2 7 8" xfId="49041" xr:uid="{00000000-0005-0000-0000-0000C1BF0000}"/>
    <cellStyle name="货币 2 7 2 7 9" xfId="49042" xr:uid="{00000000-0005-0000-0000-0000C2BF0000}"/>
    <cellStyle name="货币 2 7 2 8" xfId="49043" xr:uid="{00000000-0005-0000-0000-0000C3BF0000}"/>
    <cellStyle name="货币 2 7 2 8 2" xfId="17440" xr:uid="{00000000-0005-0000-0000-000050440000}"/>
    <cellStyle name="货币 2 7 2 8 3" xfId="17443" xr:uid="{00000000-0005-0000-0000-000053440000}"/>
    <cellStyle name="货币 2 7 2 8 4" xfId="17448" xr:uid="{00000000-0005-0000-0000-000058440000}"/>
    <cellStyle name="货币 2 7 2 8 5" xfId="17452" xr:uid="{00000000-0005-0000-0000-00005C440000}"/>
    <cellStyle name="货币 2 7 2 8 6" xfId="17456" xr:uid="{00000000-0005-0000-0000-000060440000}"/>
    <cellStyle name="货币 2 7 2 9" xfId="49044" xr:uid="{00000000-0005-0000-0000-0000C4BF0000}"/>
    <cellStyle name="货币 2 7 2 9 2" xfId="16707" xr:uid="{00000000-0005-0000-0000-000073410000}"/>
    <cellStyle name="货币 2 7 2 9 3" xfId="16712" xr:uid="{00000000-0005-0000-0000-000078410000}"/>
    <cellStyle name="货币 2 7 2 9 4" xfId="16717" xr:uid="{00000000-0005-0000-0000-00007D410000}"/>
    <cellStyle name="货币 2 7 2 9 5" xfId="475" xr:uid="{00000000-0005-0000-0000-0000FA010000}"/>
    <cellStyle name="货币 2 7 2 9 6" xfId="49045" xr:uid="{00000000-0005-0000-0000-0000C5BF0000}"/>
    <cellStyle name="货币 2 7 20" xfId="24977" xr:uid="{00000000-0005-0000-0000-0000C1610000}"/>
    <cellStyle name="货币 2 7 21" xfId="24982" xr:uid="{00000000-0005-0000-0000-0000C6610000}"/>
    <cellStyle name="货币 2 7 22" xfId="24986" xr:uid="{00000000-0005-0000-0000-0000CA610000}"/>
    <cellStyle name="货币 2 7 23" xfId="24989" xr:uid="{00000000-0005-0000-0000-0000CD610000}"/>
    <cellStyle name="货币 2 7 24" xfId="24992" xr:uid="{00000000-0005-0000-0000-0000D0610000}"/>
    <cellStyle name="货币 2 7 25" xfId="43940" xr:uid="{00000000-0005-0000-0000-0000D4AB0000}"/>
    <cellStyle name="货币 2 7 26" xfId="43948" xr:uid="{00000000-0005-0000-0000-0000DCAB0000}"/>
    <cellStyle name="货币 2 7 3" xfId="47382" xr:uid="{00000000-0005-0000-0000-000046B90000}"/>
    <cellStyle name="货币 2 7 3 10" xfId="18677" xr:uid="{00000000-0005-0000-0000-000025490000}"/>
    <cellStyle name="货币 2 7 3 10 2" xfId="48249" xr:uid="{00000000-0005-0000-0000-0000A9BC0000}"/>
    <cellStyle name="货币 2 7 3 10 3" xfId="48251" xr:uid="{00000000-0005-0000-0000-0000ABBC0000}"/>
    <cellStyle name="货币 2 7 3 10 4" xfId="48253" xr:uid="{00000000-0005-0000-0000-0000ADBC0000}"/>
    <cellStyle name="货币 2 7 3 10 5" xfId="48255" xr:uid="{00000000-0005-0000-0000-0000AFBC0000}"/>
    <cellStyle name="货币 2 7 3 10 6" xfId="48257" xr:uid="{00000000-0005-0000-0000-0000B1BC0000}"/>
    <cellStyle name="货币 2 7 3 11" xfId="18681" xr:uid="{00000000-0005-0000-0000-000029490000}"/>
    <cellStyle name="货币 2 7 3 11 2" xfId="36071" xr:uid="{00000000-0005-0000-0000-0000178D0000}"/>
    <cellStyle name="货币 2 7 3 11 3" xfId="36073" xr:uid="{00000000-0005-0000-0000-0000198D0000}"/>
    <cellStyle name="货币 2 7 3 11 4" xfId="36075" xr:uid="{00000000-0005-0000-0000-00001B8D0000}"/>
    <cellStyle name="货币 2 7 3 11 5" xfId="36077" xr:uid="{00000000-0005-0000-0000-00001D8D0000}"/>
    <cellStyle name="货币 2 7 3 11 6" xfId="36080" xr:uid="{00000000-0005-0000-0000-0000208D0000}"/>
    <cellStyle name="货币 2 7 3 12" xfId="18684" xr:uid="{00000000-0005-0000-0000-00002C490000}"/>
    <cellStyle name="货币 2 7 3 13" xfId="18687" xr:uid="{00000000-0005-0000-0000-00002F490000}"/>
    <cellStyle name="货币 2 7 3 14" xfId="27826" xr:uid="{00000000-0005-0000-0000-0000E26C0000}"/>
    <cellStyle name="货币 2 7 3 15" xfId="17886" xr:uid="{00000000-0005-0000-0000-00000E460000}"/>
    <cellStyle name="货币 2 7 3 16" xfId="27830" xr:uid="{00000000-0005-0000-0000-0000E66C0000}"/>
    <cellStyle name="货币 2 7 3 17" xfId="27833" xr:uid="{00000000-0005-0000-0000-0000E96C0000}"/>
    <cellStyle name="货币 2 7 3 18" xfId="27458" xr:uid="{00000000-0005-0000-0000-0000726B0000}"/>
    <cellStyle name="货币 2 7 3 19" xfId="27460" xr:uid="{00000000-0005-0000-0000-0000746B0000}"/>
    <cellStyle name="货币 2 7 3 2" xfId="47384" xr:uid="{00000000-0005-0000-0000-000048B90000}"/>
    <cellStyle name="货币 2 7 3 2 10" xfId="2891" xr:uid="{00000000-0005-0000-0000-00007B0B0000}"/>
    <cellStyle name="货币 2 7 3 2 11" xfId="21266" xr:uid="{00000000-0005-0000-0000-000042530000}"/>
    <cellStyle name="货币 2 7 3 2 12" xfId="21273" xr:uid="{00000000-0005-0000-0000-000049530000}"/>
    <cellStyle name="货币 2 7 3 2 13" xfId="21276" xr:uid="{00000000-0005-0000-0000-00004C530000}"/>
    <cellStyle name="货币 2 7 3 2 14" xfId="21279" xr:uid="{00000000-0005-0000-0000-00004F530000}"/>
    <cellStyle name="货币 2 7 3 2 15" xfId="26160" xr:uid="{00000000-0005-0000-0000-000060660000}"/>
    <cellStyle name="货币 2 7 3 2 16" xfId="26163" xr:uid="{00000000-0005-0000-0000-000063660000}"/>
    <cellStyle name="货币 2 7 3 2 17" xfId="26166" xr:uid="{00000000-0005-0000-0000-000066660000}"/>
    <cellStyle name="货币 2 7 3 2 18" xfId="26168" xr:uid="{00000000-0005-0000-0000-000068660000}"/>
    <cellStyle name="货币 2 7 3 2 2" xfId="47386" xr:uid="{00000000-0005-0000-0000-00004AB90000}"/>
    <cellStyle name="货币 2 7 3 2 2 10" xfId="49046" xr:uid="{00000000-0005-0000-0000-0000C6BF0000}"/>
    <cellStyle name="货币 2 7 3 2 2 11" xfId="49047" xr:uid="{00000000-0005-0000-0000-0000C7BF0000}"/>
    <cellStyle name="货币 2 7 3 2 2 12" xfId="49048" xr:uid="{00000000-0005-0000-0000-0000C8BF0000}"/>
    <cellStyle name="货币 2 7 3 2 2 2" xfId="49049" xr:uid="{00000000-0005-0000-0000-0000C9BF0000}"/>
    <cellStyle name="货币 2 7 3 2 2 2 2" xfId="49050" xr:uid="{00000000-0005-0000-0000-0000CABF0000}"/>
    <cellStyle name="货币 2 7 3 2 2 2 2 2" xfId="7109" xr:uid="{00000000-0005-0000-0000-0000F51B0000}"/>
    <cellStyle name="货币 2 7 3 2 2 2 3" xfId="49051" xr:uid="{00000000-0005-0000-0000-0000CBBF0000}"/>
    <cellStyle name="货币 2 7 3 2 2 2 4" xfId="46014" xr:uid="{00000000-0005-0000-0000-0000EEB30000}"/>
    <cellStyle name="货币 2 7 3 2 2 2 5" xfId="46016" xr:uid="{00000000-0005-0000-0000-0000F0B30000}"/>
    <cellStyle name="货币 2 7 3 2 2 3" xfId="49052" xr:uid="{00000000-0005-0000-0000-0000CCBF0000}"/>
    <cellStyle name="货币 2 7 3 2 2 3 2" xfId="49053" xr:uid="{00000000-0005-0000-0000-0000CDBF0000}"/>
    <cellStyle name="货币 2 7 3 2 2 4" xfId="49054" xr:uid="{00000000-0005-0000-0000-0000CEBF0000}"/>
    <cellStyle name="货币 2 7 3 2 2 5" xfId="49055" xr:uid="{00000000-0005-0000-0000-0000CFBF0000}"/>
    <cellStyle name="货币 2 7 3 2 2 6" xfId="49056" xr:uid="{00000000-0005-0000-0000-0000D0BF0000}"/>
    <cellStyle name="货币 2 7 3 2 2 7" xfId="35973" xr:uid="{00000000-0005-0000-0000-0000B58C0000}"/>
    <cellStyle name="货币 2 7 3 2 2 8" xfId="35975" xr:uid="{00000000-0005-0000-0000-0000B78C0000}"/>
    <cellStyle name="货币 2 7 3 2 2 9" xfId="35977" xr:uid="{00000000-0005-0000-0000-0000B98C0000}"/>
    <cellStyle name="货币 2 7 3 2 3" xfId="21719" xr:uid="{00000000-0005-0000-0000-000007550000}"/>
    <cellStyle name="货币 2 7 3 2 3 10" xfId="7364" xr:uid="{00000000-0005-0000-0000-0000F41C0000}"/>
    <cellStyle name="货币 2 7 3 2 3 11" xfId="5090" xr:uid="{00000000-0005-0000-0000-000012140000}"/>
    <cellStyle name="货币 2 7 3 2 3 12" xfId="7426" xr:uid="{00000000-0005-0000-0000-0000321D0000}"/>
    <cellStyle name="货币 2 7 3 2 3 2" xfId="26174" xr:uid="{00000000-0005-0000-0000-00006E660000}"/>
    <cellStyle name="货币 2 7 3 2 3 2 2" xfId="11473" xr:uid="{00000000-0005-0000-0000-0000012D0000}"/>
    <cellStyle name="货币 2 7 3 2 3 2 2 2" xfId="25130" xr:uid="{00000000-0005-0000-0000-00005A620000}"/>
    <cellStyle name="货币 2 7 3 2 3 2 3" xfId="49057" xr:uid="{00000000-0005-0000-0000-0000D1BF0000}"/>
    <cellStyle name="货币 2 7 3 2 3 2 4" xfId="49058" xr:uid="{00000000-0005-0000-0000-0000D2BF0000}"/>
    <cellStyle name="货币 2 7 3 2 3 2 5" xfId="49059" xr:uid="{00000000-0005-0000-0000-0000D3BF0000}"/>
    <cellStyle name="货币 2 7 3 2 3 3" xfId="19561" xr:uid="{00000000-0005-0000-0000-0000994C0000}"/>
    <cellStyle name="货币 2 7 3 2 3 3 2" xfId="40237" xr:uid="{00000000-0005-0000-0000-00005D9D0000}"/>
    <cellStyle name="货币 2 7 3 2 3 4" xfId="19567" xr:uid="{00000000-0005-0000-0000-00009F4C0000}"/>
    <cellStyle name="货币 2 7 3 2 3 5" xfId="16498" xr:uid="{00000000-0005-0000-0000-0000A2400000}"/>
    <cellStyle name="货币 2 7 3 2 3 6" xfId="19572" xr:uid="{00000000-0005-0000-0000-0000A44C0000}"/>
    <cellStyle name="货币 2 7 3 2 3 7" xfId="19578" xr:uid="{00000000-0005-0000-0000-0000AA4C0000}"/>
    <cellStyle name="货币 2 7 3 2 3 8" xfId="19584" xr:uid="{00000000-0005-0000-0000-0000B04C0000}"/>
    <cellStyle name="货币 2 7 3 2 3 9" xfId="19589" xr:uid="{00000000-0005-0000-0000-0000B54C0000}"/>
    <cellStyle name="货币 2 7 3 2 4" xfId="21723" xr:uid="{00000000-0005-0000-0000-00000B550000}"/>
    <cellStyle name="货币 2 7 3 2 4 10" xfId="49060" xr:uid="{00000000-0005-0000-0000-0000D4BF0000}"/>
    <cellStyle name="货币 2 7 3 2 4 2" xfId="26176" xr:uid="{00000000-0005-0000-0000-000070660000}"/>
    <cellStyle name="货币 2 7 3 2 4 2 2" xfId="30520" xr:uid="{00000000-0005-0000-0000-000068770000}"/>
    <cellStyle name="货币 2 7 3 2 4 2 2 2" xfId="49061" xr:uid="{00000000-0005-0000-0000-0000D5BF0000}"/>
    <cellStyle name="货币 2 7 3 2 4 2 3" xfId="30814" xr:uid="{00000000-0005-0000-0000-00008E780000}"/>
    <cellStyle name="货币 2 7 3 2 4 2 4" xfId="30819" xr:uid="{00000000-0005-0000-0000-000093780000}"/>
    <cellStyle name="货币 2 7 3 2 4 2 5" xfId="30821" xr:uid="{00000000-0005-0000-0000-000095780000}"/>
    <cellStyle name="货币 2 7 3 2 4 3" xfId="19594" xr:uid="{00000000-0005-0000-0000-0000BA4C0000}"/>
    <cellStyle name="货币 2 7 3 2 4 3 2" xfId="30972" xr:uid="{00000000-0005-0000-0000-00002C790000}"/>
    <cellStyle name="货币 2 7 3 2 4 4" xfId="19601" xr:uid="{00000000-0005-0000-0000-0000C14C0000}"/>
    <cellStyle name="货币 2 7 3 2 4 5" xfId="19605" xr:uid="{00000000-0005-0000-0000-0000C54C0000}"/>
    <cellStyle name="货币 2 7 3 2 4 6" xfId="9909" xr:uid="{00000000-0005-0000-0000-0000E5260000}"/>
    <cellStyle name="货币 2 7 3 2 4 7" xfId="49062" xr:uid="{00000000-0005-0000-0000-0000D6BF0000}"/>
    <cellStyle name="货币 2 7 3 2 4 8" xfId="49063" xr:uid="{00000000-0005-0000-0000-0000D7BF0000}"/>
    <cellStyle name="货币 2 7 3 2 4 9" xfId="49064" xr:uid="{00000000-0005-0000-0000-0000D8BF0000}"/>
    <cellStyle name="货币 2 7 3 2 5" xfId="21727" xr:uid="{00000000-0005-0000-0000-00000F550000}"/>
    <cellStyle name="货币 2 7 3 2 5 10" xfId="32473" xr:uid="{00000000-0005-0000-0000-0000097F0000}"/>
    <cellStyle name="货币 2 7 3 2 5 2" xfId="26179" xr:uid="{00000000-0005-0000-0000-000073660000}"/>
    <cellStyle name="货币 2 7 3 2 5 2 2" xfId="35064" xr:uid="{00000000-0005-0000-0000-000028890000}"/>
    <cellStyle name="货币 2 7 3 2 5 2 2 2" xfId="49065" xr:uid="{00000000-0005-0000-0000-0000D9BF0000}"/>
    <cellStyle name="货币 2 7 3 2 5 2 3" xfId="35067" xr:uid="{00000000-0005-0000-0000-00002B890000}"/>
    <cellStyle name="货币 2 7 3 2 5 2 4" xfId="33799" xr:uid="{00000000-0005-0000-0000-000037840000}"/>
    <cellStyle name="货币 2 7 3 2 5 2 5" xfId="33825" xr:uid="{00000000-0005-0000-0000-000051840000}"/>
    <cellStyle name="货币 2 7 3 2 5 3" xfId="19613" xr:uid="{00000000-0005-0000-0000-0000CD4C0000}"/>
    <cellStyle name="货币 2 7 3 2 5 3 2" xfId="35075" xr:uid="{00000000-0005-0000-0000-000033890000}"/>
    <cellStyle name="货币 2 7 3 2 5 4" xfId="26181" xr:uid="{00000000-0005-0000-0000-000075660000}"/>
    <cellStyle name="货币 2 7 3 2 5 5" xfId="26183" xr:uid="{00000000-0005-0000-0000-000077660000}"/>
    <cellStyle name="货币 2 7 3 2 5 6" xfId="9937" xr:uid="{00000000-0005-0000-0000-000001270000}"/>
    <cellStyle name="货币 2 7 3 2 5 7" xfId="49066" xr:uid="{00000000-0005-0000-0000-0000DABF0000}"/>
    <cellStyle name="货币 2 7 3 2 5 8" xfId="49067" xr:uid="{00000000-0005-0000-0000-0000DBBF0000}"/>
    <cellStyle name="货币 2 7 3 2 5 9" xfId="49068" xr:uid="{00000000-0005-0000-0000-0000DCBF0000}"/>
    <cellStyle name="货币 2 7 3 2 6" xfId="26185" xr:uid="{00000000-0005-0000-0000-000079660000}"/>
    <cellStyle name="货币 2 7 3 2 6 2" xfId="26188" xr:uid="{00000000-0005-0000-0000-00007C660000}"/>
    <cellStyle name="货币 2 7 3 2 6 2 2" xfId="30539" xr:uid="{00000000-0005-0000-0000-00007B770000}"/>
    <cellStyle name="货币 2 7 3 2 6 3" xfId="26191" xr:uid="{00000000-0005-0000-0000-00007F660000}"/>
    <cellStyle name="货币 2 7 3 2 6 4" xfId="26193" xr:uid="{00000000-0005-0000-0000-000081660000}"/>
    <cellStyle name="货币 2 7 3 2 6 5" xfId="26195" xr:uid="{00000000-0005-0000-0000-000083660000}"/>
    <cellStyle name="货币 2 7 3 2 6 6" xfId="18302" xr:uid="{00000000-0005-0000-0000-0000AE470000}"/>
    <cellStyle name="货币 2 7 3 2 6 7" xfId="35415" xr:uid="{00000000-0005-0000-0000-0000878A0000}"/>
    <cellStyle name="货币 2 7 3 2 6 8" xfId="35417" xr:uid="{00000000-0005-0000-0000-0000898A0000}"/>
    <cellStyle name="货币 2 7 3 2 6 9" xfId="35419" xr:uid="{00000000-0005-0000-0000-00008B8A0000}"/>
    <cellStyle name="货币 2 7 3 2 7" xfId="26197" xr:uid="{00000000-0005-0000-0000-000085660000}"/>
    <cellStyle name="货币 2 7 3 2 7 2" xfId="26199" xr:uid="{00000000-0005-0000-0000-000087660000}"/>
    <cellStyle name="货币 2 7 3 2 8" xfId="26204" xr:uid="{00000000-0005-0000-0000-00008C660000}"/>
    <cellStyle name="货币 2 7 3 2 9" xfId="18796" xr:uid="{00000000-0005-0000-0000-00009C490000}"/>
    <cellStyle name="货币 2 7 3 20" xfId="17885" xr:uid="{00000000-0005-0000-0000-00000D460000}"/>
    <cellStyle name="货币 2 7 3 21" xfId="27829" xr:uid="{00000000-0005-0000-0000-0000E56C0000}"/>
    <cellStyle name="货币 2 7 3 22" xfId="27832" xr:uid="{00000000-0005-0000-0000-0000E86C0000}"/>
    <cellStyle name="货币 2 7 3 23" xfId="27457" xr:uid="{00000000-0005-0000-0000-0000716B0000}"/>
    <cellStyle name="货币 2 7 3 3" xfId="47388" xr:uid="{00000000-0005-0000-0000-00004CB90000}"/>
    <cellStyle name="货币 2 7 3 3 10" xfId="49069" xr:uid="{00000000-0005-0000-0000-0000DDBF0000}"/>
    <cellStyle name="货币 2 7 3 3 11" xfId="49070" xr:uid="{00000000-0005-0000-0000-0000DEBF0000}"/>
    <cellStyle name="货币 2 7 3 3 12" xfId="49071" xr:uid="{00000000-0005-0000-0000-0000DFBF0000}"/>
    <cellStyle name="货币 2 7 3 3 13" xfId="49072" xr:uid="{00000000-0005-0000-0000-0000E0BF0000}"/>
    <cellStyle name="货币 2 7 3 3 14" xfId="49073" xr:uid="{00000000-0005-0000-0000-0000E1BF0000}"/>
    <cellStyle name="货币 2 7 3 3 15" xfId="26207" xr:uid="{00000000-0005-0000-0000-00008F660000}"/>
    <cellStyle name="货币 2 7 3 3 16" xfId="26210" xr:uid="{00000000-0005-0000-0000-000092660000}"/>
    <cellStyle name="货币 2 7 3 3 17" xfId="26213" xr:uid="{00000000-0005-0000-0000-000095660000}"/>
    <cellStyle name="货币 2 7 3 3 18" xfId="26216" xr:uid="{00000000-0005-0000-0000-000098660000}"/>
    <cellStyle name="货币 2 7 3 3 2" xfId="49074" xr:uid="{00000000-0005-0000-0000-0000E2BF0000}"/>
    <cellStyle name="货币 2 7 3 3 2 10" xfId="36887" xr:uid="{00000000-0005-0000-0000-000047900000}"/>
    <cellStyle name="货币 2 7 3 3 2 2" xfId="49075" xr:uid="{00000000-0005-0000-0000-0000E3BF0000}"/>
    <cellStyle name="货币 2 7 3 3 2 2 2" xfId="49076" xr:uid="{00000000-0005-0000-0000-0000E4BF0000}"/>
    <cellStyle name="货币 2 7 3 3 2 3" xfId="49077" xr:uid="{00000000-0005-0000-0000-0000E5BF0000}"/>
    <cellStyle name="货币 2 7 3 3 2 4" xfId="49078" xr:uid="{00000000-0005-0000-0000-0000E6BF0000}"/>
    <cellStyle name="货币 2 7 3 3 2 5" xfId="49079" xr:uid="{00000000-0005-0000-0000-0000E7BF0000}"/>
    <cellStyle name="货币 2 7 3 3 2 6" xfId="49080" xr:uid="{00000000-0005-0000-0000-0000E8BF0000}"/>
    <cellStyle name="货币 2 7 3 3 2 7" xfId="49081" xr:uid="{00000000-0005-0000-0000-0000E9BF0000}"/>
    <cellStyle name="货币 2 7 3 3 2 8" xfId="49082" xr:uid="{00000000-0005-0000-0000-0000EABF0000}"/>
    <cellStyle name="货币 2 7 3 3 2 9" xfId="49083" xr:uid="{00000000-0005-0000-0000-0000EBBF0000}"/>
    <cellStyle name="货币 2 7 3 3 3" xfId="26220" xr:uid="{00000000-0005-0000-0000-00009C660000}"/>
    <cellStyle name="货币 2 7 3 3 3 2" xfId="21327" xr:uid="{00000000-0005-0000-0000-00007F530000}"/>
    <cellStyle name="货币 2 7 3 3 3 3" xfId="19676" xr:uid="{00000000-0005-0000-0000-00000C4D0000}"/>
    <cellStyle name="货币 2 7 3 3 3 4" xfId="19683" xr:uid="{00000000-0005-0000-0000-0000134D0000}"/>
    <cellStyle name="货币 2 7 3 3 3 5" xfId="16587" xr:uid="{00000000-0005-0000-0000-0000FB400000}"/>
    <cellStyle name="货币 2 7 3 3 3 6" xfId="19688" xr:uid="{00000000-0005-0000-0000-0000184D0000}"/>
    <cellStyle name="货币 2 7 3 3 4" xfId="4891" xr:uid="{00000000-0005-0000-0000-00004B130000}"/>
    <cellStyle name="货币 2 7 3 3 4 2" xfId="21336" xr:uid="{00000000-0005-0000-0000-000088530000}"/>
    <cellStyle name="货币 2 7 3 3 4 3" xfId="19699" xr:uid="{00000000-0005-0000-0000-0000234D0000}"/>
    <cellStyle name="货币 2 7 3 3 4 4" xfId="19704" xr:uid="{00000000-0005-0000-0000-0000284D0000}"/>
    <cellStyle name="货币 2 7 3 3 4 5" xfId="19711" xr:uid="{00000000-0005-0000-0000-00002F4D0000}"/>
    <cellStyle name="货币 2 7 3 3 4 6" xfId="19716" xr:uid="{00000000-0005-0000-0000-0000344D0000}"/>
    <cellStyle name="货币 2 7 3 3 5" xfId="26234" xr:uid="{00000000-0005-0000-0000-0000AA660000}"/>
    <cellStyle name="货币 2 7 3 3 5 2" xfId="12986" xr:uid="{00000000-0005-0000-0000-0000EA320000}"/>
    <cellStyle name="货币 2 7 3 3 5 3" xfId="49084" xr:uid="{00000000-0005-0000-0000-0000ECBF0000}"/>
    <cellStyle name="货币 2 7 3 3 5 4" xfId="49085" xr:uid="{00000000-0005-0000-0000-0000EDBF0000}"/>
    <cellStyle name="货币 2 7 3 3 5 5" xfId="49086" xr:uid="{00000000-0005-0000-0000-0000EEBF0000}"/>
    <cellStyle name="货币 2 7 3 3 5 6" xfId="49087" xr:uid="{00000000-0005-0000-0000-0000EFBF0000}"/>
    <cellStyle name="货币 2 7 3 3 6" xfId="26236" xr:uid="{00000000-0005-0000-0000-0000AC660000}"/>
    <cellStyle name="货币 2 7 3 3 6 2" xfId="49088" xr:uid="{00000000-0005-0000-0000-0000F0BF0000}"/>
    <cellStyle name="货币 2 7 3 3 6 3" xfId="49089" xr:uid="{00000000-0005-0000-0000-0000F1BF0000}"/>
    <cellStyle name="货币 2 7 3 3 6 4" xfId="49090" xr:uid="{00000000-0005-0000-0000-0000F2BF0000}"/>
    <cellStyle name="货币 2 7 3 3 6 5" xfId="49091" xr:uid="{00000000-0005-0000-0000-0000F3BF0000}"/>
    <cellStyle name="货币 2 7 3 3 6 6" xfId="49092" xr:uid="{00000000-0005-0000-0000-0000F4BF0000}"/>
    <cellStyle name="货币 2 7 3 3 7" xfId="26242" xr:uid="{00000000-0005-0000-0000-0000B2660000}"/>
    <cellStyle name="货币 2 7 3 3 8" xfId="26248" xr:uid="{00000000-0005-0000-0000-0000B8660000}"/>
    <cellStyle name="货币 2 7 3 3 9" xfId="26253" xr:uid="{00000000-0005-0000-0000-0000BD660000}"/>
    <cellStyle name="货币 2 7 3 4" xfId="47390" xr:uid="{00000000-0005-0000-0000-00004EB90000}"/>
    <cellStyle name="货币 2 7 3 4 10" xfId="49093" xr:uid="{00000000-0005-0000-0000-0000F5BF0000}"/>
    <cellStyle name="货币 2 7 3 4 11" xfId="49094" xr:uid="{00000000-0005-0000-0000-0000F6BF0000}"/>
    <cellStyle name="货币 2 7 3 4 12" xfId="49095" xr:uid="{00000000-0005-0000-0000-0000F7BF0000}"/>
    <cellStyle name="货币 2 7 3 4 13" xfId="49096" xr:uid="{00000000-0005-0000-0000-0000F8BF0000}"/>
    <cellStyle name="货币 2 7 3 4 14" xfId="49097" xr:uid="{00000000-0005-0000-0000-0000F9BF0000}"/>
    <cellStyle name="货币 2 7 3 4 15" xfId="26260" xr:uid="{00000000-0005-0000-0000-0000C4660000}"/>
    <cellStyle name="货币 2 7 3 4 2" xfId="43877" xr:uid="{00000000-0005-0000-0000-000095AB0000}"/>
    <cellStyle name="货币 2 7 3 4 2 2" xfId="49098" xr:uid="{00000000-0005-0000-0000-0000FABF0000}"/>
    <cellStyle name="货币 2 7 3 4 2 2 2" xfId="49099" xr:uid="{00000000-0005-0000-0000-0000FBBF0000}"/>
    <cellStyle name="货币 2 7 3 4 2 3" xfId="49100" xr:uid="{00000000-0005-0000-0000-0000FCBF0000}"/>
    <cellStyle name="货币 2 7 3 4 2 4" xfId="49101" xr:uid="{00000000-0005-0000-0000-0000FDBF0000}"/>
    <cellStyle name="货币 2 7 3 4 2 5" xfId="49102" xr:uid="{00000000-0005-0000-0000-0000FEBF0000}"/>
    <cellStyle name="货币 2 7 3 4 2 6" xfId="49103" xr:uid="{00000000-0005-0000-0000-0000FFBF0000}"/>
    <cellStyle name="货币 2 7 3 4 2 7" xfId="49104" xr:uid="{00000000-0005-0000-0000-000000C00000}"/>
    <cellStyle name="货币 2 7 3 4 2 8" xfId="41438" xr:uid="{00000000-0005-0000-0000-00000EA20000}"/>
    <cellStyle name="货币 2 7 3 4 2 9" xfId="41440" xr:uid="{00000000-0005-0000-0000-000010A20000}"/>
    <cellStyle name="货币 2 7 3 4 3" xfId="26269" xr:uid="{00000000-0005-0000-0000-0000CD660000}"/>
    <cellStyle name="货币 2 7 3 4 3 2" xfId="21432" xr:uid="{00000000-0005-0000-0000-0000E8530000}"/>
    <cellStyle name="货币 2 7 3 4 3 3" xfId="26276" xr:uid="{00000000-0005-0000-0000-0000D4660000}"/>
    <cellStyle name="货币 2 7 3 4 3 4" xfId="26280" xr:uid="{00000000-0005-0000-0000-0000D8660000}"/>
    <cellStyle name="货币 2 7 3 4 3 5" xfId="26285" xr:uid="{00000000-0005-0000-0000-0000DD660000}"/>
    <cellStyle name="货币 2 7 3 4 3 6" xfId="26289" xr:uid="{00000000-0005-0000-0000-0000E1660000}"/>
    <cellStyle name="货币 2 7 3 4 4" xfId="26296" xr:uid="{00000000-0005-0000-0000-0000E8660000}"/>
    <cellStyle name="货币 2 7 3 4 4 2" xfId="21449" xr:uid="{00000000-0005-0000-0000-0000F9530000}"/>
    <cellStyle name="货币 2 7 3 4 5" xfId="26302" xr:uid="{00000000-0005-0000-0000-0000EE660000}"/>
    <cellStyle name="货币 2 7 3 4 6" xfId="6426" xr:uid="{00000000-0005-0000-0000-00004A190000}"/>
    <cellStyle name="货币 2 7 3 4 7" xfId="26307" xr:uid="{00000000-0005-0000-0000-0000F3660000}"/>
    <cellStyle name="货币 2 7 3 4 8" xfId="26313" xr:uid="{00000000-0005-0000-0000-0000F9660000}"/>
    <cellStyle name="货币 2 7 3 4 9" xfId="26318" xr:uid="{00000000-0005-0000-0000-0000FE660000}"/>
    <cellStyle name="货币 2 7 3 5" xfId="47392" xr:uid="{00000000-0005-0000-0000-000050B90000}"/>
    <cellStyle name="货币 2 7 3 5 10" xfId="49105" xr:uid="{00000000-0005-0000-0000-000001C00000}"/>
    <cellStyle name="货币 2 7 3 5 11" xfId="49106" xr:uid="{00000000-0005-0000-0000-000002C00000}"/>
    <cellStyle name="货币 2 7 3 5 12" xfId="49107" xr:uid="{00000000-0005-0000-0000-000003C00000}"/>
    <cellStyle name="货币 2 7 3 5 13" xfId="49108" xr:uid="{00000000-0005-0000-0000-000004C00000}"/>
    <cellStyle name="货币 2 7 3 5 2" xfId="49109" xr:uid="{00000000-0005-0000-0000-000005C00000}"/>
    <cellStyle name="货币 2 7 3 5 2 2" xfId="49110" xr:uid="{00000000-0005-0000-0000-000006C00000}"/>
    <cellStyle name="货币 2 7 3 5 2 2 2" xfId="49111" xr:uid="{00000000-0005-0000-0000-000007C00000}"/>
    <cellStyle name="货币 2 7 3 5 2 3" xfId="49112" xr:uid="{00000000-0005-0000-0000-000008C00000}"/>
    <cellStyle name="货币 2 7 3 5 2 4" xfId="28778" xr:uid="{00000000-0005-0000-0000-00009A700000}"/>
    <cellStyle name="货币 2 7 3 5 2 5" xfId="49113" xr:uid="{00000000-0005-0000-0000-000009C00000}"/>
    <cellStyle name="货币 2 7 3 5 2 6" xfId="49114" xr:uid="{00000000-0005-0000-0000-00000AC00000}"/>
    <cellStyle name="货币 2 7 3 5 2 7" xfId="49115" xr:uid="{00000000-0005-0000-0000-00000BC00000}"/>
    <cellStyle name="货币 2 7 3 5 2 8" xfId="41470" xr:uid="{00000000-0005-0000-0000-00002EA20000}"/>
    <cellStyle name="货币 2 7 3 5 2 9" xfId="41472" xr:uid="{00000000-0005-0000-0000-000030A20000}"/>
    <cellStyle name="货币 2 7 3 5 3" xfId="49116" xr:uid="{00000000-0005-0000-0000-00000CC00000}"/>
    <cellStyle name="货币 2 7 3 5 3 2" xfId="49117" xr:uid="{00000000-0005-0000-0000-00000DC00000}"/>
    <cellStyle name="货币 2 7 3 5 3 3" xfId="11825" xr:uid="{00000000-0005-0000-0000-0000612E0000}"/>
    <cellStyle name="货币 2 7 3 5 3 4" xfId="28781" xr:uid="{00000000-0005-0000-0000-00009D700000}"/>
    <cellStyle name="货币 2 7 3 5 3 5" xfId="49118" xr:uid="{00000000-0005-0000-0000-00000EC00000}"/>
    <cellStyle name="货币 2 7 3 5 3 6" xfId="49119" xr:uid="{00000000-0005-0000-0000-00000FC00000}"/>
    <cellStyle name="货币 2 7 3 5 4" xfId="40702" xr:uid="{00000000-0005-0000-0000-00002E9F0000}"/>
    <cellStyle name="货币 2 7 3 5 4 2" xfId="40704" xr:uid="{00000000-0005-0000-0000-0000309F0000}"/>
    <cellStyle name="货币 2 7 3 5 5" xfId="40706" xr:uid="{00000000-0005-0000-0000-0000329F0000}"/>
    <cellStyle name="货币 2 7 3 5 6" xfId="7190" xr:uid="{00000000-0005-0000-0000-0000461C0000}"/>
    <cellStyle name="货币 2 7 3 5 7" xfId="40708" xr:uid="{00000000-0005-0000-0000-0000349F0000}"/>
    <cellStyle name="货币 2 7 3 5 8" xfId="41090" xr:uid="{00000000-0005-0000-0000-0000B2A00000}"/>
    <cellStyle name="货币 2 7 3 5 9" xfId="49120" xr:uid="{00000000-0005-0000-0000-000010C00000}"/>
    <cellStyle name="货币 2 7 3 6" xfId="49121" xr:uid="{00000000-0005-0000-0000-000011C00000}"/>
    <cellStyle name="货币 2 7 3 6 10" xfId="49122" xr:uid="{00000000-0005-0000-0000-000012C00000}"/>
    <cellStyle name="货币 2 7 3 6 11" xfId="44226" xr:uid="{00000000-0005-0000-0000-0000F2AC0000}"/>
    <cellStyle name="货币 2 7 3 6 12" xfId="44228" xr:uid="{00000000-0005-0000-0000-0000F4AC0000}"/>
    <cellStyle name="货币 2 7 3 6 2" xfId="49123" xr:uid="{00000000-0005-0000-0000-000013C00000}"/>
    <cellStyle name="货币 2 7 3 6 2 2" xfId="49124" xr:uid="{00000000-0005-0000-0000-000014C00000}"/>
    <cellStyle name="货币 2 7 3 6 2 2 2" xfId="49125" xr:uid="{00000000-0005-0000-0000-000015C00000}"/>
    <cellStyle name="货币 2 7 3 6 2 3" xfId="49126" xr:uid="{00000000-0005-0000-0000-000016C00000}"/>
    <cellStyle name="货币 2 7 3 6 2 4" xfId="49127" xr:uid="{00000000-0005-0000-0000-000017C00000}"/>
    <cellStyle name="货币 2 7 3 6 2 5" xfId="49128" xr:uid="{00000000-0005-0000-0000-000018C00000}"/>
    <cellStyle name="货币 2 7 3 6 2 6" xfId="49129" xr:uid="{00000000-0005-0000-0000-000019C00000}"/>
    <cellStyle name="货币 2 7 3 6 2 7" xfId="49130" xr:uid="{00000000-0005-0000-0000-00001AC00000}"/>
    <cellStyle name="货币 2 7 3 6 2 8" xfId="41488" xr:uid="{00000000-0005-0000-0000-000040A20000}"/>
    <cellStyle name="货币 2 7 3 6 2 9" xfId="49131" xr:uid="{00000000-0005-0000-0000-00001BC00000}"/>
    <cellStyle name="货币 2 7 3 6 3" xfId="49132" xr:uid="{00000000-0005-0000-0000-00001CC00000}"/>
    <cellStyle name="货币 2 7 3 6 3 2" xfId="49133" xr:uid="{00000000-0005-0000-0000-00001DC00000}"/>
    <cellStyle name="货币 2 7 3 6 3 3" xfId="11056" xr:uid="{00000000-0005-0000-0000-0000602B0000}"/>
    <cellStyle name="货币 2 7 3 6 3 4" xfId="11073" xr:uid="{00000000-0005-0000-0000-0000712B0000}"/>
    <cellStyle name="货币 2 7 3 6 3 5" xfId="11078" xr:uid="{00000000-0005-0000-0000-0000762B0000}"/>
    <cellStyle name="货币 2 7 3 6 3 6" xfId="11080" xr:uid="{00000000-0005-0000-0000-0000782B0000}"/>
    <cellStyle name="货币 2 7 3 6 4" xfId="40711" xr:uid="{00000000-0005-0000-0000-0000379F0000}"/>
    <cellStyle name="货币 2 7 3 6 4 2" xfId="49134" xr:uid="{00000000-0005-0000-0000-00001EC00000}"/>
    <cellStyle name="货币 2 7 3 6 5" xfId="49135" xr:uid="{00000000-0005-0000-0000-00001FC00000}"/>
    <cellStyle name="货币 2 7 3 6 6" xfId="7210" xr:uid="{00000000-0005-0000-0000-00005A1C0000}"/>
    <cellStyle name="货币 2 7 3 6 7" xfId="49136" xr:uid="{00000000-0005-0000-0000-000020C00000}"/>
    <cellStyle name="货币 2 7 3 6 8" xfId="49137" xr:uid="{00000000-0005-0000-0000-000021C00000}"/>
    <cellStyle name="货币 2 7 3 6 9" xfId="49138" xr:uid="{00000000-0005-0000-0000-000022C00000}"/>
    <cellStyle name="货币 2 7 3 7" xfId="49139" xr:uid="{00000000-0005-0000-0000-000023C00000}"/>
    <cellStyle name="货币 2 7 3 7 2" xfId="49140" xr:uid="{00000000-0005-0000-0000-000024C00000}"/>
    <cellStyle name="货币 2 7 3 7 2 2" xfId="49141" xr:uid="{00000000-0005-0000-0000-000025C00000}"/>
    <cellStyle name="货币 2 7 3 7 3" xfId="49142" xr:uid="{00000000-0005-0000-0000-000026C00000}"/>
    <cellStyle name="货币 2 7 3 7 4" xfId="49143" xr:uid="{00000000-0005-0000-0000-000027C00000}"/>
    <cellStyle name="货币 2 7 3 7 5" xfId="49144" xr:uid="{00000000-0005-0000-0000-000028C00000}"/>
    <cellStyle name="货币 2 7 3 7 6" xfId="7214" xr:uid="{00000000-0005-0000-0000-00005E1C0000}"/>
    <cellStyle name="货币 2 7 3 7 7" xfId="49145" xr:uid="{00000000-0005-0000-0000-000029C00000}"/>
    <cellStyle name="货币 2 7 3 7 8" xfId="49146" xr:uid="{00000000-0005-0000-0000-00002AC00000}"/>
    <cellStyle name="货币 2 7 3 7 9" xfId="49147" xr:uid="{00000000-0005-0000-0000-00002BC00000}"/>
    <cellStyle name="货币 2 7 3 8" xfId="49148" xr:uid="{00000000-0005-0000-0000-00002CC00000}"/>
    <cellStyle name="货币 2 7 3 8 2" xfId="17500" xr:uid="{00000000-0005-0000-0000-00008C440000}"/>
    <cellStyle name="货币 2 7 3 8 3" xfId="17503" xr:uid="{00000000-0005-0000-0000-00008F440000}"/>
    <cellStyle name="货币 2 7 3 8 4" xfId="17506" xr:uid="{00000000-0005-0000-0000-000092440000}"/>
    <cellStyle name="货币 2 7 3 8 5" xfId="49149" xr:uid="{00000000-0005-0000-0000-00002DC00000}"/>
    <cellStyle name="货币 2 7 3 8 6" xfId="7217" xr:uid="{00000000-0005-0000-0000-0000611C0000}"/>
    <cellStyle name="货币 2 7 3 9" xfId="49150" xr:uid="{00000000-0005-0000-0000-00002EC00000}"/>
    <cellStyle name="货币 2 7 3 9 2" xfId="49151" xr:uid="{00000000-0005-0000-0000-00002FC00000}"/>
    <cellStyle name="货币 2 7 3 9 3" xfId="49152" xr:uid="{00000000-0005-0000-0000-000030C00000}"/>
    <cellStyle name="货币 2 7 3 9 4" xfId="49153" xr:uid="{00000000-0005-0000-0000-000031C00000}"/>
    <cellStyle name="货币 2 7 3 9 5" xfId="49154" xr:uid="{00000000-0005-0000-0000-000032C00000}"/>
    <cellStyle name="货币 2 7 3 9 6" xfId="49155" xr:uid="{00000000-0005-0000-0000-000033C00000}"/>
    <cellStyle name="货币 2 7 4" xfId="47394" xr:uid="{00000000-0005-0000-0000-000052B90000}"/>
    <cellStyle name="货币 2 7 4 10" xfId="29842" xr:uid="{00000000-0005-0000-0000-0000C2740000}"/>
    <cellStyle name="货币 2 7 4 10 2" xfId="48898" xr:uid="{00000000-0005-0000-0000-000032BF0000}"/>
    <cellStyle name="货币 2 7 4 10 3" xfId="48900" xr:uid="{00000000-0005-0000-0000-000034BF0000}"/>
    <cellStyle name="货币 2 7 4 10 4" xfId="48902" xr:uid="{00000000-0005-0000-0000-000036BF0000}"/>
    <cellStyle name="货币 2 7 4 10 5" xfId="49156" xr:uid="{00000000-0005-0000-0000-000034C00000}"/>
    <cellStyle name="货币 2 7 4 10 6" xfId="49157" xr:uid="{00000000-0005-0000-0000-000035C00000}"/>
    <cellStyle name="货币 2 7 4 11" xfId="29846" xr:uid="{00000000-0005-0000-0000-0000C6740000}"/>
    <cellStyle name="货币 2 7 4 11 2" xfId="18392" xr:uid="{00000000-0005-0000-0000-000008480000}"/>
    <cellStyle name="货币 2 7 4 11 3" xfId="18396" xr:uid="{00000000-0005-0000-0000-00000C480000}"/>
    <cellStyle name="货币 2 7 4 11 4" xfId="18400" xr:uid="{00000000-0005-0000-0000-000010480000}"/>
    <cellStyle name="货币 2 7 4 11 5" xfId="18405" xr:uid="{00000000-0005-0000-0000-000015480000}"/>
    <cellStyle name="货币 2 7 4 11 6" xfId="35029" xr:uid="{00000000-0005-0000-0000-000005890000}"/>
    <cellStyle name="货币 2 7 4 12" xfId="29853" xr:uid="{00000000-0005-0000-0000-0000CD740000}"/>
    <cellStyle name="货币 2 7 4 13" xfId="29859" xr:uid="{00000000-0005-0000-0000-0000D3740000}"/>
    <cellStyle name="货币 2 7 4 14" xfId="29863" xr:uid="{00000000-0005-0000-0000-0000D7740000}"/>
    <cellStyle name="货币 2 7 4 15" xfId="29869" xr:uid="{00000000-0005-0000-0000-0000DD740000}"/>
    <cellStyle name="货币 2 7 4 16" xfId="29874" xr:uid="{00000000-0005-0000-0000-0000E2740000}"/>
    <cellStyle name="货币 2 7 4 17" xfId="29906" xr:uid="{00000000-0005-0000-0000-000002750000}"/>
    <cellStyle name="货币 2 7 4 18" xfId="29911" xr:uid="{00000000-0005-0000-0000-000007750000}"/>
    <cellStyle name="货币 2 7 4 19" xfId="29915" xr:uid="{00000000-0005-0000-0000-00000B750000}"/>
    <cellStyle name="货币 2 7 4 2" xfId="47396" xr:uid="{00000000-0005-0000-0000-000054B90000}"/>
    <cellStyle name="货币 2 7 4 2 10" xfId="49158" xr:uid="{00000000-0005-0000-0000-000036C00000}"/>
    <cellStyle name="货币 2 7 4 2 11" xfId="49159" xr:uid="{00000000-0005-0000-0000-000037C00000}"/>
    <cellStyle name="货币 2 7 4 2 12" xfId="49160" xr:uid="{00000000-0005-0000-0000-000038C00000}"/>
    <cellStyle name="货币 2 7 4 2 13" xfId="49161" xr:uid="{00000000-0005-0000-0000-000039C00000}"/>
    <cellStyle name="货币 2 7 4 2 14" xfId="49162" xr:uid="{00000000-0005-0000-0000-00003AC00000}"/>
    <cellStyle name="货币 2 7 4 2 15" xfId="27326" xr:uid="{00000000-0005-0000-0000-0000EE6A0000}"/>
    <cellStyle name="货币 2 7 4 2 16" xfId="27330" xr:uid="{00000000-0005-0000-0000-0000F26A0000}"/>
    <cellStyle name="货币 2 7 4 2 17" xfId="27333" xr:uid="{00000000-0005-0000-0000-0000F56A0000}"/>
    <cellStyle name="货币 2 7 4 2 18" xfId="27336" xr:uid="{00000000-0005-0000-0000-0000F86A0000}"/>
    <cellStyle name="货币 2 7 4 2 2" xfId="49163" xr:uid="{00000000-0005-0000-0000-00003BC00000}"/>
    <cellStyle name="货币 2 7 4 2 2 10" xfId="49164" xr:uid="{00000000-0005-0000-0000-00003CC00000}"/>
    <cellStyle name="货币 2 7 4 2 2 11" xfId="49165" xr:uid="{00000000-0005-0000-0000-00003DC00000}"/>
    <cellStyle name="货币 2 7 4 2 2 12" xfId="49166" xr:uid="{00000000-0005-0000-0000-00003EC00000}"/>
    <cellStyle name="货币 2 7 4 2 2 2" xfId="49167" xr:uid="{00000000-0005-0000-0000-00003FC00000}"/>
    <cellStyle name="货币 2 7 4 2 2 2 2" xfId="49168" xr:uid="{00000000-0005-0000-0000-000040C00000}"/>
    <cellStyle name="货币 2 7 4 2 2 2 2 2" xfId="49169" xr:uid="{00000000-0005-0000-0000-000041C00000}"/>
    <cellStyle name="货币 2 7 4 2 2 2 3" xfId="49170" xr:uid="{00000000-0005-0000-0000-000042C00000}"/>
    <cellStyle name="货币 2 7 4 2 2 2 4" xfId="47450" xr:uid="{00000000-0005-0000-0000-00008AB90000}"/>
    <cellStyle name="货币 2 7 4 2 2 2 5" xfId="47452" xr:uid="{00000000-0005-0000-0000-00008CB90000}"/>
    <cellStyle name="货币 2 7 4 2 2 3" xfId="8872" xr:uid="{00000000-0005-0000-0000-0000D8220000}"/>
    <cellStyle name="货币 2 7 4 2 2 3 2" xfId="49171" xr:uid="{00000000-0005-0000-0000-000043C00000}"/>
    <cellStyle name="货币 2 7 4 2 2 4" xfId="49172" xr:uid="{00000000-0005-0000-0000-000044C00000}"/>
    <cellStyle name="货币 2 7 4 2 2 5" xfId="8888" xr:uid="{00000000-0005-0000-0000-0000E8220000}"/>
    <cellStyle name="货币 2 7 4 2 2 6" xfId="8896" xr:uid="{00000000-0005-0000-0000-0000F0220000}"/>
    <cellStyle name="货币 2 7 4 2 2 7" xfId="8906" xr:uid="{00000000-0005-0000-0000-0000FA220000}"/>
    <cellStyle name="货币 2 7 4 2 2 8" xfId="12285" xr:uid="{00000000-0005-0000-0000-00002D300000}"/>
    <cellStyle name="货币 2 7 4 2 2 9" xfId="12293" xr:uid="{00000000-0005-0000-0000-000035300000}"/>
    <cellStyle name="货币 2 7 4 2 3" xfId="25509" xr:uid="{00000000-0005-0000-0000-0000D5630000}"/>
    <cellStyle name="货币 2 7 4 2 3 10" xfId="22425" xr:uid="{00000000-0005-0000-0000-0000C9570000}"/>
    <cellStyle name="货币 2 7 4 2 3 11" xfId="49173" xr:uid="{00000000-0005-0000-0000-000045C00000}"/>
    <cellStyle name="货币 2 7 4 2 3 12" xfId="49174" xr:uid="{00000000-0005-0000-0000-000046C00000}"/>
    <cellStyle name="货币 2 7 4 2 3 2" xfId="7528" xr:uid="{00000000-0005-0000-0000-0000981D0000}"/>
    <cellStyle name="货币 2 7 4 2 3 2 2" xfId="27349" xr:uid="{00000000-0005-0000-0000-0000056B0000}"/>
    <cellStyle name="货币 2 7 4 2 3 2 2 2" xfId="49175" xr:uid="{00000000-0005-0000-0000-000047C00000}"/>
    <cellStyle name="货币 2 7 4 2 3 2 3" xfId="28944" xr:uid="{00000000-0005-0000-0000-000040710000}"/>
    <cellStyle name="货币 2 7 4 2 3 2 4" xfId="49176" xr:uid="{00000000-0005-0000-0000-000048C00000}"/>
    <cellStyle name="货币 2 7 4 2 3 2 5" xfId="49177" xr:uid="{00000000-0005-0000-0000-000049C00000}"/>
    <cellStyle name="货币 2 7 4 2 3 3" xfId="19973" xr:uid="{00000000-0005-0000-0000-0000354E0000}"/>
    <cellStyle name="货币 2 7 4 2 3 3 2" xfId="45558" xr:uid="{00000000-0005-0000-0000-000026B20000}"/>
    <cellStyle name="货币 2 7 4 2 3 4" xfId="19994" xr:uid="{00000000-0005-0000-0000-00004A4E0000}"/>
    <cellStyle name="货币 2 7 4 2 3 5" xfId="16966" xr:uid="{00000000-0005-0000-0000-000076420000}"/>
    <cellStyle name="货币 2 7 4 2 3 6" xfId="20004" xr:uid="{00000000-0005-0000-0000-0000544E0000}"/>
    <cellStyle name="货币 2 7 4 2 3 7" xfId="20010" xr:uid="{00000000-0005-0000-0000-00005A4E0000}"/>
    <cellStyle name="货币 2 7 4 2 3 8" xfId="20015" xr:uid="{00000000-0005-0000-0000-00005F4E0000}"/>
    <cellStyle name="货币 2 7 4 2 3 9" xfId="20021" xr:uid="{00000000-0005-0000-0000-0000654E0000}"/>
    <cellStyle name="货币 2 7 4 2 4" xfId="9043" xr:uid="{00000000-0005-0000-0000-000083230000}"/>
    <cellStyle name="货币 2 7 4 2 4 10" xfId="49178" xr:uid="{00000000-0005-0000-0000-00004AC00000}"/>
    <cellStyle name="货币 2 7 4 2 4 2" xfId="25512" xr:uid="{00000000-0005-0000-0000-0000D8630000}"/>
    <cellStyle name="货币 2 7 4 2 4 2 2" xfId="45722" xr:uid="{00000000-0005-0000-0000-0000CAB20000}"/>
    <cellStyle name="货币 2 7 4 2 4 2 2 2" xfId="49179" xr:uid="{00000000-0005-0000-0000-00004BC00000}"/>
    <cellStyle name="货币 2 7 4 2 4 2 3" xfId="49180" xr:uid="{00000000-0005-0000-0000-00004CC00000}"/>
    <cellStyle name="货币 2 7 4 2 4 2 4" xfId="49181" xr:uid="{00000000-0005-0000-0000-00004DC00000}"/>
    <cellStyle name="货币 2 7 4 2 4 2 5" xfId="49182" xr:uid="{00000000-0005-0000-0000-00004EC00000}"/>
    <cellStyle name="货币 2 7 4 2 4 3" xfId="20030" xr:uid="{00000000-0005-0000-0000-00006E4E0000}"/>
    <cellStyle name="货币 2 7 4 2 4 3 2" xfId="45748" xr:uid="{00000000-0005-0000-0000-0000E4B20000}"/>
    <cellStyle name="货币 2 7 4 2 4 4" xfId="20038" xr:uid="{00000000-0005-0000-0000-0000764E0000}"/>
    <cellStyle name="货币 2 7 4 2 4 5" xfId="20043" xr:uid="{00000000-0005-0000-0000-00007B4E0000}"/>
    <cellStyle name="货币 2 7 4 2 4 6" xfId="20049" xr:uid="{00000000-0005-0000-0000-0000814E0000}"/>
    <cellStyle name="货币 2 7 4 2 4 7" xfId="49183" xr:uid="{00000000-0005-0000-0000-00004FC00000}"/>
    <cellStyle name="货币 2 7 4 2 4 8" xfId="49184" xr:uid="{00000000-0005-0000-0000-000050C00000}"/>
    <cellStyle name="货币 2 7 4 2 4 9" xfId="49185" xr:uid="{00000000-0005-0000-0000-000051C00000}"/>
    <cellStyle name="货币 2 7 4 2 5" xfId="9052" xr:uid="{00000000-0005-0000-0000-00008C230000}"/>
    <cellStyle name="货币 2 7 4 2 5 10" xfId="49186" xr:uid="{00000000-0005-0000-0000-000052C00000}"/>
    <cellStyle name="货币 2 7 4 2 5 2" xfId="27352" xr:uid="{00000000-0005-0000-0000-0000086B0000}"/>
    <cellStyle name="货币 2 7 4 2 5 2 2" xfId="45887" xr:uid="{00000000-0005-0000-0000-00006FB30000}"/>
    <cellStyle name="货币 2 7 4 2 5 2 2 2" xfId="49187" xr:uid="{00000000-0005-0000-0000-000053C00000}"/>
    <cellStyle name="货币 2 7 4 2 5 2 3" xfId="49188" xr:uid="{00000000-0005-0000-0000-000054C00000}"/>
    <cellStyle name="货币 2 7 4 2 5 2 4" xfId="49189" xr:uid="{00000000-0005-0000-0000-000055C00000}"/>
    <cellStyle name="货币 2 7 4 2 5 2 5" xfId="49190" xr:uid="{00000000-0005-0000-0000-000056C00000}"/>
    <cellStyle name="货币 2 7 4 2 5 3" xfId="27354" xr:uid="{00000000-0005-0000-0000-00000A6B0000}"/>
    <cellStyle name="货币 2 7 4 2 5 3 2" xfId="45898" xr:uid="{00000000-0005-0000-0000-00007AB30000}"/>
    <cellStyle name="货币 2 7 4 2 5 4" xfId="27356" xr:uid="{00000000-0005-0000-0000-00000C6B0000}"/>
    <cellStyle name="货币 2 7 4 2 5 5" xfId="27358" xr:uid="{00000000-0005-0000-0000-00000E6B0000}"/>
    <cellStyle name="货币 2 7 4 2 5 6" xfId="27360" xr:uid="{00000000-0005-0000-0000-0000106B0000}"/>
    <cellStyle name="货币 2 7 4 2 5 7" xfId="49191" xr:uid="{00000000-0005-0000-0000-000057C00000}"/>
    <cellStyle name="货币 2 7 4 2 5 8" xfId="49192" xr:uid="{00000000-0005-0000-0000-000058C00000}"/>
    <cellStyle name="货币 2 7 4 2 5 9" xfId="49193" xr:uid="{00000000-0005-0000-0000-000059C00000}"/>
    <cellStyle name="货币 2 7 4 2 6" xfId="8432" xr:uid="{00000000-0005-0000-0000-000020210000}"/>
    <cellStyle name="货币 2 7 4 2 6 2" xfId="27362" xr:uid="{00000000-0005-0000-0000-0000126B0000}"/>
    <cellStyle name="货币 2 7 4 2 6 2 2" xfId="45986" xr:uid="{00000000-0005-0000-0000-0000D2B30000}"/>
    <cellStyle name="货币 2 7 4 2 6 3" xfId="27364" xr:uid="{00000000-0005-0000-0000-0000146B0000}"/>
    <cellStyle name="货币 2 7 4 2 6 4" xfId="27366" xr:uid="{00000000-0005-0000-0000-0000166B0000}"/>
    <cellStyle name="货币 2 7 4 2 6 5" xfId="27368" xr:uid="{00000000-0005-0000-0000-0000186B0000}"/>
    <cellStyle name="货币 2 7 4 2 6 6" xfId="27370" xr:uid="{00000000-0005-0000-0000-00001A6B0000}"/>
    <cellStyle name="货币 2 7 4 2 6 7" xfId="49194" xr:uid="{00000000-0005-0000-0000-00005AC00000}"/>
    <cellStyle name="货币 2 7 4 2 6 8" xfId="49195" xr:uid="{00000000-0005-0000-0000-00005BC00000}"/>
    <cellStyle name="货币 2 7 4 2 6 9" xfId="49196" xr:uid="{00000000-0005-0000-0000-00005CC00000}"/>
    <cellStyle name="货币 2 7 4 2 7" xfId="2397" xr:uid="{00000000-0005-0000-0000-00008D090000}"/>
    <cellStyle name="货币 2 7 4 2 7 2" xfId="751" xr:uid="{00000000-0005-0000-0000-00001F030000}"/>
    <cellStyle name="货币 2 7 4 2 8" xfId="27372" xr:uid="{00000000-0005-0000-0000-00001C6B0000}"/>
    <cellStyle name="货币 2 7 4 2 9" xfId="27374" xr:uid="{00000000-0005-0000-0000-00001E6B0000}"/>
    <cellStyle name="货币 2 7 4 20" xfId="29868" xr:uid="{00000000-0005-0000-0000-0000DC740000}"/>
    <cellStyle name="货币 2 7 4 21" xfId="29873" xr:uid="{00000000-0005-0000-0000-0000E1740000}"/>
    <cellStyle name="货币 2 7 4 22" xfId="29905" xr:uid="{00000000-0005-0000-0000-000001750000}"/>
    <cellStyle name="货币 2 7 4 23" xfId="29910" xr:uid="{00000000-0005-0000-0000-000006750000}"/>
    <cellStyle name="货币 2 7 4 3" xfId="279" xr:uid="{00000000-0005-0000-0000-000029010000}"/>
    <cellStyle name="货币 2 7 4 3 10" xfId="2028" xr:uid="{00000000-0005-0000-0000-00001C080000}"/>
    <cellStyle name="货币 2 7 4 3 11" xfId="49197" xr:uid="{00000000-0005-0000-0000-00005DC00000}"/>
    <cellStyle name="货币 2 7 4 3 12" xfId="49198" xr:uid="{00000000-0005-0000-0000-00005EC00000}"/>
    <cellStyle name="货币 2 7 4 3 13" xfId="49199" xr:uid="{00000000-0005-0000-0000-00005FC00000}"/>
    <cellStyle name="货币 2 7 4 3 14" xfId="49200" xr:uid="{00000000-0005-0000-0000-000060C00000}"/>
    <cellStyle name="货币 2 7 4 3 15" xfId="27379" xr:uid="{00000000-0005-0000-0000-0000236B0000}"/>
    <cellStyle name="货币 2 7 4 3 16" xfId="27382" xr:uid="{00000000-0005-0000-0000-0000266B0000}"/>
    <cellStyle name="货币 2 7 4 3 17" xfId="27385" xr:uid="{00000000-0005-0000-0000-0000296B0000}"/>
    <cellStyle name="货币 2 7 4 3 18" xfId="27389" xr:uid="{00000000-0005-0000-0000-00002D6B0000}"/>
    <cellStyle name="货币 2 7 4 3 2" xfId="25519" xr:uid="{00000000-0005-0000-0000-0000DF630000}"/>
    <cellStyle name="货币 2 7 4 3 2 10" xfId="39038" xr:uid="{00000000-0005-0000-0000-0000AE980000}"/>
    <cellStyle name="货币 2 7 4 3 2 2" xfId="3908" xr:uid="{00000000-0005-0000-0000-0000740F0000}"/>
    <cellStyle name="货币 2 7 4 3 2 2 2" xfId="21698" xr:uid="{00000000-0005-0000-0000-0000F2540000}"/>
    <cellStyle name="货币 2 7 4 3 2 3" xfId="9687" xr:uid="{00000000-0005-0000-0000-000007260000}"/>
    <cellStyle name="货币 2 7 4 3 2 4" xfId="9694" xr:uid="{00000000-0005-0000-0000-00000E260000}"/>
    <cellStyle name="货币 2 7 4 3 2 5" xfId="9700" xr:uid="{00000000-0005-0000-0000-000014260000}"/>
    <cellStyle name="货币 2 7 4 3 2 6" xfId="9710" xr:uid="{00000000-0005-0000-0000-00001E260000}"/>
    <cellStyle name="货币 2 7 4 3 2 7" xfId="49201" xr:uid="{00000000-0005-0000-0000-000061C00000}"/>
    <cellStyle name="货币 2 7 4 3 2 8" xfId="49202" xr:uid="{00000000-0005-0000-0000-000062C00000}"/>
    <cellStyle name="货币 2 7 4 3 2 9" xfId="49203" xr:uid="{00000000-0005-0000-0000-000063C00000}"/>
    <cellStyle name="货币 2 7 4 3 3" xfId="25523" xr:uid="{00000000-0005-0000-0000-0000E3630000}"/>
    <cellStyle name="货币 2 7 4 3 3 2" xfId="27395" xr:uid="{00000000-0005-0000-0000-0000336B0000}"/>
    <cellStyle name="货币 2 7 4 3 3 3" xfId="27397" xr:uid="{00000000-0005-0000-0000-0000356B0000}"/>
    <cellStyle name="货币 2 7 4 3 3 4" xfId="27399" xr:uid="{00000000-0005-0000-0000-0000376B0000}"/>
    <cellStyle name="货币 2 7 4 3 3 5" xfId="27401" xr:uid="{00000000-0005-0000-0000-0000396B0000}"/>
    <cellStyle name="货币 2 7 4 3 3 6" xfId="27403" xr:uid="{00000000-0005-0000-0000-00003B6B0000}"/>
    <cellStyle name="货币 2 7 4 3 4" xfId="9059" xr:uid="{00000000-0005-0000-0000-000093230000}"/>
    <cellStyle name="货币 2 7 4 3 4 2" xfId="27408" xr:uid="{00000000-0005-0000-0000-0000406B0000}"/>
    <cellStyle name="货币 2 7 4 3 4 3" xfId="27410" xr:uid="{00000000-0005-0000-0000-0000426B0000}"/>
    <cellStyle name="货币 2 7 4 3 4 4" xfId="27412" xr:uid="{00000000-0005-0000-0000-0000446B0000}"/>
    <cellStyle name="货币 2 7 4 3 4 5" xfId="27414" xr:uid="{00000000-0005-0000-0000-0000466B0000}"/>
    <cellStyle name="货币 2 7 4 3 4 6" xfId="27416" xr:uid="{00000000-0005-0000-0000-0000486B0000}"/>
    <cellStyle name="货币 2 7 4 3 5" xfId="9072" xr:uid="{00000000-0005-0000-0000-0000A0230000}"/>
    <cellStyle name="货币 2 7 4 3 5 2" xfId="27418" xr:uid="{00000000-0005-0000-0000-00004A6B0000}"/>
    <cellStyle name="货币 2 7 4 3 5 3" xfId="32352" xr:uid="{00000000-0005-0000-0000-0000907E0000}"/>
    <cellStyle name="货币 2 7 4 3 5 4" xfId="32393" xr:uid="{00000000-0005-0000-0000-0000B97E0000}"/>
    <cellStyle name="货币 2 7 4 3 5 5" xfId="32412" xr:uid="{00000000-0005-0000-0000-0000CC7E0000}"/>
    <cellStyle name="货币 2 7 4 3 5 6" xfId="32416" xr:uid="{00000000-0005-0000-0000-0000D07E0000}"/>
    <cellStyle name="货币 2 7 4 3 6" xfId="9085" xr:uid="{00000000-0005-0000-0000-0000AD230000}"/>
    <cellStyle name="货币 2 7 4 3 6 2" xfId="49204" xr:uid="{00000000-0005-0000-0000-000064C00000}"/>
    <cellStyle name="货币 2 7 4 3 6 3" xfId="49205" xr:uid="{00000000-0005-0000-0000-000065C00000}"/>
    <cellStyle name="货币 2 7 4 3 6 4" xfId="49206" xr:uid="{00000000-0005-0000-0000-000066C00000}"/>
    <cellStyle name="货币 2 7 4 3 6 5" xfId="49207" xr:uid="{00000000-0005-0000-0000-000067C00000}"/>
    <cellStyle name="货币 2 7 4 3 6 6" xfId="49208" xr:uid="{00000000-0005-0000-0000-000068C00000}"/>
    <cellStyle name="货币 2 7 4 3 7" xfId="9108" xr:uid="{00000000-0005-0000-0000-0000C4230000}"/>
    <cellStyle name="货币 2 7 4 3 8" xfId="27421" xr:uid="{00000000-0005-0000-0000-00004D6B0000}"/>
    <cellStyle name="货币 2 7 4 3 9" xfId="27423" xr:uid="{00000000-0005-0000-0000-00004F6B0000}"/>
    <cellStyle name="货币 2 7 4 4" xfId="294" xr:uid="{00000000-0005-0000-0000-000039010000}"/>
    <cellStyle name="货币 2 7 4 4 10" xfId="45912" xr:uid="{00000000-0005-0000-0000-000088B30000}"/>
    <cellStyle name="货币 2 7 4 4 11" xfId="49209" xr:uid="{00000000-0005-0000-0000-000069C00000}"/>
    <cellStyle name="货币 2 7 4 4 12" xfId="1516" xr:uid="{00000000-0005-0000-0000-00001C060000}"/>
    <cellStyle name="货币 2 7 4 4 13" xfId="49210" xr:uid="{00000000-0005-0000-0000-00006AC00000}"/>
    <cellStyle name="货币 2 7 4 4 14" xfId="9644" xr:uid="{00000000-0005-0000-0000-0000DC250000}"/>
    <cellStyle name="货币 2 7 4 4 15" xfId="3800" xr:uid="{00000000-0005-0000-0000-0000080F0000}"/>
    <cellStyle name="货币 2 7 4 4 2" xfId="25529" xr:uid="{00000000-0005-0000-0000-0000E9630000}"/>
    <cellStyle name="货币 2 7 4 4 2 2" xfId="49211" xr:uid="{00000000-0005-0000-0000-00006BC00000}"/>
    <cellStyle name="货币 2 7 4 4 2 2 2" xfId="22096" xr:uid="{00000000-0005-0000-0000-000080560000}"/>
    <cellStyle name="货币 2 7 4 4 2 3" xfId="49212" xr:uid="{00000000-0005-0000-0000-00006CC00000}"/>
    <cellStyle name="货币 2 7 4 4 2 4" xfId="49213" xr:uid="{00000000-0005-0000-0000-00006DC00000}"/>
    <cellStyle name="货币 2 7 4 4 2 5" xfId="49214" xr:uid="{00000000-0005-0000-0000-00006EC00000}"/>
    <cellStyle name="货币 2 7 4 4 2 6" xfId="49215" xr:uid="{00000000-0005-0000-0000-00006FC00000}"/>
    <cellStyle name="货币 2 7 4 4 2 7" xfId="49216" xr:uid="{00000000-0005-0000-0000-000070C00000}"/>
    <cellStyle name="货币 2 7 4 4 2 8" xfId="49217" xr:uid="{00000000-0005-0000-0000-000071C00000}"/>
    <cellStyle name="货币 2 7 4 4 2 9" xfId="18550" xr:uid="{00000000-0005-0000-0000-0000A6480000}"/>
    <cellStyle name="货币 2 7 4 4 3" xfId="25535" xr:uid="{00000000-0005-0000-0000-0000EF630000}"/>
    <cellStyle name="货币 2 7 4 4 3 2" xfId="27427" xr:uid="{00000000-0005-0000-0000-0000536B0000}"/>
    <cellStyle name="货币 2 7 4 4 3 3" xfId="27429" xr:uid="{00000000-0005-0000-0000-0000556B0000}"/>
    <cellStyle name="货币 2 7 4 4 3 4" xfId="27431" xr:uid="{00000000-0005-0000-0000-0000576B0000}"/>
    <cellStyle name="货币 2 7 4 4 3 5" xfId="27433" xr:uid="{00000000-0005-0000-0000-0000596B0000}"/>
    <cellStyle name="货币 2 7 4 4 3 6" xfId="27435" xr:uid="{00000000-0005-0000-0000-00005B6B0000}"/>
    <cellStyle name="货币 2 7 4 4 4" xfId="21948" xr:uid="{00000000-0005-0000-0000-0000EC550000}"/>
    <cellStyle name="货币 2 7 4 4 4 2" xfId="13631" xr:uid="{00000000-0005-0000-0000-00006F350000}"/>
    <cellStyle name="货币 2 7 4 4 5" xfId="25543" xr:uid="{00000000-0005-0000-0000-0000F7630000}"/>
    <cellStyle name="货币 2 7 4 4 6" xfId="22344" xr:uid="{00000000-0005-0000-0000-000078570000}"/>
    <cellStyle name="货币 2 7 4 4 7" xfId="25551" xr:uid="{00000000-0005-0000-0000-0000FF630000}"/>
    <cellStyle name="货币 2 7 4 4 8" xfId="27447" xr:uid="{00000000-0005-0000-0000-0000676B0000}"/>
    <cellStyle name="货币 2 7 4 4 9" xfId="27450" xr:uid="{00000000-0005-0000-0000-00006A6B0000}"/>
    <cellStyle name="货币 2 7 4 5" xfId="322" xr:uid="{00000000-0005-0000-0000-000057010000}"/>
    <cellStyle name="货币 2 7 4 5 10" xfId="49218" xr:uid="{00000000-0005-0000-0000-000072C00000}"/>
    <cellStyle name="货币 2 7 4 5 11" xfId="49219" xr:uid="{00000000-0005-0000-0000-000073C00000}"/>
    <cellStyle name="货币 2 7 4 5 12" xfId="49220" xr:uid="{00000000-0005-0000-0000-000074C00000}"/>
    <cellStyle name="货币 2 7 4 5 13" xfId="49221" xr:uid="{00000000-0005-0000-0000-000075C00000}"/>
    <cellStyle name="货币 2 7 4 5 2" xfId="25555" xr:uid="{00000000-0005-0000-0000-000003640000}"/>
    <cellStyle name="货币 2 7 4 5 2 2" xfId="49222" xr:uid="{00000000-0005-0000-0000-000076C00000}"/>
    <cellStyle name="货币 2 7 4 5 2 2 2" xfId="22410" xr:uid="{00000000-0005-0000-0000-0000BA570000}"/>
    <cellStyle name="货币 2 7 4 5 2 3" xfId="49223" xr:uid="{00000000-0005-0000-0000-000077C00000}"/>
    <cellStyle name="货币 2 7 4 5 2 4" xfId="49224" xr:uid="{00000000-0005-0000-0000-000078C00000}"/>
    <cellStyle name="货币 2 7 4 5 2 5" xfId="49225" xr:uid="{00000000-0005-0000-0000-000079C00000}"/>
    <cellStyle name="货币 2 7 4 5 2 6" xfId="49226" xr:uid="{00000000-0005-0000-0000-00007AC00000}"/>
    <cellStyle name="货币 2 7 4 5 2 7" xfId="49227" xr:uid="{00000000-0005-0000-0000-00007BC00000}"/>
    <cellStyle name="货币 2 7 4 5 2 8" xfId="49228" xr:uid="{00000000-0005-0000-0000-00007CC00000}"/>
    <cellStyle name="货币 2 7 4 5 2 9" xfId="49229" xr:uid="{00000000-0005-0000-0000-00007DC00000}"/>
    <cellStyle name="货币 2 7 4 5 3" xfId="49230" xr:uid="{00000000-0005-0000-0000-00007EC00000}"/>
    <cellStyle name="货币 2 7 4 5 3 2" xfId="49231" xr:uid="{00000000-0005-0000-0000-00007FC00000}"/>
    <cellStyle name="货币 2 7 4 5 3 3" xfId="10591" xr:uid="{00000000-0005-0000-0000-00008F290000}"/>
    <cellStyle name="货币 2 7 4 5 3 4" xfId="49232" xr:uid="{00000000-0005-0000-0000-000080C00000}"/>
    <cellStyle name="货币 2 7 4 5 3 5" xfId="49233" xr:uid="{00000000-0005-0000-0000-000081C00000}"/>
    <cellStyle name="货币 2 7 4 5 3 6" xfId="49234" xr:uid="{00000000-0005-0000-0000-000082C00000}"/>
    <cellStyle name="货币 2 7 4 5 4" xfId="40722" xr:uid="{00000000-0005-0000-0000-0000429F0000}"/>
    <cellStyle name="货币 2 7 4 5 4 2" xfId="40724" xr:uid="{00000000-0005-0000-0000-0000449F0000}"/>
    <cellStyle name="货币 2 7 4 5 5" xfId="40727" xr:uid="{00000000-0005-0000-0000-0000479F0000}"/>
    <cellStyle name="货币 2 7 4 5 6" xfId="40729" xr:uid="{00000000-0005-0000-0000-0000499F0000}"/>
    <cellStyle name="货币 2 7 4 5 7" xfId="40731" xr:uid="{00000000-0005-0000-0000-00004B9F0000}"/>
    <cellStyle name="货币 2 7 4 5 8" xfId="47217" xr:uid="{00000000-0005-0000-0000-0000A1B80000}"/>
    <cellStyle name="货币 2 7 4 5 9" xfId="47219" xr:uid="{00000000-0005-0000-0000-0000A3B80000}"/>
    <cellStyle name="货币 2 7 4 6" xfId="188" xr:uid="{00000000-0005-0000-0000-0000CA000000}"/>
    <cellStyle name="货币 2 7 4 6 10" xfId="49235" xr:uid="{00000000-0005-0000-0000-000083C00000}"/>
    <cellStyle name="货币 2 7 4 6 11" xfId="1994" xr:uid="{00000000-0005-0000-0000-0000FA070000}"/>
    <cellStyle name="货币 2 7 4 6 12" xfId="44474" xr:uid="{00000000-0005-0000-0000-0000EAAD0000}"/>
    <cellStyle name="货币 2 7 4 6 2" xfId="9440" xr:uid="{00000000-0005-0000-0000-000010250000}"/>
    <cellStyle name="货币 2 7 4 6 2 2" xfId="49236" xr:uid="{00000000-0005-0000-0000-000084C00000}"/>
    <cellStyle name="货币 2 7 4 6 2 2 2" xfId="49237" xr:uid="{00000000-0005-0000-0000-000085C00000}"/>
    <cellStyle name="货币 2 7 4 6 2 3" xfId="49238" xr:uid="{00000000-0005-0000-0000-000086C00000}"/>
    <cellStyle name="货币 2 7 4 6 2 4" xfId="49239" xr:uid="{00000000-0005-0000-0000-000087C00000}"/>
    <cellStyle name="货币 2 7 4 6 2 5" xfId="49240" xr:uid="{00000000-0005-0000-0000-000088C00000}"/>
    <cellStyle name="货币 2 7 4 6 2 6" xfId="12801" xr:uid="{00000000-0005-0000-0000-000031320000}"/>
    <cellStyle name="货币 2 7 4 6 2 7" xfId="49241" xr:uid="{00000000-0005-0000-0000-000089C00000}"/>
    <cellStyle name="货币 2 7 4 6 2 8" xfId="11947" xr:uid="{00000000-0005-0000-0000-0000DB2E0000}"/>
    <cellStyle name="货币 2 7 4 6 2 9" xfId="11951" xr:uid="{00000000-0005-0000-0000-0000DF2E0000}"/>
    <cellStyle name="货币 2 7 4 6 3" xfId="49242" xr:uid="{00000000-0005-0000-0000-00008AC00000}"/>
    <cellStyle name="货币 2 7 4 6 3 2" xfId="49243" xr:uid="{00000000-0005-0000-0000-00008BC00000}"/>
    <cellStyle name="货币 2 7 4 6 3 3" xfId="10745" xr:uid="{00000000-0005-0000-0000-0000292A0000}"/>
    <cellStyle name="货币 2 7 4 6 3 4" xfId="10748" xr:uid="{00000000-0005-0000-0000-00002C2A0000}"/>
    <cellStyle name="货币 2 7 4 6 3 5" xfId="11531" xr:uid="{00000000-0005-0000-0000-00003B2D0000}"/>
    <cellStyle name="货币 2 7 4 6 3 6" xfId="3760" xr:uid="{00000000-0005-0000-0000-0000E00E0000}"/>
    <cellStyle name="货币 2 7 4 6 4" xfId="40734" xr:uid="{00000000-0005-0000-0000-00004E9F0000}"/>
    <cellStyle name="货币 2 7 4 6 4 2" xfId="45048" xr:uid="{00000000-0005-0000-0000-000028B00000}"/>
    <cellStyle name="货币 2 7 4 6 5" xfId="49244" xr:uid="{00000000-0005-0000-0000-00008CC00000}"/>
    <cellStyle name="货币 2 7 4 6 6" xfId="49245" xr:uid="{00000000-0005-0000-0000-00008DC00000}"/>
    <cellStyle name="货币 2 7 4 6 7" xfId="49246" xr:uid="{00000000-0005-0000-0000-00008EC00000}"/>
    <cellStyle name="货币 2 7 4 6 8" xfId="49247" xr:uid="{00000000-0005-0000-0000-00008FC00000}"/>
    <cellStyle name="货币 2 7 4 6 9" xfId="49248" xr:uid="{00000000-0005-0000-0000-000090C00000}"/>
    <cellStyle name="货币 2 7 4 7" xfId="9449" xr:uid="{00000000-0005-0000-0000-000019250000}"/>
    <cellStyle name="货币 2 7 4 7 2" xfId="49249" xr:uid="{00000000-0005-0000-0000-000091C00000}"/>
    <cellStyle name="货币 2 7 4 7 2 2" xfId="49250" xr:uid="{00000000-0005-0000-0000-000092C00000}"/>
    <cellStyle name="货币 2 7 4 7 3" xfId="49251" xr:uid="{00000000-0005-0000-0000-000093C00000}"/>
    <cellStyle name="货币 2 7 4 7 4" xfId="49252" xr:uid="{00000000-0005-0000-0000-000094C00000}"/>
    <cellStyle name="货币 2 7 4 7 5" xfId="49253" xr:uid="{00000000-0005-0000-0000-000095C00000}"/>
    <cellStyle name="货币 2 7 4 7 6" xfId="49254" xr:uid="{00000000-0005-0000-0000-000096C00000}"/>
    <cellStyle name="货币 2 7 4 7 7" xfId="49255" xr:uid="{00000000-0005-0000-0000-000097C00000}"/>
    <cellStyle name="货币 2 7 4 7 8" xfId="49256" xr:uid="{00000000-0005-0000-0000-000098C00000}"/>
    <cellStyle name="货币 2 7 4 7 9" xfId="49257" xr:uid="{00000000-0005-0000-0000-000099C00000}"/>
    <cellStyle name="货币 2 7 4 8" xfId="49258" xr:uid="{00000000-0005-0000-0000-00009AC00000}"/>
    <cellStyle name="货币 2 7 4 8 2" xfId="13972" xr:uid="{00000000-0005-0000-0000-0000C4360000}"/>
    <cellStyle name="货币 2 7 4 8 3" xfId="17545" xr:uid="{00000000-0005-0000-0000-0000B9440000}"/>
    <cellStyle name="货币 2 7 4 8 4" xfId="17550" xr:uid="{00000000-0005-0000-0000-0000BE440000}"/>
    <cellStyle name="货币 2 7 4 8 5" xfId="49259" xr:uid="{00000000-0005-0000-0000-00009BC00000}"/>
    <cellStyle name="货币 2 7 4 8 6" xfId="49260" xr:uid="{00000000-0005-0000-0000-00009CC00000}"/>
    <cellStyle name="货币 2 7 4 9" xfId="49261" xr:uid="{00000000-0005-0000-0000-00009DC00000}"/>
    <cellStyle name="货币 2 7 4 9 2" xfId="27484" xr:uid="{00000000-0005-0000-0000-00008C6B0000}"/>
    <cellStyle name="货币 2 7 4 9 3" xfId="27486" xr:uid="{00000000-0005-0000-0000-00008E6B0000}"/>
    <cellStyle name="货币 2 7 4 9 4" xfId="49262" xr:uid="{00000000-0005-0000-0000-00009EC00000}"/>
    <cellStyle name="货币 2 7 4 9 5" xfId="49263" xr:uid="{00000000-0005-0000-0000-00009FC00000}"/>
    <cellStyle name="货币 2 7 4 9 6" xfId="49264" xr:uid="{00000000-0005-0000-0000-0000A0C00000}"/>
    <cellStyle name="货币 2 7 5" xfId="47398" xr:uid="{00000000-0005-0000-0000-000056B90000}"/>
    <cellStyle name="货币 2 7 5 10" xfId="25687" xr:uid="{00000000-0005-0000-0000-000087640000}"/>
    <cellStyle name="货币 2 7 5 11" xfId="25704" xr:uid="{00000000-0005-0000-0000-000098640000}"/>
    <cellStyle name="货币 2 7 5 12" xfId="1547" xr:uid="{00000000-0005-0000-0000-00003B060000}"/>
    <cellStyle name="货币 2 7 5 13" xfId="1574" xr:uid="{00000000-0005-0000-0000-000056060000}"/>
    <cellStyle name="货币 2 7 5 14" xfId="27854" xr:uid="{00000000-0005-0000-0000-0000FE6C0000}"/>
    <cellStyle name="货币 2 7 5 15" xfId="27856" xr:uid="{00000000-0005-0000-0000-0000006D0000}"/>
    <cellStyle name="货币 2 7 5 16" xfId="27858" xr:uid="{00000000-0005-0000-0000-0000026D0000}"/>
    <cellStyle name="货币 2 7 5 17" xfId="34613" xr:uid="{00000000-0005-0000-0000-000065870000}"/>
    <cellStyle name="货币 2 7 5 18" xfId="34615" xr:uid="{00000000-0005-0000-0000-000067870000}"/>
    <cellStyle name="货币 2 7 5 2" xfId="23509" xr:uid="{00000000-0005-0000-0000-0000055C0000}"/>
    <cellStyle name="货币 2 7 5 2 10" xfId="38028" xr:uid="{00000000-0005-0000-0000-0000BC940000}"/>
    <cellStyle name="货币 2 7 5 2 11" xfId="24142" xr:uid="{00000000-0005-0000-0000-00007E5E0000}"/>
    <cellStyle name="货币 2 7 5 2 12" xfId="26922" xr:uid="{00000000-0005-0000-0000-00005A690000}"/>
    <cellStyle name="货币 2 7 5 2 13" xfId="26926" xr:uid="{00000000-0005-0000-0000-00005E690000}"/>
    <cellStyle name="货币 2 7 5 2 14" xfId="26930" xr:uid="{00000000-0005-0000-0000-000062690000}"/>
    <cellStyle name="货币 2 7 5 2 2" xfId="49265" xr:uid="{00000000-0005-0000-0000-0000A1C00000}"/>
    <cellStyle name="货币 2 7 5 2 2 10" xfId="17663" xr:uid="{00000000-0005-0000-0000-00002F450000}"/>
    <cellStyle name="货币 2 7 5 2 2 2" xfId="42258" xr:uid="{00000000-0005-0000-0000-000042A50000}"/>
    <cellStyle name="货币 2 7 5 2 2 2 2" xfId="45315" xr:uid="{00000000-0005-0000-0000-000033B10000}"/>
    <cellStyle name="货币 2 7 5 2 2 3" xfId="41664" xr:uid="{00000000-0005-0000-0000-0000F0A20000}"/>
    <cellStyle name="货币 2 7 5 2 2 4" xfId="41667" xr:uid="{00000000-0005-0000-0000-0000F3A20000}"/>
    <cellStyle name="货币 2 7 5 2 2 5" xfId="41670" xr:uid="{00000000-0005-0000-0000-0000F6A20000}"/>
    <cellStyle name="货币 2 7 5 2 2 6" xfId="41672" xr:uid="{00000000-0005-0000-0000-0000F8A20000}"/>
    <cellStyle name="货币 2 7 5 2 2 7" xfId="41674" xr:uid="{00000000-0005-0000-0000-0000FAA20000}"/>
    <cellStyle name="货币 2 7 5 2 2 8" xfId="41676" xr:uid="{00000000-0005-0000-0000-0000FCA20000}"/>
    <cellStyle name="货币 2 7 5 2 2 9" xfId="49266" xr:uid="{00000000-0005-0000-0000-0000A2C00000}"/>
    <cellStyle name="货币 2 7 5 2 3" xfId="25722" xr:uid="{00000000-0005-0000-0000-0000AA640000}"/>
    <cellStyle name="货币 2 7 5 2 3 2" xfId="23984" xr:uid="{00000000-0005-0000-0000-0000E05D0000}"/>
    <cellStyle name="货币 2 7 5 2 3 3" xfId="49267" xr:uid="{00000000-0005-0000-0000-0000A3C00000}"/>
    <cellStyle name="货币 2 7 5 2 3 4" xfId="49268" xr:uid="{00000000-0005-0000-0000-0000A4C00000}"/>
    <cellStyle name="货币 2 7 5 2 3 5" xfId="49269" xr:uid="{00000000-0005-0000-0000-0000A5C00000}"/>
    <cellStyle name="货币 2 7 5 2 3 6" xfId="49270" xr:uid="{00000000-0005-0000-0000-0000A6C00000}"/>
    <cellStyle name="货币 2 7 5 2 4" xfId="25726" xr:uid="{00000000-0005-0000-0000-0000AE640000}"/>
    <cellStyle name="货币 2 7 5 2 4 2" xfId="49271" xr:uid="{00000000-0005-0000-0000-0000A7C00000}"/>
    <cellStyle name="货币 2 7 5 2 4 3" xfId="49272" xr:uid="{00000000-0005-0000-0000-0000A8C00000}"/>
    <cellStyle name="货币 2 7 5 2 4 4" xfId="49273" xr:uid="{00000000-0005-0000-0000-0000A9C00000}"/>
    <cellStyle name="货币 2 7 5 2 4 5" xfId="49274" xr:uid="{00000000-0005-0000-0000-0000AAC00000}"/>
    <cellStyle name="货币 2 7 5 2 5" xfId="25731" xr:uid="{00000000-0005-0000-0000-0000B3640000}"/>
    <cellStyle name="货币 2 7 5 2 6" xfId="1859" xr:uid="{00000000-0005-0000-0000-000073070000}"/>
    <cellStyle name="货币 2 7 5 2 7" xfId="1933" xr:uid="{00000000-0005-0000-0000-0000BD070000}"/>
    <cellStyle name="货币 2 7 5 2 8" xfId="27861" xr:uid="{00000000-0005-0000-0000-0000056D0000}"/>
    <cellStyle name="货币 2 7 5 2 9" xfId="27865" xr:uid="{00000000-0005-0000-0000-0000096D0000}"/>
    <cellStyle name="货币 2 7 5 3" xfId="23515" xr:uid="{00000000-0005-0000-0000-00000B5C0000}"/>
    <cellStyle name="货币 2 7 5 3 10" xfId="6315" xr:uid="{00000000-0005-0000-0000-0000DB180000}"/>
    <cellStyle name="货币 2 7 5 3 11" xfId="6330" xr:uid="{00000000-0005-0000-0000-0000EA180000}"/>
    <cellStyle name="货币 2 7 5 3 12" xfId="3979" xr:uid="{00000000-0005-0000-0000-0000BB0F0000}"/>
    <cellStyle name="货币 2 7 5 3 2" xfId="49275" xr:uid="{00000000-0005-0000-0000-0000ABC00000}"/>
    <cellStyle name="货币 2 7 5 3 2 2" xfId="42269" xr:uid="{00000000-0005-0000-0000-00004DA50000}"/>
    <cellStyle name="货币 2 7 5 3 2 2 2" xfId="49276" xr:uid="{00000000-0005-0000-0000-0000ACC00000}"/>
    <cellStyle name="货币 2 7 5 3 2 3" xfId="42271" xr:uid="{00000000-0005-0000-0000-00004FA50000}"/>
    <cellStyle name="货币 2 7 5 3 2 4" xfId="42273" xr:uid="{00000000-0005-0000-0000-000051A50000}"/>
    <cellStyle name="货币 2 7 5 3 2 5" xfId="49277" xr:uid="{00000000-0005-0000-0000-0000ADC00000}"/>
    <cellStyle name="货币 2 7 5 3 3" xfId="25743" xr:uid="{00000000-0005-0000-0000-0000BF640000}"/>
    <cellStyle name="货币 2 7 5 3 3 2" xfId="49278" xr:uid="{00000000-0005-0000-0000-0000AEC00000}"/>
    <cellStyle name="货币 2 7 5 3 4" xfId="25746" xr:uid="{00000000-0005-0000-0000-0000C2640000}"/>
    <cellStyle name="货币 2 7 5 3 5" xfId="25640" xr:uid="{00000000-0005-0000-0000-000058640000}"/>
    <cellStyle name="货币 2 7 5 3 6" xfId="5638" xr:uid="{00000000-0005-0000-0000-000036160000}"/>
    <cellStyle name="货币 2 7 5 3 7" xfId="815" xr:uid="{00000000-0005-0000-0000-00005F030000}"/>
    <cellStyle name="货币 2 7 5 3 8" xfId="49279" xr:uid="{00000000-0005-0000-0000-0000AFC00000}"/>
    <cellStyle name="货币 2 7 5 3 9" xfId="49280" xr:uid="{00000000-0005-0000-0000-0000B0C00000}"/>
    <cellStyle name="货币 2 7 5 4" xfId="23518" xr:uid="{00000000-0005-0000-0000-00000E5C0000}"/>
    <cellStyle name="货币 2 7 5 4 10" xfId="49281" xr:uid="{00000000-0005-0000-0000-0000B1C00000}"/>
    <cellStyle name="货币 2 7 5 4 11" xfId="49282" xr:uid="{00000000-0005-0000-0000-0000B2C00000}"/>
    <cellStyle name="货币 2 7 5 4 2" xfId="43946" xr:uid="{00000000-0005-0000-0000-0000DAAB0000}"/>
    <cellStyle name="货币 2 7 5 4 2 2" xfId="42285" xr:uid="{00000000-0005-0000-0000-00005DA50000}"/>
    <cellStyle name="货币 2 7 5 4 2 2 2" xfId="49283" xr:uid="{00000000-0005-0000-0000-0000B3C00000}"/>
    <cellStyle name="货币 2 7 5 4 2 3" xfId="42287" xr:uid="{00000000-0005-0000-0000-00005FA50000}"/>
    <cellStyle name="货币 2 7 5 4 2 4" xfId="42289" xr:uid="{00000000-0005-0000-0000-000061A50000}"/>
    <cellStyle name="货币 2 7 5 4 2 5" xfId="49284" xr:uid="{00000000-0005-0000-0000-0000B4C00000}"/>
    <cellStyle name="货币 2 7 5 4 3" xfId="25758" xr:uid="{00000000-0005-0000-0000-0000CE640000}"/>
    <cellStyle name="货币 2 7 5 4 3 2" xfId="45358" xr:uid="{00000000-0005-0000-0000-00005EB10000}"/>
    <cellStyle name="货币 2 7 5 4 4" xfId="25762" xr:uid="{00000000-0005-0000-0000-0000D2640000}"/>
    <cellStyle name="货币 2 7 5 4 5" xfId="25765" xr:uid="{00000000-0005-0000-0000-0000D5640000}"/>
    <cellStyle name="货币 2 7 5 4 6" xfId="5996" xr:uid="{00000000-0005-0000-0000-00009C170000}"/>
    <cellStyle name="货币 2 7 5 4 7" xfId="1004" xr:uid="{00000000-0005-0000-0000-00001C040000}"/>
    <cellStyle name="货币 2 7 5 4 8" xfId="49285" xr:uid="{00000000-0005-0000-0000-0000B5C00000}"/>
    <cellStyle name="货币 2 7 5 4 9" xfId="49286" xr:uid="{00000000-0005-0000-0000-0000B6C00000}"/>
    <cellStyle name="货币 2 7 5 5" xfId="49287" xr:uid="{00000000-0005-0000-0000-0000B7C00000}"/>
    <cellStyle name="货币 2 7 5 5 10" xfId="49288" xr:uid="{00000000-0005-0000-0000-0000B8C00000}"/>
    <cellStyle name="货币 2 7 5 5 2" xfId="44491" xr:uid="{00000000-0005-0000-0000-0000FBAD0000}"/>
    <cellStyle name="货币 2 7 5 5 2 2" xfId="42302" xr:uid="{00000000-0005-0000-0000-00006EA50000}"/>
    <cellStyle name="货币 2 7 5 5 2 2 2" xfId="49289" xr:uid="{00000000-0005-0000-0000-0000B9C00000}"/>
    <cellStyle name="货币 2 7 5 5 2 3" xfId="42304" xr:uid="{00000000-0005-0000-0000-000070A50000}"/>
    <cellStyle name="货币 2 7 5 5 2 4" xfId="13352" xr:uid="{00000000-0005-0000-0000-000058340000}"/>
    <cellStyle name="货币 2 7 5 5 2 5" xfId="49290" xr:uid="{00000000-0005-0000-0000-0000BAC00000}"/>
    <cellStyle name="货币 2 7 5 5 3" xfId="44493" xr:uid="{00000000-0005-0000-0000-0000FDAD0000}"/>
    <cellStyle name="货币 2 7 5 5 3 2" xfId="49292" xr:uid="{00000000-0005-0000-0000-0000BCC00000}"/>
    <cellStyle name="货币 2 7 5 5 4" xfId="40745" xr:uid="{00000000-0005-0000-0000-0000599F0000}"/>
    <cellStyle name="货币 2 7 5 5 5" xfId="49293" xr:uid="{00000000-0005-0000-0000-0000BDC00000}"/>
    <cellStyle name="货币 2 7 5 5 6" xfId="49294" xr:uid="{00000000-0005-0000-0000-0000BEC00000}"/>
    <cellStyle name="货币 2 7 5 5 7" xfId="49295" xr:uid="{00000000-0005-0000-0000-0000BFC00000}"/>
    <cellStyle name="货币 2 7 5 5 8" xfId="49296" xr:uid="{00000000-0005-0000-0000-0000C0C00000}"/>
    <cellStyle name="货币 2 7 5 5 9" xfId="49297" xr:uid="{00000000-0005-0000-0000-0000C1C00000}"/>
    <cellStyle name="货币 2 7 5 6" xfId="49298" xr:uid="{00000000-0005-0000-0000-0000C2C00000}"/>
    <cellStyle name="货币 2 7 5 6 2" xfId="49299" xr:uid="{00000000-0005-0000-0000-0000C3C00000}"/>
    <cellStyle name="货币 2 7 5 6 2 2" xfId="49300" xr:uid="{00000000-0005-0000-0000-0000C4C00000}"/>
    <cellStyle name="货币 2 7 5 6 3" xfId="49301" xr:uid="{00000000-0005-0000-0000-0000C5C00000}"/>
    <cellStyle name="货币 2 7 5 6 4" xfId="49303" xr:uid="{00000000-0005-0000-0000-0000C7C00000}"/>
    <cellStyle name="货币 2 7 5 6 5" xfId="49305" xr:uid="{00000000-0005-0000-0000-0000C9C00000}"/>
    <cellStyle name="货币 2 7 5 6 6" xfId="49307" xr:uid="{00000000-0005-0000-0000-0000CBC00000}"/>
    <cellStyle name="货币 2 7 5 6 7" xfId="49309" xr:uid="{00000000-0005-0000-0000-0000CDC00000}"/>
    <cellStyle name="货币 2 7 5 6 8" xfId="49311" xr:uid="{00000000-0005-0000-0000-0000CFC00000}"/>
    <cellStyle name="货币 2 7 5 6 9" xfId="49313" xr:uid="{00000000-0005-0000-0000-0000D1C00000}"/>
    <cellStyle name="货币 2 7 5 7" xfId="49314" xr:uid="{00000000-0005-0000-0000-0000D2C00000}"/>
    <cellStyle name="货币 2 7 5 7 2" xfId="20779" xr:uid="{00000000-0005-0000-0000-00005B510000}"/>
    <cellStyle name="货币 2 7 5 8" xfId="49315" xr:uid="{00000000-0005-0000-0000-0000D3C00000}"/>
    <cellStyle name="货币 2 7 5 9" xfId="49316" xr:uid="{00000000-0005-0000-0000-0000D4C00000}"/>
    <cellStyle name="货币 2 7 6" xfId="47400" xr:uid="{00000000-0005-0000-0000-000058B90000}"/>
    <cellStyle name="货币 2 7 6 10" xfId="49302" xr:uid="{00000000-0005-0000-0000-0000C6C00000}"/>
    <cellStyle name="货币 2 7 6 11" xfId="49304" xr:uid="{00000000-0005-0000-0000-0000C8C00000}"/>
    <cellStyle name="货币 2 7 6 12" xfId="49306" xr:uid="{00000000-0005-0000-0000-0000CAC00000}"/>
    <cellStyle name="货币 2 7 6 13" xfId="49308" xr:uid="{00000000-0005-0000-0000-0000CCC00000}"/>
    <cellStyle name="货币 2 7 6 14" xfId="49310" xr:uid="{00000000-0005-0000-0000-0000CEC00000}"/>
    <cellStyle name="货币 2 7 6 15" xfId="49312" xr:uid="{00000000-0005-0000-0000-0000D0C00000}"/>
    <cellStyle name="货币 2 7 6 16" xfId="49317" xr:uid="{00000000-0005-0000-0000-0000D5C00000}"/>
    <cellStyle name="货币 2 7 6 17" xfId="49318" xr:uid="{00000000-0005-0000-0000-0000D6C00000}"/>
    <cellStyle name="货币 2 7 6 18" xfId="49319" xr:uid="{00000000-0005-0000-0000-0000D7C00000}"/>
    <cellStyle name="货币 2 7 6 2" xfId="43934" xr:uid="{00000000-0005-0000-0000-0000CEAB0000}"/>
    <cellStyle name="货币 2 7 6 2 10" xfId="18210" xr:uid="{00000000-0005-0000-0000-000052470000}"/>
    <cellStyle name="货币 2 7 6 2 2" xfId="49320" xr:uid="{00000000-0005-0000-0000-0000D8C00000}"/>
    <cellStyle name="货币 2 7 6 2 2 2" xfId="49321" xr:uid="{00000000-0005-0000-0000-0000D9C00000}"/>
    <cellStyle name="货币 2 7 6 2 3" xfId="16189" xr:uid="{00000000-0005-0000-0000-00006D3F0000}"/>
    <cellStyle name="货币 2 7 6 2 4" xfId="16223" xr:uid="{00000000-0005-0000-0000-00008F3F0000}"/>
    <cellStyle name="货币 2 7 6 2 5" xfId="16236" xr:uid="{00000000-0005-0000-0000-00009C3F0000}"/>
    <cellStyle name="货币 2 7 6 2 6" xfId="16244" xr:uid="{00000000-0005-0000-0000-0000A43F0000}"/>
    <cellStyle name="货币 2 7 6 2 7" xfId="7517" xr:uid="{00000000-0005-0000-0000-00008D1D0000}"/>
    <cellStyle name="货币 2 7 6 2 8" xfId="28100" xr:uid="{00000000-0005-0000-0000-0000F46D0000}"/>
    <cellStyle name="货币 2 7 6 2 9" xfId="4978" xr:uid="{00000000-0005-0000-0000-0000A2130000}"/>
    <cellStyle name="货币 2 7 6 3" xfId="43936" xr:uid="{00000000-0005-0000-0000-0000D0AB0000}"/>
    <cellStyle name="货币 2 7 6 3 2" xfId="15595" xr:uid="{00000000-0005-0000-0000-00001B3D0000}"/>
    <cellStyle name="货币 2 7 6 3 3" xfId="15598" xr:uid="{00000000-0005-0000-0000-00001E3D0000}"/>
    <cellStyle name="货币 2 7 6 3 4" xfId="15605" xr:uid="{00000000-0005-0000-0000-0000253D0000}"/>
    <cellStyle name="货币 2 7 6 3 5" xfId="16255" xr:uid="{00000000-0005-0000-0000-0000AF3F0000}"/>
    <cellStyle name="货币 2 7 6 3 6" xfId="16262" xr:uid="{00000000-0005-0000-0000-0000B63F0000}"/>
    <cellStyle name="货币 2 7 6 4" xfId="43938" xr:uid="{00000000-0005-0000-0000-0000D2AB0000}"/>
    <cellStyle name="货币 2 7 6 4 2" xfId="49322" xr:uid="{00000000-0005-0000-0000-0000DAC00000}"/>
    <cellStyle name="货币 2 7 6 4 3" xfId="14156" xr:uid="{00000000-0005-0000-0000-00007C370000}"/>
    <cellStyle name="货币 2 7 6 4 4" xfId="13440" xr:uid="{00000000-0005-0000-0000-0000B0340000}"/>
    <cellStyle name="货币 2 7 6 4 5" xfId="13449" xr:uid="{00000000-0005-0000-0000-0000B9340000}"/>
    <cellStyle name="货币 2 7 6 4 6" xfId="13454" xr:uid="{00000000-0005-0000-0000-0000BE340000}"/>
    <cellStyle name="货币 2 7 6 5" xfId="49323" xr:uid="{00000000-0005-0000-0000-0000DBC00000}"/>
    <cellStyle name="货币 2 7 6 5 2" xfId="49324" xr:uid="{00000000-0005-0000-0000-0000DCC00000}"/>
    <cellStyle name="货币 2 7 6 5 3" xfId="49325" xr:uid="{00000000-0005-0000-0000-0000DDC00000}"/>
    <cellStyle name="货币 2 7 6 5 4" xfId="49326" xr:uid="{00000000-0005-0000-0000-0000DEC00000}"/>
    <cellStyle name="货币 2 7 6 5 5" xfId="49327" xr:uid="{00000000-0005-0000-0000-0000DFC00000}"/>
    <cellStyle name="货币 2 7 6 5 6" xfId="49328" xr:uid="{00000000-0005-0000-0000-0000E0C00000}"/>
    <cellStyle name="货币 2 7 6 6" xfId="49329" xr:uid="{00000000-0005-0000-0000-0000E1C00000}"/>
    <cellStyle name="货币 2 7 6 6 2" xfId="49330" xr:uid="{00000000-0005-0000-0000-0000E2C00000}"/>
    <cellStyle name="货币 2 7 6 6 3" xfId="49331" xr:uid="{00000000-0005-0000-0000-0000E3C00000}"/>
    <cellStyle name="货币 2 7 6 6 4" xfId="49332" xr:uid="{00000000-0005-0000-0000-0000E4C00000}"/>
    <cellStyle name="货币 2 7 6 6 5" xfId="49333" xr:uid="{00000000-0005-0000-0000-0000E5C00000}"/>
    <cellStyle name="货币 2 7 6 6 6" xfId="49334" xr:uid="{00000000-0005-0000-0000-0000E6C00000}"/>
    <cellStyle name="货币 2 7 6 7" xfId="49335" xr:uid="{00000000-0005-0000-0000-0000E7C00000}"/>
    <cellStyle name="货币 2 7 6 8" xfId="49336" xr:uid="{00000000-0005-0000-0000-0000E8C00000}"/>
    <cellStyle name="货币 2 7 6 9" xfId="49337" xr:uid="{00000000-0005-0000-0000-0000E9C00000}"/>
    <cellStyle name="货币 2 7 7" xfId="47402" xr:uid="{00000000-0005-0000-0000-00005AB90000}"/>
    <cellStyle name="货币 2 7 7 10" xfId="36441" xr:uid="{00000000-0005-0000-0000-0000898E0000}"/>
    <cellStyle name="货币 2 7 7 11" xfId="49338" xr:uid="{00000000-0005-0000-0000-0000EAC00000}"/>
    <cellStyle name="货币 2 7 7 12" xfId="49339" xr:uid="{00000000-0005-0000-0000-0000EBC00000}"/>
    <cellStyle name="货币 2 7 7 13" xfId="49340" xr:uid="{00000000-0005-0000-0000-0000ECC00000}"/>
    <cellStyle name="货币 2 7 7 14" xfId="49341" xr:uid="{00000000-0005-0000-0000-0000EDC00000}"/>
    <cellStyle name="货币 2 7 7 15" xfId="49342" xr:uid="{00000000-0005-0000-0000-0000EEC00000}"/>
    <cellStyle name="货币 2 7 7 16" xfId="49343" xr:uid="{00000000-0005-0000-0000-0000EFC00000}"/>
    <cellStyle name="货币 2 7 7 17" xfId="49344" xr:uid="{00000000-0005-0000-0000-0000F0C00000}"/>
    <cellStyle name="货币 2 7 7 18" xfId="6019" xr:uid="{00000000-0005-0000-0000-0000B3170000}"/>
    <cellStyle name="货币 2 7 7 2" xfId="49345" xr:uid="{00000000-0005-0000-0000-0000F1C00000}"/>
    <cellStyle name="货币 2 7 7 2 10" xfId="45582" xr:uid="{00000000-0005-0000-0000-00003EB20000}"/>
    <cellStyle name="货币 2 7 7 2 2" xfId="49346" xr:uid="{00000000-0005-0000-0000-0000F2C00000}"/>
    <cellStyle name="货币 2 7 7 2 2 2" xfId="49347" xr:uid="{00000000-0005-0000-0000-0000F3C00000}"/>
    <cellStyle name="货币 2 7 7 2 3" xfId="16323" xr:uid="{00000000-0005-0000-0000-0000F33F0000}"/>
    <cellStyle name="货币 2 7 7 2 4" xfId="16329" xr:uid="{00000000-0005-0000-0000-0000F93F0000}"/>
    <cellStyle name="货币 2 7 7 2 5" xfId="16334" xr:uid="{00000000-0005-0000-0000-0000FE3F0000}"/>
    <cellStyle name="货币 2 7 7 2 6" xfId="16339" xr:uid="{00000000-0005-0000-0000-000003400000}"/>
    <cellStyle name="货币 2 7 7 2 7" xfId="16344" xr:uid="{00000000-0005-0000-0000-000008400000}"/>
    <cellStyle name="货币 2 7 7 2 8" xfId="28410" xr:uid="{00000000-0005-0000-0000-00002A6F0000}"/>
    <cellStyle name="货币 2 7 7 2 9" xfId="28412" xr:uid="{00000000-0005-0000-0000-00002C6F0000}"/>
    <cellStyle name="货币 2 7 7 3" xfId="49348" xr:uid="{00000000-0005-0000-0000-0000F4C00000}"/>
    <cellStyle name="货币 2 7 7 3 2" xfId="49349" xr:uid="{00000000-0005-0000-0000-0000F5C00000}"/>
    <cellStyle name="货币 2 7 7 3 3" xfId="16349" xr:uid="{00000000-0005-0000-0000-00000D400000}"/>
    <cellStyle name="货币 2 7 7 3 4" xfId="16354" xr:uid="{00000000-0005-0000-0000-000012400000}"/>
    <cellStyle name="货币 2 7 7 3 5" xfId="16359" xr:uid="{00000000-0005-0000-0000-000017400000}"/>
    <cellStyle name="货币 2 7 7 3 6" xfId="16364" xr:uid="{00000000-0005-0000-0000-00001C400000}"/>
    <cellStyle name="货币 2 7 7 4" xfId="49350" xr:uid="{00000000-0005-0000-0000-0000F6C00000}"/>
    <cellStyle name="货币 2 7 7 4 2" xfId="49351" xr:uid="{00000000-0005-0000-0000-0000F7C00000}"/>
    <cellStyle name="货币 2 7 7 4 3" xfId="12161" xr:uid="{00000000-0005-0000-0000-0000B12F0000}"/>
    <cellStyle name="货币 2 7 7 4 4" xfId="26091" xr:uid="{00000000-0005-0000-0000-00001B660000}"/>
    <cellStyle name="货币 2 7 7 4 5" xfId="15856" xr:uid="{00000000-0005-0000-0000-0000203E0000}"/>
    <cellStyle name="货币 2 7 7 4 6" xfId="26094" xr:uid="{00000000-0005-0000-0000-00001E660000}"/>
    <cellStyle name="货币 2 7 7 5" xfId="49352" xr:uid="{00000000-0005-0000-0000-0000F8C00000}"/>
    <cellStyle name="货币 2 7 7 5 2" xfId="49353" xr:uid="{00000000-0005-0000-0000-0000F9C00000}"/>
    <cellStyle name="货币 2 7 7 5 3" xfId="49354" xr:uid="{00000000-0005-0000-0000-0000FAC00000}"/>
    <cellStyle name="货币 2 7 7 5 4" xfId="49355" xr:uid="{00000000-0005-0000-0000-0000FBC00000}"/>
    <cellStyle name="货币 2 7 7 5 5" xfId="24305" xr:uid="{00000000-0005-0000-0000-0000215F0000}"/>
    <cellStyle name="货币 2 7 7 5 6" xfId="24309" xr:uid="{00000000-0005-0000-0000-0000255F0000}"/>
    <cellStyle name="货币 2 7 7 6" xfId="49356" xr:uid="{00000000-0005-0000-0000-0000FCC00000}"/>
    <cellStyle name="货币 2 7 7 6 2" xfId="49357" xr:uid="{00000000-0005-0000-0000-0000FDC00000}"/>
    <cellStyle name="货币 2 7 7 6 3" xfId="49358" xr:uid="{00000000-0005-0000-0000-0000FEC00000}"/>
    <cellStyle name="货币 2 7 7 6 4" xfId="49359" xr:uid="{00000000-0005-0000-0000-0000FFC00000}"/>
    <cellStyle name="货币 2 7 7 6 5" xfId="24832" xr:uid="{00000000-0005-0000-0000-000030610000}"/>
    <cellStyle name="货币 2 7 7 6 6" xfId="24843" xr:uid="{00000000-0005-0000-0000-00003B610000}"/>
    <cellStyle name="货币 2 7 7 7" xfId="49360" xr:uid="{00000000-0005-0000-0000-000000C10000}"/>
    <cellStyle name="货币 2 7 7 8" xfId="49361" xr:uid="{00000000-0005-0000-0000-000001C10000}"/>
    <cellStyle name="货币 2 7 7 9" xfId="49362" xr:uid="{00000000-0005-0000-0000-000002C10000}"/>
    <cellStyle name="货币 2 7 8" xfId="47404" xr:uid="{00000000-0005-0000-0000-00005CB90000}"/>
    <cellStyle name="货币 2 7 8 10" xfId="43602" xr:uid="{00000000-0005-0000-0000-000082AA0000}"/>
    <cellStyle name="货币 2 7 8 11" xfId="49363" xr:uid="{00000000-0005-0000-0000-000003C10000}"/>
    <cellStyle name="货币 2 7 8 12" xfId="49364" xr:uid="{00000000-0005-0000-0000-000004C10000}"/>
    <cellStyle name="货币 2 7 8 13" xfId="25690" xr:uid="{00000000-0005-0000-0000-00008A640000}"/>
    <cellStyle name="货币 2 7 8 14" xfId="25693" xr:uid="{00000000-0005-0000-0000-00008D640000}"/>
    <cellStyle name="货币 2 7 8 15" xfId="17923" xr:uid="{00000000-0005-0000-0000-000033460000}"/>
    <cellStyle name="货币 2 7 8 2" xfId="49365" xr:uid="{00000000-0005-0000-0000-000005C10000}"/>
    <cellStyle name="货币 2 7 8 2 2" xfId="21349" xr:uid="{00000000-0005-0000-0000-000095530000}"/>
    <cellStyle name="货币 2 7 8 2 2 2" xfId="49366" xr:uid="{00000000-0005-0000-0000-000006C10000}"/>
    <cellStyle name="货币 2 7 8 2 3" xfId="21355" xr:uid="{00000000-0005-0000-0000-00009B530000}"/>
    <cellStyle name="货币 2 7 8 2 4" xfId="21363" xr:uid="{00000000-0005-0000-0000-0000A3530000}"/>
    <cellStyle name="货币 2 7 8 2 5" xfId="21370" xr:uid="{00000000-0005-0000-0000-0000AA530000}"/>
    <cellStyle name="货币 2 7 8 2 6" xfId="49367" xr:uid="{00000000-0005-0000-0000-000007C10000}"/>
    <cellStyle name="货币 2 7 8 2 7" xfId="49368" xr:uid="{00000000-0005-0000-0000-000008C10000}"/>
    <cellStyle name="货币 2 7 8 2 8" xfId="49369" xr:uid="{00000000-0005-0000-0000-000009C10000}"/>
    <cellStyle name="货币 2 7 8 2 9" xfId="49370" xr:uid="{00000000-0005-0000-0000-00000AC10000}"/>
    <cellStyle name="货币 2 7 8 3" xfId="49371" xr:uid="{00000000-0005-0000-0000-00000BC10000}"/>
    <cellStyle name="货币 2 7 8 3 2" xfId="49372" xr:uid="{00000000-0005-0000-0000-00000CC10000}"/>
    <cellStyle name="货币 2 7 8 3 3" xfId="49373" xr:uid="{00000000-0005-0000-0000-00000DC10000}"/>
    <cellStyle name="货币 2 7 8 3 4" xfId="26142" xr:uid="{00000000-0005-0000-0000-00004E660000}"/>
    <cellStyle name="货币 2 7 8 3 5" xfId="27925" xr:uid="{00000000-0005-0000-0000-0000456D0000}"/>
    <cellStyle name="货币 2 7 8 3 6" xfId="27927" xr:uid="{00000000-0005-0000-0000-0000476D0000}"/>
    <cellStyle name="货币 2 7 8 4" xfId="49374" xr:uid="{00000000-0005-0000-0000-00000EC10000}"/>
    <cellStyle name="货币 2 7 8 4 2" xfId="49375" xr:uid="{00000000-0005-0000-0000-00000FC10000}"/>
    <cellStyle name="货币 2 7 8 5" xfId="34525" xr:uid="{00000000-0005-0000-0000-00000D870000}"/>
    <cellStyle name="货币 2 7 8 6" xfId="9272" xr:uid="{00000000-0005-0000-0000-000068240000}"/>
    <cellStyle name="货币 2 7 8 7" xfId="9283" xr:uid="{00000000-0005-0000-0000-000073240000}"/>
    <cellStyle name="货币 2 7 8 8" xfId="9560" xr:uid="{00000000-0005-0000-0000-000088250000}"/>
    <cellStyle name="货币 2 7 8 9" xfId="9566" xr:uid="{00000000-0005-0000-0000-00008E250000}"/>
    <cellStyle name="货币 2 7 9" xfId="47406" xr:uid="{00000000-0005-0000-0000-00005EB90000}"/>
    <cellStyle name="货币 2 7 9 10" xfId="30027" xr:uid="{00000000-0005-0000-0000-00007B750000}"/>
    <cellStyle name="货币 2 7 9 11" xfId="30031" xr:uid="{00000000-0005-0000-0000-00007F750000}"/>
    <cellStyle name="货币 2 7 9 12" xfId="30035" xr:uid="{00000000-0005-0000-0000-000083750000}"/>
    <cellStyle name="货币 2 7 9 13" xfId="30040" xr:uid="{00000000-0005-0000-0000-000088750000}"/>
    <cellStyle name="货币 2 7 9 14" xfId="30044" xr:uid="{00000000-0005-0000-0000-00008C750000}"/>
    <cellStyle name="货币 2 7 9 2" xfId="44670" xr:uid="{00000000-0005-0000-0000-0000AEAE0000}"/>
    <cellStyle name="货币 2 7 9 2 2" xfId="44672" xr:uid="{00000000-0005-0000-0000-0000B0AE0000}"/>
    <cellStyle name="货币 2 7 9 2 2 2" xfId="49376" xr:uid="{00000000-0005-0000-0000-000010C10000}"/>
    <cellStyle name="货币 2 7 9 2 3" xfId="44674" xr:uid="{00000000-0005-0000-0000-0000B2AE0000}"/>
    <cellStyle name="货币 2 7 9 2 4" xfId="44677" xr:uid="{00000000-0005-0000-0000-0000B5AE0000}"/>
    <cellStyle name="货币 2 7 9 2 5" xfId="44679" xr:uid="{00000000-0005-0000-0000-0000B7AE0000}"/>
    <cellStyle name="货币 2 7 9 2 6" xfId="44681" xr:uid="{00000000-0005-0000-0000-0000B9AE0000}"/>
    <cellStyle name="货币 2 7 9 2 7" xfId="49377" xr:uid="{00000000-0005-0000-0000-000011C10000}"/>
    <cellStyle name="货币 2 7 9 2 8" xfId="49378" xr:uid="{00000000-0005-0000-0000-000012C10000}"/>
    <cellStyle name="货币 2 7 9 2 9" xfId="49379" xr:uid="{00000000-0005-0000-0000-000013C10000}"/>
    <cellStyle name="货币 2 7 9 3" xfId="44683" xr:uid="{00000000-0005-0000-0000-0000BBAE0000}"/>
    <cellStyle name="货币 2 7 9 3 2" xfId="44685" xr:uid="{00000000-0005-0000-0000-0000BDAE0000}"/>
    <cellStyle name="货币 2 7 9 3 3" xfId="44687" xr:uid="{00000000-0005-0000-0000-0000BFAE0000}"/>
    <cellStyle name="货币 2 7 9 3 4" xfId="44689" xr:uid="{00000000-0005-0000-0000-0000C1AE0000}"/>
    <cellStyle name="货币 2 7 9 3 5" xfId="44691" xr:uid="{00000000-0005-0000-0000-0000C3AE0000}"/>
    <cellStyle name="货币 2 7 9 3 6" xfId="49380" xr:uid="{00000000-0005-0000-0000-000014C10000}"/>
    <cellStyle name="货币 2 7 9 4" xfId="44693" xr:uid="{00000000-0005-0000-0000-0000C5AE0000}"/>
    <cellStyle name="货币 2 7 9 4 2" xfId="49381" xr:uid="{00000000-0005-0000-0000-000015C10000}"/>
    <cellStyle name="货币 2 7 9 5" xfId="34528" xr:uid="{00000000-0005-0000-0000-000010870000}"/>
    <cellStyle name="货币 2 7 9 6" xfId="3224" xr:uid="{00000000-0005-0000-0000-0000C80C0000}"/>
    <cellStyle name="货币 2 7 9 7" xfId="34531" xr:uid="{00000000-0005-0000-0000-000013870000}"/>
    <cellStyle name="货币 2 7 9 8" xfId="34534" xr:uid="{00000000-0005-0000-0000-000016870000}"/>
    <cellStyle name="货币 2 7 9 9" xfId="34537" xr:uid="{00000000-0005-0000-0000-000019870000}"/>
    <cellStyle name="货币 2 8" xfId="24062" xr:uid="{00000000-0005-0000-0000-00002E5E0000}"/>
    <cellStyle name="货币 2 8 10" xfId="49382" xr:uid="{00000000-0005-0000-0000-000016C10000}"/>
    <cellStyle name="货币 2 8 10 2" xfId="16067" xr:uid="{00000000-0005-0000-0000-0000F33E0000}"/>
    <cellStyle name="货币 2 8 10 3" xfId="16072" xr:uid="{00000000-0005-0000-0000-0000F83E0000}"/>
    <cellStyle name="货币 2 8 10 4" xfId="20992" xr:uid="{00000000-0005-0000-0000-000030520000}"/>
    <cellStyle name="货币 2 8 10 5" xfId="21028" xr:uid="{00000000-0005-0000-0000-000054520000}"/>
    <cellStyle name="货币 2 8 10 6" xfId="21038" xr:uid="{00000000-0005-0000-0000-00005E520000}"/>
    <cellStyle name="货币 2 8 11" xfId="49383" xr:uid="{00000000-0005-0000-0000-000017C10000}"/>
    <cellStyle name="货币 2 8 11 2" xfId="49384" xr:uid="{00000000-0005-0000-0000-000018C10000}"/>
    <cellStyle name="货币 2 8 11 3" xfId="49385" xr:uid="{00000000-0005-0000-0000-000019C10000}"/>
    <cellStyle name="货币 2 8 11 4" xfId="18546" xr:uid="{00000000-0005-0000-0000-0000A2480000}"/>
    <cellStyle name="货币 2 8 11 5" xfId="18552" xr:uid="{00000000-0005-0000-0000-0000A8480000}"/>
    <cellStyle name="货币 2 8 11 6" xfId="18559" xr:uid="{00000000-0005-0000-0000-0000AF480000}"/>
    <cellStyle name="货币 2 8 12" xfId="49386" xr:uid="{00000000-0005-0000-0000-00001AC10000}"/>
    <cellStyle name="货币 2 8 13" xfId="49387" xr:uid="{00000000-0005-0000-0000-00001BC10000}"/>
    <cellStyle name="货币 2 8 14" xfId="49388" xr:uid="{00000000-0005-0000-0000-00001CC10000}"/>
    <cellStyle name="货币 2 8 15" xfId="47410" xr:uid="{00000000-0005-0000-0000-000062B90000}"/>
    <cellStyle name="货币 2 8 16" xfId="49390" xr:uid="{00000000-0005-0000-0000-00001EC10000}"/>
    <cellStyle name="货币 2 8 17" xfId="49392" xr:uid="{00000000-0005-0000-0000-000020C10000}"/>
    <cellStyle name="货币 2 8 18" xfId="49394" xr:uid="{00000000-0005-0000-0000-000022C10000}"/>
    <cellStyle name="货币 2 8 19" xfId="49395" xr:uid="{00000000-0005-0000-0000-000023C10000}"/>
    <cellStyle name="货币 2 8 2" xfId="49396" xr:uid="{00000000-0005-0000-0000-000024C10000}"/>
    <cellStyle name="货币 2 8 2 10" xfId="49397" xr:uid="{00000000-0005-0000-0000-000025C10000}"/>
    <cellStyle name="货币 2 8 2 11" xfId="49398" xr:uid="{00000000-0005-0000-0000-000026C10000}"/>
    <cellStyle name="货币 2 8 2 12" xfId="49399" xr:uid="{00000000-0005-0000-0000-000027C10000}"/>
    <cellStyle name="货币 2 8 2 13" xfId="49400" xr:uid="{00000000-0005-0000-0000-000028C10000}"/>
    <cellStyle name="货币 2 8 2 14" xfId="49401" xr:uid="{00000000-0005-0000-0000-000029C10000}"/>
    <cellStyle name="货币 2 8 2 15" xfId="28802" xr:uid="{00000000-0005-0000-0000-0000B2700000}"/>
    <cellStyle name="货币 2 8 2 16" xfId="49402" xr:uid="{00000000-0005-0000-0000-00002AC10000}"/>
    <cellStyle name="货币 2 8 2 17" xfId="49403" xr:uid="{00000000-0005-0000-0000-00002BC10000}"/>
    <cellStyle name="货币 2 8 2 18" xfId="49404" xr:uid="{00000000-0005-0000-0000-00002CC10000}"/>
    <cellStyle name="货币 2 8 2 2" xfId="49405" xr:uid="{00000000-0005-0000-0000-00002DC10000}"/>
    <cellStyle name="货币 2 8 2 2 10" xfId="36658" xr:uid="{00000000-0005-0000-0000-0000628F0000}"/>
    <cellStyle name="货币 2 8 2 2 11" xfId="36660" xr:uid="{00000000-0005-0000-0000-0000648F0000}"/>
    <cellStyle name="货币 2 8 2 2 12" xfId="36662" xr:uid="{00000000-0005-0000-0000-0000668F0000}"/>
    <cellStyle name="货币 2 8 2 2 2" xfId="49407" xr:uid="{00000000-0005-0000-0000-00002FC10000}"/>
    <cellStyle name="货币 2 8 2 2 2 2" xfId="4757" xr:uid="{00000000-0005-0000-0000-0000C5120000}"/>
    <cellStyle name="货币 2 8 2 2 2 2 2" xfId="49408" xr:uid="{00000000-0005-0000-0000-000030C10000}"/>
    <cellStyle name="货币 2 8 2 2 2 3" xfId="4365" xr:uid="{00000000-0005-0000-0000-00003D110000}"/>
    <cellStyle name="货币 2 8 2 2 2 4" xfId="36671" xr:uid="{00000000-0005-0000-0000-00006F8F0000}"/>
    <cellStyle name="货币 2 8 2 2 2 5" xfId="25111" xr:uid="{00000000-0005-0000-0000-000047620000}"/>
    <cellStyle name="货币 2 8 2 2 3" xfId="49410" xr:uid="{00000000-0005-0000-0000-000032C10000}"/>
    <cellStyle name="货币 2 8 2 2 3 2" xfId="49411" xr:uid="{00000000-0005-0000-0000-000033C10000}"/>
    <cellStyle name="货币 2 8 2 2 4" xfId="3864" xr:uid="{00000000-0005-0000-0000-0000480F0000}"/>
    <cellStyle name="货币 2 8 2 2 5" xfId="49412" xr:uid="{00000000-0005-0000-0000-000034C10000}"/>
    <cellStyle name="货币 2 8 2 2 6" xfId="49413" xr:uid="{00000000-0005-0000-0000-000035C10000}"/>
    <cellStyle name="货币 2 8 2 2 7" xfId="49414" xr:uid="{00000000-0005-0000-0000-000036C10000}"/>
    <cellStyle name="货币 2 8 2 2 8" xfId="49415" xr:uid="{00000000-0005-0000-0000-000037C10000}"/>
    <cellStyle name="货币 2 8 2 2 9" xfId="49416" xr:uid="{00000000-0005-0000-0000-000038C10000}"/>
    <cellStyle name="货币 2 8 2 3" xfId="49417" xr:uid="{00000000-0005-0000-0000-000039C10000}"/>
    <cellStyle name="货币 2 8 2 3 10" xfId="1585" xr:uid="{00000000-0005-0000-0000-000061060000}"/>
    <cellStyle name="货币 2 8 2 3 11" xfId="9986" xr:uid="{00000000-0005-0000-0000-000032270000}"/>
    <cellStyle name="货币 2 8 2 3 12" xfId="36681" xr:uid="{00000000-0005-0000-0000-0000798F0000}"/>
    <cellStyle name="货币 2 8 2 3 2" xfId="49418" xr:uid="{00000000-0005-0000-0000-00003AC10000}"/>
    <cellStyle name="货币 2 8 2 3 2 2" xfId="36695" xr:uid="{00000000-0005-0000-0000-0000878F0000}"/>
    <cellStyle name="货币 2 8 2 3 2 2 2" xfId="4573" xr:uid="{00000000-0005-0000-0000-00000D120000}"/>
    <cellStyle name="货币 2 8 2 3 2 3" xfId="36699" xr:uid="{00000000-0005-0000-0000-00008B8F0000}"/>
    <cellStyle name="货币 2 8 2 3 2 4" xfId="36704" xr:uid="{00000000-0005-0000-0000-0000908F0000}"/>
    <cellStyle name="货币 2 8 2 3 2 5" xfId="49419" xr:uid="{00000000-0005-0000-0000-00003BC10000}"/>
    <cellStyle name="货币 2 8 2 3 3" xfId="49420" xr:uid="{00000000-0005-0000-0000-00003CC10000}"/>
    <cellStyle name="货币 2 8 2 3 3 2" xfId="49421" xr:uid="{00000000-0005-0000-0000-00003DC10000}"/>
    <cellStyle name="货币 2 8 2 3 4" xfId="3875" xr:uid="{00000000-0005-0000-0000-0000530F0000}"/>
    <cellStyle name="货币 2 8 2 3 5" xfId="49422" xr:uid="{00000000-0005-0000-0000-00003EC10000}"/>
    <cellStyle name="货币 2 8 2 3 6" xfId="49423" xr:uid="{00000000-0005-0000-0000-00003FC10000}"/>
    <cellStyle name="货币 2 8 2 3 7" xfId="49424" xr:uid="{00000000-0005-0000-0000-000040C10000}"/>
    <cellStyle name="货币 2 8 2 3 8" xfId="49425" xr:uid="{00000000-0005-0000-0000-000041C10000}"/>
    <cellStyle name="货币 2 8 2 3 9" xfId="49426" xr:uid="{00000000-0005-0000-0000-000042C10000}"/>
    <cellStyle name="货币 2 8 2 4" xfId="49427" xr:uid="{00000000-0005-0000-0000-000043C10000}"/>
    <cellStyle name="货币 2 8 2 4 10" xfId="33045" xr:uid="{00000000-0005-0000-0000-000045810000}"/>
    <cellStyle name="货币 2 8 2 4 2" xfId="33005" xr:uid="{00000000-0005-0000-0000-00001D810000}"/>
    <cellStyle name="货币 2 8 2 4 2 2" xfId="36716" xr:uid="{00000000-0005-0000-0000-00009C8F0000}"/>
    <cellStyle name="货币 2 8 2 4 2 2 2" xfId="33763" xr:uid="{00000000-0005-0000-0000-000013840000}"/>
    <cellStyle name="货币 2 8 2 4 2 3" xfId="36718" xr:uid="{00000000-0005-0000-0000-00009E8F0000}"/>
    <cellStyle name="货币 2 8 2 4 2 4" xfId="36720" xr:uid="{00000000-0005-0000-0000-0000A08F0000}"/>
    <cellStyle name="货币 2 8 2 4 2 5" xfId="49428" xr:uid="{00000000-0005-0000-0000-000044C10000}"/>
    <cellStyle name="货币 2 8 2 4 3" xfId="33008" xr:uid="{00000000-0005-0000-0000-000020810000}"/>
    <cellStyle name="货币 2 8 2 4 3 2" xfId="49429" xr:uid="{00000000-0005-0000-0000-000045C10000}"/>
    <cellStyle name="货币 2 8 2 4 4" xfId="3883" xr:uid="{00000000-0005-0000-0000-00005B0F0000}"/>
    <cellStyle name="货币 2 8 2 4 5" xfId="49430" xr:uid="{00000000-0005-0000-0000-000046C10000}"/>
    <cellStyle name="货币 2 8 2 4 6" xfId="49431" xr:uid="{00000000-0005-0000-0000-000047C10000}"/>
    <cellStyle name="货币 2 8 2 4 7" xfId="49432" xr:uid="{00000000-0005-0000-0000-000048C10000}"/>
    <cellStyle name="货币 2 8 2 4 8" xfId="49433" xr:uid="{00000000-0005-0000-0000-000049C10000}"/>
    <cellStyle name="货币 2 8 2 4 9" xfId="49434" xr:uid="{00000000-0005-0000-0000-00004AC10000}"/>
    <cellStyle name="货币 2 8 2 5" xfId="49435" xr:uid="{00000000-0005-0000-0000-00004BC10000}"/>
    <cellStyle name="货币 2 8 2 5 10" xfId="49436" xr:uid="{00000000-0005-0000-0000-00004CC10000}"/>
    <cellStyle name="货币 2 8 2 5 2" xfId="49437" xr:uid="{00000000-0005-0000-0000-00004DC10000}"/>
    <cellStyle name="货币 2 8 2 5 2 2" xfId="39714" xr:uid="{00000000-0005-0000-0000-0000529B0000}"/>
    <cellStyle name="货币 2 8 2 5 2 2 2" xfId="49438" xr:uid="{00000000-0005-0000-0000-00004EC10000}"/>
    <cellStyle name="货币 2 8 2 5 2 3" xfId="49439" xr:uid="{00000000-0005-0000-0000-00004FC10000}"/>
    <cellStyle name="货币 2 8 2 5 2 4" xfId="49440" xr:uid="{00000000-0005-0000-0000-000050C10000}"/>
    <cellStyle name="货币 2 8 2 5 2 5" xfId="49441" xr:uid="{00000000-0005-0000-0000-000051C10000}"/>
    <cellStyle name="货币 2 8 2 5 3" xfId="49442" xr:uid="{00000000-0005-0000-0000-000052C10000}"/>
    <cellStyle name="货币 2 8 2 5 3 2" xfId="49443" xr:uid="{00000000-0005-0000-0000-000053C10000}"/>
    <cellStyle name="货币 2 8 2 5 4" xfId="1850" xr:uid="{00000000-0005-0000-0000-00006A070000}"/>
    <cellStyle name="货币 2 8 2 5 5" xfId="39690" xr:uid="{00000000-0005-0000-0000-00003A9B0000}"/>
    <cellStyle name="货币 2 8 2 5 6" xfId="39692" xr:uid="{00000000-0005-0000-0000-00003C9B0000}"/>
    <cellStyle name="货币 2 8 2 5 7" xfId="39694" xr:uid="{00000000-0005-0000-0000-00003E9B0000}"/>
    <cellStyle name="货币 2 8 2 5 8" xfId="39696" xr:uid="{00000000-0005-0000-0000-0000409B0000}"/>
    <cellStyle name="货币 2 8 2 5 9" xfId="39698" xr:uid="{00000000-0005-0000-0000-0000429B0000}"/>
    <cellStyle name="货币 2 8 2 6" xfId="49444" xr:uid="{00000000-0005-0000-0000-000054C10000}"/>
    <cellStyle name="货币 2 8 2 6 2" xfId="49445" xr:uid="{00000000-0005-0000-0000-000055C10000}"/>
    <cellStyle name="货币 2 8 2 6 2 2" xfId="49446" xr:uid="{00000000-0005-0000-0000-000056C10000}"/>
    <cellStyle name="货币 2 8 2 6 3" xfId="49447" xr:uid="{00000000-0005-0000-0000-000057C10000}"/>
    <cellStyle name="货币 2 8 2 6 4" xfId="39008" xr:uid="{00000000-0005-0000-0000-000090980000}"/>
    <cellStyle name="货币 2 8 2 6 5" xfId="39010" xr:uid="{00000000-0005-0000-0000-000092980000}"/>
    <cellStyle name="货币 2 8 2 6 6" xfId="39013" xr:uid="{00000000-0005-0000-0000-000095980000}"/>
    <cellStyle name="货币 2 8 2 6 7" xfId="39016" xr:uid="{00000000-0005-0000-0000-000098980000}"/>
    <cellStyle name="货币 2 8 2 6 8" xfId="39701" xr:uid="{00000000-0005-0000-0000-0000459B0000}"/>
    <cellStyle name="货币 2 8 2 6 9" xfId="39703" xr:uid="{00000000-0005-0000-0000-0000479B0000}"/>
    <cellStyle name="货币 2 8 2 7" xfId="49448" xr:uid="{00000000-0005-0000-0000-000058C10000}"/>
    <cellStyle name="货币 2 8 2 7 2" xfId="23068" xr:uid="{00000000-0005-0000-0000-00004C5A0000}"/>
    <cellStyle name="货币 2 8 2 8" xfId="49449" xr:uid="{00000000-0005-0000-0000-000059C10000}"/>
    <cellStyle name="货币 2 8 2 9" xfId="49450" xr:uid="{00000000-0005-0000-0000-00005AC10000}"/>
    <cellStyle name="货币 2 8 20" xfId="47409" xr:uid="{00000000-0005-0000-0000-000061B90000}"/>
    <cellStyle name="货币 2 8 21" xfId="49389" xr:uid="{00000000-0005-0000-0000-00001DC10000}"/>
    <cellStyle name="货币 2 8 22" xfId="49391" xr:uid="{00000000-0005-0000-0000-00001FC10000}"/>
    <cellStyle name="货币 2 8 23" xfId="49393" xr:uid="{00000000-0005-0000-0000-000021C10000}"/>
    <cellStyle name="货币 2 8 3" xfId="47412" xr:uid="{00000000-0005-0000-0000-000064B90000}"/>
    <cellStyle name="货币 2 8 3 10" xfId="49451" xr:uid="{00000000-0005-0000-0000-00005BC10000}"/>
    <cellStyle name="货币 2 8 3 11" xfId="49452" xr:uid="{00000000-0005-0000-0000-00005CC10000}"/>
    <cellStyle name="货币 2 8 3 12" xfId="49453" xr:uid="{00000000-0005-0000-0000-00005DC10000}"/>
    <cellStyle name="货币 2 8 3 13" xfId="49454" xr:uid="{00000000-0005-0000-0000-00005EC10000}"/>
    <cellStyle name="货币 2 8 3 14" xfId="49455" xr:uid="{00000000-0005-0000-0000-00005FC10000}"/>
    <cellStyle name="货币 2 8 3 15" xfId="49456" xr:uid="{00000000-0005-0000-0000-000060C10000}"/>
    <cellStyle name="货币 2 8 3 16" xfId="49457" xr:uid="{00000000-0005-0000-0000-000061C10000}"/>
    <cellStyle name="货币 2 8 3 17" xfId="39774" xr:uid="{00000000-0005-0000-0000-00008E9B0000}"/>
    <cellStyle name="货币 2 8 3 18" xfId="27877" xr:uid="{00000000-0005-0000-0000-0000156D0000}"/>
    <cellStyle name="货币 2 8 3 2" xfId="42296" xr:uid="{00000000-0005-0000-0000-000068A50000}"/>
    <cellStyle name="货币 2 8 3 2 10" xfId="36798" xr:uid="{00000000-0005-0000-0000-0000EE8F0000}"/>
    <cellStyle name="货币 2 8 3 2 2" xfId="17903" xr:uid="{00000000-0005-0000-0000-00001F460000}"/>
    <cellStyle name="货币 2 8 3 2 2 2" xfId="29866" xr:uid="{00000000-0005-0000-0000-0000DA740000}"/>
    <cellStyle name="货币 2 8 3 2 3" xfId="17907" xr:uid="{00000000-0005-0000-0000-000023460000}"/>
    <cellStyle name="货币 2 8 3 2 4" xfId="49459" xr:uid="{00000000-0005-0000-0000-000063C10000}"/>
    <cellStyle name="货币 2 8 3 2 5" xfId="49460" xr:uid="{00000000-0005-0000-0000-000064C10000}"/>
    <cellStyle name="货币 2 8 3 2 6" xfId="49461" xr:uid="{00000000-0005-0000-0000-000065C10000}"/>
    <cellStyle name="货币 2 8 3 2 7" xfId="49462" xr:uid="{00000000-0005-0000-0000-000066C10000}"/>
    <cellStyle name="货币 2 8 3 2 8" xfId="49463" xr:uid="{00000000-0005-0000-0000-000067C10000}"/>
    <cellStyle name="货币 2 8 3 2 9" xfId="49464" xr:uid="{00000000-0005-0000-0000-000068C10000}"/>
    <cellStyle name="货币 2 8 3 3" xfId="47414" xr:uid="{00000000-0005-0000-0000-000066B90000}"/>
    <cellStyle name="货币 2 8 3 3 2" xfId="17936" xr:uid="{00000000-0005-0000-0000-000040460000}"/>
    <cellStyle name="货币 2 8 3 3 3" xfId="17938" xr:uid="{00000000-0005-0000-0000-000042460000}"/>
    <cellStyle name="货币 2 8 3 3 4" xfId="49465" xr:uid="{00000000-0005-0000-0000-000069C10000}"/>
    <cellStyle name="货币 2 8 3 3 5" xfId="49466" xr:uid="{00000000-0005-0000-0000-00006AC10000}"/>
    <cellStyle name="货币 2 8 3 3 6" xfId="49467" xr:uid="{00000000-0005-0000-0000-00006BC10000}"/>
    <cellStyle name="货币 2 8 3 4" xfId="47416" xr:uid="{00000000-0005-0000-0000-000068B90000}"/>
    <cellStyle name="货币 2 8 3 4 2" xfId="17952" xr:uid="{00000000-0005-0000-0000-000050460000}"/>
    <cellStyle name="货币 2 8 3 4 3" xfId="17955" xr:uid="{00000000-0005-0000-0000-000053460000}"/>
    <cellStyle name="货币 2 8 3 4 4" xfId="49468" xr:uid="{00000000-0005-0000-0000-00006CC10000}"/>
    <cellStyle name="货币 2 8 3 4 5" xfId="49469" xr:uid="{00000000-0005-0000-0000-00006DC10000}"/>
    <cellStyle name="货币 2 8 3 4 6" xfId="49470" xr:uid="{00000000-0005-0000-0000-00006EC10000}"/>
    <cellStyle name="货币 2 8 3 5" xfId="47418" xr:uid="{00000000-0005-0000-0000-00006AB90000}"/>
    <cellStyle name="货币 2 8 3 5 2" xfId="17966" xr:uid="{00000000-0005-0000-0000-00005E460000}"/>
    <cellStyle name="货币 2 8 3 5 3" xfId="17968" xr:uid="{00000000-0005-0000-0000-000060460000}"/>
    <cellStyle name="货币 2 8 3 5 4" xfId="49471" xr:uid="{00000000-0005-0000-0000-00006FC10000}"/>
    <cellStyle name="货币 2 8 3 5 5" xfId="49472" xr:uid="{00000000-0005-0000-0000-000070C10000}"/>
    <cellStyle name="货币 2 8 3 5 6" xfId="49473" xr:uid="{00000000-0005-0000-0000-000071C10000}"/>
    <cellStyle name="货币 2 8 3 6" xfId="49474" xr:uid="{00000000-0005-0000-0000-000072C10000}"/>
    <cellStyle name="货币 2 8 3 6 2" xfId="49475" xr:uid="{00000000-0005-0000-0000-000073C10000}"/>
    <cellStyle name="货币 2 8 3 6 3" xfId="49476" xr:uid="{00000000-0005-0000-0000-000074C10000}"/>
    <cellStyle name="货币 2 8 3 6 4" xfId="5034" xr:uid="{00000000-0005-0000-0000-0000DA130000}"/>
    <cellStyle name="货币 2 8 3 6 5" xfId="39031" xr:uid="{00000000-0005-0000-0000-0000A7980000}"/>
    <cellStyle name="货币 2 8 3 6 6" xfId="29327" xr:uid="{00000000-0005-0000-0000-0000BF720000}"/>
    <cellStyle name="货币 2 8 3 7" xfId="49477" xr:uid="{00000000-0005-0000-0000-000075C10000}"/>
    <cellStyle name="货币 2 8 3 8" xfId="49478" xr:uid="{00000000-0005-0000-0000-000076C10000}"/>
    <cellStyle name="货币 2 8 3 9" xfId="49479" xr:uid="{00000000-0005-0000-0000-000077C10000}"/>
    <cellStyle name="货币 2 8 4" xfId="47420" xr:uid="{00000000-0005-0000-0000-00006CB90000}"/>
    <cellStyle name="货币 2 8 4 10" xfId="32928" xr:uid="{00000000-0005-0000-0000-0000D0800000}"/>
    <cellStyle name="货币 2 8 4 11" xfId="32931" xr:uid="{00000000-0005-0000-0000-0000D3800000}"/>
    <cellStyle name="货币 2 8 4 12" xfId="32936" xr:uid="{00000000-0005-0000-0000-0000D8800000}"/>
    <cellStyle name="货币 2 8 4 13" xfId="32939" xr:uid="{00000000-0005-0000-0000-0000DB800000}"/>
    <cellStyle name="货币 2 8 4 14" xfId="32942" xr:uid="{00000000-0005-0000-0000-0000DE800000}"/>
    <cellStyle name="货币 2 8 4 15" xfId="49480" xr:uid="{00000000-0005-0000-0000-000078C10000}"/>
    <cellStyle name="货币 2 8 4 2" xfId="32884" xr:uid="{00000000-0005-0000-0000-0000A4800000}"/>
    <cellStyle name="货币 2 8 4 2 2" xfId="49481" xr:uid="{00000000-0005-0000-0000-000079C10000}"/>
    <cellStyle name="货币 2 8 4 2 2 2" xfId="26560" xr:uid="{00000000-0005-0000-0000-0000F0670000}"/>
    <cellStyle name="货币 2 8 4 2 3" xfId="49482" xr:uid="{00000000-0005-0000-0000-00007AC10000}"/>
    <cellStyle name="货币 2 8 4 2 4" xfId="49483" xr:uid="{00000000-0005-0000-0000-00007BC10000}"/>
    <cellStyle name="货币 2 8 4 2 5" xfId="49484" xr:uid="{00000000-0005-0000-0000-00007CC10000}"/>
    <cellStyle name="货币 2 8 4 2 6" xfId="49485" xr:uid="{00000000-0005-0000-0000-00007DC10000}"/>
    <cellStyle name="货币 2 8 4 2 7" xfId="49486" xr:uid="{00000000-0005-0000-0000-00007EC10000}"/>
    <cellStyle name="货币 2 8 4 2 8" xfId="49487" xr:uid="{00000000-0005-0000-0000-00007FC10000}"/>
    <cellStyle name="货币 2 8 4 2 9" xfId="49488" xr:uid="{00000000-0005-0000-0000-000080C10000}"/>
    <cellStyle name="货币 2 8 4 3" xfId="32887" xr:uid="{00000000-0005-0000-0000-0000A7800000}"/>
    <cellStyle name="货币 2 8 4 3 2" xfId="49489" xr:uid="{00000000-0005-0000-0000-000081C10000}"/>
    <cellStyle name="货币 2 8 4 3 3" xfId="49490" xr:uid="{00000000-0005-0000-0000-000082C10000}"/>
    <cellStyle name="货币 2 8 4 3 4" xfId="49491" xr:uid="{00000000-0005-0000-0000-000083C10000}"/>
    <cellStyle name="货币 2 8 4 3 5" xfId="49492" xr:uid="{00000000-0005-0000-0000-000084C10000}"/>
    <cellStyle name="货币 2 8 4 3 6" xfId="49493" xr:uid="{00000000-0005-0000-0000-000085C10000}"/>
    <cellStyle name="货币 2 8 4 4" xfId="21510" xr:uid="{00000000-0005-0000-0000-000036540000}"/>
    <cellStyle name="货币 2 8 4 4 2" xfId="44792" xr:uid="{00000000-0005-0000-0000-000028AF0000}"/>
    <cellStyle name="货币 2 8 4 5" xfId="21515" xr:uid="{00000000-0005-0000-0000-00003B540000}"/>
    <cellStyle name="货币 2 8 4 6" xfId="1518" xr:uid="{00000000-0005-0000-0000-00001E060000}"/>
    <cellStyle name="货币 2 8 4 7" xfId="9638" xr:uid="{00000000-0005-0000-0000-0000D6250000}"/>
    <cellStyle name="货币 2 8 4 8" xfId="9640" xr:uid="{00000000-0005-0000-0000-0000D8250000}"/>
    <cellStyle name="货币 2 8 4 9" xfId="3795" xr:uid="{00000000-0005-0000-0000-0000030F0000}"/>
    <cellStyle name="货币 2 8 5" xfId="47422" xr:uid="{00000000-0005-0000-0000-00006EB90000}"/>
    <cellStyle name="货币 2 8 5 10" xfId="44700" xr:uid="{00000000-0005-0000-0000-0000CCAE0000}"/>
    <cellStyle name="货币 2 8 5 11" xfId="44702" xr:uid="{00000000-0005-0000-0000-0000CEAE0000}"/>
    <cellStyle name="货币 2 8 5 12" xfId="49494" xr:uid="{00000000-0005-0000-0000-000086C10000}"/>
    <cellStyle name="货币 2 8 5 13" xfId="49495" xr:uid="{00000000-0005-0000-0000-000087C10000}"/>
    <cellStyle name="货币 2 8 5 14" xfId="49496" xr:uid="{00000000-0005-0000-0000-000088C10000}"/>
    <cellStyle name="货币 2 8 5 2" xfId="49497" xr:uid="{00000000-0005-0000-0000-000089C10000}"/>
    <cellStyle name="货币 2 8 5 2 2" xfId="49498" xr:uid="{00000000-0005-0000-0000-00008AC10000}"/>
    <cellStyle name="货币 2 8 5 2 2 2" xfId="26795" xr:uid="{00000000-0005-0000-0000-0000DB680000}"/>
    <cellStyle name="货币 2 8 5 2 3" xfId="49499" xr:uid="{00000000-0005-0000-0000-00008BC10000}"/>
    <cellStyle name="货币 2 8 5 2 4" xfId="49500" xr:uid="{00000000-0005-0000-0000-00008CC10000}"/>
    <cellStyle name="货币 2 8 5 2 5" xfId="49501" xr:uid="{00000000-0005-0000-0000-00008DC10000}"/>
    <cellStyle name="货币 2 8 5 2 6" xfId="39264" xr:uid="{00000000-0005-0000-0000-000090990000}"/>
    <cellStyle name="货币 2 8 5 2 7" xfId="39266" xr:uid="{00000000-0005-0000-0000-000092990000}"/>
    <cellStyle name="货币 2 8 5 2 8" xfId="39268" xr:uid="{00000000-0005-0000-0000-000094990000}"/>
    <cellStyle name="货币 2 8 5 2 9" xfId="39270" xr:uid="{00000000-0005-0000-0000-000096990000}"/>
    <cellStyle name="货币 2 8 5 3" xfId="49502" xr:uid="{00000000-0005-0000-0000-00008EC10000}"/>
    <cellStyle name="货币 2 8 5 3 2" xfId="49503" xr:uid="{00000000-0005-0000-0000-00008FC10000}"/>
    <cellStyle name="货币 2 8 5 3 3" xfId="49504" xr:uid="{00000000-0005-0000-0000-000090C10000}"/>
    <cellStyle name="货币 2 8 5 3 4" xfId="49505" xr:uid="{00000000-0005-0000-0000-000091C10000}"/>
    <cellStyle name="货币 2 8 5 3 5" xfId="49506" xr:uid="{00000000-0005-0000-0000-000092C10000}"/>
    <cellStyle name="货币 2 8 5 3 6" xfId="49507" xr:uid="{00000000-0005-0000-0000-000093C10000}"/>
    <cellStyle name="货币 2 8 5 4" xfId="49508" xr:uid="{00000000-0005-0000-0000-000094C10000}"/>
    <cellStyle name="货币 2 8 5 4 2" xfId="44806" xr:uid="{00000000-0005-0000-0000-000036AF0000}"/>
    <cellStyle name="货币 2 8 5 5" xfId="49509" xr:uid="{00000000-0005-0000-0000-000095C10000}"/>
    <cellStyle name="货币 2 8 5 6" xfId="49510" xr:uid="{00000000-0005-0000-0000-000096C10000}"/>
    <cellStyle name="货币 2 8 5 7" xfId="49511" xr:uid="{00000000-0005-0000-0000-000097C10000}"/>
    <cellStyle name="货币 2 8 5 8" xfId="49512" xr:uid="{00000000-0005-0000-0000-000098C10000}"/>
    <cellStyle name="货币 2 8 5 9" xfId="3820" xr:uid="{00000000-0005-0000-0000-00001C0F0000}"/>
    <cellStyle name="货币 2 8 6" xfId="47424" xr:uid="{00000000-0005-0000-0000-000070B90000}"/>
    <cellStyle name="货币 2 8 6 10" xfId="30377" xr:uid="{00000000-0005-0000-0000-0000D9760000}"/>
    <cellStyle name="货币 2 8 6 11" xfId="25017" xr:uid="{00000000-0005-0000-0000-0000E9610000}"/>
    <cellStyle name="货币 2 8 6 12" xfId="25020" xr:uid="{00000000-0005-0000-0000-0000EC610000}"/>
    <cellStyle name="货币 2 8 6 2" xfId="49513" xr:uid="{00000000-0005-0000-0000-000099C10000}"/>
    <cellStyle name="货币 2 8 6 2 2" xfId="49514" xr:uid="{00000000-0005-0000-0000-00009AC10000}"/>
    <cellStyle name="货币 2 8 6 2 2 2" xfId="27066" xr:uid="{00000000-0005-0000-0000-0000EA690000}"/>
    <cellStyle name="货币 2 8 6 2 3" xfId="49515" xr:uid="{00000000-0005-0000-0000-00009BC10000}"/>
    <cellStyle name="货币 2 8 6 2 4" xfId="49516" xr:uid="{00000000-0005-0000-0000-00009CC10000}"/>
    <cellStyle name="货币 2 8 6 2 5" xfId="49517" xr:uid="{00000000-0005-0000-0000-00009DC10000}"/>
    <cellStyle name="货币 2 8 6 2 6" xfId="49518" xr:uid="{00000000-0005-0000-0000-00009EC10000}"/>
    <cellStyle name="货币 2 8 6 2 7" xfId="49519" xr:uid="{00000000-0005-0000-0000-00009FC10000}"/>
    <cellStyle name="货币 2 8 6 2 8" xfId="49520" xr:uid="{00000000-0005-0000-0000-0000A0C10000}"/>
    <cellStyle name="货币 2 8 6 2 9" xfId="49521" xr:uid="{00000000-0005-0000-0000-0000A1C10000}"/>
    <cellStyle name="货币 2 8 6 3" xfId="49522" xr:uid="{00000000-0005-0000-0000-0000A2C10000}"/>
    <cellStyle name="货币 2 8 6 3 2" xfId="27094" xr:uid="{00000000-0005-0000-0000-0000066A0000}"/>
    <cellStyle name="货币 2 8 6 3 3" xfId="2381" xr:uid="{00000000-0005-0000-0000-00007D090000}"/>
    <cellStyle name="货币 2 8 6 3 4" xfId="7469" xr:uid="{00000000-0005-0000-0000-00005D1D0000}"/>
    <cellStyle name="货币 2 8 6 3 5" xfId="49523" xr:uid="{00000000-0005-0000-0000-0000A3C10000}"/>
    <cellStyle name="货币 2 8 6 3 6" xfId="49524" xr:uid="{00000000-0005-0000-0000-0000A4C10000}"/>
    <cellStyle name="货币 2 8 6 4" xfId="49525" xr:uid="{00000000-0005-0000-0000-0000A5C10000}"/>
    <cellStyle name="货币 2 8 6 4 2" xfId="23818" xr:uid="{00000000-0005-0000-0000-00003A5D0000}"/>
    <cellStyle name="货币 2 8 6 5" xfId="49526" xr:uid="{00000000-0005-0000-0000-0000A6C10000}"/>
    <cellStyle name="货币 2 8 6 6" xfId="49527" xr:uid="{00000000-0005-0000-0000-0000A7C10000}"/>
    <cellStyle name="货币 2 8 6 7" xfId="49528" xr:uid="{00000000-0005-0000-0000-0000A8C10000}"/>
    <cellStyle name="货币 2 8 6 8" xfId="49529" xr:uid="{00000000-0005-0000-0000-0000A9C10000}"/>
    <cellStyle name="货币 2 8 6 9" xfId="3856" xr:uid="{00000000-0005-0000-0000-0000400F0000}"/>
    <cellStyle name="货币 2 8 7" xfId="47426" xr:uid="{00000000-0005-0000-0000-000072B90000}"/>
    <cellStyle name="货币 2 8 7 2" xfId="49530" xr:uid="{00000000-0005-0000-0000-0000AAC10000}"/>
    <cellStyle name="货币 2 8 7 2 2" xfId="49531" xr:uid="{00000000-0005-0000-0000-0000ABC10000}"/>
    <cellStyle name="货币 2 8 7 3" xfId="49532" xr:uid="{00000000-0005-0000-0000-0000ACC10000}"/>
    <cellStyle name="货币 2 8 7 4" xfId="49533" xr:uid="{00000000-0005-0000-0000-0000ADC10000}"/>
    <cellStyle name="货币 2 8 7 5" xfId="49534" xr:uid="{00000000-0005-0000-0000-0000AEC10000}"/>
    <cellStyle name="货币 2 8 7 6" xfId="49535" xr:uid="{00000000-0005-0000-0000-0000AFC10000}"/>
    <cellStyle name="货币 2 8 7 7" xfId="49406" xr:uid="{00000000-0005-0000-0000-00002EC10000}"/>
    <cellStyle name="货币 2 8 7 8" xfId="49409" xr:uid="{00000000-0005-0000-0000-000031C10000}"/>
    <cellStyle name="货币 2 8 7 9" xfId="3863" xr:uid="{00000000-0005-0000-0000-0000470F0000}"/>
    <cellStyle name="货币 2 8 8" xfId="47428" xr:uid="{00000000-0005-0000-0000-000074B90000}"/>
    <cellStyle name="货币 2 8 8 2" xfId="49536" xr:uid="{00000000-0005-0000-0000-0000B0C10000}"/>
    <cellStyle name="货币 2 8 8 3" xfId="49537" xr:uid="{00000000-0005-0000-0000-0000B1C10000}"/>
    <cellStyle name="货币 2 8 8 4" xfId="49538" xr:uid="{00000000-0005-0000-0000-0000B2C10000}"/>
    <cellStyle name="货币 2 8 8 5" xfId="49539" xr:uid="{00000000-0005-0000-0000-0000B3C10000}"/>
    <cellStyle name="货币 2 8 8 6" xfId="49540" xr:uid="{00000000-0005-0000-0000-0000B4C10000}"/>
    <cellStyle name="货币 2 8 9" xfId="47430" xr:uid="{00000000-0005-0000-0000-000076B90000}"/>
    <cellStyle name="货币 2 8 9 2" xfId="32990" xr:uid="{00000000-0005-0000-0000-00000E810000}"/>
    <cellStyle name="货币 2 8 9 3" xfId="32993" xr:uid="{00000000-0005-0000-0000-000011810000}"/>
    <cellStyle name="货币 2 8 9 4" xfId="32996" xr:uid="{00000000-0005-0000-0000-000014810000}"/>
    <cellStyle name="货币 2 8 9 5" xfId="32999" xr:uid="{00000000-0005-0000-0000-000017810000}"/>
    <cellStyle name="货币 2 8 9 6" xfId="33002" xr:uid="{00000000-0005-0000-0000-00001A810000}"/>
    <cellStyle name="货币 2 9" xfId="1217" xr:uid="{00000000-0005-0000-0000-0000F1040000}"/>
    <cellStyle name="货币 2 9 10" xfId="49541" xr:uid="{00000000-0005-0000-0000-0000B5C10000}"/>
    <cellStyle name="货币 2 9 10 2" xfId="28337" xr:uid="{00000000-0005-0000-0000-0000E16E0000}"/>
    <cellStyle name="货币 2 9 10 3" xfId="28340" xr:uid="{00000000-0005-0000-0000-0000E46E0000}"/>
    <cellStyle name="货币 2 9 10 4" xfId="28343" xr:uid="{00000000-0005-0000-0000-0000E76E0000}"/>
    <cellStyle name="货币 2 9 10 5" xfId="28346" xr:uid="{00000000-0005-0000-0000-0000EA6E0000}"/>
    <cellStyle name="货币 2 9 10 6" xfId="28349" xr:uid="{00000000-0005-0000-0000-0000ED6E0000}"/>
    <cellStyle name="货币 2 9 11" xfId="49542" xr:uid="{00000000-0005-0000-0000-0000B6C10000}"/>
    <cellStyle name="货币 2 9 11 2" xfId="49543" xr:uid="{00000000-0005-0000-0000-0000B7C10000}"/>
    <cellStyle name="货币 2 9 11 3" xfId="41733" xr:uid="{00000000-0005-0000-0000-000035A30000}"/>
    <cellStyle name="货币 2 9 11 4" xfId="38626" xr:uid="{00000000-0005-0000-0000-000012970000}"/>
    <cellStyle name="货币 2 9 11 5" xfId="38628" xr:uid="{00000000-0005-0000-0000-000014970000}"/>
    <cellStyle name="货币 2 9 11 6" xfId="38630" xr:uid="{00000000-0005-0000-0000-000016970000}"/>
    <cellStyle name="货币 2 9 12" xfId="49544" xr:uid="{00000000-0005-0000-0000-0000B8C10000}"/>
    <cellStyle name="货币 2 9 13" xfId="42307" xr:uid="{00000000-0005-0000-0000-000073A50000}"/>
    <cellStyle name="货币 2 9 14" xfId="49291" xr:uid="{00000000-0005-0000-0000-0000BBC00000}"/>
    <cellStyle name="货币 2 9 15" xfId="11851" xr:uid="{00000000-0005-0000-0000-00007B2E0000}"/>
    <cellStyle name="货币 2 9 16" xfId="13359" xr:uid="{00000000-0005-0000-0000-00005F340000}"/>
    <cellStyle name="货币 2 9 17" xfId="49546" xr:uid="{00000000-0005-0000-0000-0000BAC10000}"/>
    <cellStyle name="货币 2 9 18" xfId="39759" xr:uid="{00000000-0005-0000-0000-00007F9B0000}"/>
    <cellStyle name="货币 2 9 19" xfId="39766" xr:uid="{00000000-0005-0000-0000-0000869B0000}"/>
    <cellStyle name="货币 2 9 2" xfId="49547" xr:uid="{00000000-0005-0000-0000-0000BBC10000}"/>
    <cellStyle name="货币 2 9 2 10" xfId="49548" xr:uid="{00000000-0005-0000-0000-0000BCC10000}"/>
    <cellStyle name="货币 2 9 2 11" xfId="49549" xr:uid="{00000000-0005-0000-0000-0000BDC10000}"/>
    <cellStyle name="货币 2 9 2 12" xfId="49550" xr:uid="{00000000-0005-0000-0000-0000BEC10000}"/>
    <cellStyle name="货币 2 9 2 13" xfId="49551" xr:uid="{00000000-0005-0000-0000-0000BFC10000}"/>
    <cellStyle name="货币 2 9 2 14" xfId="49552" xr:uid="{00000000-0005-0000-0000-0000C0C10000}"/>
    <cellStyle name="货币 2 9 2 15" xfId="49553" xr:uid="{00000000-0005-0000-0000-0000C1C10000}"/>
    <cellStyle name="货币 2 9 2 16" xfId="49554" xr:uid="{00000000-0005-0000-0000-0000C2C10000}"/>
    <cellStyle name="货币 2 9 2 17" xfId="49555" xr:uid="{00000000-0005-0000-0000-0000C3C10000}"/>
    <cellStyle name="货币 2 9 2 18" xfId="49556" xr:uid="{00000000-0005-0000-0000-0000C4C10000}"/>
    <cellStyle name="货币 2 9 2 2" xfId="1769" xr:uid="{00000000-0005-0000-0000-000019070000}"/>
    <cellStyle name="货币 2 9 2 2 10" xfId="30472" xr:uid="{00000000-0005-0000-0000-000038770000}"/>
    <cellStyle name="货币 2 9 2 2 11" xfId="30477" xr:uid="{00000000-0005-0000-0000-00003D770000}"/>
    <cellStyle name="货币 2 9 2 2 12" xfId="30484" xr:uid="{00000000-0005-0000-0000-000044770000}"/>
    <cellStyle name="货币 2 9 2 2 2" xfId="49557" xr:uid="{00000000-0005-0000-0000-0000C5C10000}"/>
    <cellStyle name="货币 2 9 2 2 2 2" xfId="49558" xr:uid="{00000000-0005-0000-0000-0000C6C10000}"/>
    <cellStyle name="货币 2 9 2 2 2 2 2" xfId="49559" xr:uid="{00000000-0005-0000-0000-0000C7C10000}"/>
    <cellStyle name="货币 2 9 2 2 2 3" xfId="6059" xr:uid="{00000000-0005-0000-0000-0000DB170000}"/>
    <cellStyle name="货币 2 9 2 2 2 4" xfId="30273" xr:uid="{00000000-0005-0000-0000-000071760000}"/>
    <cellStyle name="货币 2 9 2 2 2 5" xfId="49560" xr:uid="{00000000-0005-0000-0000-0000C8C10000}"/>
    <cellStyle name="货币 2 9 2 2 3" xfId="49561" xr:uid="{00000000-0005-0000-0000-0000C9C10000}"/>
    <cellStyle name="货币 2 9 2 2 3 2" xfId="49562" xr:uid="{00000000-0005-0000-0000-0000CAC10000}"/>
    <cellStyle name="货币 2 9 2 2 4" xfId="49563" xr:uid="{00000000-0005-0000-0000-0000CBC10000}"/>
    <cellStyle name="货币 2 9 2 2 5" xfId="49564" xr:uid="{00000000-0005-0000-0000-0000CCC10000}"/>
    <cellStyle name="货币 2 9 2 2 6" xfId="49565" xr:uid="{00000000-0005-0000-0000-0000CDC10000}"/>
    <cellStyle name="货币 2 9 2 2 7" xfId="49566" xr:uid="{00000000-0005-0000-0000-0000CEC10000}"/>
    <cellStyle name="货币 2 9 2 2 8" xfId="49567" xr:uid="{00000000-0005-0000-0000-0000CFC10000}"/>
    <cellStyle name="货币 2 9 2 2 9" xfId="49568" xr:uid="{00000000-0005-0000-0000-0000D0C10000}"/>
    <cellStyle name="货币 2 9 2 3" xfId="41" xr:uid="{00000000-0005-0000-0000-00002C000000}"/>
    <cellStyle name="货币 2 9 2 3 10" xfId="49569" xr:uid="{00000000-0005-0000-0000-0000D1C10000}"/>
    <cellStyle name="货币 2 9 2 3 11" xfId="49570" xr:uid="{00000000-0005-0000-0000-0000D2C10000}"/>
    <cellStyle name="货币 2 9 2 3 12" xfId="44786" xr:uid="{00000000-0005-0000-0000-000022AF0000}"/>
    <cellStyle name="货币 2 9 2 3 2" xfId="34798" xr:uid="{00000000-0005-0000-0000-00001E880000}"/>
    <cellStyle name="货币 2 9 2 3 2 2" xfId="34801" xr:uid="{00000000-0005-0000-0000-000021880000}"/>
    <cellStyle name="货币 2 9 2 3 2 2 2" xfId="34804" xr:uid="{00000000-0005-0000-0000-000024880000}"/>
    <cellStyle name="货币 2 9 2 3 2 3" xfId="34812" xr:uid="{00000000-0005-0000-0000-00002C880000}"/>
    <cellStyle name="货币 2 9 2 3 2 4" xfId="34815" xr:uid="{00000000-0005-0000-0000-00002F880000}"/>
    <cellStyle name="货币 2 9 2 3 2 5" xfId="34817" xr:uid="{00000000-0005-0000-0000-000031880000}"/>
    <cellStyle name="货币 2 9 2 3 3" xfId="34823" xr:uid="{00000000-0005-0000-0000-000037880000}"/>
    <cellStyle name="货币 2 9 2 3 3 2" xfId="34825" xr:uid="{00000000-0005-0000-0000-000039880000}"/>
    <cellStyle name="货币 2 9 2 3 4" xfId="34832" xr:uid="{00000000-0005-0000-0000-000040880000}"/>
    <cellStyle name="货币 2 9 2 3 5" xfId="26346" xr:uid="{00000000-0005-0000-0000-00001A670000}"/>
    <cellStyle name="货币 2 9 2 3 6" xfId="26353" xr:uid="{00000000-0005-0000-0000-000021670000}"/>
    <cellStyle name="货币 2 9 2 3 7" xfId="26360" xr:uid="{00000000-0005-0000-0000-000028670000}"/>
    <cellStyle name="货币 2 9 2 3 8" xfId="49571" xr:uid="{00000000-0005-0000-0000-0000D3C10000}"/>
    <cellStyle name="货币 2 9 2 3 9" xfId="49572" xr:uid="{00000000-0005-0000-0000-0000D4C10000}"/>
    <cellStyle name="货币 2 9 2 4" xfId="49573" xr:uid="{00000000-0005-0000-0000-0000D5C10000}"/>
    <cellStyle name="货币 2 9 2 4 10" xfId="4851" xr:uid="{00000000-0005-0000-0000-000023130000}"/>
    <cellStyle name="货币 2 9 2 4 2" xfId="34853" xr:uid="{00000000-0005-0000-0000-000055880000}"/>
    <cellStyle name="货币 2 9 2 4 2 2" xfId="34856" xr:uid="{00000000-0005-0000-0000-000058880000}"/>
    <cellStyle name="货币 2 9 2 4 2 2 2" xfId="40069" xr:uid="{00000000-0005-0000-0000-0000B59C0000}"/>
    <cellStyle name="货币 2 9 2 4 2 3" xfId="30353" xr:uid="{00000000-0005-0000-0000-0000C1760000}"/>
    <cellStyle name="货币 2 9 2 4 2 4" xfId="30356" xr:uid="{00000000-0005-0000-0000-0000C4760000}"/>
    <cellStyle name="货币 2 9 2 4 2 5" xfId="30361" xr:uid="{00000000-0005-0000-0000-0000C9760000}"/>
    <cellStyle name="货币 2 9 2 4 3" xfId="34858" xr:uid="{00000000-0005-0000-0000-00005A880000}"/>
    <cellStyle name="货币 2 9 2 4 3 2" xfId="34861" xr:uid="{00000000-0005-0000-0000-00005D880000}"/>
    <cellStyle name="货币 2 9 2 4 4" xfId="34863" xr:uid="{00000000-0005-0000-0000-00005F880000}"/>
    <cellStyle name="货币 2 9 2 4 5" xfId="26368" xr:uid="{00000000-0005-0000-0000-000030670000}"/>
    <cellStyle name="货币 2 9 2 4 6" xfId="26372" xr:uid="{00000000-0005-0000-0000-000034670000}"/>
    <cellStyle name="货币 2 9 2 4 7" xfId="274" xr:uid="{00000000-0005-0000-0000-000024010000}"/>
    <cellStyle name="货币 2 9 2 4 8" xfId="49574" xr:uid="{00000000-0005-0000-0000-0000D6C10000}"/>
    <cellStyle name="货币 2 9 2 4 9" xfId="49575" xr:uid="{00000000-0005-0000-0000-0000D7C10000}"/>
    <cellStyle name="货币 2 9 2 5" xfId="49576" xr:uid="{00000000-0005-0000-0000-0000D8C10000}"/>
    <cellStyle name="货币 2 9 2 5 10" xfId="2413" xr:uid="{00000000-0005-0000-0000-00009D090000}"/>
    <cellStyle name="货币 2 9 2 5 2" xfId="34875" xr:uid="{00000000-0005-0000-0000-00006B880000}"/>
    <cellStyle name="货币 2 9 2 5 2 2" xfId="34878" xr:uid="{00000000-0005-0000-0000-00006E880000}"/>
    <cellStyle name="货币 2 9 2 5 2 2 2" xfId="26459" xr:uid="{00000000-0005-0000-0000-00008B670000}"/>
    <cellStyle name="货币 2 9 2 5 2 3" xfId="30393" xr:uid="{00000000-0005-0000-0000-0000E9760000}"/>
    <cellStyle name="货币 2 9 2 5 2 4" xfId="30395" xr:uid="{00000000-0005-0000-0000-0000EB760000}"/>
    <cellStyle name="货币 2 9 2 5 2 5" xfId="30397" xr:uid="{00000000-0005-0000-0000-0000ED760000}"/>
    <cellStyle name="货币 2 9 2 5 3" xfId="34880" xr:uid="{00000000-0005-0000-0000-000070880000}"/>
    <cellStyle name="货币 2 9 2 5 3 2" xfId="49577" xr:uid="{00000000-0005-0000-0000-0000D9C10000}"/>
    <cellStyle name="货币 2 9 2 5 4" xfId="34882" xr:uid="{00000000-0005-0000-0000-000072880000}"/>
    <cellStyle name="货币 2 9 2 5 5" xfId="26377" xr:uid="{00000000-0005-0000-0000-000039670000}"/>
    <cellStyle name="货币 2 9 2 5 6" xfId="23505" xr:uid="{00000000-0005-0000-0000-0000015C0000}"/>
    <cellStyle name="货币 2 9 2 5 7" xfId="23511" xr:uid="{00000000-0005-0000-0000-0000075C0000}"/>
    <cellStyle name="货币 2 9 2 5 8" xfId="49578" xr:uid="{00000000-0005-0000-0000-0000DAC10000}"/>
    <cellStyle name="货币 2 9 2 5 9" xfId="49579" xr:uid="{00000000-0005-0000-0000-0000DBC10000}"/>
    <cellStyle name="货币 2 9 2 6" xfId="49580" xr:uid="{00000000-0005-0000-0000-0000DCC10000}"/>
    <cellStyle name="货币 2 9 2 6 2" xfId="30757" xr:uid="{00000000-0005-0000-0000-000055780000}"/>
    <cellStyle name="货币 2 9 2 6 2 2" xfId="34913" xr:uid="{00000000-0005-0000-0000-000091880000}"/>
    <cellStyle name="货币 2 9 2 6 3" xfId="11177" xr:uid="{00000000-0005-0000-0000-0000D92B0000}"/>
    <cellStyle name="货币 2 9 2 6 4" xfId="30760" xr:uid="{00000000-0005-0000-0000-000058780000}"/>
    <cellStyle name="货币 2 9 2 6 5" xfId="26381" xr:uid="{00000000-0005-0000-0000-00003D670000}"/>
    <cellStyle name="货币 2 9 2 6 6" xfId="26386" xr:uid="{00000000-0005-0000-0000-000042670000}"/>
    <cellStyle name="货币 2 9 2 6 7" xfId="26391" xr:uid="{00000000-0005-0000-0000-000047670000}"/>
    <cellStyle name="货币 2 9 2 6 8" xfId="49581" xr:uid="{00000000-0005-0000-0000-0000DDC10000}"/>
    <cellStyle name="货币 2 9 2 6 9" xfId="49582" xr:uid="{00000000-0005-0000-0000-0000DEC10000}"/>
    <cellStyle name="货币 2 9 2 7" xfId="49583" xr:uid="{00000000-0005-0000-0000-0000DFC10000}"/>
    <cellStyle name="货币 2 9 2 7 2" xfId="34933" xr:uid="{00000000-0005-0000-0000-0000A5880000}"/>
    <cellStyle name="货币 2 9 2 8" xfId="49584" xr:uid="{00000000-0005-0000-0000-0000E0C10000}"/>
    <cellStyle name="货币 2 9 2 9" xfId="49585" xr:uid="{00000000-0005-0000-0000-0000E1C10000}"/>
    <cellStyle name="货币 2 9 20" xfId="11850" xr:uid="{00000000-0005-0000-0000-00007A2E0000}"/>
    <cellStyle name="货币 2 9 21" xfId="13358" xr:uid="{00000000-0005-0000-0000-00005E340000}"/>
    <cellStyle name="货币 2 9 22" xfId="49545" xr:uid="{00000000-0005-0000-0000-0000B9C10000}"/>
    <cellStyle name="货币 2 9 23" xfId="39758" xr:uid="{00000000-0005-0000-0000-00007E9B0000}"/>
    <cellStyle name="货币 2 9 3" xfId="47433" xr:uid="{00000000-0005-0000-0000-000079B90000}"/>
    <cellStyle name="货币 2 9 3 10" xfId="39686" xr:uid="{00000000-0005-0000-0000-0000369B0000}"/>
    <cellStyle name="货币 2 9 3 11" xfId="39881" xr:uid="{00000000-0005-0000-0000-0000F99B0000}"/>
    <cellStyle name="货币 2 9 3 12" xfId="39883" xr:uid="{00000000-0005-0000-0000-0000FB9B0000}"/>
    <cellStyle name="货币 2 9 3 13" xfId="49586" xr:uid="{00000000-0005-0000-0000-0000E2C10000}"/>
    <cellStyle name="货币 2 9 3 14" xfId="12036" xr:uid="{00000000-0005-0000-0000-0000342F0000}"/>
    <cellStyle name="货币 2 9 3 15" xfId="6280" xr:uid="{00000000-0005-0000-0000-0000B8180000}"/>
    <cellStyle name="货币 2 9 3 16" xfId="12039" xr:uid="{00000000-0005-0000-0000-0000372F0000}"/>
    <cellStyle name="货币 2 9 3 17" xfId="12042" xr:uid="{00000000-0005-0000-0000-00003A2F0000}"/>
    <cellStyle name="货币 2 9 3 18" xfId="12045" xr:uid="{00000000-0005-0000-0000-00003D2F0000}"/>
    <cellStyle name="货币 2 9 3 2" xfId="47435" xr:uid="{00000000-0005-0000-0000-00007BB90000}"/>
    <cellStyle name="货币 2 9 3 2 10" xfId="25184" xr:uid="{00000000-0005-0000-0000-000090620000}"/>
    <cellStyle name="货币 2 9 3 2 2" xfId="18366" xr:uid="{00000000-0005-0000-0000-0000EE470000}"/>
    <cellStyle name="货币 2 9 3 2 2 2" xfId="40334" xr:uid="{00000000-0005-0000-0000-0000BE9D0000}"/>
    <cellStyle name="货币 2 9 3 2 3" xfId="18368" xr:uid="{00000000-0005-0000-0000-0000F0470000}"/>
    <cellStyle name="货币 2 9 3 2 4" xfId="49587" xr:uid="{00000000-0005-0000-0000-0000E3C10000}"/>
    <cellStyle name="货币 2 9 3 2 5" xfId="49588" xr:uid="{00000000-0005-0000-0000-0000E4C10000}"/>
    <cellStyle name="货币 2 9 3 2 6" xfId="49589" xr:uid="{00000000-0005-0000-0000-0000E5C10000}"/>
    <cellStyle name="货币 2 9 3 2 7" xfId="40052" xr:uid="{00000000-0005-0000-0000-0000A49C0000}"/>
    <cellStyle name="货币 2 9 3 2 8" xfId="40134" xr:uid="{00000000-0005-0000-0000-0000F69C0000}"/>
    <cellStyle name="货币 2 9 3 2 9" xfId="40166" xr:uid="{00000000-0005-0000-0000-0000169D0000}"/>
    <cellStyle name="货币 2 9 3 3" xfId="49590" xr:uid="{00000000-0005-0000-0000-0000E6C10000}"/>
    <cellStyle name="货币 2 9 3 3 2" xfId="18402" xr:uid="{00000000-0005-0000-0000-000012480000}"/>
    <cellStyle name="货币 2 9 3 3 3" xfId="18407" xr:uid="{00000000-0005-0000-0000-000017480000}"/>
    <cellStyle name="货币 2 9 3 3 4" xfId="35032" xr:uid="{00000000-0005-0000-0000-000008890000}"/>
    <cellStyle name="货币 2 9 3 3 5" xfId="35040" xr:uid="{00000000-0005-0000-0000-000010890000}"/>
    <cellStyle name="货币 2 9 3 3 6" xfId="35044" xr:uid="{00000000-0005-0000-0000-000014890000}"/>
    <cellStyle name="货币 2 9 3 4" xfId="49591" xr:uid="{00000000-0005-0000-0000-0000E7C10000}"/>
    <cellStyle name="货币 2 9 3 4 2" xfId="18427" xr:uid="{00000000-0005-0000-0000-00002B480000}"/>
    <cellStyle name="货币 2 9 3 4 3" xfId="18430" xr:uid="{00000000-0005-0000-0000-00002E480000}"/>
    <cellStyle name="货币 2 9 3 4 4" xfId="35087" xr:uid="{00000000-0005-0000-0000-00003F890000}"/>
    <cellStyle name="货币 2 9 3 4 5" xfId="35091" xr:uid="{00000000-0005-0000-0000-000043890000}"/>
    <cellStyle name="货币 2 9 3 4 6" xfId="35093" xr:uid="{00000000-0005-0000-0000-000045890000}"/>
    <cellStyle name="货币 2 9 3 5" xfId="49592" xr:uid="{00000000-0005-0000-0000-0000E8C10000}"/>
    <cellStyle name="货币 2 9 3 5 2" xfId="18445" xr:uid="{00000000-0005-0000-0000-00003D480000}"/>
    <cellStyle name="货币 2 9 3 5 3" xfId="18450" xr:uid="{00000000-0005-0000-0000-000042480000}"/>
    <cellStyle name="货币 2 9 3 5 4" xfId="19619" xr:uid="{00000000-0005-0000-0000-0000D34C0000}"/>
    <cellStyle name="货币 2 9 3 5 5" xfId="19622" xr:uid="{00000000-0005-0000-0000-0000D64C0000}"/>
    <cellStyle name="货币 2 9 3 5 6" xfId="19625" xr:uid="{00000000-0005-0000-0000-0000D94C0000}"/>
    <cellStyle name="货币 2 9 3 6" xfId="49593" xr:uid="{00000000-0005-0000-0000-0000E9C10000}"/>
    <cellStyle name="货币 2 9 3 6 2" xfId="35132" xr:uid="{00000000-0005-0000-0000-00006C890000}"/>
    <cellStyle name="货币 2 9 3 6 3" xfId="34589" xr:uid="{00000000-0005-0000-0000-00004D870000}"/>
    <cellStyle name="货币 2 9 3 6 4" xfId="35136" xr:uid="{00000000-0005-0000-0000-000070890000}"/>
    <cellStyle name="货币 2 9 3 6 5" xfId="29431" xr:uid="{00000000-0005-0000-0000-000027730000}"/>
    <cellStyle name="货币 2 9 3 6 6" xfId="29435" xr:uid="{00000000-0005-0000-0000-00002B730000}"/>
    <cellStyle name="货币 2 9 3 7" xfId="49594" xr:uid="{00000000-0005-0000-0000-0000EAC10000}"/>
    <cellStyle name="货币 2 9 3 8" xfId="49595" xr:uid="{00000000-0005-0000-0000-0000EBC10000}"/>
    <cellStyle name="货币 2 9 3 9" xfId="49596" xr:uid="{00000000-0005-0000-0000-0000ECC10000}"/>
    <cellStyle name="货币 2 9 4" xfId="47437" xr:uid="{00000000-0005-0000-0000-00007DB90000}"/>
    <cellStyle name="货币 2 9 4 10" xfId="40492" xr:uid="{00000000-0005-0000-0000-00005C9E0000}"/>
    <cellStyle name="货币 2 9 4 11" xfId="45427" xr:uid="{00000000-0005-0000-0000-0000A3B10000}"/>
    <cellStyle name="货币 2 9 4 12" xfId="45429" xr:uid="{00000000-0005-0000-0000-0000A5B10000}"/>
    <cellStyle name="货币 2 9 4 13" xfId="45431" xr:uid="{00000000-0005-0000-0000-0000A7B10000}"/>
    <cellStyle name="货币 2 9 4 14" xfId="45433" xr:uid="{00000000-0005-0000-0000-0000A9B10000}"/>
    <cellStyle name="货币 2 9 4 15" xfId="2492" xr:uid="{00000000-0005-0000-0000-0000EC090000}"/>
    <cellStyle name="货币 2 9 4 2" xfId="49597" xr:uid="{00000000-0005-0000-0000-0000EDC10000}"/>
    <cellStyle name="货币 2 9 4 2 2" xfId="49598" xr:uid="{00000000-0005-0000-0000-0000EEC10000}"/>
    <cellStyle name="货币 2 9 4 2 2 2" xfId="42118" xr:uid="{00000000-0005-0000-0000-0000B6A40000}"/>
    <cellStyle name="货币 2 9 4 2 3" xfId="49599" xr:uid="{00000000-0005-0000-0000-0000EFC10000}"/>
    <cellStyle name="货币 2 9 4 2 4" xfId="49600" xr:uid="{00000000-0005-0000-0000-0000F0C10000}"/>
    <cellStyle name="货币 2 9 4 2 5" xfId="49601" xr:uid="{00000000-0005-0000-0000-0000F1C10000}"/>
    <cellStyle name="货币 2 9 4 2 6" xfId="49602" xr:uid="{00000000-0005-0000-0000-0000F2C10000}"/>
    <cellStyle name="货币 2 9 4 2 7" xfId="40573" xr:uid="{00000000-0005-0000-0000-0000AD9E0000}"/>
    <cellStyle name="货币 2 9 4 2 8" xfId="40579" xr:uid="{00000000-0005-0000-0000-0000B39E0000}"/>
    <cellStyle name="货币 2 9 4 2 9" xfId="40582" xr:uid="{00000000-0005-0000-0000-0000B69E0000}"/>
    <cellStyle name="货币 2 9 4 3" xfId="49603" xr:uid="{00000000-0005-0000-0000-0000F3C10000}"/>
    <cellStyle name="货币 2 9 4 3 2" xfId="27595" xr:uid="{00000000-0005-0000-0000-0000FB6B0000}"/>
    <cellStyle name="货币 2 9 4 3 3" xfId="341" xr:uid="{00000000-0005-0000-0000-00006C010000}"/>
    <cellStyle name="货币 2 9 4 3 4" xfId="27602" xr:uid="{00000000-0005-0000-0000-0000026C0000}"/>
    <cellStyle name="货币 2 9 4 3 5" xfId="27607" xr:uid="{00000000-0005-0000-0000-0000076C0000}"/>
    <cellStyle name="货币 2 9 4 3 6" xfId="27612" xr:uid="{00000000-0005-0000-0000-00000C6C0000}"/>
    <cellStyle name="货币 2 9 4 4" xfId="49604" xr:uid="{00000000-0005-0000-0000-0000F4C10000}"/>
    <cellStyle name="货币 2 9 4 4 2" xfId="21544" xr:uid="{00000000-0005-0000-0000-000058540000}"/>
    <cellStyle name="货币 2 9 4 5" xfId="49605" xr:uid="{00000000-0005-0000-0000-0000F5C10000}"/>
    <cellStyle name="货币 2 9 4 6" xfId="49606" xr:uid="{00000000-0005-0000-0000-0000F6C10000}"/>
    <cellStyle name="货币 2 9 4 7" xfId="49607" xr:uid="{00000000-0005-0000-0000-0000F7C10000}"/>
    <cellStyle name="货币 2 9 4 8" xfId="49608" xr:uid="{00000000-0005-0000-0000-0000F8C10000}"/>
    <cellStyle name="货币 2 9 4 9" xfId="49609" xr:uid="{00000000-0005-0000-0000-0000F9C10000}"/>
    <cellStyle name="货币 2 9 5" xfId="47439" xr:uid="{00000000-0005-0000-0000-00007FB90000}"/>
    <cellStyle name="货币 2 9 5 10" xfId="40656" xr:uid="{00000000-0005-0000-0000-0000009F0000}"/>
    <cellStyle name="货币 2 9 5 11" xfId="49610" xr:uid="{00000000-0005-0000-0000-0000FAC10000}"/>
    <cellStyle name="货币 2 9 5 12" xfId="49611" xr:uid="{00000000-0005-0000-0000-0000FBC10000}"/>
    <cellStyle name="货币 2 9 5 13" xfId="49612" xr:uid="{00000000-0005-0000-0000-0000FCC10000}"/>
    <cellStyle name="货币 2 9 5 2" xfId="49613" xr:uid="{00000000-0005-0000-0000-0000FDC10000}"/>
    <cellStyle name="货币 2 9 5 2 2" xfId="46548" xr:uid="{00000000-0005-0000-0000-000004B60000}"/>
    <cellStyle name="货币 2 9 5 2 2 2" xfId="42680" xr:uid="{00000000-0005-0000-0000-0000E8A60000}"/>
    <cellStyle name="货币 2 9 5 2 3" xfId="46550" xr:uid="{00000000-0005-0000-0000-000006B60000}"/>
    <cellStyle name="货币 2 9 5 2 4" xfId="46552" xr:uid="{00000000-0005-0000-0000-000008B60000}"/>
    <cellStyle name="货币 2 9 5 2 5" xfId="46554" xr:uid="{00000000-0005-0000-0000-00000AB60000}"/>
    <cellStyle name="货币 2 9 5 2 6" xfId="49614" xr:uid="{00000000-0005-0000-0000-0000FEC10000}"/>
    <cellStyle name="货币 2 9 5 2 7" xfId="40778" xr:uid="{00000000-0005-0000-0000-00007A9F0000}"/>
    <cellStyle name="货币 2 9 5 2 8" xfId="40783" xr:uid="{00000000-0005-0000-0000-00007F9F0000}"/>
    <cellStyle name="货币 2 9 5 2 9" xfId="40786" xr:uid="{00000000-0005-0000-0000-0000829F0000}"/>
    <cellStyle name="货币 2 9 5 3" xfId="49615" xr:uid="{00000000-0005-0000-0000-0000FFC10000}"/>
    <cellStyle name="货币 2 9 5 3 2" xfId="27765" xr:uid="{00000000-0005-0000-0000-0000A56C0000}"/>
    <cellStyle name="货币 2 9 5 3 3" xfId="2686" xr:uid="{00000000-0005-0000-0000-0000AE0A0000}"/>
    <cellStyle name="货币 2 9 5 3 4" xfId="21085" xr:uid="{00000000-0005-0000-0000-00008D520000}"/>
    <cellStyle name="货币 2 9 5 3 5" xfId="21093" xr:uid="{00000000-0005-0000-0000-000095520000}"/>
    <cellStyle name="货币 2 9 5 3 6" xfId="21099" xr:uid="{00000000-0005-0000-0000-00009B520000}"/>
    <cellStyle name="货币 2 9 5 4" xfId="49616" xr:uid="{00000000-0005-0000-0000-000000C20000}"/>
    <cellStyle name="货币 2 9 5 4 2" xfId="27776" xr:uid="{00000000-0005-0000-0000-0000B06C0000}"/>
    <cellStyle name="货币 2 9 5 5" xfId="49617" xr:uid="{00000000-0005-0000-0000-000001C20000}"/>
    <cellStyle name="货币 2 9 5 6" xfId="49618" xr:uid="{00000000-0005-0000-0000-000002C20000}"/>
    <cellStyle name="货币 2 9 5 7" xfId="49619" xr:uid="{00000000-0005-0000-0000-000003C20000}"/>
    <cellStyle name="货币 2 9 5 8" xfId="49620" xr:uid="{00000000-0005-0000-0000-000004C20000}"/>
    <cellStyle name="货币 2 9 5 9" xfId="49621" xr:uid="{00000000-0005-0000-0000-000005C20000}"/>
    <cellStyle name="货币 2 9 6" xfId="47441" xr:uid="{00000000-0005-0000-0000-000081B90000}"/>
    <cellStyle name="货币 2 9 6 10" xfId="40846" xr:uid="{00000000-0005-0000-0000-0000BE9F0000}"/>
    <cellStyle name="货币 2 9 6 11" xfId="49622" xr:uid="{00000000-0005-0000-0000-000006C20000}"/>
    <cellStyle name="货币 2 9 6 12" xfId="49623" xr:uid="{00000000-0005-0000-0000-000007C20000}"/>
    <cellStyle name="货币 2 9 6 2" xfId="17864" xr:uid="{00000000-0005-0000-0000-0000F8450000}"/>
    <cellStyle name="货币 2 9 6 2 2" xfId="17867" xr:uid="{00000000-0005-0000-0000-0000FB450000}"/>
    <cellStyle name="货币 2 9 6 2 2 2" xfId="44183" xr:uid="{00000000-0005-0000-0000-0000C7AC0000}"/>
    <cellStyle name="货币 2 9 6 2 3" xfId="49624" xr:uid="{00000000-0005-0000-0000-000008C20000}"/>
    <cellStyle name="货币 2 9 6 2 4" xfId="49625" xr:uid="{00000000-0005-0000-0000-000009C20000}"/>
    <cellStyle name="货币 2 9 6 2 5" xfId="49626" xr:uid="{00000000-0005-0000-0000-00000AC20000}"/>
    <cellStyle name="货币 2 9 6 2 6" xfId="49627" xr:uid="{00000000-0005-0000-0000-00000BC20000}"/>
    <cellStyle name="货币 2 9 6 2 7" xfId="40944" xr:uid="{00000000-0005-0000-0000-000020A00000}"/>
    <cellStyle name="货币 2 9 6 2 8" xfId="40947" xr:uid="{00000000-0005-0000-0000-000023A00000}"/>
    <cellStyle name="货币 2 9 6 2 9" xfId="40950" xr:uid="{00000000-0005-0000-0000-000026A00000}"/>
    <cellStyle name="货币 2 9 6 3" xfId="17869" xr:uid="{00000000-0005-0000-0000-0000FD450000}"/>
    <cellStyle name="货币 2 9 6 3 2" xfId="18846" xr:uid="{00000000-0005-0000-0000-0000CE490000}"/>
    <cellStyle name="货币 2 9 6 3 3" xfId="35223" xr:uid="{00000000-0005-0000-0000-0000C7890000}"/>
    <cellStyle name="货币 2 9 6 3 4" xfId="35226" xr:uid="{00000000-0005-0000-0000-0000CA890000}"/>
    <cellStyle name="货币 2 9 6 3 5" xfId="2646" xr:uid="{00000000-0005-0000-0000-0000860A0000}"/>
    <cellStyle name="货币 2 9 6 3 6" xfId="35228" xr:uid="{00000000-0005-0000-0000-0000CC890000}"/>
    <cellStyle name="货币 2 9 6 4" xfId="17874" xr:uid="{00000000-0005-0000-0000-000002460000}"/>
    <cellStyle name="货币 2 9 6 4 2" xfId="35233" xr:uid="{00000000-0005-0000-0000-0000D1890000}"/>
    <cellStyle name="货币 2 9 6 5" xfId="7747" xr:uid="{00000000-0005-0000-0000-0000731E0000}"/>
    <cellStyle name="货币 2 9 6 6" xfId="4007" xr:uid="{00000000-0005-0000-0000-0000D70F0000}"/>
    <cellStyle name="货币 2 9 6 7" xfId="533" xr:uid="{00000000-0005-0000-0000-000039020000}"/>
    <cellStyle name="货币 2 9 6 8" xfId="7757" xr:uid="{00000000-0005-0000-0000-00007D1E0000}"/>
    <cellStyle name="货币 2 9 6 9" xfId="49628" xr:uid="{00000000-0005-0000-0000-00000CC20000}"/>
    <cellStyle name="货币 2 9 7" xfId="47443" xr:uid="{00000000-0005-0000-0000-000083B90000}"/>
    <cellStyle name="货币 2 9 7 2" xfId="132" xr:uid="{00000000-0005-0000-0000-00008E000000}"/>
    <cellStyle name="货币 2 9 7 2 2" xfId="17888" xr:uid="{00000000-0005-0000-0000-000010460000}"/>
    <cellStyle name="货币 2 9 7 3" xfId="17890" xr:uid="{00000000-0005-0000-0000-000012460000}"/>
    <cellStyle name="货币 2 9 7 4" xfId="17895" xr:uid="{00000000-0005-0000-0000-000017460000}"/>
    <cellStyle name="货币 2 9 7 5" xfId="17897" xr:uid="{00000000-0005-0000-0000-000019460000}"/>
    <cellStyle name="货币 2 9 7 6" xfId="17900" xr:uid="{00000000-0005-0000-0000-00001C460000}"/>
    <cellStyle name="货币 2 9 7 7" xfId="17902" xr:uid="{00000000-0005-0000-0000-00001E460000}"/>
    <cellStyle name="货币 2 9 7 8" xfId="17906" xr:uid="{00000000-0005-0000-0000-000022460000}"/>
    <cellStyle name="货币 2 9 7 9" xfId="49458" xr:uid="{00000000-0005-0000-0000-000062C10000}"/>
    <cellStyle name="货币 2 9 8" xfId="47445" xr:uid="{00000000-0005-0000-0000-000085B90000}"/>
    <cellStyle name="货币 2 9 8 2" xfId="17920" xr:uid="{00000000-0005-0000-0000-000030460000}"/>
    <cellStyle name="货币 2 9 8 3" xfId="17927" xr:uid="{00000000-0005-0000-0000-000037460000}"/>
    <cellStyle name="货币 2 9 8 4" xfId="17930" xr:uid="{00000000-0005-0000-0000-00003A460000}"/>
    <cellStyle name="货币 2 9 8 5" xfId="17932" xr:uid="{00000000-0005-0000-0000-00003C460000}"/>
    <cellStyle name="货币 2 9 8 6" xfId="17934" xr:uid="{00000000-0005-0000-0000-00003E460000}"/>
    <cellStyle name="货币 2 9 9" xfId="47447" xr:uid="{00000000-0005-0000-0000-000087B90000}"/>
    <cellStyle name="货币 2 9 9 2" xfId="11304" xr:uid="{00000000-0005-0000-0000-0000582C0000}"/>
    <cellStyle name="货币 2 9 9 3" xfId="11309" xr:uid="{00000000-0005-0000-0000-00005D2C0000}"/>
    <cellStyle name="货币 2 9 9 4" xfId="9362" xr:uid="{00000000-0005-0000-0000-0000C2240000}"/>
    <cellStyle name="货币 2 9 9 5" xfId="11315" xr:uid="{00000000-0005-0000-0000-0000632C0000}"/>
    <cellStyle name="货币 2 9 9 6" xfId="17949" xr:uid="{00000000-0005-0000-0000-00004D460000}"/>
    <cellStyle name="计算 2" xfId="27175" xr:uid="{00000000-0005-0000-0000-0000576A0000}"/>
    <cellStyle name="检查单元格 2" xfId="49629" xr:uid="{00000000-0005-0000-0000-00000DC20000}"/>
    <cellStyle name="解释性文本 2" xfId="41016" xr:uid="{00000000-0005-0000-0000-000068A00000}"/>
    <cellStyle name="警告文本 2" xfId="48520" xr:uid="{00000000-0005-0000-0000-0000B8BD0000}"/>
    <cellStyle name="链接单元格 2" xfId="49630" xr:uid="{00000000-0005-0000-0000-00000EC20000}"/>
    <cellStyle name="适中 2" xfId="47612" xr:uid="{00000000-0005-0000-0000-00002CBA0000}"/>
    <cellStyle name="输出 2" xfId="49631" xr:uid="{00000000-0005-0000-0000-00000FC20000}"/>
    <cellStyle name="输入 2" xfId="49632" xr:uid="{00000000-0005-0000-0000-000010C20000}"/>
    <cellStyle name="样式 1" xfId="49633" xr:uid="{00000000-0005-0000-0000-000011C20000}"/>
    <cellStyle name="样式 3" xfId="49634" xr:uid="{00000000-0005-0000-0000-000012C20000}"/>
    <cellStyle name="样式 4" xfId="49635" xr:uid="{00000000-0005-0000-0000-000013C20000}"/>
    <cellStyle name="着色 1 2" xfId="27124" xr:uid="{00000000-0005-0000-0000-0000246A0000}"/>
    <cellStyle name="着色 2 2" xfId="27146" xr:uid="{00000000-0005-0000-0000-00003A6A0000}"/>
    <cellStyle name="着色 3 2" xfId="49636" xr:uid="{00000000-0005-0000-0000-000014C20000}"/>
    <cellStyle name="着色 4 2" xfId="49637" xr:uid="{00000000-0005-0000-0000-000015C20000}"/>
    <cellStyle name="着色 5 2" xfId="49638" xr:uid="{00000000-0005-0000-0000-000016C20000}"/>
    <cellStyle name="着色 6 2" xfId="49639" xr:uid="{00000000-0005-0000-0000-000017C20000}"/>
    <cellStyle name="注释 2" xfId="49640" xr:uid="{00000000-0005-0000-0000-000018C20000}"/>
  </cellStyles>
  <dxfs count="9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W:\SAS&#32451;&#20064;&#39033;&#30446;\&#26631;&#20934;\01SDTM\001_SDTMIG\SDTMIG_V3.2\CDISC-SDTM-V3.2-&#20013;&#25991;.xlsx" TargetMode="External"/><Relationship Id="rId1" Type="http://schemas.openxmlformats.org/officeDocument/2006/relationships/externalLinkPath" Target="file:///W:\SAS&#32451;&#20064;&#39033;&#30446;\&#26631;&#20934;\01SDTM\001_SDTMIG\SDTMIG_V3.2\CDISC-SDTM-V3.2-&#20013;&#2599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W:\P131_LBT_CR_CR_MJR-MR001-01_520\03STAT\STAT_final\04Programming\Utility\Lookup\Tranfactor\Tranfactor.xlsx" TargetMode="External"/><Relationship Id="rId1" Type="http://schemas.openxmlformats.org/officeDocument/2006/relationships/externalLinkPath" Target="file:///W:\P131_LBT_CR_CR_MJR-MR001-01_520\03STAT\STAT_final\04Programming\Utility\Lookup\Tranfactor\Tranfac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C"/>
      <sheetName val="CO"/>
      <sheetName val="DM"/>
      <sheetName val="SE"/>
      <sheetName val="SV"/>
      <sheetName val="CM"/>
      <sheetName val="EX"/>
      <sheetName val="EC"/>
      <sheetName val="PR"/>
      <sheetName val="SU"/>
      <sheetName val="AE"/>
      <sheetName val="CE"/>
      <sheetName val="DS"/>
      <sheetName val="DV"/>
      <sheetName val="HO"/>
      <sheetName val="MH"/>
      <sheetName val="DA"/>
      <sheetName val="DD"/>
      <sheetName val="EG"/>
      <sheetName val="IE"/>
      <sheetName val="IS"/>
      <sheetName val="LB"/>
      <sheetName val="MB"/>
      <sheetName val="MS"/>
      <sheetName val="MI"/>
      <sheetName val="MO"/>
      <sheetName val="PC"/>
      <sheetName val="PP"/>
      <sheetName val="PE"/>
      <sheetName val="QS"/>
      <sheetName val="RP"/>
      <sheetName val="SC"/>
      <sheetName val="SS"/>
      <sheetName val="TU"/>
      <sheetName val="TR"/>
      <sheetName val="RS"/>
      <sheetName val="VS"/>
      <sheetName val="TE"/>
      <sheetName val="FA"/>
      <sheetName val="SR"/>
      <sheetName val="TA"/>
      <sheetName val="TV"/>
      <sheetName val="TD"/>
      <sheetName val="TI"/>
      <sheetName val="TS"/>
      <sheetName val="RELREC"/>
      <sheetName val="SUPP-"/>
      <sheetName val="Sheet1"/>
    </sheetNames>
    <sheetDataSet>
      <sheetData sheetId="0"/>
      <sheetData sheetId="1"/>
      <sheetData sheetId="2"/>
      <sheetData sheetId="3">
        <row r="2">
          <cell r="C2" t="str">
            <v>STUDYID</v>
          </cell>
          <cell r="D2" t="str">
            <v>研究标识符</v>
          </cell>
        </row>
        <row r="3">
          <cell r="C3" t="str">
            <v>DOMAIN</v>
          </cell>
          <cell r="D3" t="str">
            <v>域名缩写</v>
          </cell>
        </row>
        <row r="4">
          <cell r="C4" t="str">
            <v>USUBJID</v>
          </cell>
          <cell r="D4" t="str">
            <v>受试者唯一标识符</v>
          </cell>
        </row>
        <row r="5">
          <cell r="C5" t="str">
            <v>SESEQ</v>
          </cell>
          <cell r="D5" t="str">
            <v>序号</v>
          </cell>
        </row>
        <row r="6">
          <cell r="C6" t="str">
            <v>ETCD</v>
          </cell>
          <cell r="D6" t="str">
            <v>元素编码</v>
          </cell>
        </row>
        <row r="7">
          <cell r="C7" t="str">
            <v>ELEMENT</v>
          </cell>
          <cell r="D7" t="str">
            <v>元素描述</v>
          </cell>
        </row>
        <row r="8">
          <cell r="C8" t="str">
            <v>SESTDTC</v>
          </cell>
          <cell r="D8" t="str">
            <v>开始日期/时间</v>
          </cell>
        </row>
        <row r="9">
          <cell r="C9" t="str">
            <v>SEENDTC</v>
          </cell>
          <cell r="D9" t="str">
            <v>结束日期/时间</v>
          </cell>
        </row>
        <row r="10">
          <cell r="C10" t="str">
            <v>TAETORD</v>
          </cell>
          <cell r="D10" t="str">
            <v>组内元素计划顺序</v>
          </cell>
        </row>
        <row r="11">
          <cell r="C11" t="str">
            <v>EPOCH</v>
          </cell>
          <cell r="D11" t="str">
            <v>时期</v>
          </cell>
        </row>
        <row r="12">
          <cell r="C12" t="str">
            <v>SEUPDES</v>
          </cell>
          <cell r="D12" t="str">
            <v>计划外元素描述</v>
          </cell>
        </row>
      </sheetData>
      <sheetData sheetId="4"/>
      <sheetData sheetId="5"/>
      <sheetData sheetId="6"/>
      <sheetData sheetId="7">
        <row r="2">
          <cell r="C2" t="str">
            <v>STUDYID</v>
          </cell>
          <cell r="D2" t="str">
            <v>研究标识符</v>
          </cell>
        </row>
        <row r="3">
          <cell r="C3" t="str">
            <v>DOMAIN</v>
          </cell>
          <cell r="D3" t="str">
            <v>域名缩写</v>
          </cell>
        </row>
        <row r="4">
          <cell r="C4" t="str">
            <v>USUBJID</v>
          </cell>
          <cell r="D4" t="str">
            <v>受试者唯一标识符</v>
          </cell>
        </row>
        <row r="5">
          <cell r="C5" t="str">
            <v>ECSEQ</v>
          </cell>
          <cell r="D5" t="str">
            <v>序号</v>
          </cell>
        </row>
        <row r="6">
          <cell r="C6" t="str">
            <v>ECGRPID</v>
          </cell>
          <cell r="D6" t="str">
            <v>组合ID</v>
          </cell>
        </row>
        <row r="7">
          <cell r="C7" t="str">
            <v>ECREFID</v>
          </cell>
          <cell r="D7" t="str">
            <v>参考ID</v>
          </cell>
        </row>
        <row r="8">
          <cell r="C8" t="str">
            <v>ECSPID</v>
          </cell>
          <cell r="D8" t="str">
            <v>自定义标识符</v>
          </cell>
        </row>
        <row r="9">
          <cell r="C9" t="str">
            <v>ECLNKID</v>
          </cell>
          <cell r="D9" t="str">
            <v>链接ID</v>
          </cell>
        </row>
        <row r="10">
          <cell r="C10" t="str">
            <v>ECLNKGRP</v>
          </cell>
          <cell r="D10" t="str">
            <v>链接组合ID</v>
          </cell>
        </row>
        <row r="11">
          <cell r="C11" t="str">
            <v>ECTRT</v>
          </cell>
          <cell r="D11" t="str">
            <v>治疗名称</v>
          </cell>
        </row>
        <row r="12">
          <cell r="C12" t="str">
            <v>ECMOOD</v>
          </cell>
          <cell r="D12" t="str">
            <v>情景模式</v>
          </cell>
        </row>
        <row r="13">
          <cell r="C13" t="str">
            <v>ECCAT</v>
          </cell>
          <cell r="D13" t="str">
            <v>类别</v>
          </cell>
        </row>
        <row r="14">
          <cell r="C14" t="str">
            <v>ECSCAT</v>
          </cell>
          <cell r="D14" t="str">
            <v>子类</v>
          </cell>
        </row>
        <row r="15">
          <cell r="C15" t="str">
            <v>ECPRESP</v>
          </cell>
          <cell r="D15" t="str">
            <v>预设</v>
          </cell>
        </row>
        <row r="16">
          <cell r="C16" t="str">
            <v>ECOCCUR</v>
          </cell>
          <cell r="D16" t="str">
            <v>是否发生</v>
          </cell>
        </row>
        <row r="17">
          <cell r="C17" t="str">
            <v>ECDOSE</v>
          </cell>
          <cell r="D17" t="str">
            <v>单次剂量</v>
          </cell>
        </row>
        <row r="18">
          <cell r="C18" t="str">
            <v>ECDOSTXT</v>
          </cell>
          <cell r="D18" t="str">
            <v>单次剂量描述</v>
          </cell>
        </row>
        <row r="19">
          <cell r="C19" t="str">
            <v>ECDOSU</v>
          </cell>
          <cell r="D19" t="str">
            <v>剂量单位</v>
          </cell>
        </row>
        <row r="20">
          <cell r="C20" t="str">
            <v>ECDOSFRM</v>
          </cell>
          <cell r="D20" t="str">
            <v>剂型</v>
          </cell>
        </row>
        <row r="21">
          <cell r="C21" t="str">
            <v>ECDOSFRQ</v>
          </cell>
          <cell r="D21" t="str">
            <v>频率</v>
          </cell>
        </row>
        <row r="22">
          <cell r="C22" t="str">
            <v>ECDOSTOT</v>
          </cell>
          <cell r="D22" t="str">
            <v>每日总剂量</v>
          </cell>
        </row>
        <row r="23">
          <cell r="C23" t="str">
            <v>ECDOSRGM</v>
          </cell>
          <cell r="D23" t="str">
            <v>计划给药方案</v>
          </cell>
        </row>
        <row r="24">
          <cell r="C24" t="str">
            <v>ECROUTE</v>
          </cell>
          <cell r="D24" t="str">
            <v>给药途径</v>
          </cell>
        </row>
        <row r="25">
          <cell r="C25" t="str">
            <v>ECLOT</v>
          </cell>
          <cell r="D25" t="str">
            <v>批号</v>
          </cell>
        </row>
        <row r="26">
          <cell r="C26" t="str">
            <v>ECLOC</v>
          </cell>
          <cell r="D26" t="str">
            <v>给药部位</v>
          </cell>
        </row>
        <row r="27">
          <cell r="C27" t="str">
            <v>ECLAT</v>
          </cell>
          <cell r="D27" t="str">
            <v>偏侧</v>
          </cell>
        </row>
        <row r="28">
          <cell r="C28" t="str">
            <v>ECDIR</v>
          </cell>
          <cell r="D28" t="str">
            <v>方位</v>
          </cell>
        </row>
        <row r="29">
          <cell r="C29" t="str">
            <v>ECPORTOT</v>
          </cell>
          <cell r="D29" t="str">
            <v>部分</v>
          </cell>
        </row>
        <row r="30">
          <cell r="C30" t="str">
            <v>ECFAST</v>
          </cell>
          <cell r="D30" t="str">
            <v>是否空腹</v>
          </cell>
        </row>
        <row r="31">
          <cell r="C31" t="str">
            <v>ECPSTRG</v>
          </cell>
          <cell r="D31" t="str">
            <v>药物规格</v>
          </cell>
        </row>
        <row r="32">
          <cell r="C32" t="str">
            <v>ECPSTRGU</v>
          </cell>
          <cell r="D32" t="str">
            <v>药物规格单位</v>
          </cell>
        </row>
        <row r="33">
          <cell r="C33" t="str">
            <v>ECADJ</v>
          </cell>
          <cell r="D33" t="str">
            <v>剂量调整原因</v>
          </cell>
        </row>
        <row r="34">
          <cell r="C34" t="str">
            <v>EPOCH</v>
          </cell>
          <cell r="D34" t="str">
            <v>时期</v>
          </cell>
        </row>
        <row r="35">
          <cell r="C35" t="str">
            <v>ECSTDTC</v>
          </cell>
          <cell r="D35" t="str">
            <v>开始日期/时间</v>
          </cell>
        </row>
        <row r="36">
          <cell r="C36" t="str">
            <v>ECENDTC</v>
          </cell>
          <cell r="D36" t="str">
            <v>结束日期/时间</v>
          </cell>
        </row>
        <row r="37">
          <cell r="C37" t="str">
            <v>ECSTDY</v>
          </cell>
          <cell r="D37" t="str">
            <v>开始日</v>
          </cell>
        </row>
        <row r="38">
          <cell r="C38" t="str">
            <v>ECENDY</v>
          </cell>
          <cell r="D38" t="str">
            <v>结束日</v>
          </cell>
        </row>
        <row r="39">
          <cell r="C39" t="str">
            <v>ECDUR</v>
          </cell>
          <cell r="D39" t="str">
            <v>持续时间</v>
          </cell>
        </row>
        <row r="40">
          <cell r="C40" t="str">
            <v>ECTPT</v>
          </cell>
          <cell r="D40" t="str">
            <v>计划时点名称</v>
          </cell>
        </row>
        <row r="41">
          <cell r="C41" t="str">
            <v>ECTPTNUM</v>
          </cell>
          <cell r="D41" t="str">
            <v>计划时点编号</v>
          </cell>
        </row>
        <row r="42">
          <cell r="C42" t="str">
            <v>ECELTM</v>
          </cell>
          <cell r="D42" t="str">
            <v>距离参照时点计划时间</v>
          </cell>
        </row>
        <row r="43">
          <cell r="C43" t="str">
            <v>ECTPTREF</v>
          </cell>
          <cell r="D43" t="str">
            <v>参照时点</v>
          </cell>
        </row>
        <row r="44">
          <cell r="C44" t="str">
            <v>ECRFTDTC</v>
          </cell>
          <cell r="D44" t="str">
            <v>参照时点日期/时间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2">
          <cell r="C2" t="str">
            <v>STUDYID</v>
          </cell>
          <cell r="D2" t="str">
            <v>研究标识符</v>
          </cell>
        </row>
        <row r="3">
          <cell r="C3" t="str">
            <v>DOMAIN</v>
          </cell>
          <cell r="D3" t="str">
            <v>域名缩写</v>
          </cell>
        </row>
        <row r="4">
          <cell r="C4" t="str">
            <v>IETESTCD</v>
          </cell>
          <cell r="D4" t="str">
            <v>入选/排除标准简称</v>
          </cell>
        </row>
        <row r="5">
          <cell r="C5" t="str">
            <v>IETEST</v>
          </cell>
          <cell r="D5" t="str">
            <v>入选/排除标准</v>
          </cell>
        </row>
        <row r="6">
          <cell r="C6" t="str">
            <v>IECAT</v>
          </cell>
          <cell r="D6" t="str">
            <v>类别</v>
          </cell>
        </row>
        <row r="7">
          <cell r="C7" t="str">
            <v>IESCAT</v>
          </cell>
          <cell r="D7" t="str">
            <v>子类</v>
          </cell>
        </row>
        <row r="8">
          <cell r="C8" t="str">
            <v>TIRL</v>
          </cell>
          <cell r="D8" t="str">
            <v>入选/排除标准规则</v>
          </cell>
        </row>
        <row r="9">
          <cell r="C9" t="str">
            <v>TIVERS</v>
          </cell>
          <cell r="D9" t="str">
            <v>方案版本</v>
          </cell>
        </row>
      </sheetData>
      <sheetData sheetId="44"/>
      <sheetData sheetId="45"/>
      <sheetData sheetId="46"/>
      <sheetData sheetId="4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nfactor_LB"/>
      <sheetName val="Sheet1"/>
    </sheetNames>
    <sheetDataSet>
      <sheetData sheetId="0"/>
      <sheetData sheetId="1">
        <row r="2">
          <cell r="C2" t="str">
            <v>CD4</v>
          </cell>
          <cell r="D2" t="str">
            <v>CD4</v>
          </cell>
          <cell r="E2" t="str">
            <v>个/uL</v>
          </cell>
          <cell r="F2" t="str">
            <v>550~1440</v>
          </cell>
          <cell r="G2" t="str">
            <v>/uL</v>
          </cell>
          <cell r="H2" t="str">
            <v>1个/uL=1/uL</v>
          </cell>
          <cell r="I2">
            <v>1</v>
          </cell>
        </row>
        <row r="3">
          <cell r="C3" t="str">
            <v>CD4</v>
          </cell>
          <cell r="D3" t="str">
            <v>CD4</v>
          </cell>
          <cell r="E3" t="str">
            <v>个/uL</v>
          </cell>
          <cell r="F3" t="str">
            <v>550~1440</v>
          </cell>
          <cell r="G3" t="str">
            <v>/uL</v>
          </cell>
          <cell r="H3" t="str">
            <v>1个/uL=1/uL</v>
          </cell>
          <cell r="I3">
            <v>1</v>
          </cell>
        </row>
        <row r="4">
          <cell r="C4" t="str">
            <v>CD4</v>
          </cell>
          <cell r="D4" t="str">
            <v>CD4</v>
          </cell>
          <cell r="E4" t="str">
            <v>/uL</v>
          </cell>
          <cell r="F4" t="str">
            <v>404~1612</v>
          </cell>
          <cell r="G4" t="str">
            <v>/uL</v>
          </cell>
          <cell r="H4" t="str">
            <v>1/uL=1/uL</v>
          </cell>
          <cell r="I4">
            <v>1</v>
          </cell>
        </row>
        <row r="5">
          <cell r="C5" t="str">
            <v>CD4</v>
          </cell>
          <cell r="D5" t="str">
            <v>CD4</v>
          </cell>
          <cell r="E5" t="str">
            <v>/uL</v>
          </cell>
          <cell r="F5" t="str">
            <v>404~1612</v>
          </cell>
          <cell r="G5" t="str">
            <v>/uL</v>
          </cell>
          <cell r="H5" t="str">
            <v>1/uL=1/uL</v>
          </cell>
          <cell r="I5">
            <v>1</v>
          </cell>
        </row>
        <row r="6">
          <cell r="C6" t="str">
            <v>CD4</v>
          </cell>
          <cell r="D6" t="str">
            <v>CD4</v>
          </cell>
          <cell r="E6" t="str">
            <v>cell/ul</v>
          </cell>
          <cell r="F6" t="str">
            <v>410~1120</v>
          </cell>
          <cell r="G6" t="str">
            <v>/uL</v>
          </cell>
          <cell r="H6" t="str">
            <v>1cell/ul=1/uL</v>
          </cell>
          <cell r="I6">
            <v>1</v>
          </cell>
        </row>
        <row r="7">
          <cell r="C7" t="str">
            <v>CD4</v>
          </cell>
          <cell r="D7" t="str">
            <v>CD4</v>
          </cell>
          <cell r="E7" t="str">
            <v>个/UL</v>
          </cell>
          <cell r="F7" t="str">
            <v>550~1440</v>
          </cell>
          <cell r="G7" t="str">
            <v>/uL</v>
          </cell>
          <cell r="H7" t="str">
            <v>1个/UL=1/uL</v>
          </cell>
          <cell r="I7">
            <v>1</v>
          </cell>
        </row>
        <row r="8">
          <cell r="C8" t="str">
            <v>CD8</v>
          </cell>
          <cell r="D8" t="str">
            <v>CD8</v>
          </cell>
          <cell r="E8" t="str">
            <v>个/uL</v>
          </cell>
          <cell r="F8" t="str">
            <v>320~1250</v>
          </cell>
          <cell r="G8" t="str">
            <v>/uL</v>
          </cell>
          <cell r="H8" t="str">
            <v>1个/uL=1/uL</v>
          </cell>
          <cell r="I8">
            <v>1</v>
          </cell>
        </row>
        <row r="9">
          <cell r="C9" t="str">
            <v>CD8</v>
          </cell>
          <cell r="D9" t="str">
            <v>CD8</v>
          </cell>
          <cell r="E9" t="str">
            <v>个/uL</v>
          </cell>
          <cell r="F9" t="str">
            <v>320~1250</v>
          </cell>
          <cell r="G9" t="str">
            <v>/uL</v>
          </cell>
          <cell r="H9" t="str">
            <v>1个/uL=1/uL</v>
          </cell>
          <cell r="I9">
            <v>1</v>
          </cell>
        </row>
        <row r="10">
          <cell r="C10" t="str">
            <v>CD8</v>
          </cell>
          <cell r="D10" t="str">
            <v>CD8</v>
          </cell>
          <cell r="E10" t="str">
            <v>/uL</v>
          </cell>
          <cell r="F10" t="str">
            <v>220~1129</v>
          </cell>
          <cell r="G10" t="str">
            <v>/uL</v>
          </cell>
          <cell r="H10" t="str">
            <v>1/uL=1/uL</v>
          </cell>
          <cell r="I10">
            <v>1</v>
          </cell>
        </row>
        <row r="11">
          <cell r="C11" t="str">
            <v>CD8</v>
          </cell>
          <cell r="D11" t="str">
            <v>CD8</v>
          </cell>
          <cell r="E11" t="str">
            <v>/uL</v>
          </cell>
          <cell r="F11" t="str">
            <v>220~1129</v>
          </cell>
          <cell r="G11" t="str">
            <v>/uL</v>
          </cell>
          <cell r="H11" t="str">
            <v>1/uL=1/uL</v>
          </cell>
          <cell r="I11">
            <v>1</v>
          </cell>
        </row>
        <row r="12">
          <cell r="C12" t="str">
            <v>CD8</v>
          </cell>
          <cell r="D12" t="str">
            <v>CD8</v>
          </cell>
          <cell r="E12" t="str">
            <v>cell/ul</v>
          </cell>
          <cell r="F12" t="str">
            <v>240~880</v>
          </cell>
          <cell r="G12" t="str">
            <v>/uL</v>
          </cell>
          <cell r="H12" t="str">
            <v>1cell/ul=1/uL</v>
          </cell>
          <cell r="I12">
            <v>1</v>
          </cell>
        </row>
        <row r="13">
          <cell r="C13" t="str">
            <v>CD8</v>
          </cell>
          <cell r="D13" t="str">
            <v>CD8</v>
          </cell>
          <cell r="E13" t="str">
            <v>个/UL</v>
          </cell>
          <cell r="F13" t="str">
            <v>320~1250</v>
          </cell>
          <cell r="G13" t="str">
            <v>/uL</v>
          </cell>
          <cell r="H13" t="str">
            <v>1个/UL=1/uL</v>
          </cell>
          <cell r="I13">
            <v>1</v>
          </cell>
        </row>
        <row r="14">
          <cell r="C14" t="str">
            <v>FRBC</v>
          </cell>
          <cell r="D14" t="str">
            <v>便红细胞</v>
          </cell>
          <cell r="E14"/>
          <cell r="F14" t="str">
            <v>阴性</v>
          </cell>
          <cell r="G14"/>
          <cell r="H14"/>
          <cell r="I14" t="str">
            <v>阴性=阴性</v>
          </cell>
        </row>
        <row r="15">
          <cell r="C15" t="str">
            <v>FRBC</v>
          </cell>
          <cell r="D15" t="str">
            <v>便红细胞</v>
          </cell>
          <cell r="E15"/>
          <cell r="F15" t="str">
            <v>阴性</v>
          </cell>
          <cell r="G15"/>
          <cell r="H15"/>
          <cell r="I15" t="str">
            <v>阴性=阴性</v>
          </cell>
        </row>
        <row r="16">
          <cell r="C16" t="str">
            <v>FRBC</v>
          </cell>
          <cell r="D16" t="str">
            <v>便红细胞</v>
          </cell>
          <cell r="E16"/>
          <cell r="F16" t="str">
            <v>无</v>
          </cell>
          <cell r="G16"/>
          <cell r="H16"/>
          <cell r="I16" t="str">
            <v>无=阴性</v>
          </cell>
        </row>
        <row r="17">
          <cell r="C17" t="str">
            <v>FRBC</v>
          </cell>
          <cell r="D17" t="str">
            <v>便红细胞</v>
          </cell>
          <cell r="E17"/>
          <cell r="F17" t="str">
            <v>无</v>
          </cell>
          <cell r="G17"/>
          <cell r="H17"/>
          <cell r="I17" t="str">
            <v>无=阴性</v>
          </cell>
        </row>
        <row r="18">
          <cell r="C18" t="str">
            <v>FRBC</v>
          </cell>
          <cell r="D18" t="str">
            <v>便红细胞</v>
          </cell>
          <cell r="E18" t="str">
            <v>/HPF</v>
          </cell>
          <cell r="F18" t="str">
            <v>0~0</v>
          </cell>
          <cell r="G18"/>
          <cell r="H18"/>
          <cell r="I18" t="str">
            <v>为0~0时，值为阴性</v>
          </cell>
        </row>
        <row r="19">
          <cell r="C19" t="str">
            <v>FWBC</v>
          </cell>
          <cell r="D19" t="str">
            <v>便白细胞</v>
          </cell>
          <cell r="E19"/>
          <cell r="F19" t="str">
            <v>阴性</v>
          </cell>
          <cell r="G19"/>
          <cell r="H19"/>
          <cell r="I19" t="str">
            <v>阴性=阴性</v>
          </cell>
        </row>
        <row r="20">
          <cell r="C20" t="str">
            <v>FWBC</v>
          </cell>
          <cell r="D20" t="str">
            <v>便白细胞</v>
          </cell>
          <cell r="E20"/>
          <cell r="F20" t="str">
            <v>阴性</v>
          </cell>
          <cell r="G20"/>
          <cell r="H20"/>
          <cell r="I20" t="str">
            <v>阴性=阴性</v>
          </cell>
        </row>
        <row r="21">
          <cell r="C21" t="str">
            <v>FWBC</v>
          </cell>
          <cell r="D21" t="str">
            <v>便白细胞</v>
          </cell>
          <cell r="E21"/>
          <cell r="F21" t="str">
            <v>偶见</v>
          </cell>
          <cell r="G21"/>
          <cell r="H21"/>
          <cell r="I21" t="str">
            <v>当偶见时为阴性，其他情况为阳性</v>
          </cell>
        </row>
        <row r="22">
          <cell r="C22" t="str">
            <v>FWBC</v>
          </cell>
          <cell r="D22" t="str">
            <v>便白细胞</v>
          </cell>
          <cell r="E22"/>
          <cell r="F22" t="str">
            <v>偶见</v>
          </cell>
          <cell r="G22"/>
          <cell r="H22"/>
          <cell r="I22" t="str">
            <v>当偶见时为阴性，其他情况为阳性</v>
          </cell>
        </row>
        <row r="23">
          <cell r="C23" t="str">
            <v>FWBC</v>
          </cell>
          <cell r="D23" t="str">
            <v>便白细胞</v>
          </cell>
          <cell r="E23" t="str">
            <v>/HPF</v>
          </cell>
          <cell r="F23" t="str">
            <v>0~1</v>
          </cell>
          <cell r="G23"/>
          <cell r="H23"/>
          <cell r="I23" t="str">
            <v>正常值范围内为阴性，范围外为阳性</v>
          </cell>
        </row>
        <row r="24">
          <cell r="C24" t="str">
            <v>FT3</v>
          </cell>
          <cell r="D24" t="str">
            <v>血清游离三碘甲腺原氨酸（FT3）</v>
          </cell>
          <cell r="E24" t="str">
            <v>pg/ml</v>
          </cell>
          <cell r="F24" t="str">
            <v>1.58~3.91</v>
          </cell>
          <cell r="G24"/>
          <cell r="H24" t="str">
            <v>置空</v>
          </cell>
          <cell r="I24" t="str">
            <v>正常值范围内为阴性，范围外为阳性</v>
          </cell>
        </row>
        <row r="25">
          <cell r="C25" t="str">
            <v>FT3</v>
          </cell>
          <cell r="D25" t="str">
            <v>血清游离三碘甲腺原氨酸（FT3）</v>
          </cell>
          <cell r="E25" t="str">
            <v>pg/ml</v>
          </cell>
          <cell r="F25" t="str">
            <v>1.58~3.91</v>
          </cell>
          <cell r="G25"/>
          <cell r="H25" t="str">
            <v>置空</v>
          </cell>
          <cell r="I25" t="str">
            <v>正常值范围内为阴性，范围外为阳性</v>
          </cell>
        </row>
        <row r="26">
          <cell r="C26" t="str">
            <v>FT3</v>
          </cell>
          <cell r="D26" t="str">
            <v>血清游离三碘甲腺原氨酸（FT3）</v>
          </cell>
          <cell r="E26" t="str">
            <v>ng/ml</v>
          </cell>
          <cell r="F26" t="str">
            <v>0.64~1.52</v>
          </cell>
          <cell r="G26"/>
          <cell r="H26" t="str">
            <v>置空</v>
          </cell>
          <cell r="I26" t="str">
            <v>正常值范围内为阴性，范围外为阳性</v>
          </cell>
        </row>
        <row r="27">
          <cell r="C27" t="str">
            <v>FT3</v>
          </cell>
          <cell r="D27" t="str">
            <v>血清游离三碘甲腺原氨酸（FT3）</v>
          </cell>
          <cell r="E27" t="str">
            <v>pmol/L</v>
          </cell>
          <cell r="F27" t="str">
            <v>3.1~6.8</v>
          </cell>
          <cell r="G27"/>
          <cell r="H27" t="str">
            <v>置空</v>
          </cell>
          <cell r="I27" t="str">
            <v>正常值范围内为阴性，范围外为阳性</v>
          </cell>
        </row>
        <row r="28">
          <cell r="C28" t="str">
            <v>FT3</v>
          </cell>
          <cell r="D28" t="str">
            <v>血清游离三碘甲腺原氨酸（FT3）</v>
          </cell>
          <cell r="E28" t="str">
            <v>pmol/L</v>
          </cell>
          <cell r="F28" t="str">
            <v>3.1~6.8</v>
          </cell>
          <cell r="G28"/>
          <cell r="H28" t="str">
            <v>置空</v>
          </cell>
          <cell r="I28" t="str">
            <v>正常值范围内为阴性，范围外为阳性</v>
          </cell>
        </row>
        <row r="29">
          <cell r="C29" t="str">
            <v>FT3</v>
          </cell>
          <cell r="D29" t="str">
            <v>血清游离三碘甲腺原氨酸（FT3）</v>
          </cell>
          <cell r="E29" t="str">
            <v>μIU/mL</v>
          </cell>
          <cell r="F29" t="str">
            <v>3.1~6.8</v>
          </cell>
          <cell r="G29"/>
          <cell r="H29" t="str">
            <v>置空</v>
          </cell>
          <cell r="I29" t="str">
            <v>正常值范围内为阴性，范围外为阳性</v>
          </cell>
        </row>
        <row r="30">
          <cell r="C30" t="str">
            <v>FT3</v>
          </cell>
          <cell r="D30" t="str">
            <v>血清游离三碘甲腺原氨酸（FT3）</v>
          </cell>
          <cell r="E30" t="str">
            <v>pmol/L</v>
          </cell>
          <cell r="F30" t="str">
            <v>3.53~7.37</v>
          </cell>
          <cell r="G30"/>
          <cell r="H30" t="str">
            <v>置空</v>
          </cell>
          <cell r="I30" t="str">
            <v>正常值范围内为阴性，范围外为阳性</v>
          </cell>
        </row>
        <row r="31">
          <cell r="C31" t="str">
            <v>FT4</v>
          </cell>
          <cell r="D31" t="str">
            <v>血清游离甲状腺素（FT4）</v>
          </cell>
          <cell r="E31" t="str">
            <v>ng/dl</v>
          </cell>
          <cell r="F31" t="str">
            <v>0.7~1.48</v>
          </cell>
          <cell r="G31"/>
          <cell r="H31" t="str">
            <v>置空</v>
          </cell>
          <cell r="I31" t="str">
            <v>正常值范围内为阴性，范围外为阳性</v>
          </cell>
        </row>
        <row r="32">
          <cell r="C32" t="str">
            <v>FT4</v>
          </cell>
          <cell r="D32" t="str">
            <v>血清游离甲状腺素（FT4）</v>
          </cell>
          <cell r="E32" t="str">
            <v>ng/dl</v>
          </cell>
          <cell r="F32" t="str">
            <v>0.7~1.48</v>
          </cell>
          <cell r="G32"/>
          <cell r="H32" t="str">
            <v>置空</v>
          </cell>
          <cell r="I32" t="str">
            <v>正常值范围内为阴性，范围外为阳性</v>
          </cell>
        </row>
        <row r="33">
          <cell r="C33" t="str">
            <v>FT4</v>
          </cell>
          <cell r="D33" t="str">
            <v>血清游离甲状腺素（FT4）</v>
          </cell>
          <cell r="E33" t="str">
            <v>ug/dl</v>
          </cell>
          <cell r="F33" t="str">
            <v>4.87~11.72</v>
          </cell>
          <cell r="G33"/>
          <cell r="H33" t="str">
            <v>置空</v>
          </cell>
          <cell r="I33" t="str">
            <v>正常值范围内为阴性，范围外为阳性</v>
          </cell>
        </row>
        <row r="34">
          <cell r="C34" t="str">
            <v>FT4</v>
          </cell>
          <cell r="D34" t="str">
            <v>血清游离甲状腺素（FT4）</v>
          </cell>
          <cell r="E34" t="str">
            <v>pmol/L</v>
          </cell>
          <cell r="F34" t="str">
            <v>12~22</v>
          </cell>
          <cell r="G34"/>
          <cell r="H34" t="str">
            <v>置空</v>
          </cell>
          <cell r="I34" t="str">
            <v>正常值范围内为阴性，范围外为阳性</v>
          </cell>
        </row>
        <row r="35">
          <cell r="C35" t="str">
            <v>FT4</v>
          </cell>
          <cell r="D35" t="str">
            <v>血清游离甲状腺素（FT4）</v>
          </cell>
          <cell r="E35" t="str">
            <v>pmol/L</v>
          </cell>
          <cell r="F35" t="str">
            <v>12~22</v>
          </cell>
          <cell r="G35"/>
          <cell r="H35" t="str">
            <v>置空</v>
          </cell>
          <cell r="I35" t="str">
            <v>正常值范围内为阴性，范围外为阳性</v>
          </cell>
        </row>
        <row r="36">
          <cell r="C36" t="str">
            <v>FT4</v>
          </cell>
          <cell r="D36" t="str">
            <v>血清游离甲状腺素（FT4）</v>
          </cell>
          <cell r="E36" t="str">
            <v>pmol/L</v>
          </cell>
          <cell r="F36" t="str">
            <v>12~22</v>
          </cell>
          <cell r="G36"/>
          <cell r="H36" t="str">
            <v>置空</v>
          </cell>
          <cell r="I36" t="str">
            <v>正常值范围内为阴性，范围外为阳性</v>
          </cell>
        </row>
        <row r="37">
          <cell r="C37" t="str">
            <v>FT4</v>
          </cell>
          <cell r="D37" t="str">
            <v>血清游离甲状腺素（FT4）</v>
          </cell>
          <cell r="E37" t="str">
            <v>pmol/L</v>
          </cell>
          <cell r="F37" t="str">
            <v>7.98~16.02</v>
          </cell>
          <cell r="G37"/>
          <cell r="H37" t="str">
            <v>置空</v>
          </cell>
          <cell r="I37" t="str">
            <v>正常值范围内为阴性，范围外为阳性</v>
          </cell>
        </row>
        <row r="38">
          <cell r="C38" t="str">
            <v>TSH</v>
          </cell>
          <cell r="D38" t="str">
            <v>促甲状腺激素（TSH）</v>
          </cell>
          <cell r="E38" t="str">
            <v>mIU/L</v>
          </cell>
          <cell r="F38" t="str">
            <v>0.35~4.94</v>
          </cell>
          <cell r="G38"/>
          <cell r="H38" t="str">
            <v>置空</v>
          </cell>
          <cell r="I38" t="str">
            <v>正常值范围内为阴性，范围外为阳性</v>
          </cell>
        </row>
        <row r="39">
          <cell r="C39" t="str">
            <v>TSH</v>
          </cell>
          <cell r="D39" t="str">
            <v>促甲状腺激素（TSH）</v>
          </cell>
          <cell r="E39" t="str">
            <v>mIU/L</v>
          </cell>
          <cell r="F39" t="str">
            <v>0.35~4.94</v>
          </cell>
          <cell r="G39"/>
          <cell r="H39" t="str">
            <v>置空</v>
          </cell>
          <cell r="I39" t="str">
            <v>正常值范围内为阴性，范围外为阳性</v>
          </cell>
        </row>
        <row r="40">
          <cell r="C40" t="str">
            <v>TSH</v>
          </cell>
          <cell r="D40" t="str">
            <v>促甲状腺激素（TSH）</v>
          </cell>
          <cell r="E40" t="str">
            <v>Miu/l</v>
          </cell>
          <cell r="F40" t="str">
            <v>0.27~4.2</v>
          </cell>
          <cell r="G40"/>
          <cell r="H40" t="str">
            <v>置空</v>
          </cell>
          <cell r="I40" t="str">
            <v>正常值范围内为阴性，范围外为阳性</v>
          </cell>
        </row>
        <row r="41">
          <cell r="C41" t="str">
            <v>TSH</v>
          </cell>
          <cell r="D41" t="str">
            <v>促甲状腺激素（TSH）</v>
          </cell>
          <cell r="E41" t="str">
            <v>Miu/l</v>
          </cell>
          <cell r="F41" t="str">
            <v>0.27~4.2</v>
          </cell>
          <cell r="G41"/>
          <cell r="H41" t="str">
            <v>置空</v>
          </cell>
          <cell r="I41" t="str">
            <v>正常值范围内为阴性，范围外为阳性</v>
          </cell>
        </row>
        <row r="42">
          <cell r="C42" t="str">
            <v>TSH</v>
          </cell>
          <cell r="D42" t="str">
            <v>促甲状腺激素（TSH）</v>
          </cell>
          <cell r="E42" t="str">
            <v>pmol/L</v>
          </cell>
          <cell r="F42" t="str">
            <v>0.27~4.2</v>
          </cell>
          <cell r="G42"/>
          <cell r="H42" t="str">
            <v>置空</v>
          </cell>
          <cell r="I42" t="str">
            <v>正常值范围内为阴性，范围外为阳性</v>
          </cell>
        </row>
        <row r="43">
          <cell r="C43" t="str">
            <v>TSH</v>
          </cell>
          <cell r="D43" t="str">
            <v>促甲状腺激素（TSH）</v>
          </cell>
          <cell r="E43" t="str">
            <v>uIU/mL</v>
          </cell>
          <cell r="F43" t="str">
            <v>0.56~5.91</v>
          </cell>
          <cell r="G43"/>
          <cell r="H43" t="str">
            <v>置空</v>
          </cell>
          <cell r="I43" t="str">
            <v>正常值范围内为阴性，范围外为阳性</v>
          </cell>
        </row>
        <row r="44">
          <cell r="C44" t="str">
            <v>OB</v>
          </cell>
          <cell r="D44" t="str">
            <v>红细胞</v>
          </cell>
          <cell r="E44" t="str">
            <v>/uL</v>
          </cell>
          <cell r="F44" t="str">
            <v>0~15</v>
          </cell>
          <cell r="G44" t="str">
            <v>/uL</v>
          </cell>
          <cell r="H44" t="str">
            <v>1/uL=1/uL</v>
          </cell>
          <cell r="I44">
            <v>1</v>
          </cell>
        </row>
        <row r="45">
          <cell r="C45" t="str">
            <v>OB</v>
          </cell>
          <cell r="D45" t="str">
            <v>红细胞</v>
          </cell>
          <cell r="E45" t="str">
            <v>/uL</v>
          </cell>
          <cell r="F45" t="str">
            <v>0~18</v>
          </cell>
          <cell r="G45" t="str">
            <v>/uL</v>
          </cell>
          <cell r="H45" t="str">
            <v>1/uL=1/uL</v>
          </cell>
          <cell r="I45">
            <v>1</v>
          </cell>
        </row>
        <row r="46">
          <cell r="C46" t="str">
            <v>OB</v>
          </cell>
          <cell r="D46" t="str">
            <v>红细胞</v>
          </cell>
          <cell r="E46" t="str">
            <v>个/uL</v>
          </cell>
          <cell r="F46" t="str">
            <v>0~18</v>
          </cell>
          <cell r="G46" t="str">
            <v>/uL</v>
          </cell>
          <cell r="H46" t="str">
            <v>1个/uL=1/uL</v>
          </cell>
          <cell r="I46">
            <v>1</v>
          </cell>
        </row>
        <row r="47">
          <cell r="C47" t="str">
            <v>OB</v>
          </cell>
          <cell r="D47" t="str">
            <v>红细胞</v>
          </cell>
          <cell r="E47" t="str">
            <v>个/uL</v>
          </cell>
          <cell r="F47" t="str">
            <v>0~33</v>
          </cell>
          <cell r="G47" t="str">
            <v>/uL</v>
          </cell>
          <cell r="H47" t="str">
            <v>1个/uL=1/uL</v>
          </cell>
          <cell r="I47">
            <v>1</v>
          </cell>
        </row>
        <row r="48">
          <cell r="C48" t="str">
            <v>OB</v>
          </cell>
          <cell r="D48" t="str">
            <v>红细胞</v>
          </cell>
          <cell r="E48" t="str">
            <v>Cells/uL</v>
          </cell>
          <cell r="F48" t="str">
            <v>0~20</v>
          </cell>
          <cell r="G48" t="str">
            <v>/uL</v>
          </cell>
          <cell r="H48" t="str">
            <v>1Cells/uL=1/uL</v>
          </cell>
          <cell r="I48">
            <v>1</v>
          </cell>
        </row>
        <row r="49">
          <cell r="C49" t="str">
            <v>OB</v>
          </cell>
          <cell r="D49" t="str">
            <v>红细胞</v>
          </cell>
          <cell r="E49" t="str">
            <v>个/uL</v>
          </cell>
          <cell r="F49" t="str">
            <v>0~15</v>
          </cell>
          <cell r="G49" t="str">
            <v>/uL</v>
          </cell>
          <cell r="H49" t="str">
            <v>1个/UL=1/uL</v>
          </cell>
          <cell r="I49">
            <v>1</v>
          </cell>
        </row>
        <row r="50">
          <cell r="C50" t="str">
            <v>ULEU</v>
          </cell>
          <cell r="D50" t="str">
            <v>白细胞</v>
          </cell>
          <cell r="E50" t="str">
            <v>/uL</v>
          </cell>
          <cell r="F50" t="str">
            <v>0~18</v>
          </cell>
          <cell r="G50" t="str">
            <v>/uL</v>
          </cell>
          <cell r="H50" t="str">
            <v>1个/uL=1/uL</v>
          </cell>
          <cell r="I50">
            <v>1</v>
          </cell>
        </row>
        <row r="51">
          <cell r="C51" t="str">
            <v>ULEU</v>
          </cell>
          <cell r="D51" t="str">
            <v>白细胞</v>
          </cell>
          <cell r="E51" t="str">
            <v>/uL</v>
          </cell>
          <cell r="F51" t="str">
            <v>0~23</v>
          </cell>
          <cell r="G51" t="str">
            <v>/uL</v>
          </cell>
          <cell r="H51" t="str">
            <v>1个/uL=1/uL</v>
          </cell>
          <cell r="I51">
            <v>1</v>
          </cell>
        </row>
        <row r="52">
          <cell r="C52" t="str">
            <v>ULEU</v>
          </cell>
          <cell r="D52" t="str">
            <v>白细胞</v>
          </cell>
          <cell r="E52" t="str">
            <v>个/uL</v>
          </cell>
          <cell r="F52" t="str">
            <v>0~13</v>
          </cell>
          <cell r="G52" t="str">
            <v>/uL</v>
          </cell>
          <cell r="H52" t="str">
            <v>1/uL=1/uL</v>
          </cell>
          <cell r="I52">
            <v>1</v>
          </cell>
        </row>
        <row r="53">
          <cell r="C53" t="str">
            <v>ULEU</v>
          </cell>
          <cell r="D53" t="str">
            <v>白细胞</v>
          </cell>
          <cell r="E53" t="str">
            <v>个/uL</v>
          </cell>
          <cell r="F53" t="str">
            <v>0~34</v>
          </cell>
          <cell r="G53" t="str">
            <v>/uL</v>
          </cell>
          <cell r="H53" t="str">
            <v>1/uL=1/uL</v>
          </cell>
          <cell r="I53">
            <v>1</v>
          </cell>
        </row>
        <row r="54">
          <cell r="C54" t="str">
            <v>ULEU</v>
          </cell>
          <cell r="D54" t="str">
            <v>白细胞</v>
          </cell>
          <cell r="E54" t="str">
            <v>Cells/uL</v>
          </cell>
          <cell r="F54" t="str">
            <v>0~25</v>
          </cell>
          <cell r="G54" t="str">
            <v>/uL</v>
          </cell>
          <cell r="H54" t="str">
            <v>1Cells/uL=1/uL</v>
          </cell>
          <cell r="I54">
            <v>1</v>
          </cell>
        </row>
        <row r="55">
          <cell r="C55" t="str">
            <v>ULEU</v>
          </cell>
          <cell r="D55" t="str">
            <v>白细胞</v>
          </cell>
          <cell r="E55" t="str">
            <v>个/uL</v>
          </cell>
          <cell r="F55" t="str">
            <v>0~20</v>
          </cell>
          <cell r="G55" t="str">
            <v>/uL</v>
          </cell>
          <cell r="H55" t="str">
            <v>1个/UL=1/uL</v>
          </cell>
          <cell r="I55">
            <v>1</v>
          </cell>
        </row>
        <row r="56">
          <cell r="C56" t="str">
            <v>APTT</v>
          </cell>
          <cell r="D56" t="str">
            <v>活化部分凝血活酶时间（APTT）</v>
          </cell>
          <cell r="E56" t="str">
            <v>S</v>
          </cell>
          <cell r="F56" t="str">
            <v>23.9~31.9</v>
          </cell>
          <cell r="G56" t="str">
            <v>s</v>
          </cell>
          <cell r="H56" t="str">
            <v>1S=1s</v>
          </cell>
          <cell r="I56">
            <v>1</v>
          </cell>
        </row>
        <row r="57">
          <cell r="C57" t="str">
            <v>APTT</v>
          </cell>
          <cell r="D57" t="str">
            <v>活化部分凝血活酶时间（APTT）</v>
          </cell>
          <cell r="E57" t="str">
            <v>S</v>
          </cell>
          <cell r="F57" t="str">
            <v>23.9~31.9</v>
          </cell>
          <cell r="G57" t="str">
            <v>s</v>
          </cell>
          <cell r="H57" t="str">
            <v>1S=1s</v>
          </cell>
          <cell r="I57">
            <v>1</v>
          </cell>
        </row>
        <row r="58">
          <cell r="C58" t="str">
            <v>APTT</v>
          </cell>
          <cell r="D58" t="str">
            <v>活化部分凝血活酶时间（APTT）</v>
          </cell>
          <cell r="E58" t="str">
            <v>s</v>
          </cell>
          <cell r="F58" t="str">
            <v>22.7~36.4</v>
          </cell>
          <cell r="G58" t="str">
            <v>s</v>
          </cell>
          <cell r="H58" t="str">
            <v>1s=1s</v>
          </cell>
          <cell r="I58">
            <v>1</v>
          </cell>
        </row>
        <row r="59">
          <cell r="C59" t="str">
            <v>APTT</v>
          </cell>
          <cell r="D59" t="str">
            <v>活化部分凝血活酶时间（APTT）</v>
          </cell>
          <cell r="E59" t="str">
            <v>s</v>
          </cell>
          <cell r="F59" t="str">
            <v>22.7~36.4</v>
          </cell>
          <cell r="G59" t="str">
            <v>s</v>
          </cell>
          <cell r="H59" t="str">
            <v>1s=1s</v>
          </cell>
          <cell r="I59">
            <v>1</v>
          </cell>
        </row>
        <row r="60">
          <cell r="C60" t="str">
            <v>APTT</v>
          </cell>
          <cell r="D60" t="str">
            <v>活化部分凝血活酶时间（APTT）</v>
          </cell>
          <cell r="E60" t="str">
            <v>sec</v>
          </cell>
          <cell r="F60" t="str">
            <v>23.3~32.5</v>
          </cell>
          <cell r="G60" t="str">
            <v>s</v>
          </cell>
          <cell r="H60" t="str">
            <v>1sec=1s</v>
          </cell>
          <cell r="I60">
            <v>1</v>
          </cell>
        </row>
        <row r="61">
          <cell r="C61" t="str">
            <v>APTT</v>
          </cell>
          <cell r="D61" t="str">
            <v>活化部分凝血活酶时间（APTT）</v>
          </cell>
          <cell r="E61" t="str">
            <v>s</v>
          </cell>
          <cell r="F61" t="str">
            <v>28~42.8</v>
          </cell>
          <cell r="G61" t="str">
            <v>s</v>
          </cell>
          <cell r="H61" t="str">
            <v>1s=1s</v>
          </cell>
          <cell r="I61">
            <v>1</v>
          </cell>
        </row>
        <row r="62">
          <cell r="C62" t="str">
            <v>INR</v>
          </cell>
          <cell r="D62" t="str">
            <v>国际标准化比值（INR）</v>
          </cell>
          <cell r="E62"/>
          <cell r="F62" t="str">
            <v>0.82~1.15</v>
          </cell>
          <cell r="G62"/>
          <cell r="H62" t="str">
            <v>INR无单位，留空</v>
          </cell>
          <cell r="I62">
            <v>1</v>
          </cell>
        </row>
        <row r="63">
          <cell r="C63" t="str">
            <v>INR</v>
          </cell>
          <cell r="D63" t="str">
            <v>国际标准化比值（INR）</v>
          </cell>
          <cell r="E63"/>
          <cell r="F63" t="str">
            <v>0.82~1.15</v>
          </cell>
          <cell r="G63"/>
          <cell r="H63" t="str">
            <v>INR无单位，留空</v>
          </cell>
          <cell r="I63">
            <v>1</v>
          </cell>
        </row>
        <row r="64">
          <cell r="C64" t="str">
            <v>INR</v>
          </cell>
          <cell r="D64" t="str">
            <v>国际标准化比值（INR）</v>
          </cell>
          <cell r="E64" t="str">
            <v>INR</v>
          </cell>
          <cell r="F64" t="str">
            <v>0.73~1.27</v>
          </cell>
          <cell r="G64"/>
          <cell r="H64" t="str">
            <v>INR无单位，留空</v>
          </cell>
          <cell r="I64">
            <v>1</v>
          </cell>
        </row>
        <row r="65">
          <cell r="C65" t="str">
            <v>INR</v>
          </cell>
          <cell r="D65" t="str">
            <v>国际标准化比值（INR）</v>
          </cell>
          <cell r="E65" t="str">
            <v>INR</v>
          </cell>
          <cell r="F65" t="str">
            <v>0.73~1.27</v>
          </cell>
          <cell r="G65"/>
          <cell r="H65" t="str">
            <v>INR无单位，留空</v>
          </cell>
          <cell r="I65">
            <v>1</v>
          </cell>
        </row>
        <row r="66">
          <cell r="C66" t="str">
            <v>INR</v>
          </cell>
          <cell r="D66" t="str">
            <v>国际标准化比值（INR）</v>
          </cell>
          <cell r="E66"/>
          <cell r="F66" t="str">
            <v>0.8~1.2</v>
          </cell>
          <cell r="G66"/>
          <cell r="H66" t="str">
            <v>INR无单位，留空</v>
          </cell>
          <cell r="I66">
            <v>1</v>
          </cell>
        </row>
        <row r="67">
          <cell r="C67" t="str">
            <v>INR</v>
          </cell>
          <cell r="D67" t="str">
            <v>国际标准化比值（INR）</v>
          </cell>
          <cell r="E67"/>
          <cell r="F67" t="str">
            <v>0~1.2</v>
          </cell>
          <cell r="G67"/>
          <cell r="H67" t="str">
            <v>INR无单位，留空</v>
          </cell>
          <cell r="I67">
            <v>1</v>
          </cell>
        </row>
        <row r="68">
          <cell r="C68" t="str">
            <v>PT</v>
          </cell>
          <cell r="D68" t="str">
            <v>凝血酶原时间（PT）</v>
          </cell>
          <cell r="E68" t="str">
            <v>S</v>
          </cell>
          <cell r="F68" t="str">
            <v>9.8~12.1</v>
          </cell>
          <cell r="G68" t="str">
            <v>s</v>
          </cell>
          <cell r="H68" t="str">
            <v>1S=1s</v>
          </cell>
          <cell r="I68">
            <v>1</v>
          </cell>
        </row>
        <row r="69">
          <cell r="C69" t="str">
            <v>PT</v>
          </cell>
          <cell r="D69" t="str">
            <v>凝血酶原时间（PT）</v>
          </cell>
          <cell r="E69" t="str">
            <v>S</v>
          </cell>
          <cell r="F69" t="str">
            <v>9.8~12.1</v>
          </cell>
          <cell r="G69" t="str">
            <v>s</v>
          </cell>
          <cell r="H69" t="str">
            <v>1S=1s</v>
          </cell>
          <cell r="I69">
            <v>1</v>
          </cell>
        </row>
        <row r="70">
          <cell r="C70" t="str">
            <v>PT</v>
          </cell>
          <cell r="D70" t="str">
            <v>凝血酶原时间（PT）</v>
          </cell>
          <cell r="E70" t="str">
            <v>s</v>
          </cell>
          <cell r="F70" t="str">
            <v>9.6~13.7</v>
          </cell>
          <cell r="G70" t="str">
            <v>s</v>
          </cell>
          <cell r="H70" t="str">
            <v>1s=1s</v>
          </cell>
          <cell r="I70">
            <v>1</v>
          </cell>
        </row>
        <row r="71">
          <cell r="C71" t="str">
            <v>PT</v>
          </cell>
          <cell r="D71" t="str">
            <v>凝血酶原时间（PT）</v>
          </cell>
          <cell r="E71" t="str">
            <v>s</v>
          </cell>
          <cell r="F71" t="str">
            <v>9.6~13.7</v>
          </cell>
          <cell r="G71" t="str">
            <v>s</v>
          </cell>
          <cell r="H71" t="str">
            <v>1s=1s</v>
          </cell>
          <cell r="I71">
            <v>1</v>
          </cell>
        </row>
        <row r="72">
          <cell r="C72" t="str">
            <v>PT</v>
          </cell>
          <cell r="D72" t="str">
            <v>凝血酶原时间（PT）</v>
          </cell>
          <cell r="E72" t="str">
            <v>sec</v>
          </cell>
          <cell r="F72" t="str">
            <v>10~13</v>
          </cell>
          <cell r="G72" t="str">
            <v>s</v>
          </cell>
          <cell r="H72" t="str">
            <v>1sec=1s</v>
          </cell>
          <cell r="I72">
            <v>1</v>
          </cell>
        </row>
        <row r="73">
          <cell r="C73" t="str">
            <v>PT</v>
          </cell>
          <cell r="D73" t="str">
            <v>凝血酶原时间（PT）</v>
          </cell>
          <cell r="E73" t="str">
            <v>s</v>
          </cell>
          <cell r="F73" t="str">
            <v>11~14.5</v>
          </cell>
          <cell r="G73" t="str">
            <v>s</v>
          </cell>
          <cell r="H73" t="str">
            <v>1s=1s</v>
          </cell>
          <cell r="I73">
            <v>1</v>
          </cell>
        </row>
        <row r="74">
          <cell r="C74" t="str">
            <v>HBCAB</v>
          </cell>
          <cell r="D74" t="str">
            <v>乙肝核心抗体</v>
          </cell>
          <cell r="E74" t="str">
            <v>PEIU/mL</v>
          </cell>
          <cell r="F74" t="str">
            <v>0~0.7</v>
          </cell>
          <cell r="G74"/>
          <cell r="H74" t="str">
            <v>置空</v>
          </cell>
          <cell r="I74" t="str">
            <v>正常值范围内为阴性，范围外为阳性</v>
          </cell>
        </row>
        <row r="75">
          <cell r="C75" t="str">
            <v>HBCAB</v>
          </cell>
          <cell r="D75" t="str">
            <v>乙肝核心抗体</v>
          </cell>
          <cell r="E75" t="str">
            <v>PEIU/mL</v>
          </cell>
          <cell r="F75" t="str">
            <v>0~0.7</v>
          </cell>
          <cell r="G75"/>
          <cell r="H75" t="str">
            <v>置空</v>
          </cell>
          <cell r="I75" t="str">
            <v>正常值范围内为阴性，范围外为阳性</v>
          </cell>
        </row>
        <row r="76">
          <cell r="C76" t="str">
            <v>HBCAB</v>
          </cell>
          <cell r="D76" t="str">
            <v>乙肝核心抗体</v>
          </cell>
          <cell r="E76" t="str">
            <v>PEIU/ml</v>
          </cell>
          <cell r="F76" t="str">
            <v>0~0.7</v>
          </cell>
          <cell r="G76"/>
          <cell r="H76" t="str">
            <v>置空</v>
          </cell>
          <cell r="I76" t="str">
            <v>正常值范围内为阴性，范围外为阳性</v>
          </cell>
        </row>
        <row r="77">
          <cell r="C77" t="str">
            <v>HBCAB</v>
          </cell>
          <cell r="D77" t="str">
            <v>乙肝核心抗体</v>
          </cell>
          <cell r="E77" t="str">
            <v>PEIU/ml</v>
          </cell>
          <cell r="F77" t="str">
            <v>0~0.7</v>
          </cell>
          <cell r="G77"/>
          <cell r="H77" t="str">
            <v>置空</v>
          </cell>
          <cell r="I77" t="str">
            <v>正常值范围内为阴性，范围外为阳性</v>
          </cell>
        </row>
        <row r="78">
          <cell r="C78" t="str">
            <v>HBCAB</v>
          </cell>
          <cell r="D78" t="str">
            <v>乙肝核心抗体</v>
          </cell>
          <cell r="E78" t="str">
            <v>S/CO</v>
          </cell>
          <cell r="F78" t="str">
            <v>0~1</v>
          </cell>
          <cell r="G78"/>
          <cell r="H78" t="str">
            <v>置空</v>
          </cell>
          <cell r="I78" t="str">
            <v>正常值范围内为阴性，范围外为阳性</v>
          </cell>
        </row>
        <row r="79">
          <cell r="C79" t="str">
            <v>HBCAB</v>
          </cell>
          <cell r="D79" t="str">
            <v>乙肝核心抗体</v>
          </cell>
          <cell r="E79" t="str">
            <v>mIU/mL</v>
          </cell>
          <cell r="F79" t="str">
            <v>0~0.6</v>
          </cell>
          <cell r="G79"/>
          <cell r="H79" t="str">
            <v>置空</v>
          </cell>
          <cell r="I79" t="str">
            <v>正常值范围内为阴性，范围外为阳性</v>
          </cell>
        </row>
        <row r="80">
          <cell r="C80" t="str">
            <v>CKMB</v>
          </cell>
          <cell r="D80" t="str">
            <v>肌酸激酶同工酶（CK-MB）</v>
          </cell>
          <cell r="E80" t="str">
            <v>U/L</v>
          </cell>
          <cell r="F80" t="str">
            <v>0~24</v>
          </cell>
          <cell r="G80"/>
          <cell r="H80" t="str">
            <v>置空</v>
          </cell>
          <cell r="I80" t="str">
            <v>正常值范围内为阴性，范围外为阳性</v>
          </cell>
        </row>
        <row r="81">
          <cell r="C81" t="str">
            <v>CKMB</v>
          </cell>
          <cell r="D81" t="str">
            <v>肌酸激酶同工酶（CK-MB）</v>
          </cell>
          <cell r="E81" t="str">
            <v>U/L</v>
          </cell>
          <cell r="F81" t="str">
            <v>0~24</v>
          </cell>
          <cell r="G81"/>
          <cell r="H81" t="str">
            <v>置空</v>
          </cell>
          <cell r="I81" t="str">
            <v>正常值范围内为阴性，范围外为阳性</v>
          </cell>
        </row>
        <row r="82">
          <cell r="C82" t="str">
            <v>CKMB</v>
          </cell>
          <cell r="D82" t="str">
            <v>肌酸激酶同工酶（CK-MB）</v>
          </cell>
          <cell r="E82" t="str">
            <v>ug/L</v>
          </cell>
          <cell r="F82" t="str">
            <v>0~4.87</v>
          </cell>
          <cell r="G82"/>
          <cell r="H82" t="str">
            <v>置空</v>
          </cell>
          <cell r="I82" t="str">
            <v>正常值范围内为阴性，范围外为阳性</v>
          </cell>
        </row>
        <row r="83">
          <cell r="C83" t="str">
            <v>CKMB</v>
          </cell>
          <cell r="D83" t="str">
            <v>肌酸激酶同工酶（CK-MB）</v>
          </cell>
          <cell r="E83" t="str">
            <v>ug/L</v>
          </cell>
          <cell r="F83" t="str">
            <v>0~3.61</v>
          </cell>
          <cell r="G83"/>
          <cell r="H83" t="str">
            <v>置空</v>
          </cell>
          <cell r="I83" t="str">
            <v>正常值范围内为阴性，范围外为阳性</v>
          </cell>
        </row>
        <row r="84">
          <cell r="C84" t="str">
            <v>CKMB</v>
          </cell>
          <cell r="D84" t="str">
            <v>肌酸激酶同工酶（CK-MB）</v>
          </cell>
          <cell r="E84" t="str">
            <v>ng/mL</v>
          </cell>
          <cell r="F84" t="str">
            <v>0~4.88</v>
          </cell>
          <cell r="G84"/>
          <cell r="H84" t="str">
            <v>置空</v>
          </cell>
          <cell r="I84" t="str">
            <v>正常值范围内为阴性，范围外为阳性</v>
          </cell>
        </row>
        <row r="85">
          <cell r="C85" t="str">
            <v>CKMB</v>
          </cell>
          <cell r="D85" t="str">
            <v>肌酸激酶同工酶（CK-MB）</v>
          </cell>
          <cell r="E85" t="str">
            <v>ng/ml</v>
          </cell>
          <cell r="F85" t="str">
            <v>0.6~6.3</v>
          </cell>
          <cell r="G85"/>
          <cell r="H85" t="str">
            <v>置空</v>
          </cell>
          <cell r="I85" t="str">
            <v>正常值范围内为阴性，范围外为阳性</v>
          </cell>
        </row>
        <row r="86">
          <cell r="C86" t="str">
            <v>MB</v>
          </cell>
          <cell r="D86" t="str">
            <v>肌红蛋白</v>
          </cell>
          <cell r="E86" t="str">
            <v>ng/ml</v>
          </cell>
          <cell r="F86" t="str">
            <v>28~72</v>
          </cell>
          <cell r="G86" t="str">
            <v>ng/mL</v>
          </cell>
          <cell r="H86" t="str">
            <v>1ng/ml=1ng/mL</v>
          </cell>
          <cell r="I86">
            <v>1</v>
          </cell>
        </row>
        <row r="87">
          <cell r="C87" t="str">
            <v>MB</v>
          </cell>
          <cell r="D87" t="str">
            <v>肌红蛋白</v>
          </cell>
          <cell r="E87" t="str">
            <v>ng/ml</v>
          </cell>
          <cell r="F87" t="str">
            <v>25~58</v>
          </cell>
          <cell r="G87" t="str">
            <v>ng/mL</v>
          </cell>
          <cell r="H87" t="str">
            <v>1ng/ml=1ng/mL</v>
          </cell>
          <cell r="I87">
            <v>1</v>
          </cell>
        </row>
        <row r="88">
          <cell r="C88" t="str">
            <v>MB</v>
          </cell>
          <cell r="D88" t="str">
            <v>肌红蛋白</v>
          </cell>
          <cell r="E88" t="str">
            <v>ug/L</v>
          </cell>
          <cell r="F88" t="str">
            <v>0~70</v>
          </cell>
          <cell r="G88" t="str">
            <v>ng/mL</v>
          </cell>
          <cell r="H88" t="str">
            <v>1 ng/mL = 1 ug/L</v>
          </cell>
          <cell r="I88">
            <v>1</v>
          </cell>
        </row>
        <row r="89">
          <cell r="C89" t="str">
            <v>MB</v>
          </cell>
          <cell r="D89" t="str">
            <v>肌红蛋白</v>
          </cell>
          <cell r="E89" t="str">
            <v>ug/L</v>
          </cell>
          <cell r="F89" t="str">
            <v>0~70</v>
          </cell>
          <cell r="G89" t="str">
            <v>ng/mL</v>
          </cell>
          <cell r="H89" t="str">
            <v>1 ng/mL = 1 ug/L</v>
          </cell>
          <cell r="I89">
            <v>1</v>
          </cell>
        </row>
        <row r="90">
          <cell r="C90" t="str">
            <v>MB</v>
          </cell>
          <cell r="D90" t="str">
            <v>肌红蛋白</v>
          </cell>
          <cell r="E90" t="str">
            <v>ng/mL</v>
          </cell>
          <cell r="F90" t="str">
            <v>25~58</v>
          </cell>
          <cell r="G90" t="str">
            <v>ng/mL</v>
          </cell>
          <cell r="H90" t="str">
            <v>1ng/mL=1ng/mL</v>
          </cell>
          <cell r="I90">
            <v>1</v>
          </cell>
        </row>
        <row r="91">
          <cell r="C91" t="str">
            <v>MB</v>
          </cell>
          <cell r="D91" t="str">
            <v>肌红蛋白</v>
          </cell>
          <cell r="E91" t="str">
            <v>ug/L</v>
          </cell>
          <cell r="F91" t="str">
            <v>0~70</v>
          </cell>
          <cell r="G91" t="str">
            <v>ng/mL</v>
          </cell>
          <cell r="H91" t="str">
            <v>1 ng/mL = 1 ug/L</v>
          </cell>
          <cell r="I91">
            <v>1</v>
          </cell>
        </row>
        <row r="92">
          <cell r="C92" t="str">
            <v>TI</v>
          </cell>
          <cell r="D92" t="str">
            <v>肌钙蛋白T/I</v>
          </cell>
          <cell r="E92" t="str">
            <v>ng/ml</v>
          </cell>
          <cell r="F92" t="str">
            <v>0~0.014</v>
          </cell>
          <cell r="G92" t="str">
            <v>ng/mL</v>
          </cell>
          <cell r="H92" t="str">
            <v>1ng/ml=1ng/mL</v>
          </cell>
          <cell r="I92">
            <v>1</v>
          </cell>
        </row>
        <row r="93">
          <cell r="C93" t="str">
            <v>TI</v>
          </cell>
          <cell r="D93" t="str">
            <v>肌钙蛋白T/I</v>
          </cell>
          <cell r="E93" t="str">
            <v>ng/ml</v>
          </cell>
          <cell r="F93" t="str">
            <v>0~0.014</v>
          </cell>
          <cell r="G93" t="str">
            <v>ng/mL</v>
          </cell>
          <cell r="H93" t="str">
            <v>1ng/ml=1ng/mL</v>
          </cell>
          <cell r="I93">
            <v>1</v>
          </cell>
        </row>
        <row r="94">
          <cell r="C94" t="str">
            <v>TI</v>
          </cell>
          <cell r="D94" t="str">
            <v>肌钙蛋白T/I</v>
          </cell>
          <cell r="E94" t="str">
            <v>pg/ml</v>
          </cell>
          <cell r="F94" t="str">
            <v>0~34.2</v>
          </cell>
          <cell r="G94" t="str">
            <v>ng/mL</v>
          </cell>
          <cell r="H94" t="str">
            <v>1pg/ml=0.001ng/mL</v>
          </cell>
          <cell r="I94">
            <v>1E-3</v>
          </cell>
        </row>
        <row r="95">
          <cell r="C95" t="str">
            <v>TI</v>
          </cell>
          <cell r="D95" t="str">
            <v>肌钙蛋白T/I</v>
          </cell>
          <cell r="E95" t="str">
            <v>pg/ml</v>
          </cell>
          <cell r="F95" t="str">
            <v>0~15.6</v>
          </cell>
          <cell r="G95" t="str">
            <v>ng/mL</v>
          </cell>
          <cell r="H95" t="str">
            <v>1pg/ml=0.001ng/mL</v>
          </cell>
          <cell r="I95">
            <v>1E-3</v>
          </cell>
        </row>
        <row r="96">
          <cell r="C96" t="str">
            <v>TI</v>
          </cell>
          <cell r="D96" t="str">
            <v>肌钙蛋白T/I</v>
          </cell>
          <cell r="E96" t="str">
            <v>ng/mL</v>
          </cell>
          <cell r="F96" t="str">
            <v>0~0.014</v>
          </cell>
          <cell r="G96" t="str">
            <v>ng/mL</v>
          </cell>
          <cell r="H96" t="str">
            <v>1ng/ml=1ng/mL</v>
          </cell>
          <cell r="I96">
            <v>1</v>
          </cell>
        </row>
        <row r="97">
          <cell r="C97" t="str">
            <v>TI</v>
          </cell>
          <cell r="D97" t="str">
            <v>肌钙蛋白T/I</v>
          </cell>
          <cell r="E97" t="str">
            <v>pg/ml</v>
          </cell>
          <cell r="F97" t="str">
            <v>0~17.5</v>
          </cell>
          <cell r="G97" t="str">
            <v>ng/mL</v>
          </cell>
          <cell r="H97" t="str">
            <v>1pg/ml=0.001ng/mL</v>
          </cell>
          <cell r="I97">
            <v>1E-3</v>
          </cell>
        </row>
        <row r="98">
          <cell r="C98" t="str">
            <v>BILIND</v>
          </cell>
          <cell r="D98" t="str">
            <v>直接胆红素（DBIL）</v>
          </cell>
          <cell r="E98" t="str">
            <v>μmol/L</v>
          </cell>
          <cell r="F98" t="str">
            <v>0~8</v>
          </cell>
          <cell r="G98" t="str">
            <v>umol/L</v>
          </cell>
          <cell r="H98" t="str">
            <v>1μmol/L=1μmol/L</v>
          </cell>
          <cell r="I98">
            <v>1</v>
          </cell>
        </row>
        <row r="99">
          <cell r="C99" t="str">
            <v>BILIND</v>
          </cell>
          <cell r="D99" t="str">
            <v>直接胆红素（DBIL）</v>
          </cell>
          <cell r="E99" t="str">
            <v>μmol/L</v>
          </cell>
          <cell r="F99" t="str">
            <v>0~8</v>
          </cell>
          <cell r="G99" t="str">
            <v>umol/L</v>
          </cell>
          <cell r="H99" t="str">
            <v>1μmol/L=1μmol/L</v>
          </cell>
          <cell r="I99">
            <v>1</v>
          </cell>
        </row>
        <row r="100">
          <cell r="C100" t="str">
            <v>BILIND</v>
          </cell>
          <cell r="D100" t="str">
            <v>直接胆红素（DBIL）</v>
          </cell>
          <cell r="E100" t="str">
            <v>μmol/L</v>
          </cell>
          <cell r="F100" t="str">
            <v>0~8</v>
          </cell>
          <cell r="G100" t="str">
            <v>umol/L</v>
          </cell>
          <cell r="H100" t="str">
            <v>1μmol/L=1μmol/L</v>
          </cell>
          <cell r="I100">
            <v>1</v>
          </cell>
        </row>
        <row r="101">
          <cell r="C101" t="str">
            <v>BILIND</v>
          </cell>
          <cell r="D101" t="str">
            <v>直接胆红素（DBIL）</v>
          </cell>
          <cell r="E101" t="str">
            <v>μmol/L</v>
          </cell>
          <cell r="F101" t="str">
            <v>0~8</v>
          </cell>
          <cell r="G101" t="str">
            <v>umol/L</v>
          </cell>
          <cell r="H101" t="str">
            <v>1μmol/L=1μmol/L</v>
          </cell>
          <cell r="I101">
            <v>1</v>
          </cell>
        </row>
        <row r="102">
          <cell r="C102" t="str">
            <v>BILIND</v>
          </cell>
          <cell r="D102" t="str">
            <v>直接胆红素（DBIL）</v>
          </cell>
          <cell r="E102" t="str">
            <v>μmol/L</v>
          </cell>
          <cell r="F102" t="str">
            <v>0~8</v>
          </cell>
          <cell r="G102" t="str">
            <v>umol/L</v>
          </cell>
          <cell r="H102" t="str">
            <v>1μmol/L=1μmol/L</v>
          </cell>
          <cell r="I102">
            <v>1</v>
          </cell>
        </row>
        <row r="103">
          <cell r="C103" t="str">
            <v>BILIND</v>
          </cell>
          <cell r="D103" t="str">
            <v>直接胆红素（DBIL）</v>
          </cell>
          <cell r="E103" t="str">
            <v>μmol/L</v>
          </cell>
          <cell r="F103" t="str">
            <v>0~8</v>
          </cell>
          <cell r="G103" t="str">
            <v>umol/L</v>
          </cell>
          <cell r="H103" t="str">
            <v>1μmol/L=1μmol/L</v>
          </cell>
          <cell r="I103">
            <v>1</v>
          </cell>
        </row>
        <row r="104">
          <cell r="C104" t="str">
            <v>BILIND</v>
          </cell>
          <cell r="D104" t="str">
            <v>直接胆红素（DBIL）</v>
          </cell>
          <cell r="E104" t="str">
            <v>μmol/L</v>
          </cell>
          <cell r="F104" t="str">
            <v>0~8</v>
          </cell>
          <cell r="G104" t="str">
            <v>umol/L</v>
          </cell>
          <cell r="H104" t="str">
            <v>1μmol/L=1μmol/L</v>
          </cell>
          <cell r="I104">
            <v>1</v>
          </cell>
        </row>
        <row r="105">
          <cell r="C105" t="str">
            <v>BILIND</v>
          </cell>
          <cell r="D105" t="str">
            <v>直接胆红素（DBIL）</v>
          </cell>
          <cell r="E105" t="str">
            <v>μmol/L</v>
          </cell>
          <cell r="F105" t="str">
            <v>0~8</v>
          </cell>
          <cell r="G105" t="str">
            <v>umol/L</v>
          </cell>
          <cell r="H105" t="str">
            <v>1μmol/L=1μmol/L</v>
          </cell>
          <cell r="I105">
            <v>1</v>
          </cell>
        </row>
        <row r="106">
          <cell r="C106" t="str">
            <v>BILIND</v>
          </cell>
          <cell r="D106" t="str">
            <v>直接胆红素（DBIL）</v>
          </cell>
          <cell r="E106" t="str">
            <v>umol/L</v>
          </cell>
          <cell r="F106" t="str">
            <v>0~8</v>
          </cell>
          <cell r="G106" t="str">
            <v>umol/L</v>
          </cell>
          <cell r="H106" t="str">
            <v>1umol/L=1μmol/L</v>
          </cell>
          <cell r="I106">
            <v>1</v>
          </cell>
        </row>
        <row r="107">
          <cell r="C107" t="str">
            <v>BILIND</v>
          </cell>
          <cell r="D107" t="str">
            <v>直接胆红素（DBIL）</v>
          </cell>
          <cell r="E107" t="str">
            <v>umol/L</v>
          </cell>
          <cell r="F107" t="str">
            <v>0~8</v>
          </cell>
          <cell r="G107" t="str">
            <v>umol/L</v>
          </cell>
          <cell r="H107" t="str">
            <v>1umol/L=1μmol/L</v>
          </cell>
          <cell r="I107">
            <v>1</v>
          </cell>
        </row>
        <row r="108">
          <cell r="C108" t="str">
            <v>BILIND</v>
          </cell>
          <cell r="D108" t="str">
            <v>直接胆红素（DBIL）</v>
          </cell>
          <cell r="E108" t="str">
            <v>umol/L</v>
          </cell>
          <cell r="F108" t="str">
            <v>0~4</v>
          </cell>
          <cell r="G108" t="str">
            <v>umol/L</v>
          </cell>
          <cell r="H108" t="str">
            <v>1umol/L=1μmol/L</v>
          </cell>
          <cell r="I108">
            <v>1</v>
          </cell>
        </row>
        <row r="109">
          <cell r="C109" t="str">
            <v>CREAT</v>
          </cell>
          <cell r="D109" t="str">
            <v>血肌酐（CREA）</v>
          </cell>
          <cell r="E109" t="str">
            <v>μmol/L</v>
          </cell>
          <cell r="F109" t="str">
            <v>57~111</v>
          </cell>
          <cell r="G109" t="str">
            <v>umol/L</v>
          </cell>
          <cell r="H109" t="str">
            <v>1μmol/L=1μmol/L</v>
          </cell>
          <cell r="I109">
            <v>1</v>
          </cell>
        </row>
        <row r="110">
          <cell r="C110" t="str">
            <v>CREAT</v>
          </cell>
          <cell r="D110" t="str">
            <v>血肌酐（CREA）</v>
          </cell>
          <cell r="E110" t="str">
            <v>μmol/L</v>
          </cell>
          <cell r="F110" t="str">
            <v>57~97</v>
          </cell>
          <cell r="G110" t="str">
            <v>umol/L</v>
          </cell>
          <cell r="H110" t="str">
            <v>1μmol/L=1μmol/L</v>
          </cell>
          <cell r="I110">
            <v>1</v>
          </cell>
        </row>
        <row r="111">
          <cell r="C111" t="str">
            <v>CREAT</v>
          </cell>
          <cell r="D111" t="str">
            <v>血肌酐（CREA）</v>
          </cell>
          <cell r="E111" t="str">
            <v>μmol/L</v>
          </cell>
          <cell r="F111" t="str">
            <v>41~73</v>
          </cell>
          <cell r="G111" t="str">
            <v>umol/L</v>
          </cell>
          <cell r="H111" t="str">
            <v>1μmol/L=1μmol/L</v>
          </cell>
          <cell r="I111">
            <v>1</v>
          </cell>
        </row>
        <row r="112">
          <cell r="C112" t="str">
            <v>CREAT</v>
          </cell>
          <cell r="D112" t="str">
            <v>血肌酐（CREA）</v>
          </cell>
          <cell r="E112" t="str">
            <v>μmol/L</v>
          </cell>
          <cell r="F112" t="str">
            <v>41~81</v>
          </cell>
          <cell r="G112" t="str">
            <v>umol/L</v>
          </cell>
          <cell r="H112" t="str">
            <v>1μmol/L=1μmol/L</v>
          </cell>
          <cell r="I112">
            <v>1</v>
          </cell>
        </row>
        <row r="113">
          <cell r="C113" t="str">
            <v>CREAT</v>
          </cell>
          <cell r="D113" t="str">
            <v>血肌酐（CREA）</v>
          </cell>
          <cell r="E113" t="str">
            <v>μmol/L</v>
          </cell>
          <cell r="F113" t="str">
            <v>57~97</v>
          </cell>
          <cell r="G113" t="str">
            <v>umol/L</v>
          </cell>
          <cell r="H113" t="str">
            <v>1μmol/L=1μmol/L</v>
          </cell>
          <cell r="I113">
            <v>1</v>
          </cell>
        </row>
        <row r="114">
          <cell r="C114" t="str">
            <v>CREAT</v>
          </cell>
          <cell r="D114" t="str">
            <v>血肌酐（CREA）</v>
          </cell>
          <cell r="E114" t="str">
            <v>μmol/L</v>
          </cell>
          <cell r="F114" t="str">
            <v>57~111</v>
          </cell>
          <cell r="G114" t="str">
            <v>umol/L</v>
          </cell>
          <cell r="H114" t="str">
            <v>1μmol/L=1μmol/L</v>
          </cell>
          <cell r="I114">
            <v>1</v>
          </cell>
        </row>
        <row r="115">
          <cell r="C115" t="str">
            <v>CREAT</v>
          </cell>
          <cell r="D115" t="str">
            <v>血肌酐（CREA）</v>
          </cell>
          <cell r="E115" t="str">
            <v>μmol/L</v>
          </cell>
          <cell r="F115" t="str">
            <v>41~81</v>
          </cell>
          <cell r="G115" t="str">
            <v>umol/L</v>
          </cell>
          <cell r="H115" t="str">
            <v>1μmol/L=1μmol/L</v>
          </cell>
          <cell r="I115">
            <v>1</v>
          </cell>
        </row>
        <row r="116">
          <cell r="C116" t="str">
            <v>CREAT</v>
          </cell>
          <cell r="D116" t="str">
            <v>血肌酐（CREA）</v>
          </cell>
          <cell r="E116" t="str">
            <v>μmol/L</v>
          </cell>
          <cell r="F116" t="str">
            <v>41~73</v>
          </cell>
          <cell r="G116" t="str">
            <v>umol/L</v>
          </cell>
          <cell r="H116" t="str">
            <v>1μmol/L=1μmol/L</v>
          </cell>
          <cell r="I116">
            <v>1</v>
          </cell>
        </row>
        <row r="117">
          <cell r="C117" t="str">
            <v>CREAT</v>
          </cell>
          <cell r="D117" t="str">
            <v>血肌酐（CREA）</v>
          </cell>
          <cell r="E117" t="str">
            <v>umol/L</v>
          </cell>
          <cell r="F117" t="str">
            <v>41~73</v>
          </cell>
          <cell r="G117" t="str">
            <v>umol/L</v>
          </cell>
          <cell r="H117" t="str">
            <v>1umol/L=1μmol/L</v>
          </cell>
          <cell r="I117">
            <v>1</v>
          </cell>
        </row>
        <row r="118">
          <cell r="C118" t="str">
            <v>CREAT</v>
          </cell>
          <cell r="D118" t="str">
            <v>血肌酐（CREA）</v>
          </cell>
          <cell r="E118" t="str">
            <v>umol/L</v>
          </cell>
          <cell r="F118" t="str">
            <v>57~111</v>
          </cell>
          <cell r="G118" t="str">
            <v>umol/L</v>
          </cell>
          <cell r="H118" t="str">
            <v>1umol/L=1μmol/L</v>
          </cell>
          <cell r="I118">
            <v>1</v>
          </cell>
        </row>
        <row r="119">
          <cell r="C119" t="str">
            <v>HCKMB</v>
          </cell>
          <cell r="D119" t="str">
            <v>肌酸激酶同工酶（CK-MB）</v>
          </cell>
          <cell r="E119" t="str">
            <v>U/L</v>
          </cell>
          <cell r="F119" t="str">
            <v>0~24</v>
          </cell>
          <cell r="G119"/>
          <cell r="H119" t="str">
            <v>置空</v>
          </cell>
          <cell r="I119" t="str">
            <v>正常值范围内为阴性，范围外为阳性</v>
          </cell>
        </row>
        <row r="120">
          <cell r="C120" t="str">
            <v>HCKMB</v>
          </cell>
          <cell r="D120" t="str">
            <v>肌酸激酶同工酶（CK-MB）</v>
          </cell>
          <cell r="E120" t="str">
            <v>U/L</v>
          </cell>
          <cell r="F120" t="str">
            <v>0~24</v>
          </cell>
          <cell r="G120"/>
          <cell r="H120" t="str">
            <v>置空</v>
          </cell>
          <cell r="I120" t="str">
            <v>正常值范围内为阴性，范围外为阳性</v>
          </cell>
        </row>
        <row r="121">
          <cell r="C121" t="str">
            <v>HCKMB</v>
          </cell>
          <cell r="D121" t="str">
            <v>肌酸激酶同工酶（CK-MB）</v>
          </cell>
          <cell r="E121" t="str">
            <v>ug/L</v>
          </cell>
          <cell r="F121" t="str">
            <v>0~4.87</v>
          </cell>
          <cell r="G121"/>
          <cell r="H121" t="str">
            <v>置空</v>
          </cell>
          <cell r="I121" t="str">
            <v>正常值范围内为阴性，范围外为阳性</v>
          </cell>
        </row>
        <row r="122">
          <cell r="C122" t="str">
            <v>HCKMB</v>
          </cell>
          <cell r="D122" t="str">
            <v>肌酸激酶同工酶（CK-MB）</v>
          </cell>
          <cell r="E122" t="str">
            <v>ug/L</v>
          </cell>
          <cell r="F122" t="str">
            <v>0~3.61</v>
          </cell>
          <cell r="G122"/>
          <cell r="H122" t="str">
            <v>置空</v>
          </cell>
          <cell r="I122" t="str">
            <v>正常值范围内为阴性，范围外为阳性</v>
          </cell>
        </row>
        <row r="123">
          <cell r="C123" t="str">
            <v>HCKMB</v>
          </cell>
          <cell r="D123" t="str">
            <v>肌酸激酶同工酶（CK-MB）</v>
          </cell>
          <cell r="E123" t="str">
            <v>ng/mL</v>
          </cell>
          <cell r="F123" t="str">
            <v>0~4.88</v>
          </cell>
          <cell r="G123"/>
          <cell r="H123" t="str">
            <v>置空</v>
          </cell>
          <cell r="I123" t="str">
            <v>正常值范围内为阴性，范围外为阳性</v>
          </cell>
        </row>
        <row r="124">
          <cell r="C124" t="str">
            <v>HCKMB</v>
          </cell>
          <cell r="D124" t="str">
            <v>肌酸激酶同工酶（CK-MB）</v>
          </cell>
          <cell r="E124" t="str">
            <v>ng/ml</v>
          </cell>
          <cell r="F124" t="str">
            <v>0.6~6.3</v>
          </cell>
          <cell r="G124"/>
          <cell r="H124" t="str">
            <v>置空</v>
          </cell>
          <cell r="I124" t="str">
            <v>正常值范围内为阴性，范围外为阳性</v>
          </cell>
        </row>
        <row r="125">
          <cell r="C125" t="str">
            <v>UA</v>
          </cell>
          <cell r="D125" t="str">
            <v>尿酸（UA）</v>
          </cell>
          <cell r="E125" t="str">
            <v>μmol/L</v>
          </cell>
          <cell r="F125" t="str">
            <v>208~428</v>
          </cell>
          <cell r="G125" t="str">
            <v>umol/L</v>
          </cell>
          <cell r="H125" t="str">
            <v>1μmol/L=1μmol/L</v>
          </cell>
          <cell r="I125">
            <v>1</v>
          </cell>
        </row>
        <row r="126">
          <cell r="C126" t="str">
            <v>UA</v>
          </cell>
          <cell r="D126" t="str">
            <v>尿酸（UA）</v>
          </cell>
          <cell r="E126" t="str">
            <v>μmol/L</v>
          </cell>
          <cell r="F126" t="str">
            <v>155~357</v>
          </cell>
          <cell r="G126" t="str">
            <v>umol/L</v>
          </cell>
          <cell r="H126" t="str">
            <v>1μmol/L=1μmol/L</v>
          </cell>
          <cell r="I126">
            <v>1</v>
          </cell>
        </row>
        <row r="127">
          <cell r="C127" t="str">
            <v>UA</v>
          </cell>
          <cell r="D127" t="str">
            <v>尿酸（UA）</v>
          </cell>
          <cell r="E127" t="str">
            <v>μmol/L</v>
          </cell>
          <cell r="F127" t="str">
            <v>202.3~416.5</v>
          </cell>
          <cell r="G127" t="str">
            <v>umol/L</v>
          </cell>
          <cell r="H127" t="str">
            <v>1μmol/L=1μmol/L</v>
          </cell>
          <cell r="I127">
            <v>1</v>
          </cell>
        </row>
        <row r="128">
          <cell r="C128" t="str">
            <v>UA</v>
          </cell>
          <cell r="D128" t="str">
            <v>尿酸（UA）</v>
          </cell>
          <cell r="E128" t="str">
            <v>μmol/L</v>
          </cell>
          <cell r="F128" t="str">
            <v>142.8~339.2</v>
          </cell>
          <cell r="G128" t="str">
            <v>umol/L</v>
          </cell>
          <cell r="H128" t="str">
            <v>1μmol/L=1μmol/L</v>
          </cell>
          <cell r="I128">
            <v>1</v>
          </cell>
        </row>
        <row r="129">
          <cell r="C129" t="str">
            <v>UA</v>
          </cell>
          <cell r="D129" t="str">
            <v>尿酸（UA）</v>
          </cell>
          <cell r="E129" t="str">
            <v>umol/L</v>
          </cell>
          <cell r="F129" t="str">
            <v>155~357</v>
          </cell>
          <cell r="G129" t="str">
            <v>umol/L</v>
          </cell>
          <cell r="H129" t="str">
            <v>1umol/L=1μmol/L</v>
          </cell>
          <cell r="I129">
            <v>1</v>
          </cell>
        </row>
        <row r="130">
          <cell r="C130" t="str">
            <v>UA</v>
          </cell>
          <cell r="D130" t="str">
            <v>尿酸（UA）</v>
          </cell>
          <cell r="E130" t="str">
            <v>umol/L</v>
          </cell>
          <cell r="F130" t="str">
            <v>208~428</v>
          </cell>
          <cell r="G130" t="str">
            <v>umol/L</v>
          </cell>
          <cell r="H130" t="str">
            <v>1umol/L=1μmol/L</v>
          </cell>
          <cell r="I130">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微软雅黑">
      <a:majorFont>
        <a:latin typeface="Calibri"/>
        <a:ea typeface="微软雅黑"/>
        <a:cs typeface=""/>
      </a:majorFont>
      <a:minorFont>
        <a:latin typeface="微软雅黑"/>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N48"/>
  <sheetViews>
    <sheetView tabSelected="1" zoomScale="85" zoomScaleNormal="85" workbookViewId="0">
      <selection activeCell="H26" sqref="H26"/>
    </sheetView>
  </sheetViews>
  <sheetFormatPr defaultColWidth="9" defaultRowHeight="15.6"/>
  <cols>
    <col min="1" max="1" width="10.6328125" style="7" customWidth="1"/>
    <col min="2" max="2" width="5.26953125" style="7" customWidth="1"/>
    <col min="3" max="3" width="25" style="7" customWidth="1"/>
    <col min="4" max="4" width="10.08984375" style="7" customWidth="1"/>
    <col min="5" max="5" width="10.453125" style="7" customWidth="1"/>
    <col min="6" max="6" width="79.54296875" style="7" customWidth="1"/>
    <col min="7" max="7" width="9.26953125" style="7" customWidth="1"/>
    <col min="8" max="8" width="84.1796875" style="7" customWidth="1"/>
    <col min="9" max="9" width="12.81640625" style="7" customWidth="1"/>
    <col min="10" max="10" width="13.81640625" style="7" customWidth="1"/>
    <col min="11" max="11" width="11.453125" style="7" customWidth="1"/>
    <col min="12" max="12" width="15.1796875" style="7" customWidth="1"/>
    <col min="13" max="13" width="11" style="7" customWidth="1"/>
    <col min="14" max="14" width="18.1796875" style="7" customWidth="1"/>
    <col min="15" max="16384" width="9" style="7"/>
  </cols>
  <sheetData>
    <row r="1" spans="1:14">
      <c r="A1" s="43" t="s">
        <v>0</v>
      </c>
      <c r="B1" s="43" t="s">
        <v>1</v>
      </c>
      <c r="C1" s="43" t="s">
        <v>3308</v>
      </c>
      <c r="D1" s="43" t="s">
        <v>2</v>
      </c>
      <c r="E1" s="43" t="s">
        <v>3309</v>
      </c>
      <c r="F1" s="43" t="s">
        <v>3307</v>
      </c>
      <c r="G1" s="43" t="s">
        <v>4</v>
      </c>
      <c r="H1" s="43" t="s">
        <v>3310</v>
      </c>
      <c r="I1" s="43" t="s">
        <v>3311</v>
      </c>
      <c r="J1" s="43" t="s">
        <v>3312</v>
      </c>
      <c r="K1" s="43" t="s">
        <v>3313</v>
      </c>
      <c r="L1" s="43" t="s">
        <v>3314</v>
      </c>
      <c r="M1" s="43" t="s">
        <v>3315</v>
      </c>
      <c r="N1" s="43" t="s">
        <v>3316</v>
      </c>
    </row>
    <row r="2" spans="1:14">
      <c r="A2" s="44" t="s">
        <v>1199</v>
      </c>
      <c r="B2" s="45" t="s">
        <v>3358</v>
      </c>
      <c r="C2" s="44" t="s">
        <v>1200</v>
      </c>
      <c r="D2" s="44" t="s">
        <v>1201</v>
      </c>
      <c r="E2" s="45"/>
      <c r="F2" s="44" t="s">
        <v>1202</v>
      </c>
      <c r="G2" s="44" t="s">
        <v>1174</v>
      </c>
      <c r="H2" s="44" t="s">
        <v>1203</v>
      </c>
      <c r="I2" s="45" t="s">
        <v>3317</v>
      </c>
      <c r="J2" s="45" t="s">
        <v>3318</v>
      </c>
      <c r="K2" s="45" t="s">
        <v>3319</v>
      </c>
      <c r="L2" s="45" t="s">
        <v>3319</v>
      </c>
      <c r="M2" s="45"/>
      <c r="N2" s="45"/>
    </row>
    <row r="3" spans="1:14">
      <c r="A3" s="44" t="s">
        <v>1186</v>
      </c>
      <c r="B3" s="45" t="s">
        <v>3359</v>
      </c>
      <c r="C3" s="44" t="s">
        <v>1187</v>
      </c>
      <c r="D3" s="44" t="s">
        <v>1188</v>
      </c>
      <c r="E3" s="45"/>
      <c r="F3" s="44" t="s">
        <v>1189</v>
      </c>
      <c r="G3" s="44" t="s">
        <v>1174</v>
      </c>
      <c r="H3" s="44" t="s">
        <v>1404</v>
      </c>
      <c r="I3" s="45" t="s">
        <v>3317</v>
      </c>
      <c r="J3" s="45" t="s">
        <v>3318</v>
      </c>
      <c r="K3" s="45" t="s">
        <v>3319</v>
      </c>
      <c r="L3" s="45" t="s">
        <v>3319</v>
      </c>
      <c r="M3" s="45"/>
      <c r="N3" s="45"/>
    </row>
    <row r="4" spans="1:14">
      <c r="A4" s="44" t="s">
        <v>1175</v>
      </c>
      <c r="B4" s="45" t="s">
        <v>3360</v>
      </c>
      <c r="C4" s="44" t="s">
        <v>1176</v>
      </c>
      <c r="D4" s="44" t="s">
        <v>1173</v>
      </c>
      <c r="E4" s="45"/>
      <c r="F4" s="44" t="s">
        <v>1177</v>
      </c>
      <c r="G4" s="44" t="s">
        <v>1174</v>
      </c>
      <c r="H4" s="44" t="s">
        <v>1178</v>
      </c>
      <c r="I4" s="45" t="s">
        <v>3317</v>
      </c>
      <c r="J4" s="45" t="s">
        <v>3318</v>
      </c>
      <c r="K4" s="45" t="s">
        <v>3318</v>
      </c>
      <c r="L4" s="45" t="s">
        <v>3319</v>
      </c>
      <c r="M4" s="45"/>
      <c r="N4" s="45"/>
    </row>
    <row r="5" spans="1:14">
      <c r="A5" s="44" t="s">
        <v>1204</v>
      </c>
      <c r="B5" s="45" t="s">
        <v>1471</v>
      </c>
      <c r="C5" s="44" t="s">
        <v>1205</v>
      </c>
      <c r="D5" s="44" t="s">
        <v>1201</v>
      </c>
      <c r="E5" s="45"/>
      <c r="F5" s="44" t="s">
        <v>1206</v>
      </c>
      <c r="G5" s="44" t="s">
        <v>1174</v>
      </c>
      <c r="H5" s="44" t="s">
        <v>1207</v>
      </c>
      <c r="I5" s="45" t="s">
        <v>3317</v>
      </c>
      <c r="J5" s="45" t="s">
        <v>3318</v>
      </c>
      <c r="K5" s="45" t="s">
        <v>3319</v>
      </c>
      <c r="L5" s="45" t="s">
        <v>3319</v>
      </c>
      <c r="M5" s="45"/>
      <c r="N5" s="45"/>
    </row>
    <row r="6" spans="1:14">
      <c r="A6" s="44" t="s">
        <v>13</v>
      </c>
      <c r="B6" s="45" t="s">
        <v>2929</v>
      </c>
      <c r="C6" s="44" t="s">
        <v>1208</v>
      </c>
      <c r="D6" s="44" t="s">
        <v>1201</v>
      </c>
      <c r="E6" s="45"/>
      <c r="F6" s="44" t="s">
        <v>1209</v>
      </c>
      <c r="G6" s="44" t="s">
        <v>1174</v>
      </c>
      <c r="H6" s="44" t="s">
        <v>1210</v>
      </c>
      <c r="I6" s="45" t="s">
        <v>3317</v>
      </c>
      <c r="J6" s="45" t="s">
        <v>3318</v>
      </c>
      <c r="K6" s="45" t="s">
        <v>3319</v>
      </c>
      <c r="L6" s="45" t="s">
        <v>3319</v>
      </c>
      <c r="M6" s="45"/>
      <c r="N6" s="45"/>
    </row>
    <row r="7" spans="1:14">
      <c r="A7" s="44" t="s">
        <v>791</v>
      </c>
      <c r="B7" s="45" t="s">
        <v>2930</v>
      </c>
      <c r="C7" s="44" t="s">
        <v>1190</v>
      </c>
      <c r="D7" s="44" t="s">
        <v>1188</v>
      </c>
      <c r="E7" s="45"/>
      <c r="F7" s="44" t="s">
        <v>1172</v>
      </c>
      <c r="G7" s="44" t="s">
        <v>1174</v>
      </c>
      <c r="H7" s="44" t="s">
        <v>1171</v>
      </c>
      <c r="I7" s="45" t="s">
        <v>3317</v>
      </c>
      <c r="J7" s="45" t="s">
        <v>3318</v>
      </c>
      <c r="K7" s="45" t="s">
        <v>3319</v>
      </c>
      <c r="L7" s="45" t="s">
        <v>3319</v>
      </c>
      <c r="M7" s="45"/>
      <c r="N7" s="45"/>
    </row>
    <row r="8" spans="1:14">
      <c r="A8" s="44" t="s">
        <v>1215</v>
      </c>
      <c r="B8" s="45" t="s">
        <v>2931</v>
      </c>
      <c r="C8" s="44" t="s">
        <v>1216</v>
      </c>
      <c r="D8" s="44" t="s">
        <v>1214</v>
      </c>
      <c r="E8" s="45"/>
      <c r="F8" s="44" t="s">
        <v>1217</v>
      </c>
      <c r="G8" s="44" t="s">
        <v>1174</v>
      </c>
      <c r="H8" s="44" t="s">
        <v>1405</v>
      </c>
      <c r="I8" s="45" t="s">
        <v>3317</v>
      </c>
      <c r="J8" s="45" t="s">
        <v>3318</v>
      </c>
      <c r="K8" s="45" t="s">
        <v>3319</v>
      </c>
      <c r="L8" s="45" t="s">
        <v>3319</v>
      </c>
      <c r="M8" s="45"/>
      <c r="N8" s="45"/>
    </row>
    <row r="9" spans="1:14">
      <c r="A9" s="44" t="s">
        <v>1191</v>
      </c>
      <c r="B9" s="45" t="s">
        <v>2682</v>
      </c>
      <c r="C9" s="44" t="s">
        <v>1192</v>
      </c>
      <c r="D9" s="44" t="s">
        <v>1188</v>
      </c>
      <c r="E9" s="45"/>
      <c r="F9" s="44" t="s">
        <v>1193</v>
      </c>
      <c r="G9" s="44" t="s">
        <v>1174</v>
      </c>
      <c r="H9" s="44" t="s">
        <v>1194</v>
      </c>
      <c r="I9" s="45" t="s">
        <v>3317</v>
      </c>
      <c r="J9" s="45" t="s">
        <v>3318</v>
      </c>
      <c r="K9" s="45" t="s">
        <v>3319</v>
      </c>
      <c r="L9" s="45" t="s">
        <v>3319</v>
      </c>
      <c r="M9" s="45"/>
      <c r="N9" s="45"/>
    </row>
    <row r="10" spans="1:14">
      <c r="A10" s="44" t="s">
        <v>583</v>
      </c>
      <c r="B10" s="45" t="s">
        <v>2038</v>
      </c>
      <c r="C10" s="44" t="s">
        <v>1218</v>
      </c>
      <c r="D10" s="44" t="s">
        <v>1214</v>
      </c>
      <c r="E10" s="45"/>
      <c r="F10" s="44" t="s">
        <v>1219</v>
      </c>
      <c r="G10" s="44" t="s">
        <v>1174</v>
      </c>
      <c r="H10" s="44" t="s">
        <v>1220</v>
      </c>
      <c r="I10" s="45" t="s">
        <v>3317</v>
      </c>
      <c r="J10" s="45" t="s">
        <v>3318</v>
      </c>
      <c r="K10" s="45" t="s">
        <v>3319</v>
      </c>
      <c r="L10" s="45" t="s">
        <v>3319</v>
      </c>
      <c r="M10" s="45"/>
      <c r="N10" s="45"/>
    </row>
    <row r="11" spans="1:14">
      <c r="A11" s="44" t="s">
        <v>1221</v>
      </c>
      <c r="B11" s="45" t="s">
        <v>2932</v>
      </c>
      <c r="C11" s="44" t="s">
        <v>1222</v>
      </c>
      <c r="D11" s="44" t="s">
        <v>1214</v>
      </c>
      <c r="E11" s="45"/>
      <c r="F11" s="44" t="s">
        <v>1223</v>
      </c>
      <c r="G11" s="44" t="s">
        <v>1174</v>
      </c>
      <c r="H11" s="44" t="s">
        <v>1406</v>
      </c>
      <c r="I11" s="45" t="s">
        <v>3317</v>
      </c>
      <c r="J11" s="45" t="s">
        <v>3318</v>
      </c>
      <c r="K11" s="45" t="s">
        <v>3319</v>
      </c>
      <c r="L11" s="45" t="s">
        <v>3319</v>
      </c>
      <c r="M11" s="45"/>
      <c r="N11" s="45"/>
    </row>
    <row r="12" spans="1:14">
      <c r="A12" s="44" t="s">
        <v>1211</v>
      </c>
      <c r="B12" s="45" t="s">
        <v>2933</v>
      </c>
      <c r="C12" s="44" t="s">
        <v>1212</v>
      </c>
      <c r="D12" s="44" t="s">
        <v>1201</v>
      </c>
      <c r="E12" s="45"/>
      <c r="F12" s="44" t="s">
        <v>1213</v>
      </c>
      <c r="G12" s="44" t="s">
        <v>1174</v>
      </c>
      <c r="H12" s="44" t="s">
        <v>1407</v>
      </c>
      <c r="I12" s="45" t="s">
        <v>3317</v>
      </c>
      <c r="J12" s="45" t="s">
        <v>3318</v>
      </c>
      <c r="K12" s="45" t="s">
        <v>3319</v>
      </c>
      <c r="L12" s="45" t="s">
        <v>3319</v>
      </c>
      <c r="M12" s="45"/>
      <c r="N12" s="45"/>
    </row>
    <row r="13" spans="1:14">
      <c r="A13" s="44" t="s">
        <v>754</v>
      </c>
      <c r="B13" s="45" t="s">
        <v>2934</v>
      </c>
      <c r="C13" s="44" t="s">
        <v>1224</v>
      </c>
      <c r="D13" s="44" t="s">
        <v>1214</v>
      </c>
      <c r="E13" s="45"/>
      <c r="F13" s="44" t="s">
        <v>1225</v>
      </c>
      <c r="G13" s="44" t="s">
        <v>1174</v>
      </c>
      <c r="H13" s="44" t="s">
        <v>1226</v>
      </c>
      <c r="I13" s="45" t="s">
        <v>3317</v>
      </c>
      <c r="J13" s="45" t="s">
        <v>3318</v>
      </c>
      <c r="K13" s="45" t="s">
        <v>3319</v>
      </c>
      <c r="L13" s="45" t="s">
        <v>3319</v>
      </c>
      <c r="M13" s="45"/>
      <c r="N13" s="45"/>
    </row>
    <row r="14" spans="1:14">
      <c r="A14" s="44" t="s">
        <v>1227</v>
      </c>
      <c r="B14" s="45" t="s">
        <v>2935</v>
      </c>
      <c r="C14" s="44" t="s">
        <v>1228</v>
      </c>
      <c r="D14" s="44" t="s">
        <v>1214</v>
      </c>
      <c r="E14" s="45"/>
      <c r="F14" s="44" t="s">
        <v>1229</v>
      </c>
      <c r="G14" s="44" t="s">
        <v>1174</v>
      </c>
      <c r="H14" s="44" t="s">
        <v>1230</v>
      </c>
      <c r="I14" s="45" t="s">
        <v>3317</v>
      </c>
      <c r="J14" s="45" t="s">
        <v>3318</v>
      </c>
      <c r="K14" s="45" t="s">
        <v>3319</v>
      </c>
      <c r="L14" s="45" t="s">
        <v>3319</v>
      </c>
      <c r="M14" s="45"/>
      <c r="N14" s="45"/>
    </row>
    <row r="15" spans="1:14">
      <c r="A15" s="44" t="s">
        <v>1231</v>
      </c>
      <c r="B15" s="45" t="s">
        <v>2936</v>
      </c>
      <c r="C15" s="44" t="s">
        <v>1232</v>
      </c>
      <c r="D15" s="44" t="s">
        <v>1214</v>
      </c>
      <c r="E15" s="45"/>
      <c r="F15" s="44" t="s">
        <v>1233</v>
      </c>
      <c r="G15" s="44" t="s">
        <v>1174</v>
      </c>
      <c r="H15" s="44" t="s">
        <v>1234</v>
      </c>
      <c r="I15" s="45" t="s">
        <v>3317</v>
      </c>
      <c r="J15" s="45" t="s">
        <v>3318</v>
      </c>
      <c r="K15" s="45" t="s">
        <v>3319</v>
      </c>
      <c r="L15" s="45" t="s">
        <v>3319</v>
      </c>
      <c r="M15" s="45"/>
      <c r="N15" s="45"/>
    </row>
    <row r="16" spans="1:14">
      <c r="A16" s="44" t="s">
        <v>1195</v>
      </c>
      <c r="B16" s="45" t="s">
        <v>2937</v>
      </c>
      <c r="C16" s="44" t="s">
        <v>1196</v>
      </c>
      <c r="D16" s="44" t="s">
        <v>1188</v>
      </c>
      <c r="E16" s="45"/>
      <c r="F16" s="44" t="s">
        <v>1197</v>
      </c>
      <c r="G16" s="44" t="s">
        <v>1174</v>
      </c>
      <c r="H16" s="44" t="s">
        <v>1198</v>
      </c>
      <c r="I16" s="45" t="s">
        <v>3317</v>
      </c>
      <c r="J16" s="45" t="s">
        <v>3318</v>
      </c>
      <c r="K16" s="45" t="s">
        <v>3319</v>
      </c>
      <c r="L16" s="45" t="s">
        <v>3319</v>
      </c>
      <c r="M16" s="45"/>
      <c r="N16" s="45"/>
    </row>
    <row r="17" spans="1:14">
      <c r="A17" s="44" t="s">
        <v>602</v>
      </c>
      <c r="B17" s="45" t="s">
        <v>2938</v>
      </c>
      <c r="C17" s="44" t="s">
        <v>1235</v>
      </c>
      <c r="D17" s="44" t="s">
        <v>1214</v>
      </c>
      <c r="E17" s="45"/>
      <c r="F17" s="44" t="s">
        <v>1236</v>
      </c>
      <c r="G17" s="44" t="s">
        <v>1174</v>
      </c>
      <c r="H17" s="44" t="s">
        <v>1237</v>
      </c>
      <c r="I17" s="45" t="s">
        <v>3317</v>
      </c>
      <c r="J17" s="45" t="s">
        <v>3318</v>
      </c>
      <c r="K17" s="45" t="s">
        <v>3319</v>
      </c>
      <c r="L17" s="45" t="s">
        <v>3319</v>
      </c>
      <c r="M17" s="45"/>
      <c r="N17" s="45"/>
    </row>
    <row r="18" spans="1:14">
      <c r="A18" s="44" t="s">
        <v>736</v>
      </c>
      <c r="B18" s="45" t="s">
        <v>2939</v>
      </c>
      <c r="C18" s="44" t="s">
        <v>1238</v>
      </c>
      <c r="D18" s="44" t="s">
        <v>1214</v>
      </c>
      <c r="E18" s="45"/>
      <c r="F18" s="44" t="s">
        <v>1239</v>
      </c>
      <c r="G18" s="44" t="s">
        <v>1174</v>
      </c>
      <c r="H18" s="44" t="s">
        <v>1408</v>
      </c>
      <c r="I18" s="45" t="s">
        <v>3317</v>
      </c>
      <c r="J18" s="45" t="s">
        <v>3318</v>
      </c>
      <c r="K18" s="45" t="s">
        <v>3319</v>
      </c>
      <c r="L18" s="45" t="s">
        <v>3319</v>
      </c>
      <c r="M18" s="45"/>
      <c r="N18" s="45"/>
    </row>
    <row r="19" spans="1:14">
      <c r="A19" s="44" t="s">
        <v>1179</v>
      </c>
      <c r="B19" s="45" t="s">
        <v>2940</v>
      </c>
      <c r="C19" s="44" t="s">
        <v>1180</v>
      </c>
      <c r="D19" s="44" t="s">
        <v>1173</v>
      </c>
      <c r="E19" s="45"/>
      <c r="F19" s="44" t="s">
        <v>1181</v>
      </c>
      <c r="G19" s="44" t="s">
        <v>1174</v>
      </c>
      <c r="H19" s="44" t="s">
        <v>1409</v>
      </c>
      <c r="I19" s="45" t="s">
        <v>3317</v>
      </c>
      <c r="J19" s="45" t="s">
        <v>3318</v>
      </c>
      <c r="K19" s="45" t="s">
        <v>3319</v>
      </c>
      <c r="L19" s="45" t="s">
        <v>3319</v>
      </c>
      <c r="M19" s="45"/>
      <c r="N19" s="45"/>
    </row>
    <row r="20" spans="1:14">
      <c r="A20" s="44" t="s">
        <v>943</v>
      </c>
      <c r="B20" s="45" t="s">
        <v>2941</v>
      </c>
      <c r="C20" s="44" t="s">
        <v>1240</v>
      </c>
      <c r="D20" s="44" t="s">
        <v>1214</v>
      </c>
      <c r="E20" s="45"/>
      <c r="F20" s="44" t="s">
        <v>1241</v>
      </c>
      <c r="G20" s="44" t="s">
        <v>1174</v>
      </c>
      <c r="H20" s="44" t="s">
        <v>1410</v>
      </c>
      <c r="I20" s="45" t="s">
        <v>3317</v>
      </c>
      <c r="J20" s="45" t="s">
        <v>3318</v>
      </c>
      <c r="K20" s="45" t="s">
        <v>3319</v>
      </c>
      <c r="L20" s="45" t="s">
        <v>3319</v>
      </c>
      <c r="M20" s="45"/>
      <c r="N20" s="45"/>
    </row>
    <row r="21" spans="1:14">
      <c r="A21" s="44" t="s">
        <v>3339</v>
      </c>
      <c r="B21" s="45" t="s">
        <v>2942</v>
      </c>
      <c r="C21" s="44" t="s">
        <v>1271</v>
      </c>
      <c r="D21" s="44" t="s">
        <v>1270</v>
      </c>
      <c r="E21" s="45"/>
      <c r="F21" s="44" t="s">
        <v>1272</v>
      </c>
      <c r="G21" s="44" t="s">
        <v>1174</v>
      </c>
      <c r="H21" s="44" t="s">
        <v>1273</v>
      </c>
      <c r="I21" s="45" t="s">
        <v>3317</v>
      </c>
      <c r="J21" s="45" t="s">
        <v>3318</v>
      </c>
      <c r="K21" s="45" t="s">
        <v>3319</v>
      </c>
      <c r="L21" s="45" t="s">
        <v>3319</v>
      </c>
      <c r="M21" s="45"/>
      <c r="N21" s="45"/>
    </row>
    <row r="22" spans="1:14">
      <c r="A22" s="44" t="s">
        <v>3340</v>
      </c>
      <c r="B22" s="45" t="s">
        <v>2943</v>
      </c>
      <c r="C22" s="44" t="s">
        <v>1271</v>
      </c>
      <c r="D22" s="44" t="s">
        <v>1270</v>
      </c>
      <c r="E22" s="45"/>
      <c r="F22" s="44" t="s">
        <v>1272</v>
      </c>
      <c r="G22" s="44" t="s">
        <v>1174</v>
      </c>
      <c r="H22" s="44" t="s">
        <v>1273</v>
      </c>
      <c r="I22" s="45" t="s">
        <v>3317</v>
      </c>
      <c r="J22" s="45" t="s">
        <v>3318</v>
      </c>
      <c r="K22" s="45" t="s">
        <v>3319</v>
      </c>
      <c r="L22" s="45" t="s">
        <v>3319</v>
      </c>
      <c r="M22" s="45"/>
      <c r="N22" s="45"/>
    </row>
    <row r="23" spans="1:14">
      <c r="A23" s="44" t="s">
        <v>3341</v>
      </c>
      <c r="B23" s="45" t="s">
        <v>1971</v>
      </c>
      <c r="C23" s="44" t="s">
        <v>1271</v>
      </c>
      <c r="D23" s="44" t="s">
        <v>1270</v>
      </c>
      <c r="E23" s="45"/>
      <c r="F23" s="44" t="s">
        <v>1272</v>
      </c>
      <c r="G23" s="44" t="s">
        <v>1174</v>
      </c>
      <c r="H23" s="44" t="s">
        <v>1273</v>
      </c>
      <c r="I23" s="45" t="s">
        <v>3317</v>
      </c>
      <c r="J23" s="45" t="s">
        <v>3318</v>
      </c>
      <c r="K23" s="45" t="s">
        <v>3319</v>
      </c>
      <c r="L23" s="45" t="s">
        <v>3319</v>
      </c>
      <c r="M23" s="45"/>
      <c r="N23" s="45"/>
    </row>
    <row r="24" spans="1:14">
      <c r="A24" s="44" t="s">
        <v>3342</v>
      </c>
      <c r="B24" s="45" t="s">
        <v>2944</v>
      </c>
      <c r="C24" s="44" t="s">
        <v>1271</v>
      </c>
      <c r="D24" s="44" t="s">
        <v>1270</v>
      </c>
      <c r="E24" s="45"/>
      <c r="F24" s="44" t="s">
        <v>1272</v>
      </c>
      <c r="G24" s="44" t="s">
        <v>1174</v>
      </c>
      <c r="H24" s="44" t="s">
        <v>1273</v>
      </c>
      <c r="I24" s="45" t="s">
        <v>3317</v>
      </c>
      <c r="J24" s="45" t="s">
        <v>3318</v>
      </c>
      <c r="K24" s="45" t="s">
        <v>3319</v>
      </c>
      <c r="L24" s="45" t="s">
        <v>3319</v>
      </c>
      <c r="M24" s="45"/>
      <c r="N24" s="45"/>
    </row>
    <row r="25" spans="1:14">
      <c r="A25" s="44" t="s">
        <v>3343</v>
      </c>
      <c r="B25" s="45" t="s">
        <v>2683</v>
      </c>
      <c r="C25" s="44" t="s">
        <v>1271</v>
      </c>
      <c r="D25" s="44" t="s">
        <v>1270</v>
      </c>
      <c r="E25" s="45"/>
      <c r="F25" s="44" t="s">
        <v>1272</v>
      </c>
      <c r="G25" s="44" t="s">
        <v>1174</v>
      </c>
      <c r="H25" s="44" t="s">
        <v>1273</v>
      </c>
      <c r="I25" s="45" t="s">
        <v>3317</v>
      </c>
      <c r="J25" s="45" t="s">
        <v>3318</v>
      </c>
      <c r="K25" s="45" t="s">
        <v>3319</v>
      </c>
      <c r="L25" s="45" t="s">
        <v>3319</v>
      </c>
      <c r="M25" s="45"/>
      <c r="N25" s="45"/>
    </row>
    <row r="26" spans="1:14">
      <c r="A26" s="44" t="s">
        <v>3344</v>
      </c>
      <c r="B26" s="45" t="s">
        <v>2945</v>
      </c>
      <c r="C26" s="44" t="s">
        <v>1271</v>
      </c>
      <c r="D26" s="44" t="s">
        <v>1270</v>
      </c>
      <c r="E26" s="45"/>
      <c r="F26" s="44" t="s">
        <v>1272</v>
      </c>
      <c r="G26" s="44" t="s">
        <v>1174</v>
      </c>
      <c r="H26" s="44" t="s">
        <v>1273</v>
      </c>
      <c r="I26" s="45" t="s">
        <v>3317</v>
      </c>
      <c r="J26" s="45" t="s">
        <v>3318</v>
      </c>
      <c r="K26" s="45" t="s">
        <v>3319</v>
      </c>
      <c r="L26" s="45" t="s">
        <v>3319</v>
      </c>
      <c r="M26" s="45"/>
      <c r="N26" s="45"/>
    </row>
    <row r="27" spans="1:14">
      <c r="A27" s="44" t="s">
        <v>3345</v>
      </c>
      <c r="B27" s="45" t="s">
        <v>2946</v>
      </c>
      <c r="C27" s="44" t="s">
        <v>1271</v>
      </c>
      <c r="D27" s="44" t="s">
        <v>1270</v>
      </c>
      <c r="E27" s="45"/>
      <c r="F27" s="44" t="s">
        <v>1272</v>
      </c>
      <c r="G27" s="44" t="s">
        <v>1174</v>
      </c>
      <c r="H27" s="44" t="s">
        <v>1273</v>
      </c>
      <c r="I27" s="45" t="s">
        <v>3317</v>
      </c>
      <c r="J27" s="45" t="s">
        <v>3318</v>
      </c>
      <c r="K27" s="45" t="s">
        <v>3319</v>
      </c>
      <c r="L27" s="45" t="s">
        <v>3319</v>
      </c>
      <c r="M27" s="45"/>
      <c r="N27" s="45"/>
    </row>
    <row r="28" spans="1:14">
      <c r="A28" s="44" t="s">
        <v>3346</v>
      </c>
      <c r="B28" s="45" t="s">
        <v>2947</v>
      </c>
      <c r="C28" s="44" t="s">
        <v>1271</v>
      </c>
      <c r="D28" s="44" t="s">
        <v>1270</v>
      </c>
      <c r="E28" s="45"/>
      <c r="F28" s="44" t="s">
        <v>1272</v>
      </c>
      <c r="G28" s="44" t="s">
        <v>1174</v>
      </c>
      <c r="H28" s="44" t="s">
        <v>1273</v>
      </c>
      <c r="I28" s="45" t="s">
        <v>3317</v>
      </c>
      <c r="J28" s="45" t="s">
        <v>3318</v>
      </c>
      <c r="K28" s="45" t="s">
        <v>3319</v>
      </c>
      <c r="L28" s="45" t="s">
        <v>3319</v>
      </c>
      <c r="M28" s="45"/>
      <c r="N28" s="45"/>
    </row>
    <row r="29" spans="1:14">
      <c r="A29" s="44" t="s">
        <v>3347</v>
      </c>
      <c r="B29" s="45" t="s">
        <v>2948</v>
      </c>
      <c r="C29" s="44" t="s">
        <v>1271</v>
      </c>
      <c r="D29" s="44" t="s">
        <v>1270</v>
      </c>
      <c r="E29" s="45"/>
      <c r="F29" s="44" t="s">
        <v>1272</v>
      </c>
      <c r="G29" s="44" t="s">
        <v>1174</v>
      </c>
      <c r="H29" s="44" t="s">
        <v>1273</v>
      </c>
      <c r="I29" s="45" t="s">
        <v>3317</v>
      </c>
      <c r="J29" s="45" t="s">
        <v>3318</v>
      </c>
      <c r="K29" s="45" t="s">
        <v>3319</v>
      </c>
      <c r="L29" s="45" t="s">
        <v>3319</v>
      </c>
      <c r="M29" s="45"/>
      <c r="N29" s="45"/>
    </row>
    <row r="30" spans="1:14">
      <c r="A30" s="44" t="s">
        <v>3348</v>
      </c>
      <c r="B30" s="45" t="s">
        <v>2949</v>
      </c>
      <c r="C30" s="44" t="s">
        <v>1271</v>
      </c>
      <c r="D30" s="44" t="s">
        <v>1270</v>
      </c>
      <c r="E30" s="45"/>
      <c r="F30" s="44" t="s">
        <v>1272</v>
      </c>
      <c r="G30" s="44" t="s">
        <v>1174</v>
      </c>
      <c r="H30" s="44" t="s">
        <v>1273</v>
      </c>
      <c r="I30" s="45" t="s">
        <v>3317</v>
      </c>
      <c r="J30" s="45" t="s">
        <v>3318</v>
      </c>
      <c r="K30" s="45" t="s">
        <v>3319</v>
      </c>
      <c r="L30" s="45" t="s">
        <v>3319</v>
      </c>
      <c r="M30" s="45"/>
      <c r="N30" s="45"/>
    </row>
    <row r="31" spans="1:14">
      <c r="A31" s="44" t="s">
        <v>3349</v>
      </c>
      <c r="B31" s="45" t="s">
        <v>2950</v>
      </c>
      <c r="C31" s="44" t="s">
        <v>1271</v>
      </c>
      <c r="D31" s="44" t="s">
        <v>1270</v>
      </c>
      <c r="E31" s="45"/>
      <c r="F31" s="44" t="s">
        <v>1272</v>
      </c>
      <c r="G31" s="44" t="s">
        <v>1174</v>
      </c>
      <c r="H31" s="44" t="s">
        <v>1273</v>
      </c>
      <c r="I31" s="45" t="s">
        <v>3317</v>
      </c>
      <c r="J31" s="45" t="s">
        <v>3318</v>
      </c>
      <c r="K31" s="45" t="s">
        <v>3319</v>
      </c>
      <c r="L31" s="45" t="s">
        <v>3319</v>
      </c>
      <c r="M31" s="45"/>
      <c r="N31" s="45"/>
    </row>
    <row r="32" spans="1:14">
      <c r="A32" s="44" t="s">
        <v>3350</v>
      </c>
      <c r="B32" s="45" t="s">
        <v>2951</v>
      </c>
      <c r="C32" s="44" t="s">
        <v>1271</v>
      </c>
      <c r="D32" s="44" t="s">
        <v>1270</v>
      </c>
      <c r="E32" s="45"/>
      <c r="F32" s="44" t="s">
        <v>1272</v>
      </c>
      <c r="G32" s="44" t="s">
        <v>1174</v>
      </c>
      <c r="H32" s="44" t="s">
        <v>1273</v>
      </c>
      <c r="I32" s="45" t="s">
        <v>3317</v>
      </c>
      <c r="J32" s="45" t="s">
        <v>3318</v>
      </c>
      <c r="K32" s="45" t="s">
        <v>3319</v>
      </c>
      <c r="L32" s="45" t="s">
        <v>3319</v>
      </c>
      <c r="M32" s="45"/>
      <c r="N32" s="45"/>
    </row>
    <row r="33" spans="1:14">
      <c r="A33" s="44" t="s">
        <v>3351</v>
      </c>
      <c r="B33" s="45" t="s">
        <v>2952</v>
      </c>
      <c r="C33" s="44" t="s">
        <v>1271</v>
      </c>
      <c r="D33" s="44" t="s">
        <v>1270</v>
      </c>
      <c r="E33" s="45"/>
      <c r="F33" s="44" t="s">
        <v>1272</v>
      </c>
      <c r="G33" s="44" t="s">
        <v>1174</v>
      </c>
      <c r="H33" s="44" t="s">
        <v>1273</v>
      </c>
      <c r="I33" s="45" t="s">
        <v>3317</v>
      </c>
      <c r="J33" s="45" t="s">
        <v>3318</v>
      </c>
      <c r="K33" s="45" t="s">
        <v>3319</v>
      </c>
      <c r="L33" s="45" t="s">
        <v>3319</v>
      </c>
      <c r="M33" s="45"/>
      <c r="N33" s="45"/>
    </row>
    <row r="34" spans="1:14">
      <c r="A34" s="44" t="s">
        <v>3352</v>
      </c>
      <c r="B34" s="45" t="s">
        <v>2953</v>
      </c>
      <c r="C34" s="44" t="s">
        <v>1271</v>
      </c>
      <c r="D34" s="44" t="s">
        <v>1270</v>
      </c>
      <c r="E34" s="45"/>
      <c r="F34" s="44" t="s">
        <v>1272</v>
      </c>
      <c r="G34" s="44" t="s">
        <v>1174</v>
      </c>
      <c r="H34" s="44" t="s">
        <v>1273</v>
      </c>
      <c r="I34" s="45" t="s">
        <v>3317</v>
      </c>
      <c r="J34" s="45" t="s">
        <v>3318</v>
      </c>
      <c r="K34" s="45" t="s">
        <v>3319</v>
      </c>
      <c r="L34" s="45" t="s">
        <v>3319</v>
      </c>
      <c r="M34" s="45"/>
      <c r="N34" s="45"/>
    </row>
    <row r="35" spans="1:14">
      <c r="A35" s="44" t="s">
        <v>3353</v>
      </c>
      <c r="B35" s="45" t="s">
        <v>2954</v>
      </c>
      <c r="C35" s="44" t="s">
        <v>1271</v>
      </c>
      <c r="D35" s="44" t="s">
        <v>1270</v>
      </c>
      <c r="E35" s="45"/>
      <c r="F35" s="44" t="s">
        <v>1272</v>
      </c>
      <c r="G35" s="44" t="s">
        <v>1174</v>
      </c>
      <c r="H35" s="44" t="s">
        <v>1273</v>
      </c>
      <c r="I35" s="45" t="s">
        <v>3317</v>
      </c>
      <c r="J35" s="45" t="s">
        <v>3318</v>
      </c>
      <c r="K35" s="45" t="s">
        <v>3319</v>
      </c>
      <c r="L35" s="45" t="s">
        <v>3319</v>
      </c>
      <c r="M35" s="45"/>
      <c r="N35" s="45"/>
    </row>
    <row r="36" spans="1:14">
      <c r="A36" s="44" t="s">
        <v>3354</v>
      </c>
      <c r="B36" s="45" t="s">
        <v>2955</v>
      </c>
      <c r="C36" s="44" t="s">
        <v>1271</v>
      </c>
      <c r="D36" s="44" t="s">
        <v>1270</v>
      </c>
      <c r="E36" s="45"/>
      <c r="F36" s="44" t="s">
        <v>1272</v>
      </c>
      <c r="G36" s="44" t="s">
        <v>1174</v>
      </c>
      <c r="H36" s="44" t="s">
        <v>1273</v>
      </c>
      <c r="I36" s="45" t="s">
        <v>3317</v>
      </c>
      <c r="J36" s="45" t="s">
        <v>3318</v>
      </c>
      <c r="K36" s="45" t="s">
        <v>3319</v>
      </c>
      <c r="L36" s="45" t="s">
        <v>3319</v>
      </c>
      <c r="M36" s="45"/>
      <c r="N36" s="45"/>
    </row>
    <row r="37" spans="1:14">
      <c r="A37" s="44" t="s">
        <v>3355</v>
      </c>
      <c r="B37" s="45" t="s">
        <v>1380</v>
      </c>
      <c r="C37" s="44" t="s">
        <v>1271</v>
      </c>
      <c r="D37" s="44" t="s">
        <v>1270</v>
      </c>
      <c r="E37" s="45"/>
      <c r="F37" s="44" t="s">
        <v>1272</v>
      </c>
      <c r="G37" s="44" t="s">
        <v>1174</v>
      </c>
      <c r="H37" s="44" t="s">
        <v>1273</v>
      </c>
      <c r="I37" s="45" t="s">
        <v>3317</v>
      </c>
      <c r="J37" s="45" t="s">
        <v>3318</v>
      </c>
      <c r="K37" s="45" t="s">
        <v>3319</v>
      </c>
      <c r="L37" s="45" t="s">
        <v>3319</v>
      </c>
      <c r="M37" s="45"/>
      <c r="N37" s="45"/>
    </row>
    <row r="38" spans="1:14">
      <c r="A38" s="44" t="s">
        <v>3356</v>
      </c>
      <c r="B38" s="45" t="s">
        <v>2956</v>
      </c>
      <c r="C38" s="44" t="s">
        <v>1271</v>
      </c>
      <c r="D38" s="44" t="s">
        <v>1270</v>
      </c>
      <c r="E38" s="45"/>
      <c r="F38" s="44" t="s">
        <v>1272</v>
      </c>
      <c r="G38" s="44" t="s">
        <v>1174</v>
      </c>
      <c r="H38" s="44" t="s">
        <v>1273</v>
      </c>
      <c r="I38" s="45" t="s">
        <v>3317</v>
      </c>
      <c r="J38" s="45" t="s">
        <v>3318</v>
      </c>
      <c r="K38" s="45" t="s">
        <v>3319</v>
      </c>
      <c r="L38" s="45" t="s">
        <v>3319</v>
      </c>
      <c r="M38" s="45"/>
      <c r="N38" s="45"/>
    </row>
    <row r="39" spans="1:14">
      <c r="A39" s="44" t="s">
        <v>3357</v>
      </c>
      <c r="B39" s="45" t="s">
        <v>2957</v>
      </c>
      <c r="C39" s="44" t="s">
        <v>1271</v>
      </c>
      <c r="D39" s="44" t="s">
        <v>1270</v>
      </c>
      <c r="E39" s="45"/>
      <c r="F39" s="44" t="s">
        <v>1272</v>
      </c>
      <c r="G39" s="44" t="s">
        <v>1174</v>
      </c>
      <c r="H39" s="44" t="s">
        <v>1273</v>
      </c>
      <c r="I39" s="45" t="s">
        <v>3317</v>
      </c>
      <c r="J39" s="45" t="s">
        <v>3318</v>
      </c>
      <c r="K39" s="45" t="s">
        <v>3319</v>
      </c>
      <c r="L39" s="45" t="s">
        <v>3319</v>
      </c>
      <c r="M39" s="45"/>
      <c r="N39" s="45"/>
    </row>
    <row r="40" spans="1:14">
      <c r="A40" s="44" t="s">
        <v>1032</v>
      </c>
      <c r="B40" s="45" t="s">
        <v>2958</v>
      </c>
      <c r="C40" s="44" t="s">
        <v>1182</v>
      </c>
      <c r="D40" s="44" t="s">
        <v>1183</v>
      </c>
      <c r="E40" s="45"/>
      <c r="F40" s="44" t="s">
        <v>1184</v>
      </c>
      <c r="G40" s="44" t="s">
        <v>1174</v>
      </c>
      <c r="H40" s="44" t="s">
        <v>1185</v>
      </c>
      <c r="I40" s="45" t="s">
        <v>3317</v>
      </c>
      <c r="J40" s="45" t="s">
        <v>3318</v>
      </c>
      <c r="K40" s="45" t="s">
        <v>3319</v>
      </c>
      <c r="L40" s="45" t="s">
        <v>3319</v>
      </c>
      <c r="M40" s="45"/>
      <c r="N40" s="45"/>
    </row>
    <row r="41" spans="1:14">
      <c r="A41" s="44" t="s">
        <v>1250</v>
      </c>
      <c r="B41" s="45" t="s">
        <v>2959</v>
      </c>
      <c r="C41" s="44" t="s">
        <v>1251</v>
      </c>
      <c r="D41" s="44" t="s">
        <v>1252</v>
      </c>
      <c r="E41" s="45"/>
      <c r="F41" s="44" t="s">
        <v>1253</v>
      </c>
      <c r="G41" s="44" t="s">
        <v>1174</v>
      </c>
      <c r="H41" s="44" t="s">
        <v>1254</v>
      </c>
      <c r="I41" s="45" t="s">
        <v>3317</v>
      </c>
      <c r="J41" s="45" t="s">
        <v>3318</v>
      </c>
      <c r="K41" s="45" t="s">
        <v>3319</v>
      </c>
      <c r="L41" s="45" t="s">
        <v>3318</v>
      </c>
      <c r="M41" s="45"/>
      <c r="N41" s="45"/>
    </row>
    <row r="42" spans="1:14">
      <c r="A42" s="44" t="s">
        <v>1255</v>
      </c>
      <c r="B42" s="45" t="s">
        <v>2960</v>
      </c>
      <c r="C42" s="44" t="s">
        <v>1256</v>
      </c>
      <c r="D42" s="44" t="s">
        <v>1252</v>
      </c>
      <c r="E42" s="45"/>
      <c r="F42" s="44" t="s">
        <v>1257</v>
      </c>
      <c r="G42" s="44" t="s">
        <v>1174</v>
      </c>
      <c r="H42" s="44" t="s">
        <v>1258</v>
      </c>
      <c r="I42" s="45" t="s">
        <v>3317</v>
      </c>
      <c r="J42" s="45" t="s">
        <v>3318</v>
      </c>
      <c r="K42" s="45" t="s">
        <v>3319</v>
      </c>
      <c r="L42" s="45" t="s">
        <v>3318</v>
      </c>
      <c r="M42" s="45"/>
      <c r="N42" s="45"/>
    </row>
    <row r="43" spans="1:14">
      <c r="A43" s="44" t="s">
        <v>1259</v>
      </c>
      <c r="B43" s="45" t="s">
        <v>2961</v>
      </c>
      <c r="C43" s="44" t="s">
        <v>1260</v>
      </c>
      <c r="D43" s="44" t="s">
        <v>1252</v>
      </c>
      <c r="E43" s="45"/>
      <c r="F43" s="44" t="s">
        <v>1261</v>
      </c>
      <c r="G43" s="44" t="s">
        <v>1174</v>
      </c>
      <c r="H43" s="44" t="s">
        <v>1411</v>
      </c>
      <c r="I43" s="45" t="s">
        <v>3317</v>
      </c>
      <c r="J43" s="45" t="s">
        <v>3318</v>
      </c>
      <c r="K43" s="45" t="s">
        <v>3319</v>
      </c>
      <c r="L43" s="45" t="s">
        <v>3318</v>
      </c>
      <c r="M43" s="45"/>
      <c r="N43" s="45"/>
    </row>
    <row r="44" spans="1:14">
      <c r="A44" s="44" t="s">
        <v>719</v>
      </c>
      <c r="B44" s="45" t="s">
        <v>2962</v>
      </c>
      <c r="C44" s="44" t="s">
        <v>1242</v>
      </c>
      <c r="D44" s="44" t="s">
        <v>1214</v>
      </c>
      <c r="E44" s="45"/>
      <c r="F44" s="44" t="s">
        <v>1243</v>
      </c>
      <c r="G44" s="44" t="s">
        <v>1174</v>
      </c>
      <c r="H44" s="44" t="s">
        <v>1412</v>
      </c>
      <c r="I44" s="45" t="s">
        <v>3317</v>
      </c>
      <c r="J44" s="45" t="s">
        <v>3318</v>
      </c>
      <c r="K44" s="45" t="s">
        <v>3319</v>
      </c>
      <c r="L44" s="45" t="s">
        <v>3319</v>
      </c>
      <c r="M44" s="45"/>
      <c r="N44" s="45"/>
    </row>
    <row r="45" spans="1:14">
      <c r="A45" s="44" t="s">
        <v>1262</v>
      </c>
      <c r="B45" s="45" t="s">
        <v>2963</v>
      </c>
      <c r="C45" s="44" t="s">
        <v>1263</v>
      </c>
      <c r="D45" s="44" t="s">
        <v>1252</v>
      </c>
      <c r="E45" s="45"/>
      <c r="F45" s="44" t="s">
        <v>1264</v>
      </c>
      <c r="G45" s="44" t="s">
        <v>1174</v>
      </c>
      <c r="H45" s="44" t="s">
        <v>1265</v>
      </c>
      <c r="I45" s="45" t="s">
        <v>3317</v>
      </c>
      <c r="J45" s="45" t="s">
        <v>3318</v>
      </c>
      <c r="K45" s="45" t="s">
        <v>3319</v>
      </c>
      <c r="L45" s="45" t="s">
        <v>3318</v>
      </c>
      <c r="M45" s="45"/>
      <c r="N45" s="45"/>
    </row>
    <row r="46" spans="1:14">
      <c r="A46" s="44" t="s">
        <v>692</v>
      </c>
      <c r="B46" s="45" t="s">
        <v>2964</v>
      </c>
      <c r="C46" s="44" t="s">
        <v>1244</v>
      </c>
      <c r="D46" s="44" t="s">
        <v>1214</v>
      </c>
      <c r="E46" s="45"/>
      <c r="F46" s="44" t="s">
        <v>1245</v>
      </c>
      <c r="G46" s="44" t="s">
        <v>1174</v>
      </c>
      <c r="H46" s="44" t="s">
        <v>1413</v>
      </c>
      <c r="I46" s="45" t="s">
        <v>3317</v>
      </c>
      <c r="J46" s="45" t="s">
        <v>3318</v>
      </c>
      <c r="K46" s="45" t="s">
        <v>3319</v>
      </c>
      <c r="L46" s="45" t="s">
        <v>3319</v>
      </c>
      <c r="M46" s="45"/>
      <c r="N46" s="45"/>
    </row>
    <row r="47" spans="1:14">
      <c r="A47" s="44" t="s">
        <v>1266</v>
      </c>
      <c r="B47" s="45" t="s">
        <v>2965</v>
      </c>
      <c r="C47" s="44" t="s">
        <v>1267</v>
      </c>
      <c r="D47" s="44" t="s">
        <v>1252</v>
      </c>
      <c r="E47" s="45"/>
      <c r="F47" s="44" t="s">
        <v>1268</v>
      </c>
      <c r="G47" s="44" t="s">
        <v>1174</v>
      </c>
      <c r="H47" s="44" t="s">
        <v>1269</v>
      </c>
      <c r="I47" s="45" t="s">
        <v>3317</v>
      </c>
      <c r="J47" s="45" t="s">
        <v>3318</v>
      </c>
      <c r="K47" s="45" t="s">
        <v>3319</v>
      </c>
      <c r="L47" s="45" t="s">
        <v>3318</v>
      </c>
      <c r="M47" s="45"/>
      <c r="N47" s="45"/>
    </row>
    <row r="48" spans="1:14">
      <c r="A48" s="44" t="s">
        <v>1246</v>
      </c>
      <c r="B48" s="45" t="s">
        <v>1968</v>
      </c>
      <c r="C48" s="44" t="s">
        <v>1247</v>
      </c>
      <c r="D48" s="44" t="s">
        <v>1214</v>
      </c>
      <c r="E48" s="45"/>
      <c r="F48" s="44" t="s">
        <v>1248</v>
      </c>
      <c r="G48" s="44" t="s">
        <v>1174</v>
      </c>
      <c r="H48" s="44" t="s">
        <v>1249</v>
      </c>
      <c r="I48" s="45" t="s">
        <v>3317</v>
      </c>
      <c r="J48" s="45" t="s">
        <v>3318</v>
      </c>
      <c r="K48" s="45" t="s">
        <v>3319</v>
      </c>
      <c r="L48" s="45" t="s">
        <v>3319</v>
      </c>
      <c r="M48" s="45"/>
      <c r="N48" s="45"/>
    </row>
  </sheetData>
  <sortState xmlns:xlrd2="http://schemas.microsoft.com/office/spreadsheetml/2017/richdata2" ref="A2:N48">
    <sortCondition ref="A1:A48"/>
  </sortState>
  <phoneticPr fontId="67" type="noConversion"/>
  <pageMargins left="0.7" right="0.7" top="1" bottom="0.75" header="0.3" footer="0.3"/>
  <pageSetup paperSize="9" orientation="portrait"/>
  <headerFooter>
    <oddHeader>&amp;L申办方: 江苏恒瑞医药股份有限公司
&amp;CSDTM说明&amp;R方案编号：SHR6390-I-106
版本号：V1.0
版本日期：2020-01-06</oddHeader>
    <oddFooter>&amp;LTP_ST_007, V5.0, 2019-11-25&amp;C内部使用&amp;R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M17"/>
  <sheetViews>
    <sheetView workbookViewId="0">
      <selection activeCell="H22" sqref="H22:I22"/>
    </sheetView>
  </sheetViews>
  <sheetFormatPr defaultColWidth="9" defaultRowHeight="14.4"/>
  <cols>
    <col min="1" max="1" width="7.7265625" style="19" customWidth="1"/>
    <col min="2" max="2" width="4.26953125" style="19" customWidth="1"/>
    <col min="3" max="3" width="13.7265625" style="19" customWidth="1"/>
    <col min="4" max="4" width="18.1796875" style="19" customWidth="1"/>
    <col min="5" max="5" width="5.26953125" style="19" customWidth="1"/>
    <col min="6" max="6" width="6.81640625" style="19" customWidth="1"/>
    <col min="7" max="7" width="25.26953125" style="19" customWidth="1"/>
    <col min="8" max="8" width="6.1796875" style="19" customWidth="1"/>
    <col min="9" max="9" width="7" style="19" customWidth="1"/>
    <col min="10" max="10" width="5.08984375" style="19" customWidth="1"/>
    <col min="11" max="12" width="5.6328125" style="19" customWidth="1"/>
    <col min="13" max="13" width="6.81640625" style="19" customWidth="1"/>
    <col min="14" max="16384" width="9" style="19"/>
  </cols>
  <sheetData>
    <row r="1" spans="1:13">
      <c r="A1" s="23" t="s">
        <v>26</v>
      </c>
      <c r="B1" s="23" t="s">
        <v>1</v>
      </c>
      <c r="C1" s="23" t="s">
        <v>27</v>
      </c>
      <c r="D1" s="23" t="s">
        <v>28</v>
      </c>
      <c r="E1" s="23" t="s">
        <v>29</v>
      </c>
      <c r="F1" s="23" t="s">
        <v>30</v>
      </c>
      <c r="G1" s="23" t="s">
        <v>31</v>
      </c>
      <c r="H1" s="23" t="s">
        <v>32</v>
      </c>
      <c r="I1" s="23" t="s">
        <v>3306</v>
      </c>
      <c r="J1" s="23" t="s">
        <v>33</v>
      </c>
      <c r="K1" s="23" t="s">
        <v>34</v>
      </c>
      <c r="L1" s="23" t="s">
        <v>35</v>
      </c>
      <c r="M1" s="23" t="s">
        <v>36</v>
      </c>
    </row>
    <row r="2" spans="1:13" ht="15">
      <c r="A2" s="19" t="s">
        <v>35</v>
      </c>
      <c r="B2" s="19">
        <v>1</v>
      </c>
      <c r="C2" s="19" t="s">
        <v>37</v>
      </c>
      <c r="D2" s="19" t="s">
        <v>3361</v>
      </c>
      <c r="E2" s="19" t="s">
        <v>38</v>
      </c>
      <c r="F2" s="19">
        <v>200</v>
      </c>
      <c r="I2" s="30"/>
      <c r="K2" s="19" t="s">
        <v>39</v>
      </c>
    </row>
    <row r="3" spans="1:13" ht="15">
      <c r="A3" s="19" t="s">
        <v>35</v>
      </c>
      <c r="B3" s="19">
        <v>2</v>
      </c>
      <c r="C3" s="19" t="s">
        <v>40</v>
      </c>
      <c r="D3" s="19" t="s">
        <v>3362</v>
      </c>
      <c r="E3" s="19" t="s">
        <v>38</v>
      </c>
      <c r="F3" s="19">
        <v>200</v>
      </c>
      <c r="I3" s="30"/>
      <c r="K3" s="19" t="s">
        <v>39</v>
      </c>
    </row>
    <row r="4" spans="1:13" ht="15">
      <c r="A4" s="19" t="s">
        <v>35</v>
      </c>
      <c r="B4" s="19">
        <v>3</v>
      </c>
      <c r="C4" s="19" t="s">
        <v>41</v>
      </c>
      <c r="D4" s="19" t="s">
        <v>3363</v>
      </c>
      <c r="E4" s="19" t="s">
        <v>38</v>
      </c>
      <c r="F4" s="19">
        <v>200</v>
      </c>
      <c r="I4" s="30"/>
      <c r="K4" s="19" t="s">
        <v>42</v>
      </c>
    </row>
    <row r="5" spans="1:13" ht="15">
      <c r="A5" s="19" t="s">
        <v>35</v>
      </c>
      <c r="B5" s="19">
        <v>4</v>
      </c>
      <c r="C5" s="19" t="s">
        <v>43</v>
      </c>
      <c r="D5" s="19" t="s">
        <v>3364</v>
      </c>
      <c r="E5" s="19" t="s">
        <v>38</v>
      </c>
      <c r="F5" s="19">
        <v>200</v>
      </c>
      <c r="I5" s="30"/>
      <c r="K5" s="19" t="s">
        <v>42</v>
      </c>
    </row>
    <row r="6" spans="1:13" ht="15">
      <c r="A6" s="19" t="s">
        <v>35</v>
      </c>
      <c r="B6" s="19">
        <v>5</v>
      </c>
      <c r="C6" s="19" t="s">
        <v>44</v>
      </c>
      <c r="D6" s="19" t="s">
        <v>3365</v>
      </c>
      <c r="E6" s="19" t="s">
        <v>38</v>
      </c>
      <c r="F6" s="19">
        <v>200</v>
      </c>
      <c r="I6" s="30"/>
      <c r="K6" s="19" t="s">
        <v>42</v>
      </c>
    </row>
    <row r="7" spans="1:13" ht="15">
      <c r="A7" s="19" t="s">
        <v>35</v>
      </c>
      <c r="B7" s="19">
        <v>6</v>
      </c>
      <c r="C7" s="19" t="s">
        <v>45</v>
      </c>
      <c r="D7" s="19" t="s">
        <v>3366</v>
      </c>
      <c r="E7" s="19" t="s">
        <v>38</v>
      </c>
      <c r="F7" s="19">
        <v>200</v>
      </c>
      <c r="I7" s="30"/>
      <c r="K7" s="19" t="s">
        <v>39</v>
      </c>
    </row>
    <row r="8" spans="1:13" ht="15">
      <c r="A8" s="19" t="s">
        <v>35</v>
      </c>
      <c r="B8" s="19">
        <v>7</v>
      </c>
      <c r="C8" s="19" t="s">
        <v>46</v>
      </c>
      <c r="D8" s="19" t="s">
        <v>3367</v>
      </c>
      <c r="E8" s="19" t="s">
        <v>38</v>
      </c>
      <c r="F8" s="19">
        <v>200</v>
      </c>
      <c r="I8" s="30"/>
      <c r="K8" s="19" t="s">
        <v>39</v>
      </c>
    </row>
    <row r="9" spans="1:13" ht="15">
      <c r="A9" s="19" t="s">
        <v>35</v>
      </c>
      <c r="B9" s="19">
        <v>8</v>
      </c>
      <c r="C9" s="19" t="s">
        <v>47</v>
      </c>
      <c r="D9" s="19" t="s">
        <v>3368</v>
      </c>
      <c r="E9" s="19" t="s">
        <v>38</v>
      </c>
      <c r="F9" s="19">
        <v>200</v>
      </c>
      <c r="I9" s="30"/>
      <c r="K9" s="19" t="s">
        <v>39</v>
      </c>
    </row>
    <row r="10" spans="1:13" ht="15">
      <c r="A10" s="19" t="s">
        <v>35</v>
      </c>
      <c r="B10" s="19">
        <v>9</v>
      </c>
      <c r="C10" s="19" t="s">
        <v>48</v>
      </c>
      <c r="D10" s="19" t="s">
        <v>3369</v>
      </c>
      <c r="E10" s="19" t="s">
        <v>38</v>
      </c>
      <c r="F10" s="19">
        <v>200</v>
      </c>
      <c r="I10" s="30"/>
      <c r="K10" s="19" t="s">
        <v>49</v>
      </c>
    </row>
    <row r="11" spans="1:13" ht="15">
      <c r="A11" s="19" t="s">
        <v>35</v>
      </c>
      <c r="B11" s="19">
        <v>10</v>
      </c>
      <c r="C11" s="19" t="s">
        <v>36</v>
      </c>
      <c r="D11" s="19" t="s">
        <v>3370</v>
      </c>
      <c r="E11" s="19" t="s">
        <v>38</v>
      </c>
      <c r="F11" s="19">
        <v>200</v>
      </c>
      <c r="I11" s="28"/>
      <c r="K11" s="19" t="s">
        <v>49</v>
      </c>
    </row>
    <row r="12" spans="1:13">
      <c r="I12" s="30"/>
    </row>
    <row r="13" spans="1:13">
      <c r="I13" s="30"/>
    </row>
    <row r="14" spans="1:13">
      <c r="I14" s="30"/>
    </row>
    <row r="15" spans="1:13">
      <c r="I15" s="30"/>
    </row>
    <row r="16" spans="1:13">
      <c r="I16" s="30"/>
    </row>
    <row r="17" spans="9:9">
      <c r="I17" s="30"/>
    </row>
  </sheetData>
  <phoneticPr fontId="6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sheetPr>
  <dimension ref="A1:R18"/>
  <sheetViews>
    <sheetView zoomScaleNormal="100" workbookViewId="0">
      <selection activeCell="A8" sqref="A8:XFD8"/>
    </sheetView>
  </sheetViews>
  <sheetFormatPr defaultColWidth="9" defaultRowHeight="14.4"/>
  <cols>
    <col min="1" max="1" width="8.453125" style="19" customWidth="1"/>
    <col min="2" max="2" width="4.6328125" style="19" customWidth="1"/>
    <col min="3" max="3" width="15.08984375" style="19" customWidth="1"/>
    <col min="4" max="4" width="19.08984375" style="19" customWidth="1"/>
    <col min="5" max="5" width="5.81640625" style="19" customWidth="1"/>
    <col min="6" max="6" width="7.54296875" style="19" customWidth="1"/>
    <col min="7" max="7" width="20.54296875" style="19" bestFit="1" customWidth="1"/>
    <col min="8" max="8" width="17.6328125" style="30" bestFit="1" customWidth="1"/>
    <col min="9" max="9" width="7" style="19" bestFit="1" customWidth="1"/>
    <col min="10" max="10" width="6.54296875" style="19" bestFit="1" customWidth="1"/>
    <col min="11" max="11" width="13.6328125" style="19" bestFit="1" customWidth="1"/>
    <col min="12" max="13" width="4.7265625" style="19" bestFit="1" customWidth="1"/>
    <col min="14" max="14" width="6.54296875" style="19" bestFit="1" customWidth="1"/>
    <col min="15" max="15" width="29.54296875" style="19" bestFit="1" customWidth="1"/>
    <col min="16" max="16" width="7.36328125" style="19" bestFit="1" customWidth="1"/>
    <col min="17" max="17" width="7.81640625" style="19" bestFit="1" customWidth="1"/>
    <col min="18" max="18" width="6.54296875" style="19" bestFit="1" customWidth="1"/>
    <col min="19" max="16384" width="9" style="19"/>
  </cols>
  <sheetData>
    <row r="1" spans="1:18">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
      <c r="A2" s="19" t="s">
        <v>24</v>
      </c>
      <c r="B2" s="19">
        <v>1</v>
      </c>
      <c r="C2" s="19" t="s">
        <v>37</v>
      </c>
      <c r="D2" s="19" t="s">
        <v>3361</v>
      </c>
      <c r="E2" s="19" t="s">
        <v>38</v>
      </c>
      <c r="F2" s="19">
        <v>2000</v>
      </c>
      <c r="H2" s="48"/>
      <c r="I2" s="19" t="s">
        <v>757</v>
      </c>
      <c r="J2" s="19" t="s">
        <v>597</v>
      </c>
      <c r="K2" s="19" t="s">
        <v>55</v>
      </c>
      <c r="L2" s="19" t="s">
        <v>39</v>
      </c>
      <c r="O2" s="24" t="s">
        <v>3371</v>
      </c>
      <c r="Q2" s="26" t="s">
        <v>592</v>
      </c>
    </row>
    <row r="3" spans="1:18" ht="15">
      <c r="A3" s="19" t="s">
        <v>24</v>
      </c>
      <c r="B3" s="19">
        <v>2</v>
      </c>
      <c r="C3" s="19" t="s">
        <v>57</v>
      </c>
      <c r="D3" s="19" t="s">
        <v>3372</v>
      </c>
      <c r="E3" s="19" t="s">
        <v>38</v>
      </c>
      <c r="F3" s="19">
        <v>2000</v>
      </c>
      <c r="G3" s="29" t="s">
        <v>3336</v>
      </c>
      <c r="H3" s="29" t="s">
        <v>618</v>
      </c>
      <c r="I3" s="30" t="s">
        <v>60</v>
      </c>
      <c r="J3" s="19" t="s">
        <v>597</v>
      </c>
      <c r="K3" s="19" t="s">
        <v>55</v>
      </c>
      <c r="L3" s="19" t="s">
        <v>39</v>
      </c>
      <c r="N3" s="19" t="s">
        <v>596</v>
      </c>
    </row>
    <row r="4" spans="1:18" ht="15">
      <c r="A4" s="19" t="s">
        <v>24</v>
      </c>
      <c r="B4" s="19">
        <v>3</v>
      </c>
      <c r="C4" s="19" t="s">
        <v>241</v>
      </c>
      <c r="D4" s="19" t="s">
        <v>3373</v>
      </c>
      <c r="E4" s="19" t="s">
        <v>242</v>
      </c>
      <c r="F4" s="19">
        <v>8</v>
      </c>
      <c r="H4" s="48"/>
      <c r="I4" s="19" t="s">
        <v>69</v>
      </c>
      <c r="J4" s="19" t="s">
        <v>597</v>
      </c>
      <c r="K4" s="19" t="s">
        <v>55</v>
      </c>
      <c r="L4" s="19" t="s">
        <v>39</v>
      </c>
      <c r="O4" s="19" t="s">
        <v>3917</v>
      </c>
      <c r="R4" s="26" t="s">
        <v>592</v>
      </c>
    </row>
    <row r="5" spans="1:18" ht="15">
      <c r="A5" s="19" t="s">
        <v>24</v>
      </c>
      <c r="B5" s="19">
        <v>4</v>
      </c>
      <c r="C5" s="19" t="s">
        <v>243</v>
      </c>
      <c r="D5" s="19" t="s">
        <v>3374</v>
      </c>
      <c r="E5" s="19" t="s">
        <v>38</v>
      </c>
      <c r="F5" s="19">
        <v>2000</v>
      </c>
      <c r="H5" s="48"/>
      <c r="I5" s="19" t="s">
        <v>69</v>
      </c>
      <c r="J5" s="19" t="s">
        <v>597</v>
      </c>
      <c r="K5" s="19" t="s">
        <v>55</v>
      </c>
      <c r="L5" s="19" t="s">
        <v>49</v>
      </c>
      <c r="O5" s="19" t="s">
        <v>3918</v>
      </c>
      <c r="R5" s="26" t="s">
        <v>592</v>
      </c>
    </row>
    <row r="6" spans="1:18" ht="15">
      <c r="A6" s="19" t="s">
        <v>24</v>
      </c>
      <c r="B6" s="19">
        <v>5</v>
      </c>
      <c r="C6" s="19" t="s">
        <v>244</v>
      </c>
      <c r="D6" s="19" t="s">
        <v>3375</v>
      </c>
      <c r="E6" s="19" t="s">
        <v>38</v>
      </c>
      <c r="F6" s="19">
        <v>2000</v>
      </c>
      <c r="G6" s="19" t="s">
        <v>613</v>
      </c>
      <c r="H6" s="48" t="s">
        <v>244</v>
      </c>
      <c r="I6" s="30" t="s">
        <v>60</v>
      </c>
      <c r="J6" s="19" t="s">
        <v>597</v>
      </c>
      <c r="K6" s="19" t="s">
        <v>245</v>
      </c>
      <c r="L6" s="19" t="s">
        <v>39</v>
      </c>
      <c r="N6" s="19" t="s">
        <v>596</v>
      </c>
    </row>
    <row r="7" spans="1:18" ht="15">
      <c r="A7" s="19" t="s">
        <v>24</v>
      </c>
      <c r="B7" s="19">
        <v>6</v>
      </c>
      <c r="C7" s="19" t="s">
        <v>246</v>
      </c>
      <c r="D7" s="19" t="s">
        <v>3376</v>
      </c>
      <c r="E7" s="19" t="s">
        <v>38</v>
      </c>
      <c r="F7" s="19">
        <v>2000</v>
      </c>
      <c r="G7" s="19" t="s">
        <v>1054</v>
      </c>
      <c r="H7" s="48" t="s">
        <v>246</v>
      </c>
      <c r="I7" s="30" t="s">
        <v>60</v>
      </c>
      <c r="J7" s="19" t="s">
        <v>597</v>
      </c>
      <c r="K7" s="19" t="s">
        <v>111</v>
      </c>
      <c r="L7" s="19" t="s">
        <v>39</v>
      </c>
      <c r="N7" s="19" t="s">
        <v>596</v>
      </c>
    </row>
    <row r="8" spans="1:18" ht="15">
      <c r="A8" s="19" t="s">
        <v>24</v>
      </c>
      <c r="B8" s="19">
        <v>7</v>
      </c>
      <c r="C8" s="19" t="s">
        <v>247</v>
      </c>
      <c r="D8" s="19" t="s">
        <v>3377</v>
      </c>
      <c r="E8" s="19" t="s">
        <v>38</v>
      </c>
      <c r="F8" s="19">
        <v>2000</v>
      </c>
      <c r="H8" s="48"/>
      <c r="I8" s="30" t="s">
        <v>60</v>
      </c>
      <c r="J8" s="19" t="s">
        <v>597</v>
      </c>
      <c r="K8" s="19" t="s">
        <v>248</v>
      </c>
      <c r="L8" s="19" t="s">
        <v>42</v>
      </c>
      <c r="N8" s="19" t="s">
        <v>596</v>
      </c>
    </row>
    <row r="9" spans="1:18" ht="15">
      <c r="A9" s="19" t="s">
        <v>24</v>
      </c>
      <c r="B9" s="19">
        <v>8</v>
      </c>
      <c r="C9" s="19" t="s">
        <v>249</v>
      </c>
      <c r="D9" s="19" t="s">
        <v>3378</v>
      </c>
      <c r="E9" s="19" t="s">
        <v>38</v>
      </c>
      <c r="F9" s="19">
        <v>2000</v>
      </c>
      <c r="I9" s="30" t="s">
        <v>60</v>
      </c>
      <c r="J9" s="19" t="s">
        <v>597</v>
      </c>
      <c r="K9" s="19" t="s">
        <v>248</v>
      </c>
      <c r="L9" s="19" t="s">
        <v>42</v>
      </c>
      <c r="N9" s="19" t="s">
        <v>596</v>
      </c>
    </row>
    <row r="10" spans="1:18" ht="15">
      <c r="A10" s="19" t="s">
        <v>24</v>
      </c>
      <c r="B10" s="19">
        <v>9</v>
      </c>
      <c r="C10" s="19" t="s">
        <v>250</v>
      </c>
      <c r="D10" s="19" t="s">
        <v>3379</v>
      </c>
      <c r="E10" s="19" t="s">
        <v>38</v>
      </c>
      <c r="F10" s="19">
        <v>2000</v>
      </c>
      <c r="I10" s="30" t="s">
        <v>60</v>
      </c>
      <c r="J10" s="19" t="s">
        <v>597</v>
      </c>
      <c r="K10" s="19" t="s">
        <v>248</v>
      </c>
      <c r="L10" s="19" t="s">
        <v>42</v>
      </c>
      <c r="N10" s="19" t="s">
        <v>596</v>
      </c>
    </row>
    <row r="11" spans="1:18" ht="15">
      <c r="A11" s="19" t="s">
        <v>24</v>
      </c>
      <c r="B11" s="19">
        <v>10</v>
      </c>
      <c r="C11" s="19" t="s">
        <v>251</v>
      </c>
      <c r="D11" s="19" t="s">
        <v>3380</v>
      </c>
      <c r="E11" s="19" t="s">
        <v>38</v>
      </c>
      <c r="F11" s="19">
        <v>2000</v>
      </c>
      <c r="I11" s="30" t="s">
        <v>60</v>
      </c>
      <c r="J11" s="19" t="s">
        <v>597</v>
      </c>
      <c r="K11" s="19" t="s">
        <v>248</v>
      </c>
      <c r="L11" s="19" t="s">
        <v>42</v>
      </c>
      <c r="N11" s="19" t="s">
        <v>596</v>
      </c>
    </row>
    <row r="12" spans="1:18">
      <c r="J12" s="30"/>
    </row>
    <row r="13" spans="1:18">
      <c r="J13" s="30"/>
    </row>
    <row r="14" spans="1:18">
      <c r="J14" s="30"/>
    </row>
    <row r="15" spans="1:18">
      <c r="J15" s="30"/>
    </row>
    <row r="16" spans="1:18">
      <c r="J16" s="30"/>
    </row>
    <row r="17" spans="8:8">
      <c r="H17" s="48"/>
    </row>
    <row r="18" spans="8:8">
      <c r="H18" s="48"/>
    </row>
  </sheetData>
  <phoneticPr fontId="67" type="noConversion"/>
  <conditionalFormatting sqref="G3">
    <cfRule type="duplicateValues" dxfId="98" priority="2"/>
  </conditionalFormatting>
  <conditionalFormatting sqref="H3">
    <cfRule type="duplicateValues" dxfId="97"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sheetPr>
  <dimension ref="A1:R19"/>
  <sheetViews>
    <sheetView workbookViewId="0">
      <selection activeCell="I26" sqref="I26"/>
    </sheetView>
  </sheetViews>
  <sheetFormatPr defaultColWidth="9" defaultRowHeight="14.4"/>
  <cols>
    <col min="1" max="1" width="7.7265625" style="19" customWidth="1"/>
    <col min="2" max="2" width="4.26953125" style="19" customWidth="1"/>
    <col min="3" max="4" width="13.7265625" style="19" customWidth="1"/>
    <col min="5" max="5" width="5.26953125" style="19" customWidth="1"/>
    <col min="6" max="6" width="6.81640625" style="19" customWidth="1"/>
    <col min="7" max="7" width="25.26953125" style="19" customWidth="1"/>
    <col min="8" max="8" width="21.7265625" style="30" customWidth="1"/>
    <col min="9" max="9" width="8.453125" style="19" customWidth="1"/>
    <col min="10" max="10" width="7.81640625" style="19" hidden="1" customWidth="1"/>
    <col min="11" max="11" width="16.7265625" style="19" customWidth="1"/>
    <col min="12" max="13" width="5.6328125" style="19" customWidth="1"/>
    <col min="14" max="14" width="7.81640625" style="19" customWidth="1"/>
    <col min="15" max="15" width="20.453125" style="19" customWidth="1"/>
    <col min="16" max="16" width="8.81640625" style="19" customWidth="1"/>
    <col min="17" max="17" width="9.453125" style="19" customWidth="1"/>
    <col min="18" max="18" width="7.81640625" style="19" customWidth="1"/>
    <col min="19" max="16384" width="9" style="19"/>
  </cols>
  <sheetData>
    <row r="1" spans="1:18">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
      <c r="A2" s="19" t="s">
        <v>22</v>
      </c>
      <c r="B2" s="19">
        <v>1</v>
      </c>
      <c r="C2" s="19" t="s">
        <v>37</v>
      </c>
      <c r="D2" s="19" t="s">
        <v>3361</v>
      </c>
      <c r="E2" s="19" t="s">
        <v>38</v>
      </c>
      <c r="F2" s="49">
        <v>2000</v>
      </c>
      <c r="H2" s="48"/>
      <c r="I2" s="19" t="s">
        <v>757</v>
      </c>
      <c r="J2" s="19" t="s">
        <v>597</v>
      </c>
      <c r="K2" s="19" t="s">
        <v>55</v>
      </c>
      <c r="L2" s="19" t="s">
        <v>39</v>
      </c>
      <c r="O2" s="24" t="s">
        <v>3371</v>
      </c>
      <c r="Q2" s="26" t="s">
        <v>592</v>
      </c>
    </row>
    <row r="3" spans="1:18" ht="15">
      <c r="A3" s="19" t="s">
        <v>22</v>
      </c>
      <c r="B3" s="19">
        <v>2</v>
      </c>
      <c r="C3" s="19" t="s">
        <v>57</v>
      </c>
      <c r="D3" s="19" t="s">
        <v>3372</v>
      </c>
      <c r="E3" s="19" t="s">
        <v>38</v>
      </c>
      <c r="F3" s="49">
        <v>2000</v>
      </c>
      <c r="G3" s="29" t="s">
        <v>3336</v>
      </c>
      <c r="H3" s="29" t="s">
        <v>618</v>
      </c>
      <c r="I3" s="30" t="s">
        <v>60</v>
      </c>
      <c r="J3" s="19" t="s">
        <v>597</v>
      </c>
      <c r="K3" s="19" t="s">
        <v>55</v>
      </c>
      <c r="L3" s="19" t="s">
        <v>39</v>
      </c>
      <c r="N3" s="19" t="s">
        <v>596</v>
      </c>
    </row>
    <row r="4" spans="1:18" ht="15">
      <c r="A4" s="19" t="s">
        <v>22</v>
      </c>
      <c r="B4" s="19">
        <v>3</v>
      </c>
      <c r="C4" s="19" t="s">
        <v>252</v>
      </c>
      <c r="D4" s="19" t="s">
        <v>3381</v>
      </c>
      <c r="E4" s="19" t="s">
        <v>38</v>
      </c>
      <c r="F4" s="49">
        <v>2000</v>
      </c>
      <c r="H4" s="30" t="s">
        <v>252</v>
      </c>
      <c r="I4" s="30" t="s">
        <v>60</v>
      </c>
      <c r="J4" s="19" t="s">
        <v>597</v>
      </c>
      <c r="K4" s="19" t="s">
        <v>245</v>
      </c>
      <c r="L4" s="19" t="s">
        <v>39</v>
      </c>
      <c r="N4" s="19" t="s">
        <v>596</v>
      </c>
    </row>
    <row r="5" spans="1:18" ht="15">
      <c r="A5" s="19" t="s">
        <v>22</v>
      </c>
      <c r="B5" s="19">
        <v>4</v>
      </c>
      <c r="C5" s="19" t="s">
        <v>253</v>
      </c>
      <c r="D5" s="19" t="s">
        <v>3382</v>
      </c>
      <c r="E5" s="19" t="s">
        <v>38</v>
      </c>
      <c r="F5" s="49">
        <v>2000</v>
      </c>
      <c r="H5" s="30" t="s">
        <v>253</v>
      </c>
      <c r="I5" s="30" t="s">
        <v>60</v>
      </c>
      <c r="J5" s="19" t="s">
        <v>597</v>
      </c>
      <c r="K5" s="19" t="s">
        <v>111</v>
      </c>
      <c r="L5" s="19" t="s">
        <v>39</v>
      </c>
      <c r="N5" s="19" t="s">
        <v>596</v>
      </c>
    </row>
    <row r="6" spans="1:18" ht="15">
      <c r="A6" s="19" t="s">
        <v>22</v>
      </c>
      <c r="B6" s="19">
        <v>5</v>
      </c>
      <c r="C6" s="19" t="s">
        <v>254</v>
      </c>
      <c r="D6" s="19" t="s">
        <v>3383</v>
      </c>
      <c r="E6" s="19" t="s">
        <v>38</v>
      </c>
      <c r="F6" s="49">
        <v>2000</v>
      </c>
      <c r="H6" s="48"/>
      <c r="I6" s="30" t="s">
        <v>60</v>
      </c>
      <c r="J6" s="19" t="s">
        <v>597</v>
      </c>
      <c r="K6" s="19" t="s">
        <v>255</v>
      </c>
      <c r="L6" s="19" t="s">
        <v>39</v>
      </c>
      <c r="N6" s="19" t="s">
        <v>596</v>
      </c>
    </row>
    <row r="7" spans="1:18" ht="15">
      <c r="A7" s="19" t="s">
        <v>22</v>
      </c>
      <c r="B7" s="19">
        <v>6</v>
      </c>
      <c r="C7" s="19" t="s">
        <v>256</v>
      </c>
      <c r="D7" s="19" t="s">
        <v>3384</v>
      </c>
      <c r="E7" s="19" t="s">
        <v>38</v>
      </c>
      <c r="F7" s="49">
        <v>2000</v>
      </c>
      <c r="H7" s="48"/>
      <c r="I7" s="30" t="s">
        <v>60</v>
      </c>
      <c r="J7" s="19" t="s">
        <v>597</v>
      </c>
      <c r="K7" s="19" t="s">
        <v>255</v>
      </c>
      <c r="L7" s="19" t="s">
        <v>49</v>
      </c>
      <c r="N7" s="19" t="s">
        <v>596</v>
      </c>
    </row>
    <row r="8" spans="1:18">
      <c r="H8" s="48"/>
      <c r="J8" s="30"/>
    </row>
    <row r="9" spans="1:18">
      <c r="H9" s="48"/>
      <c r="J9" s="30"/>
    </row>
    <row r="10" spans="1:18">
      <c r="J10" s="30"/>
    </row>
    <row r="11" spans="1:18">
      <c r="J11" s="28"/>
    </row>
    <row r="12" spans="1:18">
      <c r="J12" s="30"/>
    </row>
    <row r="13" spans="1:18">
      <c r="J13" s="30"/>
    </row>
    <row r="14" spans="1:18">
      <c r="J14" s="30"/>
    </row>
    <row r="15" spans="1:18">
      <c r="J15" s="30"/>
    </row>
    <row r="16" spans="1:18">
      <c r="J16" s="30"/>
    </row>
    <row r="17" spans="8:10">
      <c r="J17" s="30"/>
    </row>
    <row r="18" spans="8:10">
      <c r="H18" s="48"/>
    </row>
    <row r="19" spans="8:10">
      <c r="H19" s="48"/>
    </row>
  </sheetData>
  <phoneticPr fontId="67" type="noConversion"/>
  <conditionalFormatting sqref="G3">
    <cfRule type="duplicateValues" dxfId="96" priority="2"/>
  </conditionalFormatting>
  <conditionalFormatting sqref="H3">
    <cfRule type="duplicateValues" dxfId="95"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B050"/>
  </sheetPr>
  <dimension ref="A1:R20"/>
  <sheetViews>
    <sheetView workbookViewId="0">
      <selection activeCell="D27" sqref="D27"/>
    </sheetView>
  </sheetViews>
  <sheetFormatPr defaultColWidth="9" defaultRowHeight="15.6"/>
  <cols>
    <col min="1" max="2" width="9" style="7"/>
    <col min="3" max="3" width="13.26953125" style="7" customWidth="1"/>
    <col min="4" max="4" width="25.6328125" style="7" customWidth="1"/>
    <col min="5" max="5" width="5" style="7" customWidth="1"/>
    <col min="6" max="6" width="6.26953125" style="7" customWidth="1"/>
    <col min="7" max="7" width="13.81640625" style="7" customWidth="1"/>
    <col min="8" max="8" width="23.453125" style="10" customWidth="1"/>
    <col min="9" max="9" width="9" style="7" customWidth="1"/>
    <col min="10" max="10" width="7.1796875" style="7" customWidth="1"/>
    <col min="11" max="11" width="20.26953125" style="7" customWidth="1"/>
    <col min="12" max="14" width="9" style="7"/>
    <col min="15" max="15" width="14" style="7" customWidth="1"/>
    <col min="16" max="16384" width="9" style="7"/>
  </cols>
  <sheetData>
    <row r="1" spans="1:18">
      <c r="A1" s="9" t="s">
        <v>26</v>
      </c>
      <c r="B1" s="9" t="s">
        <v>1</v>
      </c>
      <c r="C1" s="9" t="s">
        <v>3337</v>
      </c>
      <c r="D1" s="9" t="s">
        <v>3338</v>
      </c>
      <c r="E1" s="9" t="s">
        <v>29</v>
      </c>
      <c r="F1" s="9" t="s">
        <v>3305</v>
      </c>
      <c r="G1" s="9" t="s">
        <v>31</v>
      </c>
      <c r="H1" s="9" t="s">
        <v>973</v>
      </c>
      <c r="I1" s="9" t="s">
        <v>32</v>
      </c>
      <c r="J1" s="9" t="s">
        <v>3306</v>
      </c>
      <c r="K1" s="9" t="s">
        <v>33</v>
      </c>
      <c r="L1" s="9" t="s">
        <v>34</v>
      </c>
      <c r="M1" s="9" t="s">
        <v>35</v>
      </c>
      <c r="N1" s="9" t="s">
        <v>36</v>
      </c>
      <c r="O1" s="23" t="s">
        <v>3328</v>
      </c>
      <c r="P1" s="23" t="s">
        <v>648</v>
      </c>
      <c r="Q1" s="23" t="s">
        <v>649</v>
      </c>
      <c r="R1" s="23" t="s">
        <v>650</v>
      </c>
    </row>
    <row r="2" spans="1:18">
      <c r="A2" s="7" t="s">
        <v>21</v>
      </c>
      <c r="B2" s="7">
        <v>1</v>
      </c>
      <c r="C2" s="7" t="s">
        <v>37</v>
      </c>
      <c r="D2" s="7" t="s">
        <v>1021</v>
      </c>
      <c r="E2" s="7" t="s">
        <v>38</v>
      </c>
      <c r="F2" s="22">
        <f>IF(E2="Char",200,8)</f>
        <v>200</v>
      </c>
      <c r="H2" s="15"/>
      <c r="I2" s="7" t="s">
        <v>757</v>
      </c>
      <c r="J2" s="7" t="s">
        <v>597</v>
      </c>
      <c r="K2" s="7" t="s">
        <v>55</v>
      </c>
      <c r="L2" s="7" t="s">
        <v>39</v>
      </c>
      <c r="O2" s="17" t="s">
        <v>1019</v>
      </c>
      <c r="Q2" s="5" t="s">
        <v>592</v>
      </c>
    </row>
    <row r="3" spans="1:18">
      <c r="A3" s="7" t="s">
        <v>21</v>
      </c>
      <c r="B3" s="7">
        <v>2</v>
      </c>
      <c r="C3" s="7" t="s">
        <v>57</v>
      </c>
      <c r="D3" s="7" t="s">
        <v>1022</v>
      </c>
      <c r="E3" s="7" t="s">
        <v>38</v>
      </c>
      <c r="F3" s="22">
        <f t="shared" ref="F3:F11" si="0">IF(E3="Char",200,8)</f>
        <v>200</v>
      </c>
      <c r="G3" s="13" t="s">
        <v>3336</v>
      </c>
      <c r="H3" s="13" t="s">
        <v>618</v>
      </c>
      <c r="I3" s="10" t="s">
        <v>60</v>
      </c>
      <c r="J3" s="7" t="s">
        <v>597</v>
      </c>
      <c r="K3" s="7" t="s">
        <v>55</v>
      </c>
      <c r="L3" s="7" t="s">
        <v>39</v>
      </c>
      <c r="N3" s="7" t="s">
        <v>596</v>
      </c>
    </row>
    <row r="4" spans="1:18">
      <c r="A4" s="7" t="s">
        <v>21</v>
      </c>
      <c r="B4" s="7">
        <v>3</v>
      </c>
      <c r="C4" s="7" t="s">
        <v>106</v>
      </c>
      <c r="D4" s="7" t="s">
        <v>1040</v>
      </c>
      <c r="E4" s="7" t="s">
        <v>38</v>
      </c>
      <c r="F4" s="22">
        <f t="shared" si="0"/>
        <v>200</v>
      </c>
      <c r="G4" s="7" t="s">
        <v>3334</v>
      </c>
      <c r="H4" s="7" t="s">
        <v>106</v>
      </c>
      <c r="I4" s="10" t="s">
        <v>60</v>
      </c>
      <c r="J4" s="7" t="s">
        <v>597</v>
      </c>
      <c r="K4" s="7" t="s">
        <v>245</v>
      </c>
      <c r="L4" s="7" t="s">
        <v>39</v>
      </c>
      <c r="N4" s="7" t="s">
        <v>596</v>
      </c>
    </row>
    <row r="5" spans="1:18">
      <c r="A5" s="7" t="s">
        <v>21</v>
      </c>
      <c r="B5" s="7">
        <v>4</v>
      </c>
      <c r="C5" s="7" t="s">
        <v>109</v>
      </c>
      <c r="D5" s="7" t="s">
        <v>1041</v>
      </c>
      <c r="E5" s="7" t="s">
        <v>38</v>
      </c>
      <c r="F5" s="22">
        <f t="shared" si="0"/>
        <v>200</v>
      </c>
      <c r="G5" s="7" t="s">
        <v>3334</v>
      </c>
      <c r="H5" s="7" t="s">
        <v>109</v>
      </c>
      <c r="I5" s="10" t="s">
        <v>60</v>
      </c>
      <c r="J5" s="7" t="s">
        <v>597</v>
      </c>
      <c r="K5" s="7" t="s">
        <v>111</v>
      </c>
      <c r="L5" s="7" t="s">
        <v>39</v>
      </c>
      <c r="N5" s="7" t="s">
        <v>596</v>
      </c>
    </row>
    <row r="6" spans="1:18">
      <c r="A6" s="7" t="s">
        <v>21</v>
      </c>
      <c r="B6" s="7">
        <v>5</v>
      </c>
      <c r="C6" s="7" t="s">
        <v>257</v>
      </c>
      <c r="D6" s="7" t="s">
        <v>1042</v>
      </c>
      <c r="E6" s="7" t="s">
        <v>242</v>
      </c>
      <c r="F6" s="22">
        <f t="shared" si="0"/>
        <v>8</v>
      </c>
      <c r="H6" s="15"/>
      <c r="I6" s="10" t="s">
        <v>60</v>
      </c>
      <c r="J6" s="7" t="s">
        <v>597</v>
      </c>
      <c r="K6" s="7" t="s">
        <v>258</v>
      </c>
      <c r="L6" s="7" t="s">
        <v>39</v>
      </c>
      <c r="N6" s="7" t="s">
        <v>596</v>
      </c>
    </row>
    <row r="7" spans="1:18">
      <c r="A7" s="7" t="s">
        <v>21</v>
      </c>
      <c r="B7" s="7">
        <v>6</v>
      </c>
      <c r="C7" s="7" t="s">
        <v>252</v>
      </c>
      <c r="D7" s="7" t="s">
        <v>1038</v>
      </c>
      <c r="E7" s="7" t="s">
        <v>38</v>
      </c>
      <c r="F7" s="22">
        <f t="shared" si="0"/>
        <v>200</v>
      </c>
      <c r="G7" s="7" t="s">
        <v>3334</v>
      </c>
      <c r="H7" s="7" t="s">
        <v>252</v>
      </c>
      <c r="I7" s="10" t="s">
        <v>60</v>
      </c>
      <c r="J7" s="7" t="s">
        <v>597</v>
      </c>
      <c r="K7" s="7" t="s">
        <v>115</v>
      </c>
      <c r="L7" s="7" t="s">
        <v>39</v>
      </c>
      <c r="N7" s="7" t="s">
        <v>596</v>
      </c>
    </row>
    <row r="8" spans="1:18">
      <c r="A8" s="7" t="s">
        <v>21</v>
      </c>
      <c r="B8" s="7">
        <v>7</v>
      </c>
      <c r="C8" s="7" t="s">
        <v>253</v>
      </c>
      <c r="D8" s="7" t="s">
        <v>1039</v>
      </c>
      <c r="E8" s="7" t="s">
        <v>38</v>
      </c>
      <c r="F8" s="22">
        <f t="shared" si="0"/>
        <v>200</v>
      </c>
      <c r="G8" s="7" t="s">
        <v>3334</v>
      </c>
      <c r="H8" s="7" t="s">
        <v>253</v>
      </c>
      <c r="I8" s="10" t="s">
        <v>60</v>
      </c>
      <c r="J8" s="7" t="s">
        <v>597</v>
      </c>
      <c r="K8" s="7" t="s">
        <v>111</v>
      </c>
      <c r="L8" s="7" t="s">
        <v>49</v>
      </c>
      <c r="N8" s="7" t="s">
        <v>596</v>
      </c>
    </row>
    <row r="9" spans="1:18">
      <c r="A9" s="7" t="s">
        <v>21</v>
      </c>
      <c r="B9" s="7">
        <v>8</v>
      </c>
      <c r="C9" s="10" t="s">
        <v>1275</v>
      </c>
      <c r="D9" s="10" t="s">
        <v>1274</v>
      </c>
      <c r="E9" s="7" t="s">
        <v>38</v>
      </c>
      <c r="F9" s="22">
        <f t="shared" ref="F9" si="1">IF(E9="Char",200,8)</f>
        <v>200</v>
      </c>
      <c r="H9" s="7"/>
      <c r="I9" s="10" t="s">
        <v>60</v>
      </c>
      <c r="J9" s="7" t="s">
        <v>597</v>
      </c>
      <c r="K9" s="10" t="s">
        <v>255</v>
      </c>
      <c r="L9" s="10" t="s">
        <v>42</v>
      </c>
      <c r="N9" s="7" t="s">
        <v>596</v>
      </c>
    </row>
    <row r="10" spans="1:18" s="10" customFormat="1">
      <c r="A10" s="7" t="s">
        <v>21</v>
      </c>
      <c r="B10" s="7">
        <v>9</v>
      </c>
      <c r="C10" s="10" t="s">
        <v>259</v>
      </c>
      <c r="D10" s="7" t="s">
        <v>1043</v>
      </c>
      <c r="E10" s="10" t="s">
        <v>38</v>
      </c>
      <c r="F10" s="22">
        <f t="shared" si="0"/>
        <v>200</v>
      </c>
      <c r="H10" s="15"/>
      <c r="I10" s="10" t="s">
        <v>60</v>
      </c>
      <c r="J10" s="7" t="s">
        <v>597</v>
      </c>
      <c r="K10" s="10" t="s">
        <v>255</v>
      </c>
      <c r="L10" s="10" t="s">
        <v>42</v>
      </c>
      <c r="N10" s="7" t="s">
        <v>596</v>
      </c>
      <c r="O10" s="7"/>
      <c r="P10" s="7"/>
      <c r="Q10" s="7"/>
    </row>
    <row r="11" spans="1:18">
      <c r="A11" s="7" t="s">
        <v>21</v>
      </c>
      <c r="B11" s="7">
        <v>10</v>
      </c>
      <c r="C11" s="7" t="s">
        <v>260</v>
      </c>
      <c r="D11" s="7" t="s">
        <v>1044</v>
      </c>
      <c r="E11" s="7" t="s">
        <v>38</v>
      </c>
      <c r="F11" s="22">
        <f t="shared" si="0"/>
        <v>200</v>
      </c>
      <c r="G11" s="7" t="s">
        <v>3334</v>
      </c>
      <c r="H11" s="7" t="s">
        <v>260</v>
      </c>
      <c r="I11" s="10" t="s">
        <v>60</v>
      </c>
      <c r="J11" s="7" t="s">
        <v>597</v>
      </c>
      <c r="K11" s="7" t="s">
        <v>258</v>
      </c>
      <c r="L11" s="7" t="s">
        <v>42</v>
      </c>
      <c r="N11" s="7" t="s">
        <v>596</v>
      </c>
      <c r="P11" s="10"/>
      <c r="Q11" s="10"/>
    </row>
    <row r="12" spans="1:18">
      <c r="J12" s="10"/>
    </row>
    <row r="13" spans="1:18">
      <c r="J13" s="10"/>
    </row>
    <row r="14" spans="1:18">
      <c r="J14" s="10"/>
    </row>
    <row r="15" spans="1:18">
      <c r="J15" s="10"/>
    </row>
    <row r="16" spans="1:18">
      <c r="J16" s="10"/>
    </row>
    <row r="17" spans="8:10">
      <c r="J17" s="10"/>
    </row>
    <row r="19" spans="8:10">
      <c r="H19" s="15"/>
    </row>
    <row r="20" spans="8:10">
      <c r="H20" s="15"/>
    </row>
  </sheetData>
  <phoneticPr fontId="67" type="noConversion"/>
  <conditionalFormatting sqref="G3:H3">
    <cfRule type="duplicateValues" dxfId="94" priority="44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B050"/>
  </sheetPr>
  <dimension ref="A1:R17"/>
  <sheetViews>
    <sheetView workbookViewId="0">
      <selection activeCell="G13" sqref="G13"/>
    </sheetView>
  </sheetViews>
  <sheetFormatPr defaultColWidth="9" defaultRowHeight="15.6"/>
  <cols>
    <col min="1" max="1" width="7" style="7" customWidth="1"/>
    <col min="2" max="2" width="3.6328125" style="7" customWidth="1"/>
    <col min="3" max="3" width="12.6328125" style="7" customWidth="1"/>
    <col min="4" max="4" width="23.26953125" style="7" customWidth="1"/>
    <col min="5" max="5" width="9" style="7" customWidth="1"/>
    <col min="6" max="6" width="12" style="7" customWidth="1"/>
    <col min="7" max="8" width="23.26953125" style="7" customWidth="1"/>
    <col min="9" max="9" width="7.81640625" style="7" customWidth="1"/>
    <col min="10" max="10" width="7.1796875" style="7" customWidth="1"/>
    <col min="11" max="11" width="19" style="7" customWidth="1"/>
    <col min="12" max="13" width="5" style="7" customWidth="1"/>
    <col min="14" max="14" width="6.1796875" style="7" customWidth="1"/>
    <col min="15" max="15" width="14" style="7" customWidth="1"/>
    <col min="16" max="16384" width="9" style="7"/>
  </cols>
  <sheetData>
    <row r="1" spans="1:18">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7" t="s">
        <v>25</v>
      </c>
      <c r="B2" s="7">
        <v>1</v>
      </c>
      <c r="C2" s="7" t="s">
        <v>37</v>
      </c>
      <c r="D2" s="7" t="s">
        <v>1021</v>
      </c>
      <c r="E2" s="7" t="s">
        <v>38</v>
      </c>
      <c r="F2" s="7">
        <v>2000</v>
      </c>
      <c r="H2" s="10"/>
      <c r="I2" s="7" t="s">
        <v>757</v>
      </c>
      <c r="J2" s="7" t="s">
        <v>597</v>
      </c>
      <c r="K2" s="7" t="s">
        <v>55</v>
      </c>
      <c r="L2" s="7" t="s">
        <v>39</v>
      </c>
      <c r="O2" s="17" t="s">
        <v>1019</v>
      </c>
      <c r="Q2" s="5" t="s">
        <v>592</v>
      </c>
    </row>
    <row r="3" spans="1:18">
      <c r="A3" s="7" t="s">
        <v>25</v>
      </c>
      <c r="B3" s="7">
        <v>2</v>
      </c>
      <c r="C3" s="7" t="s">
        <v>57</v>
      </c>
      <c r="D3" s="7" t="s">
        <v>1022</v>
      </c>
      <c r="E3" s="7" t="s">
        <v>38</v>
      </c>
      <c r="F3" s="7">
        <v>2000</v>
      </c>
      <c r="G3" s="13" t="s">
        <v>3336</v>
      </c>
      <c r="H3" s="13" t="s">
        <v>618</v>
      </c>
      <c r="I3" s="10" t="s">
        <v>60</v>
      </c>
      <c r="J3" s="7" t="s">
        <v>597</v>
      </c>
      <c r="K3" s="7" t="s">
        <v>55</v>
      </c>
      <c r="L3" s="7" t="s">
        <v>39</v>
      </c>
      <c r="N3" s="7" t="s">
        <v>596</v>
      </c>
    </row>
    <row r="4" spans="1:18">
      <c r="A4" s="7" t="s">
        <v>25</v>
      </c>
      <c r="B4" s="7">
        <v>3</v>
      </c>
      <c r="C4" s="7" t="s">
        <v>714</v>
      </c>
      <c r="D4" s="7" t="s">
        <v>1024</v>
      </c>
      <c r="E4" s="7" t="s">
        <v>242</v>
      </c>
      <c r="F4" s="7">
        <v>8</v>
      </c>
      <c r="H4" s="10" t="s">
        <v>266</v>
      </c>
      <c r="I4" s="7" t="s">
        <v>261</v>
      </c>
      <c r="J4" s="7" t="s">
        <v>597</v>
      </c>
      <c r="K4" s="7" t="s">
        <v>245</v>
      </c>
      <c r="L4" s="7" t="s">
        <v>39</v>
      </c>
      <c r="O4" s="7" t="s">
        <v>1048</v>
      </c>
      <c r="Q4" s="5" t="s">
        <v>592</v>
      </c>
    </row>
    <row r="5" spans="1:18">
      <c r="A5" s="7" t="s">
        <v>25</v>
      </c>
      <c r="B5" s="7">
        <v>4</v>
      </c>
      <c r="C5" s="7" t="s">
        <v>715</v>
      </c>
      <c r="D5" s="7" t="s">
        <v>1025</v>
      </c>
      <c r="E5" s="7" t="s">
        <v>38</v>
      </c>
      <c r="F5" s="7">
        <v>2000</v>
      </c>
      <c r="H5" s="10" t="s">
        <v>267</v>
      </c>
      <c r="I5" s="7" t="s">
        <v>261</v>
      </c>
      <c r="J5" s="7" t="s">
        <v>597</v>
      </c>
      <c r="K5" s="7" t="s">
        <v>111</v>
      </c>
      <c r="L5" s="7" t="s">
        <v>49</v>
      </c>
      <c r="O5" s="7" t="s">
        <v>1049</v>
      </c>
      <c r="Q5" s="5" t="s">
        <v>592</v>
      </c>
    </row>
    <row r="6" spans="1:18">
      <c r="A6" s="7" t="s">
        <v>25</v>
      </c>
      <c r="B6" s="7">
        <v>5</v>
      </c>
      <c r="C6" s="7" t="s">
        <v>106</v>
      </c>
      <c r="D6" s="7" t="s">
        <v>1040</v>
      </c>
      <c r="E6" s="7" t="s">
        <v>38</v>
      </c>
      <c r="F6" s="7">
        <v>2000</v>
      </c>
      <c r="I6" s="7" t="s">
        <v>757</v>
      </c>
      <c r="J6" s="7" t="s">
        <v>597</v>
      </c>
      <c r="K6" s="7" t="s">
        <v>115</v>
      </c>
      <c r="L6" s="7" t="s">
        <v>42</v>
      </c>
      <c r="O6" s="7" t="s">
        <v>1050</v>
      </c>
      <c r="Q6" s="5" t="s">
        <v>592</v>
      </c>
      <c r="R6" s="5"/>
    </row>
    <row r="7" spans="1:18">
      <c r="A7" s="7" t="s">
        <v>25</v>
      </c>
      <c r="B7" s="7">
        <v>6</v>
      </c>
      <c r="C7" s="7" t="s">
        <v>268</v>
      </c>
      <c r="D7" s="7" t="s">
        <v>1056</v>
      </c>
      <c r="E7" s="7" t="s">
        <v>38</v>
      </c>
      <c r="F7" s="7">
        <v>2000</v>
      </c>
      <c r="I7" s="7" t="s">
        <v>261</v>
      </c>
      <c r="J7" s="7" t="s">
        <v>597</v>
      </c>
      <c r="K7" s="7" t="s">
        <v>255</v>
      </c>
      <c r="L7" s="7" t="s">
        <v>39</v>
      </c>
      <c r="O7" s="7" t="s">
        <v>1051</v>
      </c>
      <c r="Q7" s="5" t="s">
        <v>592</v>
      </c>
    </row>
    <row r="8" spans="1:18">
      <c r="J8" s="10"/>
    </row>
    <row r="9" spans="1:18">
      <c r="J9" s="10"/>
    </row>
    <row r="10" spans="1:18">
      <c r="J10" s="10"/>
    </row>
    <row r="11" spans="1:18">
      <c r="J11" s="12"/>
    </row>
    <row r="12" spans="1:18">
      <c r="J12" s="10"/>
    </row>
    <row r="13" spans="1:18">
      <c r="J13" s="10"/>
    </row>
    <row r="14" spans="1:18">
      <c r="J14" s="10"/>
    </row>
    <row r="15" spans="1:18">
      <c r="J15" s="10"/>
    </row>
    <row r="16" spans="1:18">
      <c r="J16" s="10"/>
    </row>
    <row r="17" spans="10:10">
      <c r="J17" s="10"/>
    </row>
  </sheetData>
  <phoneticPr fontId="67" type="noConversion"/>
  <conditionalFormatting sqref="G3">
    <cfRule type="duplicateValues" dxfId="93" priority="2"/>
  </conditionalFormatting>
  <conditionalFormatting sqref="H3">
    <cfRule type="duplicateValues" dxfId="9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B050"/>
  </sheetPr>
  <dimension ref="A1:R17"/>
  <sheetViews>
    <sheetView workbookViewId="0">
      <selection activeCell="M14" sqref="M14"/>
    </sheetView>
  </sheetViews>
  <sheetFormatPr defaultColWidth="9" defaultRowHeight="15.6"/>
  <cols>
    <col min="1" max="1" width="7" style="7" customWidth="1"/>
    <col min="2" max="2" width="3.6328125" style="7" customWidth="1"/>
    <col min="3" max="3" width="12.6328125" style="7" customWidth="1"/>
    <col min="4" max="4" width="28" style="7" customWidth="1"/>
    <col min="5" max="5" width="6.1796875" style="7" customWidth="1"/>
    <col min="6" max="6" width="7.26953125" style="7" customWidth="1"/>
    <col min="7" max="8" width="23.26953125" style="7" customWidth="1"/>
    <col min="9" max="9" width="9" style="7" customWidth="1"/>
    <col min="10" max="10" width="7.1796875" style="7" customWidth="1"/>
    <col min="11" max="11" width="18" style="7" customWidth="1"/>
    <col min="12" max="13" width="5" style="7" customWidth="1"/>
    <col min="14" max="14" width="6.1796875" style="7" customWidth="1"/>
    <col min="15" max="15" width="31.1796875" style="7" customWidth="1"/>
    <col min="16" max="16384" width="9" style="7"/>
  </cols>
  <sheetData>
    <row r="1" spans="1:18">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7" t="s">
        <v>23</v>
      </c>
      <c r="B2" s="7">
        <v>1</v>
      </c>
      <c r="C2" s="7" t="s">
        <v>37</v>
      </c>
      <c r="D2" s="7" t="str">
        <f>VLOOKUP(C2,[1]TI!$C$2:$D$9,2,0)</f>
        <v>研究标识符</v>
      </c>
      <c r="E2" s="7" t="s">
        <v>38</v>
      </c>
      <c r="F2" s="7">
        <v>2000</v>
      </c>
      <c r="H2" s="10"/>
      <c r="I2" s="7" t="s">
        <v>757</v>
      </c>
      <c r="J2" s="7" t="s">
        <v>597</v>
      </c>
      <c r="K2" s="7" t="s">
        <v>55</v>
      </c>
      <c r="L2" s="7" t="s">
        <v>39</v>
      </c>
      <c r="O2" s="17" t="s">
        <v>1019</v>
      </c>
      <c r="Q2" s="5" t="s">
        <v>592</v>
      </c>
    </row>
    <row r="3" spans="1:18">
      <c r="A3" s="7" t="s">
        <v>23</v>
      </c>
      <c r="B3" s="7">
        <v>2</v>
      </c>
      <c r="C3" s="7" t="s">
        <v>57</v>
      </c>
      <c r="D3" s="7" t="str">
        <f>VLOOKUP(C3,[1]TI!$C$2:$D$9,2,0)</f>
        <v>域名缩写</v>
      </c>
      <c r="E3" s="7" t="s">
        <v>38</v>
      </c>
      <c r="F3" s="7">
        <v>2000</v>
      </c>
      <c r="G3" s="13" t="s">
        <v>3336</v>
      </c>
      <c r="H3" s="13" t="s">
        <v>618</v>
      </c>
      <c r="I3" s="10" t="s">
        <v>60</v>
      </c>
      <c r="J3" s="7" t="s">
        <v>597</v>
      </c>
      <c r="K3" s="7" t="s">
        <v>55</v>
      </c>
      <c r="L3" s="7" t="s">
        <v>39</v>
      </c>
      <c r="N3" s="7" t="s">
        <v>596</v>
      </c>
    </row>
    <row r="4" spans="1:18">
      <c r="A4" s="7" t="s">
        <v>23</v>
      </c>
      <c r="B4" s="7">
        <v>3</v>
      </c>
      <c r="C4" s="7" t="s">
        <v>262</v>
      </c>
      <c r="D4" s="7" t="str">
        <f>VLOOKUP(C4,[1]TI!$C$2:$D$9,2,0)</f>
        <v>入选/排除标准简称</v>
      </c>
      <c r="E4" s="7" t="s">
        <v>38</v>
      </c>
      <c r="F4" s="7">
        <v>2000</v>
      </c>
      <c r="H4" s="10" t="s">
        <v>262</v>
      </c>
      <c r="I4" s="7" t="s">
        <v>261</v>
      </c>
      <c r="J4" s="7" t="s">
        <v>597</v>
      </c>
      <c r="K4" s="7" t="s">
        <v>245</v>
      </c>
      <c r="L4" s="7" t="s">
        <v>39</v>
      </c>
      <c r="O4" s="7" t="s">
        <v>1358</v>
      </c>
      <c r="Q4" s="5" t="s">
        <v>592</v>
      </c>
    </row>
    <row r="5" spans="1:18">
      <c r="A5" s="7" t="s">
        <v>23</v>
      </c>
      <c r="B5" s="7">
        <v>4</v>
      </c>
      <c r="C5" s="7" t="s">
        <v>587</v>
      </c>
      <c r="D5" s="7" t="str">
        <f>VLOOKUP(C5,[1]TI!$C$2:$D$9,2,0)</f>
        <v>入选/排除标准</v>
      </c>
      <c r="E5" s="7" t="s">
        <v>38</v>
      </c>
      <c r="F5" s="7">
        <v>2000</v>
      </c>
      <c r="H5" s="10" t="s">
        <v>1055</v>
      </c>
      <c r="I5" s="7" t="s">
        <v>261</v>
      </c>
      <c r="J5" s="7" t="s">
        <v>597</v>
      </c>
      <c r="K5" s="7" t="s">
        <v>111</v>
      </c>
      <c r="L5" s="7" t="s">
        <v>39</v>
      </c>
      <c r="O5" s="7" t="s">
        <v>1358</v>
      </c>
      <c r="Q5" s="5" t="s">
        <v>592</v>
      </c>
    </row>
    <row r="6" spans="1:18">
      <c r="A6" s="7" t="s">
        <v>23</v>
      </c>
      <c r="B6" s="7">
        <v>5</v>
      </c>
      <c r="C6" s="7" t="s">
        <v>263</v>
      </c>
      <c r="D6" s="7" t="str">
        <f>VLOOKUP(C6,[1]TI!$C$2:$D$9,2,0)</f>
        <v>类别</v>
      </c>
      <c r="E6" s="7" t="s">
        <v>38</v>
      </c>
      <c r="F6" s="7">
        <v>2000</v>
      </c>
      <c r="G6" s="7" t="s">
        <v>611</v>
      </c>
      <c r="H6" s="10" t="s">
        <v>263</v>
      </c>
      <c r="I6" s="7" t="s">
        <v>261</v>
      </c>
      <c r="J6" s="7" t="s">
        <v>597</v>
      </c>
      <c r="K6" s="7" t="s">
        <v>264</v>
      </c>
      <c r="L6" s="7" t="s">
        <v>39</v>
      </c>
      <c r="O6" s="7" t="s">
        <v>1358</v>
      </c>
      <c r="Q6" s="5" t="s">
        <v>592</v>
      </c>
    </row>
    <row r="7" spans="1:18">
      <c r="A7" s="7" t="s">
        <v>23</v>
      </c>
      <c r="B7" s="7">
        <v>6</v>
      </c>
      <c r="C7" s="7" t="s">
        <v>265</v>
      </c>
      <c r="D7" s="7" t="str">
        <f>VLOOKUP(C7,[1]TI!$C$2:$D$9,2,0)</f>
        <v>方案版本</v>
      </c>
      <c r="E7" s="7" t="s">
        <v>38</v>
      </c>
      <c r="F7" s="7">
        <v>2000</v>
      </c>
      <c r="H7" s="10"/>
      <c r="I7" s="7" t="s">
        <v>261</v>
      </c>
      <c r="J7" s="7" t="s">
        <v>597</v>
      </c>
      <c r="K7" s="7" t="s">
        <v>115</v>
      </c>
      <c r="L7" s="7" t="s">
        <v>49</v>
      </c>
      <c r="O7" s="7" t="s">
        <v>1368</v>
      </c>
      <c r="Q7" s="5" t="s">
        <v>592</v>
      </c>
    </row>
    <row r="8" spans="1:18">
      <c r="J8" s="10"/>
    </row>
    <row r="9" spans="1:18">
      <c r="J9" s="10"/>
    </row>
    <row r="10" spans="1:18">
      <c r="J10" s="10"/>
    </row>
    <row r="11" spans="1:18">
      <c r="J11" s="12"/>
    </row>
    <row r="12" spans="1:18">
      <c r="J12" s="10"/>
    </row>
    <row r="13" spans="1:18">
      <c r="J13" s="10"/>
    </row>
    <row r="14" spans="1:18">
      <c r="J14" s="10"/>
    </row>
    <row r="15" spans="1:18">
      <c r="J15" s="10"/>
    </row>
    <row r="16" spans="1:18">
      <c r="J16" s="10"/>
    </row>
    <row r="17" spans="10:10">
      <c r="J17" s="10"/>
    </row>
  </sheetData>
  <phoneticPr fontId="67" type="noConversion"/>
  <conditionalFormatting sqref="G3">
    <cfRule type="duplicateValues" dxfId="91" priority="2"/>
  </conditionalFormatting>
  <conditionalFormatting sqref="H3">
    <cfRule type="duplicateValues" dxfId="9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rgb="FF00B050"/>
  </sheetPr>
  <dimension ref="A1:R47"/>
  <sheetViews>
    <sheetView zoomScaleNormal="100" workbookViewId="0">
      <pane ySplit="1" topLeftCell="A26" activePane="bottomLeft" state="frozen"/>
      <selection activeCell="Q96" sqref="Q96"/>
      <selection pane="bottomLeft" sqref="A1:XFD1"/>
    </sheetView>
  </sheetViews>
  <sheetFormatPr defaultColWidth="9" defaultRowHeight="15.6"/>
  <cols>
    <col min="1" max="1" width="7.08984375" style="7" customWidth="1"/>
    <col min="2" max="2" width="4" style="7" customWidth="1"/>
    <col min="3" max="3" width="12.26953125" style="7" customWidth="1"/>
    <col min="4" max="4" width="32.6328125" style="7" customWidth="1"/>
    <col min="5" max="5" width="5.1796875" style="7" customWidth="1"/>
    <col min="6" max="6" width="6.1796875" style="7" customWidth="1"/>
    <col min="7" max="8" width="23.1796875" style="7" customWidth="1"/>
    <col min="9" max="9" width="9.6328125" style="7" customWidth="1"/>
    <col min="10" max="10" width="12" style="7" customWidth="1"/>
    <col min="11" max="11" width="18.7265625" style="7" customWidth="1"/>
    <col min="12" max="12" width="5.6328125" style="7" customWidth="1"/>
    <col min="13" max="13" width="5.1796875" style="7" customWidth="1"/>
    <col min="14" max="14" width="7.26953125" style="7" customWidth="1"/>
    <col min="15" max="15" width="18.1796875" style="7" customWidth="1"/>
    <col min="16" max="16" width="27.6328125" style="7" customWidth="1"/>
    <col min="17" max="17" width="13.453125" style="7" customWidth="1"/>
    <col min="18" max="16384" width="9" style="7"/>
  </cols>
  <sheetData>
    <row r="1" spans="1:18">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7" t="s">
        <v>5</v>
      </c>
      <c r="B2" s="7">
        <v>1</v>
      </c>
      <c r="C2" s="7" t="s">
        <v>37</v>
      </c>
      <c r="D2" s="7" t="s">
        <v>1021</v>
      </c>
      <c r="E2" s="7" t="s">
        <v>615</v>
      </c>
      <c r="F2" s="7">
        <f>IF(E2="Char",2000,8)</f>
        <v>2000</v>
      </c>
      <c r="G2" s="7" t="s">
        <v>53</v>
      </c>
      <c r="I2" s="7" t="s">
        <v>757</v>
      </c>
      <c r="J2" s="10" t="s">
        <v>597</v>
      </c>
      <c r="K2" s="7" t="s">
        <v>55</v>
      </c>
      <c r="L2" s="7" t="s">
        <v>56</v>
      </c>
      <c r="O2" s="17" t="s">
        <v>1019</v>
      </c>
      <c r="Q2" s="5" t="s">
        <v>592</v>
      </c>
    </row>
    <row r="3" spans="1:18">
      <c r="A3" s="7" t="s">
        <v>5</v>
      </c>
      <c r="B3" s="7">
        <v>2</v>
      </c>
      <c r="C3" s="7" t="s">
        <v>57</v>
      </c>
      <c r="D3" s="7" t="s">
        <v>1022</v>
      </c>
      <c r="E3" s="7" t="s">
        <v>615</v>
      </c>
      <c r="F3" s="7">
        <f t="shared" ref="F3:F40" si="0">IF(E3="Char",2000,8)</f>
        <v>2000</v>
      </c>
      <c r="G3" s="13" t="s">
        <v>3336</v>
      </c>
      <c r="H3" s="13" t="s">
        <v>618</v>
      </c>
      <c r="I3" s="10" t="s">
        <v>60</v>
      </c>
      <c r="J3" s="10" t="s">
        <v>597</v>
      </c>
      <c r="K3" s="7" t="s">
        <v>61</v>
      </c>
      <c r="L3" s="7" t="s">
        <v>56</v>
      </c>
      <c r="N3" s="7" t="s">
        <v>597</v>
      </c>
    </row>
    <row r="4" spans="1:18">
      <c r="A4" s="7" t="s">
        <v>5</v>
      </c>
      <c r="B4" s="7">
        <v>3</v>
      </c>
      <c r="C4" s="7" t="s">
        <v>41</v>
      </c>
      <c r="D4" s="7" t="s">
        <v>1023</v>
      </c>
      <c r="E4" s="7" t="s">
        <v>615</v>
      </c>
      <c r="F4" s="7">
        <f t="shared" si="0"/>
        <v>2000</v>
      </c>
      <c r="G4" s="7" t="s">
        <v>53</v>
      </c>
      <c r="I4" s="7" t="s">
        <v>69</v>
      </c>
      <c r="J4" s="10" t="s">
        <v>597</v>
      </c>
      <c r="K4" s="7" t="s">
        <v>61</v>
      </c>
      <c r="L4" s="7" t="s">
        <v>56</v>
      </c>
      <c r="O4" s="17" t="s">
        <v>1015</v>
      </c>
      <c r="R4" s="10" t="s">
        <v>592</v>
      </c>
    </row>
    <row r="5" spans="1:18">
      <c r="A5" s="7" t="s">
        <v>5</v>
      </c>
      <c r="B5" s="7">
        <v>4</v>
      </c>
      <c r="C5" s="7" t="s">
        <v>651</v>
      </c>
      <c r="D5" s="7" t="s">
        <v>1057</v>
      </c>
      <c r="E5" s="7" t="s">
        <v>615</v>
      </c>
      <c r="F5" s="7">
        <f t="shared" si="0"/>
        <v>2000</v>
      </c>
      <c r="G5" s="7" t="s">
        <v>53</v>
      </c>
      <c r="I5" s="7" t="s">
        <v>69</v>
      </c>
      <c r="J5" s="10" t="s">
        <v>597</v>
      </c>
      <c r="K5" s="7" t="s">
        <v>65</v>
      </c>
      <c r="L5" s="7" t="s">
        <v>56</v>
      </c>
      <c r="O5" s="17" t="s">
        <v>1382</v>
      </c>
    </row>
    <row r="6" spans="1:18">
      <c r="A6" s="7" t="s">
        <v>5</v>
      </c>
      <c r="B6" s="7">
        <v>5</v>
      </c>
      <c r="C6" s="7" t="s">
        <v>642</v>
      </c>
      <c r="D6" s="7" t="s">
        <v>1075</v>
      </c>
      <c r="E6" s="7" t="s">
        <v>615</v>
      </c>
      <c r="F6" s="7">
        <f>IF(E6="Char",2000,8)</f>
        <v>2000</v>
      </c>
      <c r="I6" s="7" t="s">
        <v>3322</v>
      </c>
      <c r="J6" s="16" t="s">
        <v>3323</v>
      </c>
      <c r="M6" s="7" t="s">
        <v>78</v>
      </c>
      <c r="R6" s="10" t="s">
        <v>592</v>
      </c>
    </row>
    <row r="7" spans="1:18">
      <c r="A7" s="7" t="s">
        <v>5</v>
      </c>
      <c r="B7" s="7">
        <v>6</v>
      </c>
      <c r="C7" s="7" t="s">
        <v>595</v>
      </c>
      <c r="D7" s="7" t="s">
        <v>1076</v>
      </c>
      <c r="E7" s="7" t="s">
        <v>96</v>
      </c>
      <c r="F7" s="7">
        <f>IF(E7="Char",2000,8)</f>
        <v>8</v>
      </c>
      <c r="I7" s="7" t="s">
        <v>69</v>
      </c>
      <c r="J7" s="10" t="s">
        <v>597</v>
      </c>
      <c r="M7" s="7" t="s">
        <v>78</v>
      </c>
      <c r="O7" s="7" t="s">
        <v>1383</v>
      </c>
      <c r="R7" s="10" t="s">
        <v>592</v>
      </c>
    </row>
    <row r="8" spans="1:18">
      <c r="A8" s="7" t="s">
        <v>5</v>
      </c>
      <c r="B8" s="7">
        <v>7</v>
      </c>
      <c r="C8" s="7" t="s">
        <v>66</v>
      </c>
      <c r="D8" s="7" t="s">
        <v>1058</v>
      </c>
      <c r="E8" s="7" t="s">
        <v>615</v>
      </c>
      <c r="F8" s="7">
        <f t="shared" si="0"/>
        <v>2000</v>
      </c>
      <c r="I8" s="7" t="s">
        <v>69</v>
      </c>
      <c r="J8" s="10" t="s">
        <v>597</v>
      </c>
      <c r="K8" s="7" t="s">
        <v>70</v>
      </c>
      <c r="L8" s="7" t="s">
        <v>71</v>
      </c>
      <c r="O8" s="7" t="s">
        <v>665</v>
      </c>
      <c r="R8" s="10" t="s">
        <v>592</v>
      </c>
    </row>
    <row r="9" spans="1:18">
      <c r="A9" s="7" t="s">
        <v>5</v>
      </c>
      <c r="B9" s="7">
        <v>8</v>
      </c>
      <c r="C9" s="7" t="s">
        <v>72</v>
      </c>
      <c r="D9" s="7" t="s">
        <v>1059</v>
      </c>
      <c r="E9" s="7" t="s">
        <v>615</v>
      </c>
      <c r="F9" s="7">
        <f t="shared" si="0"/>
        <v>2000</v>
      </c>
      <c r="I9" s="7" t="s">
        <v>69</v>
      </c>
      <c r="J9" s="10" t="s">
        <v>597</v>
      </c>
      <c r="K9" s="7" t="s">
        <v>70</v>
      </c>
      <c r="L9" s="7" t="s">
        <v>71</v>
      </c>
      <c r="O9" s="7" t="s">
        <v>1654</v>
      </c>
      <c r="R9" s="10" t="s">
        <v>592</v>
      </c>
    </row>
    <row r="10" spans="1:18">
      <c r="A10" s="7" t="s">
        <v>5</v>
      </c>
      <c r="B10" s="7">
        <v>9</v>
      </c>
      <c r="C10" s="7" t="s">
        <v>74</v>
      </c>
      <c r="D10" s="7" t="s">
        <v>1060</v>
      </c>
      <c r="E10" s="7" t="s">
        <v>615</v>
      </c>
      <c r="F10" s="7">
        <f t="shared" si="0"/>
        <v>2000</v>
      </c>
      <c r="I10" s="7" t="s">
        <v>69</v>
      </c>
      <c r="J10" s="10" t="s">
        <v>597</v>
      </c>
      <c r="K10" s="7" t="s">
        <v>70</v>
      </c>
      <c r="L10" s="7" t="s">
        <v>71</v>
      </c>
      <c r="O10" s="7" t="s">
        <v>1364</v>
      </c>
      <c r="R10" s="10" t="s">
        <v>592</v>
      </c>
    </row>
    <row r="11" spans="1:18">
      <c r="A11" s="7" t="s">
        <v>5</v>
      </c>
      <c r="B11" s="7">
        <v>10</v>
      </c>
      <c r="C11" s="7" t="s">
        <v>76</v>
      </c>
      <c r="D11" s="7" t="s">
        <v>1061</v>
      </c>
      <c r="E11" s="7" t="s">
        <v>615</v>
      </c>
      <c r="F11" s="7">
        <f t="shared" si="0"/>
        <v>2000</v>
      </c>
      <c r="I11" s="7" t="s">
        <v>69</v>
      </c>
      <c r="J11" s="10" t="s">
        <v>597</v>
      </c>
      <c r="K11" s="7" t="s">
        <v>70</v>
      </c>
      <c r="L11" s="7" t="s">
        <v>71</v>
      </c>
      <c r="O11" s="7" t="s">
        <v>1365</v>
      </c>
      <c r="R11" s="10" t="s">
        <v>592</v>
      </c>
    </row>
    <row r="12" spans="1:18">
      <c r="A12" s="7" t="s">
        <v>5</v>
      </c>
      <c r="B12" s="7">
        <v>11</v>
      </c>
      <c r="C12" s="7" t="s">
        <v>652</v>
      </c>
      <c r="D12" s="7" t="s">
        <v>1062</v>
      </c>
      <c r="E12" s="7" t="s">
        <v>615</v>
      </c>
      <c r="F12" s="7">
        <f t="shared" si="0"/>
        <v>2000</v>
      </c>
      <c r="I12" s="7" t="s">
        <v>3322</v>
      </c>
      <c r="J12" s="16" t="s">
        <v>3323</v>
      </c>
      <c r="K12" s="7" t="s">
        <v>70</v>
      </c>
      <c r="L12" s="7" t="s">
        <v>71</v>
      </c>
    </row>
    <row r="13" spans="1:18">
      <c r="A13" s="7" t="s">
        <v>5</v>
      </c>
      <c r="B13" s="7">
        <v>12</v>
      </c>
      <c r="C13" s="7" t="s">
        <v>81</v>
      </c>
      <c r="D13" s="7" t="s">
        <v>1063</v>
      </c>
      <c r="E13" s="7" t="s">
        <v>615</v>
      </c>
      <c r="F13" s="7">
        <f t="shared" si="0"/>
        <v>2000</v>
      </c>
      <c r="I13" s="7" t="s">
        <v>69</v>
      </c>
      <c r="J13" s="10" t="s">
        <v>597</v>
      </c>
      <c r="K13" s="7" t="s">
        <v>70</v>
      </c>
      <c r="L13" s="7" t="s">
        <v>71</v>
      </c>
      <c r="O13" s="5" t="s">
        <v>1094</v>
      </c>
      <c r="R13" s="10" t="s">
        <v>592</v>
      </c>
    </row>
    <row r="14" spans="1:18">
      <c r="A14" s="7" t="s">
        <v>5</v>
      </c>
      <c r="B14" s="7">
        <v>13</v>
      </c>
      <c r="C14" s="7" t="s">
        <v>666</v>
      </c>
      <c r="D14" s="7" t="s">
        <v>1064</v>
      </c>
      <c r="E14" s="7" t="s">
        <v>615</v>
      </c>
      <c r="F14" s="7">
        <f t="shared" si="0"/>
        <v>2000</v>
      </c>
      <c r="I14" s="7" t="s">
        <v>3322</v>
      </c>
      <c r="J14" s="16" t="s">
        <v>3323</v>
      </c>
      <c r="K14" s="7" t="s">
        <v>70</v>
      </c>
      <c r="L14" s="7" t="s">
        <v>71</v>
      </c>
    </row>
    <row r="15" spans="1:18">
      <c r="A15" s="7" t="s">
        <v>5</v>
      </c>
      <c r="B15" s="7">
        <v>14</v>
      </c>
      <c r="C15" s="7" t="s">
        <v>636</v>
      </c>
      <c r="D15" s="7" t="s">
        <v>3963</v>
      </c>
      <c r="E15" s="7" t="s">
        <v>615</v>
      </c>
      <c r="F15" s="7">
        <f t="shared" si="0"/>
        <v>2000</v>
      </c>
      <c r="G15" s="7" t="s">
        <v>653</v>
      </c>
      <c r="H15" s="7" t="s">
        <v>1053</v>
      </c>
      <c r="I15" s="7" t="s">
        <v>3322</v>
      </c>
      <c r="J15" s="16" t="s">
        <v>3323</v>
      </c>
      <c r="K15" s="7" t="s">
        <v>70</v>
      </c>
      <c r="L15" s="7" t="s">
        <v>71</v>
      </c>
    </row>
    <row r="16" spans="1:18">
      <c r="A16" s="7" t="s">
        <v>5</v>
      </c>
      <c r="B16" s="7">
        <v>15</v>
      </c>
      <c r="C16" s="7" t="s">
        <v>941</v>
      </c>
      <c r="D16" s="7" t="s">
        <v>1077</v>
      </c>
      <c r="E16" s="7" t="s">
        <v>615</v>
      </c>
      <c r="F16" s="7">
        <f>IF(E16="Char",2000,8)</f>
        <v>2000</v>
      </c>
      <c r="I16" s="7" t="s">
        <v>3322</v>
      </c>
      <c r="J16" s="16" t="s">
        <v>3323</v>
      </c>
      <c r="M16" s="7" t="s">
        <v>592</v>
      </c>
    </row>
    <row r="17" spans="1:18">
      <c r="A17" s="7" t="s">
        <v>5</v>
      </c>
      <c r="B17" s="7">
        <v>16</v>
      </c>
      <c r="C17" s="7" t="s">
        <v>637</v>
      </c>
      <c r="D17" s="7" t="s">
        <v>1065</v>
      </c>
      <c r="E17" s="7" t="s">
        <v>615</v>
      </c>
      <c r="F17" s="7">
        <f>IF(E17="Char",2000,8)</f>
        <v>2000</v>
      </c>
      <c r="G17" s="7" t="s">
        <v>53</v>
      </c>
      <c r="I17" s="7" t="s">
        <v>3322</v>
      </c>
      <c r="J17" s="16" t="s">
        <v>3323</v>
      </c>
      <c r="K17" s="7" t="s">
        <v>70</v>
      </c>
      <c r="L17" s="7" t="s">
        <v>56</v>
      </c>
    </row>
    <row r="18" spans="1:18">
      <c r="A18" s="7" t="s">
        <v>5</v>
      </c>
      <c r="B18" s="7">
        <v>17</v>
      </c>
      <c r="C18" s="7" t="s">
        <v>654</v>
      </c>
      <c r="D18" s="7" t="s">
        <v>1066</v>
      </c>
      <c r="E18" s="7" t="s">
        <v>615</v>
      </c>
      <c r="F18" s="7">
        <f t="shared" si="0"/>
        <v>2000</v>
      </c>
      <c r="I18" s="7" t="s">
        <v>3322</v>
      </c>
      <c r="J18" s="16" t="s">
        <v>3323</v>
      </c>
      <c r="K18" s="7" t="s">
        <v>70</v>
      </c>
      <c r="L18" s="7" t="s">
        <v>93</v>
      </c>
    </row>
    <row r="19" spans="1:18">
      <c r="A19" s="7" t="s">
        <v>5</v>
      </c>
      <c r="B19" s="7">
        <v>18</v>
      </c>
      <c r="C19" s="7" t="s">
        <v>94</v>
      </c>
      <c r="D19" s="7" t="s">
        <v>1067</v>
      </c>
      <c r="E19" s="7" t="s">
        <v>96</v>
      </c>
      <c r="F19" s="7">
        <f t="shared" si="0"/>
        <v>8</v>
      </c>
      <c r="G19" s="7" t="s">
        <v>53</v>
      </c>
      <c r="I19" s="7" t="s">
        <v>3322</v>
      </c>
      <c r="J19" s="16" t="s">
        <v>3323</v>
      </c>
      <c r="K19" s="7" t="s">
        <v>70</v>
      </c>
      <c r="L19" s="7" t="s">
        <v>71</v>
      </c>
    </row>
    <row r="20" spans="1:18">
      <c r="A20" s="7" t="s">
        <v>5</v>
      </c>
      <c r="B20" s="7">
        <v>19</v>
      </c>
      <c r="C20" s="7" t="s">
        <v>655</v>
      </c>
      <c r="D20" s="7" t="s">
        <v>1068</v>
      </c>
      <c r="E20" s="7" t="s">
        <v>615</v>
      </c>
      <c r="F20" s="7">
        <f t="shared" si="0"/>
        <v>2000</v>
      </c>
      <c r="G20" s="7" t="s">
        <v>656</v>
      </c>
      <c r="H20" s="7" t="s">
        <v>97</v>
      </c>
      <c r="I20" s="7" t="s">
        <v>3322</v>
      </c>
      <c r="J20" s="16" t="s">
        <v>3323</v>
      </c>
      <c r="K20" s="7" t="s">
        <v>100</v>
      </c>
      <c r="L20" s="7" t="s">
        <v>71</v>
      </c>
    </row>
    <row r="21" spans="1:18">
      <c r="A21" s="7" t="s">
        <v>5</v>
      </c>
      <c r="B21" s="7">
        <v>20</v>
      </c>
      <c r="C21" s="7" t="s">
        <v>101</v>
      </c>
      <c r="D21" s="7" t="s">
        <v>1069</v>
      </c>
      <c r="E21" s="7" t="s">
        <v>615</v>
      </c>
      <c r="F21" s="7">
        <f t="shared" si="0"/>
        <v>2000</v>
      </c>
      <c r="G21" s="7" t="s">
        <v>1092</v>
      </c>
      <c r="H21" s="7" t="s">
        <v>101</v>
      </c>
      <c r="I21" s="7" t="s">
        <v>3322</v>
      </c>
      <c r="J21" s="16" t="s">
        <v>3323</v>
      </c>
      <c r="K21" s="7" t="s">
        <v>70</v>
      </c>
      <c r="L21" s="7" t="s">
        <v>56</v>
      </c>
    </row>
    <row r="22" spans="1:18">
      <c r="A22" s="7" t="s">
        <v>5</v>
      </c>
      <c r="B22" s="7">
        <v>21</v>
      </c>
      <c r="C22" s="7" t="s">
        <v>667</v>
      </c>
      <c r="D22" s="7" t="s">
        <v>1078</v>
      </c>
      <c r="E22" s="7" t="s">
        <v>615</v>
      </c>
      <c r="F22" s="7">
        <f>IF(E22="Char",2000,8)</f>
        <v>2000</v>
      </c>
      <c r="H22" s="7" t="s">
        <v>1053</v>
      </c>
      <c r="I22" s="7" t="s">
        <v>3322</v>
      </c>
      <c r="J22" s="16" t="s">
        <v>3323</v>
      </c>
      <c r="M22" s="7" t="s">
        <v>78</v>
      </c>
    </row>
    <row r="23" spans="1:18">
      <c r="A23" s="7" t="s">
        <v>5</v>
      </c>
      <c r="B23" s="7">
        <v>22</v>
      </c>
      <c r="C23" s="10" t="s">
        <v>657</v>
      </c>
      <c r="D23" s="7" t="s">
        <v>1070</v>
      </c>
      <c r="E23" s="7" t="s">
        <v>615</v>
      </c>
      <c r="F23" s="7">
        <f t="shared" si="0"/>
        <v>2000</v>
      </c>
      <c r="G23" s="10" t="s">
        <v>658</v>
      </c>
      <c r="H23" s="10" t="s">
        <v>657</v>
      </c>
      <c r="I23" s="10" t="s">
        <v>60</v>
      </c>
      <c r="J23" s="10" t="s">
        <v>597</v>
      </c>
      <c r="K23" s="10" t="s">
        <v>115</v>
      </c>
      <c r="L23" s="10" t="s">
        <v>42</v>
      </c>
      <c r="N23" s="7" t="s">
        <v>597</v>
      </c>
    </row>
    <row r="24" spans="1:18">
      <c r="A24" s="7" t="s">
        <v>5</v>
      </c>
      <c r="B24" s="7">
        <v>23</v>
      </c>
      <c r="C24" s="7" t="s">
        <v>104</v>
      </c>
      <c r="D24" s="7" t="s">
        <v>1071</v>
      </c>
      <c r="E24" s="7" t="s">
        <v>615</v>
      </c>
      <c r="F24" s="7">
        <f t="shared" si="0"/>
        <v>2000</v>
      </c>
      <c r="G24" s="7" t="s">
        <v>659</v>
      </c>
      <c r="H24" s="7" t="s">
        <v>1093</v>
      </c>
      <c r="I24" s="7" t="s">
        <v>3322</v>
      </c>
      <c r="J24" s="16" t="s">
        <v>3323</v>
      </c>
      <c r="K24" s="7" t="s">
        <v>70</v>
      </c>
      <c r="L24" s="7" t="s">
        <v>93</v>
      </c>
    </row>
    <row r="25" spans="1:18">
      <c r="A25" s="7" t="s">
        <v>5</v>
      </c>
      <c r="B25" s="7">
        <v>24</v>
      </c>
      <c r="C25" s="7" t="s">
        <v>640</v>
      </c>
      <c r="D25" s="7" t="s">
        <v>1079</v>
      </c>
      <c r="E25" s="7" t="s">
        <v>615</v>
      </c>
      <c r="F25" s="7">
        <f>IF(E25="Char",2000,8)</f>
        <v>2000</v>
      </c>
      <c r="I25" s="7" t="s">
        <v>3322</v>
      </c>
      <c r="J25" s="16" t="s">
        <v>3323</v>
      </c>
      <c r="M25" s="7" t="s">
        <v>78</v>
      </c>
    </row>
    <row r="26" spans="1:18">
      <c r="A26" s="7" t="s">
        <v>5</v>
      </c>
      <c r="B26" s="7">
        <v>25</v>
      </c>
      <c r="C26" s="7" t="s">
        <v>1080</v>
      </c>
      <c r="D26" s="7" t="s">
        <v>1040</v>
      </c>
      <c r="E26" s="7" t="s">
        <v>615</v>
      </c>
      <c r="F26" s="7">
        <f t="shared" si="0"/>
        <v>2000</v>
      </c>
      <c r="H26" s="7" t="s">
        <v>1080</v>
      </c>
      <c r="I26" s="7" t="s">
        <v>60</v>
      </c>
      <c r="J26" s="10" t="s">
        <v>597</v>
      </c>
      <c r="K26" s="7" t="s">
        <v>70</v>
      </c>
      <c r="L26" s="7" t="s">
        <v>56</v>
      </c>
    </row>
    <row r="27" spans="1:18">
      <c r="A27" s="7" t="s">
        <v>5</v>
      </c>
      <c r="B27" s="7">
        <v>26</v>
      </c>
      <c r="C27" s="7" t="s">
        <v>109</v>
      </c>
      <c r="D27" s="7" t="s">
        <v>1041</v>
      </c>
      <c r="E27" s="7" t="s">
        <v>615</v>
      </c>
      <c r="F27" s="7">
        <f t="shared" si="0"/>
        <v>2000</v>
      </c>
      <c r="H27" s="7" t="s">
        <v>109</v>
      </c>
      <c r="I27" s="7" t="s">
        <v>3322</v>
      </c>
      <c r="J27" s="10" t="s">
        <v>597</v>
      </c>
      <c r="K27" s="7" t="s">
        <v>111</v>
      </c>
      <c r="L27" s="7" t="s">
        <v>56</v>
      </c>
    </row>
    <row r="28" spans="1:18">
      <c r="A28" s="7" t="s">
        <v>5</v>
      </c>
      <c r="B28" s="7">
        <v>27</v>
      </c>
      <c r="C28" s="7" t="s">
        <v>112</v>
      </c>
      <c r="D28" s="7" t="s">
        <v>1072</v>
      </c>
      <c r="E28" s="7" t="s">
        <v>615</v>
      </c>
      <c r="F28" s="7">
        <f t="shared" si="0"/>
        <v>2000</v>
      </c>
      <c r="H28" s="7" t="s">
        <v>112</v>
      </c>
      <c r="I28" s="7" t="s">
        <v>69</v>
      </c>
      <c r="J28" s="16"/>
      <c r="K28" s="7" t="s">
        <v>70</v>
      </c>
      <c r="L28" s="7" t="s">
        <v>56</v>
      </c>
    </row>
    <row r="29" spans="1:18">
      <c r="A29" s="7" t="s">
        <v>5</v>
      </c>
      <c r="B29" s="7">
        <v>28</v>
      </c>
      <c r="C29" s="7" t="s">
        <v>114</v>
      </c>
      <c r="D29" s="7" t="s">
        <v>1073</v>
      </c>
      <c r="E29" s="7" t="s">
        <v>615</v>
      </c>
      <c r="F29" s="7">
        <f t="shared" si="0"/>
        <v>2000</v>
      </c>
      <c r="H29" s="7" t="s">
        <v>114</v>
      </c>
      <c r="I29" s="7" t="s">
        <v>69</v>
      </c>
      <c r="J29" s="16"/>
      <c r="K29" s="7" t="s">
        <v>111</v>
      </c>
      <c r="L29" s="7" t="s">
        <v>56</v>
      </c>
    </row>
    <row r="30" spans="1:18">
      <c r="A30" s="7" t="s">
        <v>5</v>
      </c>
      <c r="B30" s="7">
        <v>29</v>
      </c>
      <c r="C30" s="10" t="s">
        <v>594</v>
      </c>
      <c r="D30" s="7" t="s">
        <v>1081</v>
      </c>
      <c r="E30" s="7" t="s">
        <v>615</v>
      </c>
      <c r="F30" s="7">
        <f t="shared" si="0"/>
        <v>2000</v>
      </c>
      <c r="I30" s="7" t="s">
        <v>69</v>
      </c>
      <c r="J30" s="10" t="s">
        <v>597</v>
      </c>
      <c r="K30" s="7" t="s">
        <v>70</v>
      </c>
      <c r="L30" s="10" t="s">
        <v>42</v>
      </c>
      <c r="M30" s="10"/>
      <c r="N30" s="10"/>
      <c r="O30" s="7" t="s">
        <v>1366</v>
      </c>
      <c r="Q30" s="10"/>
      <c r="R30" s="10" t="s">
        <v>592</v>
      </c>
    </row>
    <row r="31" spans="1:18">
      <c r="A31" s="7" t="s">
        <v>5</v>
      </c>
      <c r="B31" s="7">
        <v>30</v>
      </c>
      <c r="C31" s="10" t="s">
        <v>638</v>
      </c>
      <c r="D31" s="7" t="s">
        <v>1082</v>
      </c>
      <c r="E31" s="7" t="s">
        <v>615</v>
      </c>
      <c r="F31" s="7">
        <f t="shared" si="0"/>
        <v>2000</v>
      </c>
      <c r="I31" s="7" t="s">
        <v>3322</v>
      </c>
      <c r="J31" s="16" t="s">
        <v>3323</v>
      </c>
      <c r="K31" s="7" t="s">
        <v>70</v>
      </c>
      <c r="L31" s="10" t="s">
        <v>42</v>
      </c>
      <c r="M31" s="10"/>
      <c r="N31" s="10"/>
      <c r="O31" s="7" t="s">
        <v>1367</v>
      </c>
      <c r="Q31" s="10"/>
      <c r="R31" s="10"/>
    </row>
    <row r="32" spans="1:18">
      <c r="A32" s="7" t="s">
        <v>5</v>
      </c>
      <c r="B32" s="7">
        <v>31</v>
      </c>
      <c r="C32" s="7" t="s">
        <v>641</v>
      </c>
      <c r="D32" s="7" t="s">
        <v>1083</v>
      </c>
      <c r="E32" s="7" t="s">
        <v>615</v>
      </c>
      <c r="F32" s="7">
        <f>IF(E32="Char",2000,8)</f>
        <v>2000</v>
      </c>
      <c r="I32" s="7" t="s">
        <v>3322</v>
      </c>
      <c r="J32" s="16" t="s">
        <v>3323</v>
      </c>
      <c r="M32" s="7" t="s">
        <v>78</v>
      </c>
    </row>
    <row r="33" spans="1:15">
      <c r="A33" s="7" t="s">
        <v>5</v>
      </c>
      <c r="B33" s="7">
        <v>32</v>
      </c>
      <c r="C33" s="7" t="s">
        <v>661</v>
      </c>
      <c r="D33" s="7" t="s">
        <v>1084</v>
      </c>
      <c r="E33" s="7" t="s">
        <v>615</v>
      </c>
      <c r="F33" s="7">
        <f>IF(E33="Char",2000,8)</f>
        <v>2000</v>
      </c>
      <c r="I33" s="7" t="s">
        <v>3322</v>
      </c>
      <c r="J33" s="16" t="s">
        <v>3323</v>
      </c>
      <c r="M33" s="7" t="s">
        <v>78</v>
      </c>
    </row>
    <row r="34" spans="1:15">
      <c r="A34" s="7" t="s">
        <v>5</v>
      </c>
      <c r="B34" s="7">
        <v>33</v>
      </c>
      <c r="C34" s="7" t="s">
        <v>662</v>
      </c>
      <c r="D34" s="7" t="s">
        <v>1085</v>
      </c>
      <c r="E34" s="7" t="s">
        <v>615</v>
      </c>
      <c r="F34" s="7">
        <f>IF(E34="Char",2000,8)</f>
        <v>2000</v>
      </c>
      <c r="I34" s="7" t="s">
        <v>3322</v>
      </c>
      <c r="J34" s="16" t="s">
        <v>3323</v>
      </c>
      <c r="M34" s="7" t="s">
        <v>78</v>
      </c>
    </row>
    <row r="35" spans="1:15">
      <c r="A35" s="7" t="s">
        <v>5</v>
      </c>
      <c r="B35" s="7">
        <v>34</v>
      </c>
      <c r="C35" s="7" t="s">
        <v>593</v>
      </c>
      <c r="D35" s="7" t="s">
        <v>1086</v>
      </c>
      <c r="E35" s="7" t="s">
        <v>615</v>
      </c>
      <c r="F35" s="7">
        <f>IF(E35="Char",2000,8)</f>
        <v>2000</v>
      </c>
      <c r="I35" s="7" t="s">
        <v>3322</v>
      </c>
      <c r="J35" s="16" t="s">
        <v>3323</v>
      </c>
      <c r="M35" s="7" t="s">
        <v>78</v>
      </c>
      <c r="O35" s="31"/>
    </row>
    <row r="36" spans="1:15">
      <c r="A36" s="7" t="s">
        <v>5</v>
      </c>
      <c r="B36" s="7">
        <v>35</v>
      </c>
      <c r="C36" s="7" t="s">
        <v>643</v>
      </c>
      <c r="D36" s="7" t="s">
        <v>1087</v>
      </c>
      <c r="E36" s="7" t="s">
        <v>615</v>
      </c>
      <c r="F36" s="7">
        <f>IF(E36="Char",2000,8)</f>
        <v>2000</v>
      </c>
      <c r="I36" s="7" t="s">
        <v>3322</v>
      </c>
      <c r="J36" s="16" t="s">
        <v>3323</v>
      </c>
      <c r="M36" s="7" t="s">
        <v>78</v>
      </c>
    </row>
    <row r="37" spans="1:15">
      <c r="A37" s="7" t="s">
        <v>5</v>
      </c>
      <c r="B37" s="7">
        <v>36</v>
      </c>
      <c r="C37" s="7" t="s">
        <v>639</v>
      </c>
      <c r="D37" s="7" t="s">
        <v>1074</v>
      </c>
      <c r="E37" s="7" t="s">
        <v>615</v>
      </c>
      <c r="F37" s="7">
        <f t="shared" si="0"/>
        <v>2000</v>
      </c>
      <c r="G37" s="7" t="s">
        <v>660</v>
      </c>
      <c r="I37" s="10" t="s">
        <v>60</v>
      </c>
      <c r="J37" s="10" t="s">
        <v>597</v>
      </c>
      <c r="K37" s="7" t="s">
        <v>70</v>
      </c>
      <c r="L37" s="7" t="s">
        <v>119</v>
      </c>
      <c r="N37" s="7" t="s">
        <v>597</v>
      </c>
    </row>
    <row r="38" spans="1:15">
      <c r="A38" s="7" t="s">
        <v>5</v>
      </c>
      <c r="B38" s="7">
        <v>37</v>
      </c>
      <c r="C38" s="7" t="s">
        <v>1643</v>
      </c>
      <c r="D38" s="7" t="s">
        <v>1644</v>
      </c>
      <c r="E38" s="7" t="s">
        <v>615</v>
      </c>
      <c r="F38" s="7">
        <f t="shared" si="0"/>
        <v>2000</v>
      </c>
      <c r="I38" s="7" t="s">
        <v>3322</v>
      </c>
      <c r="J38" s="16" t="s">
        <v>3323</v>
      </c>
      <c r="M38" s="7" t="s">
        <v>78</v>
      </c>
    </row>
    <row r="39" spans="1:15">
      <c r="A39" s="7" t="s">
        <v>5</v>
      </c>
      <c r="B39" s="7">
        <v>38</v>
      </c>
      <c r="C39" s="7" t="s">
        <v>1645</v>
      </c>
      <c r="D39" s="7" t="s">
        <v>1646</v>
      </c>
      <c r="E39" s="7" t="s">
        <v>615</v>
      </c>
      <c r="F39" s="7">
        <f t="shared" si="0"/>
        <v>2000</v>
      </c>
      <c r="I39" s="7" t="s">
        <v>3322</v>
      </c>
      <c r="J39" s="16" t="s">
        <v>3323</v>
      </c>
      <c r="M39" s="7" t="s">
        <v>78</v>
      </c>
    </row>
    <row r="40" spans="1:15">
      <c r="A40" s="7" t="s">
        <v>5</v>
      </c>
      <c r="B40" s="7">
        <v>39</v>
      </c>
      <c r="C40" s="7" t="s">
        <v>1647</v>
      </c>
      <c r="D40" s="7" t="s">
        <v>1648</v>
      </c>
      <c r="E40" s="7" t="s">
        <v>615</v>
      </c>
      <c r="F40" s="7">
        <f t="shared" si="0"/>
        <v>2000</v>
      </c>
      <c r="I40" s="7" t="s">
        <v>3322</v>
      </c>
      <c r="J40" s="16" t="s">
        <v>3323</v>
      </c>
      <c r="M40" s="7" t="s">
        <v>78</v>
      </c>
    </row>
    <row r="41" spans="1:15">
      <c r="A41" s="7" t="s">
        <v>5</v>
      </c>
      <c r="B41" s="7">
        <v>40</v>
      </c>
      <c r="C41" s="7" t="s">
        <v>663</v>
      </c>
      <c r="D41" s="7" t="s">
        <v>1088</v>
      </c>
      <c r="E41" s="7" t="s">
        <v>615</v>
      </c>
      <c r="F41" s="7">
        <f t="shared" ref="F41:F43" si="1">IF(E41="Char",2000,8)</f>
        <v>2000</v>
      </c>
      <c r="I41" s="7" t="s">
        <v>3322</v>
      </c>
      <c r="J41" s="16" t="s">
        <v>3323</v>
      </c>
      <c r="M41" s="7" t="s">
        <v>78</v>
      </c>
    </row>
    <row r="42" spans="1:15">
      <c r="A42" s="7" t="s">
        <v>5</v>
      </c>
      <c r="B42" s="7">
        <v>41</v>
      </c>
      <c r="C42" s="7" t="s">
        <v>200</v>
      </c>
      <c r="D42" s="7" t="s">
        <v>1089</v>
      </c>
      <c r="E42" s="7" t="s">
        <v>615</v>
      </c>
      <c r="F42" s="7">
        <f t="shared" si="1"/>
        <v>2000</v>
      </c>
      <c r="I42" s="7" t="s">
        <v>3322</v>
      </c>
      <c r="J42" s="16" t="s">
        <v>3323</v>
      </c>
      <c r="M42" s="7" t="s">
        <v>78</v>
      </c>
    </row>
    <row r="43" spans="1:15">
      <c r="A43" s="7" t="s">
        <v>5</v>
      </c>
      <c r="B43" s="7">
        <v>42</v>
      </c>
      <c r="C43" s="7" t="s">
        <v>664</v>
      </c>
      <c r="D43" s="7" t="s">
        <v>1090</v>
      </c>
      <c r="E43" s="7" t="s">
        <v>615</v>
      </c>
      <c r="F43" s="7">
        <f t="shared" si="1"/>
        <v>2000</v>
      </c>
      <c r="I43" s="7" t="s">
        <v>3322</v>
      </c>
      <c r="J43" s="16" t="s">
        <v>3323</v>
      </c>
      <c r="M43" s="7" t="s">
        <v>78</v>
      </c>
    </row>
    <row r="44" spans="1:15">
      <c r="A44" s="7" t="s">
        <v>5</v>
      </c>
      <c r="B44" s="7">
        <v>43</v>
      </c>
      <c r="C44" s="7" t="s">
        <v>942</v>
      </c>
      <c r="D44" s="7" t="s">
        <v>1091</v>
      </c>
      <c r="E44" s="7" t="s">
        <v>615</v>
      </c>
      <c r="F44" s="7">
        <f t="shared" ref="F44" si="2">IF(E44="Char",2000,8)</f>
        <v>2000</v>
      </c>
      <c r="I44" s="7" t="s">
        <v>3322</v>
      </c>
      <c r="J44" s="16" t="s">
        <v>3323</v>
      </c>
      <c r="M44" s="7" t="s">
        <v>78</v>
      </c>
    </row>
    <row r="45" spans="1:15">
      <c r="A45" s="7" t="s">
        <v>5</v>
      </c>
      <c r="B45" s="7">
        <v>44</v>
      </c>
      <c r="C45" s="7" t="s">
        <v>1414</v>
      </c>
      <c r="D45" s="7" t="s">
        <v>1415</v>
      </c>
      <c r="E45" s="7" t="s">
        <v>615</v>
      </c>
      <c r="F45" s="7">
        <f t="shared" ref="F45:F46" si="3">IF(E45="Char",2000,8)</f>
        <v>2000</v>
      </c>
      <c r="G45" s="7" t="s">
        <v>274</v>
      </c>
      <c r="H45" s="7" t="s">
        <v>1053</v>
      </c>
      <c r="I45" s="7" t="s">
        <v>3322</v>
      </c>
      <c r="J45" s="16" t="s">
        <v>3323</v>
      </c>
      <c r="M45" s="7" t="s">
        <v>78</v>
      </c>
    </row>
    <row r="46" spans="1:15">
      <c r="A46" s="7" t="s">
        <v>5</v>
      </c>
      <c r="B46" s="7">
        <v>45</v>
      </c>
      <c r="C46" s="7" t="s">
        <v>1416</v>
      </c>
      <c r="D46" s="7" t="s">
        <v>1417</v>
      </c>
      <c r="E46" s="7" t="s">
        <v>615</v>
      </c>
      <c r="F46" s="7">
        <f t="shared" si="3"/>
        <v>2000</v>
      </c>
      <c r="G46" s="7" t="s">
        <v>274</v>
      </c>
      <c r="H46" s="7" t="s">
        <v>1053</v>
      </c>
      <c r="I46" s="7" t="s">
        <v>3322</v>
      </c>
      <c r="J46" s="16" t="s">
        <v>3323</v>
      </c>
      <c r="M46" s="7" t="s">
        <v>78</v>
      </c>
    </row>
    <row r="47" spans="1:15">
      <c r="I47" s="7" t="s">
        <v>3322</v>
      </c>
      <c r="J47" s="16" t="s">
        <v>3323</v>
      </c>
    </row>
  </sheetData>
  <phoneticPr fontId="67" type="noConversion"/>
  <conditionalFormatting sqref="C32:C37 C2:C29 D2:D37 C41:D46">
    <cfRule type="duplicateValues" dxfId="89" priority="247"/>
  </conditionalFormatting>
  <conditionalFormatting sqref="C47:C1048576">
    <cfRule type="duplicateValues" dxfId="88" priority="243"/>
  </conditionalFormatting>
  <conditionalFormatting sqref="C38:D40">
    <cfRule type="duplicateValues" dxfId="87" priority="3"/>
  </conditionalFormatting>
  <conditionalFormatting sqref="D47:D1048576">
    <cfRule type="duplicateValues" dxfId="86" priority="172"/>
  </conditionalFormatting>
  <conditionalFormatting sqref="G3">
    <cfRule type="duplicateValues" dxfId="85" priority="2"/>
  </conditionalFormatting>
  <conditionalFormatting sqref="H3">
    <cfRule type="duplicateValues" dxfId="84" priority="1"/>
  </conditionalFormatting>
  <conditionalFormatting sqref="H26:H29">
    <cfRule type="duplicateValues" dxfId="83" priority="4"/>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C962-15EF-4799-9F6D-013FCEF3B296}">
  <sheetPr codeName="Sheet15">
    <tabColor rgb="FF00B050"/>
  </sheetPr>
  <dimension ref="A1:R17"/>
  <sheetViews>
    <sheetView zoomScale="85" zoomScaleNormal="85" workbookViewId="0">
      <selection activeCell="G30" sqref="G30"/>
    </sheetView>
  </sheetViews>
  <sheetFormatPr defaultColWidth="8.453125" defaultRowHeight="15.6"/>
  <cols>
    <col min="1" max="2" width="8.453125" style="10"/>
    <col min="3" max="3" width="13" style="10" customWidth="1"/>
    <col min="4" max="4" width="34.26953125" style="10" customWidth="1"/>
    <col min="5" max="5" width="4.6328125" style="10" customWidth="1"/>
    <col min="6" max="6" width="6.26953125" style="10" customWidth="1"/>
    <col min="7" max="8" width="23.26953125" style="10" customWidth="1"/>
    <col min="9" max="9" width="9.6328125" style="10" customWidth="1"/>
    <col min="10" max="10" width="12" style="7" customWidth="1"/>
    <col min="11" max="11" width="15.81640625" style="10" customWidth="1"/>
    <col min="12" max="12" width="6" style="10" customWidth="1"/>
    <col min="13" max="14" width="8.453125" style="10"/>
    <col min="15" max="15" width="39.90625" style="10" customWidth="1"/>
    <col min="16" max="16384" width="8.453125" style="10"/>
  </cols>
  <sheetData>
    <row r="1" spans="1:18" s="7" customFormat="1">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7" t="s">
        <v>583</v>
      </c>
      <c r="B2" s="7">
        <v>1</v>
      </c>
      <c r="C2" s="7" t="s">
        <v>37</v>
      </c>
      <c r="D2" s="7" t="s">
        <v>1021</v>
      </c>
      <c r="E2" s="7" t="s">
        <v>38</v>
      </c>
      <c r="F2" s="7">
        <f>IF(E2="Char",200,8)</f>
        <v>200</v>
      </c>
      <c r="G2" s="7"/>
      <c r="I2" s="7" t="s">
        <v>757</v>
      </c>
      <c r="J2" s="10" t="s">
        <v>597</v>
      </c>
      <c r="K2" s="7" t="s">
        <v>55</v>
      </c>
      <c r="L2" s="7" t="s">
        <v>39</v>
      </c>
      <c r="M2" s="7"/>
      <c r="N2" s="7"/>
      <c r="O2" s="17" t="s">
        <v>1019</v>
      </c>
      <c r="P2" s="7"/>
      <c r="Q2" s="5" t="s">
        <v>592</v>
      </c>
    </row>
    <row r="3" spans="1:18">
      <c r="A3" s="7" t="s">
        <v>583</v>
      </c>
      <c r="B3" s="7">
        <v>2</v>
      </c>
      <c r="C3" s="7" t="s">
        <v>57</v>
      </c>
      <c r="D3" s="7" t="s">
        <v>1022</v>
      </c>
      <c r="E3" s="7" t="s">
        <v>38</v>
      </c>
      <c r="F3" s="7">
        <f t="shared" ref="F3:F12" si="0">IF(E3="Char",200,8)</f>
        <v>200</v>
      </c>
      <c r="G3" s="13" t="s">
        <v>3336</v>
      </c>
      <c r="H3" s="13" t="s">
        <v>618</v>
      </c>
      <c r="I3" s="10" t="s">
        <v>60</v>
      </c>
      <c r="J3" s="10" t="s">
        <v>597</v>
      </c>
      <c r="K3" s="7" t="s">
        <v>55</v>
      </c>
      <c r="L3" s="7" t="s">
        <v>39</v>
      </c>
      <c r="M3" s="7"/>
      <c r="N3" s="7" t="s">
        <v>596</v>
      </c>
      <c r="O3" s="7"/>
      <c r="P3" s="7"/>
      <c r="Q3" s="7"/>
      <c r="R3" s="7"/>
    </row>
    <row r="4" spans="1:18">
      <c r="A4" s="7" t="s">
        <v>583</v>
      </c>
      <c r="B4" s="7">
        <v>3</v>
      </c>
      <c r="C4" s="7" t="s">
        <v>41</v>
      </c>
      <c r="D4" s="7" t="s">
        <v>1023</v>
      </c>
      <c r="E4" s="7" t="s">
        <v>38</v>
      </c>
      <c r="F4" s="7">
        <f t="shared" si="0"/>
        <v>200</v>
      </c>
      <c r="G4" s="7"/>
      <c r="I4" s="7" t="s">
        <v>69</v>
      </c>
      <c r="J4" s="10" t="s">
        <v>597</v>
      </c>
      <c r="K4" s="7" t="s">
        <v>55</v>
      </c>
      <c r="L4" s="7" t="s">
        <v>39</v>
      </c>
      <c r="M4" s="7"/>
      <c r="N4" s="7"/>
      <c r="O4" s="5" t="s">
        <v>1015</v>
      </c>
      <c r="P4" s="7"/>
      <c r="Q4" s="7"/>
      <c r="R4" s="7" t="s">
        <v>592</v>
      </c>
    </row>
    <row r="5" spans="1:18">
      <c r="A5" s="7" t="s">
        <v>583</v>
      </c>
      <c r="B5" s="7">
        <v>4</v>
      </c>
      <c r="C5" s="7" t="s">
        <v>582</v>
      </c>
      <c r="D5" s="7" t="s">
        <v>1034</v>
      </c>
      <c r="E5" s="7" t="s">
        <v>242</v>
      </c>
      <c r="F5" s="7">
        <f t="shared" si="0"/>
        <v>8</v>
      </c>
      <c r="G5" s="7"/>
      <c r="I5" s="7" t="s">
        <v>590</v>
      </c>
      <c r="J5" s="10" t="s">
        <v>597</v>
      </c>
      <c r="K5" s="7" t="s">
        <v>55</v>
      </c>
      <c r="L5" s="7" t="s">
        <v>39</v>
      </c>
      <c r="M5" s="7"/>
      <c r="N5" s="7"/>
      <c r="O5" s="7" t="s">
        <v>3916</v>
      </c>
      <c r="R5" s="7" t="s">
        <v>592</v>
      </c>
    </row>
    <row r="6" spans="1:18">
      <c r="A6" s="7" t="s">
        <v>583</v>
      </c>
      <c r="B6" s="7">
        <v>5</v>
      </c>
      <c r="C6" s="7" t="s">
        <v>586</v>
      </c>
      <c r="D6" s="7" t="s">
        <v>1116</v>
      </c>
      <c r="E6" s="7" t="s">
        <v>38</v>
      </c>
      <c r="F6" s="7">
        <f t="shared" si="0"/>
        <v>200</v>
      </c>
      <c r="G6" s="7"/>
      <c r="H6" s="10" t="s">
        <v>262</v>
      </c>
      <c r="I6" s="7" t="s">
        <v>3322</v>
      </c>
      <c r="J6" s="16" t="s">
        <v>3323</v>
      </c>
      <c r="K6" s="7" t="s">
        <v>245</v>
      </c>
      <c r="L6" s="7" t="s">
        <v>39</v>
      </c>
      <c r="M6" s="7"/>
      <c r="N6" s="7" t="s">
        <v>596</v>
      </c>
      <c r="O6" s="7" t="s">
        <v>1358</v>
      </c>
      <c r="Q6" s="5" t="s">
        <v>592</v>
      </c>
    </row>
    <row r="7" spans="1:18">
      <c r="A7" s="7" t="s">
        <v>583</v>
      </c>
      <c r="B7" s="7">
        <v>6</v>
      </c>
      <c r="C7" s="7" t="s">
        <v>587</v>
      </c>
      <c r="D7" s="7" t="s">
        <v>3941</v>
      </c>
      <c r="E7" s="7" t="s">
        <v>38</v>
      </c>
      <c r="F7" s="7">
        <f t="shared" si="0"/>
        <v>200</v>
      </c>
      <c r="G7" s="7"/>
      <c r="H7" s="10" t="s">
        <v>1055</v>
      </c>
      <c r="I7" s="7" t="s">
        <v>590</v>
      </c>
      <c r="J7" s="16" t="s">
        <v>3323</v>
      </c>
      <c r="K7" s="7" t="s">
        <v>111</v>
      </c>
      <c r="L7" s="7" t="s">
        <v>39</v>
      </c>
      <c r="M7" s="7"/>
      <c r="N7" s="7" t="s">
        <v>596</v>
      </c>
      <c r="O7" s="7" t="s">
        <v>1358</v>
      </c>
      <c r="Q7" s="5" t="s">
        <v>592</v>
      </c>
      <c r="R7" s="5" t="s">
        <v>592</v>
      </c>
    </row>
    <row r="8" spans="1:18">
      <c r="A8" s="7" t="s">
        <v>583</v>
      </c>
      <c r="B8" s="7">
        <v>7</v>
      </c>
      <c r="C8" s="7" t="s">
        <v>263</v>
      </c>
      <c r="D8" s="7" t="s">
        <v>3942</v>
      </c>
      <c r="E8" s="7" t="s">
        <v>38</v>
      </c>
      <c r="F8" s="7">
        <f t="shared" si="0"/>
        <v>200</v>
      </c>
      <c r="G8" s="7" t="s">
        <v>611</v>
      </c>
      <c r="H8" s="10" t="s">
        <v>263</v>
      </c>
      <c r="I8" s="7" t="s">
        <v>3322</v>
      </c>
      <c r="J8" s="16" t="s">
        <v>3323</v>
      </c>
      <c r="K8" s="7" t="s">
        <v>264</v>
      </c>
      <c r="L8" s="7" t="s">
        <v>39</v>
      </c>
      <c r="M8" s="7"/>
      <c r="N8" s="7"/>
      <c r="O8" s="7"/>
    </row>
    <row r="9" spans="1:18">
      <c r="A9" s="7" t="s">
        <v>583</v>
      </c>
      <c r="B9" s="7">
        <v>8</v>
      </c>
      <c r="C9" s="7" t="s">
        <v>588</v>
      </c>
      <c r="D9" s="7" t="s">
        <v>3943</v>
      </c>
      <c r="E9" s="7" t="s">
        <v>38</v>
      </c>
      <c r="F9" s="7">
        <f t="shared" si="0"/>
        <v>200</v>
      </c>
      <c r="G9" s="7" t="s">
        <v>274</v>
      </c>
      <c r="H9" s="10" t="s">
        <v>1053</v>
      </c>
      <c r="I9" s="7" t="s">
        <v>3322</v>
      </c>
      <c r="J9" s="16" t="s">
        <v>3323</v>
      </c>
      <c r="K9" s="7" t="s">
        <v>248</v>
      </c>
      <c r="L9" s="7" t="s">
        <v>39</v>
      </c>
      <c r="M9" s="7"/>
      <c r="N9" s="7"/>
      <c r="O9" s="7"/>
    </row>
    <row r="10" spans="1:18">
      <c r="A10" s="7" t="s">
        <v>583</v>
      </c>
      <c r="B10" s="7">
        <v>9</v>
      </c>
      <c r="C10" s="7" t="s">
        <v>589</v>
      </c>
      <c r="D10" s="7" t="s">
        <v>3944</v>
      </c>
      <c r="E10" s="7" t="s">
        <v>38</v>
      </c>
      <c r="F10" s="7">
        <f t="shared" si="0"/>
        <v>200</v>
      </c>
      <c r="G10" s="7" t="s">
        <v>274</v>
      </c>
      <c r="H10" s="10" t="s">
        <v>1053</v>
      </c>
      <c r="I10" s="7" t="s">
        <v>590</v>
      </c>
      <c r="J10" s="10" t="s">
        <v>597</v>
      </c>
      <c r="K10" s="7" t="s">
        <v>248</v>
      </c>
      <c r="L10" s="7" t="s">
        <v>39</v>
      </c>
      <c r="M10" s="7"/>
      <c r="N10" s="7"/>
      <c r="O10" s="7" t="s">
        <v>1304</v>
      </c>
      <c r="R10" s="7" t="s">
        <v>592</v>
      </c>
    </row>
    <row r="11" spans="1:18">
      <c r="A11" s="7" t="s">
        <v>583</v>
      </c>
      <c r="B11" s="7">
        <v>10</v>
      </c>
      <c r="C11" s="7" t="s">
        <v>266</v>
      </c>
      <c r="D11" s="7" t="s">
        <v>1024</v>
      </c>
      <c r="E11" s="7" t="s">
        <v>242</v>
      </c>
      <c r="F11" s="7">
        <f t="shared" si="0"/>
        <v>8</v>
      </c>
      <c r="G11" s="7"/>
      <c r="H11" s="10" t="s">
        <v>266</v>
      </c>
      <c r="I11" s="7" t="s">
        <v>69</v>
      </c>
      <c r="J11" s="16" t="s">
        <v>3323</v>
      </c>
      <c r="K11" s="7" t="s">
        <v>258</v>
      </c>
      <c r="L11" s="7" t="s">
        <v>49</v>
      </c>
      <c r="M11" s="7"/>
      <c r="N11" s="7" t="s">
        <v>596</v>
      </c>
      <c r="O11" s="7" t="s">
        <v>1307</v>
      </c>
      <c r="R11" s="7" t="s">
        <v>592</v>
      </c>
    </row>
    <row r="12" spans="1:18">
      <c r="A12" s="7" t="s">
        <v>583</v>
      </c>
      <c r="B12" s="7">
        <v>11</v>
      </c>
      <c r="C12" s="7" t="s">
        <v>267</v>
      </c>
      <c r="D12" s="7" t="s">
        <v>1025</v>
      </c>
      <c r="E12" s="7" t="s">
        <v>38</v>
      </c>
      <c r="F12" s="7">
        <f t="shared" si="0"/>
        <v>200</v>
      </c>
      <c r="G12" s="7"/>
      <c r="H12" s="10" t="s">
        <v>267</v>
      </c>
      <c r="I12" s="7" t="s">
        <v>69</v>
      </c>
      <c r="J12" s="16" t="s">
        <v>3323</v>
      </c>
      <c r="K12" s="7" t="s">
        <v>258</v>
      </c>
      <c r="L12" s="7" t="s">
        <v>49</v>
      </c>
      <c r="M12" s="7"/>
      <c r="N12" s="7" t="s">
        <v>596</v>
      </c>
      <c r="O12" s="7" t="s">
        <v>1310</v>
      </c>
      <c r="R12" s="7" t="s">
        <v>592</v>
      </c>
    </row>
    <row r="13" spans="1:18">
      <c r="A13" s="7" t="s">
        <v>583</v>
      </c>
      <c r="B13" s="7">
        <v>12</v>
      </c>
      <c r="C13" s="7" t="s">
        <v>652</v>
      </c>
      <c r="D13" s="7" t="s">
        <v>1118</v>
      </c>
      <c r="E13" s="7" t="s">
        <v>615</v>
      </c>
      <c r="F13" s="7">
        <f t="shared" ref="F13" si="1">IF(E13="Char",2000,8)</f>
        <v>2000</v>
      </c>
      <c r="G13" s="7"/>
      <c r="I13" s="7" t="s">
        <v>3322</v>
      </c>
      <c r="J13" s="16" t="s">
        <v>3323</v>
      </c>
      <c r="M13" s="10" t="s">
        <v>592</v>
      </c>
    </row>
    <row r="14" spans="1:18">
      <c r="H14" s="7"/>
      <c r="J14" s="10"/>
    </row>
    <row r="15" spans="1:18">
      <c r="J15" s="10"/>
    </row>
    <row r="16" spans="1:18">
      <c r="J16" s="10"/>
    </row>
    <row r="17" spans="10:10">
      <c r="J17" s="10"/>
    </row>
  </sheetData>
  <phoneticPr fontId="67" type="noConversion"/>
  <conditionalFormatting sqref="C13">
    <cfRule type="duplicateValues" dxfId="82" priority="3"/>
  </conditionalFormatting>
  <conditionalFormatting sqref="G3">
    <cfRule type="duplicateValues" dxfId="81" priority="2"/>
  </conditionalFormatting>
  <conditionalFormatting sqref="H3">
    <cfRule type="duplicateValues" dxfId="80"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B050"/>
  </sheetPr>
  <dimension ref="A1:R21"/>
  <sheetViews>
    <sheetView zoomScale="85" zoomScaleNormal="85" workbookViewId="0">
      <selection activeCell="G29" sqref="G29"/>
    </sheetView>
  </sheetViews>
  <sheetFormatPr defaultColWidth="9" defaultRowHeight="15.6"/>
  <cols>
    <col min="1" max="1" width="8.453125" style="7" customWidth="1"/>
    <col min="2" max="2" width="9" style="7" customWidth="1"/>
    <col min="3" max="3" width="15" style="7" customWidth="1"/>
    <col min="4" max="4" width="23.1796875" style="7" customWidth="1"/>
    <col min="5" max="5" width="6.81640625" style="7" customWidth="1"/>
    <col min="6" max="6" width="6.1796875" style="7" customWidth="1"/>
    <col min="7" max="7" width="28.81640625" style="7" customWidth="1"/>
    <col min="8" max="8" width="25" style="7" customWidth="1"/>
    <col min="9" max="9" width="9.7265625" style="7" customWidth="1"/>
    <col min="10" max="11" width="17.7265625" style="7" customWidth="1"/>
    <col min="12" max="12" width="6" style="7" customWidth="1"/>
    <col min="13" max="13" width="6.1796875" style="7" customWidth="1"/>
    <col min="14" max="14" width="8.6328125" style="7" customWidth="1"/>
    <col min="15" max="15" width="20.6328125" style="7" customWidth="1"/>
    <col min="16" max="16" width="9.81640625" style="7" customWidth="1"/>
    <col min="17" max="17" width="10.1796875" style="7" customWidth="1"/>
    <col min="18" max="18" width="8.453125" style="7" customWidth="1"/>
    <col min="19" max="16384" width="9" style="7"/>
  </cols>
  <sheetData>
    <row r="1" spans="1:18">
      <c r="A1" s="9" t="s">
        <v>26</v>
      </c>
      <c r="B1" s="9" t="s">
        <v>1</v>
      </c>
      <c r="C1" s="9" t="s">
        <v>27</v>
      </c>
      <c r="D1" s="9" t="s">
        <v>28</v>
      </c>
      <c r="E1" s="9" t="s">
        <v>29</v>
      </c>
      <c r="F1" s="9" t="s">
        <v>30</v>
      </c>
      <c r="G1" s="9" t="s">
        <v>3320</v>
      </c>
      <c r="H1" s="9" t="s">
        <v>973</v>
      </c>
      <c r="I1" s="9" t="s">
        <v>3321</v>
      </c>
      <c r="J1" s="9" t="s">
        <v>3306</v>
      </c>
      <c r="K1" s="9" t="s">
        <v>33</v>
      </c>
      <c r="L1" s="9" t="s">
        <v>34</v>
      </c>
      <c r="M1" s="9" t="s">
        <v>35</v>
      </c>
      <c r="N1" s="9" t="s">
        <v>36</v>
      </c>
      <c r="O1" s="23" t="s">
        <v>3328</v>
      </c>
      <c r="P1" s="23" t="s">
        <v>648</v>
      </c>
      <c r="Q1" s="23" t="s">
        <v>649</v>
      </c>
      <c r="R1" s="23" t="s">
        <v>650</v>
      </c>
    </row>
    <row r="2" spans="1:18">
      <c r="A2" s="7" t="s">
        <v>9</v>
      </c>
      <c r="B2" s="7">
        <v>1</v>
      </c>
      <c r="C2" s="10" t="s">
        <v>37</v>
      </c>
      <c r="D2" s="10" t="s">
        <v>1021</v>
      </c>
      <c r="E2" s="10" t="s">
        <v>38</v>
      </c>
      <c r="F2" s="7">
        <v>2000</v>
      </c>
      <c r="G2" s="10"/>
      <c r="I2" s="7" t="s">
        <v>757</v>
      </c>
      <c r="J2" s="10" t="s">
        <v>597</v>
      </c>
      <c r="K2" s="10" t="s">
        <v>55</v>
      </c>
      <c r="L2" s="10" t="s">
        <v>39</v>
      </c>
      <c r="O2" s="17" t="s">
        <v>1019</v>
      </c>
      <c r="Q2" s="5" t="s">
        <v>592</v>
      </c>
    </row>
    <row r="3" spans="1:18">
      <c r="A3" s="7" t="s">
        <v>9</v>
      </c>
      <c r="B3" s="7">
        <v>2</v>
      </c>
      <c r="C3" s="10" t="s">
        <v>57</v>
      </c>
      <c r="D3" s="10" t="s">
        <v>1022</v>
      </c>
      <c r="E3" s="10" t="s">
        <v>38</v>
      </c>
      <c r="F3" s="7">
        <v>2000</v>
      </c>
      <c r="G3" s="13" t="s">
        <v>3336</v>
      </c>
      <c r="H3" s="13" t="s">
        <v>618</v>
      </c>
      <c r="I3" s="10" t="s">
        <v>619</v>
      </c>
      <c r="J3" s="10" t="s">
        <v>597</v>
      </c>
      <c r="K3" s="10" t="s">
        <v>55</v>
      </c>
      <c r="L3" s="10" t="s">
        <v>39</v>
      </c>
      <c r="N3" s="7" t="s">
        <v>597</v>
      </c>
    </row>
    <row r="4" spans="1:18">
      <c r="A4" s="7" t="s">
        <v>9</v>
      </c>
      <c r="B4" s="7">
        <v>3</v>
      </c>
      <c r="C4" s="10" t="s">
        <v>41</v>
      </c>
      <c r="D4" s="10" t="s">
        <v>1023</v>
      </c>
      <c r="E4" s="10" t="s">
        <v>38</v>
      </c>
      <c r="F4" s="7">
        <v>2000</v>
      </c>
      <c r="G4" s="10"/>
      <c r="H4" s="10"/>
      <c r="I4" s="7" t="s">
        <v>69</v>
      </c>
      <c r="J4" s="10" t="s">
        <v>597</v>
      </c>
      <c r="K4" s="10" t="s">
        <v>55</v>
      </c>
      <c r="L4" s="10" t="s">
        <v>39</v>
      </c>
      <c r="O4" s="5" t="s">
        <v>1015</v>
      </c>
      <c r="R4" s="5" t="s">
        <v>592</v>
      </c>
    </row>
    <row r="5" spans="1:18">
      <c r="A5" s="7" t="s">
        <v>9</v>
      </c>
      <c r="B5" s="7">
        <v>4</v>
      </c>
      <c r="C5" s="10" t="s">
        <v>283</v>
      </c>
      <c r="D5" s="10" t="s">
        <v>1034</v>
      </c>
      <c r="E5" s="10" t="s">
        <v>242</v>
      </c>
      <c r="F5" s="7">
        <v>8</v>
      </c>
      <c r="G5" s="10"/>
      <c r="H5" s="10"/>
      <c r="I5" s="7" t="s">
        <v>69</v>
      </c>
      <c r="J5" s="10" t="s">
        <v>597</v>
      </c>
      <c r="K5" s="10" t="s">
        <v>55</v>
      </c>
      <c r="L5" s="10" t="s">
        <v>39</v>
      </c>
      <c r="O5" s="7" t="s">
        <v>3916</v>
      </c>
      <c r="R5" s="5" t="s">
        <v>592</v>
      </c>
    </row>
    <row r="6" spans="1:18">
      <c r="A6" s="7" t="s">
        <v>9</v>
      </c>
      <c r="B6" s="7">
        <v>5</v>
      </c>
      <c r="C6" s="10" t="s">
        <v>284</v>
      </c>
      <c r="D6" s="10" t="s">
        <v>1095</v>
      </c>
      <c r="E6" s="10" t="s">
        <v>38</v>
      </c>
      <c r="F6" s="7">
        <v>2000</v>
      </c>
      <c r="G6" s="10"/>
      <c r="H6" s="10"/>
      <c r="I6" s="7" t="s">
        <v>69</v>
      </c>
      <c r="J6" s="10" t="s">
        <v>597</v>
      </c>
      <c r="K6" s="10" t="s">
        <v>245</v>
      </c>
      <c r="L6" s="10" t="s">
        <v>39</v>
      </c>
      <c r="O6" s="7" t="s">
        <v>1381</v>
      </c>
    </row>
    <row r="7" spans="1:18">
      <c r="A7" s="7" t="s">
        <v>9</v>
      </c>
      <c r="B7" s="7">
        <v>6</v>
      </c>
      <c r="C7" s="10" t="s">
        <v>647</v>
      </c>
      <c r="D7" s="10" t="s">
        <v>1096</v>
      </c>
      <c r="E7" s="10" t="s">
        <v>242</v>
      </c>
      <c r="F7" s="7">
        <v>8</v>
      </c>
      <c r="G7" s="10"/>
      <c r="H7" s="10"/>
      <c r="I7" s="7" t="s">
        <v>3322</v>
      </c>
      <c r="J7" s="16" t="s">
        <v>3323</v>
      </c>
      <c r="K7" s="10" t="s">
        <v>115</v>
      </c>
      <c r="L7" s="10" t="s">
        <v>42</v>
      </c>
    </row>
    <row r="8" spans="1:18">
      <c r="A8" s="7" t="s">
        <v>9</v>
      </c>
      <c r="B8" s="7">
        <v>7</v>
      </c>
      <c r="C8" s="10" t="s">
        <v>286</v>
      </c>
      <c r="D8" s="10" t="s">
        <v>1097</v>
      </c>
      <c r="E8" s="10" t="s">
        <v>38</v>
      </c>
      <c r="F8" s="7">
        <v>2000</v>
      </c>
      <c r="G8" s="10" t="s">
        <v>287</v>
      </c>
      <c r="H8" s="10" t="s">
        <v>1105</v>
      </c>
      <c r="I8" s="7" t="s">
        <v>3322</v>
      </c>
      <c r="J8" s="16" t="s">
        <v>3323</v>
      </c>
      <c r="K8" s="10" t="s">
        <v>275</v>
      </c>
      <c r="L8" s="10" t="s">
        <v>42</v>
      </c>
    </row>
    <row r="9" spans="1:18">
      <c r="A9" s="7" t="s">
        <v>9</v>
      </c>
      <c r="B9" s="7">
        <v>8</v>
      </c>
      <c r="C9" s="10" t="s">
        <v>288</v>
      </c>
      <c r="D9" s="10" t="s">
        <v>1098</v>
      </c>
      <c r="E9" s="10" t="s">
        <v>38</v>
      </c>
      <c r="F9" s="7">
        <v>2000</v>
      </c>
      <c r="G9" s="10" t="s">
        <v>289</v>
      </c>
      <c r="H9" s="10" t="s">
        <v>1106</v>
      </c>
      <c r="I9" s="7" t="s">
        <v>261</v>
      </c>
      <c r="J9" s="10" t="s">
        <v>597</v>
      </c>
      <c r="K9" s="10" t="s">
        <v>275</v>
      </c>
      <c r="L9" s="10" t="s">
        <v>42</v>
      </c>
    </row>
    <row r="10" spans="1:18" ht="13.95" customHeight="1">
      <c r="A10" s="7" t="s">
        <v>9</v>
      </c>
      <c r="B10" s="7">
        <v>9</v>
      </c>
      <c r="C10" s="10" t="s">
        <v>291</v>
      </c>
      <c r="D10" s="10" t="s">
        <v>1099</v>
      </c>
      <c r="E10" s="10" t="s">
        <v>38</v>
      </c>
      <c r="F10" s="7">
        <v>2000</v>
      </c>
      <c r="G10" s="10" t="s">
        <v>292</v>
      </c>
      <c r="H10" s="10" t="s">
        <v>1107</v>
      </c>
      <c r="I10" s="7" t="s">
        <v>261</v>
      </c>
      <c r="J10" s="10" t="s">
        <v>597</v>
      </c>
      <c r="K10" s="10" t="s">
        <v>275</v>
      </c>
      <c r="L10" s="10" t="s">
        <v>49</v>
      </c>
    </row>
    <row r="11" spans="1:18" s="12" customFormat="1">
      <c r="A11" s="7" t="s">
        <v>9</v>
      </c>
      <c r="B11" s="7">
        <v>10</v>
      </c>
      <c r="C11" s="12" t="s">
        <v>260</v>
      </c>
      <c r="D11" s="10" t="s">
        <v>1044</v>
      </c>
      <c r="E11" s="12" t="s">
        <v>38</v>
      </c>
      <c r="F11" s="6">
        <f t="shared" ref="F11" si="0">IF(E11="Char",200,8)</f>
        <v>200</v>
      </c>
      <c r="G11" s="12" t="s">
        <v>598</v>
      </c>
      <c r="H11" s="12" t="s">
        <v>260</v>
      </c>
      <c r="I11" s="6" t="s">
        <v>69</v>
      </c>
      <c r="J11" s="10" t="s">
        <v>597</v>
      </c>
      <c r="K11" s="12" t="s">
        <v>258</v>
      </c>
      <c r="L11" s="12" t="s">
        <v>49</v>
      </c>
      <c r="O11" s="12" t="s">
        <v>1308</v>
      </c>
      <c r="R11" s="5" t="s">
        <v>592</v>
      </c>
    </row>
    <row r="12" spans="1:18">
      <c r="A12" s="7" t="s">
        <v>9</v>
      </c>
      <c r="B12" s="7">
        <v>11</v>
      </c>
      <c r="C12" s="10" t="s">
        <v>646</v>
      </c>
      <c r="D12" s="10" t="s">
        <v>1026</v>
      </c>
      <c r="E12" s="10" t="s">
        <v>38</v>
      </c>
      <c r="F12" s="7">
        <v>2000</v>
      </c>
      <c r="G12" s="10"/>
      <c r="H12" s="10"/>
      <c r="I12" s="7" t="s">
        <v>69</v>
      </c>
      <c r="J12" s="10" t="s">
        <v>597</v>
      </c>
      <c r="K12" s="10" t="s">
        <v>258</v>
      </c>
      <c r="L12" s="10" t="s">
        <v>42</v>
      </c>
      <c r="O12" s="7" t="s">
        <v>1309</v>
      </c>
      <c r="R12" s="5" t="s">
        <v>592</v>
      </c>
    </row>
    <row r="13" spans="1:18" s="10" customFormat="1">
      <c r="A13" s="7" t="s">
        <v>9</v>
      </c>
      <c r="B13" s="7">
        <v>12</v>
      </c>
      <c r="C13" s="10" t="s">
        <v>293</v>
      </c>
      <c r="D13" s="10" t="s">
        <v>1027</v>
      </c>
      <c r="E13" s="10" t="s">
        <v>38</v>
      </c>
      <c r="F13" s="7">
        <v>2000</v>
      </c>
      <c r="I13" s="7" t="s">
        <v>69</v>
      </c>
      <c r="J13" s="10" t="s">
        <v>597</v>
      </c>
      <c r="K13" s="10" t="s">
        <v>258</v>
      </c>
      <c r="L13" s="10" t="s">
        <v>42</v>
      </c>
      <c r="O13" s="7" t="s">
        <v>1309</v>
      </c>
      <c r="R13" s="5" t="s">
        <v>592</v>
      </c>
    </row>
    <row r="14" spans="1:18">
      <c r="A14" s="7" t="s">
        <v>9</v>
      </c>
      <c r="B14" s="7">
        <v>13</v>
      </c>
      <c r="C14" s="10" t="s">
        <v>668</v>
      </c>
      <c r="D14" s="10" t="s">
        <v>1028</v>
      </c>
      <c r="E14" s="10" t="s">
        <v>242</v>
      </c>
      <c r="F14" s="7">
        <v>8</v>
      </c>
      <c r="G14" s="10"/>
      <c r="H14" s="10"/>
      <c r="I14" s="7" t="s">
        <v>69</v>
      </c>
      <c r="J14" s="10" t="s">
        <v>597</v>
      </c>
      <c r="K14" s="10" t="s">
        <v>258</v>
      </c>
      <c r="L14" s="10" t="s">
        <v>49</v>
      </c>
      <c r="O14" s="7" t="s">
        <v>3919</v>
      </c>
      <c r="R14" s="5" t="s">
        <v>592</v>
      </c>
    </row>
    <row r="15" spans="1:18" s="10" customFormat="1">
      <c r="A15" s="7" t="s">
        <v>9</v>
      </c>
      <c r="B15" s="7">
        <v>14</v>
      </c>
      <c r="C15" s="10" t="s">
        <v>294</v>
      </c>
      <c r="D15" s="10" t="s">
        <v>1029</v>
      </c>
      <c r="E15" s="10" t="s">
        <v>242</v>
      </c>
      <c r="F15" s="7">
        <v>8</v>
      </c>
      <c r="I15" s="7" t="s">
        <v>69</v>
      </c>
      <c r="J15" s="10" t="s">
        <v>597</v>
      </c>
      <c r="K15" s="10" t="s">
        <v>258</v>
      </c>
      <c r="L15" s="10" t="s">
        <v>49</v>
      </c>
      <c r="O15" s="7" t="s">
        <v>3919</v>
      </c>
      <c r="R15" s="5" t="s">
        <v>592</v>
      </c>
    </row>
    <row r="16" spans="1:18">
      <c r="A16" s="7" t="s">
        <v>9</v>
      </c>
      <c r="B16" s="7">
        <v>15</v>
      </c>
      <c r="C16" s="10" t="s">
        <v>267</v>
      </c>
      <c r="D16" s="7" t="s">
        <v>1025</v>
      </c>
      <c r="E16" s="10" t="s">
        <v>38</v>
      </c>
      <c r="F16" s="7">
        <v>2000</v>
      </c>
      <c r="G16" s="10"/>
      <c r="H16" s="10" t="s">
        <v>267</v>
      </c>
      <c r="I16" s="7" t="s">
        <v>69</v>
      </c>
      <c r="J16" s="10" t="s">
        <v>597</v>
      </c>
      <c r="K16" s="10"/>
      <c r="L16" s="10"/>
      <c r="M16" s="7" t="s">
        <v>78</v>
      </c>
      <c r="O16" s="7" t="s">
        <v>1310</v>
      </c>
    </row>
    <row r="17" spans="1:15">
      <c r="A17" s="7" t="s">
        <v>9</v>
      </c>
      <c r="B17" s="7">
        <v>16</v>
      </c>
      <c r="C17" s="10" t="s">
        <v>266</v>
      </c>
      <c r="D17" s="7" t="s">
        <v>1104</v>
      </c>
      <c r="E17" s="10" t="s">
        <v>242</v>
      </c>
      <c r="F17" s="7">
        <v>8</v>
      </c>
      <c r="G17" s="10"/>
      <c r="H17" s="10" t="s">
        <v>266</v>
      </c>
      <c r="I17" s="7" t="s">
        <v>69</v>
      </c>
      <c r="J17" s="10" t="s">
        <v>597</v>
      </c>
      <c r="K17" s="10"/>
      <c r="L17" s="10"/>
      <c r="M17" s="7" t="s">
        <v>78</v>
      </c>
      <c r="O17" s="7" t="s">
        <v>1307</v>
      </c>
    </row>
    <row r="18" spans="1:15">
      <c r="A18" s="7" t="s">
        <v>9</v>
      </c>
      <c r="B18" s="7">
        <v>17</v>
      </c>
      <c r="C18" s="7" t="s">
        <v>606</v>
      </c>
      <c r="D18" s="10" t="s">
        <v>1100</v>
      </c>
      <c r="E18" s="10" t="s">
        <v>242</v>
      </c>
      <c r="F18" s="7">
        <v>8</v>
      </c>
      <c r="I18" s="7" t="s">
        <v>3322</v>
      </c>
      <c r="J18" s="16" t="s">
        <v>3323</v>
      </c>
      <c r="M18" s="7" t="s">
        <v>78</v>
      </c>
    </row>
    <row r="19" spans="1:15">
      <c r="A19" s="7" t="s">
        <v>9</v>
      </c>
      <c r="B19" s="7">
        <v>18</v>
      </c>
      <c r="C19" s="7" t="s">
        <v>295</v>
      </c>
      <c r="D19" s="10" t="s">
        <v>1101</v>
      </c>
      <c r="E19" s="10" t="s">
        <v>38</v>
      </c>
      <c r="F19" s="7">
        <v>2000</v>
      </c>
      <c r="H19" s="7" t="s">
        <v>984</v>
      </c>
      <c r="I19" s="7" t="s">
        <v>3322</v>
      </c>
      <c r="J19" s="16" t="s">
        <v>3323</v>
      </c>
      <c r="M19" s="7" t="s">
        <v>78</v>
      </c>
    </row>
    <row r="20" spans="1:15">
      <c r="A20" s="7" t="s">
        <v>9</v>
      </c>
      <c r="B20" s="7">
        <v>19</v>
      </c>
      <c r="C20" s="10" t="s">
        <v>966</v>
      </c>
      <c r="D20" s="10" t="s">
        <v>1102</v>
      </c>
      <c r="E20" s="10" t="s">
        <v>38</v>
      </c>
      <c r="F20" s="7">
        <v>2000</v>
      </c>
      <c r="I20" s="7" t="s">
        <v>3322</v>
      </c>
      <c r="J20" s="16" t="s">
        <v>3323</v>
      </c>
      <c r="M20" s="7" t="s">
        <v>78</v>
      </c>
    </row>
    <row r="21" spans="1:15">
      <c r="A21" s="7" t="s">
        <v>9</v>
      </c>
      <c r="B21" s="7">
        <v>20</v>
      </c>
      <c r="C21" s="10" t="s">
        <v>967</v>
      </c>
      <c r="D21" s="10" t="s">
        <v>1103</v>
      </c>
      <c r="E21" s="10" t="s">
        <v>38</v>
      </c>
      <c r="F21" s="7">
        <v>2000</v>
      </c>
      <c r="I21" s="7" t="s">
        <v>3322</v>
      </c>
      <c r="J21" s="16" t="s">
        <v>3323</v>
      </c>
      <c r="M21" s="7" t="s">
        <v>78</v>
      </c>
    </row>
  </sheetData>
  <phoneticPr fontId="67" type="noConversion"/>
  <conditionalFormatting sqref="C2:C19 C22:C1048576">
    <cfRule type="duplicateValues" dxfId="79" priority="8"/>
  </conditionalFormatting>
  <conditionalFormatting sqref="C11">
    <cfRule type="duplicateValues" dxfId="78" priority="14"/>
  </conditionalFormatting>
  <conditionalFormatting sqref="C13">
    <cfRule type="duplicateValues" dxfId="77" priority="23"/>
  </conditionalFormatting>
  <conditionalFormatting sqref="C14 C12 C2:C10 C16:C17">
    <cfRule type="duplicateValues" dxfId="76" priority="148"/>
  </conditionalFormatting>
  <conditionalFormatting sqref="C15">
    <cfRule type="duplicateValues" dxfId="75" priority="20"/>
  </conditionalFormatting>
  <conditionalFormatting sqref="C20:C21">
    <cfRule type="duplicateValues" dxfId="74" priority="6"/>
    <cfRule type="duplicateValues" dxfId="73" priority="7"/>
  </conditionalFormatting>
  <conditionalFormatting sqref="D2:D21">
    <cfRule type="duplicateValues" dxfId="72" priority="152"/>
  </conditionalFormatting>
  <conditionalFormatting sqref="G3">
    <cfRule type="duplicateValues" dxfId="71" priority="2"/>
  </conditionalFormatting>
  <conditionalFormatting sqref="H3">
    <cfRule type="duplicateValues" dxfId="70" priority="1"/>
  </conditionalFormatting>
  <conditionalFormatting sqref="H16:H17">
    <cfRule type="duplicateValues" dxfId="69" priority="3"/>
    <cfRule type="duplicateValues" dxfId="68" priority="4"/>
  </conditionalFormatting>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86A8-D036-4B2C-8DFD-D4FE78565DDE}">
  <sheetPr codeName="Sheet12">
    <tabColor rgb="FF00B050"/>
  </sheetPr>
  <dimension ref="A1:R19"/>
  <sheetViews>
    <sheetView workbookViewId="0">
      <selection activeCell="O1" sqref="O1:R1"/>
    </sheetView>
  </sheetViews>
  <sheetFormatPr defaultColWidth="8.453125" defaultRowHeight="15.6"/>
  <cols>
    <col min="1" max="2" width="8.453125" style="10"/>
    <col min="3" max="3" width="12.26953125" style="10" customWidth="1"/>
    <col min="4" max="4" width="26.1796875" style="10" customWidth="1"/>
    <col min="5" max="6" width="8.453125" style="10"/>
    <col min="7" max="7" width="27.7265625" style="10" customWidth="1"/>
    <col min="8" max="8" width="25" style="7" customWidth="1"/>
    <col min="9" max="9" width="8.453125" style="10"/>
    <col min="10" max="10" width="11.453125" style="7" customWidth="1"/>
    <col min="11" max="16384" width="8.453125" style="10"/>
  </cols>
  <sheetData>
    <row r="1" spans="1:18" s="7" customFormat="1">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7" t="s">
        <v>791</v>
      </c>
      <c r="B2" s="7">
        <v>1</v>
      </c>
      <c r="C2" s="10" t="s">
        <v>37</v>
      </c>
      <c r="D2" s="10" t="str">
        <f>VLOOKUP(C2,[1]EC!$C$2:$D$44,2,0)</f>
        <v>研究标识符</v>
      </c>
      <c r="E2" s="10" t="s">
        <v>38</v>
      </c>
      <c r="F2" s="7">
        <v>2000</v>
      </c>
      <c r="I2" s="7" t="s">
        <v>757</v>
      </c>
      <c r="J2" s="10" t="s">
        <v>597</v>
      </c>
      <c r="K2" s="10" t="s">
        <v>55</v>
      </c>
      <c r="L2" s="10" t="s">
        <v>39</v>
      </c>
      <c r="M2" s="7"/>
      <c r="N2" s="7"/>
      <c r="O2" s="17" t="s">
        <v>1019</v>
      </c>
      <c r="P2" s="7"/>
      <c r="Q2" s="5" t="s">
        <v>592</v>
      </c>
    </row>
    <row r="3" spans="1:18">
      <c r="A3" s="7" t="s">
        <v>791</v>
      </c>
      <c r="B3" s="7">
        <v>2</v>
      </c>
      <c r="C3" s="10" t="s">
        <v>57</v>
      </c>
      <c r="D3" s="10" t="str">
        <f>VLOOKUP(C3,[1]EC!$C$2:$D$44,2,0)</f>
        <v>域名缩写</v>
      </c>
      <c r="E3" s="10" t="s">
        <v>38</v>
      </c>
      <c r="F3" s="7">
        <v>2000</v>
      </c>
      <c r="G3" s="13" t="s">
        <v>3336</v>
      </c>
      <c r="H3" s="13" t="s">
        <v>618</v>
      </c>
      <c r="I3" s="10" t="s">
        <v>619</v>
      </c>
      <c r="J3" s="10" t="s">
        <v>597</v>
      </c>
      <c r="K3" s="10" t="s">
        <v>55</v>
      </c>
      <c r="L3" s="10" t="s">
        <v>39</v>
      </c>
      <c r="M3" s="7"/>
      <c r="N3" s="7" t="s">
        <v>597</v>
      </c>
      <c r="O3" s="7"/>
    </row>
    <row r="4" spans="1:18">
      <c r="A4" s="7" t="s">
        <v>791</v>
      </c>
      <c r="B4" s="7">
        <v>3</v>
      </c>
      <c r="C4" s="10" t="s">
        <v>41</v>
      </c>
      <c r="D4" s="10" t="str">
        <f>VLOOKUP(C4,[1]EC!$C$2:$D$44,2,0)</f>
        <v>受试者唯一标识符</v>
      </c>
      <c r="E4" s="10" t="s">
        <v>38</v>
      </c>
      <c r="F4" s="7">
        <v>2000</v>
      </c>
      <c r="H4" s="10"/>
      <c r="I4" s="7" t="s">
        <v>69</v>
      </c>
      <c r="J4" s="10" t="s">
        <v>597</v>
      </c>
      <c r="K4" s="10" t="s">
        <v>55</v>
      </c>
      <c r="L4" s="10" t="s">
        <v>39</v>
      </c>
      <c r="M4" s="7"/>
      <c r="N4" s="7"/>
      <c r="O4" s="5" t="s">
        <v>1015</v>
      </c>
      <c r="P4" s="7"/>
      <c r="Q4" s="7"/>
      <c r="R4" s="5" t="s">
        <v>592</v>
      </c>
    </row>
    <row r="5" spans="1:18">
      <c r="A5" s="7" t="s">
        <v>791</v>
      </c>
      <c r="B5" s="7">
        <v>4</v>
      </c>
      <c r="C5" s="10" t="s">
        <v>669</v>
      </c>
      <c r="D5" s="10" t="str">
        <f>VLOOKUP(C5,[1]EC!$C$2:$D$44,2,0)</f>
        <v>序号</v>
      </c>
      <c r="E5" s="10" t="s">
        <v>242</v>
      </c>
      <c r="F5" s="7">
        <v>8</v>
      </c>
      <c r="H5" s="10"/>
      <c r="I5" s="7" t="s">
        <v>69</v>
      </c>
      <c r="J5" s="10" t="s">
        <v>597</v>
      </c>
      <c r="K5" s="10" t="s">
        <v>55</v>
      </c>
      <c r="L5" s="10" t="s">
        <v>617</v>
      </c>
      <c r="M5" s="7"/>
      <c r="N5" s="7"/>
      <c r="O5" s="7" t="s">
        <v>3916</v>
      </c>
      <c r="P5" s="7"/>
      <c r="Q5" s="7"/>
      <c r="R5" s="5" t="s">
        <v>592</v>
      </c>
    </row>
    <row r="6" spans="1:18">
      <c r="A6" s="7" t="s">
        <v>791</v>
      </c>
      <c r="B6" s="7">
        <v>5</v>
      </c>
      <c r="C6" s="10" t="s">
        <v>670</v>
      </c>
      <c r="D6" s="10" t="str">
        <f>VLOOKUP(C6,[1]EC!$C$2:$D$44,2,0)</f>
        <v>治疗名称</v>
      </c>
      <c r="E6" s="10" t="s">
        <v>38</v>
      </c>
      <c r="F6" s="7">
        <v>2000</v>
      </c>
      <c r="H6" s="10"/>
      <c r="I6" s="7" t="s">
        <v>69</v>
      </c>
      <c r="J6" s="10" t="s">
        <v>597</v>
      </c>
      <c r="K6" s="10" t="s">
        <v>245</v>
      </c>
      <c r="L6" s="10" t="s">
        <v>39</v>
      </c>
      <c r="M6" s="7"/>
      <c r="N6" s="7"/>
      <c r="O6" s="7" t="s">
        <v>1381</v>
      </c>
    </row>
    <row r="7" spans="1:18">
      <c r="A7" s="7" t="s">
        <v>791</v>
      </c>
      <c r="B7" s="7">
        <v>6</v>
      </c>
      <c r="C7" s="10" t="s">
        <v>671</v>
      </c>
      <c r="D7" s="10" t="str">
        <f>VLOOKUP(C7,[1]EC!$C$2:$D$44,2,0)</f>
        <v>单次剂量</v>
      </c>
      <c r="E7" s="10" t="s">
        <v>242</v>
      </c>
      <c r="F7" s="7">
        <v>8</v>
      </c>
      <c r="H7" s="10"/>
      <c r="I7" s="7" t="s">
        <v>3322</v>
      </c>
      <c r="J7" s="16" t="s">
        <v>3323</v>
      </c>
      <c r="K7" s="10" t="s">
        <v>115</v>
      </c>
      <c r="L7" s="10" t="s">
        <v>42</v>
      </c>
      <c r="M7" s="7"/>
      <c r="N7" s="7"/>
      <c r="O7" s="7"/>
    </row>
    <row r="8" spans="1:18">
      <c r="A8" s="7" t="s">
        <v>791</v>
      </c>
      <c r="B8" s="7">
        <v>7</v>
      </c>
      <c r="C8" s="10" t="s">
        <v>672</v>
      </c>
      <c r="D8" s="10" t="str">
        <f>VLOOKUP(C8,[1]EC!$C$2:$D$44,2,0)</f>
        <v>剂量单位</v>
      </c>
      <c r="E8" s="10" t="s">
        <v>38</v>
      </c>
      <c r="F8" s="7">
        <v>2000</v>
      </c>
      <c r="G8" s="10" t="s">
        <v>287</v>
      </c>
      <c r="H8" s="10" t="s">
        <v>1105</v>
      </c>
      <c r="I8" s="7" t="s">
        <v>3322</v>
      </c>
      <c r="J8" s="16" t="s">
        <v>3323</v>
      </c>
      <c r="K8" s="10" t="s">
        <v>275</v>
      </c>
      <c r="L8" s="10" t="s">
        <v>42</v>
      </c>
      <c r="M8" s="7"/>
      <c r="N8" s="7"/>
      <c r="O8" s="7"/>
    </row>
    <row r="9" spans="1:18">
      <c r="A9" s="7" t="s">
        <v>791</v>
      </c>
      <c r="B9" s="7">
        <v>8</v>
      </c>
      <c r="C9" s="10" t="s">
        <v>673</v>
      </c>
      <c r="D9" s="10" t="str">
        <f>VLOOKUP(C9,[1]EC!$C$2:$D$44,2,0)</f>
        <v>剂型</v>
      </c>
      <c r="E9" s="10" t="s">
        <v>38</v>
      </c>
      <c r="F9" s="7">
        <v>2000</v>
      </c>
      <c r="G9" s="10" t="s">
        <v>289</v>
      </c>
      <c r="H9" s="10" t="s">
        <v>1106</v>
      </c>
      <c r="I9" s="7" t="s">
        <v>261</v>
      </c>
      <c r="J9" s="10" t="s">
        <v>597</v>
      </c>
      <c r="K9" s="10" t="s">
        <v>275</v>
      </c>
      <c r="L9" s="10" t="s">
        <v>42</v>
      </c>
      <c r="M9" s="7"/>
      <c r="N9" s="7"/>
      <c r="O9" s="7"/>
    </row>
    <row r="10" spans="1:18">
      <c r="A10" s="7" t="s">
        <v>791</v>
      </c>
      <c r="B10" s="7">
        <v>9</v>
      </c>
      <c r="C10" s="10" t="s">
        <v>674</v>
      </c>
      <c r="D10" s="10" t="str">
        <f>VLOOKUP(C10,[1]EC!$C$2:$D$44,2,0)</f>
        <v>给药途径</v>
      </c>
      <c r="E10" s="10" t="s">
        <v>38</v>
      </c>
      <c r="F10" s="7">
        <v>2000</v>
      </c>
      <c r="G10" s="10" t="s">
        <v>292</v>
      </c>
      <c r="H10" s="10" t="s">
        <v>1107</v>
      </c>
      <c r="I10" s="7" t="s">
        <v>261</v>
      </c>
      <c r="J10" s="10" t="s">
        <v>597</v>
      </c>
      <c r="K10" s="10" t="s">
        <v>275</v>
      </c>
      <c r="L10" s="10" t="s">
        <v>49</v>
      </c>
      <c r="M10" s="7"/>
      <c r="N10" s="7"/>
      <c r="O10" s="7"/>
    </row>
    <row r="11" spans="1:18">
      <c r="A11" s="7" t="s">
        <v>791</v>
      </c>
      <c r="B11" s="7">
        <v>10</v>
      </c>
      <c r="C11" s="12" t="s">
        <v>260</v>
      </c>
      <c r="D11" s="10" t="str">
        <f>VLOOKUP(C11,[1]EC!$C$2:$D$44,2,0)</f>
        <v>时期</v>
      </c>
      <c r="E11" s="12" t="s">
        <v>38</v>
      </c>
      <c r="F11" s="6">
        <f t="shared" ref="F11" si="0">IF(E11="Char",200,8)</f>
        <v>200</v>
      </c>
      <c r="G11" s="12" t="s">
        <v>598</v>
      </c>
      <c r="H11" s="12" t="s">
        <v>260</v>
      </c>
      <c r="I11" s="6" t="s">
        <v>69</v>
      </c>
      <c r="J11" s="10" t="s">
        <v>597</v>
      </c>
      <c r="K11" s="12" t="s">
        <v>258</v>
      </c>
      <c r="L11" s="12" t="s">
        <v>49</v>
      </c>
      <c r="M11" s="12"/>
      <c r="N11" s="12"/>
      <c r="O11" s="12" t="s">
        <v>1308</v>
      </c>
      <c r="R11" s="5" t="s">
        <v>592</v>
      </c>
    </row>
    <row r="12" spans="1:18">
      <c r="A12" s="7" t="s">
        <v>791</v>
      </c>
      <c r="B12" s="7">
        <v>11</v>
      </c>
      <c r="C12" s="10" t="s">
        <v>675</v>
      </c>
      <c r="D12" s="10" t="str">
        <f>VLOOKUP(C12,[1]EC!$C$2:$D$44,2,0)</f>
        <v>开始日期/时间</v>
      </c>
      <c r="E12" s="10" t="s">
        <v>38</v>
      </c>
      <c r="F12" s="7">
        <v>2000</v>
      </c>
      <c r="H12" s="10"/>
      <c r="I12" s="7" t="s">
        <v>69</v>
      </c>
      <c r="J12" s="10" t="s">
        <v>597</v>
      </c>
      <c r="K12" s="10" t="s">
        <v>258</v>
      </c>
      <c r="L12" s="10" t="s">
        <v>42</v>
      </c>
      <c r="M12" s="7"/>
      <c r="N12" s="7"/>
      <c r="O12" s="7" t="s">
        <v>1309</v>
      </c>
      <c r="R12" s="5" t="s">
        <v>592</v>
      </c>
    </row>
    <row r="13" spans="1:18">
      <c r="A13" s="7" t="s">
        <v>791</v>
      </c>
      <c r="B13" s="7">
        <v>12</v>
      </c>
      <c r="C13" s="10" t="s">
        <v>676</v>
      </c>
      <c r="D13" s="10" t="str">
        <f>VLOOKUP(C13,[1]EC!$C$2:$D$44,2,0)</f>
        <v>结束日期/时间</v>
      </c>
      <c r="E13" s="10" t="s">
        <v>38</v>
      </c>
      <c r="F13" s="7">
        <v>2000</v>
      </c>
      <c r="H13" s="10"/>
      <c r="I13" s="7" t="s">
        <v>69</v>
      </c>
      <c r="J13" s="10" t="s">
        <v>597</v>
      </c>
      <c r="K13" s="10" t="s">
        <v>258</v>
      </c>
      <c r="L13" s="10" t="s">
        <v>42</v>
      </c>
      <c r="O13" s="7" t="s">
        <v>1309</v>
      </c>
      <c r="R13" s="5" t="s">
        <v>592</v>
      </c>
    </row>
    <row r="14" spans="1:18">
      <c r="A14" s="7" t="s">
        <v>791</v>
      </c>
      <c r="B14" s="7">
        <v>13</v>
      </c>
      <c r="C14" s="10" t="s">
        <v>677</v>
      </c>
      <c r="D14" s="10" t="str">
        <f>VLOOKUP(C14,[1]EC!$C$2:$D$44,2,0)</f>
        <v>开始日</v>
      </c>
      <c r="E14" s="10" t="s">
        <v>242</v>
      </c>
      <c r="F14" s="7">
        <v>8</v>
      </c>
      <c r="H14" s="10"/>
      <c r="I14" s="7" t="s">
        <v>69</v>
      </c>
      <c r="J14" s="10" t="s">
        <v>597</v>
      </c>
      <c r="K14" s="10" t="s">
        <v>258</v>
      </c>
      <c r="L14" s="10" t="s">
        <v>49</v>
      </c>
      <c r="M14" s="7"/>
      <c r="N14" s="7"/>
      <c r="O14" s="7" t="s">
        <v>3919</v>
      </c>
      <c r="R14" s="5" t="s">
        <v>592</v>
      </c>
    </row>
    <row r="15" spans="1:18">
      <c r="A15" s="7" t="s">
        <v>791</v>
      </c>
      <c r="B15" s="7">
        <v>14</v>
      </c>
      <c r="C15" s="10" t="s">
        <v>678</v>
      </c>
      <c r="D15" s="10" t="str">
        <f>VLOOKUP(C15,[1]EC!$C$2:$D$44,2,0)</f>
        <v>结束日</v>
      </c>
      <c r="E15" s="10" t="s">
        <v>242</v>
      </c>
      <c r="F15" s="7">
        <v>8</v>
      </c>
      <c r="H15" s="10"/>
      <c r="I15" s="7" t="s">
        <v>69</v>
      </c>
      <c r="J15" s="10" t="s">
        <v>597</v>
      </c>
      <c r="K15" s="10" t="s">
        <v>258</v>
      </c>
      <c r="L15" s="10" t="s">
        <v>49</v>
      </c>
      <c r="O15" s="7" t="s">
        <v>3919</v>
      </c>
      <c r="R15" s="5" t="s">
        <v>592</v>
      </c>
    </row>
    <row r="16" spans="1:18">
      <c r="A16" s="7" t="s">
        <v>791</v>
      </c>
      <c r="B16" s="7">
        <v>15</v>
      </c>
      <c r="C16" s="10" t="s">
        <v>267</v>
      </c>
      <c r="D16" s="7" t="s">
        <v>1025</v>
      </c>
      <c r="E16" s="10" t="s">
        <v>38</v>
      </c>
      <c r="F16" s="7">
        <v>2000</v>
      </c>
      <c r="H16" s="10" t="s">
        <v>267</v>
      </c>
      <c r="I16" s="7" t="s">
        <v>69</v>
      </c>
      <c r="J16" s="10" t="s">
        <v>597</v>
      </c>
      <c r="M16" s="7" t="s">
        <v>78</v>
      </c>
      <c r="N16" s="7"/>
      <c r="O16" s="7" t="s">
        <v>1310</v>
      </c>
    </row>
    <row r="17" spans="1:15">
      <c r="A17" s="7" t="s">
        <v>791</v>
      </c>
      <c r="B17" s="7">
        <v>16</v>
      </c>
      <c r="C17" s="10" t="s">
        <v>266</v>
      </c>
      <c r="D17" s="7" t="s">
        <v>1104</v>
      </c>
      <c r="E17" s="10" t="s">
        <v>242</v>
      </c>
      <c r="F17" s="7">
        <v>8</v>
      </c>
      <c r="H17" s="10" t="s">
        <v>266</v>
      </c>
      <c r="I17" s="7" t="s">
        <v>69</v>
      </c>
      <c r="J17" s="10" t="s">
        <v>597</v>
      </c>
      <c r="M17" s="7" t="s">
        <v>78</v>
      </c>
      <c r="N17" s="7"/>
      <c r="O17" s="7" t="s">
        <v>1307</v>
      </c>
    </row>
    <row r="18" spans="1:15">
      <c r="A18" s="7" t="s">
        <v>791</v>
      </c>
      <c r="B18" s="7">
        <v>17</v>
      </c>
      <c r="C18" s="7" t="s">
        <v>679</v>
      </c>
      <c r="D18" s="10" t="s">
        <v>1100</v>
      </c>
      <c r="E18" s="10" t="s">
        <v>242</v>
      </c>
      <c r="F18" s="7">
        <v>8</v>
      </c>
      <c r="G18" s="7"/>
      <c r="I18" s="7" t="s">
        <v>3322</v>
      </c>
      <c r="J18" s="16" t="s">
        <v>3323</v>
      </c>
      <c r="K18" s="7"/>
      <c r="L18" s="7"/>
      <c r="M18" s="7" t="s">
        <v>78</v>
      </c>
      <c r="N18" s="7"/>
      <c r="O18" s="7"/>
    </row>
    <row r="19" spans="1:15">
      <c r="A19" s="7" t="s">
        <v>791</v>
      </c>
      <c r="B19" s="7">
        <v>18</v>
      </c>
      <c r="C19" s="7" t="s">
        <v>680</v>
      </c>
      <c r="D19" s="10" t="s">
        <v>1101</v>
      </c>
      <c r="E19" s="10" t="s">
        <v>38</v>
      </c>
      <c r="F19" s="7">
        <v>2000</v>
      </c>
      <c r="G19" s="7"/>
      <c r="H19" s="7" t="s">
        <v>984</v>
      </c>
      <c r="I19" s="7" t="s">
        <v>3322</v>
      </c>
      <c r="J19" s="16" t="s">
        <v>3323</v>
      </c>
      <c r="K19" s="7"/>
      <c r="L19" s="7"/>
      <c r="M19" s="7" t="s">
        <v>78</v>
      </c>
      <c r="N19" s="7"/>
      <c r="O19" s="7"/>
    </row>
  </sheetData>
  <phoneticPr fontId="67" type="noConversion"/>
  <conditionalFormatting sqref="C2:C19">
    <cfRule type="duplicateValues" dxfId="67" priority="234"/>
  </conditionalFormatting>
  <conditionalFormatting sqref="C11">
    <cfRule type="duplicateValues" dxfId="66" priority="189"/>
  </conditionalFormatting>
  <conditionalFormatting sqref="C13">
    <cfRule type="duplicateValues" dxfId="65" priority="190"/>
  </conditionalFormatting>
  <conditionalFormatting sqref="C14 C12 C2:C10 C16:C17">
    <cfRule type="duplicateValues" dxfId="64" priority="235"/>
  </conditionalFormatting>
  <conditionalFormatting sqref="C15">
    <cfRule type="duplicateValues" dxfId="63" priority="195"/>
  </conditionalFormatting>
  <conditionalFormatting sqref="D2:D15 D18:D19">
    <cfRule type="duplicateValues" dxfId="62" priority="15"/>
  </conditionalFormatting>
  <conditionalFormatting sqref="D16:D17">
    <cfRule type="duplicateValues" dxfId="61" priority="5"/>
  </conditionalFormatting>
  <conditionalFormatting sqref="G3">
    <cfRule type="duplicateValues" dxfId="60" priority="2"/>
  </conditionalFormatting>
  <conditionalFormatting sqref="H3">
    <cfRule type="duplicateValues" dxfId="59" priority="1"/>
  </conditionalFormatting>
  <conditionalFormatting sqref="H16:H17">
    <cfRule type="duplicateValues" dxfId="58" priority="3"/>
    <cfRule type="duplicateValues" dxfId="57" priority="4"/>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00B050"/>
  </sheetPr>
  <dimension ref="A1:R17"/>
  <sheetViews>
    <sheetView workbookViewId="0">
      <selection activeCell="O20" sqref="O20"/>
    </sheetView>
  </sheetViews>
  <sheetFormatPr defaultColWidth="9" defaultRowHeight="15.6"/>
  <cols>
    <col min="1" max="1" width="7" style="7" customWidth="1"/>
    <col min="2" max="2" width="3.6328125" style="7" customWidth="1"/>
    <col min="3" max="3" width="12.6328125" style="7" customWidth="1"/>
    <col min="4" max="4" width="31.6328125" style="7" customWidth="1"/>
    <col min="5" max="5" width="7" style="7" customWidth="1"/>
    <col min="6" max="6" width="6.26953125" style="7" customWidth="1"/>
    <col min="7" max="8" width="23.26953125" style="7" customWidth="1"/>
    <col min="9" max="9" width="9" style="7" customWidth="1"/>
    <col min="10" max="10" width="8.1796875" style="7" customWidth="1"/>
    <col min="11" max="11" width="17.6328125" style="7" customWidth="1"/>
    <col min="12" max="12" width="5" style="7" customWidth="1"/>
    <col min="13" max="14" width="9" style="7"/>
    <col min="15" max="15" width="43.6328125" style="7" customWidth="1"/>
    <col min="16" max="16384" width="9" style="7"/>
  </cols>
  <sheetData>
    <row r="1" spans="1:18">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7" t="s">
        <v>6</v>
      </c>
      <c r="B2" s="7">
        <v>1</v>
      </c>
      <c r="C2" s="7" t="s">
        <v>37</v>
      </c>
      <c r="D2" s="7" t="str">
        <f>VLOOKUP(C2,[1]SE!$C$2:$D$12,2,0)</f>
        <v>研究标识符</v>
      </c>
      <c r="E2" s="7" t="s">
        <v>38</v>
      </c>
      <c r="F2" s="7">
        <v>2000</v>
      </c>
      <c r="I2" s="7" t="s">
        <v>757</v>
      </c>
      <c r="J2" s="10" t="s">
        <v>597</v>
      </c>
      <c r="K2" s="10" t="s">
        <v>55</v>
      </c>
      <c r="L2" s="10" t="s">
        <v>39</v>
      </c>
      <c r="O2" s="17" t="s">
        <v>1019</v>
      </c>
      <c r="Q2" s="5" t="s">
        <v>592</v>
      </c>
    </row>
    <row r="3" spans="1:18">
      <c r="A3" s="7" t="s">
        <v>6</v>
      </c>
      <c r="B3" s="7">
        <v>2</v>
      </c>
      <c r="C3" s="7" t="s">
        <v>57</v>
      </c>
      <c r="D3" s="7" t="str">
        <f>VLOOKUP(C3,[1]SE!$C$2:$D$12,2,0)</f>
        <v>域名缩写</v>
      </c>
      <c r="E3" s="7" t="s">
        <v>38</v>
      </c>
      <c r="F3" s="7">
        <v>2000</v>
      </c>
      <c r="G3" s="13" t="s">
        <v>3336</v>
      </c>
      <c r="H3" s="13" t="s">
        <v>618</v>
      </c>
      <c r="I3" s="10" t="s">
        <v>60</v>
      </c>
      <c r="J3" s="10" t="s">
        <v>597</v>
      </c>
      <c r="K3" s="10" t="s">
        <v>55</v>
      </c>
      <c r="L3" s="10" t="s">
        <v>39</v>
      </c>
      <c r="N3" s="7" t="s">
        <v>597</v>
      </c>
    </row>
    <row r="4" spans="1:18">
      <c r="A4" s="7" t="s">
        <v>6</v>
      </c>
      <c r="B4" s="7">
        <v>3</v>
      </c>
      <c r="C4" s="7" t="s">
        <v>41</v>
      </c>
      <c r="D4" s="7" t="str">
        <f>VLOOKUP(C4,[1]SE!$C$2:$D$12,2,0)</f>
        <v>受试者唯一标识符</v>
      </c>
      <c r="E4" s="7" t="s">
        <v>38</v>
      </c>
      <c r="F4" s="7">
        <v>2000</v>
      </c>
      <c r="I4" s="7" t="s">
        <v>69</v>
      </c>
      <c r="J4" s="10" t="s">
        <v>597</v>
      </c>
      <c r="K4" s="10" t="s">
        <v>55</v>
      </c>
      <c r="L4" s="10" t="s">
        <v>39</v>
      </c>
      <c r="O4" s="5" t="s">
        <v>1015</v>
      </c>
      <c r="R4" s="7" t="s">
        <v>592</v>
      </c>
    </row>
    <row r="5" spans="1:18">
      <c r="A5" s="7" t="s">
        <v>6</v>
      </c>
      <c r="B5" s="7">
        <v>4</v>
      </c>
      <c r="C5" s="7" t="s">
        <v>269</v>
      </c>
      <c r="D5" s="7" t="str">
        <f>VLOOKUP(C5,[1]SE!$C$2:$D$12,2,0)</f>
        <v>序号</v>
      </c>
      <c r="E5" s="7" t="s">
        <v>242</v>
      </c>
      <c r="F5" s="7">
        <v>8</v>
      </c>
      <c r="I5" s="7" t="s">
        <v>69</v>
      </c>
      <c r="J5" s="10" t="s">
        <v>597</v>
      </c>
      <c r="K5" s="10" t="s">
        <v>55</v>
      </c>
      <c r="L5" s="10" t="s">
        <v>39</v>
      </c>
      <c r="O5" s="7" t="s">
        <v>3916</v>
      </c>
      <c r="R5" s="7" t="s">
        <v>592</v>
      </c>
    </row>
    <row r="6" spans="1:18">
      <c r="A6" s="7" t="s">
        <v>6</v>
      </c>
      <c r="B6" s="7">
        <v>5</v>
      </c>
      <c r="C6" s="7" t="s">
        <v>252</v>
      </c>
      <c r="D6" s="7" t="str">
        <f>VLOOKUP(C6,[1]SE!$C$2:$D$12,2,0)</f>
        <v>元素编码</v>
      </c>
      <c r="E6" s="7" t="s">
        <v>38</v>
      </c>
      <c r="F6" s="7">
        <v>2000</v>
      </c>
      <c r="H6" s="7" t="s">
        <v>252</v>
      </c>
      <c r="I6" s="7" t="s">
        <v>69</v>
      </c>
      <c r="J6" s="10" t="s">
        <v>597</v>
      </c>
      <c r="K6" s="7" t="s">
        <v>245</v>
      </c>
      <c r="L6" s="7" t="s">
        <v>39</v>
      </c>
      <c r="O6" s="7" t="s">
        <v>1359</v>
      </c>
      <c r="R6" s="7" t="s">
        <v>592</v>
      </c>
    </row>
    <row r="7" spans="1:18">
      <c r="A7" s="7" t="s">
        <v>6</v>
      </c>
      <c r="B7" s="7">
        <v>6</v>
      </c>
      <c r="C7" s="7" t="s">
        <v>253</v>
      </c>
      <c r="D7" s="7" t="str">
        <f>VLOOKUP(C7,[1]SE!$C$2:$D$12,2,0)</f>
        <v>元素描述</v>
      </c>
      <c r="E7" s="7" t="s">
        <v>38</v>
      </c>
      <c r="F7" s="7">
        <v>2000</v>
      </c>
      <c r="H7" s="7" t="s">
        <v>253</v>
      </c>
      <c r="I7" s="7" t="s">
        <v>69</v>
      </c>
      <c r="J7" s="10" t="s">
        <v>597</v>
      </c>
      <c r="K7" s="7" t="s">
        <v>111</v>
      </c>
      <c r="L7" s="7" t="s">
        <v>49</v>
      </c>
      <c r="O7" s="7" t="s">
        <v>1360</v>
      </c>
      <c r="Q7" s="5" t="s">
        <v>592</v>
      </c>
    </row>
    <row r="8" spans="1:18">
      <c r="A8" s="7" t="s">
        <v>6</v>
      </c>
      <c r="B8" s="7">
        <v>7</v>
      </c>
      <c r="C8" s="7" t="s">
        <v>257</v>
      </c>
      <c r="D8" s="7" t="str">
        <f>VLOOKUP(C8,[1]SE!$C$2:$D$12,2,0)</f>
        <v>组内元素计划顺序</v>
      </c>
      <c r="E8" s="7" t="s">
        <v>242</v>
      </c>
      <c r="F8" s="7">
        <v>8</v>
      </c>
      <c r="I8" s="10" t="s">
        <v>60</v>
      </c>
      <c r="J8" s="10" t="s">
        <v>597</v>
      </c>
      <c r="K8" s="7" t="s">
        <v>258</v>
      </c>
      <c r="L8" s="7" t="s">
        <v>49</v>
      </c>
      <c r="N8" s="7" t="s">
        <v>597</v>
      </c>
      <c r="O8" s="7" t="s">
        <v>1361</v>
      </c>
    </row>
    <row r="9" spans="1:18" s="6" customFormat="1">
      <c r="A9" s="6" t="s">
        <v>6</v>
      </c>
      <c r="B9" s="7">
        <v>8</v>
      </c>
      <c r="C9" s="6" t="s">
        <v>260</v>
      </c>
      <c r="D9" s="7" t="str">
        <f>VLOOKUP(C9,[1]SE!$C$2:$D$12,2,0)</f>
        <v>时期</v>
      </c>
      <c r="E9" s="6" t="s">
        <v>38</v>
      </c>
      <c r="F9" s="6">
        <v>2000</v>
      </c>
      <c r="G9" s="6" t="s">
        <v>598</v>
      </c>
      <c r="H9" s="6" t="s">
        <v>260</v>
      </c>
      <c r="I9" s="6" t="s">
        <v>69</v>
      </c>
      <c r="J9" s="10" t="s">
        <v>597</v>
      </c>
      <c r="K9" s="6" t="s">
        <v>258</v>
      </c>
      <c r="L9" s="6" t="s">
        <v>49</v>
      </c>
      <c r="O9" s="12" t="s">
        <v>1308</v>
      </c>
      <c r="R9" s="7" t="s">
        <v>592</v>
      </c>
    </row>
    <row r="10" spans="1:18">
      <c r="A10" s="7" t="s">
        <v>6</v>
      </c>
      <c r="B10" s="7">
        <v>9</v>
      </c>
      <c r="C10" s="7" t="s">
        <v>270</v>
      </c>
      <c r="D10" s="7" t="str">
        <f>VLOOKUP(C10,[1]SE!$C$2:$D$12,2,0)</f>
        <v>开始日期/时间</v>
      </c>
      <c r="E10" s="7" t="s">
        <v>38</v>
      </c>
      <c r="F10" s="7">
        <v>2000</v>
      </c>
      <c r="I10" s="7" t="s">
        <v>69</v>
      </c>
      <c r="J10" s="10" t="s">
        <v>597</v>
      </c>
      <c r="K10" s="7" t="s">
        <v>258</v>
      </c>
      <c r="L10" s="7" t="s">
        <v>39</v>
      </c>
      <c r="O10" s="7" t="s">
        <v>1362</v>
      </c>
      <c r="R10" s="7" t="s">
        <v>592</v>
      </c>
    </row>
    <row r="11" spans="1:18">
      <c r="A11" s="7" t="s">
        <v>6</v>
      </c>
      <c r="B11" s="7">
        <v>10</v>
      </c>
      <c r="C11" s="7" t="s">
        <v>271</v>
      </c>
      <c r="D11" s="7" t="str">
        <f>VLOOKUP(C11,[1]SE!$C$2:$D$12,2,0)</f>
        <v>结束日期/时间</v>
      </c>
      <c r="E11" s="7" t="s">
        <v>38</v>
      </c>
      <c r="F11" s="7">
        <v>2000</v>
      </c>
      <c r="I11" s="7" t="s">
        <v>69</v>
      </c>
      <c r="J11" s="10" t="s">
        <v>597</v>
      </c>
      <c r="K11" s="7" t="s">
        <v>258</v>
      </c>
      <c r="L11" s="7" t="s">
        <v>42</v>
      </c>
      <c r="O11" s="7" t="s">
        <v>1363</v>
      </c>
      <c r="R11" s="7" t="s">
        <v>592</v>
      </c>
    </row>
    <row r="12" spans="1:18" s="10" customFormat="1">
      <c r="A12" s="7" t="s">
        <v>6</v>
      </c>
      <c r="B12" s="7">
        <v>11</v>
      </c>
      <c r="C12" s="10" t="s">
        <v>272</v>
      </c>
      <c r="D12" s="7" t="s">
        <v>1108</v>
      </c>
      <c r="E12" s="10" t="s">
        <v>242</v>
      </c>
      <c r="F12" s="7">
        <v>8</v>
      </c>
      <c r="I12" s="7" t="s">
        <v>69</v>
      </c>
      <c r="J12" s="10" t="s">
        <v>597</v>
      </c>
      <c r="K12" s="10" t="s">
        <v>258</v>
      </c>
      <c r="L12" s="10" t="s">
        <v>49</v>
      </c>
      <c r="O12" s="7" t="s">
        <v>3919</v>
      </c>
      <c r="R12" s="7" t="s">
        <v>592</v>
      </c>
    </row>
    <row r="13" spans="1:18" s="10" customFormat="1">
      <c r="A13" s="7" t="s">
        <v>6</v>
      </c>
      <c r="B13" s="7">
        <v>12</v>
      </c>
      <c r="C13" s="10" t="s">
        <v>273</v>
      </c>
      <c r="D13" s="7" t="s">
        <v>1109</v>
      </c>
      <c r="E13" s="10" t="s">
        <v>242</v>
      </c>
      <c r="F13" s="7">
        <v>8</v>
      </c>
      <c r="I13" s="7" t="s">
        <v>69</v>
      </c>
      <c r="J13" s="10" t="s">
        <v>597</v>
      </c>
      <c r="K13" s="10" t="s">
        <v>258</v>
      </c>
      <c r="L13" s="10" t="s">
        <v>49</v>
      </c>
      <c r="O13" s="7" t="s">
        <v>3919</v>
      </c>
      <c r="R13" s="7" t="s">
        <v>592</v>
      </c>
    </row>
    <row r="14" spans="1:18">
      <c r="J14" s="10"/>
    </row>
    <row r="15" spans="1:18">
      <c r="J15" s="10"/>
    </row>
    <row r="16" spans="1:18">
      <c r="J16" s="10"/>
    </row>
    <row r="17" spans="10:10">
      <c r="J17" s="10"/>
    </row>
  </sheetData>
  <phoneticPr fontId="67" type="noConversion"/>
  <conditionalFormatting sqref="G3">
    <cfRule type="duplicateValues" dxfId="56" priority="2"/>
  </conditionalFormatting>
  <conditionalFormatting sqref="H3">
    <cfRule type="duplicateValues" dxfId="55"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tabColor rgb="FF00B050"/>
  </sheetPr>
  <dimension ref="A1:R19"/>
  <sheetViews>
    <sheetView zoomScaleNormal="100" workbookViewId="0">
      <selection activeCell="H22" sqref="H22"/>
    </sheetView>
  </sheetViews>
  <sheetFormatPr defaultColWidth="9" defaultRowHeight="15.6"/>
  <cols>
    <col min="1" max="1" width="9.08984375" style="7" customWidth="1"/>
    <col min="2" max="2" width="5.81640625" style="7" customWidth="1"/>
    <col min="3" max="3" width="14.453125" style="7" customWidth="1"/>
    <col min="4" max="4" width="16.08984375" style="7" customWidth="1"/>
    <col min="5" max="5" width="6.6328125" style="7" customWidth="1"/>
    <col min="6" max="6" width="8.1796875" style="7" customWidth="1"/>
    <col min="7" max="7" width="25.1796875" style="7" customWidth="1"/>
    <col min="8" max="8" width="22" style="10" customWidth="1"/>
    <col min="9" max="9" width="7.6328125" style="7" customWidth="1"/>
    <col min="10" max="10" width="9.453125" style="7" customWidth="1"/>
    <col min="11" max="11" width="15.453125" style="7" customWidth="1"/>
    <col min="12" max="12" width="6.6328125" style="7" customWidth="1"/>
    <col min="13" max="13" width="8.1796875" style="7" customWidth="1"/>
    <col min="14" max="14" width="8.08984375" style="7" customWidth="1"/>
    <col min="15" max="15" width="77.453125" style="7" customWidth="1"/>
    <col min="16" max="16" width="7.81640625" style="7" customWidth="1"/>
    <col min="17" max="17" width="8.453125" style="7" customWidth="1"/>
    <col min="18" max="18" width="7.08984375" style="7" customWidth="1"/>
    <col min="19" max="16384" width="9" style="7"/>
  </cols>
  <sheetData>
    <row r="1" spans="1:18">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17" t="s">
        <v>7</v>
      </c>
      <c r="B2" s="17">
        <v>1</v>
      </c>
      <c r="C2" s="17" t="s">
        <v>37</v>
      </c>
      <c r="D2" s="17" t="s">
        <v>1021</v>
      </c>
      <c r="E2" s="17" t="s">
        <v>1369</v>
      </c>
      <c r="F2" s="17">
        <v>2000</v>
      </c>
      <c r="G2" s="17"/>
      <c r="H2" s="15"/>
      <c r="I2" s="7" t="s">
        <v>757</v>
      </c>
      <c r="J2" s="10" t="s">
        <v>597</v>
      </c>
      <c r="K2" s="17" t="s">
        <v>55</v>
      </c>
      <c r="L2" s="17" t="s">
        <v>39</v>
      </c>
      <c r="M2" s="17"/>
      <c r="N2" s="17"/>
      <c r="O2" s="17" t="s">
        <v>1019</v>
      </c>
      <c r="Q2" s="7" t="s">
        <v>1013</v>
      </c>
    </row>
    <row r="3" spans="1:18">
      <c r="A3" s="17" t="s">
        <v>7</v>
      </c>
      <c r="B3" s="17">
        <v>2</v>
      </c>
      <c r="C3" s="17" t="s">
        <v>1370</v>
      </c>
      <c r="D3" s="17" t="s">
        <v>1022</v>
      </c>
      <c r="E3" s="17" t="s">
        <v>1369</v>
      </c>
      <c r="F3" s="17">
        <v>2000</v>
      </c>
      <c r="G3" s="13" t="s">
        <v>3336</v>
      </c>
      <c r="H3" s="13" t="s">
        <v>618</v>
      </c>
      <c r="I3" s="17" t="s">
        <v>60</v>
      </c>
      <c r="J3" s="10" t="s">
        <v>597</v>
      </c>
      <c r="K3" s="17" t="s">
        <v>55</v>
      </c>
      <c r="L3" s="17" t="s">
        <v>39</v>
      </c>
      <c r="M3" s="17"/>
      <c r="N3" s="17" t="s">
        <v>597</v>
      </c>
      <c r="O3" s="17"/>
    </row>
    <row r="4" spans="1:18">
      <c r="A4" s="17" t="s">
        <v>7</v>
      </c>
      <c r="B4" s="17">
        <v>3</v>
      </c>
      <c r="C4" s="17" t="s">
        <v>1371</v>
      </c>
      <c r="D4" s="17" t="s">
        <v>1023</v>
      </c>
      <c r="E4" s="17" t="s">
        <v>1369</v>
      </c>
      <c r="F4" s="17">
        <v>2000</v>
      </c>
      <c r="G4" s="17"/>
      <c r="H4" s="15"/>
      <c r="I4" s="17" t="s">
        <v>69</v>
      </c>
      <c r="J4" s="10" t="s">
        <v>597</v>
      </c>
      <c r="K4" s="17" t="s">
        <v>55</v>
      </c>
      <c r="L4" s="17" t="s">
        <v>39</v>
      </c>
      <c r="M4" s="17"/>
      <c r="N4" s="17"/>
      <c r="O4" s="17" t="s">
        <v>1015</v>
      </c>
      <c r="R4" s="7" t="s">
        <v>1013</v>
      </c>
    </row>
    <row r="5" spans="1:18">
      <c r="A5" s="17" t="s">
        <v>7</v>
      </c>
      <c r="B5" s="17">
        <v>4</v>
      </c>
      <c r="C5" s="17" t="s">
        <v>1372</v>
      </c>
      <c r="D5" s="17" t="s">
        <v>1024</v>
      </c>
      <c r="E5" s="17" t="s">
        <v>1373</v>
      </c>
      <c r="F5" s="17">
        <v>8</v>
      </c>
      <c r="G5" s="17"/>
      <c r="H5" s="17" t="s">
        <v>1372</v>
      </c>
      <c r="I5" s="17" t="s">
        <v>69</v>
      </c>
      <c r="J5" s="10" t="s">
        <v>597</v>
      </c>
      <c r="K5" s="17" t="s">
        <v>245</v>
      </c>
      <c r="L5" s="17" t="s">
        <v>1374</v>
      </c>
      <c r="M5" s="17"/>
      <c r="N5" s="17"/>
      <c r="O5" s="17" t="s">
        <v>1016</v>
      </c>
      <c r="R5" s="7" t="s">
        <v>1013</v>
      </c>
    </row>
    <row r="6" spans="1:18">
      <c r="A6" s="17" t="s">
        <v>7</v>
      </c>
      <c r="B6" s="17">
        <v>5</v>
      </c>
      <c r="C6" s="17" t="s">
        <v>1375</v>
      </c>
      <c r="D6" s="17" t="s">
        <v>1025</v>
      </c>
      <c r="E6" s="17" t="s">
        <v>1369</v>
      </c>
      <c r="F6" s="17">
        <v>2000</v>
      </c>
      <c r="G6" s="17"/>
      <c r="H6" s="17" t="s">
        <v>1375</v>
      </c>
      <c r="I6" s="17" t="s">
        <v>69</v>
      </c>
      <c r="J6" s="10" t="s">
        <v>597</v>
      </c>
      <c r="K6" s="17" t="s">
        <v>111</v>
      </c>
      <c r="L6" s="17" t="s">
        <v>1376</v>
      </c>
      <c r="M6" s="17"/>
      <c r="N6" s="17"/>
      <c r="O6" s="17" t="s">
        <v>1017</v>
      </c>
      <c r="R6" s="7" t="s">
        <v>1013</v>
      </c>
    </row>
    <row r="7" spans="1:18">
      <c r="A7" s="17" t="s">
        <v>7</v>
      </c>
      <c r="B7" s="17">
        <v>6</v>
      </c>
      <c r="C7" s="17" t="s">
        <v>1014</v>
      </c>
      <c r="D7" s="17" t="s">
        <v>1030</v>
      </c>
      <c r="E7" s="17" t="s">
        <v>1369</v>
      </c>
      <c r="F7" s="17">
        <v>2000</v>
      </c>
      <c r="G7" s="17" t="s">
        <v>1052</v>
      </c>
      <c r="H7" s="15" t="s">
        <v>1053</v>
      </c>
      <c r="I7" s="17" t="s">
        <v>69</v>
      </c>
      <c r="J7" s="10" t="s">
        <v>597</v>
      </c>
      <c r="K7" s="17" t="s">
        <v>1860</v>
      </c>
      <c r="L7" s="17" t="s">
        <v>42</v>
      </c>
      <c r="M7" s="17"/>
      <c r="N7" s="17"/>
      <c r="O7" s="17" t="s">
        <v>1018</v>
      </c>
      <c r="R7" s="7" t="s">
        <v>1013</v>
      </c>
    </row>
    <row r="8" spans="1:18">
      <c r="A8" s="17" t="s">
        <v>7</v>
      </c>
      <c r="B8" s="17">
        <v>7</v>
      </c>
      <c r="C8" s="17" t="s">
        <v>276</v>
      </c>
      <c r="D8" s="17" t="s">
        <v>1031</v>
      </c>
      <c r="E8" s="17" t="s">
        <v>1369</v>
      </c>
      <c r="F8" s="17">
        <v>2000</v>
      </c>
      <c r="G8" s="17" t="s">
        <v>274</v>
      </c>
      <c r="H8" s="15" t="s">
        <v>1053</v>
      </c>
      <c r="I8" s="17" t="s">
        <v>69</v>
      </c>
      <c r="J8" s="10" t="s">
        <v>597</v>
      </c>
      <c r="K8" s="17" t="s">
        <v>1861</v>
      </c>
      <c r="L8" s="17" t="s">
        <v>42</v>
      </c>
      <c r="M8" s="17"/>
      <c r="N8" s="17"/>
      <c r="O8" s="17" t="s">
        <v>1020</v>
      </c>
      <c r="R8" s="7" t="s">
        <v>1013</v>
      </c>
    </row>
    <row r="9" spans="1:18">
      <c r="A9" s="17" t="s">
        <v>7</v>
      </c>
      <c r="B9" s="17">
        <v>8</v>
      </c>
      <c r="C9" s="17" t="s">
        <v>277</v>
      </c>
      <c r="D9" s="17" t="s">
        <v>1026</v>
      </c>
      <c r="E9" s="17" t="s">
        <v>38</v>
      </c>
      <c r="F9" s="17">
        <v>2000</v>
      </c>
      <c r="G9" s="17" t="s">
        <v>3335</v>
      </c>
      <c r="H9" s="15"/>
      <c r="I9" s="17" t="s">
        <v>69</v>
      </c>
      <c r="J9" s="10" t="s">
        <v>597</v>
      </c>
      <c r="K9" s="17" t="s">
        <v>258</v>
      </c>
      <c r="L9" s="17" t="s">
        <v>42</v>
      </c>
      <c r="M9" s="17"/>
      <c r="N9" s="17"/>
      <c r="O9" s="17" t="s">
        <v>278</v>
      </c>
      <c r="R9" s="7" t="s">
        <v>1013</v>
      </c>
    </row>
    <row r="10" spans="1:18">
      <c r="A10" s="17" t="s">
        <v>7</v>
      </c>
      <c r="B10" s="17">
        <v>9</v>
      </c>
      <c r="C10" s="17" t="s">
        <v>279</v>
      </c>
      <c r="D10" s="17" t="s">
        <v>1027</v>
      </c>
      <c r="E10" s="17" t="s">
        <v>38</v>
      </c>
      <c r="F10" s="17">
        <v>2000</v>
      </c>
      <c r="G10" s="17" t="s">
        <v>3335</v>
      </c>
      <c r="I10" s="17" t="s">
        <v>69</v>
      </c>
      <c r="J10" s="10" t="s">
        <v>597</v>
      </c>
      <c r="K10" s="17" t="s">
        <v>258</v>
      </c>
      <c r="L10" s="17" t="s">
        <v>42</v>
      </c>
      <c r="M10" s="17"/>
      <c r="N10" s="17"/>
      <c r="O10" s="17" t="s">
        <v>280</v>
      </c>
      <c r="R10" s="7" t="s">
        <v>1013</v>
      </c>
    </row>
    <row r="11" spans="1:18">
      <c r="A11" s="17" t="s">
        <v>7</v>
      </c>
      <c r="B11" s="17">
        <v>10</v>
      </c>
      <c r="C11" s="17" t="s">
        <v>281</v>
      </c>
      <c r="D11" s="17" t="s">
        <v>1028</v>
      </c>
      <c r="E11" s="17" t="s">
        <v>242</v>
      </c>
      <c r="F11" s="17">
        <v>8</v>
      </c>
      <c r="G11" s="17"/>
      <c r="I11" s="17" t="s">
        <v>69</v>
      </c>
      <c r="J11" s="10" t="s">
        <v>597</v>
      </c>
      <c r="K11" s="17" t="s">
        <v>258</v>
      </c>
      <c r="L11" s="17" t="s">
        <v>49</v>
      </c>
      <c r="M11" s="17"/>
      <c r="N11" s="17"/>
      <c r="O11" s="17" t="s">
        <v>3919</v>
      </c>
      <c r="R11" s="7" t="s">
        <v>1013</v>
      </c>
    </row>
    <row r="12" spans="1:18">
      <c r="A12" s="17" t="s">
        <v>7</v>
      </c>
      <c r="B12" s="17">
        <v>11</v>
      </c>
      <c r="C12" s="17" t="s">
        <v>282</v>
      </c>
      <c r="D12" s="17" t="s">
        <v>1029</v>
      </c>
      <c r="E12" s="17" t="s">
        <v>242</v>
      </c>
      <c r="F12" s="17">
        <v>8</v>
      </c>
      <c r="G12" s="17"/>
      <c r="I12" s="17" t="s">
        <v>69</v>
      </c>
      <c r="J12" s="10" t="s">
        <v>597</v>
      </c>
      <c r="K12" s="17" t="s">
        <v>258</v>
      </c>
      <c r="L12" s="17" t="s">
        <v>49</v>
      </c>
      <c r="M12" s="17"/>
      <c r="N12" s="17"/>
      <c r="O12" s="17" t="s">
        <v>3919</v>
      </c>
      <c r="R12" s="7" t="s">
        <v>1013</v>
      </c>
    </row>
    <row r="13" spans="1:18">
      <c r="J13" s="10"/>
      <c r="O13" s="22"/>
    </row>
    <row r="14" spans="1:18">
      <c r="J14" s="10"/>
    </row>
    <row r="15" spans="1:18">
      <c r="J15" s="10"/>
    </row>
    <row r="16" spans="1:18">
      <c r="J16" s="10"/>
    </row>
    <row r="17" spans="8:10">
      <c r="J17" s="10"/>
    </row>
    <row r="18" spans="8:10">
      <c r="H18" s="15"/>
    </row>
    <row r="19" spans="8:10">
      <c r="H19" s="15"/>
    </row>
  </sheetData>
  <autoFilter ref="A1:O12" xr:uid="{00000000-0001-0000-0A00-000000000000}"/>
  <phoneticPr fontId="67" type="noConversion"/>
  <conditionalFormatting sqref="G3">
    <cfRule type="duplicateValues" dxfId="54" priority="2"/>
  </conditionalFormatting>
  <conditionalFormatting sqref="H3">
    <cfRule type="duplicateValues" dxfId="53"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tabColor rgb="FF00B050"/>
  </sheetPr>
  <dimension ref="A1:R17"/>
  <sheetViews>
    <sheetView zoomScale="85" zoomScaleNormal="85" workbookViewId="0">
      <selection activeCell="D7" sqref="D7"/>
    </sheetView>
  </sheetViews>
  <sheetFormatPr defaultColWidth="9" defaultRowHeight="15.6"/>
  <cols>
    <col min="1" max="1" width="7" style="17" customWidth="1"/>
    <col min="2" max="2" width="6" style="17" customWidth="1"/>
    <col min="3" max="3" width="12.6328125" style="17" customWidth="1"/>
    <col min="4" max="4" width="21.36328125" style="17" bestFit="1" customWidth="1"/>
    <col min="5" max="5" width="6.81640625" style="17" customWidth="1"/>
    <col min="6" max="6" width="6.26953125" style="17" customWidth="1"/>
    <col min="7" max="7" width="25.54296875" style="17" bestFit="1" customWidth="1"/>
    <col min="8" max="8" width="22.6328125" style="17" bestFit="1" customWidth="1"/>
    <col min="9" max="9" width="9.26953125" style="17" customWidth="1"/>
    <col min="10" max="10" width="11.453125" style="17" customWidth="1"/>
    <col min="11" max="11" width="17.81640625" style="17" customWidth="1"/>
    <col min="12" max="12" width="6.1796875" style="17" customWidth="1"/>
    <col min="13" max="13" width="7.26953125" style="17" customWidth="1"/>
    <col min="14" max="14" width="7.54296875" style="17" bestFit="1" customWidth="1"/>
    <col min="15" max="15" width="80.453125" style="17" customWidth="1"/>
    <col min="16" max="16384" width="9" style="17"/>
  </cols>
  <sheetData>
    <row r="1" spans="1:18">
      <c r="A1" s="64" t="s">
        <v>26</v>
      </c>
      <c r="B1" s="64" t="s">
        <v>1</v>
      </c>
      <c r="C1" s="64" t="s">
        <v>27</v>
      </c>
      <c r="D1" s="64" t="s">
        <v>28</v>
      </c>
      <c r="E1" s="64" t="s">
        <v>29</v>
      </c>
      <c r="F1" s="64" t="s">
        <v>30</v>
      </c>
      <c r="G1" s="64" t="s">
        <v>31</v>
      </c>
      <c r="H1" s="64" t="s">
        <v>973</v>
      </c>
      <c r="I1" s="64" t="s">
        <v>32</v>
      </c>
      <c r="J1" s="64" t="s">
        <v>3306</v>
      </c>
      <c r="K1" s="64" t="s">
        <v>33</v>
      </c>
      <c r="L1" s="64" t="s">
        <v>34</v>
      </c>
      <c r="M1" s="64" t="s">
        <v>35</v>
      </c>
      <c r="N1" s="64" t="s">
        <v>36</v>
      </c>
      <c r="O1" s="65" t="s">
        <v>3328</v>
      </c>
      <c r="P1" s="65" t="s">
        <v>648</v>
      </c>
      <c r="Q1" s="65" t="s">
        <v>649</v>
      </c>
      <c r="R1" s="65" t="s">
        <v>650</v>
      </c>
    </row>
    <row r="2" spans="1:18">
      <c r="A2" s="17" t="s">
        <v>12</v>
      </c>
      <c r="B2" s="17">
        <v>1</v>
      </c>
      <c r="C2" s="21" t="s">
        <v>37</v>
      </c>
      <c r="D2" s="21" t="s">
        <v>1021</v>
      </c>
      <c r="E2" s="21" t="s">
        <v>38</v>
      </c>
      <c r="F2" s="17">
        <f>IF(E2="Char",200,8)</f>
        <v>200</v>
      </c>
      <c r="G2" s="21"/>
      <c r="I2" s="17" t="s">
        <v>757</v>
      </c>
      <c r="J2" s="21" t="s">
        <v>597</v>
      </c>
      <c r="K2" s="17" t="s">
        <v>55</v>
      </c>
      <c r="L2" s="17" t="s">
        <v>39</v>
      </c>
      <c r="O2" s="17" t="s">
        <v>1019</v>
      </c>
      <c r="Q2" s="21" t="s">
        <v>592</v>
      </c>
    </row>
    <row r="3" spans="1:18">
      <c r="A3" s="17" t="s">
        <v>12</v>
      </c>
      <c r="B3" s="17">
        <v>2</v>
      </c>
      <c r="C3" s="21" t="s">
        <v>57</v>
      </c>
      <c r="D3" s="21" t="s">
        <v>1022</v>
      </c>
      <c r="E3" s="21" t="s">
        <v>38</v>
      </c>
      <c r="F3" s="17">
        <f t="shared" ref="F3:F12" si="0">IF(E3="Char",200,8)</f>
        <v>200</v>
      </c>
      <c r="G3" s="14" t="s">
        <v>3336</v>
      </c>
      <c r="H3" s="14" t="s">
        <v>618</v>
      </c>
      <c r="I3" s="21" t="s">
        <v>60</v>
      </c>
      <c r="J3" s="21" t="s">
        <v>597</v>
      </c>
      <c r="K3" s="17" t="s">
        <v>55</v>
      </c>
      <c r="L3" s="17" t="s">
        <v>39</v>
      </c>
      <c r="N3" s="17" t="s">
        <v>596</v>
      </c>
    </row>
    <row r="4" spans="1:18">
      <c r="A4" s="17" t="s">
        <v>12</v>
      </c>
      <c r="B4" s="17">
        <v>3</v>
      </c>
      <c r="C4" s="21" t="s">
        <v>41</v>
      </c>
      <c r="D4" s="21" t="s">
        <v>1023</v>
      </c>
      <c r="E4" s="21" t="s">
        <v>38</v>
      </c>
      <c r="F4" s="17">
        <f t="shared" si="0"/>
        <v>200</v>
      </c>
      <c r="G4" s="21"/>
      <c r="I4" s="17" t="s">
        <v>69</v>
      </c>
      <c r="J4" s="21" t="s">
        <v>597</v>
      </c>
      <c r="K4" s="17" t="s">
        <v>55</v>
      </c>
      <c r="L4" s="17" t="s">
        <v>39</v>
      </c>
      <c r="O4" s="21" t="s">
        <v>1015</v>
      </c>
      <c r="R4" s="17" t="s">
        <v>592</v>
      </c>
    </row>
    <row r="5" spans="1:18">
      <c r="A5" s="17" t="s">
        <v>12</v>
      </c>
      <c r="B5" s="17">
        <v>4</v>
      </c>
      <c r="C5" s="21" t="s">
        <v>410</v>
      </c>
      <c r="D5" s="21" t="s">
        <v>1034</v>
      </c>
      <c r="E5" s="21" t="s">
        <v>242</v>
      </c>
      <c r="F5" s="17">
        <f t="shared" si="0"/>
        <v>8</v>
      </c>
      <c r="G5" s="21"/>
      <c r="I5" s="17" t="s">
        <v>69</v>
      </c>
      <c r="J5" s="21" t="s">
        <v>597</v>
      </c>
      <c r="K5" s="17" t="s">
        <v>55</v>
      </c>
      <c r="L5" s="17" t="s">
        <v>39</v>
      </c>
      <c r="O5" s="17" t="s">
        <v>3916</v>
      </c>
      <c r="R5" s="17" t="s">
        <v>592</v>
      </c>
    </row>
    <row r="6" spans="1:18">
      <c r="A6" s="17" t="s">
        <v>12</v>
      </c>
      <c r="B6" s="17">
        <v>5</v>
      </c>
      <c r="C6" s="21" t="s">
        <v>411</v>
      </c>
      <c r="D6" s="21" t="s">
        <v>3947</v>
      </c>
      <c r="E6" s="21" t="s">
        <v>38</v>
      </c>
      <c r="F6" s="17">
        <f t="shared" si="0"/>
        <v>200</v>
      </c>
      <c r="G6" s="21"/>
      <c r="I6" s="66" t="s">
        <v>3322</v>
      </c>
      <c r="J6" s="71" t="s">
        <v>597</v>
      </c>
      <c r="K6" s="71" t="s">
        <v>245</v>
      </c>
      <c r="L6" s="71" t="s">
        <v>39</v>
      </c>
      <c r="O6" s="17" t="s">
        <v>1121</v>
      </c>
      <c r="R6" s="17" t="s">
        <v>592</v>
      </c>
    </row>
    <row r="7" spans="1:18">
      <c r="A7" s="17" t="s">
        <v>12</v>
      </c>
      <c r="B7" s="17">
        <v>6</v>
      </c>
      <c r="C7" s="21" t="s">
        <v>201</v>
      </c>
      <c r="D7" s="21" t="s">
        <v>3946</v>
      </c>
      <c r="E7" s="21" t="s">
        <v>38</v>
      </c>
      <c r="F7" s="17">
        <f t="shared" si="0"/>
        <v>200</v>
      </c>
      <c r="G7" s="21" t="s">
        <v>626</v>
      </c>
      <c r="H7" s="21" t="s">
        <v>201</v>
      </c>
      <c r="I7" s="21" t="s">
        <v>60</v>
      </c>
      <c r="J7" s="21" t="s">
        <v>597</v>
      </c>
      <c r="K7" s="21" t="s">
        <v>111</v>
      </c>
      <c r="L7" s="21" t="s">
        <v>39</v>
      </c>
      <c r="O7" s="103" t="s">
        <v>3920</v>
      </c>
      <c r="Q7" s="17" t="s">
        <v>592</v>
      </c>
    </row>
    <row r="8" spans="1:18">
      <c r="A8" s="17" t="s">
        <v>12</v>
      </c>
      <c r="B8" s="17">
        <v>7</v>
      </c>
      <c r="C8" s="21" t="s">
        <v>412</v>
      </c>
      <c r="D8" s="21" t="s">
        <v>3945</v>
      </c>
      <c r="E8" s="21" t="s">
        <v>38</v>
      </c>
      <c r="F8" s="17">
        <f t="shared" si="0"/>
        <v>200</v>
      </c>
      <c r="G8" s="21" t="s">
        <v>413</v>
      </c>
      <c r="H8" s="21" t="s">
        <v>412</v>
      </c>
      <c r="I8" s="21" t="s">
        <v>60</v>
      </c>
      <c r="J8" s="21" t="s">
        <v>597</v>
      </c>
      <c r="K8" s="21" t="s">
        <v>264</v>
      </c>
      <c r="L8" s="21" t="s">
        <v>42</v>
      </c>
    </row>
    <row r="9" spans="1:18" s="67" customFormat="1" ht="31.2">
      <c r="A9" s="17" t="s">
        <v>12</v>
      </c>
      <c r="B9" s="17">
        <v>8</v>
      </c>
      <c r="C9" s="67" t="s">
        <v>260</v>
      </c>
      <c r="D9" s="21" t="s">
        <v>1044</v>
      </c>
      <c r="E9" s="67" t="s">
        <v>38</v>
      </c>
      <c r="F9" s="68">
        <f t="shared" si="0"/>
        <v>200</v>
      </c>
      <c r="G9" s="67" t="s">
        <v>716</v>
      </c>
      <c r="H9" s="67" t="s">
        <v>260</v>
      </c>
      <c r="I9" s="68" t="s">
        <v>69</v>
      </c>
      <c r="J9" s="21" t="s">
        <v>597</v>
      </c>
      <c r="K9" s="67" t="s">
        <v>258</v>
      </c>
      <c r="L9" s="67" t="s">
        <v>49</v>
      </c>
      <c r="O9" s="69" t="s">
        <v>3921</v>
      </c>
      <c r="R9" s="17" t="s">
        <v>592</v>
      </c>
    </row>
    <row r="10" spans="1:18">
      <c r="A10" s="17" t="s">
        <v>12</v>
      </c>
      <c r="B10" s="17">
        <v>9</v>
      </c>
      <c r="C10" s="21" t="s">
        <v>414</v>
      </c>
      <c r="D10" s="21" t="s">
        <v>1026</v>
      </c>
      <c r="E10" s="21" t="s">
        <v>38</v>
      </c>
      <c r="F10" s="17">
        <f t="shared" si="0"/>
        <v>200</v>
      </c>
      <c r="G10" s="21"/>
      <c r="I10" s="17" t="s">
        <v>3322</v>
      </c>
      <c r="J10" s="70" t="s">
        <v>3323</v>
      </c>
      <c r="K10" s="21" t="s">
        <v>258</v>
      </c>
      <c r="L10" s="21" t="s">
        <v>42</v>
      </c>
    </row>
    <row r="11" spans="1:18">
      <c r="A11" s="17" t="s">
        <v>12</v>
      </c>
      <c r="B11" s="17">
        <v>10</v>
      </c>
      <c r="C11" s="21" t="s">
        <v>415</v>
      </c>
      <c r="D11" s="21" t="s">
        <v>1028</v>
      </c>
      <c r="E11" s="21" t="s">
        <v>242</v>
      </c>
      <c r="F11" s="17">
        <f t="shared" si="0"/>
        <v>8</v>
      </c>
      <c r="G11" s="21"/>
      <c r="I11" s="17" t="s">
        <v>69</v>
      </c>
      <c r="J11" s="21" t="s">
        <v>597</v>
      </c>
      <c r="K11" s="21" t="s">
        <v>258</v>
      </c>
      <c r="L11" s="21" t="s">
        <v>42</v>
      </c>
      <c r="O11" s="17" t="s">
        <v>3919</v>
      </c>
      <c r="R11" s="17" t="s">
        <v>592</v>
      </c>
    </row>
    <row r="12" spans="1:18">
      <c r="A12" s="17" t="s">
        <v>12</v>
      </c>
      <c r="B12" s="17">
        <v>11</v>
      </c>
      <c r="C12" s="17" t="s">
        <v>416</v>
      </c>
      <c r="D12" s="21" t="s">
        <v>1119</v>
      </c>
      <c r="E12" s="21" t="s">
        <v>38</v>
      </c>
      <c r="F12" s="17">
        <f t="shared" si="0"/>
        <v>200</v>
      </c>
      <c r="I12" s="17" t="s">
        <v>3322</v>
      </c>
      <c r="J12" s="70" t="s">
        <v>3323</v>
      </c>
      <c r="M12" s="17" t="s">
        <v>78</v>
      </c>
    </row>
    <row r="13" spans="1:18">
      <c r="J13" s="21"/>
    </row>
    <row r="14" spans="1:18">
      <c r="J14" s="21"/>
    </row>
    <row r="15" spans="1:18">
      <c r="J15" s="21"/>
    </row>
    <row r="16" spans="1:18">
      <c r="J16" s="21"/>
    </row>
    <row r="17" spans="10:10">
      <c r="J17" s="21"/>
    </row>
  </sheetData>
  <phoneticPr fontId="67" type="noConversion"/>
  <conditionalFormatting sqref="G3">
    <cfRule type="duplicateValues" dxfId="52" priority="2"/>
  </conditionalFormatting>
  <conditionalFormatting sqref="H3">
    <cfRule type="duplicateValues" dxfId="51" priority="1"/>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9">
    <tabColor rgb="FF00B050"/>
  </sheetPr>
  <dimension ref="A1:R28"/>
  <sheetViews>
    <sheetView zoomScaleNormal="100" workbookViewId="0">
      <selection activeCell="D18" sqref="D18:D19"/>
    </sheetView>
  </sheetViews>
  <sheetFormatPr defaultColWidth="9" defaultRowHeight="14.4"/>
  <cols>
    <col min="1" max="1" width="13" style="19" customWidth="1"/>
    <col min="2" max="2" width="3.6328125" style="19" customWidth="1"/>
    <col min="3" max="3" width="12.6328125" style="19" customWidth="1"/>
    <col min="4" max="4" width="34.81640625" style="19" customWidth="1"/>
    <col min="5" max="5" width="4.6328125" style="19" customWidth="1"/>
    <col min="6" max="6" width="6.26953125" style="19" customWidth="1"/>
    <col min="7" max="7" width="23.26953125" style="19" customWidth="1"/>
    <col min="8" max="8" width="23.26953125" style="26" customWidth="1"/>
    <col min="9" max="9" width="9.26953125" style="19" customWidth="1"/>
    <col min="10" max="10" width="11.453125" style="19" customWidth="1"/>
    <col min="11" max="11" width="15.81640625" style="19" customWidth="1"/>
    <col min="12" max="13" width="5" style="19" customWidth="1"/>
    <col min="14" max="14" width="7.1796875" style="19" customWidth="1"/>
    <col min="15" max="15" width="30" style="19" customWidth="1"/>
    <col min="16" max="16384" width="9" style="19"/>
  </cols>
  <sheetData>
    <row r="1" spans="1:18">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19" t="s">
        <v>20</v>
      </c>
      <c r="B2" s="19">
        <v>1</v>
      </c>
      <c r="C2" s="19" t="s">
        <v>37</v>
      </c>
      <c r="D2" s="114" t="s">
        <v>1021</v>
      </c>
      <c r="E2" s="19" t="s">
        <v>38</v>
      </c>
      <c r="F2" s="19">
        <f>IF(E2="Char",200,8)</f>
        <v>200</v>
      </c>
      <c r="H2" s="19"/>
      <c r="I2" s="19" t="s">
        <v>757</v>
      </c>
      <c r="J2" s="30" t="s">
        <v>597</v>
      </c>
      <c r="K2" s="19" t="s">
        <v>55</v>
      </c>
      <c r="L2" s="19" t="s">
        <v>39</v>
      </c>
      <c r="O2" s="24" t="s">
        <v>1419</v>
      </c>
      <c r="Q2" s="26" t="s">
        <v>592</v>
      </c>
    </row>
    <row r="3" spans="1:18" ht="15.6">
      <c r="A3" s="19" t="s">
        <v>20</v>
      </c>
      <c r="B3" s="19">
        <v>2</v>
      </c>
      <c r="C3" s="19" t="s">
        <v>57</v>
      </c>
      <c r="D3" s="114" t="s">
        <v>1022</v>
      </c>
      <c r="E3" s="19" t="s">
        <v>38</v>
      </c>
      <c r="F3" s="19">
        <f t="shared" ref="F3:F24" si="0">IF(E3="Char",200,8)</f>
        <v>200</v>
      </c>
      <c r="G3" s="29" t="s">
        <v>3336</v>
      </c>
      <c r="H3" s="29" t="s">
        <v>618</v>
      </c>
      <c r="I3" s="19" t="s">
        <v>60</v>
      </c>
      <c r="J3" s="30" t="s">
        <v>597</v>
      </c>
      <c r="K3" s="19" t="s">
        <v>55</v>
      </c>
      <c r="L3" s="19" t="s">
        <v>39</v>
      </c>
      <c r="N3" s="19" t="s">
        <v>596</v>
      </c>
      <c r="P3" s="26"/>
      <c r="Q3" s="26"/>
      <c r="R3" s="26"/>
    </row>
    <row r="4" spans="1:18" ht="15.6">
      <c r="A4" s="19" t="s">
        <v>20</v>
      </c>
      <c r="B4" s="19">
        <v>3</v>
      </c>
      <c r="C4" s="19" t="s">
        <v>41</v>
      </c>
      <c r="D4" s="114" t="s">
        <v>1023</v>
      </c>
      <c r="E4" s="19" t="s">
        <v>38</v>
      </c>
      <c r="F4" s="19">
        <f t="shared" si="0"/>
        <v>200</v>
      </c>
      <c r="H4" s="19"/>
      <c r="I4" s="19" t="s">
        <v>69</v>
      </c>
      <c r="J4" s="30" t="s">
        <v>597</v>
      </c>
      <c r="K4" s="19" t="s">
        <v>55</v>
      </c>
      <c r="L4" s="19" t="s">
        <v>39</v>
      </c>
      <c r="O4" s="26" t="s">
        <v>1422</v>
      </c>
      <c r="R4" s="19" t="s">
        <v>592</v>
      </c>
    </row>
    <row r="5" spans="1:18" ht="15.6">
      <c r="A5" s="19" t="s">
        <v>20</v>
      </c>
      <c r="B5" s="19">
        <v>4</v>
      </c>
      <c r="C5" s="19" t="s">
        <v>372</v>
      </c>
      <c r="D5" s="114" t="s">
        <v>1034</v>
      </c>
      <c r="E5" s="19" t="s">
        <v>242</v>
      </c>
      <c r="F5" s="19">
        <f t="shared" si="0"/>
        <v>8</v>
      </c>
      <c r="H5" s="19"/>
      <c r="I5" s="19" t="s">
        <v>69</v>
      </c>
      <c r="J5" s="30" t="s">
        <v>597</v>
      </c>
      <c r="K5" s="19" t="s">
        <v>55</v>
      </c>
      <c r="L5" s="19" t="s">
        <v>39</v>
      </c>
      <c r="O5" s="19" t="s">
        <v>3916</v>
      </c>
      <c r="P5" s="26"/>
      <c r="Q5" s="26"/>
      <c r="R5" s="19" t="s">
        <v>592</v>
      </c>
    </row>
    <row r="6" spans="1:18" ht="15.6">
      <c r="A6" s="19" t="s">
        <v>20</v>
      </c>
      <c r="B6" s="19">
        <v>5</v>
      </c>
      <c r="C6" s="19" t="s">
        <v>373</v>
      </c>
      <c r="D6" s="114" t="s">
        <v>1138</v>
      </c>
      <c r="E6" s="19" t="s">
        <v>38</v>
      </c>
      <c r="F6" s="19">
        <f t="shared" si="0"/>
        <v>200</v>
      </c>
      <c r="G6" s="19" t="s">
        <v>374</v>
      </c>
      <c r="H6" s="19" t="s">
        <v>373</v>
      </c>
      <c r="I6" s="19" t="s">
        <v>3322</v>
      </c>
      <c r="J6" s="34" t="s">
        <v>3323</v>
      </c>
      <c r="K6" s="19" t="s">
        <v>245</v>
      </c>
      <c r="L6" s="19" t="s">
        <v>39</v>
      </c>
    </row>
    <row r="7" spans="1:18" ht="15.6">
      <c r="A7" s="19" t="s">
        <v>20</v>
      </c>
      <c r="B7" s="19">
        <v>6</v>
      </c>
      <c r="C7" s="19" t="s">
        <v>847</v>
      </c>
      <c r="D7" s="114" t="s">
        <v>1147</v>
      </c>
      <c r="E7" s="19" t="s">
        <v>38</v>
      </c>
      <c r="F7" s="19">
        <f t="shared" si="0"/>
        <v>200</v>
      </c>
      <c r="G7" s="19" t="s">
        <v>375</v>
      </c>
      <c r="H7" s="19" t="s">
        <v>1148</v>
      </c>
      <c r="I7" s="19" t="s">
        <v>3322</v>
      </c>
      <c r="J7" s="34" t="s">
        <v>3323</v>
      </c>
      <c r="K7" s="19" t="s">
        <v>111</v>
      </c>
      <c r="L7" s="19" t="s">
        <v>39</v>
      </c>
    </row>
    <row r="8" spans="1:18" ht="15.6">
      <c r="A8" s="19" t="s">
        <v>20</v>
      </c>
      <c r="B8" s="19">
        <v>7</v>
      </c>
      <c r="C8" s="19" t="s">
        <v>848</v>
      </c>
      <c r="D8" s="114" t="s">
        <v>3948</v>
      </c>
      <c r="E8" s="19" t="s">
        <v>242</v>
      </c>
      <c r="F8" s="19">
        <f t="shared" ref="F8" si="1">IF(E8="Char",200,8)</f>
        <v>8</v>
      </c>
      <c r="H8" s="19" t="s">
        <v>1151</v>
      </c>
      <c r="I8" s="19" t="s">
        <v>3322</v>
      </c>
      <c r="J8" s="27" t="s">
        <v>3324</v>
      </c>
      <c r="M8" s="19" t="s">
        <v>78</v>
      </c>
    </row>
    <row r="9" spans="1:18" ht="15.6">
      <c r="A9" s="19" t="s">
        <v>20</v>
      </c>
      <c r="B9" s="19">
        <v>8</v>
      </c>
      <c r="C9" s="19" t="s">
        <v>849</v>
      </c>
      <c r="D9" s="114" t="s">
        <v>3954</v>
      </c>
      <c r="E9" s="19" t="s">
        <v>38</v>
      </c>
      <c r="F9" s="19">
        <f t="shared" si="0"/>
        <v>200</v>
      </c>
      <c r="H9" s="19" t="s">
        <v>849</v>
      </c>
      <c r="I9" s="19" t="s">
        <v>3322</v>
      </c>
      <c r="J9" s="34" t="s">
        <v>3323</v>
      </c>
      <c r="K9" s="19" t="s">
        <v>264</v>
      </c>
      <c r="L9" s="19" t="s">
        <v>49</v>
      </c>
    </row>
    <row r="10" spans="1:18" ht="15.6">
      <c r="A10" s="19" t="s">
        <v>20</v>
      </c>
      <c r="B10" s="19">
        <v>9</v>
      </c>
      <c r="C10" s="19" t="s">
        <v>850</v>
      </c>
      <c r="D10" s="114" t="s">
        <v>3955</v>
      </c>
      <c r="E10" s="19" t="s">
        <v>242</v>
      </c>
      <c r="F10" s="19">
        <f t="shared" ref="F10" si="2">IF(E10="Char",200,8)</f>
        <v>8</v>
      </c>
      <c r="H10" s="19" t="s">
        <v>1150</v>
      </c>
      <c r="I10" s="19" t="s">
        <v>3322</v>
      </c>
      <c r="J10" s="27" t="s">
        <v>3324</v>
      </c>
      <c r="M10" s="19" t="s">
        <v>78</v>
      </c>
    </row>
    <row r="11" spans="1:18" ht="15.6">
      <c r="A11" s="19" t="s">
        <v>20</v>
      </c>
      <c r="B11" s="19">
        <v>10</v>
      </c>
      <c r="C11" s="19" t="s">
        <v>376</v>
      </c>
      <c r="D11" s="114" t="s">
        <v>3956</v>
      </c>
      <c r="E11" s="19" t="s">
        <v>38</v>
      </c>
      <c r="F11" s="19">
        <f t="shared" si="0"/>
        <v>200</v>
      </c>
      <c r="H11" s="19"/>
      <c r="I11" s="19" t="s">
        <v>3322</v>
      </c>
      <c r="J11" s="34" t="s">
        <v>3323</v>
      </c>
      <c r="K11" s="19" t="s">
        <v>248</v>
      </c>
      <c r="L11" s="19" t="s">
        <v>42</v>
      </c>
    </row>
    <row r="12" spans="1:18" ht="15.6">
      <c r="A12" s="19" t="s">
        <v>20</v>
      </c>
      <c r="B12" s="19">
        <v>11</v>
      </c>
      <c r="C12" s="19" t="s">
        <v>377</v>
      </c>
      <c r="D12" s="114" t="s">
        <v>3957</v>
      </c>
      <c r="E12" s="19" t="s">
        <v>38</v>
      </c>
      <c r="F12" s="19">
        <f t="shared" si="0"/>
        <v>200</v>
      </c>
      <c r="G12" s="19" t="s">
        <v>378</v>
      </c>
      <c r="H12" s="19" t="s">
        <v>1149</v>
      </c>
      <c r="I12" s="19" t="s">
        <v>3322</v>
      </c>
      <c r="J12" s="34" t="s">
        <v>3323</v>
      </c>
      <c r="K12" s="19" t="s">
        <v>275</v>
      </c>
      <c r="L12" s="19" t="s">
        <v>42</v>
      </c>
    </row>
    <row r="13" spans="1:18" ht="15.6">
      <c r="A13" s="19" t="s">
        <v>20</v>
      </c>
      <c r="B13" s="19">
        <v>12</v>
      </c>
      <c r="C13" s="19" t="s">
        <v>379</v>
      </c>
      <c r="D13" s="114" t="s">
        <v>3958</v>
      </c>
      <c r="E13" s="19" t="s">
        <v>38</v>
      </c>
      <c r="F13" s="19">
        <f t="shared" si="0"/>
        <v>200</v>
      </c>
      <c r="I13" s="19" t="s">
        <v>69</v>
      </c>
      <c r="J13" s="30" t="s">
        <v>597</v>
      </c>
      <c r="K13" s="19" t="s">
        <v>248</v>
      </c>
      <c r="L13" s="19" t="s">
        <v>42</v>
      </c>
      <c r="O13" s="19" t="s">
        <v>1429</v>
      </c>
      <c r="R13" s="19" t="s">
        <v>592</v>
      </c>
    </row>
    <row r="14" spans="1:18" ht="15.6">
      <c r="A14" s="19" t="s">
        <v>20</v>
      </c>
      <c r="B14" s="19">
        <v>13</v>
      </c>
      <c r="C14" s="19" t="s">
        <v>380</v>
      </c>
      <c r="D14" s="114" t="s">
        <v>3959</v>
      </c>
      <c r="E14" s="19" t="s">
        <v>242</v>
      </c>
      <c r="F14" s="19">
        <f t="shared" si="0"/>
        <v>8</v>
      </c>
      <c r="I14" s="19" t="s">
        <v>69</v>
      </c>
      <c r="J14" s="30" t="s">
        <v>597</v>
      </c>
      <c r="K14" s="19" t="s">
        <v>248</v>
      </c>
      <c r="L14" s="19" t="s">
        <v>42</v>
      </c>
      <c r="O14" s="19" t="s">
        <v>1442</v>
      </c>
      <c r="R14" s="19" t="s">
        <v>592</v>
      </c>
    </row>
    <row r="15" spans="1:18" ht="15.6">
      <c r="A15" s="19" t="s">
        <v>20</v>
      </c>
      <c r="B15" s="19">
        <v>14</v>
      </c>
      <c r="C15" s="19" t="s">
        <v>381</v>
      </c>
      <c r="D15" s="114" t="s">
        <v>3960</v>
      </c>
      <c r="E15" s="19" t="s">
        <v>38</v>
      </c>
      <c r="F15" s="19">
        <f t="shared" si="0"/>
        <v>200</v>
      </c>
      <c r="G15" s="19" t="s">
        <v>378</v>
      </c>
      <c r="H15" s="19" t="s">
        <v>1149</v>
      </c>
      <c r="I15" s="19" t="s">
        <v>69</v>
      </c>
      <c r="J15" s="30" t="s">
        <v>597</v>
      </c>
      <c r="K15" s="19" t="s">
        <v>275</v>
      </c>
      <c r="L15" s="19" t="s">
        <v>42</v>
      </c>
      <c r="O15" s="19" t="s">
        <v>1443</v>
      </c>
      <c r="R15" s="19" t="s">
        <v>592</v>
      </c>
    </row>
    <row r="16" spans="1:18" ht="15.6">
      <c r="A16" s="19" t="s">
        <v>20</v>
      </c>
      <c r="B16" s="19">
        <v>15</v>
      </c>
      <c r="C16" s="19" t="s">
        <v>382</v>
      </c>
      <c r="D16" s="114" t="s">
        <v>1126</v>
      </c>
      <c r="E16" s="19" t="s">
        <v>38</v>
      </c>
      <c r="F16" s="19">
        <f t="shared" si="0"/>
        <v>200</v>
      </c>
      <c r="G16" s="19" t="s">
        <v>315</v>
      </c>
      <c r="H16" s="19" t="s">
        <v>1127</v>
      </c>
      <c r="I16" s="19" t="s">
        <v>3322</v>
      </c>
      <c r="J16" s="34" t="s">
        <v>3323</v>
      </c>
      <c r="K16" s="19" t="s">
        <v>115</v>
      </c>
      <c r="L16" s="19" t="s">
        <v>49</v>
      </c>
    </row>
    <row r="17" spans="1:18" ht="15.6">
      <c r="A17" s="19" t="s">
        <v>20</v>
      </c>
      <c r="B17" s="19">
        <v>16</v>
      </c>
      <c r="C17" s="19" t="s">
        <v>383</v>
      </c>
      <c r="D17" s="114" t="s">
        <v>3949</v>
      </c>
      <c r="E17" s="19" t="s">
        <v>38</v>
      </c>
      <c r="F17" s="19">
        <f t="shared" si="0"/>
        <v>200</v>
      </c>
      <c r="I17" s="19" t="s">
        <v>3322</v>
      </c>
      <c r="J17" s="34" t="s">
        <v>3323</v>
      </c>
      <c r="K17" s="19" t="s">
        <v>115</v>
      </c>
      <c r="L17" s="19" t="s">
        <v>49</v>
      </c>
    </row>
    <row r="18" spans="1:18" ht="15.6">
      <c r="A18" s="19" t="s">
        <v>20</v>
      </c>
      <c r="B18" s="19">
        <v>17</v>
      </c>
      <c r="C18" s="19" t="s">
        <v>3961</v>
      </c>
      <c r="D18" s="115" t="s">
        <v>3962</v>
      </c>
      <c r="E18" s="19" t="s">
        <v>38</v>
      </c>
      <c r="F18" s="19">
        <f t="shared" si="0"/>
        <v>200</v>
      </c>
      <c r="G18" s="19" t="s">
        <v>274</v>
      </c>
      <c r="H18" s="19" t="s">
        <v>1053</v>
      </c>
      <c r="I18" s="19" t="s">
        <v>69</v>
      </c>
      <c r="J18" s="30" t="s">
        <v>597</v>
      </c>
      <c r="K18" s="19" t="s">
        <v>115</v>
      </c>
      <c r="L18" s="19" t="s">
        <v>42</v>
      </c>
      <c r="O18" s="19" t="s">
        <v>1432</v>
      </c>
      <c r="R18" s="19" t="s">
        <v>592</v>
      </c>
    </row>
    <row r="19" spans="1:18" ht="15.6">
      <c r="A19" s="19" t="s">
        <v>20</v>
      </c>
      <c r="B19" s="19">
        <v>18</v>
      </c>
      <c r="C19" s="19" t="s">
        <v>384</v>
      </c>
      <c r="D19" s="114" t="s">
        <v>3964</v>
      </c>
      <c r="E19" s="19" t="s">
        <v>38</v>
      </c>
      <c r="F19" s="19">
        <f t="shared" si="0"/>
        <v>200</v>
      </c>
      <c r="G19" s="19" t="s">
        <v>274</v>
      </c>
      <c r="H19" s="19" t="s">
        <v>1053</v>
      </c>
      <c r="I19" s="19" t="s">
        <v>69</v>
      </c>
      <c r="J19" s="30" t="s">
        <v>597</v>
      </c>
      <c r="K19" s="19" t="s">
        <v>115</v>
      </c>
      <c r="L19" s="19" t="s">
        <v>49</v>
      </c>
      <c r="O19" s="19" t="s">
        <v>1432</v>
      </c>
      <c r="R19" s="19" t="s">
        <v>592</v>
      </c>
    </row>
    <row r="20" spans="1:18" ht="15.6">
      <c r="A20" s="19" t="s">
        <v>20</v>
      </c>
      <c r="B20" s="19">
        <v>19</v>
      </c>
      <c r="C20" s="19" t="s">
        <v>266</v>
      </c>
      <c r="D20" s="114" t="s">
        <v>1024</v>
      </c>
      <c r="E20" s="19" t="s">
        <v>242</v>
      </c>
      <c r="F20" s="19">
        <f t="shared" si="0"/>
        <v>8</v>
      </c>
      <c r="H20" s="19" t="s">
        <v>266</v>
      </c>
      <c r="I20" s="19" t="s">
        <v>69</v>
      </c>
      <c r="J20" s="30" t="s">
        <v>597</v>
      </c>
      <c r="K20" s="19" t="s">
        <v>258</v>
      </c>
      <c r="L20" s="19" t="s">
        <v>42</v>
      </c>
      <c r="O20" s="19" t="s">
        <v>1434</v>
      </c>
      <c r="R20" s="19" t="s">
        <v>592</v>
      </c>
    </row>
    <row r="21" spans="1:18" ht="15.6">
      <c r="A21" s="19" t="s">
        <v>20</v>
      </c>
      <c r="B21" s="19">
        <v>20</v>
      </c>
      <c r="C21" s="19" t="s">
        <v>267</v>
      </c>
      <c r="D21" s="114" t="s">
        <v>1025</v>
      </c>
      <c r="E21" s="19" t="s">
        <v>38</v>
      </c>
      <c r="F21" s="19">
        <f t="shared" si="0"/>
        <v>200</v>
      </c>
      <c r="H21" s="19" t="s">
        <v>267</v>
      </c>
      <c r="I21" s="19" t="s">
        <v>69</v>
      </c>
      <c r="J21" s="30" t="s">
        <v>597</v>
      </c>
      <c r="K21" s="19" t="s">
        <v>258</v>
      </c>
      <c r="L21" s="19" t="s">
        <v>49</v>
      </c>
      <c r="O21" s="19" t="s">
        <v>1436</v>
      </c>
      <c r="R21" s="19" t="s">
        <v>592</v>
      </c>
    </row>
    <row r="22" spans="1:18" s="28" customFormat="1" ht="15.6">
      <c r="A22" s="19" t="s">
        <v>20</v>
      </c>
      <c r="B22" s="19">
        <v>21</v>
      </c>
      <c r="C22" s="19" t="s">
        <v>260</v>
      </c>
      <c r="D22" s="114" t="s">
        <v>1044</v>
      </c>
      <c r="E22" s="19" t="s">
        <v>38</v>
      </c>
      <c r="F22" s="19">
        <f t="shared" si="0"/>
        <v>200</v>
      </c>
      <c r="G22" s="19" t="s">
        <v>598</v>
      </c>
      <c r="H22" s="28" t="s">
        <v>260</v>
      </c>
      <c r="I22" s="19" t="s">
        <v>69</v>
      </c>
      <c r="J22" s="30" t="s">
        <v>597</v>
      </c>
      <c r="K22" s="19" t="s">
        <v>258</v>
      </c>
      <c r="L22" s="19" t="s">
        <v>49</v>
      </c>
      <c r="M22" s="19"/>
      <c r="N22" s="19"/>
      <c r="O22" s="28" t="s">
        <v>1438</v>
      </c>
      <c r="R22" s="19" t="s">
        <v>592</v>
      </c>
    </row>
    <row r="23" spans="1:18" ht="15.6">
      <c r="A23" s="19" t="s">
        <v>20</v>
      </c>
      <c r="B23" s="19">
        <v>22</v>
      </c>
      <c r="C23" s="19" t="s">
        <v>385</v>
      </c>
      <c r="D23" s="114" t="s">
        <v>3950</v>
      </c>
      <c r="E23" s="19" t="s">
        <v>38</v>
      </c>
      <c r="F23" s="19">
        <f t="shared" si="0"/>
        <v>200</v>
      </c>
      <c r="I23" s="19" t="s">
        <v>69</v>
      </c>
      <c r="J23" s="30" t="s">
        <v>597</v>
      </c>
      <c r="K23" s="19" t="s">
        <v>258</v>
      </c>
      <c r="L23" s="19" t="s">
        <v>42</v>
      </c>
      <c r="O23" s="19" t="s">
        <v>1444</v>
      </c>
      <c r="R23" s="19" t="s">
        <v>592</v>
      </c>
    </row>
    <row r="24" spans="1:18" ht="15.6">
      <c r="A24" s="19" t="s">
        <v>20</v>
      </c>
      <c r="B24" s="19">
        <v>23</v>
      </c>
      <c r="C24" s="19" t="s">
        <v>386</v>
      </c>
      <c r="D24" s="114" t="s">
        <v>3951</v>
      </c>
      <c r="E24" s="19" t="s">
        <v>242</v>
      </c>
      <c r="F24" s="19">
        <f t="shared" si="0"/>
        <v>8</v>
      </c>
      <c r="H24" s="19"/>
      <c r="I24" s="19" t="s">
        <v>69</v>
      </c>
      <c r="J24" s="30" t="s">
        <v>597</v>
      </c>
      <c r="K24" s="19" t="s">
        <v>258</v>
      </c>
      <c r="L24" s="19" t="s">
        <v>49</v>
      </c>
      <c r="O24" s="19" t="s">
        <v>3919</v>
      </c>
      <c r="R24" s="19" t="s">
        <v>592</v>
      </c>
    </row>
    <row r="25" spans="1:18" ht="15.6">
      <c r="A25" s="19" t="s">
        <v>20</v>
      </c>
      <c r="B25" s="19">
        <v>24</v>
      </c>
      <c r="C25" s="19" t="s">
        <v>644</v>
      </c>
      <c r="D25" s="114" t="s">
        <v>3952</v>
      </c>
      <c r="E25" s="19" t="s">
        <v>38</v>
      </c>
      <c r="F25" s="19">
        <f>IF(E25="Char",200,8)</f>
        <v>200</v>
      </c>
      <c r="H25" s="19"/>
      <c r="I25" s="19" t="s">
        <v>3322</v>
      </c>
      <c r="J25" s="27" t="s">
        <v>3324</v>
      </c>
      <c r="M25" s="19" t="s">
        <v>78</v>
      </c>
    </row>
    <row r="26" spans="1:18" s="29" customFormat="1" ht="15.6">
      <c r="A26" s="19" t="s">
        <v>20</v>
      </c>
      <c r="B26" s="19">
        <v>25</v>
      </c>
      <c r="C26" s="19" t="s">
        <v>645</v>
      </c>
      <c r="D26" s="114" t="s">
        <v>2391</v>
      </c>
      <c r="E26" s="19" t="s">
        <v>38</v>
      </c>
      <c r="F26" s="19">
        <f>IF(E26="Char",200,8)</f>
        <v>200</v>
      </c>
      <c r="G26" s="19" t="s">
        <v>274</v>
      </c>
      <c r="H26" s="29" t="s">
        <v>1142</v>
      </c>
      <c r="I26" s="19" t="s">
        <v>3322</v>
      </c>
      <c r="J26" s="34" t="s">
        <v>3323</v>
      </c>
      <c r="K26" s="19"/>
      <c r="L26" s="19"/>
      <c r="M26" s="19" t="s">
        <v>592</v>
      </c>
      <c r="N26" s="19"/>
    </row>
    <row r="27" spans="1:18" ht="15.6">
      <c r="A27" s="19" t="s">
        <v>20</v>
      </c>
      <c r="B27" s="19">
        <v>26</v>
      </c>
      <c r="C27" s="19" t="s">
        <v>851</v>
      </c>
      <c r="D27" s="114" t="s">
        <v>1865</v>
      </c>
      <c r="E27" s="19" t="s">
        <v>38</v>
      </c>
      <c r="F27" s="19">
        <f t="shared" ref="F27:F28" si="3">IF(E27="Char",200,8)</f>
        <v>200</v>
      </c>
      <c r="G27" s="19" t="s">
        <v>313</v>
      </c>
      <c r="H27" s="19" t="s">
        <v>1141</v>
      </c>
      <c r="I27" s="19" t="s">
        <v>69</v>
      </c>
      <c r="J27" s="30" t="s">
        <v>597</v>
      </c>
      <c r="M27" s="19" t="s">
        <v>78</v>
      </c>
      <c r="O27" s="19" t="s">
        <v>1446</v>
      </c>
      <c r="R27" s="19" t="s">
        <v>592</v>
      </c>
    </row>
    <row r="28" spans="1:18" s="30" customFormat="1" ht="15.6">
      <c r="A28" s="19" t="s">
        <v>20</v>
      </c>
      <c r="B28" s="19">
        <v>27</v>
      </c>
      <c r="C28" s="19" t="s">
        <v>751</v>
      </c>
      <c r="D28" s="114" t="s">
        <v>3953</v>
      </c>
      <c r="E28" s="19" t="s">
        <v>38</v>
      </c>
      <c r="F28" s="19">
        <f t="shared" si="3"/>
        <v>200</v>
      </c>
      <c r="G28" s="19"/>
      <c r="I28" s="19" t="s">
        <v>3322</v>
      </c>
      <c r="J28" s="34" t="s">
        <v>3323</v>
      </c>
      <c r="K28" s="19"/>
      <c r="L28" s="19"/>
      <c r="M28" s="19" t="s">
        <v>78</v>
      </c>
      <c r="N28" s="19"/>
      <c r="O28" s="19"/>
    </row>
  </sheetData>
  <phoneticPr fontId="67" type="noConversion"/>
  <conditionalFormatting sqref="G3">
    <cfRule type="duplicateValues" dxfId="50" priority="2"/>
  </conditionalFormatting>
  <conditionalFormatting sqref="H3">
    <cfRule type="duplicateValues" dxfId="49"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tabColor rgb="FF00B050"/>
  </sheetPr>
  <dimension ref="A1:R22"/>
  <sheetViews>
    <sheetView topLeftCell="B1" zoomScaleNormal="100" workbookViewId="0">
      <selection activeCell="D30" sqref="D30"/>
    </sheetView>
  </sheetViews>
  <sheetFormatPr defaultColWidth="9" defaultRowHeight="14.4"/>
  <cols>
    <col min="1" max="1" width="7" style="30" customWidth="1"/>
    <col min="2" max="2" width="3.6328125" style="30" customWidth="1"/>
    <col min="3" max="3" width="12.6328125" style="30" customWidth="1"/>
    <col min="4" max="4" width="32.6328125" style="30" customWidth="1"/>
    <col min="5" max="5" width="4.81640625" style="30" customWidth="1"/>
    <col min="6" max="6" width="6.26953125" style="30" customWidth="1"/>
    <col min="7" max="8" width="23.26953125" style="30" customWidth="1"/>
    <col min="9" max="9" width="9.26953125" style="30" customWidth="1"/>
    <col min="10" max="10" width="11.453125" style="19" customWidth="1"/>
    <col min="11" max="11" width="15.81640625" style="30" customWidth="1"/>
    <col min="12" max="13" width="5" style="30" customWidth="1"/>
    <col min="14" max="14" width="6.1796875" style="30" customWidth="1"/>
    <col min="15" max="15" width="26.1796875" style="30" customWidth="1"/>
    <col min="16" max="16384" width="9" style="30"/>
  </cols>
  <sheetData>
    <row r="1" spans="1:18" s="19"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9" t="s">
        <v>18</v>
      </c>
      <c r="B2" s="19">
        <v>1</v>
      </c>
      <c r="C2" s="19" t="s">
        <v>37</v>
      </c>
      <c r="D2" s="19" t="s">
        <v>1418</v>
      </c>
      <c r="E2" s="19" t="s">
        <v>38</v>
      </c>
      <c r="F2" s="19">
        <f>IF(E2="Char",200,8)</f>
        <v>200</v>
      </c>
      <c r="G2" s="19"/>
      <c r="H2" s="19"/>
      <c r="I2" s="19" t="s">
        <v>757</v>
      </c>
      <c r="J2" s="30" t="s">
        <v>597</v>
      </c>
      <c r="K2" s="19" t="s">
        <v>55</v>
      </c>
      <c r="L2" s="19" t="s">
        <v>39</v>
      </c>
      <c r="M2" s="18"/>
      <c r="N2" s="19"/>
      <c r="O2" s="24" t="s">
        <v>1419</v>
      </c>
      <c r="P2" s="19"/>
      <c r="Q2" s="18" t="s">
        <v>592</v>
      </c>
      <c r="R2" s="19"/>
    </row>
    <row r="3" spans="1:18">
      <c r="A3" s="19" t="s">
        <v>18</v>
      </c>
      <c r="B3" s="19">
        <v>2</v>
      </c>
      <c r="C3" s="19" t="s">
        <v>57</v>
      </c>
      <c r="D3" s="19" t="s">
        <v>1420</v>
      </c>
      <c r="E3" s="19" t="s">
        <v>38</v>
      </c>
      <c r="F3" s="19">
        <f t="shared" ref="F3:F22" si="0">IF(E3="Char",200,8)</f>
        <v>200</v>
      </c>
      <c r="G3" s="29" t="s">
        <v>3336</v>
      </c>
      <c r="H3" s="29" t="s">
        <v>618</v>
      </c>
      <c r="I3" s="19" t="s">
        <v>60</v>
      </c>
      <c r="J3" s="30" t="s">
        <v>597</v>
      </c>
      <c r="K3" s="19" t="s">
        <v>55</v>
      </c>
      <c r="L3" s="19" t="s">
        <v>39</v>
      </c>
      <c r="M3" s="18"/>
      <c r="N3" s="19" t="s">
        <v>596</v>
      </c>
      <c r="O3" s="19"/>
      <c r="P3" s="19"/>
      <c r="Q3" s="19"/>
      <c r="R3" s="19"/>
    </row>
    <row r="4" spans="1:18">
      <c r="A4" s="19" t="s">
        <v>18</v>
      </c>
      <c r="B4" s="19">
        <v>3</v>
      </c>
      <c r="C4" s="19" t="s">
        <v>41</v>
      </c>
      <c r="D4" s="19" t="s">
        <v>1421</v>
      </c>
      <c r="E4" s="19" t="s">
        <v>38</v>
      </c>
      <c r="F4" s="19">
        <f t="shared" si="0"/>
        <v>200</v>
      </c>
      <c r="G4" s="19"/>
      <c r="H4" s="19"/>
      <c r="I4" s="19" t="s">
        <v>69</v>
      </c>
      <c r="J4" s="30" t="s">
        <v>597</v>
      </c>
      <c r="K4" s="19" t="s">
        <v>55</v>
      </c>
      <c r="L4" s="19" t="s">
        <v>39</v>
      </c>
      <c r="M4" s="18"/>
      <c r="N4" s="18"/>
      <c r="O4" s="18" t="s">
        <v>1422</v>
      </c>
      <c r="P4" s="19"/>
      <c r="Q4" s="19"/>
      <c r="R4" s="18" t="s">
        <v>592</v>
      </c>
    </row>
    <row r="5" spans="1:18">
      <c r="A5" s="19" t="s">
        <v>18</v>
      </c>
      <c r="B5" s="19">
        <v>4</v>
      </c>
      <c r="C5" s="19" t="s">
        <v>400</v>
      </c>
      <c r="D5" s="19" t="s">
        <v>1423</v>
      </c>
      <c r="E5" s="19" t="s">
        <v>242</v>
      </c>
      <c r="F5" s="19">
        <f t="shared" si="0"/>
        <v>8</v>
      </c>
      <c r="G5" s="19"/>
      <c r="H5" s="19"/>
      <c r="I5" s="19" t="s">
        <v>69</v>
      </c>
      <c r="J5" s="30" t="s">
        <v>597</v>
      </c>
      <c r="K5" s="19" t="s">
        <v>55</v>
      </c>
      <c r="L5" s="19" t="s">
        <v>39</v>
      </c>
      <c r="M5" s="18"/>
      <c r="N5" s="18"/>
      <c r="O5" s="19" t="s">
        <v>3916</v>
      </c>
      <c r="P5" s="19"/>
      <c r="Q5" s="19"/>
      <c r="R5" s="18" t="s">
        <v>592</v>
      </c>
    </row>
    <row r="6" spans="1:18">
      <c r="A6" s="19" t="s">
        <v>18</v>
      </c>
      <c r="B6" s="19">
        <v>5</v>
      </c>
      <c r="C6" s="19" t="s">
        <v>584</v>
      </c>
      <c r="D6" s="19" t="s">
        <v>1424</v>
      </c>
      <c r="E6" s="19" t="s">
        <v>38</v>
      </c>
      <c r="F6" s="19">
        <f t="shared" si="0"/>
        <v>200</v>
      </c>
      <c r="G6" s="19"/>
      <c r="H6" s="19" t="s">
        <v>584</v>
      </c>
      <c r="I6" s="19" t="s">
        <v>3322</v>
      </c>
      <c r="J6" s="34" t="s">
        <v>3323</v>
      </c>
      <c r="K6" s="19" t="s">
        <v>245</v>
      </c>
      <c r="L6" s="19" t="s">
        <v>39</v>
      </c>
      <c r="M6" s="19"/>
      <c r="N6" s="19"/>
      <c r="O6" s="19"/>
      <c r="P6" s="19"/>
      <c r="Q6" s="19"/>
      <c r="R6" s="19"/>
    </row>
    <row r="7" spans="1:18">
      <c r="A7" s="19" t="s">
        <v>18</v>
      </c>
      <c r="B7" s="19">
        <v>6</v>
      </c>
      <c r="C7" s="19" t="s">
        <v>585</v>
      </c>
      <c r="D7" s="19" t="s">
        <v>1425</v>
      </c>
      <c r="E7" s="19" t="s">
        <v>38</v>
      </c>
      <c r="F7" s="19">
        <f t="shared" si="0"/>
        <v>200</v>
      </c>
      <c r="G7" s="19"/>
      <c r="H7" s="19" t="s">
        <v>1139</v>
      </c>
      <c r="I7" s="19" t="s">
        <v>3322</v>
      </c>
      <c r="J7" s="34" t="s">
        <v>3323</v>
      </c>
      <c r="K7" s="19" t="s">
        <v>111</v>
      </c>
      <c r="L7" s="19" t="s">
        <v>39</v>
      </c>
      <c r="M7" s="19"/>
      <c r="N7" s="19"/>
      <c r="O7" s="19"/>
      <c r="P7" s="19"/>
      <c r="Q7" s="19"/>
      <c r="R7" s="19"/>
    </row>
    <row r="8" spans="1:18">
      <c r="A8" s="19" t="s">
        <v>18</v>
      </c>
      <c r="B8" s="19">
        <v>7</v>
      </c>
      <c r="C8" s="19" t="s">
        <v>852</v>
      </c>
      <c r="D8" s="19" t="s">
        <v>1426</v>
      </c>
      <c r="E8" s="19" t="s">
        <v>242</v>
      </c>
      <c r="F8" s="19">
        <f t="shared" ref="F8" si="1">IF(E8="Char",200,8)</f>
        <v>8</v>
      </c>
      <c r="G8" s="19"/>
      <c r="H8" s="19" t="s">
        <v>852</v>
      </c>
      <c r="I8" s="19" t="s">
        <v>60</v>
      </c>
      <c r="J8" s="30" t="s">
        <v>597</v>
      </c>
      <c r="K8" s="19"/>
      <c r="L8" s="19"/>
      <c r="M8" s="19" t="s">
        <v>78</v>
      </c>
      <c r="N8" s="19" t="s">
        <v>596</v>
      </c>
      <c r="O8" s="19" t="s">
        <v>1427</v>
      </c>
      <c r="P8" s="19"/>
      <c r="Q8" s="19"/>
      <c r="R8" s="19"/>
    </row>
    <row r="9" spans="1:18">
      <c r="A9" s="19" t="s">
        <v>18</v>
      </c>
      <c r="B9" s="19">
        <v>8</v>
      </c>
      <c r="C9" s="19" t="s">
        <v>401</v>
      </c>
      <c r="D9" s="118" t="s">
        <v>3966</v>
      </c>
      <c r="E9" s="19" t="s">
        <v>38</v>
      </c>
      <c r="F9" s="19">
        <f t="shared" si="0"/>
        <v>200</v>
      </c>
      <c r="G9" s="19"/>
      <c r="H9" s="19" t="s">
        <v>401</v>
      </c>
      <c r="I9" s="19" t="s">
        <v>3322</v>
      </c>
      <c r="J9" s="34" t="s">
        <v>3323</v>
      </c>
      <c r="K9" s="19" t="s">
        <v>264</v>
      </c>
      <c r="L9" s="19" t="s">
        <v>49</v>
      </c>
      <c r="M9" s="19"/>
      <c r="N9" s="19"/>
      <c r="O9" s="19"/>
      <c r="P9" s="19"/>
      <c r="Q9" s="19"/>
      <c r="R9" s="19"/>
    </row>
    <row r="10" spans="1:18">
      <c r="A10" s="19" t="s">
        <v>18</v>
      </c>
      <c r="B10" s="19">
        <v>9</v>
      </c>
      <c r="C10" s="19" t="s">
        <v>853</v>
      </c>
      <c r="D10" s="118" t="s">
        <v>3967</v>
      </c>
      <c r="E10" s="19" t="s">
        <v>242</v>
      </c>
      <c r="F10" s="19">
        <f t="shared" si="0"/>
        <v>8</v>
      </c>
      <c r="G10" s="19"/>
      <c r="H10" s="19" t="s">
        <v>853</v>
      </c>
      <c r="I10" s="19" t="s">
        <v>60</v>
      </c>
      <c r="J10" s="30" t="s">
        <v>597</v>
      </c>
      <c r="K10" s="19"/>
      <c r="L10" s="19"/>
      <c r="M10" s="19" t="s">
        <v>78</v>
      </c>
      <c r="N10" s="19" t="s">
        <v>596</v>
      </c>
      <c r="O10" s="19" t="s">
        <v>1428</v>
      </c>
      <c r="P10" s="19"/>
      <c r="Q10" s="19"/>
      <c r="R10" s="19"/>
    </row>
    <row r="11" spans="1:18">
      <c r="A11" s="19" t="s">
        <v>18</v>
      </c>
      <c r="B11" s="19">
        <v>10</v>
      </c>
      <c r="C11" s="19" t="s">
        <v>402</v>
      </c>
      <c r="D11" s="118" t="s">
        <v>3968</v>
      </c>
      <c r="E11" s="19" t="s">
        <v>38</v>
      </c>
      <c r="F11" s="19">
        <f t="shared" si="0"/>
        <v>200</v>
      </c>
      <c r="G11" s="19"/>
      <c r="H11" s="19"/>
      <c r="I11" s="19" t="s">
        <v>3322</v>
      </c>
      <c r="J11" s="34" t="s">
        <v>3323</v>
      </c>
      <c r="K11" s="19" t="s">
        <v>248</v>
      </c>
      <c r="L11" s="19" t="s">
        <v>42</v>
      </c>
      <c r="M11" s="19"/>
      <c r="N11" s="19"/>
      <c r="O11" s="19"/>
      <c r="P11" s="19"/>
      <c r="Q11" s="19"/>
      <c r="R11" s="19"/>
    </row>
    <row r="12" spans="1:18">
      <c r="A12" s="19" t="s">
        <v>18</v>
      </c>
      <c r="B12" s="19">
        <v>11</v>
      </c>
      <c r="C12" s="19" t="s">
        <v>403</v>
      </c>
      <c r="D12" s="118" t="s">
        <v>3969</v>
      </c>
      <c r="E12" s="19" t="s">
        <v>38</v>
      </c>
      <c r="F12" s="19">
        <f t="shared" si="0"/>
        <v>200</v>
      </c>
      <c r="G12" s="19"/>
      <c r="H12" s="19"/>
      <c r="I12" s="19" t="s">
        <v>69</v>
      </c>
      <c r="J12" s="30" t="s">
        <v>597</v>
      </c>
      <c r="K12" s="19" t="s">
        <v>248</v>
      </c>
      <c r="L12" s="19" t="s">
        <v>42</v>
      </c>
      <c r="M12" s="19"/>
      <c r="N12" s="19"/>
      <c r="O12" s="19" t="s">
        <v>1429</v>
      </c>
      <c r="P12" s="19"/>
      <c r="Q12" s="19"/>
      <c r="R12" s="18" t="s">
        <v>592</v>
      </c>
    </row>
    <row r="13" spans="1:18">
      <c r="A13" s="19" t="s">
        <v>18</v>
      </c>
      <c r="B13" s="19">
        <v>12</v>
      </c>
      <c r="C13" s="19" t="s">
        <v>404</v>
      </c>
      <c r="D13" s="19" t="s">
        <v>1430</v>
      </c>
      <c r="E13" s="19" t="s">
        <v>38</v>
      </c>
      <c r="F13" s="19">
        <f t="shared" si="0"/>
        <v>200</v>
      </c>
      <c r="G13" s="19" t="s">
        <v>315</v>
      </c>
      <c r="H13" s="19" t="s">
        <v>1127</v>
      </c>
      <c r="I13" s="19" t="s">
        <v>3322</v>
      </c>
      <c r="J13" s="34" t="s">
        <v>3323</v>
      </c>
      <c r="K13" s="19" t="s">
        <v>115</v>
      </c>
      <c r="L13" s="19" t="s">
        <v>49</v>
      </c>
      <c r="M13" s="19"/>
      <c r="N13" s="19"/>
      <c r="O13" s="19"/>
      <c r="P13" s="19"/>
      <c r="Q13" s="19"/>
      <c r="R13" s="19"/>
    </row>
    <row r="14" spans="1:18">
      <c r="A14" s="19" t="s">
        <v>18</v>
      </c>
      <c r="B14" s="19">
        <v>13</v>
      </c>
      <c r="C14" s="19" t="s">
        <v>405</v>
      </c>
      <c r="D14" s="19" t="s">
        <v>1431</v>
      </c>
      <c r="E14" s="19" t="s">
        <v>38</v>
      </c>
      <c r="F14" s="19">
        <f t="shared" si="0"/>
        <v>200</v>
      </c>
      <c r="G14" s="19"/>
      <c r="H14" s="19"/>
      <c r="I14" s="19" t="s">
        <v>3322</v>
      </c>
      <c r="J14" s="34" t="s">
        <v>3323</v>
      </c>
      <c r="K14" s="19" t="s">
        <v>115</v>
      </c>
      <c r="L14" s="19" t="s">
        <v>49</v>
      </c>
      <c r="M14" s="19"/>
      <c r="N14" s="19"/>
      <c r="O14" s="19"/>
      <c r="P14" s="19"/>
      <c r="Q14" s="19"/>
      <c r="R14" s="19"/>
    </row>
    <row r="15" spans="1:18" ht="15.6">
      <c r="A15" s="19" t="s">
        <v>18</v>
      </c>
      <c r="B15" s="19">
        <v>14</v>
      </c>
      <c r="C15" s="19" t="s">
        <v>406</v>
      </c>
      <c r="D15" s="115" t="s">
        <v>3962</v>
      </c>
      <c r="E15" s="19" t="s">
        <v>38</v>
      </c>
      <c r="F15" s="19">
        <f t="shared" si="0"/>
        <v>200</v>
      </c>
      <c r="G15" s="19" t="s">
        <v>612</v>
      </c>
      <c r="H15" s="19" t="s">
        <v>1053</v>
      </c>
      <c r="I15" s="19" t="s">
        <v>69</v>
      </c>
      <c r="J15" s="30" t="s">
        <v>597</v>
      </c>
      <c r="K15" s="19"/>
      <c r="L15" s="19"/>
      <c r="M15" s="19" t="s">
        <v>78</v>
      </c>
      <c r="N15" s="19"/>
      <c r="O15" s="19" t="s">
        <v>1432</v>
      </c>
      <c r="P15" s="19"/>
      <c r="Q15" s="19"/>
      <c r="R15" s="18" t="s">
        <v>592</v>
      </c>
    </row>
    <row r="16" spans="1:18" ht="15.6">
      <c r="A16" s="19" t="s">
        <v>18</v>
      </c>
      <c r="B16" s="19">
        <v>15</v>
      </c>
      <c r="C16" s="19" t="s">
        <v>407</v>
      </c>
      <c r="D16" s="114" t="s">
        <v>3964</v>
      </c>
      <c r="E16" s="19" t="s">
        <v>38</v>
      </c>
      <c r="F16" s="19">
        <f t="shared" si="0"/>
        <v>200</v>
      </c>
      <c r="G16" s="19" t="s">
        <v>274</v>
      </c>
      <c r="H16" s="19" t="s">
        <v>1053</v>
      </c>
      <c r="I16" s="19" t="s">
        <v>69</v>
      </c>
      <c r="J16" s="30" t="s">
        <v>597</v>
      </c>
      <c r="K16" s="19"/>
      <c r="L16" s="19"/>
      <c r="M16" s="19" t="s">
        <v>78</v>
      </c>
      <c r="N16" s="19"/>
      <c r="O16" s="19" t="s">
        <v>1432</v>
      </c>
      <c r="P16" s="19"/>
      <c r="Q16" s="19"/>
      <c r="R16" s="18" t="s">
        <v>592</v>
      </c>
    </row>
    <row r="17" spans="1:18">
      <c r="A17" s="19" t="s">
        <v>18</v>
      </c>
      <c r="B17" s="19">
        <v>16</v>
      </c>
      <c r="C17" s="19" t="s">
        <v>266</v>
      </c>
      <c r="D17" s="19" t="s">
        <v>1433</v>
      </c>
      <c r="E17" s="19" t="s">
        <v>242</v>
      </c>
      <c r="F17" s="19">
        <f t="shared" si="0"/>
        <v>8</v>
      </c>
      <c r="G17" s="19"/>
      <c r="H17" s="19" t="s">
        <v>266</v>
      </c>
      <c r="I17" s="19" t="s">
        <v>69</v>
      </c>
      <c r="J17" s="30" t="s">
        <v>597</v>
      </c>
      <c r="K17" s="19" t="s">
        <v>258</v>
      </c>
      <c r="L17" s="19" t="s">
        <v>42</v>
      </c>
      <c r="M17" s="19"/>
      <c r="N17" s="19"/>
      <c r="O17" s="19" t="s">
        <v>1434</v>
      </c>
      <c r="P17" s="19"/>
      <c r="Q17" s="19"/>
      <c r="R17" s="19"/>
    </row>
    <row r="18" spans="1:18">
      <c r="A18" s="19" t="s">
        <v>18</v>
      </c>
      <c r="B18" s="19">
        <v>17</v>
      </c>
      <c r="C18" s="19" t="s">
        <v>267</v>
      </c>
      <c r="D18" s="19" t="s">
        <v>1435</v>
      </c>
      <c r="E18" s="19" t="s">
        <v>38</v>
      </c>
      <c r="F18" s="19">
        <f t="shared" si="0"/>
        <v>200</v>
      </c>
      <c r="G18" s="19"/>
      <c r="H18" s="19" t="s">
        <v>267</v>
      </c>
      <c r="I18" s="19" t="s">
        <v>69</v>
      </c>
      <c r="J18" s="30" t="s">
        <v>597</v>
      </c>
      <c r="K18" s="19" t="s">
        <v>258</v>
      </c>
      <c r="L18" s="19" t="s">
        <v>49</v>
      </c>
      <c r="M18" s="19"/>
      <c r="N18" s="19"/>
      <c r="O18" s="19" t="s">
        <v>1436</v>
      </c>
      <c r="P18" s="19"/>
      <c r="Q18" s="19"/>
      <c r="R18" s="19"/>
    </row>
    <row r="19" spans="1:18" s="28" customFormat="1">
      <c r="A19" s="19" t="s">
        <v>18</v>
      </c>
      <c r="B19" s="19">
        <v>18</v>
      </c>
      <c r="C19" s="25" t="s">
        <v>260</v>
      </c>
      <c r="D19" s="25" t="s">
        <v>1437</v>
      </c>
      <c r="E19" s="25" t="s">
        <v>38</v>
      </c>
      <c r="F19" s="25">
        <f t="shared" si="0"/>
        <v>200</v>
      </c>
      <c r="G19" s="25" t="s">
        <v>598</v>
      </c>
      <c r="H19" s="25" t="s">
        <v>260</v>
      </c>
      <c r="I19" s="25" t="s">
        <v>69</v>
      </c>
      <c r="J19" s="30" t="s">
        <v>597</v>
      </c>
      <c r="K19" s="25" t="s">
        <v>258</v>
      </c>
      <c r="L19" s="25" t="s">
        <v>49</v>
      </c>
      <c r="M19" s="25"/>
      <c r="N19" s="25"/>
      <c r="O19" s="25" t="s">
        <v>1438</v>
      </c>
      <c r="P19" s="25"/>
      <c r="Q19" s="25"/>
      <c r="R19" s="18" t="s">
        <v>592</v>
      </c>
    </row>
    <row r="20" spans="1:18">
      <c r="A20" s="19" t="s">
        <v>18</v>
      </c>
      <c r="B20" s="19">
        <v>19</v>
      </c>
      <c r="C20" s="19" t="s">
        <v>408</v>
      </c>
      <c r="D20" s="19" t="s">
        <v>1439</v>
      </c>
      <c r="E20" s="19" t="s">
        <v>38</v>
      </c>
      <c r="F20" s="19">
        <f t="shared" si="0"/>
        <v>200</v>
      </c>
      <c r="G20" s="19"/>
      <c r="H20" s="19"/>
      <c r="I20" s="19" t="s">
        <v>3322</v>
      </c>
      <c r="J20" s="34" t="s">
        <v>3323</v>
      </c>
      <c r="K20" s="19" t="s">
        <v>258</v>
      </c>
      <c r="L20" s="19" t="s">
        <v>42</v>
      </c>
      <c r="M20" s="19"/>
      <c r="N20" s="19"/>
      <c r="O20" s="19"/>
      <c r="P20" s="19"/>
      <c r="Q20" s="19"/>
      <c r="R20" s="19"/>
    </row>
    <row r="21" spans="1:18">
      <c r="A21" s="19" t="s">
        <v>18</v>
      </c>
      <c r="B21" s="19">
        <v>20</v>
      </c>
      <c r="C21" s="19" t="s">
        <v>409</v>
      </c>
      <c r="D21" s="19" t="s">
        <v>1440</v>
      </c>
      <c r="E21" s="19" t="s">
        <v>242</v>
      </c>
      <c r="F21" s="19">
        <f t="shared" si="0"/>
        <v>8</v>
      </c>
      <c r="G21" s="19"/>
      <c r="H21" s="19"/>
      <c r="I21" s="19" t="s">
        <v>69</v>
      </c>
      <c r="J21" s="30" t="s">
        <v>597</v>
      </c>
      <c r="K21" s="19" t="s">
        <v>258</v>
      </c>
      <c r="L21" s="19" t="s">
        <v>49</v>
      </c>
      <c r="M21" s="19"/>
      <c r="N21" s="19"/>
      <c r="O21" s="19" t="s">
        <v>3919</v>
      </c>
      <c r="P21" s="19"/>
      <c r="Q21" s="19"/>
      <c r="R21" s="18" t="s">
        <v>592</v>
      </c>
    </row>
    <row r="22" spans="1:18" s="28" customFormat="1">
      <c r="A22" s="19" t="s">
        <v>18</v>
      </c>
      <c r="B22" s="19">
        <v>21</v>
      </c>
      <c r="C22" s="25" t="s">
        <v>776</v>
      </c>
      <c r="D22" s="19" t="s">
        <v>1441</v>
      </c>
      <c r="E22" s="25" t="s">
        <v>38</v>
      </c>
      <c r="F22" s="25">
        <f t="shared" si="0"/>
        <v>200</v>
      </c>
      <c r="G22" s="25"/>
      <c r="H22" s="19"/>
      <c r="I22" s="19" t="s">
        <v>3322</v>
      </c>
      <c r="J22" s="34" t="s">
        <v>3323</v>
      </c>
      <c r="K22" s="25"/>
      <c r="L22" s="25"/>
      <c r="M22" s="25" t="s">
        <v>592</v>
      </c>
      <c r="N22" s="25"/>
      <c r="O22" s="25"/>
      <c r="P22" s="25"/>
      <c r="Q22" s="25"/>
      <c r="R22" s="25"/>
    </row>
  </sheetData>
  <phoneticPr fontId="67" type="noConversion"/>
  <conditionalFormatting sqref="G3">
    <cfRule type="duplicateValues" dxfId="48" priority="2"/>
  </conditionalFormatting>
  <conditionalFormatting sqref="H3">
    <cfRule type="duplicateValues" dxfId="47"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F1959-E7A8-40E6-9AC2-285FE73EF8F5}">
  <sheetPr codeName="Sheet18">
    <tabColor rgb="FF00B050"/>
  </sheetPr>
  <dimension ref="A1:R22"/>
  <sheetViews>
    <sheetView workbookViewId="0">
      <selection activeCell="D14" sqref="D14"/>
    </sheetView>
  </sheetViews>
  <sheetFormatPr defaultColWidth="8.453125" defaultRowHeight="15.6"/>
  <cols>
    <col min="1" max="3" width="8.453125" style="10"/>
    <col min="4" max="4" width="14.7265625" style="10" bestFit="1" customWidth="1"/>
    <col min="5" max="8" width="8.453125" style="10"/>
    <col min="9" max="9" width="9.26953125" style="10" customWidth="1"/>
    <col min="10" max="10" width="10.6328125" style="7" bestFit="1" customWidth="1"/>
    <col min="11" max="16384" width="8.453125" style="10"/>
  </cols>
  <sheetData>
    <row r="1" spans="1:18" s="7"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9" t="s">
        <v>602</v>
      </c>
      <c r="B2" s="19">
        <v>1</v>
      </c>
      <c r="C2" s="19" t="s">
        <v>37</v>
      </c>
      <c r="D2" s="19" t="s">
        <v>1418</v>
      </c>
      <c r="E2" s="19" t="s">
        <v>38</v>
      </c>
      <c r="F2" s="19">
        <f>IF(E2="Char",200,8)</f>
        <v>200</v>
      </c>
      <c r="G2" s="19"/>
      <c r="H2" s="19"/>
      <c r="I2" s="19" t="s">
        <v>757</v>
      </c>
      <c r="J2" s="30" t="s">
        <v>597</v>
      </c>
      <c r="K2" s="19" t="s">
        <v>55</v>
      </c>
      <c r="L2" s="19" t="s">
        <v>39</v>
      </c>
      <c r="M2" s="19"/>
      <c r="N2" s="19"/>
      <c r="O2" s="24" t="s">
        <v>1419</v>
      </c>
      <c r="P2" s="19"/>
      <c r="Q2" s="26" t="s">
        <v>592</v>
      </c>
      <c r="R2" s="30"/>
    </row>
    <row r="3" spans="1:18">
      <c r="A3" s="19" t="s">
        <v>602</v>
      </c>
      <c r="B3" s="19">
        <v>2</v>
      </c>
      <c r="C3" s="19" t="s">
        <v>57</v>
      </c>
      <c r="D3" s="19" t="s">
        <v>1420</v>
      </c>
      <c r="E3" s="19" t="s">
        <v>38</v>
      </c>
      <c r="F3" s="19">
        <f t="shared" ref="F3:F22" si="0">IF(E3="Char",200,8)</f>
        <v>200</v>
      </c>
      <c r="G3" s="29" t="s">
        <v>3336</v>
      </c>
      <c r="H3" s="29" t="s">
        <v>618</v>
      </c>
      <c r="I3" s="19" t="s">
        <v>619</v>
      </c>
      <c r="J3" s="30" t="s">
        <v>597</v>
      </c>
      <c r="K3" s="19" t="s">
        <v>55</v>
      </c>
      <c r="L3" s="19" t="s">
        <v>39</v>
      </c>
      <c r="M3" s="19"/>
      <c r="N3" s="19" t="s">
        <v>597</v>
      </c>
      <c r="O3" s="19"/>
      <c r="P3" s="30"/>
      <c r="Q3" s="30"/>
      <c r="R3" s="30"/>
    </row>
    <row r="4" spans="1:18">
      <c r="A4" s="19" t="s">
        <v>602</v>
      </c>
      <c r="B4" s="19">
        <v>3</v>
      </c>
      <c r="C4" s="19" t="s">
        <v>41</v>
      </c>
      <c r="D4" s="19" t="s">
        <v>1421</v>
      </c>
      <c r="E4" s="19" t="s">
        <v>38</v>
      </c>
      <c r="F4" s="19">
        <f t="shared" si="0"/>
        <v>200</v>
      </c>
      <c r="G4" s="19"/>
      <c r="H4" s="19"/>
      <c r="I4" s="19" t="s">
        <v>590</v>
      </c>
      <c r="J4" s="30" t="s">
        <v>597</v>
      </c>
      <c r="K4" s="19" t="s">
        <v>55</v>
      </c>
      <c r="L4" s="19" t="s">
        <v>39</v>
      </c>
      <c r="M4" s="19"/>
      <c r="N4" s="19"/>
      <c r="O4" s="26" t="s">
        <v>1422</v>
      </c>
      <c r="P4" s="30"/>
      <c r="Q4" s="30"/>
      <c r="R4" s="19" t="s">
        <v>592</v>
      </c>
    </row>
    <row r="5" spans="1:18">
      <c r="A5" s="19" t="s">
        <v>602</v>
      </c>
      <c r="B5" s="19">
        <v>4</v>
      </c>
      <c r="C5" s="19" t="s">
        <v>780</v>
      </c>
      <c r="D5" s="19" t="s">
        <v>1423</v>
      </c>
      <c r="E5" s="19" t="s">
        <v>242</v>
      </c>
      <c r="F5" s="19">
        <f t="shared" si="0"/>
        <v>8</v>
      </c>
      <c r="G5" s="19"/>
      <c r="H5" s="19"/>
      <c r="I5" s="19" t="s">
        <v>590</v>
      </c>
      <c r="J5" s="30" t="s">
        <v>597</v>
      </c>
      <c r="K5" s="19" t="s">
        <v>55</v>
      </c>
      <c r="L5" s="19" t="s">
        <v>39</v>
      </c>
      <c r="M5" s="19"/>
      <c r="N5" s="19"/>
      <c r="O5" s="19" t="s">
        <v>3916</v>
      </c>
      <c r="P5" s="30"/>
      <c r="Q5" s="30"/>
      <c r="R5" s="19" t="s">
        <v>592</v>
      </c>
    </row>
    <row r="6" spans="1:18">
      <c r="A6" s="19" t="s">
        <v>602</v>
      </c>
      <c r="B6" s="19">
        <v>5</v>
      </c>
      <c r="C6" s="19" t="s">
        <v>781</v>
      </c>
      <c r="D6" s="19" t="s">
        <v>1448</v>
      </c>
      <c r="E6" s="19" t="s">
        <v>38</v>
      </c>
      <c r="F6" s="19">
        <f t="shared" si="0"/>
        <v>200</v>
      </c>
      <c r="G6" s="19"/>
      <c r="H6" s="19"/>
      <c r="I6" s="19" t="s">
        <v>3322</v>
      </c>
      <c r="J6" s="34" t="s">
        <v>3323</v>
      </c>
      <c r="K6" s="19" t="s">
        <v>245</v>
      </c>
      <c r="L6" s="19" t="s">
        <v>39</v>
      </c>
      <c r="M6" s="19"/>
      <c r="N6" s="19"/>
      <c r="O6" s="19"/>
      <c r="P6" s="30"/>
      <c r="Q6" s="30"/>
      <c r="R6" s="30"/>
    </row>
    <row r="7" spans="1:18">
      <c r="A7" s="19" t="s">
        <v>602</v>
      </c>
      <c r="B7" s="19">
        <v>6</v>
      </c>
      <c r="C7" s="19" t="s">
        <v>782</v>
      </c>
      <c r="D7" s="19" t="s">
        <v>1449</v>
      </c>
      <c r="E7" s="19" t="s">
        <v>38</v>
      </c>
      <c r="F7" s="19">
        <f t="shared" si="0"/>
        <v>200</v>
      </c>
      <c r="G7" s="19"/>
      <c r="H7" s="19"/>
      <c r="I7" s="19" t="s">
        <v>3322</v>
      </c>
      <c r="J7" s="34" t="s">
        <v>3323</v>
      </c>
      <c r="K7" s="19" t="s">
        <v>111</v>
      </c>
      <c r="L7" s="19" t="s">
        <v>39</v>
      </c>
      <c r="M7" s="19"/>
      <c r="N7" s="19"/>
      <c r="O7" s="19"/>
      <c r="P7" s="30"/>
      <c r="Q7" s="30"/>
      <c r="R7" s="30"/>
    </row>
    <row r="8" spans="1:18">
      <c r="A8" s="19" t="s">
        <v>602</v>
      </c>
      <c r="B8" s="19">
        <v>7</v>
      </c>
      <c r="C8" s="19" t="s">
        <v>783</v>
      </c>
      <c r="D8" s="118" t="s">
        <v>3970</v>
      </c>
      <c r="E8" s="19" t="s">
        <v>38</v>
      </c>
      <c r="F8" s="19">
        <f t="shared" si="0"/>
        <v>200</v>
      </c>
      <c r="G8" s="19" t="s">
        <v>789</v>
      </c>
      <c r="H8" s="19" t="s">
        <v>783</v>
      </c>
      <c r="I8" s="19" t="s">
        <v>3322</v>
      </c>
      <c r="J8" s="34" t="s">
        <v>3323</v>
      </c>
      <c r="K8" s="19" t="s">
        <v>264</v>
      </c>
      <c r="L8" s="19" t="s">
        <v>39</v>
      </c>
      <c r="M8" s="19"/>
      <c r="N8" s="19"/>
      <c r="O8" s="19"/>
      <c r="P8" s="30"/>
      <c r="Q8" s="30"/>
      <c r="R8" s="30"/>
    </row>
    <row r="9" spans="1:18">
      <c r="A9" s="19" t="s">
        <v>602</v>
      </c>
      <c r="B9" s="19">
        <v>8</v>
      </c>
      <c r="C9" s="19" t="s">
        <v>784</v>
      </c>
      <c r="D9" s="118" t="s">
        <v>3971</v>
      </c>
      <c r="E9" s="19" t="s">
        <v>38</v>
      </c>
      <c r="F9" s="19">
        <f t="shared" si="0"/>
        <v>200</v>
      </c>
      <c r="G9" s="19"/>
      <c r="H9" s="19"/>
      <c r="I9" s="19" t="s">
        <v>3322</v>
      </c>
      <c r="J9" s="34" t="s">
        <v>3323</v>
      </c>
      <c r="K9" s="19" t="s">
        <v>248</v>
      </c>
      <c r="L9" s="19" t="s">
        <v>42</v>
      </c>
      <c r="M9" s="19"/>
      <c r="N9" s="19"/>
      <c r="O9" s="19"/>
      <c r="P9" s="30"/>
      <c r="Q9" s="30"/>
      <c r="R9" s="30"/>
    </row>
    <row r="10" spans="1:18">
      <c r="A10" s="19" t="s">
        <v>602</v>
      </c>
      <c r="B10" s="19">
        <v>9</v>
      </c>
      <c r="C10" s="19" t="s">
        <v>1384</v>
      </c>
      <c r="D10" s="118" t="s">
        <v>3972</v>
      </c>
      <c r="E10" s="19" t="s">
        <v>38</v>
      </c>
      <c r="F10" s="19">
        <f t="shared" si="0"/>
        <v>200</v>
      </c>
      <c r="G10" s="19" t="s">
        <v>287</v>
      </c>
      <c r="H10" s="19" t="s">
        <v>1105</v>
      </c>
      <c r="I10" s="19" t="s">
        <v>3322</v>
      </c>
      <c r="J10" s="34" t="s">
        <v>3323</v>
      </c>
      <c r="K10" s="19" t="s">
        <v>275</v>
      </c>
      <c r="L10" s="19" t="s">
        <v>49</v>
      </c>
      <c r="M10" s="19"/>
      <c r="N10" s="19"/>
      <c r="O10" s="19"/>
      <c r="P10" s="30"/>
      <c r="Q10" s="30"/>
      <c r="R10" s="30"/>
    </row>
    <row r="11" spans="1:18">
      <c r="A11" s="19" t="s">
        <v>602</v>
      </c>
      <c r="B11" s="19">
        <v>10</v>
      </c>
      <c r="C11" s="19" t="s">
        <v>785</v>
      </c>
      <c r="D11" s="118" t="s">
        <v>3973</v>
      </c>
      <c r="E11" s="19" t="s">
        <v>38</v>
      </c>
      <c r="F11" s="19">
        <f t="shared" si="0"/>
        <v>200</v>
      </c>
      <c r="G11" s="19"/>
      <c r="H11" s="19"/>
      <c r="I11" s="19" t="s">
        <v>590</v>
      </c>
      <c r="J11" s="30" t="s">
        <v>597</v>
      </c>
      <c r="K11" s="19" t="s">
        <v>248</v>
      </c>
      <c r="L11" s="19" t="s">
        <v>42</v>
      </c>
      <c r="M11" s="19"/>
      <c r="N11" s="19"/>
      <c r="O11" s="19" t="s">
        <v>1429</v>
      </c>
      <c r="P11" s="30"/>
      <c r="Q11" s="30"/>
      <c r="R11" s="19" t="s">
        <v>592</v>
      </c>
    </row>
    <row r="12" spans="1:18">
      <c r="A12" s="19" t="s">
        <v>602</v>
      </c>
      <c r="B12" s="19">
        <v>11</v>
      </c>
      <c r="C12" s="19" t="s">
        <v>805</v>
      </c>
      <c r="D12" s="42" t="s">
        <v>3974</v>
      </c>
      <c r="E12" s="19" t="s">
        <v>242</v>
      </c>
      <c r="F12" s="19">
        <f t="shared" si="0"/>
        <v>8</v>
      </c>
      <c r="G12" s="19"/>
      <c r="H12" s="19"/>
      <c r="I12" s="19" t="s">
        <v>590</v>
      </c>
      <c r="J12" s="30" t="s">
        <v>597</v>
      </c>
      <c r="K12" s="19" t="s">
        <v>248</v>
      </c>
      <c r="L12" s="19" t="s">
        <v>49</v>
      </c>
      <c r="M12" s="19"/>
      <c r="N12" s="19"/>
      <c r="O12" s="19" t="s">
        <v>1442</v>
      </c>
      <c r="P12" s="30"/>
      <c r="Q12" s="30"/>
      <c r="R12" s="19" t="s">
        <v>592</v>
      </c>
    </row>
    <row r="13" spans="1:18">
      <c r="A13" s="19" t="s">
        <v>602</v>
      </c>
      <c r="B13" s="19">
        <v>12</v>
      </c>
      <c r="C13" s="19" t="s">
        <v>806</v>
      </c>
      <c r="D13" s="118" t="s">
        <v>3975</v>
      </c>
      <c r="E13" s="19" t="s">
        <v>38</v>
      </c>
      <c r="F13" s="19">
        <f t="shared" si="0"/>
        <v>200</v>
      </c>
      <c r="G13" s="19" t="s">
        <v>287</v>
      </c>
      <c r="H13" s="19" t="s">
        <v>1105</v>
      </c>
      <c r="I13" s="19" t="s">
        <v>590</v>
      </c>
      <c r="J13" s="30" t="s">
        <v>597</v>
      </c>
      <c r="K13" s="19" t="s">
        <v>275</v>
      </c>
      <c r="L13" s="19" t="s">
        <v>49</v>
      </c>
      <c r="M13" s="19"/>
      <c r="N13" s="19"/>
      <c r="O13" s="19" t="s">
        <v>1443</v>
      </c>
      <c r="P13" s="30"/>
      <c r="Q13" s="30"/>
      <c r="R13" s="19" t="s">
        <v>592</v>
      </c>
    </row>
    <row r="14" spans="1:18">
      <c r="A14" s="19" t="s">
        <v>602</v>
      </c>
      <c r="B14" s="19">
        <v>13</v>
      </c>
      <c r="C14" s="19" t="s">
        <v>807</v>
      </c>
      <c r="D14" s="19" t="s">
        <v>1430</v>
      </c>
      <c r="E14" s="19" t="s">
        <v>38</v>
      </c>
      <c r="F14" s="19">
        <f t="shared" si="0"/>
        <v>200</v>
      </c>
      <c r="G14" s="19" t="s">
        <v>315</v>
      </c>
      <c r="H14" s="19" t="s">
        <v>1127</v>
      </c>
      <c r="I14" s="19" t="s">
        <v>3322</v>
      </c>
      <c r="J14" s="34" t="s">
        <v>3323</v>
      </c>
      <c r="K14" s="19" t="s">
        <v>115</v>
      </c>
      <c r="L14" s="19" t="s">
        <v>49</v>
      </c>
      <c r="M14" s="19"/>
      <c r="N14" s="19"/>
      <c r="O14" s="19"/>
      <c r="P14" s="30"/>
      <c r="Q14" s="30"/>
      <c r="R14" s="30"/>
    </row>
    <row r="15" spans="1:18">
      <c r="A15" s="19" t="s">
        <v>602</v>
      </c>
      <c r="B15" s="19">
        <v>14</v>
      </c>
      <c r="C15" s="19" t="s">
        <v>790</v>
      </c>
      <c r="D15" s="19" t="s">
        <v>1431</v>
      </c>
      <c r="E15" s="19" t="s">
        <v>38</v>
      </c>
      <c r="F15" s="19">
        <f t="shared" si="0"/>
        <v>200</v>
      </c>
      <c r="G15" s="19"/>
      <c r="H15" s="19"/>
      <c r="I15" s="19" t="s">
        <v>3322</v>
      </c>
      <c r="J15" s="34" t="s">
        <v>3323</v>
      </c>
      <c r="K15" s="19" t="s">
        <v>115</v>
      </c>
      <c r="L15" s="19" t="s">
        <v>49</v>
      </c>
      <c r="M15" s="19"/>
      <c r="N15" s="19"/>
      <c r="O15" s="19"/>
      <c r="P15" s="30"/>
      <c r="Q15" s="30"/>
      <c r="R15" s="30"/>
    </row>
    <row r="16" spans="1:18">
      <c r="A16" s="19" t="s">
        <v>602</v>
      </c>
      <c r="B16" s="19">
        <v>15</v>
      </c>
      <c r="C16" s="19" t="s">
        <v>1863</v>
      </c>
      <c r="D16" s="115" t="s">
        <v>3962</v>
      </c>
      <c r="E16" s="19" t="s">
        <v>38</v>
      </c>
      <c r="F16" s="19">
        <f t="shared" ref="F16" si="1">IF(E16="Char",200,8)</f>
        <v>200</v>
      </c>
      <c r="G16" s="19" t="s">
        <v>274</v>
      </c>
      <c r="H16" s="19" t="s">
        <v>1053</v>
      </c>
      <c r="I16" s="19" t="s">
        <v>590</v>
      </c>
      <c r="J16" s="30" t="s">
        <v>597</v>
      </c>
      <c r="K16" s="19" t="s">
        <v>115</v>
      </c>
      <c r="L16" s="19" t="s">
        <v>42</v>
      </c>
      <c r="M16" s="19"/>
      <c r="N16" s="19"/>
      <c r="O16" s="19" t="s">
        <v>1432</v>
      </c>
      <c r="P16" s="30"/>
      <c r="Q16" s="30"/>
      <c r="R16" s="19" t="s">
        <v>592</v>
      </c>
    </row>
    <row r="17" spans="1:18">
      <c r="A17" s="19" t="s">
        <v>602</v>
      </c>
      <c r="B17" s="19">
        <v>16</v>
      </c>
      <c r="C17" s="19" t="s">
        <v>786</v>
      </c>
      <c r="D17" s="114" t="s">
        <v>3964</v>
      </c>
      <c r="E17" s="19" t="s">
        <v>38</v>
      </c>
      <c r="F17" s="19">
        <f t="shared" si="0"/>
        <v>200</v>
      </c>
      <c r="G17" s="19" t="s">
        <v>274</v>
      </c>
      <c r="H17" s="19" t="s">
        <v>1053</v>
      </c>
      <c r="I17" s="19" t="s">
        <v>590</v>
      </c>
      <c r="J17" s="30" t="s">
        <v>597</v>
      </c>
      <c r="K17" s="19" t="s">
        <v>115</v>
      </c>
      <c r="L17" s="19" t="s">
        <v>49</v>
      </c>
      <c r="M17" s="19"/>
      <c r="N17" s="19"/>
      <c r="O17" s="19" t="s">
        <v>1432</v>
      </c>
      <c r="P17" s="30"/>
      <c r="Q17" s="30"/>
      <c r="R17" s="19" t="s">
        <v>592</v>
      </c>
    </row>
    <row r="18" spans="1:18">
      <c r="A18" s="19" t="s">
        <v>602</v>
      </c>
      <c r="B18" s="19">
        <v>17</v>
      </c>
      <c r="C18" s="19" t="s">
        <v>714</v>
      </c>
      <c r="D18" s="19" t="s">
        <v>1433</v>
      </c>
      <c r="E18" s="19" t="s">
        <v>242</v>
      </c>
      <c r="F18" s="19">
        <f t="shared" si="0"/>
        <v>8</v>
      </c>
      <c r="G18" s="19"/>
      <c r="H18" s="19"/>
      <c r="I18" s="19" t="s">
        <v>590</v>
      </c>
      <c r="J18" s="30" t="s">
        <v>597</v>
      </c>
      <c r="K18" s="19" t="s">
        <v>258</v>
      </c>
      <c r="L18" s="19" t="s">
        <v>42</v>
      </c>
      <c r="M18" s="19"/>
      <c r="N18" s="19"/>
      <c r="O18" s="19" t="s">
        <v>1434</v>
      </c>
      <c r="P18" s="30"/>
      <c r="Q18" s="30"/>
      <c r="R18" s="30"/>
    </row>
    <row r="19" spans="1:18">
      <c r="A19" s="19" t="s">
        <v>602</v>
      </c>
      <c r="B19" s="19">
        <v>18</v>
      </c>
      <c r="C19" s="19" t="s">
        <v>715</v>
      </c>
      <c r="D19" s="19" t="s">
        <v>1435</v>
      </c>
      <c r="E19" s="19" t="s">
        <v>38</v>
      </c>
      <c r="F19" s="19">
        <f t="shared" si="0"/>
        <v>200</v>
      </c>
      <c r="G19" s="19"/>
      <c r="H19" s="19"/>
      <c r="I19" s="19" t="s">
        <v>590</v>
      </c>
      <c r="J19" s="30" t="s">
        <v>597</v>
      </c>
      <c r="K19" s="19" t="s">
        <v>258</v>
      </c>
      <c r="L19" s="19" t="s">
        <v>49</v>
      </c>
      <c r="M19" s="19"/>
      <c r="N19" s="19"/>
      <c r="O19" s="19" t="s">
        <v>1436</v>
      </c>
      <c r="P19" s="30"/>
      <c r="Q19" s="30"/>
      <c r="R19" s="30"/>
    </row>
    <row r="20" spans="1:18">
      <c r="A20" s="19" t="s">
        <v>602</v>
      </c>
      <c r="B20" s="19">
        <v>19</v>
      </c>
      <c r="C20" s="19" t="s">
        <v>260</v>
      </c>
      <c r="D20" s="28" t="s">
        <v>1437</v>
      </c>
      <c r="E20" s="19" t="s">
        <v>38</v>
      </c>
      <c r="F20" s="19">
        <f t="shared" si="0"/>
        <v>200</v>
      </c>
      <c r="G20" s="19" t="s">
        <v>598</v>
      </c>
      <c r="H20" s="19" t="s">
        <v>260</v>
      </c>
      <c r="I20" s="19" t="s">
        <v>590</v>
      </c>
      <c r="J20" s="30" t="s">
        <v>597</v>
      </c>
      <c r="K20" s="19" t="s">
        <v>258</v>
      </c>
      <c r="L20" s="19" t="s">
        <v>49</v>
      </c>
      <c r="M20" s="19"/>
      <c r="N20" s="19"/>
      <c r="O20" s="28" t="s">
        <v>1438</v>
      </c>
      <c r="P20" s="30"/>
      <c r="Q20" s="30"/>
      <c r="R20" s="19" t="s">
        <v>592</v>
      </c>
    </row>
    <row r="21" spans="1:18">
      <c r="A21" s="19" t="s">
        <v>602</v>
      </c>
      <c r="B21" s="19">
        <v>20</v>
      </c>
      <c r="C21" s="19" t="s">
        <v>787</v>
      </c>
      <c r="D21" s="19" t="s">
        <v>1450</v>
      </c>
      <c r="E21" s="19" t="s">
        <v>38</v>
      </c>
      <c r="F21" s="19">
        <f t="shared" si="0"/>
        <v>200</v>
      </c>
      <c r="G21" s="19"/>
      <c r="H21" s="19"/>
      <c r="I21" s="19" t="s">
        <v>3322</v>
      </c>
      <c r="J21" s="34" t="s">
        <v>3323</v>
      </c>
      <c r="K21" s="19" t="s">
        <v>258</v>
      </c>
      <c r="L21" s="19" t="s">
        <v>42</v>
      </c>
      <c r="M21" s="19"/>
      <c r="N21" s="19"/>
      <c r="O21" s="19"/>
      <c r="P21" s="30"/>
      <c r="Q21" s="30"/>
      <c r="R21" s="30"/>
    </row>
    <row r="22" spans="1:18">
      <c r="A22" s="19" t="s">
        <v>602</v>
      </c>
      <c r="B22" s="19">
        <v>21</v>
      </c>
      <c r="C22" s="19" t="s">
        <v>788</v>
      </c>
      <c r="D22" s="19" t="s">
        <v>1451</v>
      </c>
      <c r="E22" s="19" t="s">
        <v>242</v>
      </c>
      <c r="F22" s="19">
        <f t="shared" si="0"/>
        <v>8</v>
      </c>
      <c r="G22" s="19"/>
      <c r="H22" s="19"/>
      <c r="I22" s="19" t="s">
        <v>590</v>
      </c>
      <c r="J22" s="30" t="s">
        <v>597</v>
      </c>
      <c r="K22" s="19" t="s">
        <v>258</v>
      </c>
      <c r="L22" s="19" t="s">
        <v>49</v>
      </c>
      <c r="M22" s="19"/>
      <c r="N22" s="19"/>
      <c r="O22" s="19" t="s">
        <v>3919</v>
      </c>
      <c r="P22" s="30"/>
      <c r="Q22" s="30"/>
      <c r="R22" s="19" t="s">
        <v>592</v>
      </c>
    </row>
  </sheetData>
  <phoneticPr fontId="67" type="noConversion"/>
  <conditionalFormatting sqref="C11:C13">
    <cfRule type="duplicateValues" dxfId="46" priority="4"/>
  </conditionalFormatting>
  <conditionalFormatting sqref="G3">
    <cfRule type="duplicateValues" dxfId="45" priority="2"/>
  </conditionalFormatting>
  <conditionalFormatting sqref="H3">
    <cfRule type="duplicateValues" dxfId="44"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6">
    <tabColor rgb="FF00B050"/>
  </sheetPr>
  <dimension ref="A1:R40"/>
  <sheetViews>
    <sheetView zoomScale="85" zoomScaleNormal="85" workbookViewId="0">
      <selection activeCell="O15" sqref="O15"/>
    </sheetView>
  </sheetViews>
  <sheetFormatPr defaultColWidth="9" defaultRowHeight="14.4"/>
  <cols>
    <col min="1" max="1" width="7" style="19" customWidth="1"/>
    <col min="2" max="2" width="3.6328125" style="19" customWidth="1"/>
    <col min="3" max="3" width="12.6328125" style="29" customWidth="1"/>
    <col min="4" max="4" width="40.6328125" style="19" customWidth="1"/>
    <col min="5" max="5" width="5.453125" style="19" customWidth="1"/>
    <col min="6" max="6" width="6.26953125" style="19" customWidth="1"/>
    <col min="7" max="7" width="28" style="19" customWidth="1"/>
    <col min="8" max="8" width="25" style="19" customWidth="1"/>
    <col min="9" max="9" width="9.7265625" style="19" customWidth="1"/>
    <col min="10" max="10" width="12" style="19" customWidth="1"/>
    <col min="11" max="11" width="17.81640625" style="19" customWidth="1"/>
    <col min="12" max="12" width="5.7265625" style="19" customWidth="1"/>
    <col min="13" max="13" width="5" style="19" customWidth="1"/>
    <col min="14" max="14" width="6.1796875" style="19" customWidth="1"/>
    <col min="15" max="15" width="33.08984375" style="19" customWidth="1"/>
    <col min="16" max="16384" width="9" style="19"/>
  </cols>
  <sheetData>
    <row r="1" spans="1:18">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9" t="s">
        <v>17</v>
      </c>
      <c r="B2" s="19">
        <v>1</v>
      </c>
      <c r="C2" s="29" t="s">
        <v>37</v>
      </c>
      <c r="D2" s="19" t="s">
        <v>1418</v>
      </c>
      <c r="E2" s="19" t="s">
        <v>38</v>
      </c>
      <c r="F2" s="19">
        <f>IF(E2="Char",200,8)</f>
        <v>200</v>
      </c>
      <c r="I2" s="19" t="s">
        <v>757</v>
      </c>
      <c r="J2" s="30" t="s">
        <v>597</v>
      </c>
      <c r="K2" s="30" t="s">
        <v>55</v>
      </c>
      <c r="L2" s="30" t="s">
        <v>39</v>
      </c>
      <c r="O2" s="24" t="s">
        <v>1419</v>
      </c>
      <c r="Q2" s="26" t="s">
        <v>592</v>
      </c>
    </row>
    <row r="3" spans="1:18">
      <c r="A3" s="19" t="s">
        <v>17</v>
      </c>
      <c r="B3" s="19">
        <v>2</v>
      </c>
      <c r="C3" s="29" t="s">
        <v>57</v>
      </c>
      <c r="D3" s="19" t="s">
        <v>1420</v>
      </c>
      <c r="E3" s="19" t="s">
        <v>38</v>
      </c>
      <c r="F3" s="19">
        <f t="shared" ref="F3:F38" si="0">IF(E3="Char",200,8)</f>
        <v>200</v>
      </c>
      <c r="G3" s="29" t="s">
        <v>3336</v>
      </c>
      <c r="H3" s="29" t="s">
        <v>618</v>
      </c>
      <c r="I3" s="30" t="s">
        <v>60</v>
      </c>
      <c r="J3" s="30" t="s">
        <v>597</v>
      </c>
      <c r="K3" s="30" t="s">
        <v>55</v>
      </c>
      <c r="L3" s="30" t="s">
        <v>39</v>
      </c>
      <c r="N3" s="19" t="s">
        <v>596</v>
      </c>
    </row>
    <row r="4" spans="1:18">
      <c r="A4" s="19" t="s">
        <v>17</v>
      </c>
      <c r="B4" s="19">
        <v>3</v>
      </c>
      <c r="C4" s="29" t="s">
        <v>41</v>
      </c>
      <c r="D4" s="19" t="s">
        <v>1421</v>
      </c>
      <c r="E4" s="19" t="s">
        <v>38</v>
      </c>
      <c r="F4" s="19">
        <f t="shared" si="0"/>
        <v>200</v>
      </c>
      <c r="I4" s="19" t="s">
        <v>69</v>
      </c>
      <c r="J4" s="30" t="s">
        <v>597</v>
      </c>
      <c r="K4" s="30" t="s">
        <v>55</v>
      </c>
      <c r="L4" s="30" t="s">
        <v>39</v>
      </c>
      <c r="O4" s="26" t="s">
        <v>1422</v>
      </c>
      <c r="R4" s="26" t="s">
        <v>592</v>
      </c>
    </row>
    <row r="5" spans="1:18">
      <c r="A5" s="19" t="s">
        <v>17</v>
      </c>
      <c r="B5" s="19">
        <v>4</v>
      </c>
      <c r="C5" s="29" t="s">
        <v>296</v>
      </c>
      <c r="D5" s="19" t="s">
        <v>1423</v>
      </c>
      <c r="E5" s="19" t="s">
        <v>242</v>
      </c>
      <c r="F5" s="19">
        <f t="shared" si="0"/>
        <v>8</v>
      </c>
      <c r="I5" s="19" t="s">
        <v>69</v>
      </c>
      <c r="J5" s="30" t="s">
        <v>597</v>
      </c>
      <c r="K5" s="30" t="s">
        <v>55</v>
      </c>
      <c r="L5" s="30" t="s">
        <v>39</v>
      </c>
      <c r="O5" s="19" t="s">
        <v>3916</v>
      </c>
      <c r="R5" s="26" t="s">
        <v>592</v>
      </c>
    </row>
    <row r="6" spans="1:18">
      <c r="A6" s="19" t="s">
        <v>17</v>
      </c>
      <c r="B6" s="19">
        <v>5</v>
      </c>
      <c r="C6" s="29" t="s">
        <v>297</v>
      </c>
      <c r="D6" s="19" t="s">
        <v>1453</v>
      </c>
      <c r="E6" s="19" t="s">
        <v>38</v>
      </c>
      <c r="F6" s="19">
        <f t="shared" si="0"/>
        <v>200</v>
      </c>
      <c r="G6" s="19" t="s">
        <v>298</v>
      </c>
      <c r="H6" s="19" t="s">
        <v>297</v>
      </c>
      <c r="I6" s="30" t="s">
        <v>60</v>
      </c>
      <c r="J6" s="30" t="s">
        <v>597</v>
      </c>
      <c r="K6" s="19" t="s">
        <v>245</v>
      </c>
      <c r="L6" s="19" t="s">
        <v>39</v>
      </c>
    </row>
    <row r="7" spans="1:18">
      <c r="A7" s="19" t="s">
        <v>17</v>
      </c>
      <c r="B7" s="19">
        <v>6</v>
      </c>
      <c r="C7" s="29" t="s">
        <v>299</v>
      </c>
      <c r="D7" s="19" t="s">
        <v>1454</v>
      </c>
      <c r="E7" s="19" t="s">
        <v>38</v>
      </c>
      <c r="F7" s="19">
        <f t="shared" si="0"/>
        <v>200</v>
      </c>
      <c r="G7" s="19" t="s">
        <v>300</v>
      </c>
      <c r="H7" s="19" t="s">
        <v>299</v>
      </c>
      <c r="I7" s="30" t="s">
        <v>60</v>
      </c>
      <c r="J7" s="30" t="s">
        <v>597</v>
      </c>
      <c r="K7" s="19" t="s">
        <v>111</v>
      </c>
      <c r="L7" s="19" t="s">
        <v>39</v>
      </c>
    </row>
    <row r="8" spans="1:18">
      <c r="A8" s="19" t="s">
        <v>17</v>
      </c>
      <c r="B8" s="19">
        <v>7</v>
      </c>
      <c r="C8" s="29" t="s">
        <v>302</v>
      </c>
      <c r="D8" s="118" t="s">
        <v>3976</v>
      </c>
      <c r="E8" s="19" t="s">
        <v>38</v>
      </c>
      <c r="F8" s="19">
        <f t="shared" si="0"/>
        <v>200</v>
      </c>
      <c r="H8" s="19" t="s">
        <v>302</v>
      </c>
      <c r="I8" s="19" t="s">
        <v>3322</v>
      </c>
      <c r="J8" s="34" t="s">
        <v>3323</v>
      </c>
      <c r="K8" s="19" t="s">
        <v>264</v>
      </c>
      <c r="L8" s="19" t="s">
        <v>42</v>
      </c>
    </row>
    <row r="9" spans="1:18">
      <c r="A9" s="19" t="s">
        <v>17</v>
      </c>
      <c r="B9" s="19">
        <v>8</v>
      </c>
      <c r="C9" s="29" t="s">
        <v>304</v>
      </c>
      <c r="D9" s="118" t="s">
        <v>3977</v>
      </c>
      <c r="E9" s="19" t="s">
        <v>38</v>
      </c>
      <c r="F9" s="19">
        <f t="shared" si="0"/>
        <v>200</v>
      </c>
      <c r="I9" s="19" t="s">
        <v>3322</v>
      </c>
      <c r="J9" s="34" t="s">
        <v>3323</v>
      </c>
      <c r="K9" s="19" t="s">
        <v>248</v>
      </c>
      <c r="L9" s="19" t="s">
        <v>42</v>
      </c>
    </row>
    <row r="10" spans="1:18">
      <c r="A10" s="19" t="s">
        <v>17</v>
      </c>
      <c r="B10" s="19">
        <v>9</v>
      </c>
      <c r="C10" s="29" t="s">
        <v>305</v>
      </c>
      <c r="D10" s="118" t="s">
        <v>3978</v>
      </c>
      <c r="E10" s="19" t="s">
        <v>38</v>
      </c>
      <c r="F10" s="19">
        <f t="shared" si="0"/>
        <v>200</v>
      </c>
      <c r="G10" s="19" t="s">
        <v>287</v>
      </c>
      <c r="H10" s="19" t="s">
        <v>1105</v>
      </c>
      <c r="I10" s="19" t="s">
        <v>3322</v>
      </c>
      <c r="J10" s="34" t="s">
        <v>3323</v>
      </c>
      <c r="K10" s="19" t="s">
        <v>275</v>
      </c>
      <c r="L10" s="19" t="s">
        <v>42</v>
      </c>
    </row>
    <row r="11" spans="1:18" s="107" customFormat="1">
      <c r="A11" s="107" t="s">
        <v>17</v>
      </c>
      <c r="B11" s="107">
        <v>10</v>
      </c>
      <c r="C11" s="108" t="s">
        <v>3936</v>
      </c>
      <c r="D11" s="107" t="s">
        <v>1455</v>
      </c>
      <c r="E11" s="107" t="s">
        <v>38</v>
      </c>
      <c r="F11" s="107">
        <f t="shared" si="0"/>
        <v>200</v>
      </c>
      <c r="I11" s="107" t="s">
        <v>3322</v>
      </c>
      <c r="J11" s="34" t="s">
        <v>3323</v>
      </c>
      <c r="K11" s="107" t="s">
        <v>275</v>
      </c>
      <c r="L11" s="107" t="s">
        <v>42</v>
      </c>
      <c r="O11" s="105" t="s">
        <v>1458</v>
      </c>
      <c r="Q11" s="26" t="s">
        <v>592</v>
      </c>
    </row>
    <row r="12" spans="1:18" s="107" customFormat="1">
      <c r="A12" s="107" t="s">
        <v>17</v>
      </c>
      <c r="B12" s="107">
        <v>11</v>
      </c>
      <c r="C12" s="108" t="s">
        <v>3938</v>
      </c>
      <c r="D12" s="107" t="s">
        <v>1456</v>
      </c>
      <c r="E12" s="107" t="s">
        <v>38</v>
      </c>
      <c r="F12" s="107">
        <f t="shared" si="0"/>
        <v>200</v>
      </c>
      <c r="I12" s="107" t="s">
        <v>3322</v>
      </c>
      <c r="J12" s="34" t="s">
        <v>3323</v>
      </c>
      <c r="K12" s="107" t="s">
        <v>275</v>
      </c>
      <c r="L12" s="107" t="s">
        <v>42</v>
      </c>
      <c r="O12" s="105" t="s">
        <v>1460</v>
      </c>
      <c r="Q12" s="26" t="s">
        <v>592</v>
      </c>
    </row>
    <row r="13" spans="1:18">
      <c r="A13" s="19" t="s">
        <v>17</v>
      </c>
      <c r="B13" s="19">
        <v>12</v>
      </c>
      <c r="C13" s="29" t="s">
        <v>306</v>
      </c>
      <c r="D13" s="118" t="s">
        <v>3979</v>
      </c>
      <c r="E13" s="19" t="s">
        <v>38</v>
      </c>
      <c r="F13" s="19">
        <f t="shared" si="0"/>
        <v>200</v>
      </c>
      <c r="I13" s="19" t="s">
        <v>69</v>
      </c>
      <c r="J13" s="30" t="s">
        <v>597</v>
      </c>
      <c r="K13" s="19" t="s">
        <v>248</v>
      </c>
      <c r="L13" s="19" t="s">
        <v>42</v>
      </c>
      <c r="O13" s="19" t="s">
        <v>1429</v>
      </c>
      <c r="R13" s="26" t="s">
        <v>592</v>
      </c>
    </row>
    <row r="14" spans="1:18">
      <c r="A14" s="19" t="s">
        <v>17</v>
      </c>
      <c r="B14" s="19">
        <v>13</v>
      </c>
      <c r="C14" s="29" t="s">
        <v>307</v>
      </c>
      <c r="D14" s="42" t="s">
        <v>3980</v>
      </c>
      <c r="E14" s="19" t="s">
        <v>242</v>
      </c>
      <c r="F14" s="19">
        <f t="shared" si="0"/>
        <v>8</v>
      </c>
      <c r="I14" s="19" t="s">
        <v>69</v>
      </c>
      <c r="J14" s="30" t="s">
        <v>597</v>
      </c>
      <c r="K14" s="19" t="s">
        <v>248</v>
      </c>
      <c r="L14" s="19" t="s">
        <v>42</v>
      </c>
      <c r="O14" s="19" t="s">
        <v>1442</v>
      </c>
      <c r="R14" s="26" t="s">
        <v>592</v>
      </c>
    </row>
    <row r="15" spans="1:18">
      <c r="A15" s="19" t="s">
        <v>17</v>
      </c>
      <c r="B15" s="19">
        <v>14</v>
      </c>
      <c r="C15" s="29" t="s">
        <v>308</v>
      </c>
      <c r="D15" s="118" t="s">
        <v>3981</v>
      </c>
      <c r="E15" s="19" t="s">
        <v>38</v>
      </c>
      <c r="F15" s="19">
        <f t="shared" si="0"/>
        <v>200</v>
      </c>
      <c r="G15" s="19" t="s">
        <v>287</v>
      </c>
      <c r="H15" s="19" t="s">
        <v>1105</v>
      </c>
      <c r="I15" s="19" t="s">
        <v>69</v>
      </c>
      <c r="J15" s="30" t="s">
        <v>597</v>
      </c>
      <c r="K15" s="19" t="s">
        <v>275</v>
      </c>
      <c r="L15" s="19" t="s">
        <v>42</v>
      </c>
      <c r="O15" s="19" t="s">
        <v>1443</v>
      </c>
      <c r="R15" s="26" t="s">
        <v>592</v>
      </c>
    </row>
    <row r="16" spans="1:18" s="107" customFormat="1" ht="15">
      <c r="A16" s="107" t="s">
        <v>17</v>
      </c>
      <c r="B16" s="107">
        <v>15</v>
      </c>
      <c r="C16" s="108" t="s">
        <v>309</v>
      </c>
      <c r="D16" s="107" t="s">
        <v>1457</v>
      </c>
      <c r="E16" s="107" t="s">
        <v>242</v>
      </c>
      <c r="F16" s="107">
        <f t="shared" si="0"/>
        <v>8</v>
      </c>
      <c r="I16" s="107" t="s">
        <v>69</v>
      </c>
      <c r="J16" s="109" t="s">
        <v>597</v>
      </c>
      <c r="K16" s="107" t="s">
        <v>275</v>
      </c>
      <c r="L16" s="107" t="s">
        <v>42</v>
      </c>
      <c r="O16" s="111" t="s">
        <v>3937</v>
      </c>
      <c r="R16" s="110" t="s">
        <v>592</v>
      </c>
    </row>
    <row r="17" spans="1:18" s="107" customFormat="1" ht="15">
      <c r="A17" s="107" t="s">
        <v>17</v>
      </c>
      <c r="B17" s="107">
        <v>16</v>
      </c>
      <c r="C17" s="108" t="s">
        <v>310</v>
      </c>
      <c r="D17" s="107" t="s">
        <v>1459</v>
      </c>
      <c r="E17" s="107" t="s">
        <v>242</v>
      </c>
      <c r="F17" s="107">
        <f t="shared" si="0"/>
        <v>8</v>
      </c>
      <c r="I17" s="107" t="s">
        <v>69</v>
      </c>
      <c r="J17" s="109" t="s">
        <v>597</v>
      </c>
      <c r="K17" s="107" t="s">
        <v>275</v>
      </c>
      <c r="L17" s="107" t="s">
        <v>42</v>
      </c>
      <c r="O17" s="111" t="s">
        <v>3939</v>
      </c>
      <c r="R17" s="110" t="s">
        <v>592</v>
      </c>
    </row>
    <row r="18" spans="1:18" ht="15">
      <c r="A18" s="19" t="s">
        <v>17</v>
      </c>
      <c r="B18" s="19">
        <v>17</v>
      </c>
      <c r="C18" s="29" t="s">
        <v>311</v>
      </c>
      <c r="D18" s="105" t="s">
        <v>1445</v>
      </c>
      <c r="E18" s="19" t="s">
        <v>38</v>
      </c>
      <c r="F18" s="19">
        <f t="shared" si="0"/>
        <v>200</v>
      </c>
      <c r="I18" s="19" t="s">
        <v>69</v>
      </c>
      <c r="J18" s="30" t="s">
        <v>597</v>
      </c>
      <c r="K18" s="19" t="s">
        <v>275</v>
      </c>
      <c r="L18" s="19" t="s">
        <v>49</v>
      </c>
      <c r="O18" s="112" t="s">
        <v>3940</v>
      </c>
      <c r="R18" s="26" t="s">
        <v>592</v>
      </c>
    </row>
    <row r="19" spans="1:18">
      <c r="A19" s="19" t="s">
        <v>17</v>
      </c>
      <c r="B19" s="19">
        <v>18</v>
      </c>
      <c r="C19" s="29" t="s">
        <v>312</v>
      </c>
      <c r="D19" s="19" t="s">
        <v>3385</v>
      </c>
      <c r="E19" s="19" t="s">
        <v>38</v>
      </c>
      <c r="F19" s="19">
        <f t="shared" si="0"/>
        <v>200</v>
      </c>
      <c r="G19" s="19" t="s">
        <v>313</v>
      </c>
      <c r="H19" s="19" t="s">
        <v>1141</v>
      </c>
      <c r="I19" s="19" t="s">
        <v>69</v>
      </c>
      <c r="J19" s="30" t="s">
        <v>597</v>
      </c>
      <c r="K19" s="19" t="s">
        <v>275</v>
      </c>
      <c r="L19" s="19" t="s">
        <v>42</v>
      </c>
      <c r="O19" s="19" t="s">
        <v>1461</v>
      </c>
      <c r="R19" s="26" t="s">
        <v>592</v>
      </c>
    </row>
    <row r="20" spans="1:18">
      <c r="A20" s="19" t="s">
        <v>17</v>
      </c>
      <c r="B20" s="19">
        <v>19</v>
      </c>
      <c r="C20" s="29" t="s">
        <v>314</v>
      </c>
      <c r="D20" s="19" t="s">
        <v>1430</v>
      </c>
      <c r="E20" s="19" t="s">
        <v>38</v>
      </c>
      <c r="F20" s="19">
        <f t="shared" si="0"/>
        <v>200</v>
      </c>
      <c r="G20" s="19" t="s">
        <v>315</v>
      </c>
      <c r="H20" s="19" t="s">
        <v>1127</v>
      </c>
      <c r="I20" s="19" t="s">
        <v>3322</v>
      </c>
      <c r="J20" s="34" t="s">
        <v>3323</v>
      </c>
      <c r="K20" s="19" t="s">
        <v>115</v>
      </c>
      <c r="L20" s="19" t="s">
        <v>49</v>
      </c>
    </row>
    <row r="21" spans="1:18">
      <c r="A21" s="19" t="s">
        <v>17</v>
      </c>
      <c r="B21" s="19">
        <v>20</v>
      </c>
      <c r="C21" s="29" t="s">
        <v>316</v>
      </c>
      <c r="D21" s="19" t="s">
        <v>1431</v>
      </c>
      <c r="E21" s="19" t="s">
        <v>38</v>
      </c>
      <c r="F21" s="19">
        <f t="shared" si="0"/>
        <v>200</v>
      </c>
      <c r="I21" s="19" t="s">
        <v>3322</v>
      </c>
      <c r="J21" s="34" t="s">
        <v>3323</v>
      </c>
      <c r="K21" s="19" t="s">
        <v>115</v>
      </c>
      <c r="L21" s="19" t="s">
        <v>49</v>
      </c>
    </row>
    <row r="22" spans="1:18">
      <c r="A22" s="19" t="s">
        <v>17</v>
      </c>
      <c r="B22" s="19">
        <v>21</v>
      </c>
      <c r="C22" s="30" t="s">
        <v>1452</v>
      </c>
      <c r="D22" s="30" t="s">
        <v>1462</v>
      </c>
      <c r="E22" s="19" t="s">
        <v>38</v>
      </c>
      <c r="F22" s="19">
        <f t="shared" si="0"/>
        <v>200</v>
      </c>
      <c r="G22" s="30" t="s">
        <v>711</v>
      </c>
      <c r="H22" s="19" t="s">
        <v>1143</v>
      </c>
      <c r="I22" s="19" t="s">
        <v>3322</v>
      </c>
      <c r="J22" s="34" t="s">
        <v>3323</v>
      </c>
      <c r="K22" s="30" t="s">
        <v>115</v>
      </c>
      <c r="L22" s="30" t="s">
        <v>49</v>
      </c>
    </row>
    <row r="23" spans="1:18" ht="15.6">
      <c r="A23" s="19" t="s">
        <v>17</v>
      </c>
      <c r="B23" s="19">
        <v>22</v>
      </c>
      <c r="C23" s="29" t="s">
        <v>317</v>
      </c>
      <c r="D23" s="115" t="s">
        <v>3962</v>
      </c>
      <c r="E23" s="19" t="s">
        <v>38</v>
      </c>
      <c r="F23" s="19">
        <f t="shared" si="0"/>
        <v>200</v>
      </c>
      <c r="G23" s="19" t="s">
        <v>274</v>
      </c>
      <c r="H23" s="19" t="s">
        <v>1053</v>
      </c>
      <c r="I23" s="19" t="s">
        <v>69</v>
      </c>
      <c r="J23" s="30" t="s">
        <v>597</v>
      </c>
      <c r="K23" s="30" t="s">
        <v>115</v>
      </c>
      <c r="L23" s="19" t="s">
        <v>42</v>
      </c>
      <c r="O23" s="19" t="s">
        <v>1432</v>
      </c>
      <c r="R23" s="26" t="s">
        <v>592</v>
      </c>
    </row>
    <row r="24" spans="1:18" ht="15.6">
      <c r="A24" s="19" t="s">
        <v>17</v>
      </c>
      <c r="B24" s="19">
        <v>23</v>
      </c>
      <c r="C24" s="29" t="s">
        <v>318</v>
      </c>
      <c r="D24" s="114" t="s">
        <v>3964</v>
      </c>
      <c r="E24" s="19" t="s">
        <v>38</v>
      </c>
      <c r="F24" s="19">
        <f t="shared" si="0"/>
        <v>200</v>
      </c>
      <c r="G24" s="19" t="s">
        <v>274</v>
      </c>
      <c r="H24" s="19" t="s">
        <v>1053</v>
      </c>
      <c r="I24" s="19" t="s">
        <v>69</v>
      </c>
      <c r="J24" s="30" t="s">
        <v>597</v>
      </c>
      <c r="K24" s="19" t="s">
        <v>115</v>
      </c>
      <c r="L24" s="19" t="s">
        <v>49</v>
      </c>
      <c r="O24" s="19" t="s">
        <v>1432</v>
      </c>
      <c r="R24" s="26" t="s">
        <v>592</v>
      </c>
    </row>
    <row r="25" spans="1:18" s="29" customFormat="1">
      <c r="A25" s="19" t="s">
        <v>17</v>
      </c>
      <c r="B25" s="19">
        <v>24</v>
      </c>
      <c r="C25" s="29" t="s">
        <v>629</v>
      </c>
      <c r="D25" s="29" t="s">
        <v>1463</v>
      </c>
      <c r="E25" s="29" t="s">
        <v>38</v>
      </c>
      <c r="F25" s="19">
        <f t="shared" si="0"/>
        <v>200</v>
      </c>
      <c r="H25" s="29" t="s">
        <v>1142</v>
      </c>
      <c r="I25" s="19" t="s">
        <v>3322</v>
      </c>
      <c r="J25" s="34" t="s">
        <v>3323</v>
      </c>
      <c r="M25" s="19" t="s">
        <v>78</v>
      </c>
      <c r="O25" s="19"/>
    </row>
    <row r="26" spans="1:18">
      <c r="A26" s="19" t="s">
        <v>17</v>
      </c>
      <c r="B26" s="19">
        <v>25</v>
      </c>
      <c r="C26" s="29" t="s">
        <v>266</v>
      </c>
      <c r="D26" s="19" t="s">
        <v>1433</v>
      </c>
      <c r="E26" s="19" t="s">
        <v>242</v>
      </c>
      <c r="F26" s="19">
        <f t="shared" si="0"/>
        <v>8</v>
      </c>
      <c r="H26" s="19" t="s">
        <v>266</v>
      </c>
      <c r="I26" s="19" t="s">
        <v>69</v>
      </c>
      <c r="J26" s="30" t="s">
        <v>597</v>
      </c>
      <c r="K26" s="19" t="s">
        <v>258</v>
      </c>
      <c r="L26" s="19" t="s">
        <v>42</v>
      </c>
      <c r="O26" s="19" t="s">
        <v>1434</v>
      </c>
      <c r="R26" s="26" t="s">
        <v>592</v>
      </c>
    </row>
    <row r="27" spans="1:18">
      <c r="A27" s="19" t="s">
        <v>17</v>
      </c>
      <c r="B27" s="19">
        <v>26</v>
      </c>
      <c r="C27" s="29" t="s">
        <v>715</v>
      </c>
      <c r="D27" s="19" t="s">
        <v>1435</v>
      </c>
      <c r="E27" s="19" t="s">
        <v>38</v>
      </c>
      <c r="F27" s="19">
        <f t="shared" si="0"/>
        <v>200</v>
      </c>
      <c r="H27" s="19" t="s">
        <v>267</v>
      </c>
      <c r="I27" s="19" t="s">
        <v>69</v>
      </c>
      <c r="J27" s="30" t="s">
        <v>597</v>
      </c>
      <c r="K27" s="19" t="s">
        <v>258</v>
      </c>
      <c r="L27" s="19" t="s">
        <v>49</v>
      </c>
      <c r="O27" s="19" t="s">
        <v>1436</v>
      </c>
      <c r="R27" s="26" t="s">
        <v>592</v>
      </c>
    </row>
    <row r="28" spans="1:18" s="28" customFormat="1">
      <c r="A28" s="19" t="s">
        <v>17</v>
      </c>
      <c r="B28" s="19">
        <v>27</v>
      </c>
      <c r="C28" s="28" t="s">
        <v>260</v>
      </c>
      <c r="D28" s="28" t="s">
        <v>1437</v>
      </c>
      <c r="E28" s="28" t="s">
        <v>38</v>
      </c>
      <c r="F28" s="19">
        <f t="shared" si="0"/>
        <v>200</v>
      </c>
      <c r="G28" s="28" t="s">
        <v>598</v>
      </c>
      <c r="H28" s="28" t="s">
        <v>260</v>
      </c>
      <c r="I28" s="25" t="s">
        <v>69</v>
      </c>
      <c r="J28" s="30" t="s">
        <v>597</v>
      </c>
      <c r="K28" s="28" t="s">
        <v>258</v>
      </c>
      <c r="L28" s="28" t="s">
        <v>49</v>
      </c>
      <c r="O28" s="28" t="s">
        <v>1438</v>
      </c>
      <c r="R28" s="26" t="s">
        <v>592</v>
      </c>
    </row>
    <row r="29" spans="1:18">
      <c r="A29" s="19" t="s">
        <v>17</v>
      </c>
      <c r="B29" s="19">
        <v>28</v>
      </c>
      <c r="C29" s="29" t="s">
        <v>319</v>
      </c>
      <c r="D29" s="19" t="s">
        <v>1464</v>
      </c>
      <c r="E29" s="19" t="s">
        <v>38</v>
      </c>
      <c r="F29" s="19">
        <f t="shared" si="0"/>
        <v>200</v>
      </c>
      <c r="I29" s="19" t="s">
        <v>69</v>
      </c>
      <c r="J29" s="30" t="s">
        <v>597</v>
      </c>
      <c r="K29" s="19" t="s">
        <v>258</v>
      </c>
      <c r="L29" s="19" t="s">
        <v>42</v>
      </c>
      <c r="O29" s="19" t="s">
        <v>1444</v>
      </c>
      <c r="R29" s="26" t="s">
        <v>592</v>
      </c>
    </row>
    <row r="30" spans="1:18">
      <c r="A30" s="19" t="s">
        <v>17</v>
      </c>
      <c r="B30" s="19">
        <v>29</v>
      </c>
      <c r="C30" s="29" t="s">
        <v>320</v>
      </c>
      <c r="D30" s="19" t="s">
        <v>1465</v>
      </c>
      <c r="E30" s="19" t="s">
        <v>242</v>
      </c>
      <c r="F30" s="19">
        <f t="shared" si="0"/>
        <v>8</v>
      </c>
      <c r="I30" s="19" t="s">
        <v>69</v>
      </c>
      <c r="J30" s="30" t="s">
        <v>597</v>
      </c>
      <c r="K30" s="19" t="s">
        <v>258</v>
      </c>
      <c r="L30" s="19" t="s">
        <v>49</v>
      </c>
      <c r="O30" s="19" t="s">
        <v>3919</v>
      </c>
      <c r="R30" s="26" t="s">
        <v>592</v>
      </c>
    </row>
    <row r="31" spans="1:18">
      <c r="A31" s="19" t="s">
        <v>1221</v>
      </c>
      <c r="B31" s="19">
        <v>30</v>
      </c>
      <c r="C31" s="29" t="s">
        <v>691</v>
      </c>
      <c r="D31" s="19" t="s">
        <v>1447</v>
      </c>
      <c r="E31" s="19" t="s">
        <v>38</v>
      </c>
      <c r="F31" s="19">
        <f t="shared" ref="F31:F37" si="1">IF(E31="Char",200,8)</f>
        <v>200</v>
      </c>
      <c r="I31" s="19" t="s">
        <v>3322</v>
      </c>
      <c r="J31" s="34" t="s">
        <v>3323</v>
      </c>
      <c r="M31" s="19" t="s">
        <v>78</v>
      </c>
    </row>
    <row r="32" spans="1:18">
      <c r="A32" s="19" t="s">
        <v>1221</v>
      </c>
      <c r="B32" s="19">
        <v>31</v>
      </c>
      <c r="C32" s="29" t="s">
        <v>1846</v>
      </c>
      <c r="D32" s="19" t="s">
        <v>1852</v>
      </c>
      <c r="E32" s="19" t="s">
        <v>38</v>
      </c>
      <c r="F32" s="19">
        <f t="shared" si="1"/>
        <v>200</v>
      </c>
      <c r="I32" s="19" t="s">
        <v>3322</v>
      </c>
      <c r="J32" s="34" t="s">
        <v>3323</v>
      </c>
      <c r="M32" s="19" t="s">
        <v>78</v>
      </c>
    </row>
    <row r="33" spans="1:13">
      <c r="A33" s="19" t="s">
        <v>1221</v>
      </c>
      <c r="B33" s="19">
        <v>32</v>
      </c>
      <c r="C33" s="29" t="s">
        <v>1847</v>
      </c>
      <c r="D33" s="19" t="s">
        <v>1853</v>
      </c>
      <c r="E33" s="19" t="s">
        <v>38</v>
      </c>
      <c r="F33" s="19">
        <f t="shared" si="1"/>
        <v>200</v>
      </c>
      <c r="I33" s="19" t="s">
        <v>3322</v>
      </c>
      <c r="J33" s="34" t="s">
        <v>3323</v>
      </c>
      <c r="M33" s="19" t="s">
        <v>78</v>
      </c>
    </row>
    <row r="34" spans="1:13" ht="15.6">
      <c r="A34" s="19" t="s">
        <v>1221</v>
      </c>
      <c r="B34" s="19">
        <v>33</v>
      </c>
      <c r="C34" s="29" t="s">
        <v>1848</v>
      </c>
      <c r="D34" s="19" t="s">
        <v>1854</v>
      </c>
      <c r="E34" s="19" t="s">
        <v>38</v>
      </c>
      <c r="F34" s="19">
        <f t="shared" si="1"/>
        <v>200</v>
      </c>
      <c r="I34" s="19" t="s">
        <v>3322</v>
      </c>
      <c r="J34" s="34" t="s">
        <v>3323</v>
      </c>
      <c r="M34" s="19" t="s">
        <v>78</v>
      </c>
    </row>
    <row r="35" spans="1:13" ht="15.6">
      <c r="A35" s="19" t="s">
        <v>1221</v>
      </c>
      <c r="B35" s="19">
        <v>34</v>
      </c>
      <c r="C35" s="29" t="s">
        <v>1849</v>
      </c>
      <c r="D35" s="19" t="s">
        <v>1855</v>
      </c>
      <c r="E35" s="19" t="s">
        <v>38</v>
      </c>
      <c r="F35" s="19">
        <f t="shared" si="1"/>
        <v>200</v>
      </c>
      <c r="I35" s="19" t="s">
        <v>3322</v>
      </c>
      <c r="J35" s="34" t="s">
        <v>3323</v>
      </c>
      <c r="M35" s="19" t="s">
        <v>78</v>
      </c>
    </row>
    <row r="36" spans="1:13" ht="15.6">
      <c r="A36" s="19" t="s">
        <v>1221</v>
      </c>
      <c r="B36" s="19">
        <v>35</v>
      </c>
      <c r="C36" s="29" t="s">
        <v>1850</v>
      </c>
      <c r="D36" s="19" t="s">
        <v>1856</v>
      </c>
      <c r="E36" s="19" t="s">
        <v>38</v>
      </c>
      <c r="F36" s="19">
        <f t="shared" si="1"/>
        <v>200</v>
      </c>
      <c r="I36" s="19" t="s">
        <v>3322</v>
      </c>
      <c r="J36" s="34" t="s">
        <v>3323</v>
      </c>
      <c r="M36" s="19" t="s">
        <v>78</v>
      </c>
    </row>
    <row r="37" spans="1:13" ht="15.6">
      <c r="A37" s="19" t="s">
        <v>1221</v>
      </c>
      <c r="B37" s="19">
        <v>36</v>
      </c>
      <c r="C37" s="29" t="s">
        <v>1851</v>
      </c>
      <c r="D37" s="19" t="s">
        <v>1857</v>
      </c>
      <c r="E37" s="19" t="s">
        <v>38</v>
      </c>
      <c r="F37" s="19">
        <f t="shared" si="1"/>
        <v>200</v>
      </c>
      <c r="I37" s="19" t="s">
        <v>3322</v>
      </c>
      <c r="J37" s="34" t="s">
        <v>3323</v>
      </c>
      <c r="M37" s="19" t="s">
        <v>78</v>
      </c>
    </row>
    <row r="38" spans="1:13">
      <c r="A38" s="19" t="s">
        <v>17</v>
      </c>
      <c r="B38" s="19">
        <v>37</v>
      </c>
      <c r="C38" s="29" t="s">
        <v>844</v>
      </c>
      <c r="D38" s="29" t="s">
        <v>1466</v>
      </c>
      <c r="E38" s="29" t="s">
        <v>621</v>
      </c>
      <c r="F38" s="19">
        <f t="shared" si="0"/>
        <v>8</v>
      </c>
      <c r="H38" s="19" t="s">
        <v>303</v>
      </c>
      <c r="I38" s="19" t="s">
        <v>3322</v>
      </c>
      <c r="J38" s="27" t="s">
        <v>3324</v>
      </c>
      <c r="M38" s="19" t="s">
        <v>78</v>
      </c>
    </row>
    <row r="39" spans="1:13">
      <c r="A39" s="19" t="s">
        <v>17</v>
      </c>
      <c r="B39" s="19">
        <v>38</v>
      </c>
      <c r="C39" s="29" t="s">
        <v>843</v>
      </c>
      <c r="D39" s="29" t="s">
        <v>1467</v>
      </c>
      <c r="E39" s="29" t="s">
        <v>621</v>
      </c>
      <c r="F39" s="19">
        <f t="shared" ref="F39:F40" si="2">IF(E39="Char",200,8)</f>
        <v>8</v>
      </c>
      <c r="H39" s="19" t="s">
        <v>301</v>
      </c>
      <c r="I39" s="19" t="s">
        <v>3322</v>
      </c>
      <c r="J39" s="27" t="s">
        <v>3324</v>
      </c>
      <c r="M39" s="19" t="s">
        <v>78</v>
      </c>
    </row>
    <row r="40" spans="1:13">
      <c r="A40" s="19" t="s">
        <v>17</v>
      </c>
      <c r="B40" s="19">
        <v>39</v>
      </c>
      <c r="C40" s="29" t="s">
        <v>958</v>
      </c>
      <c r="D40" s="29" t="s">
        <v>1468</v>
      </c>
      <c r="E40" s="19" t="s">
        <v>38</v>
      </c>
      <c r="F40" s="19">
        <f t="shared" si="2"/>
        <v>200</v>
      </c>
      <c r="I40" s="19" t="s">
        <v>3322</v>
      </c>
      <c r="J40" s="34" t="s">
        <v>3323</v>
      </c>
      <c r="M40" s="19" t="s">
        <v>78</v>
      </c>
    </row>
  </sheetData>
  <phoneticPr fontId="67" type="noConversion"/>
  <conditionalFormatting sqref="G3">
    <cfRule type="duplicateValues" dxfId="43" priority="2"/>
  </conditionalFormatting>
  <conditionalFormatting sqref="H3">
    <cfRule type="duplicateValues" dxfId="42"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5B6C-5B26-4A31-863F-D38967B17161}">
  <dimension ref="A1:Q207"/>
  <sheetViews>
    <sheetView topLeftCell="A182" zoomScale="55" zoomScaleNormal="55" workbookViewId="0">
      <selection activeCell="E71" sqref="E71"/>
    </sheetView>
  </sheetViews>
  <sheetFormatPr defaultColWidth="7.453125" defaultRowHeight="28.2"/>
  <cols>
    <col min="1" max="1" width="18.26953125" style="38" bestFit="1" customWidth="1"/>
    <col min="2" max="2" width="27.1796875" style="38" bestFit="1" customWidth="1"/>
    <col min="3" max="3" width="18.26953125" style="38" bestFit="1" customWidth="1"/>
    <col min="4" max="4" width="8.81640625" style="38" bestFit="1" customWidth="1"/>
    <col min="5" max="5" width="37" style="38" bestFit="1" customWidth="1"/>
    <col min="6" max="6" width="34.26953125" style="38" bestFit="1" customWidth="1"/>
    <col min="7" max="7" width="16.1796875" style="102" customWidth="1"/>
    <col min="8" max="8" width="10.6328125" style="38" bestFit="1" customWidth="1"/>
    <col min="9" max="9" width="14" style="38" bestFit="1" customWidth="1"/>
    <col min="10" max="10" width="14" style="38" customWidth="1"/>
    <col min="11" max="11" width="6.7265625" style="38" bestFit="1" customWidth="1"/>
    <col min="12" max="12" width="30.7265625" style="38" customWidth="1"/>
    <col min="13" max="13" width="38.54296875" style="38" bestFit="1" customWidth="1"/>
    <col min="14" max="14" width="30.90625" style="38" bestFit="1" customWidth="1"/>
    <col min="15" max="16384" width="7.453125" style="38"/>
  </cols>
  <sheetData>
    <row r="1" spans="1:17" s="41" customFormat="1" ht="25.8">
      <c r="A1" s="73" t="s">
        <v>1385</v>
      </c>
      <c r="B1" s="73" t="s">
        <v>1386</v>
      </c>
      <c r="C1" s="73" t="s">
        <v>302</v>
      </c>
      <c r="D1" s="73" t="s">
        <v>303</v>
      </c>
      <c r="E1" s="73" t="s">
        <v>299</v>
      </c>
      <c r="F1" s="73" t="s">
        <v>3524</v>
      </c>
      <c r="G1" s="74" t="s">
        <v>3525</v>
      </c>
      <c r="H1" s="73" t="s">
        <v>301</v>
      </c>
      <c r="I1" s="73" t="s">
        <v>308</v>
      </c>
      <c r="J1" s="73" t="s">
        <v>3526</v>
      </c>
      <c r="K1" s="73" t="s">
        <v>1517</v>
      </c>
      <c r="L1" s="37" t="s">
        <v>1833</v>
      </c>
      <c r="M1" s="37" t="s">
        <v>1037</v>
      </c>
      <c r="N1" s="37"/>
    </row>
    <row r="2" spans="1:17" ht="25.8">
      <c r="A2" s="73" t="s">
        <v>3527</v>
      </c>
      <c r="B2" s="73" t="s">
        <v>812</v>
      </c>
      <c r="C2" s="73" t="s">
        <v>3527</v>
      </c>
      <c r="D2" s="73">
        <v>1</v>
      </c>
      <c r="E2" s="73" t="s">
        <v>3528</v>
      </c>
      <c r="F2" s="73" t="s">
        <v>812</v>
      </c>
      <c r="G2" s="75" t="s">
        <v>3529</v>
      </c>
      <c r="H2" s="76">
        <f>IF(D2=D1,H1+1,D2*100+1)</f>
        <v>101</v>
      </c>
      <c r="I2" s="77"/>
      <c r="J2" s="77"/>
      <c r="K2" s="77"/>
      <c r="M2" s="38">
        <v>3</v>
      </c>
      <c r="N2" s="38" t="s">
        <v>1276</v>
      </c>
    </row>
    <row r="3" spans="1:17" ht="25.8">
      <c r="A3" s="73" t="s">
        <v>3530</v>
      </c>
      <c r="B3" s="73" t="s">
        <v>1627</v>
      </c>
      <c r="C3" s="73" t="s">
        <v>3527</v>
      </c>
      <c r="D3" s="73">
        <v>1</v>
      </c>
      <c r="E3" s="73" t="s">
        <v>3531</v>
      </c>
      <c r="F3" s="73" t="s">
        <v>811</v>
      </c>
      <c r="G3" s="78" t="s">
        <v>3532</v>
      </c>
      <c r="H3" s="76">
        <f t="shared" ref="H3:H6" si="0">IF(D3=D2,H2+1,D3*100+1)</f>
        <v>102</v>
      </c>
      <c r="I3" s="77"/>
      <c r="J3" s="77"/>
      <c r="K3" s="77"/>
      <c r="M3" s="38">
        <v>2</v>
      </c>
      <c r="N3" s="38" t="s">
        <v>1282</v>
      </c>
      <c r="O3" s="40"/>
      <c r="P3" s="40"/>
      <c r="Q3" s="40"/>
    </row>
    <row r="4" spans="1:17">
      <c r="A4" s="73" t="s">
        <v>3530</v>
      </c>
      <c r="B4" s="73" t="s">
        <v>1626</v>
      </c>
      <c r="C4" s="73" t="s">
        <v>3527</v>
      </c>
      <c r="D4" s="73">
        <v>1</v>
      </c>
      <c r="E4" s="79" t="s">
        <v>3533</v>
      </c>
      <c r="F4" s="73" t="s">
        <v>1626</v>
      </c>
      <c r="G4" s="80" t="s">
        <v>3534</v>
      </c>
      <c r="H4" s="76">
        <f t="shared" si="0"/>
        <v>103</v>
      </c>
      <c r="I4" s="77"/>
      <c r="J4" s="77"/>
      <c r="K4" s="77"/>
      <c r="M4" s="38" t="s">
        <v>1832</v>
      </c>
      <c r="N4" s="38" t="s">
        <v>1281</v>
      </c>
      <c r="O4" s="39"/>
      <c r="P4" s="39"/>
      <c r="Q4" s="39"/>
    </row>
    <row r="5" spans="1:17" ht="25.8">
      <c r="A5" s="73" t="s">
        <v>3527</v>
      </c>
      <c r="B5" s="73" t="s">
        <v>813</v>
      </c>
      <c r="C5" s="73" t="s">
        <v>3527</v>
      </c>
      <c r="D5" s="73">
        <v>1</v>
      </c>
      <c r="E5" s="79" t="s">
        <v>3535</v>
      </c>
      <c r="F5" s="73" t="s">
        <v>813</v>
      </c>
      <c r="G5" s="78" t="s">
        <v>3536</v>
      </c>
      <c r="H5" s="76">
        <f t="shared" si="0"/>
        <v>104</v>
      </c>
      <c r="I5" s="77"/>
      <c r="J5" s="77"/>
      <c r="K5" s="77"/>
      <c r="M5" s="38" t="s">
        <v>1841</v>
      </c>
      <c r="N5" s="38" t="s">
        <v>1842</v>
      </c>
      <c r="O5" s="39"/>
      <c r="P5" s="39"/>
      <c r="Q5" s="39"/>
    </row>
    <row r="6" spans="1:17" ht="25.8">
      <c r="A6" s="73" t="s">
        <v>3527</v>
      </c>
      <c r="B6" s="73" t="s">
        <v>18</v>
      </c>
      <c r="C6" s="73" t="s">
        <v>3527</v>
      </c>
      <c r="D6" s="73">
        <v>1</v>
      </c>
      <c r="E6" s="73" t="s">
        <v>3537</v>
      </c>
      <c r="F6" s="73" t="s">
        <v>18</v>
      </c>
      <c r="G6" s="78" t="s">
        <v>3538</v>
      </c>
      <c r="H6" s="76">
        <f t="shared" si="0"/>
        <v>105</v>
      </c>
      <c r="I6" s="77"/>
      <c r="J6" s="77"/>
      <c r="K6" s="77"/>
      <c r="M6" s="38" t="s">
        <v>1471</v>
      </c>
      <c r="N6" s="38" t="s">
        <v>1473</v>
      </c>
    </row>
    <row r="7" spans="1:17" ht="25.8">
      <c r="A7" s="73" t="s">
        <v>3539</v>
      </c>
      <c r="B7" s="73" t="s">
        <v>346</v>
      </c>
      <c r="C7" s="73" t="s">
        <v>3539</v>
      </c>
      <c r="D7" s="73">
        <v>2</v>
      </c>
      <c r="E7" s="73" t="s">
        <v>3540</v>
      </c>
      <c r="F7" s="81" t="s">
        <v>3541</v>
      </c>
      <c r="G7" s="78" t="s">
        <v>3542</v>
      </c>
      <c r="H7" s="76">
        <f>IF(D7=D6,H6+1,D7*100+1)</f>
        <v>201</v>
      </c>
      <c r="I7" s="73"/>
      <c r="J7" s="73"/>
      <c r="K7" s="77" t="s">
        <v>1841</v>
      </c>
    </row>
    <row r="8" spans="1:17" ht="25.8">
      <c r="A8" s="73" t="s">
        <v>3543</v>
      </c>
      <c r="B8" s="73" t="s">
        <v>968</v>
      </c>
      <c r="C8" s="73" t="s">
        <v>3543</v>
      </c>
      <c r="D8" s="73">
        <v>2</v>
      </c>
      <c r="E8" s="73" t="s">
        <v>3544</v>
      </c>
      <c r="F8" s="82" t="s">
        <v>3545</v>
      </c>
      <c r="G8" s="78" t="s">
        <v>3546</v>
      </c>
      <c r="H8" s="76">
        <f>IF(D8=D7,H7+1,D8*100+1)</f>
        <v>202</v>
      </c>
      <c r="I8" s="77"/>
      <c r="J8" s="77"/>
      <c r="K8" s="77" t="s">
        <v>1841</v>
      </c>
    </row>
    <row r="9" spans="1:17" ht="25.8">
      <c r="A9" s="83" t="s">
        <v>3547</v>
      </c>
      <c r="B9" s="84" t="s">
        <v>3548</v>
      </c>
      <c r="C9" s="85" t="s">
        <v>1628</v>
      </c>
      <c r="D9" s="73">
        <v>3</v>
      </c>
      <c r="E9" s="85" t="s">
        <v>3549</v>
      </c>
      <c r="F9" s="85" t="s">
        <v>3550</v>
      </c>
      <c r="G9" s="78" t="s">
        <v>3551</v>
      </c>
      <c r="H9" s="76">
        <f t="shared" ref="H9:H72" si="1">IF(D9=D8,H8+1,D9*100+1)</f>
        <v>301</v>
      </c>
      <c r="I9" s="76" t="s">
        <v>1668</v>
      </c>
      <c r="J9" s="76" t="s">
        <v>592</v>
      </c>
      <c r="K9" s="83"/>
    </row>
    <row r="10" spans="1:17" ht="25.8">
      <c r="A10" s="73" t="s">
        <v>3552</v>
      </c>
      <c r="B10" s="73" t="s">
        <v>1629</v>
      </c>
      <c r="C10" s="73" t="s">
        <v>3552</v>
      </c>
      <c r="D10" s="73">
        <v>3</v>
      </c>
      <c r="E10" s="73" t="s">
        <v>3553</v>
      </c>
      <c r="F10" s="73" t="s">
        <v>814</v>
      </c>
      <c r="G10" s="78" t="s">
        <v>814</v>
      </c>
      <c r="H10" s="76">
        <f t="shared" si="1"/>
        <v>302</v>
      </c>
      <c r="I10" s="73"/>
      <c r="J10" s="73"/>
      <c r="K10" s="77">
        <v>3</v>
      </c>
      <c r="L10" s="38" t="s">
        <v>1835</v>
      </c>
    </row>
    <row r="11" spans="1:17" ht="25.8">
      <c r="A11" s="73" t="s">
        <v>3554</v>
      </c>
      <c r="B11" s="73" t="s">
        <v>1047</v>
      </c>
      <c r="C11" s="73" t="s">
        <v>3554</v>
      </c>
      <c r="D11" s="73">
        <v>3</v>
      </c>
      <c r="E11" s="73" t="s">
        <v>3555</v>
      </c>
      <c r="F11" s="73" t="s">
        <v>198</v>
      </c>
      <c r="G11" s="78" t="s">
        <v>198</v>
      </c>
      <c r="H11" s="76">
        <f t="shared" si="1"/>
        <v>303</v>
      </c>
      <c r="I11" s="73"/>
      <c r="J11" s="73"/>
      <c r="K11" s="77">
        <v>3</v>
      </c>
      <c r="L11" s="38" t="s">
        <v>1835</v>
      </c>
      <c r="M11" s="38" t="s">
        <v>1481</v>
      </c>
    </row>
    <row r="12" spans="1:17" ht="25.8">
      <c r="A12" s="73" t="s">
        <v>3552</v>
      </c>
      <c r="B12" s="73" t="s">
        <v>1469</v>
      </c>
      <c r="C12" s="73" t="s">
        <v>3552</v>
      </c>
      <c r="D12" s="73">
        <v>3</v>
      </c>
      <c r="E12" s="86" t="s">
        <v>3556</v>
      </c>
      <c r="F12" s="73" t="s">
        <v>1470</v>
      </c>
      <c r="G12" s="78" t="s">
        <v>1469</v>
      </c>
      <c r="H12" s="76">
        <f t="shared" si="1"/>
        <v>304</v>
      </c>
      <c r="I12" s="77"/>
      <c r="J12" s="77"/>
      <c r="K12" s="77">
        <v>3</v>
      </c>
      <c r="L12" s="38" t="s">
        <v>1835</v>
      </c>
    </row>
    <row r="13" spans="1:17" ht="25.8">
      <c r="A13" s="83" t="s">
        <v>3547</v>
      </c>
      <c r="B13" s="87" t="s">
        <v>3557</v>
      </c>
      <c r="C13" s="76" t="s">
        <v>3552</v>
      </c>
      <c r="D13" s="73">
        <v>3</v>
      </c>
      <c r="E13" s="86" t="s">
        <v>3556</v>
      </c>
      <c r="F13" s="88" t="s">
        <v>3558</v>
      </c>
      <c r="G13" s="78" t="s">
        <v>1470</v>
      </c>
      <c r="H13" s="76">
        <f t="shared" si="1"/>
        <v>305</v>
      </c>
      <c r="I13" s="76" t="s">
        <v>1655</v>
      </c>
      <c r="J13" s="76" t="s">
        <v>592</v>
      </c>
      <c r="K13" s="83"/>
    </row>
    <row r="14" spans="1:17" ht="25.8">
      <c r="A14" s="73" t="s">
        <v>3552</v>
      </c>
      <c r="B14" s="73" t="s">
        <v>199</v>
      </c>
      <c r="C14" s="73" t="s">
        <v>3552</v>
      </c>
      <c r="D14" s="73">
        <v>3</v>
      </c>
      <c r="E14" s="73" t="s">
        <v>3559</v>
      </c>
      <c r="F14" s="73" t="s">
        <v>3560</v>
      </c>
      <c r="G14" s="78" t="s">
        <v>3560</v>
      </c>
      <c r="H14" s="76">
        <f t="shared" si="1"/>
        <v>306</v>
      </c>
      <c r="I14" s="77"/>
      <c r="J14" s="77"/>
      <c r="K14" s="77">
        <v>3</v>
      </c>
      <c r="L14" s="38" t="s">
        <v>1835</v>
      </c>
      <c r="O14" s="39"/>
      <c r="P14" s="39"/>
      <c r="Q14" s="39"/>
    </row>
    <row r="15" spans="1:17" ht="25.8">
      <c r="A15" s="73" t="s">
        <v>3552</v>
      </c>
      <c r="B15" s="73" t="s">
        <v>196</v>
      </c>
      <c r="C15" s="73" t="s">
        <v>3552</v>
      </c>
      <c r="D15" s="73">
        <v>3</v>
      </c>
      <c r="E15" s="73" t="s">
        <v>3561</v>
      </c>
      <c r="F15" s="73" t="s">
        <v>3562</v>
      </c>
      <c r="G15" s="78" t="s">
        <v>3562</v>
      </c>
      <c r="H15" s="76">
        <f t="shared" si="1"/>
        <v>307</v>
      </c>
      <c r="I15" s="77"/>
      <c r="J15" s="77"/>
      <c r="K15" s="77">
        <v>3</v>
      </c>
      <c r="L15" s="38" t="s">
        <v>1835</v>
      </c>
    </row>
    <row r="16" spans="1:17" ht="25.8">
      <c r="A16" s="73" t="s">
        <v>3552</v>
      </c>
      <c r="B16" s="73" t="s">
        <v>197</v>
      </c>
      <c r="C16" s="73" t="s">
        <v>3552</v>
      </c>
      <c r="D16" s="73">
        <v>3</v>
      </c>
      <c r="E16" s="73" t="s">
        <v>3563</v>
      </c>
      <c r="F16" s="73" t="s">
        <v>3564</v>
      </c>
      <c r="G16" s="78" t="s">
        <v>3564</v>
      </c>
      <c r="H16" s="76">
        <f t="shared" si="1"/>
        <v>308</v>
      </c>
      <c r="I16" s="77"/>
      <c r="J16" s="77"/>
      <c r="K16" s="77">
        <v>3</v>
      </c>
      <c r="L16" s="38" t="s">
        <v>1835</v>
      </c>
    </row>
    <row r="17" spans="1:17" ht="25.8">
      <c r="A17" s="73" t="s">
        <v>3565</v>
      </c>
      <c r="B17" s="73" t="s">
        <v>1834</v>
      </c>
      <c r="C17" s="73" t="s">
        <v>3565</v>
      </c>
      <c r="D17" s="73">
        <v>4</v>
      </c>
      <c r="E17" s="73" t="s">
        <v>3566</v>
      </c>
      <c r="F17" s="73" t="s">
        <v>3567</v>
      </c>
      <c r="G17" s="78" t="s">
        <v>3567</v>
      </c>
      <c r="H17" s="76">
        <f t="shared" si="1"/>
        <v>401</v>
      </c>
      <c r="I17" s="77" t="s">
        <v>601</v>
      </c>
      <c r="J17" s="77"/>
      <c r="K17" s="77"/>
    </row>
    <row r="18" spans="1:17" ht="25.8">
      <c r="A18" s="83" t="s">
        <v>3547</v>
      </c>
      <c r="B18" s="89" t="s">
        <v>3568</v>
      </c>
      <c r="C18" s="84" t="s">
        <v>3565</v>
      </c>
      <c r="D18" s="73">
        <v>4</v>
      </c>
      <c r="E18" s="84" t="s">
        <v>3569</v>
      </c>
      <c r="F18" s="84" t="s">
        <v>1751</v>
      </c>
      <c r="G18" s="78" t="s">
        <v>1751</v>
      </c>
      <c r="H18" s="76">
        <f t="shared" si="1"/>
        <v>402</v>
      </c>
      <c r="I18" s="76" t="s">
        <v>1509</v>
      </c>
      <c r="J18" s="76" t="s">
        <v>592</v>
      </c>
      <c r="K18" s="83"/>
      <c r="L18" s="39"/>
    </row>
    <row r="19" spans="1:17" ht="25.8">
      <c r="A19" s="73" t="s">
        <v>3565</v>
      </c>
      <c r="B19" s="73" t="s">
        <v>324</v>
      </c>
      <c r="C19" s="73" t="s">
        <v>3565</v>
      </c>
      <c r="D19" s="73">
        <v>4</v>
      </c>
      <c r="E19" s="73" t="s">
        <v>3570</v>
      </c>
      <c r="F19" s="73" t="s">
        <v>3571</v>
      </c>
      <c r="G19" s="78" t="s">
        <v>3571</v>
      </c>
      <c r="H19" s="76">
        <f t="shared" si="1"/>
        <v>403</v>
      </c>
      <c r="I19" s="77" t="s">
        <v>601</v>
      </c>
      <c r="J19" s="77"/>
      <c r="K19" s="77"/>
    </row>
    <row r="20" spans="1:17" ht="25.8">
      <c r="A20" s="83" t="s">
        <v>3547</v>
      </c>
      <c r="B20" s="84" t="s">
        <v>3572</v>
      </c>
      <c r="C20" s="84" t="s">
        <v>3565</v>
      </c>
      <c r="D20" s="73">
        <v>4</v>
      </c>
      <c r="E20" s="84" t="s">
        <v>3573</v>
      </c>
      <c r="F20" s="84" t="s">
        <v>1753</v>
      </c>
      <c r="G20" s="78" t="s">
        <v>3914</v>
      </c>
      <c r="H20" s="76">
        <f t="shared" si="1"/>
        <v>404</v>
      </c>
      <c r="I20" s="76" t="s">
        <v>1836</v>
      </c>
      <c r="J20" s="76" t="s">
        <v>592</v>
      </c>
      <c r="K20" s="83"/>
      <c r="L20" s="39"/>
    </row>
    <row r="21" spans="1:17" ht="25.8">
      <c r="A21" s="83" t="s">
        <v>3547</v>
      </c>
      <c r="B21" s="84" t="s">
        <v>3574</v>
      </c>
      <c r="C21" s="84" t="s">
        <v>3565</v>
      </c>
      <c r="D21" s="73">
        <v>4</v>
      </c>
      <c r="E21" s="85" t="s">
        <v>3575</v>
      </c>
      <c r="F21" s="84" t="s">
        <v>1757</v>
      </c>
      <c r="G21" s="78" t="s">
        <v>3914</v>
      </c>
      <c r="H21" s="76">
        <f t="shared" si="1"/>
        <v>405</v>
      </c>
      <c r="I21" s="76" t="s">
        <v>601</v>
      </c>
      <c r="J21" s="76" t="s">
        <v>592</v>
      </c>
      <c r="K21" s="83"/>
      <c r="L21" s="39"/>
    </row>
    <row r="22" spans="1:17" ht="25.8">
      <c r="A22" s="73" t="s">
        <v>3565</v>
      </c>
      <c r="B22" s="73" t="s">
        <v>1296</v>
      </c>
      <c r="C22" s="73" t="s">
        <v>3565</v>
      </c>
      <c r="D22" s="73">
        <v>4</v>
      </c>
      <c r="E22" s="73" t="s">
        <v>3576</v>
      </c>
      <c r="F22" s="73" t="s">
        <v>327</v>
      </c>
      <c r="G22" s="78" t="s">
        <v>327</v>
      </c>
      <c r="H22" s="76">
        <f t="shared" si="1"/>
        <v>406</v>
      </c>
      <c r="I22" s="73" t="s">
        <v>328</v>
      </c>
      <c r="J22" s="73"/>
      <c r="K22" s="77"/>
    </row>
    <row r="23" spans="1:17" ht="25.8">
      <c r="A23" s="83" t="s">
        <v>3547</v>
      </c>
      <c r="B23" s="84" t="s">
        <v>3577</v>
      </c>
      <c r="C23" s="84" t="s">
        <v>3565</v>
      </c>
      <c r="D23" s="73">
        <v>4</v>
      </c>
      <c r="E23" s="73" t="s">
        <v>3576</v>
      </c>
      <c r="F23" s="84" t="s">
        <v>1870</v>
      </c>
      <c r="G23" s="78" t="s">
        <v>327</v>
      </c>
      <c r="H23" s="76">
        <f t="shared" si="1"/>
        <v>407</v>
      </c>
      <c r="I23" s="89" t="s">
        <v>1871</v>
      </c>
      <c r="J23" s="76" t="s">
        <v>592</v>
      </c>
      <c r="K23" s="83"/>
      <c r="L23" s="39"/>
    </row>
    <row r="24" spans="1:17" ht="25.8">
      <c r="A24" s="83" t="s">
        <v>3547</v>
      </c>
      <c r="B24" s="89" t="s">
        <v>3578</v>
      </c>
      <c r="C24" s="77" t="s">
        <v>3565</v>
      </c>
      <c r="D24" s="73">
        <v>4</v>
      </c>
      <c r="E24" s="73" t="s">
        <v>3576</v>
      </c>
      <c r="F24" s="84" t="s">
        <v>1870</v>
      </c>
      <c r="G24" s="78" t="s">
        <v>327</v>
      </c>
      <c r="H24" s="76">
        <f t="shared" si="1"/>
        <v>408</v>
      </c>
      <c r="I24" s="89" t="s">
        <v>328</v>
      </c>
      <c r="J24" s="76" t="s">
        <v>592</v>
      </c>
      <c r="K24" s="83"/>
      <c r="L24" s="39"/>
    </row>
    <row r="25" spans="1:17" ht="25.8">
      <c r="A25" s="73" t="s">
        <v>3565</v>
      </c>
      <c r="B25" s="73" t="s">
        <v>816</v>
      </c>
      <c r="C25" s="73" t="s">
        <v>3565</v>
      </c>
      <c r="D25" s="73">
        <v>4</v>
      </c>
      <c r="E25" s="73" t="s">
        <v>3579</v>
      </c>
      <c r="F25" s="73" t="s">
        <v>2565</v>
      </c>
      <c r="G25" s="78" t="s">
        <v>2565</v>
      </c>
      <c r="H25" s="76">
        <f t="shared" si="1"/>
        <v>409</v>
      </c>
      <c r="I25" s="73" t="s">
        <v>322</v>
      </c>
      <c r="J25" s="73"/>
      <c r="K25" s="77"/>
    </row>
    <row r="26" spans="1:17" ht="25.8">
      <c r="A26" s="73" t="s">
        <v>3565</v>
      </c>
      <c r="B26" s="73" t="s">
        <v>1479</v>
      </c>
      <c r="C26" s="73" t="s">
        <v>3565</v>
      </c>
      <c r="D26" s="73">
        <v>4</v>
      </c>
      <c r="E26" s="73" t="s">
        <v>3580</v>
      </c>
      <c r="F26" s="73" t="s">
        <v>3581</v>
      </c>
      <c r="G26" s="78" t="s">
        <v>3581</v>
      </c>
      <c r="H26" s="76">
        <f t="shared" si="1"/>
        <v>410</v>
      </c>
      <c r="I26" s="77" t="s">
        <v>601</v>
      </c>
      <c r="J26" s="77"/>
      <c r="K26" s="77"/>
    </row>
    <row r="27" spans="1:17" ht="25.8">
      <c r="A27" s="83" t="s">
        <v>3547</v>
      </c>
      <c r="B27" s="89" t="s">
        <v>3582</v>
      </c>
      <c r="C27" s="77" t="s">
        <v>3565</v>
      </c>
      <c r="D27" s="73">
        <v>4</v>
      </c>
      <c r="E27" s="77" t="s">
        <v>3583</v>
      </c>
      <c r="F27" s="77" t="s">
        <v>1758</v>
      </c>
      <c r="G27" s="78" t="s">
        <v>3584</v>
      </c>
      <c r="H27" s="76">
        <f t="shared" si="1"/>
        <v>411</v>
      </c>
      <c r="I27" s="89" t="s">
        <v>328</v>
      </c>
      <c r="J27" s="76" t="s">
        <v>592</v>
      </c>
      <c r="K27" s="83"/>
      <c r="L27" s="39"/>
      <c r="O27" s="40"/>
      <c r="P27" s="40"/>
      <c r="Q27" s="40"/>
    </row>
    <row r="28" spans="1:17" ht="25.8">
      <c r="A28" s="73" t="s">
        <v>3565</v>
      </c>
      <c r="B28" s="73" t="s">
        <v>1480</v>
      </c>
      <c r="C28" s="73" t="s">
        <v>3565</v>
      </c>
      <c r="D28" s="73">
        <v>4</v>
      </c>
      <c r="E28" s="73" t="s">
        <v>3585</v>
      </c>
      <c r="F28" s="73" t="s">
        <v>3586</v>
      </c>
      <c r="G28" s="78" t="s">
        <v>3586</v>
      </c>
      <c r="H28" s="76">
        <f t="shared" si="1"/>
        <v>412</v>
      </c>
      <c r="I28" s="77" t="s">
        <v>601</v>
      </c>
      <c r="J28" s="77"/>
      <c r="K28" s="77"/>
      <c r="O28" s="39"/>
      <c r="P28" s="39"/>
      <c r="Q28" s="39"/>
    </row>
    <row r="29" spans="1:17" ht="25.8">
      <c r="A29" s="73" t="s">
        <v>3565</v>
      </c>
      <c r="B29" s="73" t="s">
        <v>1631</v>
      </c>
      <c r="C29" s="73" t="s">
        <v>3565</v>
      </c>
      <c r="D29" s="73">
        <v>4</v>
      </c>
      <c r="E29" s="73" t="s">
        <v>3587</v>
      </c>
      <c r="F29" s="73" t="s">
        <v>321</v>
      </c>
      <c r="G29" s="78" t="s">
        <v>321</v>
      </c>
      <c r="H29" s="76">
        <f t="shared" si="1"/>
        <v>413</v>
      </c>
      <c r="I29" s="73" t="s">
        <v>322</v>
      </c>
      <c r="J29" s="73"/>
      <c r="K29" s="77"/>
    </row>
    <row r="30" spans="1:17" ht="25.8">
      <c r="A30" s="73" t="s">
        <v>3565</v>
      </c>
      <c r="B30" s="73" t="s">
        <v>1478</v>
      </c>
      <c r="C30" s="73" t="s">
        <v>3565</v>
      </c>
      <c r="D30" s="73">
        <v>4</v>
      </c>
      <c r="E30" s="73" t="s">
        <v>3588</v>
      </c>
      <c r="F30" s="73" t="s">
        <v>3589</v>
      </c>
      <c r="G30" s="78" t="s">
        <v>3589</v>
      </c>
      <c r="H30" s="76">
        <f t="shared" si="1"/>
        <v>414</v>
      </c>
      <c r="I30" s="77" t="s">
        <v>601</v>
      </c>
      <c r="J30" s="77"/>
      <c r="K30" s="77"/>
      <c r="O30" s="39"/>
      <c r="P30" s="39"/>
      <c r="Q30" s="39"/>
    </row>
    <row r="31" spans="1:17" ht="25.8">
      <c r="A31" s="73" t="s">
        <v>3565</v>
      </c>
      <c r="B31" s="73" t="s">
        <v>815</v>
      </c>
      <c r="C31" s="73" t="s">
        <v>3565</v>
      </c>
      <c r="D31" s="73">
        <v>4</v>
      </c>
      <c r="E31" s="73" t="s">
        <v>3590</v>
      </c>
      <c r="F31" s="73" t="s">
        <v>3591</v>
      </c>
      <c r="G31" s="78" t="s">
        <v>3591</v>
      </c>
      <c r="H31" s="76">
        <f t="shared" si="1"/>
        <v>415</v>
      </c>
      <c r="I31" s="73" t="s">
        <v>322</v>
      </c>
      <c r="J31" s="73"/>
      <c r="K31" s="77"/>
      <c r="O31" s="39"/>
      <c r="P31" s="39"/>
      <c r="Q31" s="39"/>
    </row>
    <row r="32" spans="1:17" ht="25.8">
      <c r="A32" s="83" t="s">
        <v>3547</v>
      </c>
      <c r="B32" s="77" t="s">
        <v>3592</v>
      </c>
      <c r="C32" s="77" t="s">
        <v>3565</v>
      </c>
      <c r="D32" s="73">
        <v>4</v>
      </c>
      <c r="E32" s="73" t="s">
        <v>3593</v>
      </c>
      <c r="F32" s="77" t="s">
        <v>1918</v>
      </c>
      <c r="G32" s="78" t="s">
        <v>326</v>
      </c>
      <c r="H32" s="76">
        <f t="shared" si="1"/>
        <v>416</v>
      </c>
      <c r="I32" s="89" t="s">
        <v>328</v>
      </c>
      <c r="J32" s="76" t="s">
        <v>592</v>
      </c>
      <c r="K32" s="77"/>
      <c r="O32" s="39"/>
      <c r="P32" s="39"/>
      <c r="Q32" s="39"/>
    </row>
    <row r="33" spans="1:17" ht="25.8">
      <c r="A33" s="83" t="s">
        <v>3547</v>
      </c>
      <c r="B33" s="84" t="s">
        <v>3594</v>
      </c>
      <c r="C33" s="84" t="s">
        <v>3565</v>
      </c>
      <c r="D33" s="73">
        <v>4</v>
      </c>
      <c r="E33" s="73" t="s">
        <v>3593</v>
      </c>
      <c r="F33" s="84" t="s">
        <v>1926</v>
      </c>
      <c r="G33" s="78" t="s">
        <v>326</v>
      </c>
      <c r="H33" s="76">
        <f t="shared" si="1"/>
        <v>417</v>
      </c>
      <c r="I33" s="76" t="s">
        <v>1755</v>
      </c>
      <c r="J33" s="76" t="s">
        <v>592</v>
      </c>
      <c r="K33" s="83"/>
      <c r="L33" s="39"/>
    </row>
    <row r="34" spans="1:17" ht="25.8">
      <c r="A34" s="73" t="s">
        <v>3565</v>
      </c>
      <c r="B34" s="73" t="s">
        <v>326</v>
      </c>
      <c r="C34" s="73" t="s">
        <v>3565</v>
      </c>
      <c r="D34" s="73">
        <v>4</v>
      </c>
      <c r="E34" s="73" t="s">
        <v>3593</v>
      </c>
      <c r="F34" s="73" t="s">
        <v>326</v>
      </c>
      <c r="G34" s="78" t="s">
        <v>1284</v>
      </c>
      <c r="H34" s="76">
        <f t="shared" si="1"/>
        <v>418</v>
      </c>
      <c r="I34" s="73" t="s">
        <v>1630</v>
      </c>
      <c r="J34" s="73"/>
      <c r="K34" s="77"/>
    </row>
    <row r="35" spans="1:17" ht="25.8">
      <c r="A35" s="83" t="s">
        <v>3547</v>
      </c>
      <c r="B35" s="77" t="s">
        <v>3595</v>
      </c>
      <c r="C35" s="77" t="s">
        <v>3565</v>
      </c>
      <c r="D35" s="73">
        <v>4</v>
      </c>
      <c r="E35" s="73" t="s">
        <v>3596</v>
      </c>
      <c r="F35" s="77" t="s">
        <v>1894</v>
      </c>
      <c r="G35" s="78" t="s">
        <v>325</v>
      </c>
      <c r="H35" s="76">
        <f t="shared" si="1"/>
        <v>419</v>
      </c>
      <c r="I35" s="77" t="s">
        <v>322</v>
      </c>
      <c r="J35" s="76" t="s">
        <v>592</v>
      </c>
      <c r="K35" s="77"/>
      <c r="O35" s="40"/>
      <c r="P35" s="40"/>
      <c r="Q35" s="40"/>
    </row>
    <row r="36" spans="1:17" ht="25.8">
      <c r="A36" s="73" t="s">
        <v>3597</v>
      </c>
      <c r="B36" s="73" t="s">
        <v>1476</v>
      </c>
      <c r="C36" s="73" t="s">
        <v>3565</v>
      </c>
      <c r="D36" s="73">
        <v>4</v>
      </c>
      <c r="E36" s="73" t="s">
        <v>3596</v>
      </c>
      <c r="F36" s="73" t="s">
        <v>325</v>
      </c>
      <c r="G36" s="78" t="s">
        <v>1476</v>
      </c>
      <c r="H36" s="76">
        <f t="shared" si="1"/>
        <v>420</v>
      </c>
      <c r="I36" s="73" t="s">
        <v>1477</v>
      </c>
      <c r="J36" s="73"/>
      <c r="K36" s="77"/>
    </row>
    <row r="37" spans="1:17" ht="25.8">
      <c r="A37" s="83" t="s">
        <v>3547</v>
      </c>
      <c r="B37" s="84" t="s">
        <v>3598</v>
      </c>
      <c r="C37" s="89" t="s">
        <v>3599</v>
      </c>
      <c r="D37" s="73">
        <v>5</v>
      </c>
      <c r="E37" s="90" t="s">
        <v>3600</v>
      </c>
      <c r="F37" s="77" t="s">
        <v>1687</v>
      </c>
      <c r="G37" s="78" t="s">
        <v>3601</v>
      </c>
      <c r="H37" s="76">
        <f t="shared" si="1"/>
        <v>501</v>
      </c>
      <c r="I37" s="89" t="s">
        <v>3602</v>
      </c>
      <c r="J37" s="76" t="s">
        <v>592</v>
      </c>
      <c r="K37" s="83"/>
      <c r="L37" s="39"/>
      <c r="M37" s="39"/>
      <c r="N37" s="39"/>
      <c r="O37" s="39"/>
      <c r="P37" s="39"/>
      <c r="Q37" s="39"/>
    </row>
    <row r="38" spans="1:17" ht="25.8">
      <c r="A38" s="73" t="s">
        <v>3599</v>
      </c>
      <c r="B38" s="73" t="s">
        <v>329</v>
      </c>
      <c r="C38" s="73" t="s">
        <v>3599</v>
      </c>
      <c r="D38" s="73">
        <v>5</v>
      </c>
      <c r="E38" s="73" t="s">
        <v>3603</v>
      </c>
      <c r="F38" s="73" t="s">
        <v>3604</v>
      </c>
      <c r="G38" s="78" t="s">
        <v>3604</v>
      </c>
      <c r="H38" s="76">
        <f t="shared" si="1"/>
        <v>502</v>
      </c>
      <c r="I38" s="77"/>
      <c r="J38" s="77"/>
      <c r="K38" s="77">
        <v>3</v>
      </c>
      <c r="L38" s="38" t="s">
        <v>1840</v>
      </c>
      <c r="O38" s="39"/>
      <c r="P38" s="39"/>
      <c r="Q38" s="39"/>
    </row>
    <row r="39" spans="1:17" ht="25.8">
      <c r="A39" s="73" t="s">
        <v>3599</v>
      </c>
      <c r="B39" s="73" t="s">
        <v>333</v>
      </c>
      <c r="C39" s="73" t="s">
        <v>3599</v>
      </c>
      <c r="D39" s="73">
        <v>5</v>
      </c>
      <c r="E39" s="73" t="s">
        <v>3605</v>
      </c>
      <c r="F39" s="73" t="s">
        <v>3606</v>
      </c>
      <c r="G39" s="78" t="s">
        <v>3606</v>
      </c>
      <c r="H39" s="76">
        <f t="shared" si="1"/>
        <v>503</v>
      </c>
      <c r="I39" s="77"/>
      <c r="J39" s="77"/>
      <c r="K39" s="77">
        <v>3</v>
      </c>
      <c r="L39" s="38" t="s">
        <v>1835</v>
      </c>
      <c r="O39" s="39"/>
      <c r="P39" s="39"/>
      <c r="Q39" s="39"/>
    </row>
    <row r="40" spans="1:17" ht="25.8">
      <c r="A40" s="83" t="s">
        <v>3547</v>
      </c>
      <c r="B40" s="84" t="s">
        <v>3607</v>
      </c>
      <c r="C40" s="89" t="s">
        <v>3599</v>
      </c>
      <c r="D40" s="73">
        <v>5</v>
      </c>
      <c r="E40" s="90" t="s">
        <v>3608</v>
      </c>
      <c r="F40" s="77" t="s">
        <v>1683</v>
      </c>
      <c r="G40" s="78" t="s">
        <v>3609</v>
      </c>
      <c r="H40" s="76">
        <f t="shared" si="1"/>
        <v>504</v>
      </c>
      <c r="I40" s="89"/>
      <c r="J40" s="76" t="s">
        <v>592</v>
      </c>
      <c r="K40" s="77">
        <v>3</v>
      </c>
      <c r="L40" s="38" t="s">
        <v>1835</v>
      </c>
      <c r="M40" s="39"/>
      <c r="N40" s="39"/>
    </row>
    <row r="41" spans="1:17" ht="25.8">
      <c r="A41" s="73" t="s">
        <v>3599</v>
      </c>
      <c r="B41" s="73" t="s">
        <v>334</v>
      </c>
      <c r="C41" s="73" t="s">
        <v>3599</v>
      </c>
      <c r="D41" s="73">
        <v>5</v>
      </c>
      <c r="E41" s="73" t="s">
        <v>3610</v>
      </c>
      <c r="F41" s="73" t="s">
        <v>334</v>
      </c>
      <c r="G41" s="78" t="s">
        <v>334</v>
      </c>
      <c r="H41" s="76">
        <f t="shared" si="1"/>
        <v>505</v>
      </c>
      <c r="I41" s="77"/>
      <c r="J41" s="77"/>
      <c r="K41" s="77"/>
    </row>
    <row r="42" spans="1:17" ht="25.8">
      <c r="A42" s="73" t="s">
        <v>3599</v>
      </c>
      <c r="B42" s="73" t="s">
        <v>331</v>
      </c>
      <c r="C42" s="73" t="s">
        <v>3599</v>
      </c>
      <c r="D42" s="73">
        <v>5</v>
      </c>
      <c r="E42" s="89" t="s">
        <v>3611</v>
      </c>
      <c r="F42" s="73" t="s">
        <v>3612</v>
      </c>
      <c r="G42" s="78" t="s">
        <v>3612</v>
      </c>
      <c r="H42" s="76">
        <f t="shared" si="1"/>
        <v>506</v>
      </c>
      <c r="I42" s="77"/>
      <c r="J42" s="77"/>
      <c r="K42" s="77">
        <v>3</v>
      </c>
      <c r="L42" s="38" t="s">
        <v>1835</v>
      </c>
    </row>
    <row r="43" spans="1:17" ht="25.8">
      <c r="A43" s="83" t="s">
        <v>3547</v>
      </c>
      <c r="B43" s="84" t="s">
        <v>3613</v>
      </c>
      <c r="C43" s="89" t="s">
        <v>3599</v>
      </c>
      <c r="D43" s="73">
        <v>5</v>
      </c>
      <c r="E43" s="90" t="s">
        <v>3614</v>
      </c>
      <c r="F43" s="77" t="s">
        <v>1685</v>
      </c>
      <c r="G43" s="78" t="s">
        <v>3615</v>
      </c>
      <c r="H43" s="76">
        <f t="shared" si="1"/>
        <v>507</v>
      </c>
      <c r="I43" s="89"/>
      <c r="J43" s="76" t="s">
        <v>592</v>
      </c>
      <c r="K43" s="83"/>
      <c r="L43" s="39"/>
      <c r="M43" s="39"/>
      <c r="N43" s="39"/>
      <c r="O43" s="39"/>
      <c r="P43" s="39"/>
      <c r="Q43" s="39"/>
    </row>
    <row r="44" spans="1:17" ht="25.8">
      <c r="A44" s="83" t="s">
        <v>3547</v>
      </c>
      <c r="B44" s="89" t="s">
        <v>3616</v>
      </c>
      <c r="C44" s="89" t="s">
        <v>3599</v>
      </c>
      <c r="D44" s="73">
        <v>5</v>
      </c>
      <c r="E44" s="83" t="s">
        <v>3617</v>
      </c>
      <c r="F44" s="77" t="s">
        <v>1813</v>
      </c>
      <c r="G44" s="78" t="s">
        <v>3618</v>
      </c>
      <c r="H44" s="76">
        <f t="shared" si="1"/>
        <v>508</v>
      </c>
      <c r="I44" s="77" t="s">
        <v>336</v>
      </c>
      <c r="J44" s="76" t="s">
        <v>592</v>
      </c>
      <c r="K44" s="83"/>
      <c r="L44" s="39"/>
      <c r="M44" s="39"/>
      <c r="N44" s="39"/>
    </row>
    <row r="45" spans="1:17" ht="25.8">
      <c r="A45" s="83" t="s">
        <v>3547</v>
      </c>
      <c r="B45" s="76" t="s">
        <v>3619</v>
      </c>
      <c r="C45" s="76" t="s">
        <v>3599</v>
      </c>
      <c r="D45" s="73">
        <v>5</v>
      </c>
      <c r="E45" s="88" t="s">
        <v>3620</v>
      </c>
      <c r="F45" s="91" t="s">
        <v>1691</v>
      </c>
      <c r="G45" s="92" t="s">
        <v>3621</v>
      </c>
      <c r="H45" s="76">
        <f t="shared" si="1"/>
        <v>509</v>
      </c>
      <c r="I45" s="76"/>
      <c r="J45" s="76" t="s">
        <v>592</v>
      </c>
      <c r="K45" s="77">
        <v>3</v>
      </c>
      <c r="L45" s="38" t="s">
        <v>1835</v>
      </c>
      <c r="M45" s="39"/>
      <c r="N45" s="39"/>
      <c r="O45" s="39"/>
      <c r="P45" s="39"/>
      <c r="Q45" s="39"/>
    </row>
    <row r="46" spans="1:17" ht="25.8">
      <c r="A46" s="83" t="s">
        <v>3547</v>
      </c>
      <c r="B46" s="76" t="s">
        <v>3622</v>
      </c>
      <c r="C46" s="76" t="s">
        <v>3599</v>
      </c>
      <c r="D46" s="73">
        <v>5</v>
      </c>
      <c r="E46" s="88" t="s">
        <v>3623</v>
      </c>
      <c r="F46" s="76" t="s">
        <v>1689</v>
      </c>
      <c r="G46" s="78" t="s">
        <v>3624</v>
      </c>
      <c r="H46" s="76">
        <f t="shared" si="1"/>
        <v>510</v>
      </c>
      <c r="I46" s="76"/>
      <c r="J46" s="76" t="s">
        <v>592</v>
      </c>
      <c r="K46" s="77">
        <v>3</v>
      </c>
      <c r="L46" s="38" t="s">
        <v>1835</v>
      </c>
      <c r="M46" s="39"/>
      <c r="N46" s="39"/>
      <c r="O46" s="39"/>
      <c r="P46" s="39"/>
      <c r="Q46" s="39"/>
    </row>
    <row r="47" spans="1:17" ht="25.8">
      <c r="A47" s="73" t="s">
        <v>3599</v>
      </c>
      <c r="B47" s="73" t="s">
        <v>603</v>
      </c>
      <c r="C47" s="73" t="s">
        <v>3599</v>
      </c>
      <c r="D47" s="73">
        <v>5</v>
      </c>
      <c r="E47" s="73" t="s">
        <v>3625</v>
      </c>
      <c r="F47" s="73" t="s">
        <v>3626</v>
      </c>
      <c r="G47" s="78" t="s">
        <v>3627</v>
      </c>
      <c r="H47" s="76">
        <f t="shared" si="1"/>
        <v>511</v>
      </c>
      <c r="I47" s="77"/>
      <c r="J47" s="77"/>
      <c r="K47" s="77">
        <v>3</v>
      </c>
      <c r="L47" s="38" t="s">
        <v>1835</v>
      </c>
    </row>
    <row r="48" spans="1:17" ht="25.8">
      <c r="A48" s="83" t="s">
        <v>3547</v>
      </c>
      <c r="B48" s="89" t="s">
        <v>3628</v>
      </c>
      <c r="C48" s="89" t="s">
        <v>3599</v>
      </c>
      <c r="D48" s="73">
        <v>5</v>
      </c>
      <c r="E48" s="83" t="s">
        <v>3629</v>
      </c>
      <c r="F48" s="77" t="s">
        <v>1693</v>
      </c>
      <c r="G48" s="78" t="s">
        <v>3630</v>
      </c>
      <c r="H48" s="76">
        <f t="shared" si="1"/>
        <v>512</v>
      </c>
      <c r="I48" s="76"/>
      <c r="J48" s="76" t="s">
        <v>592</v>
      </c>
      <c r="K48" s="77">
        <v>3</v>
      </c>
      <c r="L48" s="38" t="s">
        <v>1835</v>
      </c>
    </row>
    <row r="49" spans="1:17" ht="25.8">
      <c r="A49" s="73" t="s">
        <v>3599</v>
      </c>
      <c r="B49" s="73" t="s">
        <v>332</v>
      </c>
      <c r="C49" s="73" t="s">
        <v>3599</v>
      </c>
      <c r="D49" s="73">
        <v>5</v>
      </c>
      <c r="E49" s="73" t="s">
        <v>3631</v>
      </c>
      <c r="F49" s="73" t="s">
        <v>3632</v>
      </c>
      <c r="G49" s="78" t="s">
        <v>3633</v>
      </c>
      <c r="H49" s="76">
        <f t="shared" si="1"/>
        <v>513</v>
      </c>
      <c r="I49" s="77"/>
      <c r="J49" s="77"/>
      <c r="K49" s="77">
        <v>3</v>
      </c>
      <c r="L49" s="38" t="s">
        <v>1835</v>
      </c>
    </row>
    <row r="50" spans="1:17" ht="25.8">
      <c r="A50" s="73" t="s">
        <v>3634</v>
      </c>
      <c r="B50" s="73" t="s">
        <v>1284</v>
      </c>
      <c r="C50" s="73" t="s">
        <v>3634</v>
      </c>
      <c r="D50" s="73" t="s">
        <v>1908</v>
      </c>
      <c r="E50" s="79" t="s">
        <v>3635</v>
      </c>
      <c r="F50" s="73" t="s">
        <v>817</v>
      </c>
      <c r="G50" s="78" t="s">
        <v>2571</v>
      </c>
      <c r="H50" s="76">
        <f t="shared" si="1"/>
        <v>601</v>
      </c>
      <c r="I50" s="77"/>
      <c r="J50" s="77"/>
      <c r="K50" s="77" t="s">
        <v>1472</v>
      </c>
      <c r="L50" s="38" t="s">
        <v>1331</v>
      </c>
    </row>
    <row r="51" spans="1:17" ht="25.8">
      <c r="A51" s="73" t="s">
        <v>3636</v>
      </c>
      <c r="B51" s="73" t="s">
        <v>325</v>
      </c>
      <c r="C51" s="73" t="s">
        <v>3636</v>
      </c>
      <c r="D51" s="73" t="s">
        <v>1908</v>
      </c>
      <c r="E51" s="73" t="s">
        <v>3637</v>
      </c>
      <c r="F51" s="73" t="s">
        <v>818</v>
      </c>
      <c r="G51" s="78" t="s">
        <v>2572</v>
      </c>
      <c r="H51" s="76">
        <f t="shared" si="1"/>
        <v>602</v>
      </c>
      <c r="I51" s="77"/>
      <c r="J51" s="77"/>
      <c r="K51" s="77">
        <v>4</v>
      </c>
      <c r="L51" s="38" t="s">
        <v>1331</v>
      </c>
      <c r="M51" s="38" t="s">
        <v>1475</v>
      </c>
      <c r="O51" s="39"/>
      <c r="P51" s="39"/>
    </row>
    <row r="52" spans="1:17" ht="25.8">
      <c r="A52" s="73" t="s">
        <v>3636</v>
      </c>
      <c r="B52" s="73" t="s">
        <v>819</v>
      </c>
      <c r="C52" s="73" t="s">
        <v>3636</v>
      </c>
      <c r="D52" s="73" t="s">
        <v>1908</v>
      </c>
      <c r="E52" s="73" t="s">
        <v>3638</v>
      </c>
      <c r="F52" s="73" t="s">
        <v>819</v>
      </c>
      <c r="G52" s="78" t="s">
        <v>3639</v>
      </c>
      <c r="H52" s="76">
        <f t="shared" si="1"/>
        <v>603</v>
      </c>
      <c r="I52" s="77"/>
      <c r="J52" s="77"/>
      <c r="K52" s="77">
        <v>4</v>
      </c>
      <c r="L52" s="38" t="s">
        <v>1331</v>
      </c>
      <c r="O52" s="40"/>
      <c r="P52" s="40"/>
    </row>
    <row r="53" spans="1:17" ht="25.8">
      <c r="A53" s="83" t="s">
        <v>3547</v>
      </c>
      <c r="B53" s="76" t="s">
        <v>3640</v>
      </c>
      <c r="C53" s="76" t="s">
        <v>3641</v>
      </c>
      <c r="D53" s="73">
        <v>7</v>
      </c>
      <c r="E53" s="76" t="s">
        <v>3642</v>
      </c>
      <c r="F53" s="84" t="s">
        <v>1821</v>
      </c>
      <c r="G53" s="78" t="s">
        <v>3643</v>
      </c>
      <c r="H53" s="76">
        <f t="shared" si="1"/>
        <v>701</v>
      </c>
      <c r="I53" s="76" t="s">
        <v>336</v>
      </c>
      <c r="J53" s="76" t="s">
        <v>592</v>
      </c>
      <c r="K53" s="83"/>
      <c r="L53" s="39"/>
    </row>
    <row r="54" spans="1:17" ht="25.8">
      <c r="A54" s="73" t="s">
        <v>3641</v>
      </c>
      <c r="B54" s="73" t="s">
        <v>343</v>
      </c>
      <c r="C54" s="73" t="s">
        <v>3641</v>
      </c>
      <c r="D54" s="73">
        <v>7</v>
      </c>
      <c r="E54" s="73" t="s">
        <v>3644</v>
      </c>
      <c r="F54" s="73" t="s">
        <v>343</v>
      </c>
      <c r="G54" s="78" t="s">
        <v>343</v>
      </c>
      <c r="H54" s="76">
        <f t="shared" si="1"/>
        <v>702</v>
      </c>
      <c r="I54" s="73" t="s">
        <v>328</v>
      </c>
      <c r="J54" s="73"/>
      <c r="K54" s="77"/>
    </row>
    <row r="55" spans="1:17" ht="25.8">
      <c r="A55" s="83" t="s">
        <v>3547</v>
      </c>
      <c r="B55" s="83" t="s">
        <v>3645</v>
      </c>
      <c r="C55" s="77" t="s">
        <v>3641</v>
      </c>
      <c r="D55" s="73">
        <v>7</v>
      </c>
      <c r="E55" s="73" t="s">
        <v>3644</v>
      </c>
      <c r="F55" s="77" t="s">
        <v>1759</v>
      </c>
      <c r="G55" s="78" t="s">
        <v>343</v>
      </c>
      <c r="H55" s="76">
        <f t="shared" si="1"/>
        <v>703</v>
      </c>
      <c r="I55" s="76" t="s">
        <v>328</v>
      </c>
      <c r="J55" s="76" t="s">
        <v>592</v>
      </c>
      <c r="K55" s="83"/>
      <c r="L55" s="39"/>
    </row>
    <row r="56" spans="1:17" ht="25.8">
      <c r="A56" s="73" t="s">
        <v>3641</v>
      </c>
      <c r="B56" s="73" t="s">
        <v>820</v>
      </c>
      <c r="C56" s="73" t="s">
        <v>3641</v>
      </c>
      <c r="D56" s="73">
        <v>7</v>
      </c>
      <c r="E56" s="73" t="s">
        <v>3646</v>
      </c>
      <c r="F56" s="73" t="s">
        <v>820</v>
      </c>
      <c r="G56" s="78" t="s">
        <v>820</v>
      </c>
      <c r="H56" s="76">
        <f t="shared" si="1"/>
        <v>704</v>
      </c>
      <c r="I56" s="73" t="s">
        <v>336</v>
      </c>
      <c r="J56" s="73"/>
      <c r="K56" s="77"/>
    </row>
    <row r="57" spans="1:17" ht="25.8">
      <c r="A57" s="73" t="s">
        <v>3641</v>
      </c>
      <c r="B57" s="73" t="s">
        <v>1513</v>
      </c>
      <c r="C57" s="73" t="s">
        <v>3641</v>
      </c>
      <c r="D57" s="73">
        <v>7</v>
      </c>
      <c r="E57" s="73" t="s">
        <v>3647</v>
      </c>
      <c r="F57" s="73" t="s">
        <v>337</v>
      </c>
      <c r="G57" s="78" t="s">
        <v>337</v>
      </c>
      <c r="H57" s="76">
        <f t="shared" si="1"/>
        <v>705</v>
      </c>
      <c r="I57" s="73" t="s">
        <v>336</v>
      </c>
      <c r="J57" s="73"/>
      <c r="K57" s="77"/>
    </row>
    <row r="58" spans="1:17" ht="25.8">
      <c r="A58" s="83" t="s">
        <v>3547</v>
      </c>
      <c r="B58" s="83" t="s">
        <v>3648</v>
      </c>
      <c r="C58" s="77" t="s">
        <v>3641</v>
      </c>
      <c r="D58" s="73">
        <v>7</v>
      </c>
      <c r="E58" s="77" t="s">
        <v>3649</v>
      </c>
      <c r="F58" s="77" t="s">
        <v>1764</v>
      </c>
      <c r="G58" s="78" t="s">
        <v>1764</v>
      </c>
      <c r="H58" s="76">
        <f t="shared" si="1"/>
        <v>706</v>
      </c>
      <c r="I58" s="76" t="s">
        <v>336</v>
      </c>
      <c r="J58" s="76" t="s">
        <v>592</v>
      </c>
      <c r="K58" s="77"/>
    </row>
    <row r="59" spans="1:17" ht="25.8">
      <c r="A59" s="73" t="s">
        <v>3641</v>
      </c>
      <c r="B59" s="73" t="s">
        <v>340</v>
      </c>
      <c r="C59" s="73" t="s">
        <v>3641</v>
      </c>
      <c r="D59" s="73">
        <v>7</v>
      </c>
      <c r="E59" s="73" t="s">
        <v>3650</v>
      </c>
      <c r="F59" s="73" t="s">
        <v>340</v>
      </c>
      <c r="G59" s="78" t="s">
        <v>3651</v>
      </c>
      <c r="H59" s="76">
        <f t="shared" si="1"/>
        <v>707</v>
      </c>
      <c r="I59" s="73" t="s">
        <v>336</v>
      </c>
      <c r="J59" s="73"/>
      <c r="K59" s="77"/>
    </row>
    <row r="60" spans="1:17" ht="25.8">
      <c r="A60" s="83" t="s">
        <v>3547</v>
      </c>
      <c r="B60" s="77" t="s">
        <v>3652</v>
      </c>
      <c r="C60" s="73" t="s">
        <v>3641</v>
      </c>
      <c r="D60" s="73">
        <v>7</v>
      </c>
      <c r="E60" s="73" t="s">
        <v>3650</v>
      </c>
      <c r="F60" s="77" t="s">
        <v>1919</v>
      </c>
      <c r="G60" s="78" t="s">
        <v>340</v>
      </c>
      <c r="H60" s="76">
        <f t="shared" si="1"/>
        <v>708</v>
      </c>
      <c r="I60" s="77" t="s">
        <v>336</v>
      </c>
      <c r="J60" s="76" t="s">
        <v>592</v>
      </c>
      <c r="K60" s="77"/>
    </row>
    <row r="61" spans="1:17" ht="25.8">
      <c r="A61" s="83" t="s">
        <v>3547</v>
      </c>
      <c r="B61" s="84" t="s">
        <v>3653</v>
      </c>
      <c r="C61" s="84" t="s">
        <v>3641</v>
      </c>
      <c r="D61" s="73">
        <v>7</v>
      </c>
      <c r="E61" s="84" t="s">
        <v>3654</v>
      </c>
      <c r="F61" s="84" t="s">
        <v>1512</v>
      </c>
      <c r="G61" s="78" t="s">
        <v>3655</v>
      </c>
      <c r="H61" s="76">
        <f t="shared" si="1"/>
        <v>709</v>
      </c>
      <c r="I61" s="76" t="s">
        <v>1509</v>
      </c>
      <c r="J61" s="76" t="s">
        <v>592</v>
      </c>
      <c r="K61" s="83"/>
      <c r="L61" s="39"/>
    </row>
    <row r="62" spans="1:17" ht="25.8">
      <c r="A62" s="73" t="s">
        <v>3641</v>
      </c>
      <c r="B62" s="73" t="s">
        <v>824</v>
      </c>
      <c r="C62" s="73" t="s">
        <v>3641</v>
      </c>
      <c r="D62" s="73">
        <v>7</v>
      </c>
      <c r="E62" s="73" t="s">
        <v>3656</v>
      </c>
      <c r="F62" s="73" t="s">
        <v>824</v>
      </c>
      <c r="G62" s="78" t="s">
        <v>3657</v>
      </c>
      <c r="H62" s="76">
        <f t="shared" si="1"/>
        <v>710</v>
      </c>
      <c r="I62" s="77" t="str">
        <f>VLOOKUP(B62,[2]Sheet1!$C$2:$I$130,5,0)</f>
        <v>umol/L</v>
      </c>
      <c r="J62" s="77"/>
      <c r="K62" s="77"/>
    </row>
    <row r="63" spans="1:17" ht="25.8">
      <c r="A63" s="83" t="s">
        <v>3547</v>
      </c>
      <c r="B63" s="83" t="s">
        <v>3658</v>
      </c>
      <c r="C63" s="76" t="s">
        <v>3641</v>
      </c>
      <c r="D63" s="73">
        <v>7</v>
      </c>
      <c r="E63" s="73" t="s">
        <v>3656</v>
      </c>
      <c r="F63" s="89" t="s">
        <v>1786</v>
      </c>
      <c r="G63" s="78" t="s">
        <v>3657</v>
      </c>
      <c r="H63" s="76">
        <f t="shared" si="1"/>
        <v>711</v>
      </c>
      <c r="I63" s="76" t="s">
        <v>339</v>
      </c>
      <c r="J63" s="76" t="s">
        <v>592</v>
      </c>
      <c r="K63" s="77"/>
      <c r="O63" s="40"/>
      <c r="P63" s="40"/>
      <c r="Q63" s="40"/>
    </row>
    <row r="64" spans="1:17" ht="25.8">
      <c r="A64" s="83" t="s">
        <v>3547</v>
      </c>
      <c r="B64" s="89" t="s">
        <v>3659</v>
      </c>
      <c r="C64" s="76" t="s">
        <v>3641</v>
      </c>
      <c r="D64" s="73">
        <v>7</v>
      </c>
      <c r="E64" s="89" t="s">
        <v>3660</v>
      </c>
      <c r="F64" s="76" t="s">
        <v>1822</v>
      </c>
      <c r="G64" s="78" t="s">
        <v>3661</v>
      </c>
      <c r="H64" s="76">
        <f t="shared" si="1"/>
        <v>712</v>
      </c>
      <c r="I64" s="76" t="s">
        <v>1772</v>
      </c>
      <c r="J64" s="76" t="s">
        <v>592</v>
      </c>
      <c r="K64" s="83"/>
      <c r="L64" s="39"/>
    </row>
    <row r="65" spans="1:17" ht="25.8">
      <c r="A65" s="73" t="s">
        <v>3641</v>
      </c>
      <c r="B65" s="73" t="s">
        <v>341</v>
      </c>
      <c r="C65" s="73" t="s">
        <v>3641</v>
      </c>
      <c r="D65" s="73">
        <v>7</v>
      </c>
      <c r="E65" s="73" t="s">
        <v>3662</v>
      </c>
      <c r="F65" s="73" t="s">
        <v>341</v>
      </c>
      <c r="G65" s="78" t="s">
        <v>341</v>
      </c>
      <c r="H65" s="76">
        <f t="shared" si="1"/>
        <v>713</v>
      </c>
      <c r="I65" s="77" t="s">
        <v>1277</v>
      </c>
      <c r="J65" s="77"/>
      <c r="K65" s="77"/>
    </row>
    <row r="66" spans="1:17" ht="25.8">
      <c r="A66" s="83" t="s">
        <v>3547</v>
      </c>
      <c r="B66" s="83" t="s">
        <v>3663</v>
      </c>
      <c r="C66" s="76" t="s">
        <v>3641</v>
      </c>
      <c r="D66" s="73">
        <v>7</v>
      </c>
      <c r="E66" s="73" t="s">
        <v>3662</v>
      </c>
      <c r="F66" s="89" t="s">
        <v>1788</v>
      </c>
      <c r="G66" s="78" t="s">
        <v>341</v>
      </c>
      <c r="H66" s="76">
        <f t="shared" si="1"/>
        <v>714</v>
      </c>
      <c r="I66" s="76" t="s">
        <v>339</v>
      </c>
      <c r="J66" s="76" t="s">
        <v>592</v>
      </c>
      <c r="K66" s="77"/>
    </row>
    <row r="67" spans="1:17" ht="25.8">
      <c r="A67" s="83" t="s">
        <v>3547</v>
      </c>
      <c r="B67" s="83" t="s">
        <v>3664</v>
      </c>
      <c r="C67" s="77" t="s">
        <v>3641</v>
      </c>
      <c r="D67" s="73">
        <v>7</v>
      </c>
      <c r="E67" s="77" t="s">
        <v>3665</v>
      </c>
      <c r="F67" s="77" t="s">
        <v>3666</v>
      </c>
      <c r="G67" s="78" t="s">
        <v>824</v>
      </c>
      <c r="H67" s="76">
        <f t="shared" si="1"/>
        <v>715</v>
      </c>
      <c r="I67" s="76" t="s">
        <v>1772</v>
      </c>
      <c r="J67" s="76" t="s">
        <v>592</v>
      </c>
      <c r="K67" s="77"/>
      <c r="O67" s="39"/>
      <c r="P67" s="39"/>
    </row>
    <row r="68" spans="1:17" ht="25.8">
      <c r="A68" s="73" t="s">
        <v>3641</v>
      </c>
      <c r="B68" s="73" t="s">
        <v>830</v>
      </c>
      <c r="C68" s="73" t="s">
        <v>3641</v>
      </c>
      <c r="D68" s="73">
        <v>7</v>
      </c>
      <c r="E68" s="73" t="s">
        <v>3667</v>
      </c>
      <c r="F68" s="73" t="s">
        <v>830</v>
      </c>
      <c r="G68" s="78" t="s">
        <v>830</v>
      </c>
      <c r="H68" s="76">
        <f t="shared" si="1"/>
        <v>716</v>
      </c>
      <c r="I68" s="73" t="s">
        <v>339</v>
      </c>
      <c r="J68" s="73"/>
      <c r="K68" s="77"/>
    </row>
    <row r="69" spans="1:17" ht="25.8">
      <c r="A69" s="73" t="s">
        <v>3641</v>
      </c>
      <c r="B69" s="73" t="s">
        <v>825</v>
      </c>
      <c r="C69" s="73" t="s">
        <v>3641</v>
      </c>
      <c r="D69" s="73">
        <v>7</v>
      </c>
      <c r="E69" s="73" t="s">
        <v>3668</v>
      </c>
      <c r="F69" s="73" t="s">
        <v>825</v>
      </c>
      <c r="G69" s="78" t="s">
        <v>3669</v>
      </c>
      <c r="H69" s="76">
        <f t="shared" si="1"/>
        <v>717</v>
      </c>
      <c r="I69" s="77" t="s">
        <v>1279</v>
      </c>
      <c r="J69" s="77"/>
      <c r="K69" s="77"/>
      <c r="O69" s="39"/>
      <c r="P69" s="39"/>
      <c r="Q69" s="39"/>
    </row>
    <row r="70" spans="1:17" ht="25.8">
      <c r="A70" s="73" t="s">
        <v>3641</v>
      </c>
      <c r="B70" s="73" t="s">
        <v>600</v>
      </c>
      <c r="C70" s="73" t="s">
        <v>3641</v>
      </c>
      <c r="D70" s="73">
        <v>7</v>
      </c>
      <c r="E70" s="89" t="s">
        <v>3670</v>
      </c>
      <c r="F70" s="73" t="s">
        <v>600</v>
      </c>
      <c r="G70" s="78" t="s">
        <v>600</v>
      </c>
      <c r="H70" s="76">
        <f t="shared" si="1"/>
        <v>718</v>
      </c>
      <c r="I70" s="77" t="s">
        <v>1278</v>
      </c>
      <c r="J70" s="77"/>
      <c r="K70" s="77"/>
      <c r="Q70" s="39"/>
    </row>
    <row r="71" spans="1:17" ht="25.8">
      <c r="A71" s="73" t="s">
        <v>3641</v>
      </c>
      <c r="B71" s="73" t="s">
        <v>342</v>
      </c>
      <c r="C71" s="73" t="s">
        <v>3641</v>
      </c>
      <c r="D71" s="73">
        <v>7</v>
      </c>
      <c r="E71" s="94" t="s">
        <v>3990</v>
      </c>
      <c r="F71" s="73" t="s">
        <v>342</v>
      </c>
      <c r="G71" s="78" t="s">
        <v>342</v>
      </c>
      <c r="H71" s="76">
        <f t="shared" si="1"/>
        <v>719</v>
      </c>
      <c r="I71" s="73" t="s">
        <v>339</v>
      </c>
      <c r="J71" s="73"/>
      <c r="K71" s="77"/>
      <c r="O71" s="39"/>
      <c r="P71" s="39"/>
      <c r="Q71" s="39"/>
    </row>
    <row r="72" spans="1:17" ht="25.8">
      <c r="A72" s="83" t="s">
        <v>3547</v>
      </c>
      <c r="B72" s="89" t="s">
        <v>3672</v>
      </c>
      <c r="C72" s="77" t="s">
        <v>3641</v>
      </c>
      <c r="D72" s="73">
        <v>7</v>
      </c>
      <c r="E72" s="73" t="s">
        <v>3671</v>
      </c>
      <c r="F72" s="77" t="s">
        <v>1774</v>
      </c>
      <c r="G72" s="78" t="s">
        <v>342</v>
      </c>
      <c r="H72" s="76">
        <f t="shared" si="1"/>
        <v>720</v>
      </c>
      <c r="I72" s="76" t="s">
        <v>339</v>
      </c>
      <c r="J72" s="76" t="s">
        <v>592</v>
      </c>
      <c r="K72" s="77"/>
      <c r="O72" s="39"/>
      <c r="P72" s="39"/>
      <c r="Q72" s="39"/>
    </row>
    <row r="73" spans="1:17" ht="25.8">
      <c r="A73" s="73" t="s">
        <v>3641</v>
      </c>
      <c r="B73" s="73" t="s">
        <v>831</v>
      </c>
      <c r="C73" s="73" t="s">
        <v>3641</v>
      </c>
      <c r="D73" s="73">
        <v>7</v>
      </c>
      <c r="E73" s="73" t="s">
        <v>3673</v>
      </c>
      <c r="F73" s="73" t="s">
        <v>831</v>
      </c>
      <c r="G73" s="78" t="s">
        <v>3674</v>
      </c>
      <c r="H73" s="76">
        <f t="shared" ref="H73:H136" si="2">IF(D73=D72,H72+1,D73*100+1)</f>
        <v>721</v>
      </c>
      <c r="I73" s="77" t="s">
        <v>1279</v>
      </c>
      <c r="J73" s="77"/>
      <c r="K73" s="77"/>
    </row>
    <row r="74" spans="1:17" ht="25.8">
      <c r="A74" s="73" t="s">
        <v>3641</v>
      </c>
      <c r="B74" s="73" t="s">
        <v>344</v>
      </c>
      <c r="C74" s="73" t="s">
        <v>3641</v>
      </c>
      <c r="D74" s="73">
        <v>7</v>
      </c>
      <c r="E74" s="73" t="s">
        <v>3675</v>
      </c>
      <c r="F74" s="73" t="s">
        <v>1518</v>
      </c>
      <c r="G74" s="78" t="s">
        <v>344</v>
      </c>
      <c r="H74" s="76">
        <f t="shared" si="2"/>
        <v>722</v>
      </c>
      <c r="I74" s="77" t="str">
        <f>VLOOKUP(B74,[2]Sheet1!$C$2:$I$130,5,0)</f>
        <v>umol/L</v>
      </c>
      <c r="J74" s="77"/>
      <c r="K74" s="77"/>
    </row>
    <row r="75" spans="1:17" ht="25.8">
      <c r="A75" s="89" t="s">
        <v>3676</v>
      </c>
      <c r="B75" s="73" t="s">
        <v>3677</v>
      </c>
      <c r="C75" s="89" t="s">
        <v>1285</v>
      </c>
      <c r="D75" s="73">
        <v>7</v>
      </c>
      <c r="E75" s="79" t="s">
        <v>1485</v>
      </c>
      <c r="F75" s="89" t="s">
        <v>1486</v>
      </c>
      <c r="G75" s="78" t="s">
        <v>2579</v>
      </c>
      <c r="H75" s="76">
        <f t="shared" si="2"/>
        <v>723</v>
      </c>
      <c r="I75" s="89" t="s">
        <v>1487</v>
      </c>
      <c r="J75" s="89"/>
      <c r="K75" s="77"/>
      <c r="O75" s="39"/>
      <c r="P75" s="39"/>
      <c r="Q75" s="39"/>
    </row>
    <row r="76" spans="1:17" ht="25.8">
      <c r="A76" s="83" t="s">
        <v>3547</v>
      </c>
      <c r="B76" s="76" t="s">
        <v>3678</v>
      </c>
      <c r="C76" s="93" t="s">
        <v>1285</v>
      </c>
      <c r="D76" s="73">
        <v>7</v>
      </c>
      <c r="E76" s="76" t="s">
        <v>3678</v>
      </c>
      <c r="F76" s="84" t="s">
        <v>1737</v>
      </c>
      <c r="G76" s="78" t="s">
        <v>3679</v>
      </c>
      <c r="H76" s="76">
        <f t="shared" si="2"/>
        <v>724</v>
      </c>
      <c r="I76" s="76" t="s">
        <v>1738</v>
      </c>
      <c r="J76" s="76" t="s">
        <v>592</v>
      </c>
      <c r="K76" s="83"/>
      <c r="L76" s="40"/>
      <c r="M76" s="40"/>
      <c r="N76" s="40"/>
      <c r="O76" s="39"/>
      <c r="P76" s="39"/>
      <c r="Q76" s="39"/>
    </row>
    <row r="77" spans="1:17" ht="25.8">
      <c r="A77" s="73" t="s">
        <v>3641</v>
      </c>
      <c r="B77" s="73" t="s">
        <v>335</v>
      </c>
      <c r="C77" s="73" t="s">
        <v>3641</v>
      </c>
      <c r="D77" s="73">
        <v>7</v>
      </c>
      <c r="E77" s="73" t="s">
        <v>3680</v>
      </c>
      <c r="F77" s="73" t="s">
        <v>335</v>
      </c>
      <c r="G77" s="78" t="s">
        <v>335</v>
      </c>
      <c r="H77" s="76">
        <f t="shared" si="2"/>
        <v>725</v>
      </c>
      <c r="I77" s="77" t="s">
        <v>1278</v>
      </c>
      <c r="J77" s="77"/>
      <c r="K77" s="77"/>
      <c r="O77" s="40"/>
      <c r="P77" s="40"/>
      <c r="Q77" s="40"/>
    </row>
    <row r="78" spans="1:17" ht="25.8">
      <c r="A78" s="83" t="s">
        <v>3547</v>
      </c>
      <c r="B78" s="84" t="s">
        <v>3681</v>
      </c>
      <c r="C78" s="84" t="s">
        <v>3641</v>
      </c>
      <c r="D78" s="73">
        <v>7</v>
      </c>
      <c r="E78" s="73" t="s">
        <v>3680</v>
      </c>
      <c r="F78" s="84" t="s">
        <v>1824</v>
      </c>
      <c r="G78" s="78" t="s">
        <v>335</v>
      </c>
      <c r="H78" s="76">
        <f t="shared" si="2"/>
        <v>726</v>
      </c>
      <c r="I78" s="76" t="s">
        <v>336</v>
      </c>
      <c r="J78" s="76" t="s">
        <v>592</v>
      </c>
      <c r="K78" s="83"/>
      <c r="L78" s="39"/>
      <c r="O78" s="39"/>
      <c r="P78" s="39"/>
      <c r="Q78" s="39"/>
    </row>
    <row r="79" spans="1:17" ht="25.8">
      <c r="A79" s="83" t="s">
        <v>3547</v>
      </c>
      <c r="B79" s="84" t="s">
        <v>3682</v>
      </c>
      <c r="C79" s="77" t="s">
        <v>3641</v>
      </c>
      <c r="D79" s="73">
        <v>7</v>
      </c>
      <c r="E79" s="84" t="s">
        <v>3683</v>
      </c>
      <c r="F79" s="84" t="s">
        <v>1801</v>
      </c>
      <c r="G79" s="78" t="s">
        <v>1801</v>
      </c>
      <c r="H79" s="76">
        <f t="shared" si="2"/>
        <v>727</v>
      </c>
      <c r="I79" s="77" t="s">
        <v>336</v>
      </c>
      <c r="J79" s="76" t="s">
        <v>592</v>
      </c>
      <c r="K79" s="84"/>
      <c r="L79" s="40"/>
      <c r="M79" s="40"/>
      <c r="N79" s="40"/>
    </row>
    <row r="80" spans="1:17" ht="25.8">
      <c r="A80" s="73" t="s">
        <v>3684</v>
      </c>
      <c r="B80" s="73" t="s">
        <v>329</v>
      </c>
      <c r="C80" s="73" t="s">
        <v>3641</v>
      </c>
      <c r="D80" s="73">
        <v>7</v>
      </c>
      <c r="E80" s="73" t="s">
        <v>3685</v>
      </c>
      <c r="F80" s="73" t="s">
        <v>329</v>
      </c>
      <c r="G80" s="78" t="s">
        <v>329</v>
      </c>
      <c r="H80" s="76">
        <f t="shared" si="2"/>
        <v>728</v>
      </c>
      <c r="I80" s="73" t="s">
        <v>1279</v>
      </c>
      <c r="J80" s="73"/>
      <c r="K80" s="77"/>
      <c r="O80" s="39"/>
      <c r="P80" s="39"/>
      <c r="Q80" s="39"/>
    </row>
    <row r="81" spans="1:17" ht="25.8">
      <c r="A81" s="83" t="s">
        <v>3547</v>
      </c>
      <c r="B81" s="83" t="s">
        <v>3686</v>
      </c>
      <c r="C81" s="76" t="s">
        <v>3641</v>
      </c>
      <c r="D81" s="73">
        <v>7</v>
      </c>
      <c r="E81" s="73" t="s">
        <v>3685</v>
      </c>
      <c r="F81" s="89" t="s">
        <v>1829</v>
      </c>
      <c r="G81" s="78" t="s">
        <v>329</v>
      </c>
      <c r="H81" s="76">
        <f t="shared" si="2"/>
        <v>729</v>
      </c>
      <c r="I81" s="76" t="s">
        <v>339</v>
      </c>
      <c r="J81" s="76" t="s">
        <v>592</v>
      </c>
      <c r="K81" s="77"/>
    </row>
    <row r="82" spans="1:17" ht="25.8">
      <c r="A82" s="73" t="s">
        <v>3641</v>
      </c>
      <c r="B82" s="73" t="s">
        <v>828</v>
      </c>
      <c r="C82" s="73" t="s">
        <v>3641</v>
      </c>
      <c r="D82" s="73">
        <v>7</v>
      </c>
      <c r="E82" s="73" t="s">
        <v>3687</v>
      </c>
      <c r="F82" s="73" t="s">
        <v>828</v>
      </c>
      <c r="G82" s="78" t="s">
        <v>3688</v>
      </c>
      <c r="H82" s="76">
        <f t="shared" si="2"/>
        <v>730</v>
      </c>
      <c r="I82" s="77" t="s">
        <v>1279</v>
      </c>
      <c r="J82" s="77"/>
      <c r="K82" s="77"/>
    </row>
    <row r="83" spans="1:17" ht="25.8">
      <c r="A83" s="73" t="s">
        <v>3641</v>
      </c>
      <c r="B83" s="73" t="s">
        <v>345</v>
      </c>
      <c r="C83" s="73" t="s">
        <v>3641</v>
      </c>
      <c r="D83" s="73">
        <v>7</v>
      </c>
      <c r="E83" s="73" t="s">
        <v>3689</v>
      </c>
      <c r="F83" s="73" t="s">
        <v>345</v>
      </c>
      <c r="G83" s="78" t="s">
        <v>345</v>
      </c>
      <c r="H83" s="76">
        <f t="shared" si="2"/>
        <v>731</v>
      </c>
      <c r="I83" s="73" t="s">
        <v>339</v>
      </c>
      <c r="J83" s="73"/>
      <c r="K83" s="77"/>
    </row>
    <row r="84" spans="1:17" ht="25.8">
      <c r="A84" s="83" t="s">
        <v>3547</v>
      </c>
      <c r="B84" s="77" t="s">
        <v>3690</v>
      </c>
      <c r="C84" s="73" t="s">
        <v>3641</v>
      </c>
      <c r="D84" s="73">
        <v>7</v>
      </c>
      <c r="E84" s="73" t="s">
        <v>3689</v>
      </c>
      <c r="F84" s="77" t="s">
        <v>1917</v>
      </c>
      <c r="G84" s="78" t="s">
        <v>345</v>
      </c>
      <c r="H84" s="76">
        <f t="shared" si="2"/>
        <v>732</v>
      </c>
      <c r="I84" s="77" t="s">
        <v>339</v>
      </c>
      <c r="J84" s="76" t="s">
        <v>592</v>
      </c>
      <c r="K84" s="77"/>
    </row>
    <row r="85" spans="1:17" ht="25.8">
      <c r="A85" s="73" t="s">
        <v>3641</v>
      </c>
      <c r="B85" s="73" t="s">
        <v>338</v>
      </c>
      <c r="C85" s="73" t="s">
        <v>3641</v>
      </c>
      <c r="D85" s="73">
        <v>7</v>
      </c>
      <c r="E85" s="73" t="s">
        <v>3691</v>
      </c>
      <c r="F85" s="73" t="s">
        <v>338</v>
      </c>
      <c r="G85" s="78" t="s">
        <v>338</v>
      </c>
      <c r="H85" s="76">
        <f t="shared" si="2"/>
        <v>733</v>
      </c>
      <c r="I85" s="77" t="s">
        <v>1278</v>
      </c>
      <c r="J85" s="77"/>
      <c r="K85" s="77"/>
      <c r="O85" s="39"/>
      <c r="P85" s="39"/>
      <c r="Q85" s="39"/>
    </row>
    <row r="86" spans="1:17" ht="25.8">
      <c r="A86" s="83" t="s">
        <v>3547</v>
      </c>
      <c r="B86" s="89" t="s">
        <v>3692</v>
      </c>
      <c r="C86" s="77" t="s">
        <v>3641</v>
      </c>
      <c r="D86" s="73">
        <v>7</v>
      </c>
      <c r="E86" s="73" t="s">
        <v>3693</v>
      </c>
      <c r="F86" s="73" t="s">
        <v>1761</v>
      </c>
      <c r="G86" s="78" t="s">
        <v>1761</v>
      </c>
      <c r="H86" s="76">
        <f t="shared" si="2"/>
        <v>734</v>
      </c>
      <c r="I86" s="77" t="s">
        <v>1762</v>
      </c>
      <c r="J86" s="76" t="s">
        <v>592</v>
      </c>
      <c r="K86" s="83"/>
      <c r="L86" s="39"/>
    </row>
    <row r="87" spans="1:17" ht="25.8">
      <c r="A87" s="73" t="s">
        <v>3641</v>
      </c>
      <c r="B87" s="73" t="s">
        <v>827</v>
      </c>
      <c r="C87" s="73" t="s">
        <v>3641</v>
      </c>
      <c r="D87" s="73">
        <v>7</v>
      </c>
      <c r="E87" s="73" t="s">
        <v>3693</v>
      </c>
      <c r="F87" s="73" t="s">
        <v>827</v>
      </c>
      <c r="G87" s="78" t="s">
        <v>1761</v>
      </c>
      <c r="H87" s="76">
        <f t="shared" si="2"/>
        <v>735</v>
      </c>
      <c r="I87" s="77" t="s">
        <v>1279</v>
      </c>
      <c r="J87" s="77"/>
      <c r="K87" s="77"/>
    </row>
    <row r="88" spans="1:17" ht="25.8">
      <c r="A88" s="83" t="s">
        <v>3547</v>
      </c>
      <c r="B88" s="89" t="s">
        <v>3694</v>
      </c>
      <c r="C88" s="77" t="s">
        <v>3641</v>
      </c>
      <c r="D88" s="73">
        <v>7</v>
      </c>
      <c r="E88" s="77" t="s">
        <v>3695</v>
      </c>
      <c r="F88" s="73" t="s">
        <v>1784</v>
      </c>
      <c r="G88" s="78" t="s">
        <v>1784</v>
      </c>
      <c r="H88" s="76">
        <f t="shared" si="2"/>
        <v>736</v>
      </c>
      <c r="I88" s="77" t="s">
        <v>336</v>
      </c>
      <c r="J88" s="76" t="s">
        <v>592</v>
      </c>
      <c r="K88" s="77"/>
    </row>
    <row r="89" spans="1:17" ht="25.8">
      <c r="A89" s="83" t="s">
        <v>3547</v>
      </c>
      <c r="B89" s="83" t="s">
        <v>3696</v>
      </c>
      <c r="C89" s="76" t="s">
        <v>3641</v>
      </c>
      <c r="D89" s="73">
        <v>7</v>
      </c>
      <c r="E89" s="76" t="s">
        <v>3695</v>
      </c>
      <c r="F89" s="89" t="s">
        <v>1784</v>
      </c>
      <c r="G89" s="78" t="s">
        <v>1784</v>
      </c>
      <c r="H89" s="76">
        <f t="shared" si="2"/>
        <v>737</v>
      </c>
      <c r="I89" s="76" t="s">
        <v>336</v>
      </c>
      <c r="J89" s="76" t="s">
        <v>592</v>
      </c>
      <c r="K89" s="77"/>
    </row>
    <row r="90" spans="1:17" ht="25.8">
      <c r="A90" s="83" t="s">
        <v>3547</v>
      </c>
      <c r="B90" s="83" t="s">
        <v>3697</v>
      </c>
      <c r="C90" s="77" t="s">
        <v>3641</v>
      </c>
      <c r="D90" s="73">
        <v>7</v>
      </c>
      <c r="E90" s="84" t="s">
        <v>3698</v>
      </c>
      <c r="F90" s="84" t="s">
        <v>1776</v>
      </c>
      <c r="G90" s="78" t="s">
        <v>1776</v>
      </c>
      <c r="H90" s="76">
        <f t="shared" si="2"/>
        <v>738</v>
      </c>
      <c r="I90" s="76" t="s">
        <v>339</v>
      </c>
      <c r="J90" s="76" t="s">
        <v>592</v>
      </c>
      <c r="K90" s="77"/>
    </row>
    <row r="91" spans="1:17" ht="25.8">
      <c r="A91" s="83" t="s">
        <v>3547</v>
      </c>
      <c r="B91" s="83" t="s">
        <v>3699</v>
      </c>
      <c r="C91" s="77" t="s">
        <v>3641</v>
      </c>
      <c r="D91" s="73">
        <v>7</v>
      </c>
      <c r="E91" s="84" t="s">
        <v>3698</v>
      </c>
      <c r="F91" s="77" t="s">
        <v>1776</v>
      </c>
      <c r="G91" s="78" t="s">
        <v>1776</v>
      </c>
      <c r="H91" s="76">
        <f t="shared" si="2"/>
        <v>739</v>
      </c>
      <c r="I91" s="76" t="s">
        <v>339</v>
      </c>
      <c r="J91" s="76" t="s">
        <v>592</v>
      </c>
      <c r="K91" s="77"/>
    </row>
    <row r="92" spans="1:17" ht="25.8">
      <c r="A92" s="83" t="s">
        <v>3547</v>
      </c>
      <c r="B92" s="83" t="s">
        <v>3700</v>
      </c>
      <c r="C92" s="77" t="s">
        <v>3641</v>
      </c>
      <c r="D92" s="73">
        <v>7</v>
      </c>
      <c r="E92" s="84" t="s">
        <v>3698</v>
      </c>
      <c r="F92" s="89" t="s">
        <v>1776</v>
      </c>
      <c r="G92" s="78" t="s">
        <v>1776</v>
      </c>
      <c r="H92" s="76">
        <f t="shared" si="2"/>
        <v>740</v>
      </c>
      <c r="I92" s="76" t="s">
        <v>339</v>
      </c>
      <c r="J92" s="76" t="s">
        <v>592</v>
      </c>
      <c r="K92" s="77"/>
    </row>
    <row r="93" spans="1:17" ht="25.8">
      <c r="A93" s="83" t="s">
        <v>3547</v>
      </c>
      <c r="B93" s="83" t="s">
        <v>3701</v>
      </c>
      <c r="C93" s="77" t="s">
        <v>3641</v>
      </c>
      <c r="D93" s="73">
        <v>7</v>
      </c>
      <c r="E93" s="77" t="s">
        <v>3702</v>
      </c>
      <c r="F93" s="77" t="s">
        <v>1766</v>
      </c>
      <c r="G93" s="78" t="s">
        <v>1766</v>
      </c>
      <c r="H93" s="76">
        <f t="shared" si="2"/>
        <v>741</v>
      </c>
      <c r="I93" s="76" t="s">
        <v>339</v>
      </c>
      <c r="J93" s="76" t="s">
        <v>592</v>
      </c>
      <c r="K93" s="77"/>
    </row>
    <row r="94" spans="1:17" ht="25.8">
      <c r="A94" s="83" t="s">
        <v>3547</v>
      </c>
      <c r="B94" s="89" t="s">
        <v>3703</v>
      </c>
      <c r="C94" s="77" t="s">
        <v>3641</v>
      </c>
      <c r="D94" s="73">
        <v>7</v>
      </c>
      <c r="E94" s="77" t="s">
        <v>3702</v>
      </c>
      <c r="F94" s="89" t="s">
        <v>1826</v>
      </c>
      <c r="G94" s="78" t="s">
        <v>1766</v>
      </c>
      <c r="H94" s="76">
        <f t="shared" si="2"/>
        <v>742</v>
      </c>
      <c r="I94" s="89" t="s">
        <v>1762</v>
      </c>
      <c r="J94" s="76" t="s">
        <v>592</v>
      </c>
      <c r="K94" s="77"/>
      <c r="O94" s="39"/>
      <c r="P94" s="39"/>
      <c r="Q94" s="39"/>
    </row>
    <row r="95" spans="1:17" ht="25.8">
      <c r="A95" s="83" t="s">
        <v>3547</v>
      </c>
      <c r="B95" s="77" t="s">
        <v>3704</v>
      </c>
      <c r="C95" s="93" t="s">
        <v>1831</v>
      </c>
      <c r="D95" s="73">
        <v>7</v>
      </c>
      <c r="E95" s="77" t="s">
        <v>3705</v>
      </c>
      <c r="F95" s="77" t="s">
        <v>1892</v>
      </c>
      <c r="G95" s="78" t="s">
        <v>3706</v>
      </c>
      <c r="H95" s="76">
        <f t="shared" si="2"/>
        <v>743</v>
      </c>
      <c r="I95" s="77" t="s">
        <v>1670</v>
      </c>
      <c r="J95" s="76" t="s">
        <v>592</v>
      </c>
      <c r="K95" s="77"/>
    </row>
    <row r="96" spans="1:17" ht="25.8">
      <c r="A96" s="83" t="s">
        <v>3547</v>
      </c>
      <c r="B96" s="77" t="s">
        <v>3707</v>
      </c>
      <c r="C96" s="93" t="s">
        <v>1285</v>
      </c>
      <c r="D96" s="73">
        <v>7</v>
      </c>
      <c r="E96" s="77" t="s">
        <v>3705</v>
      </c>
      <c r="F96" s="77" t="s">
        <v>1892</v>
      </c>
      <c r="G96" s="78" t="s">
        <v>3708</v>
      </c>
      <c r="H96" s="76">
        <f t="shared" si="2"/>
        <v>744</v>
      </c>
      <c r="I96" s="77" t="s">
        <v>1670</v>
      </c>
      <c r="J96" s="76" t="s">
        <v>592</v>
      </c>
      <c r="K96" s="77"/>
    </row>
    <row r="97" spans="1:17" s="39" customFormat="1" ht="25.8">
      <c r="A97" s="83" t="s">
        <v>3547</v>
      </c>
      <c r="B97" s="83" t="s">
        <v>3709</v>
      </c>
      <c r="C97" s="76" t="s">
        <v>3641</v>
      </c>
      <c r="D97" s="73">
        <v>7</v>
      </c>
      <c r="E97" s="77" t="s">
        <v>3710</v>
      </c>
      <c r="F97" s="89" t="s">
        <v>1781</v>
      </c>
      <c r="G97" s="78" t="s">
        <v>3711</v>
      </c>
      <c r="H97" s="76">
        <f t="shared" si="2"/>
        <v>745</v>
      </c>
      <c r="I97" s="76" t="s">
        <v>1782</v>
      </c>
      <c r="J97" s="76" t="s">
        <v>592</v>
      </c>
      <c r="K97" s="77"/>
      <c r="L97" s="38"/>
      <c r="M97" s="38"/>
      <c r="N97" s="38"/>
      <c r="O97" s="38"/>
      <c r="P97" s="38"/>
      <c r="Q97" s="38"/>
    </row>
    <row r="98" spans="1:17" s="39" customFormat="1" ht="25.8">
      <c r="A98" s="73" t="s">
        <v>3641</v>
      </c>
      <c r="B98" s="73" t="s">
        <v>331</v>
      </c>
      <c r="C98" s="73" t="s">
        <v>3641</v>
      </c>
      <c r="D98" s="73">
        <v>7</v>
      </c>
      <c r="E98" s="73" t="s">
        <v>3712</v>
      </c>
      <c r="F98" s="73" t="s">
        <v>331</v>
      </c>
      <c r="G98" s="78" t="s">
        <v>331</v>
      </c>
      <c r="H98" s="76">
        <f t="shared" si="2"/>
        <v>746</v>
      </c>
      <c r="I98" s="73" t="s">
        <v>328</v>
      </c>
      <c r="J98" s="73"/>
      <c r="K98" s="77"/>
      <c r="L98" s="38"/>
      <c r="M98" s="38"/>
      <c r="N98" s="38"/>
      <c r="O98" s="38"/>
      <c r="P98" s="38"/>
      <c r="Q98" s="38"/>
    </row>
    <row r="99" spans="1:17" s="39" customFormat="1" ht="25.8">
      <c r="A99" s="73" t="s">
        <v>3641</v>
      </c>
      <c r="B99" s="73" t="s">
        <v>829</v>
      </c>
      <c r="C99" s="73" t="s">
        <v>3641</v>
      </c>
      <c r="D99" s="73">
        <v>7</v>
      </c>
      <c r="E99" s="73" t="s">
        <v>3713</v>
      </c>
      <c r="F99" s="73" t="s">
        <v>829</v>
      </c>
      <c r="G99" s="78" t="s">
        <v>3714</v>
      </c>
      <c r="H99" s="76">
        <f t="shared" si="2"/>
        <v>747</v>
      </c>
      <c r="I99" s="77" t="s">
        <v>1279</v>
      </c>
      <c r="J99" s="77"/>
      <c r="K99" s="77"/>
      <c r="L99" s="38"/>
      <c r="M99" s="38"/>
      <c r="N99" s="38"/>
      <c r="O99" s="38"/>
      <c r="P99" s="38"/>
      <c r="Q99" s="38"/>
    </row>
    <row r="100" spans="1:17" s="39" customFormat="1" ht="25.8">
      <c r="A100" s="83" t="s">
        <v>3547</v>
      </c>
      <c r="B100" s="83" t="s">
        <v>3715</v>
      </c>
      <c r="C100" s="76" t="s">
        <v>3641</v>
      </c>
      <c r="D100" s="73">
        <v>7</v>
      </c>
      <c r="E100" s="73" t="s">
        <v>3713</v>
      </c>
      <c r="F100" s="89" t="s">
        <v>1778</v>
      </c>
      <c r="G100" s="78" t="s">
        <v>3714</v>
      </c>
      <c r="H100" s="76">
        <f t="shared" si="2"/>
        <v>748</v>
      </c>
      <c r="I100" s="76" t="s">
        <v>339</v>
      </c>
      <c r="J100" s="76" t="s">
        <v>592</v>
      </c>
      <c r="K100" s="77"/>
      <c r="L100" s="38"/>
      <c r="M100" s="38"/>
      <c r="N100" s="38"/>
      <c r="O100" s="38"/>
      <c r="P100" s="38"/>
      <c r="Q100" s="38"/>
    </row>
    <row r="101" spans="1:17" s="39" customFormat="1" ht="25.8">
      <c r="A101" s="73" t="s">
        <v>3641</v>
      </c>
      <c r="B101" s="73" t="s">
        <v>826</v>
      </c>
      <c r="C101" s="73" t="s">
        <v>3641</v>
      </c>
      <c r="D101" s="73">
        <v>7</v>
      </c>
      <c r="E101" s="73" t="s">
        <v>3716</v>
      </c>
      <c r="F101" s="73" t="s">
        <v>826</v>
      </c>
      <c r="G101" s="78" t="s">
        <v>826</v>
      </c>
      <c r="H101" s="76">
        <f t="shared" si="2"/>
        <v>749</v>
      </c>
      <c r="I101" s="77" t="s">
        <v>1279</v>
      </c>
      <c r="J101" s="77"/>
      <c r="K101" s="77"/>
      <c r="L101" s="38"/>
      <c r="M101" s="38"/>
      <c r="N101" s="38"/>
      <c r="O101" s="38"/>
      <c r="P101" s="38"/>
      <c r="Q101" s="38"/>
    </row>
    <row r="102" spans="1:17" s="39" customFormat="1" ht="25.8">
      <c r="A102" s="83" t="s">
        <v>3547</v>
      </c>
      <c r="B102" s="89" t="s">
        <v>3717</v>
      </c>
      <c r="C102" s="77" t="s">
        <v>3641</v>
      </c>
      <c r="D102" s="73">
        <v>7</v>
      </c>
      <c r="E102" s="90" t="s">
        <v>3718</v>
      </c>
      <c r="F102" s="84" t="s">
        <v>3719</v>
      </c>
      <c r="G102" s="78" t="s">
        <v>3720</v>
      </c>
      <c r="H102" s="76">
        <f t="shared" si="2"/>
        <v>750</v>
      </c>
      <c r="I102" s="76" t="s">
        <v>1772</v>
      </c>
      <c r="J102" s="76" t="s">
        <v>592</v>
      </c>
      <c r="K102" s="83"/>
      <c r="L102" s="38"/>
      <c r="M102" s="38"/>
      <c r="N102" s="38"/>
      <c r="O102" s="38"/>
      <c r="P102" s="38"/>
      <c r="Q102" s="38"/>
    </row>
    <row r="103" spans="1:17" s="39" customFormat="1" ht="25.8">
      <c r="A103" s="73" t="s">
        <v>3641</v>
      </c>
      <c r="B103" s="73" t="s">
        <v>832</v>
      </c>
      <c r="C103" s="73" t="s">
        <v>3641</v>
      </c>
      <c r="D103" s="73">
        <v>7</v>
      </c>
      <c r="E103" s="73" t="s">
        <v>3721</v>
      </c>
      <c r="F103" s="73" t="s">
        <v>832</v>
      </c>
      <c r="G103" s="78" t="s">
        <v>3722</v>
      </c>
      <c r="H103" s="76">
        <f t="shared" si="2"/>
        <v>751</v>
      </c>
      <c r="I103" s="77" t="str">
        <f>VLOOKUP(B103,[2]Sheet1!$C$2:$I$130,5,0)</f>
        <v>umol/L</v>
      </c>
      <c r="J103" s="77"/>
      <c r="K103" s="77"/>
      <c r="L103" s="38"/>
      <c r="M103" s="38"/>
      <c r="N103" s="38"/>
      <c r="O103" s="38"/>
      <c r="P103" s="38"/>
      <c r="Q103" s="40"/>
    </row>
    <row r="104" spans="1:17" s="39" customFormat="1" ht="25.8">
      <c r="A104" s="73" t="s">
        <v>3641</v>
      </c>
      <c r="B104" s="73" t="s">
        <v>1280</v>
      </c>
      <c r="C104" s="73" t="s">
        <v>3641</v>
      </c>
      <c r="D104" s="73">
        <v>7</v>
      </c>
      <c r="E104" s="73" t="s">
        <v>3723</v>
      </c>
      <c r="F104" s="73" t="s">
        <v>821</v>
      </c>
      <c r="G104" s="78" t="s">
        <v>3724</v>
      </c>
      <c r="H104" s="76">
        <f t="shared" si="2"/>
        <v>752</v>
      </c>
      <c r="I104" s="73" t="s">
        <v>1279</v>
      </c>
      <c r="J104" s="73"/>
      <c r="K104" s="77"/>
      <c r="L104" s="38"/>
      <c r="M104" s="38"/>
      <c r="N104" s="38"/>
      <c r="Q104" s="40"/>
    </row>
    <row r="105" spans="1:17" s="39" customFormat="1" ht="25.8">
      <c r="A105" s="73" t="s">
        <v>3641</v>
      </c>
      <c r="B105" s="73" t="s">
        <v>822</v>
      </c>
      <c r="C105" s="73" t="s">
        <v>3641</v>
      </c>
      <c r="D105" s="73">
        <v>7</v>
      </c>
      <c r="E105" s="73" t="s">
        <v>3725</v>
      </c>
      <c r="F105" s="73" t="s">
        <v>823</v>
      </c>
      <c r="G105" s="78" t="s">
        <v>3726</v>
      </c>
      <c r="H105" s="76">
        <f t="shared" si="2"/>
        <v>753</v>
      </c>
      <c r="I105" s="77"/>
      <c r="J105" s="77"/>
      <c r="K105" s="77"/>
      <c r="L105" s="38"/>
      <c r="M105" s="38"/>
      <c r="N105" s="38"/>
      <c r="O105" s="38"/>
      <c r="P105" s="38"/>
      <c r="Q105" s="38"/>
    </row>
    <row r="106" spans="1:17" s="39" customFormat="1" ht="25.8">
      <c r="A106" s="83" t="s">
        <v>3547</v>
      </c>
      <c r="B106" s="89" t="s">
        <v>3727</v>
      </c>
      <c r="C106" s="77" t="s">
        <v>3641</v>
      </c>
      <c r="D106" s="73">
        <v>7</v>
      </c>
      <c r="E106" s="77" t="s">
        <v>3728</v>
      </c>
      <c r="F106" s="89" t="s">
        <v>1828</v>
      </c>
      <c r="G106" s="78" t="s">
        <v>1769</v>
      </c>
      <c r="H106" s="76">
        <f t="shared" si="2"/>
        <v>754</v>
      </c>
      <c r="I106" s="89" t="s">
        <v>1762</v>
      </c>
      <c r="J106" s="76" t="s">
        <v>592</v>
      </c>
      <c r="K106" s="77"/>
      <c r="L106" s="38"/>
      <c r="M106" s="38"/>
      <c r="N106" s="38"/>
    </row>
    <row r="107" spans="1:17" s="39" customFormat="1" ht="25.8">
      <c r="A107" s="83" t="s">
        <v>3547</v>
      </c>
      <c r="B107" s="89" t="s">
        <v>3729</v>
      </c>
      <c r="C107" s="77" t="s">
        <v>3641</v>
      </c>
      <c r="D107" s="73">
        <v>7</v>
      </c>
      <c r="E107" s="77" t="s">
        <v>3728</v>
      </c>
      <c r="F107" s="77" t="s">
        <v>1769</v>
      </c>
      <c r="G107" s="78" t="s">
        <v>1769</v>
      </c>
      <c r="H107" s="76">
        <f t="shared" si="2"/>
        <v>755</v>
      </c>
      <c r="I107" s="76" t="s">
        <v>339</v>
      </c>
      <c r="J107" s="76" t="s">
        <v>592</v>
      </c>
      <c r="K107" s="77"/>
      <c r="L107" s="38"/>
      <c r="M107" s="38"/>
      <c r="N107" s="38"/>
    </row>
    <row r="108" spans="1:17" s="39" customFormat="1" ht="25.8">
      <c r="A108" s="73" t="s">
        <v>3730</v>
      </c>
      <c r="B108" s="73" t="s">
        <v>834</v>
      </c>
      <c r="C108" s="73" t="s">
        <v>3730</v>
      </c>
      <c r="D108" s="73">
        <v>8</v>
      </c>
      <c r="E108" s="94" t="s">
        <v>3731</v>
      </c>
      <c r="F108" s="73" t="s">
        <v>834</v>
      </c>
      <c r="G108" s="78" t="s">
        <v>834</v>
      </c>
      <c r="H108" s="76">
        <f t="shared" si="2"/>
        <v>801</v>
      </c>
      <c r="I108" s="77" t="str">
        <f>VLOOKUP(B108,[2]Sheet1!$C$2:$I$130,5,0)</f>
        <v>s</v>
      </c>
      <c r="J108" s="77"/>
      <c r="K108" s="77"/>
      <c r="L108" s="38"/>
      <c r="M108" s="38"/>
      <c r="N108" s="38"/>
    </row>
    <row r="109" spans="1:17" s="39" customFormat="1" ht="25.8">
      <c r="A109" s="83" t="s">
        <v>3547</v>
      </c>
      <c r="B109" s="76" t="s">
        <v>3732</v>
      </c>
      <c r="C109" s="76" t="s">
        <v>3730</v>
      </c>
      <c r="D109" s="73">
        <v>8</v>
      </c>
      <c r="E109" s="84" t="s">
        <v>3733</v>
      </c>
      <c r="F109" s="84" t="s">
        <v>1696</v>
      </c>
      <c r="G109" s="78" t="s">
        <v>1696</v>
      </c>
      <c r="H109" s="76">
        <f t="shared" si="2"/>
        <v>802</v>
      </c>
      <c r="I109" s="76" t="s">
        <v>1830</v>
      </c>
      <c r="J109" s="76" t="s">
        <v>592</v>
      </c>
      <c r="K109" s="83"/>
    </row>
    <row r="110" spans="1:17" s="39" customFormat="1" ht="25.8">
      <c r="A110" s="83" t="s">
        <v>3547</v>
      </c>
      <c r="B110" s="76" t="s">
        <v>3734</v>
      </c>
      <c r="C110" s="76" t="s">
        <v>3730</v>
      </c>
      <c r="D110" s="73">
        <v>8</v>
      </c>
      <c r="E110" s="84" t="s">
        <v>3733</v>
      </c>
      <c r="F110" s="76" t="s">
        <v>1696</v>
      </c>
      <c r="G110" s="78" t="s">
        <v>1696</v>
      </c>
      <c r="H110" s="76">
        <f t="shared" si="2"/>
        <v>803</v>
      </c>
      <c r="I110" s="76" t="s">
        <v>1830</v>
      </c>
      <c r="J110" s="76" t="s">
        <v>592</v>
      </c>
      <c r="K110" s="77"/>
      <c r="L110" s="38"/>
      <c r="M110" s="38"/>
      <c r="N110" s="38"/>
    </row>
    <row r="111" spans="1:17" s="39" customFormat="1" ht="25.8">
      <c r="A111" s="83" t="s">
        <v>3547</v>
      </c>
      <c r="B111" s="76" t="s">
        <v>3735</v>
      </c>
      <c r="C111" s="76" t="s">
        <v>3730</v>
      </c>
      <c r="D111" s="73">
        <v>8</v>
      </c>
      <c r="E111" s="84" t="s">
        <v>3733</v>
      </c>
      <c r="F111" s="76" t="s">
        <v>1696</v>
      </c>
      <c r="G111" s="78" t="s">
        <v>1696</v>
      </c>
      <c r="H111" s="76">
        <f t="shared" si="2"/>
        <v>804</v>
      </c>
      <c r="I111" s="76" t="s">
        <v>1830</v>
      </c>
      <c r="J111" s="76" t="s">
        <v>592</v>
      </c>
      <c r="K111" s="83"/>
    </row>
    <row r="112" spans="1:17" s="39" customFormat="1" ht="25.8">
      <c r="A112" s="83" t="s">
        <v>3547</v>
      </c>
      <c r="B112" s="84" t="s">
        <v>3736</v>
      </c>
      <c r="C112" s="84" t="s">
        <v>3730</v>
      </c>
      <c r="D112" s="73">
        <v>8</v>
      </c>
      <c r="E112" s="84" t="s">
        <v>3733</v>
      </c>
      <c r="F112" s="89" t="s">
        <v>1696</v>
      </c>
      <c r="G112" s="78" t="s">
        <v>1696</v>
      </c>
      <c r="H112" s="76">
        <f t="shared" si="2"/>
        <v>805</v>
      </c>
      <c r="I112" s="76" t="s">
        <v>1893</v>
      </c>
      <c r="J112" s="76" t="s">
        <v>592</v>
      </c>
      <c r="K112" s="83"/>
    </row>
    <row r="113" spans="1:17" s="39" customFormat="1" ht="25.8">
      <c r="A113" s="73" t="s">
        <v>3730</v>
      </c>
      <c r="B113" s="73" t="s">
        <v>845</v>
      </c>
      <c r="C113" s="73" t="s">
        <v>3730</v>
      </c>
      <c r="D113" s="73">
        <v>8</v>
      </c>
      <c r="E113" s="73" t="s">
        <v>3737</v>
      </c>
      <c r="F113" s="73" t="s">
        <v>835</v>
      </c>
      <c r="G113" s="78" t="s">
        <v>835</v>
      </c>
      <c r="H113" s="76">
        <f t="shared" si="2"/>
        <v>806</v>
      </c>
      <c r="I113" s="89" t="s">
        <v>835</v>
      </c>
      <c r="J113" s="89"/>
      <c r="K113" s="77"/>
      <c r="L113" s="38"/>
      <c r="M113" s="38"/>
      <c r="N113" s="38"/>
    </row>
    <row r="114" spans="1:17" s="39" customFormat="1" ht="25.8">
      <c r="A114" s="73" t="s">
        <v>3730</v>
      </c>
      <c r="B114" s="73" t="s">
        <v>833</v>
      </c>
      <c r="C114" s="73" t="s">
        <v>3730</v>
      </c>
      <c r="D114" s="73">
        <v>8</v>
      </c>
      <c r="E114" s="73" t="s">
        <v>3738</v>
      </c>
      <c r="F114" s="73" t="s">
        <v>833</v>
      </c>
      <c r="G114" s="78" t="s">
        <v>833</v>
      </c>
      <c r="H114" s="76">
        <f t="shared" si="2"/>
        <v>807</v>
      </c>
      <c r="I114" s="77" t="str">
        <f>VLOOKUP(B114,[2]Sheet1!$C$2:$I$130,5,0)</f>
        <v>s</v>
      </c>
      <c r="J114" s="77"/>
      <c r="K114" s="77"/>
      <c r="L114" s="38"/>
      <c r="M114" s="38"/>
      <c r="N114" s="38"/>
      <c r="Q114" s="40"/>
    </row>
    <row r="115" spans="1:17" s="39" customFormat="1" ht="25.8">
      <c r="A115" s="73" t="s">
        <v>3739</v>
      </c>
      <c r="B115" s="73" t="s">
        <v>599</v>
      </c>
      <c r="C115" s="73" t="s">
        <v>3739</v>
      </c>
      <c r="D115" s="73">
        <v>9</v>
      </c>
      <c r="E115" s="89" t="s">
        <v>3740</v>
      </c>
      <c r="F115" s="73" t="s">
        <v>1283</v>
      </c>
      <c r="G115" s="78" t="s">
        <v>599</v>
      </c>
      <c r="H115" s="76">
        <f t="shared" si="2"/>
        <v>901</v>
      </c>
      <c r="I115" s="73"/>
      <c r="J115" s="73"/>
      <c r="K115" s="77">
        <v>3</v>
      </c>
      <c r="L115" s="38" t="s">
        <v>1835</v>
      </c>
      <c r="M115" s="38"/>
      <c r="N115" s="38"/>
      <c r="O115" s="38"/>
      <c r="P115" s="38"/>
      <c r="Q115" s="38"/>
    </row>
    <row r="116" spans="1:17" s="39" customFormat="1" ht="25.8">
      <c r="A116" s="73" t="s">
        <v>3684</v>
      </c>
      <c r="B116" s="73" t="s">
        <v>599</v>
      </c>
      <c r="C116" s="73" t="s">
        <v>3739</v>
      </c>
      <c r="D116" s="73" t="s">
        <v>1484</v>
      </c>
      <c r="E116" s="89" t="s">
        <v>3740</v>
      </c>
      <c r="F116" s="73" t="s">
        <v>1873</v>
      </c>
      <c r="G116" s="78" t="s">
        <v>599</v>
      </c>
      <c r="H116" s="76">
        <f t="shared" si="2"/>
        <v>901</v>
      </c>
      <c r="I116" s="77"/>
      <c r="J116" s="77"/>
      <c r="K116" s="77">
        <v>3</v>
      </c>
      <c r="L116" s="38" t="s">
        <v>1835</v>
      </c>
      <c r="M116" s="38"/>
      <c r="N116" s="38"/>
      <c r="O116" s="38"/>
      <c r="P116" s="38"/>
      <c r="Q116" s="38"/>
    </row>
    <row r="117" spans="1:17" s="39" customFormat="1" ht="25.8">
      <c r="A117" s="73" t="s">
        <v>3641</v>
      </c>
      <c r="B117" s="73" t="s">
        <v>1516</v>
      </c>
      <c r="C117" s="73" t="s">
        <v>3739</v>
      </c>
      <c r="D117" s="73" t="s">
        <v>1484</v>
      </c>
      <c r="E117" s="89" t="s">
        <v>3741</v>
      </c>
      <c r="F117" s="73" t="s">
        <v>1876</v>
      </c>
      <c r="G117" s="78" t="s">
        <v>3742</v>
      </c>
      <c r="H117" s="76">
        <f t="shared" si="2"/>
        <v>902</v>
      </c>
      <c r="I117" s="77"/>
      <c r="J117" s="77"/>
      <c r="K117" s="77">
        <v>3</v>
      </c>
      <c r="L117" s="38" t="s">
        <v>1835</v>
      </c>
      <c r="M117" s="38"/>
      <c r="N117" s="38"/>
      <c r="O117" s="38"/>
      <c r="P117" s="38"/>
      <c r="Q117" s="38"/>
    </row>
    <row r="118" spans="1:17" s="39" customFormat="1" ht="25.8">
      <c r="A118" s="73" t="s">
        <v>3743</v>
      </c>
      <c r="B118" s="73" t="s">
        <v>1657</v>
      </c>
      <c r="C118" s="73" t="s">
        <v>3739</v>
      </c>
      <c r="D118" s="73">
        <v>9</v>
      </c>
      <c r="E118" s="89" t="s">
        <v>3741</v>
      </c>
      <c r="F118" s="73" t="s">
        <v>1657</v>
      </c>
      <c r="G118" s="78" t="s">
        <v>3742</v>
      </c>
      <c r="H118" s="76">
        <f t="shared" si="2"/>
        <v>901</v>
      </c>
      <c r="I118" s="73"/>
      <c r="J118" s="73"/>
      <c r="K118" s="77">
        <v>3</v>
      </c>
      <c r="L118" s="38" t="s">
        <v>1835</v>
      </c>
      <c r="M118" s="38"/>
      <c r="N118" s="38"/>
      <c r="O118" s="38"/>
      <c r="P118" s="38"/>
      <c r="Q118" s="38"/>
    </row>
    <row r="119" spans="1:17" s="39" customFormat="1" ht="25.8">
      <c r="A119" s="83" t="s">
        <v>3547</v>
      </c>
      <c r="B119" s="84" t="s">
        <v>3744</v>
      </c>
      <c r="C119" s="84" t="s">
        <v>3743</v>
      </c>
      <c r="D119" s="73">
        <v>9</v>
      </c>
      <c r="E119" s="95" t="s">
        <v>3745</v>
      </c>
      <c r="F119" s="84" t="s">
        <v>1750</v>
      </c>
      <c r="G119" s="78" t="s">
        <v>3746</v>
      </c>
      <c r="H119" s="76">
        <f t="shared" si="2"/>
        <v>902</v>
      </c>
      <c r="I119" s="76" t="s">
        <v>1670</v>
      </c>
      <c r="J119" s="76" t="s">
        <v>592</v>
      </c>
      <c r="K119" s="83"/>
      <c r="M119" s="38"/>
      <c r="N119" s="38"/>
      <c r="O119" s="38"/>
      <c r="P119" s="38"/>
      <c r="Q119" s="38"/>
    </row>
    <row r="120" spans="1:17" s="39" customFormat="1" ht="25.8">
      <c r="A120" s="73" t="s">
        <v>3641</v>
      </c>
      <c r="B120" s="73" t="s">
        <v>1515</v>
      </c>
      <c r="C120" s="73" t="s">
        <v>3739</v>
      </c>
      <c r="D120" s="73">
        <v>9</v>
      </c>
      <c r="E120" s="95" t="s">
        <v>3745</v>
      </c>
      <c r="F120" s="73" t="s">
        <v>1875</v>
      </c>
      <c r="G120" s="78" t="s">
        <v>3747</v>
      </c>
      <c r="H120" s="76">
        <f t="shared" si="2"/>
        <v>903</v>
      </c>
      <c r="I120" s="77" t="s">
        <v>1639</v>
      </c>
      <c r="J120" s="77"/>
      <c r="K120" s="77">
        <v>3</v>
      </c>
      <c r="L120" s="38" t="s">
        <v>1835</v>
      </c>
      <c r="M120" s="38"/>
      <c r="N120" s="38"/>
      <c r="O120" s="38"/>
      <c r="P120" s="38"/>
      <c r="Q120" s="38"/>
    </row>
    <row r="121" spans="1:17" s="39" customFormat="1" ht="25.8">
      <c r="A121" s="73" t="s">
        <v>3743</v>
      </c>
      <c r="B121" s="73" t="s">
        <v>23</v>
      </c>
      <c r="C121" s="73" t="s">
        <v>3739</v>
      </c>
      <c r="D121" s="73">
        <v>9</v>
      </c>
      <c r="E121" s="73" t="s">
        <v>3748</v>
      </c>
      <c r="F121" s="73" t="s">
        <v>23</v>
      </c>
      <c r="G121" s="78" t="s">
        <v>3749</v>
      </c>
      <c r="H121" s="76">
        <f t="shared" si="2"/>
        <v>904</v>
      </c>
      <c r="I121" s="73"/>
      <c r="J121" s="73"/>
      <c r="K121" s="77">
        <v>3</v>
      </c>
      <c r="L121" s="38" t="s">
        <v>1835</v>
      </c>
      <c r="M121" s="38"/>
      <c r="N121" s="38"/>
    </row>
    <row r="122" spans="1:17" s="39" customFormat="1" ht="25.8">
      <c r="A122" s="73" t="s">
        <v>3641</v>
      </c>
      <c r="B122" s="73" t="s">
        <v>1514</v>
      </c>
      <c r="C122" s="73" t="s">
        <v>3739</v>
      </c>
      <c r="D122" s="73">
        <v>9</v>
      </c>
      <c r="E122" s="96" t="s">
        <v>3750</v>
      </c>
      <c r="F122" s="73" t="s">
        <v>1874</v>
      </c>
      <c r="G122" s="78" t="s">
        <v>1767</v>
      </c>
      <c r="H122" s="76">
        <f t="shared" si="2"/>
        <v>905</v>
      </c>
      <c r="I122" s="89" t="s">
        <v>1632</v>
      </c>
      <c r="J122" s="89"/>
      <c r="K122" s="77"/>
      <c r="L122" s="38"/>
      <c r="M122" s="38"/>
      <c r="N122" s="38"/>
    </row>
    <row r="123" spans="1:17" s="39" customFormat="1" ht="25.8">
      <c r="A123" s="83" t="s">
        <v>3547</v>
      </c>
      <c r="B123" s="83" t="s">
        <v>3751</v>
      </c>
      <c r="C123" s="73" t="s">
        <v>3739</v>
      </c>
      <c r="D123" s="73">
        <v>9</v>
      </c>
      <c r="E123" s="96" t="s">
        <v>3752</v>
      </c>
      <c r="F123" s="77" t="s">
        <v>1767</v>
      </c>
      <c r="G123" s="78" t="s">
        <v>1767</v>
      </c>
      <c r="H123" s="76">
        <f t="shared" si="2"/>
        <v>906</v>
      </c>
      <c r="I123" s="76" t="s">
        <v>1872</v>
      </c>
      <c r="J123" s="76" t="s">
        <v>592</v>
      </c>
      <c r="K123" s="77"/>
      <c r="L123" s="38"/>
      <c r="M123" s="38"/>
      <c r="N123" s="38"/>
      <c r="O123" s="38"/>
      <c r="P123" s="38"/>
      <c r="Q123" s="38"/>
    </row>
    <row r="124" spans="1:17" s="39" customFormat="1" ht="25.8">
      <c r="A124" s="83" t="s">
        <v>3547</v>
      </c>
      <c r="B124" s="77" t="s">
        <v>3753</v>
      </c>
      <c r="C124" s="89" t="s">
        <v>3754</v>
      </c>
      <c r="D124" s="73" t="s">
        <v>1843</v>
      </c>
      <c r="E124" s="97" t="s">
        <v>3755</v>
      </c>
      <c r="F124" s="77" t="s">
        <v>1898</v>
      </c>
      <c r="G124" s="78" t="s">
        <v>3756</v>
      </c>
      <c r="H124" s="76">
        <f t="shared" si="2"/>
        <v>1001</v>
      </c>
      <c r="I124" s="77" t="s">
        <v>1902</v>
      </c>
      <c r="J124" s="76" t="s">
        <v>592</v>
      </c>
      <c r="K124" s="77"/>
      <c r="L124" s="38"/>
      <c r="M124" s="38"/>
      <c r="N124" s="38"/>
    </row>
    <row r="125" spans="1:17" s="39" customFormat="1" ht="25.8">
      <c r="A125" s="83" t="s">
        <v>3547</v>
      </c>
      <c r="B125" s="84" t="s">
        <v>3757</v>
      </c>
      <c r="C125" s="89" t="s">
        <v>3754</v>
      </c>
      <c r="D125" s="73" t="s">
        <v>1843</v>
      </c>
      <c r="E125" s="89" t="s">
        <v>3758</v>
      </c>
      <c r="F125" s="77" t="s">
        <v>1677</v>
      </c>
      <c r="G125" s="78" t="s">
        <v>3759</v>
      </c>
      <c r="H125" s="76">
        <f t="shared" si="2"/>
        <v>1002</v>
      </c>
      <c r="I125" s="89" t="s">
        <v>339</v>
      </c>
      <c r="J125" s="76" t="s">
        <v>592</v>
      </c>
      <c r="K125" s="83"/>
      <c r="L125" s="40"/>
      <c r="M125" s="40"/>
      <c r="N125" s="40"/>
      <c r="O125" s="38"/>
      <c r="P125" s="38"/>
      <c r="Q125" s="38"/>
    </row>
    <row r="126" spans="1:17" s="39" customFormat="1" ht="25.8">
      <c r="A126" s="73" t="s">
        <v>3754</v>
      </c>
      <c r="B126" s="73" t="s">
        <v>836</v>
      </c>
      <c r="C126" s="73" t="s">
        <v>3754</v>
      </c>
      <c r="D126" s="73" t="s">
        <v>1843</v>
      </c>
      <c r="E126" s="73" t="s">
        <v>3760</v>
      </c>
      <c r="F126" s="73" t="s">
        <v>836</v>
      </c>
      <c r="G126" s="78" t="s">
        <v>3761</v>
      </c>
      <c r="H126" s="76">
        <f t="shared" si="2"/>
        <v>1003</v>
      </c>
      <c r="I126" s="89"/>
      <c r="J126" s="89"/>
      <c r="K126" s="77" t="s">
        <v>1791</v>
      </c>
      <c r="L126" s="38" t="s">
        <v>1835</v>
      </c>
      <c r="M126" s="38"/>
      <c r="N126" s="38"/>
      <c r="O126" s="38"/>
      <c r="P126" s="38"/>
      <c r="Q126" s="38"/>
    </row>
    <row r="127" spans="1:17" s="39" customFormat="1" ht="25.8">
      <c r="A127" s="83" t="s">
        <v>3762</v>
      </c>
      <c r="B127" s="77" t="s">
        <v>3763</v>
      </c>
      <c r="C127" s="89" t="s">
        <v>3754</v>
      </c>
      <c r="D127" s="73" t="s">
        <v>1843</v>
      </c>
      <c r="E127" s="73" t="s">
        <v>3760</v>
      </c>
      <c r="F127" s="77" t="s">
        <v>1895</v>
      </c>
      <c r="G127" s="78" t="s">
        <v>1678</v>
      </c>
      <c r="H127" s="76">
        <f t="shared" si="2"/>
        <v>1004</v>
      </c>
      <c r="I127" s="77" t="s">
        <v>1900</v>
      </c>
      <c r="J127" s="76" t="s">
        <v>592</v>
      </c>
      <c r="K127" s="77"/>
      <c r="L127" s="38"/>
      <c r="M127" s="38"/>
      <c r="N127" s="38"/>
      <c r="O127" s="38"/>
      <c r="P127" s="38"/>
      <c r="Q127" s="38"/>
    </row>
    <row r="128" spans="1:17" s="39" customFormat="1" ht="25.8">
      <c r="A128" s="83" t="s">
        <v>3547</v>
      </c>
      <c r="B128" s="84" t="s">
        <v>3764</v>
      </c>
      <c r="C128" s="89" t="s">
        <v>3754</v>
      </c>
      <c r="D128" s="73" t="s">
        <v>1843</v>
      </c>
      <c r="E128" s="73" t="s">
        <v>3760</v>
      </c>
      <c r="F128" s="77" t="s">
        <v>1678</v>
      </c>
      <c r="G128" s="78" t="s">
        <v>1678</v>
      </c>
      <c r="H128" s="76">
        <f t="shared" si="2"/>
        <v>1005</v>
      </c>
      <c r="I128" s="89" t="s">
        <v>339</v>
      </c>
      <c r="J128" s="76" t="s">
        <v>592</v>
      </c>
      <c r="K128" s="83"/>
      <c r="O128" s="38"/>
      <c r="P128" s="38"/>
      <c r="Q128" s="38"/>
    </row>
    <row r="129" spans="1:17" s="39" customFormat="1" ht="25.8">
      <c r="A129" s="83" t="s">
        <v>3547</v>
      </c>
      <c r="B129" s="77" t="s">
        <v>3765</v>
      </c>
      <c r="C129" s="73" t="s">
        <v>3754</v>
      </c>
      <c r="D129" s="73" t="s">
        <v>1843</v>
      </c>
      <c r="E129" s="97" t="s">
        <v>3766</v>
      </c>
      <c r="F129" s="77" t="s">
        <v>1899</v>
      </c>
      <c r="G129" s="78" t="s">
        <v>3767</v>
      </c>
      <c r="H129" s="76">
        <f t="shared" si="2"/>
        <v>1006</v>
      </c>
      <c r="I129" s="77" t="s">
        <v>1902</v>
      </c>
      <c r="J129" s="76" t="s">
        <v>592</v>
      </c>
      <c r="K129" s="77"/>
      <c r="L129" s="38"/>
      <c r="M129" s="38"/>
      <c r="N129" s="38"/>
      <c r="O129" s="38"/>
      <c r="P129" s="38"/>
      <c r="Q129" s="38"/>
    </row>
    <row r="130" spans="1:17" s="39" customFormat="1" ht="25.8">
      <c r="A130" s="73" t="s">
        <v>3754</v>
      </c>
      <c r="B130" s="73" t="s">
        <v>837</v>
      </c>
      <c r="C130" s="73" t="s">
        <v>3754</v>
      </c>
      <c r="D130" s="73" t="s">
        <v>1843</v>
      </c>
      <c r="E130" s="73" t="s">
        <v>3768</v>
      </c>
      <c r="F130" s="73" t="s">
        <v>837</v>
      </c>
      <c r="G130" s="78" t="s">
        <v>3769</v>
      </c>
      <c r="H130" s="76">
        <f t="shared" si="2"/>
        <v>1007</v>
      </c>
      <c r="I130" s="89"/>
      <c r="J130" s="89"/>
      <c r="K130" s="77" t="s">
        <v>1791</v>
      </c>
      <c r="L130" s="38" t="s">
        <v>1835</v>
      </c>
      <c r="M130" s="38"/>
      <c r="N130" s="38"/>
      <c r="O130" s="38"/>
      <c r="P130" s="38"/>
      <c r="Q130" s="38"/>
    </row>
    <row r="131" spans="1:17" s="39" customFormat="1" ht="25.8">
      <c r="A131" s="83" t="s">
        <v>3547</v>
      </c>
      <c r="B131" s="77" t="s">
        <v>3770</v>
      </c>
      <c r="C131" s="73" t="s">
        <v>3754</v>
      </c>
      <c r="D131" s="73" t="s">
        <v>1843</v>
      </c>
      <c r="E131" s="73" t="s">
        <v>3768</v>
      </c>
      <c r="F131" s="77" t="s">
        <v>1896</v>
      </c>
      <c r="G131" s="78" t="s">
        <v>3769</v>
      </c>
      <c r="H131" s="76">
        <f t="shared" si="2"/>
        <v>1008</v>
      </c>
      <c r="I131" s="77" t="s">
        <v>1900</v>
      </c>
      <c r="J131" s="76" t="s">
        <v>592</v>
      </c>
      <c r="K131" s="77"/>
      <c r="L131" s="38"/>
      <c r="M131" s="38"/>
      <c r="N131" s="38"/>
      <c r="O131" s="38"/>
      <c r="P131" s="38"/>
      <c r="Q131" s="38"/>
    </row>
    <row r="132" spans="1:17" s="39" customFormat="1" ht="25.8">
      <c r="A132" s="83" t="s">
        <v>3547</v>
      </c>
      <c r="B132" s="77" t="s">
        <v>3771</v>
      </c>
      <c r="C132" s="73" t="s">
        <v>3754</v>
      </c>
      <c r="D132" s="73" t="s">
        <v>1843</v>
      </c>
      <c r="E132" s="73" t="s">
        <v>3772</v>
      </c>
      <c r="F132" s="77" t="s">
        <v>1897</v>
      </c>
      <c r="G132" s="78" t="s">
        <v>838</v>
      </c>
      <c r="H132" s="76">
        <f t="shared" si="2"/>
        <v>1009</v>
      </c>
      <c r="I132" s="77" t="s">
        <v>1901</v>
      </c>
      <c r="J132" s="76" t="s">
        <v>592</v>
      </c>
      <c r="K132" s="77"/>
      <c r="L132" s="38"/>
      <c r="M132" s="38"/>
      <c r="N132" s="38"/>
      <c r="O132" s="38"/>
      <c r="P132" s="38"/>
      <c r="Q132" s="38"/>
    </row>
    <row r="133" spans="1:17" s="39" customFormat="1" ht="25.8">
      <c r="A133" s="73" t="s">
        <v>3754</v>
      </c>
      <c r="B133" s="73" t="s">
        <v>838</v>
      </c>
      <c r="C133" s="73" t="s">
        <v>3754</v>
      </c>
      <c r="D133" s="73" t="s">
        <v>1843</v>
      </c>
      <c r="E133" s="73" t="s">
        <v>3772</v>
      </c>
      <c r="F133" s="73" t="s">
        <v>838</v>
      </c>
      <c r="G133" s="78" t="s">
        <v>838</v>
      </c>
      <c r="H133" s="76">
        <f t="shared" si="2"/>
        <v>1010</v>
      </c>
      <c r="I133" s="89"/>
      <c r="J133" s="89"/>
      <c r="K133" s="77" t="s">
        <v>1791</v>
      </c>
      <c r="L133" s="38" t="s">
        <v>1835</v>
      </c>
      <c r="M133" s="38"/>
      <c r="N133" s="38"/>
      <c r="O133" s="38"/>
      <c r="P133" s="38"/>
      <c r="Q133" s="38"/>
    </row>
    <row r="134" spans="1:17" s="39" customFormat="1" ht="25.8">
      <c r="A134" s="73" t="s">
        <v>3773</v>
      </c>
      <c r="B134" s="73" t="s">
        <v>840</v>
      </c>
      <c r="C134" s="73" t="s">
        <v>3773</v>
      </c>
      <c r="D134" s="73" t="s">
        <v>1844</v>
      </c>
      <c r="E134" s="73" t="s">
        <v>840</v>
      </c>
      <c r="F134" s="73" t="s">
        <v>840</v>
      </c>
      <c r="G134" s="78" t="s">
        <v>3774</v>
      </c>
      <c r="H134" s="76">
        <f t="shared" si="2"/>
        <v>1101</v>
      </c>
      <c r="I134" s="77" t="str">
        <f>VLOOKUP(B134,[2]Sheet1!$C$2:$I$130,5,0)</f>
        <v>/uL</v>
      </c>
      <c r="J134" s="77"/>
      <c r="K134" s="83"/>
      <c r="M134" s="38"/>
      <c r="N134" s="38"/>
      <c r="O134" s="38"/>
      <c r="P134" s="38"/>
      <c r="Q134" s="38"/>
    </row>
    <row r="135" spans="1:17" s="39" customFormat="1" ht="25.8">
      <c r="A135" s="73" t="s">
        <v>3773</v>
      </c>
      <c r="B135" s="73" t="s">
        <v>839</v>
      </c>
      <c r="C135" s="73" t="s">
        <v>3773</v>
      </c>
      <c r="D135" s="73" t="s">
        <v>1844</v>
      </c>
      <c r="E135" s="73" t="s">
        <v>839</v>
      </c>
      <c r="F135" s="73" t="s">
        <v>839</v>
      </c>
      <c r="G135" s="78" t="s">
        <v>839</v>
      </c>
      <c r="H135" s="76">
        <f t="shared" si="2"/>
        <v>1102</v>
      </c>
      <c r="I135" s="77" t="str">
        <f>VLOOKUP(B135,[2]Sheet1!$C$2:$I$130,5,0)</f>
        <v>/uL</v>
      </c>
      <c r="J135" s="77"/>
      <c r="K135" s="83"/>
      <c r="M135" s="38"/>
      <c r="N135" s="38"/>
      <c r="O135" s="38"/>
      <c r="P135" s="38"/>
      <c r="Q135" s="38"/>
    </row>
    <row r="136" spans="1:17" s="39" customFormat="1" ht="25.8">
      <c r="A136" s="73" t="s">
        <v>3773</v>
      </c>
      <c r="B136" s="73" t="s">
        <v>842</v>
      </c>
      <c r="C136" s="73" t="s">
        <v>3773</v>
      </c>
      <c r="D136" s="73" t="s">
        <v>1844</v>
      </c>
      <c r="E136" s="73" t="s">
        <v>841</v>
      </c>
      <c r="F136" s="73" t="s">
        <v>3775</v>
      </c>
      <c r="G136" s="78" t="s">
        <v>3776</v>
      </c>
      <c r="H136" s="76">
        <f t="shared" si="2"/>
        <v>1103</v>
      </c>
      <c r="I136" s="89" t="s">
        <v>1482</v>
      </c>
      <c r="J136" s="89"/>
      <c r="K136" s="83"/>
      <c r="M136" s="38"/>
      <c r="N136" s="38"/>
      <c r="O136" s="38"/>
      <c r="P136" s="38"/>
      <c r="Q136" s="38"/>
    </row>
    <row r="137" spans="1:17" s="39" customFormat="1" ht="25.8">
      <c r="A137" s="83" t="s">
        <v>3547</v>
      </c>
      <c r="B137" s="76" t="s">
        <v>3777</v>
      </c>
      <c r="C137" s="76" t="s">
        <v>3778</v>
      </c>
      <c r="D137" s="73" t="s">
        <v>1845</v>
      </c>
      <c r="E137" s="88" t="s">
        <v>3779</v>
      </c>
      <c r="F137" s="84" t="s">
        <v>1798</v>
      </c>
      <c r="G137" s="78" t="s">
        <v>3780</v>
      </c>
      <c r="H137" s="76">
        <f t="shared" ref="H137:H200" si="3">IF(D137=D136,H136+1,D137*100+1)</f>
        <v>1201</v>
      </c>
      <c r="I137" s="76"/>
      <c r="J137" s="76" t="s">
        <v>592</v>
      </c>
      <c r="K137" s="77"/>
      <c r="O137" s="38"/>
      <c r="P137" s="38"/>
      <c r="Q137" s="38"/>
    </row>
    <row r="138" spans="1:17" s="39" customFormat="1" ht="25.8">
      <c r="A138" s="83" t="s">
        <v>3547</v>
      </c>
      <c r="B138" s="76" t="s">
        <v>3781</v>
      </c>
      <c r="C138" s="76" t="s">
        <v>3778</v>
      </c>
      <c r="D138" s="73" t="s">
        <v>1845</v>
      </c>
      <c r="E138" s="88" t="s">
        <v>3782</v>
      </c>
      <c r="F138" s="76" t="s">
        <v>3783</v>
      </c>
      <c r="G138" s="78" t="s">
        <v>3784</v>
      </c>
      <c r="H138" s="76">
        <f t="shared" si="3"/>
        <v>1202</v>
      </c>
      <c r="I138" s="76"/>
      <c r="J138" s="76" t="s">
        <v>592</v>
      </c>
      <c r="K138" s="83"/>
      <c r="L138" s="40"/>
      <c r="M138" s="40"/>
      <c r="N138" s="40"/>
      <c r="O138" s="38"/>
      <c r="P138" s="38"/>
      <c r="Q138" s="38"/>
    </row>
    <row r="139" spans="1:17" s="39" customFormat="1" ht="25.8">
      <c r="A139" s="73" t="s">
        <v>3785</v>
      </c>
      <c r="B139" s="73" t="s">
        <v>347</v>
      </c>
      <c r="C139" s="76" t="s">
        <v>3778</v>
      </c>
      <c r="D139" s="73" t="s">
        <v>1845</v>
      </c>
      <c r="E139" s="79" t="s">
        <v>1046</v>
      </c>
      <c r="F139" s="73" t="s">
        <v>3786</v>
      </c>
      <c r="G139" s="78" t="s">
        <v>3787</v>
      </c>
      <c r="H139" s="76">
        <f t="shared" si="3"/>
        <v>1203</v>
      </c>
      <c r="I139" s="98"/>
      <c r="J139" s="98"/>
      <c r="K139" s="99"/>
      <c r="M139" s="38"/>
      <c r="N139" s="38"/>
      <c r="O139" s="38"/>
      <c r="P139" s="38"/>
      <c r="Q139" s="38"/>
    </row>
    <row r="140" spans="1:17" s="39" customFormat="1" ht="25.8">
      <c r="A140" s="83" t="s">
        <v>3547</v>
      </c>
      <c r="B140" s="89" t="s">
        <v>3788</v>
      </c>
      <c r="C140" s="76" t="s">
        <v>3778</v>
      </c>
      <c r="D140" s="73" t="s">
        <v>1845</v>
      </c>
      <c r="E140" s="88" t="s">
        <v>3789</v>
      </c>
      <c r="F140" s="84" t="s">
        <v>3790</v>
      </c>
      <c r="G140" s="78" t="s">
        <v>1795</v>
      </c>
      <c r="H140" s="76">
        <f t="shared" si="3"/>
        <v>1204</v>
      </c>
      <c r="I140" s="76"/>
      <c r="J140" s="76" t="s">
        <v>592</v>
      </c>
      <c r="K140" s="77"/>
      <c r="O140" s="38"/>
      <c r="P140" s="38"/>
      <c r="Q140" s="38"/>
    </row>
    <row r="141" spans="1:17" s="39" customFormat="1" ht="25.8">
      <c r="A141" s="83" t="s">
        <v>3547</v>
      </c>
      <c r="B141" s="83" t="s">
        <v>3791</v>
      </c>
      <c r="C141" s="76" t="s">
        <v>3778</v>
      </c>
      <c r="D141" s="73" t="s">
        <v>1845</v>
      </c>
      <c r="E141" s="88" t="s">
        <v>3789</v>
      </c>
      <c r="F141" s="89" t="s">
        <v>3792</v>
      </c>
      <c r="G141" s="78" t="s">
        <v>3790</v>
      </c>
      <c r="H141" s="76">
        <f t="shared" si="3"/>
        <v>1205</v>
      </c>
      <c r="I141" s="76"/>
      <c r="J141" s="76" t="s">
        <v>592</v>
      </c>
      <c r="K141" s="77"/>
      <c r="L141" s="38"/>
      <c r="M141" s="38"/>
      <c r="N141" s="38"/>
      <c r="O141" s="38"/>
      <c r="P141" s="38"/>
      <c r="Q141" s="38"/>
    </row>
    <row r="142" spans="1:17" s="39" customFormat="1" ht="25.8">
      <c r="A142" s="83" t="s">
        <v>3547</v>
      </c>
      <c r="B142" s="89" t="s">
        <v>3793</v>
      </c>
      <c r="C142" s="76" t="s">
        <v>3794</v>
      </c>
      <c r="D142" s="73" t="s">
        <v>1845</v>
      </c>
      <c r="E142" s="88" t="s">
        <v>3795</v>
      </c>
      <c r="F142" s="84" t="s">
        <v>1794</v>
      </c>
      <c r="G142" s="78" t="s">
        <v>1794</v>
      </c>
      <c r="H142" s="76">
        <f t="shared" si="3"/>
        <v>1206</v>
      </c>
      <c r="I142" s="76"/>
      <c r="J142" s="76" t="s">
        <v>592</v>
      </c>
      <c r="K142" s="77"/>
      <c r="O142" s="38"/>
      <c r="P142" s="38"/>
      <c r="Q142" s="38"/>
    </row>
    <row r="143" spans="1:17" s="39" customFormat="1" ht="25.8">
      <c r="A143" s="83" t="s">
        <v>3547</v>
      </c>
      <c r="B143" s="76" t="s">
        <v>3796</v>
      </c>
      <c r="C143" s="76" t="s">
        <v>3778</v>
      </c>
      <c r="D143" s="73" t="s">
        <v>1845</v>
      </c>
      <c r="E143" s="88" t="s">
        <v>3797</v>
      </c>
      <c r="F143" s="84" t="s">
        <v>3798</v>
      </c>
      <c r="G143" s="78" t="s">
        <v>3799</v>
      </c>
      <c r="H143" s="76">
        <f t="shared" si="3"/>
        <v>1207</v>
      </c>
      <c r="I143" s="76"/>
      <c r="J143" s="76" t="s">
        <v>592</v>
      </c>
      <c r="K143" s="77"/>
      <c r="O143" s="38"/>
      <c r="P143" s="38"/>
      <c r="Q143" s="38"/>
    </row>
    <row r="144" spans="1:17" s="40" customFormat="1" ht="25.8">
      <c r="A144" s="83" t="s">
        <v>3547</v>
      </c>
      <c r="B144" s="84" t="s">
        <v>3800</v>
      </c>
      <c r="C144" s="89" t="s">
        <v>3801</v>
      </c>
      <c r="D144" s="84">
        <v>13</v>
      </c>
      <c r="E144" s="89" t="s">
        <v>3802</v>
      </c>
      <c r="F144" s="77" t="s">
        <v>1495</v>
      </c>
      <c r="G144" s="78" t="s">
        <v>1495</v>
      </c>
      <c r="H144" s="76">
        <f t="shared" si="3"/>
        <v>1301</v>
      </c>
      <c r="I144" s="89" t="s">
        <v>1632</v>
      </c>
      <c r="J144" s="76" t="s">
        <v>592</v>
      </c>
      <c r="K144" s="83"/>
      <c r="L144" s="39"/>
      <c r="M144" s="39"/>
      <c r="N144" s="39"/>
      <c r="O144" s="38"/>
      <c r="P144" s="38"/>
      <c r="Q144" s="38"/>
    </row>
    <row r="145" spans="1:17" s="40" customFormat="1" ht="25.8">
      <c r="A145" s="89" t="s">
        <v>3801</v>
      </c>
      <c r="B145" s="89" t="s">
        <v>3802</v>
      </c>
      <c r="C145" s="89" t="s">
        <v>3801</v>
      </c>
      <c r="D145" s="84">
        <v>13</v>
      </c>
      <c r="E145" s="89" t="s">
        <v>3802</v>
      </c>
      <c r="F145" s="73" t="s">
        <v>1506</v>
      </c>
      <c r="G145" s="78" t="s">
        <v>1495</v>
      </c>
      <c r="H145" s="76">
        <f t="shared" si="3"/>
        <v>1302</v>
      </c>
      <c r="I145" s="98" t="s">
        <v>1670</v>
      </c>
      <c r="J145" s="98" t="s">
        <v>592</v>
      </c>
      <c r="K145" s="83"/>
      <c r="L145" s="39"/>
      <c r="M145" s="38"/>
      <c r="N145" s="38"/>
      <c r="O145" s="38"/>
      <c r="P145" s="38"/>
      <c r="Q145" s="38"/>
    </row>
    <row r="146" spans="1:17" s="40" customFormat="1" ht="25.8">
      <c r="A146" s="83" t="s">
        <v>3547</v>
      </c>
      <c r="B146" s="76" t="s">
        <v>3803</v>
      </c>
      <c r="C146" s="89" t="s">
        <v>3801</v>
      </c>
      <c r="D146" s="84">
        <v>13</v>
      </c>
      <c r="E146" s="89" t="s">
        <v>3804</v>
      </c>
      <c r="F146" s="76" t="s">
        <v>1698</v>
      </c>
      <c r="G146" s="78" t="s">
        <v>1698</v>
      </c>
      <c r="H146" s="76">
        <f t="shared" si="3"/>
        <v>1303</v>
      </c>
      <c r="I146" s="76" t="s">
        <v>1633</v>
      </c>
      <c r="J146" s="76" t="s">
        <v>592</v>
      </c>
      <c r="K146" s="83"/>
      <c r="L146" s="39"/>
      <c r="M146" s="39"/>
      <c r="N146" s="39"/>
      <c r="O146" s="38"/>
      <c r="P146" s="38"/>
      <c r="Q146" s="38"/>
    </row>
    <row r="147" spans="1:17" s="40" customFormat="1" ht="25.8">
      <c r="A147" s="83" t="s">
        <v>3547</v>
      </c>
      <c r="B147" s="76" t="s">
        <v>3805</v>
      </c>
      <c r="C147" s="89" t="s">
        <v>3801</v>
      </c>
      <c r="D147" s="84">
        <v>13</v>
      </c>
      <c r="E147" s="89" t="s">
        <v>3804</v>
      </c>
      <c r="F147" s="76" t="s">
        <v>1698</v>
      </c>
      <c r="G147" s="78" t="s">
        <v>1698</v>
      </c>
      <c r="H147" s="76">
        <f t="shared" si="3"/>
        <v>1304</v>
      </c>
      <c r="I147" s="76" t="s">
        <v>1633</v>
      </c>
      <c r="J147" s="76" t="s">
        <v>592</v>
      </c>
      <c r="K147" s="83"/>
      <c r="L147" s="39"/>
      <c r="M147" s="39"/>
      <c r="N147" s="39"/>
      <c r="O147" s="38"/>
      <c r="P147" s="38"/>
      <c r="Q147" s="38"/>
    </row>
    <row r="148" spans="1:17" s="40" customFormat="1" ht="25.8">
      <c r="A148" s="83" t="s">
        <v>3547</v>
      </c>
      <c r="B148" s="89" t="s">
        <v>3806</v>
      </c>
      <c r="C148" s="89" t="s">
        <v>3801</v>
      </c>
      <c r="D148" s="84">
        <v>13</v>
      </c>
      <c r="E148" s="89" t="s">
        <v>3804</v>
      </c>
      <c r="F148" s="89" t="s">
        <v>1698</v>
      </c>
      <c r="G148" s="78" t="s">
        <v>1698</v>
      </c>
      <c r="H148" s="76">
        <f t="shared" si="3"/>
        <v>1305</v>
      </c>
      <c r="I148" s="89" t="s">
        <v>1633</v>
      </c>
      <c r="J148" s="76" t="s">
        <v>592</v>
      </c>
      <c r="K148" s="83"/>
      <c r="L148" s="39"/>
      <c r="M148" s="39"/>
      <c r="N148" s="39"/>
      <c r="O148" s="38"/>
      <c r="P148" s="38"/>
      <c r="Q148" s="38"/>
    </row>
    <row r="149" spans="1:17" s="40" customFormat="1" ht="25.8">
      <c r="A149" s="89" t="s">
        <v>3801</v>
      </c>
      <c r="B149" s="89" t="s">
        <v>3804</v>
      </c>
      <c r="C149" s="89" t="s">
        <v>3801</v>
      </c>
      <c r="D149" s="84">
        <v>13</v>
      </c>
      <c r="E149" s="89" t="s">
        <v>3804</v>
      </c>
      <c r="F149" s="73" t="s">
        <v>1885</v>
      </c>
      <c r="G149" s="78" t="s">
        <v>1698</v>
      </c>
      <c r="H149" s="76">
        <f t="shared" si="3"/>
        <v>1306</v>
      </c>
      <c r="I149" s="98" t="s">
        <v>1633</v>
      </c>
      <c r="J149" s="98" t="s">
        <v>592</v>
      </c>
      <c r="K149" s="83"/>
      <c r="L149" s="39"/>
      <c r="M149" s="38"/>
      <c r="N149" s="38"/>
      <c r="O149" s="38"/>
      <c r="P149" s="38"/>
      <c r="Q149" s="38"/>
    </row>
    <row r="150" spans="1:17" s="40" customFormat="1" ht="25.8">
      <c r="A150" s="89" t="s">
        <v>3801</v>
      </c>
      <c r="B150" s="89" t="s">
        <v>3807</v>
      </c>
      <c r="C150" s="89" t="s">
        <v>3801</v>
      </c>
      <c r="D150" s="84">
        <v>13</v>
      </c>
      <c r="E150" s="89" t="s">
        <v>3804</v>
      </c>
      <c r="F150" s="73" t="s">
        <v>1505</v>
      </c>
      <c r="G150" s="78" t="s">
        <v>1698</v>
      </c>
      <c r="H150" s="76">
        <f t="shared" si="3"/>
        <v>1307</v>
      </c>
      <c r="I150" s="98" t="s">
        <v>1633</v>
      </c>
      <c r="J150" s="98" t="s">
        <v>592</v>
      </c>
      <c r="K150" s="83"/>
      <c r="L150" s="39"/>
      <c r="M150" s="38"/>
      <c r="N150" s="38"/>
      <c r="O150" s="38"/>
      <c r="P150" s="38"/>
      <c r="Q150" s="38"/>
    </row>
    <row r="151" spans="1:17" s="40" customFormat="1" ht="25.8">
      <c r="A151" s="83" t="s">
        <v>3547</v>
      </c>
      <c r="B151" s="76" t="s">
        <v>3808</v>
      </c>
      <c r="C151" s="89" t="s">
        <v>3801</v>
      </c>
      <c r="D151" s="84">
        <v>13</v>
      </c>
      <c r="E151" s="76" t="s">
        <v>3809</v>
      </c>
      <c r="F151" s="76" t="s">
        <v>1735</v>
      </c>
      <c r="G151" s="78" t="s">
        <v>1735</v>
      </c>
      <c r="H151" s="76">
        <f t="shared" si="3"/>
        <v>1308</v>
      </c>
      <c r="I151" s="76" t="s">
        <v>1633</v>
      </c>
      <c r="J151" s="76" t="s">
        <v>592</v>
      </c>
      <c r="K151" s="83"/>
      <c r="O151" s="38"/>
      <c r="P151" s="38"/>
      <c r="Q151" s="38"/>
    </row>
    <row r="152" spans="1:17" ht="25.8">
      <c r="A152" s="89" t="s">
        <v>3801</v>
      </c>
      <c r="B152" s="89" t="s">
        <v>3810</v>
      </c>
      <c r="C152" s="89" t="s">
        <v>3801</v>
      </c>
      <c r="D152" s="84">
        <v>13</v>
      </c>
      <c r="E152" s="76" t="s">
        <v>3809</v>
      </c>
      <c r="F152" s="73" t="s">
        <v>1886</v>
      </c>
      <c r="G152" s="78" t="s">
        <v>1735</v>
      </c>
      <c r="H152" s="76">
        <f t="shared" si="3"/>
        <v>1309</v>
      </c>
      <c r="I152" s="98" t="s">
        <v>1633</v>
      </c>
      <c r="J152" s="98" t="s">
        <v>592</v>
      </c>
      <c r="K152" s="83"/>
      <c r="L152" s="39"/>
    </row>
    <row r="153" spans="1:17" ht="25.8">
      <c r="A153" s="83" t="s">
        <v>3547</v>
      </c>
      <c r="B153" s="76" t="s">
        <v>3811</v>
      </c>
      <c r="C153" s="89" t="s">
        <v>3801</v>
      </c>
      <c r="D153" s="84">
        <v>13</v>
      </c>
      <c r="E153" s="89" t="s">
        <v>3812</v>
      </c>
      <c r="F153" s="76" t="s">
        <v>1700</v>
      </c>
      <c r="G153" s="78" t="s">
        <v>1700</v>
      </c>
      <c r="H153" s="76">
        <f t="shared" si="3"/>
        <v>1310</v>
      </c>
      <c r="I153" s="76" t="s">
        <v>1633</v>
      </c>
      <c r="J153" s="76" t="s">
        <v>592</v>
      </c>
      <c r="K153" s="83"/>
      <c r="L153" s="39"/>
      <c r="M153" s="39"/>
      <c r="N153" s="39"/>
      <c r="O153" s="39"/>
      <c r="P153" s="39"/>
      <c r="Q153" s="39"/>
    </row>
    <row r="154" spans="1:17" ht="25.8">
      <c r="A154" s="83" t="s">
        <v>3547</v>
      </c>
      <c r="B154" s="76" t="s">
        <v>3813</v>
      </c>
      <c r="C154" s="89" t="s">
        <v>3801</v>
      </c>
      <c r="D154" s="84">
        <v>13</v>
      </c>
      <c r="E154" s="89" t="s">
        <v>3812</v>
      </c>
      <c r="F154" s="76" t="s">
        <v>1700</v>
      </c>
      <c r="G154" s="78" t="s">
        <v>1700</v>
      </c>
      <c r="H154" s="76">
        <f t="shared" si="3"/>
        <v>1311</v>
      </c>
      <c r="I154" s="76" t="s">
        <v>1633</v>
      </c>
      <c r="J154" s="76" t="s">
        <v>592</v>
      </c>
      <c r="K154" s="83"/>
      <c r="L154" s="39"/>
      <c r="M154" s="39"/>
      <c r="N154" s="39"/>
    </row>
    <row r="155" spans="1:17" ht="25.8">
      <c r="A155" s="83" t="s">
        <v>3547</v>
      </c>
      <c r="B155" s="76" t="s">
        <v>3814</v>
      </c>
      <c r="C155" s="89" t="s">
        <v>3801</v>
      </c>
      <c r="D155" s="84">
        <v>13</v>
      </c>
      <c r="E155" s="89" t="s">
        <v>3812</v>
      </c>
      <c r="F155" s="76" t="s">
        <v>1700</v>
      </c>
      <c r="G155" s="78" t="s">
        <v>1700</v>
      </c>
      <c r="H155" s="76">
        <f t="shared" si="3"/>
        <v>1312</v>
      </c>
      <c r="I155" s="76" t="s">
        <v>1633</v>
      </c>
      <c r="J155" s="76" t="s">
        <v>592</v>
      </c>
      <c r="K155" s="83"/>
      <c r="L155" s="39"/>
      <c r="M155" s="39"/>
      <c r="N155" s="39"/>
    </row>
    <row r="156" spans="1:17" ht="25.8">
      <c r="A156" s="89" t="s">
        <v>3801</v>
      </c>
      <c r="B156" s="89" t="s">
        <v>3815</v>
      </c>
      <c r="C156" s="89" t="s">
        <v>3801</v>
      </c>
      <c r="D156" s="84">
        <v>13</v>
      </c>
      <c r="E156" s="89" t="s">
        <v>3812</v>
      </c>
      <c r="F156" s="73" t="s">
        <v>1499</v>
      </c>
      <c r="G156" s="78" t="s">
        <v>1700</v>
      </c>
      <c r="H156" s="76">
        <f t="shared" si="3"/>
        <v>1313</v>
      </c>
      <c r="I156" s="98" t="s">
        <v>1633</v>
      </c>
      <c r="J156" s="98" t="s">
        <v>592</v>
      </c>
      <c r="K156" s="77"/>
      <c r="O156" s="39"/>
      <c r="P156" s="39"/>
      <c r="Q156" s="39"/>
    </row>
    <row r="157" spans="1:17" ht="25.8">
      <c r="A157" s="89" t="s">
        <v>3801</v>
      </c>
      <c r="B157" s="89" t="s">
        <v>3816</v>
      </c>
      <c r="C157" s="89" t="s">
        <v>3801</v>
      </c>
      <c r="D157" s="84">
        <v>13</v>
      </c>
      <c r="E157" s="89" t="s">
        <v>3812</v>
      </c>
      <c r="F157" s="73" t="s">
        <v>1499</v>
      </c>
      <c r="G157" s="78" t="s">
        <v>1700</v>
      </c>
      <c r="H157" s="76">
        <f t="shared" si="3"/>
        <v>1314</v>
      </c>
      <c r="I157" s="98" t="s">
        <v>1633</v>
      </c>
      <c r="J157" s="98" t="s">
        <v>592</v>
      </c>
      <c r="K157" s="77"/>
    </row>
    <row r="158" spans="1:17" ht="25.8">
      <c r="A158" s="89" t="s">
        <v>3801</v>
      </c>
      <c r="B158" s="89" t="s">
        <v>3812</v>
      </c>
      <c r="C158" s="89" t="s">
        <v>3801</v>
      </c>
      <c r="D158" s="84">
        <v>13</v>
      </c>
      <c r="E158" s="100" t="s">
        <v>3817</v>
      </c>
      <c r="F158" s="73" t="s">
        <v>1499</v>
      </c>
      <c r="G158" s="78" t="s">
        <v>1700</v>
      </c>
      <c r="H158" s="76">
        <f t="shared" si="3"/>
        <v>1315</v>
      </c>
      <c r="I158" s="98" t="s">
        <v>1633</v>
      </c>
      <c r="J158" s="98" t="s">
        <v>592</v>
      </c>
      <c r="K158" s="77"/>
    </row>
    <row r="159" spans="1:17" ht="25.8">
      <c r="A159" s="83" t="s">
        <v>3547</v>
      </c>
      <c r="B159" s="76" t="s">
        <v>3818</v>
      </c>
      <c r="C159" s="89" t="s">
        <v>3801</v>
      </c>
      <c r="D159" s="84">
        <v>13</v>
      </c>
      <c r="E159" s="100" t="s">
        <v>3819</v>
      </c>
      <c r="F159" s="76" t="s">
        <v>1702</v>
      </c>
      <c r="G159" s="78" t="s">
        <v>1702</v>
      </c>
      <c r="H159" s="76">
        <f t="shared" si="3"/>
        <v>1316</v>
      </c>
      <c r="I159" s="98" t="s">
        <v>1633</v>
      </c>
      <c r="J159" s="76" t="s">
        <v>592</v>
      </c>
      <c r="K159" s="83"/>
      <c r="L159" s="39"/>
      <c r="M159" s="39"/>
      <c r="N159" s="39"/>
      <c r="O159" s="39"/>
      <c r="P159" s="39"/>
      <c r="Q159" s="39"/>
    </row>
    <row r="160" spans="1:17" ht="25.8">
      <c r="A160" s="89" t="s">
        <v>3801</v>
      </c>
      <c r="B160" s="89" t="s">
        <v>3820</v>
      </c>
      <c r="C160" s="89" t="s">
        <v>3801</v>
      </c>
      <c r="D160" s="84">
        <v>13</v>
      </c>
      <c r="E160" s="100" t="s">
        <v>3819</v>
      </c>
      <c r="F160" s="73" t="s">
        <v>1504</v>
      </c>
      <c r="G160" s="78" t="s">
        <v>1702</v>
      </c>
      <c r="H160" s="76">
        <f t="shared" si="3"/>
        <v>1317</v>
      </c>
      <c r="I160" s="98" t="s">
        <v>1633</v>
      </c>
      <c r="J160" s="98" t="s">
        <v>592</v>
      </c>
      <c r="K160" s="83"/>
      <c r="L160" s="39"/>
    </row>
    <row r="161" spans="1:17" ht="25.8">
      <c r="A161" s="83" t="s">
        <v>3547</v>
      </c>
      <c r="B161" s="76" t="s">
        <v>3821</v>
      </c>
      <c r="C161" s="89" t="s">
        <v>3801</v>
      </c>
      <c r="D161" s="84">
        <v>13</v>
      </c>
      <c r="E161" s="87" t="s">
        <v>3822</v>
      </c>
      <c r="F161" s="76" t="s">
        <v>1704</v>
      </c>
      <c r="G161" s="78" t="s">
        <v>1704</v>
      </c>
      <c r="H161" s="76">
        <f t="shared" si="3"/>
        <v>1318</v>
      </c>
      <c r="I161" s="76" t="s">
        <v>1633</v>
      </c>
      <c r="J161" s="76" t="s">
        <v>592</v>
      </c>
      <c r="K161" s="83"/>
      <c r="L161" s="39"/>
      <c r="M161" s="39"/>
      <c r="N161" s="39"/>
      <c r="O161" s="39"/>
      <c r="P161" s="39"/>
      <c r="Q161" s="39"/>
    </row>
    <row r="162" spans="1:17" ht="25.8">
      <c r="A162" s="83" t="s">
        <v>3547</v>
      </c>
      <c r="B162" s="76" t="s">
        <v>3823</v>
      </c>
      <c r="C162" s="89" t="s">
        <v>3801</v>
      </c>
      <c r="D162" s="84">
        <v>13</v>
      </c>
      <c r="E162" s="87" t="s">
        <v>3822</v>
      </c>
      <c r="F162" s="76" t="s">
        <v>1704</v>
      </c>
      <c r="G162" s="78" t="s">
        <v>1704</v>
      </c>
      <c r="H162" s="76">
        <f t="shared" si="3"/>
        <v>1319</v>
      </c>
      <c r="I162" s="76" t="s">
        <v>1633</v>
      </c>
      <c r="J162" s="76" t="s">
        <v>592</v>
      </c>
      <c r="K162" s="83"/>
      <c r="L162" s="39"/>
      <c r="M162" s="39"/>
      <c r="N162" s="39"/>
    </row>
    <row r="163" spans="1:17" ht="25.8">
      <c r="A163" s="89" t="s">
        <v>3801</v>
      </c>
      <c r="B163" s="89" t="s">
        <v>3824</v>
      </c>
      <c r="C163" s="89" t="s">
        <v>3801</v>
      </c>
      <c r="D163" s="84">
        <v>13</v>
      </c>
      <c r="E163" s="87" t="s">
        <v>3822</v>
      </c>
      <c r="F163" s="73" t="s">
        <v>1498</v>
      </c>
      <c r="G163" s="78" t="s">
        <v>1704</v>
      </c>
      <c r="H163" s="76">
        <f t="shared" si="3"/>
        <v>1320</v>
      </c>
      <c r="I163" s="98" t="s">
        <v>1633</v>
      </c>
      <c r="J163" s="98" t="s">
        <v>592</v>
      </c>
      <c r="K163" s="83"/>
      <c r="L163" s="39" t="e" cm="1">
        <f t="array" ref="L163">v</f>
        <v>#NAME?</v>
      </c>
    </row>
    <row r="164" spans="1:17" ht="25.8">
      <c r="A164" s="83" t="s">
        <v>3547</v>
      </c>
      <c r="B164" s="76" t="s">
        <v>3825</v>
      </c>
      <c r="C164" s="89" t="s">
        <v>3801</v>
      </c>
      <c r="D164" s="84">
        <v>13</v>
      </c>
      <c r="E164" s="88" t="s">
        <v>3826</v>
      </c>
      <c r="F164" s="84" t="s">
        <v>1742</v>
      </c>
      <c r="G164" s="78" t="s">
        <v>1742</v>
      </c>
      <c r="H164" s="76">
        <f t="shared" si="3"/>
        <v>1321</v>
      </c>
      <c r="I164" s="76" t="s">
        <v>1670</v>
      </c>
      <c r="J164" s="76" t="s">
        <v>592</v>
      </c>
      <c r="K164" s="83"/>
      <c r="L164" s="39"/>
      <c r="M164" s="39"/>
      <c r="N164" s="39"/>
    </row>
    <row r="165" spans="1:17" ht="25.8">
      <c r="A165" s="83" t="s">
        <v>3547</v>
      </c>
      <c r="B165" s="89" t="s">
        <v>3827</v>
      </c>
      <c r="C165" s="89" t="s">
        <v>3801</v>
      </c>
      <c r="D165" s="84">
        <v>13</v>
      </c>
      <c r="E165" s="90" t="s">
        <v>3826</v>
      </c>
      <c r="F165" s="84" t="s">
        <v>1742</v>
      </c>
      <c r="G165" s="78" t="s">
        <v>1742</v>
      </c>
      <c r="H165" s="76">
        <f t="shared" si="3"/>
        <v>1322</v>
      </c>
      <c r="I165" s="76" t="s">
        <v>1670</v>
      </c>
      <c r="J165" s="76" t="s">
        <v>592</v>
      </c>
      <c r="K165" s="83"/>
      <c r="L165" s="40"/>
      <c r="M165" s="40"/>
      <c r="N165" s="40"/>
    </row>
    <row r="166" spans="1:17" ht="25.8">
      <c r="A166" s="89" t="s">
        <v>3801</v>
      </c>
      <c r="B166" s="89" t="s">
        <v>3828</v>
      </c>
      <c r="C166" s="89" t="s">
        <v>3801</v>
      </c>
      <c r="D166" s="84">
        <v>13</v>
      </c>
      <c r="E166" s="90" t="s">
        <v>3826</v>
      </c>
      <c r="F166" s="73" t="s">
        <v>3829</v>
      </c>
      <c r="G166" s="78" t="s">
        <v>1742</v>
      </c>
      <c r="H166" s="76">
        <f t="shared" si="3"/>
        <v>1323</v>
      </c>
      <c r="I166" s="98" t="s">
        <v>1634</v>
      </c>
      <c r="J166" s="98" t="s">
        <v>592</v>
      </c>
      <c r="K166" s="77"/>
    </row>
    <row r="167" spans="1:17" ht="25.8">
      <c r="A167" s="89" t="s">
        <v>3801</v>
      </c>
      <c r="B167" s="89" t="s">
        <v>3830</v>
      </c>
      <c r="C167" s="89" t="s">
        <v>3801</v>
      </c>
      <c r="D167" s="84">
        <v>13</v>
      </c>
      <c r="E167" s="89" t="s">
        <v>3828</v>
      </c>
      <c r="F167" s="73" t="s">
        <v>1500</v>
      </c>
      <c r="G167" s="78" t="s">
        <v>1742</v>
      </c>
      <c r="H167" s="76">
        <f t="shared" si="3"/>
        <v>1324</v>
      </c>
      <c r="I167" s="98" t="s">
        <v>1634</v>
      </c>
      <c r="J167" s="98" t="s">
        <v>592</v>
      </c>
      <c r="K167" s="77"/>
    </row>
    <row r="168" spans="1:17" ht="25.8">
      <c r="A168" s="83" t="s">
        <v>3547</v>
      </c>
      <c r="B168" s="76" t="s">
        <v>3831</v>
      </c>
      <c r="C168" s="89" t="s">
        <v>3801</v>
      </c>
      <c r="D168" s="84">
        <v>13</v>
      </c>
      <c r="E168" s="89" t="s">
        <v>3832</v>
      </c>
      <c r="F168" s="76" t="s">
        <v>1740</v>
      </c>
      <c r="G168" s="78" t="s">
        <v>3833</v>
      </c>
      <c r="H168" s="76">
        <f t="shared" si="3"/>
        <v>1325</v>
      </c>
      <c r="I168" s="76" t="s">
        <v>1670</v>
      </c>
      <c r="J168" s="76" t="s">
        <v>592</v>
      </c>
      <c r="K168" s="83"/>
      <c r="L168" s="39"/>
      <c r="M168" s="39"/>
      <c r="N168" s="39"/>
      <c r="O168" s="39"/>
      <c r="P168" s="39"/>
      <c r="Q168" s="39"/>
    </row>
    <row r="169" spans="1:17" ht="25.8">
      <c r="A169" s="89" t="s">
        <v>3801</v>
      </c>
      <c r="B169" s="89" t="s">
        <v>3832</v>
      </c>
      <c r="C169" s="89" t="s">
        <v>3801</v>
      </c>
      <c r="D169" s="84">
        <v>13</v>
      </c>
      <c r="E169" s="89" t="s">
        <v>3832</v>
      </c>
      <c r="F169" s="73" t="s">
        <v>1887</v>
      </c>
      <c r="G169" s="78" t="s">
        <v>1740</v>
      </c>
      <c r="H169" s="76">
        <f t="shared" si="3"/>
        <v>1326</v>
      </c>
      <c r="I169" s="98" t="s">
        <v>1670</v>
      </c>
      <c r="J169" s="98" t="s">
        <v>592</v>
      </c>
      <c r="K169" s="83"/>
      <c r="L169" s="39"/>
    </row>
    <row r="170" spans="1:17" ht="25.8">
      <c r="A170" s="83" t="s">
        <v>3547</v>
      </c>
      <c r="B170" s="76" t="s">
        <v>3834</v>
      </c>
      <c r="C170" s="93" t="s">
        <v>1497</v>
      </c>
      <c r="D170" s="84">
        <v>13</v>
      </c>
      <c r="E170" s="76" t="s">
        <v>3834</v>
      </c>
      <c r="F170" s="76" t="s">
        <v>1726</v>
      </c>
      <c r="G170" s="78" t="s">
        <v>1726</v>
      </c>
      <c r="H170" s="76">
        <f t="shared" si="3"/>
        <v>1327</v>
      </c>
      <c r="I170" s="76" t="s">
        <v>1672</v>
      </c>
      <c r="J170" s="76" t="s">
        <v>592</v>
      </c>
      <c r="K170" s="77"/>
    </row>
    <row r="171" spans="1:17" ht="25.8">
      <c r="A171" s="83" t="s">
        <v>3547</v>
      </c>
      <c r="B171" s="76" t="s">
        <v>3835</v>
      </c>
      <c r="C171" s="93" t="s">
        <v>1497</v>
      </c>
      <c r="D171" s="84">
        <v>13</v>
      </c>
      <c r="E171" s="76" t="s">
        <v>3835</v>
      </c>
      <c r="F171" s="76" t="s">
        <v>1728</v>
      </c>
      <c r="G171" s="78" t="s">
        <v>1728</v>
      </c>
      <c r="H171" s="76">
        <f t="shared" si="3"/>
        <v>1328</v>
      </c>
      <c r="I171" s="76" t="s">
        <v>1672</v>
      </c>
      <c r="J171" s="76" t="s">
        <v>592</v>
      </c>
      <c r="K171" s="83"/>
      <c r="L171" s="39"/>
      <c r="M171" s="39"/>
      <c r="N171" s="39"/>
    </row>
    <row r="172" spans="1:17" ht="25.8">
      <c r="A172" s="83" t="s">
        <v>3547</v>
      </c>
      <c r="B172" s="89" t="s">
        <v>3836</v>
      </c>
      <c r="C172" s="93" t="s">
        <v>1497</v>
      </c>
      <c r="D172" s="84">
        <v>13</v>
      </c>
      <c r="E172" s="76" t="s">
        <v>3836</v>
      </c>
      <c r="F172" s="76" t="s">
        <v>1706</v>
      </c>
      <c r="G172" s="78" t="s">
        <v>1706</v>
      </c>
      <c r="H172" s="76">
        <f t="shared" si="3"/>
        <v>1329</v>
      </c>
      <c r="I172" s="76" t="s">
        <v>1672</v>
      </c>
      <c r="J172" s="76" t="s">
        <v>592</v>
      </c>
      <c r="K172" s="83"/>
      <c r="L172" s="39"/>
      <c r="M172" s="39"/>
      <c r="N172" s="39"/>
      <c r="O172" s="39"/>
      <c r="P172" s="39"/>
      <c r="Q172" s="39"/>
    </row>
    <row r="173" spans="1:17" ht="25.8">
      <c r="A173" s="83" t="s">
        <v>3547</v>
      </c>
      <c r="B173" s="76" t="s">
        <v>3837</v>
      </c>
      <c r="C173" s="93" t="s">
        <v>1497</v>
      </c>
      <c r="D173" s="84">
        <v>13</v>
      </c>
      <c r="E173" s="76" t="s">
        <v>3837</v>
      </c>
      <c r="F173" s="76" t="s">
        <v>1708</v>
      </c>
      <c r="G173" s="78" t="s">
        <v>1708</v>
      </c>
      <c r="H173" s="76">
        <f t="shared" si="3"/>
        <v>1330</v>
      </c>
      <c r="I173" s="76" t="s">
        <v>1672</v>
      </c>
      <c r="J173" s="76" t="s">
        <v>592</v>
      </c>
      <c r="K173" s="83"/>
      <c r="L173" s="39"/>
      <c r="M173" s="39"/>
      <c r="N173" s="39"/>
    </row>
    <row r="174" spans="1:17" ht="25.8">
      <c r="A174" s="83" t="s">
        <v>3547</v>
      </c>
      <c r="B174" s="76" t="s">
        <v>3838</v>
      </c>
      <c r="C174" s="93" t="s">
        <v>1497</v>
      </c>
      <c r="D174" s="84">
        <v>13</v>
      </c>
      <c r="E174" s="76" t="s">
        <v>3838</v>
      </c>
      <c r="F174" s="76" t="s">
        <v>1710</v>
      </c>
      <c r="G174" s="78" t="s">
        <v>1710</v>
      </c>
      <c r="H174" s="76">
        <f t="shared" si="3"/>
        <v>1331</v>
      </c>
      <c r="I174" s="76" t="s">
        <v>1672</v>
      </c>
      <c r="J174" s="76" t="s">
        <v>592</v>
      </c>
      <c r="K174" s="83"/>
      <c r="L174" s="39"/>
      <c r="M174" s="39"/>
      <c r="N174" s="39"/>
      <c r="O174" s="40"/>
      <c r="P174" s="40"/>
      <c r="Q174" s="39"/>
    </row>
    <row r="175" spans="1:17" ht="25.8">
      <c r="A175" s="83" t="s">
        <v>3547</v>
      </c>
      <c r="B175" s="89" t="s">
        <v>3839</v>
      </c>
      <c r="C175" s="93" t="s">
        <v>1497</v>
      </c>
      <c r="D175" s="84">
        <v>13</v>
      </c>
      <c r="E175" s="76" t="s">
        <v>3839</v>
      </c>
      <c r="F175" s="76" t="s">
        <v>1712</v>
      </c>
      <c r="G175" s="78" t="s">
        <v>1712</v>
      </c>
      <c r="H175" s="76">
        <f t="shared" si="3"/>
        <v>1332</v>
      </c>
      <c r="I175" s="76" t="s">
        <v>1672</v>
      </c>
      <c r="J175" s="76" t="s">
        <v>592</v>
      </c>
      <c r="K175" s="83"/>
      <c r="L175" s="39"/>
      <c r="M175" s="39"/>
      <c r="N175" s="39"/>
    </row>
    <row r="176" spans="1:17" ht="25.8">
      <c r="A176" s="83" t="s">
        <v>3547</v>
      </c>
      <c r="B176" s="76" t="s">
        <v>3840</v>
      </c>
      <c r="C176" s="93" t="s">
        <v>1497</v>
      </c>
      <c r="D176" s="84">
        <v>13</v>
      </c>
      <c r="E176" s="76" t="s">
        <v>3840</v>
      </c>
      <c r="F176" s="76" t="s">
        <v>1714</v>
      </c>
      <c r="G176" s="78" t="s">
        <v>1714</v>
      </c>
      <c r="H176" s="76">
        <f t="shared" si="3"/>
        <v>1333</v>
      </c>
      <c r="I176" s="76" t="s">
        <v>1672</v>
      </c>
      <c r="J176" s="76" t="s">
        <v>592</v>
      </c>
      <c r="K176" s="83"/>
      <c r="L176" s="39"/>
      <c r="M176" s="39"/>
      <c r="N176" s="39"/>
    </row>
    <row r="177" spans="1:17" ht="25.8">
      <c r="A177" s="83" t="s">
        <v>3547</v>
      </c>
      <c r="B177" s="76" t="s">
        <v>3841</v>
      </c>
      <c r="C177" s="93" t="s">
        <v>1497</v>
      </c>
      <c r="D177" s="84">
        <v>13</v>
      </c>
      <c r="E177" s="76" t="s">
        <v>3841</v>
      </c>
      <c r="F177" s="76" t="s">
        <v>1716</v>
      </c>
      <c r="G177" s="78" t="s">
        <v>1716</v>
      </c>
      <c r="H177" s="76">
        <f t="shared" si="3"/>
        <v>1334</v>
      </c>
      <c r="I177" s="76" t="s">
        <v>1672</v>
      </c>
      <c r="J177" s="76" t="s">
        <v>592</v>
      </c>
      <c r="K177" s="83"/>
      <c r="L177" s="39"/>
      <c r="M177" s="39"/>
      <c r="N177" s="39"/>
      <c r="O177" s="39"/>
      <c r="P177" s="39"/>
      <c r="Q177" s="39"/>
    </row>
    <row r="178" spans="1:17" ht="25.8">
      <c r="A178" s="83" t="s">
        <v>3547</v>
      </c>
      <c r="B178" s="76" t="s">
        <v>3842</v>
      </c>
      <c r="C178" s="93" t="s">
        <v>1497</v>
      </c>
      <c r="D178" s="84">
        <v>13</v>
      </c>
      <c r="E178" s="76" t="s">
        <v>3842</v>
      </c>
      <c r="F178" s="76" t="s">
        <v>1718</v>
      </c>
      <c r="G178" s="78" t="s">
        <v>1718</v>
      </c>
      <c r="H178" s="76">
        <f t="shared" si="3"/>
        <v>1335</v>
      </c>
      <c r="I178" s="76" t="s">
        <v>1672</v>
      </c>
      <c r="J178" s="76" t="s">
        <v>592</v>
      </c>
      <c r="K178" s="83"/>
      <c r="L178" s="39"/>
      <c r="M178" s="39"/>
      <c r="N178" s="39"/>
    </row>
    <row r="179" spans="1:17" ht="25.8">
      <c r="A179" s="83" t="s">
        <v>3547</v>
      </c>
      <c r="B179" s="76" t="s">
        <v>3843</v>
      </c>
      <c r="C179" s="93" t="s">
        <v>1497</v>
      </c>
      <c r="D179" s="84">
        <v>13</v>
      </c>
      <c r="E179" s="76" t="s">
        <v>3843</v>
      </c>
      <c r="F179" s="76" t="s">
        <v>1720</v>
      </c>
      <c r="G179" s="78" t="s">
        <v>1720</v>
      </c>
      <c r="H179" s="76">
        <f t="shared" si="3"/>
        <v>1336</v>
      </c>
      <c r="I179" s="76" t="s">
        <v>1672</v>
      </c>
      <c r="J179" s="76" t="s">
        <v>592</v>
      </c>
      <c r="K179" s="83"/>
      <c r="L179" s="39"/>
      <c r="M179" s="39"/>
      <c r="N179" s="39"/>
    </row>
    <row r="180" spans="1:17" ht="25.8">
      <c r="A180" s="83" t="s">
        <v>3547</v>
      </c>
      <c r="B180" s="76" t="s">
        <v>3844</v>
      </c>
      <c r="C180" s="93" t="s">
        <v>1497</v>
      </c>
      <c r="D180" s="84">
        <v>13</v>
      </c>
      <c r="E180" s="76" t="s">
        <v>3844</v>
      </c>
      <c r="F180" s="76" t="s">
        <v>1722</v>
      </c>
      <c r="G180" s="78" t="s">
        <v>3845</v>
      </c>
      <c r="H180" s="76">
        <f t="shared" si="3"/>
        <v>1337</v>
      </c>
      <c r="I180" s="76" t="s">
        <v>1672</v>
      </c>
      <c r="J180" s="76" t="s">
        <v>592</v>
      </c>
      <c r="K180" s="83"/>
      <c r="L180" s="39"/>
      <c r="M180" s="39"/>
      <c r="N180" s="39"/>
    </row>
    <row r="181" spans="1:17" ht="25.8">
      <c r="A181" s="89" t="s">
        <v>3801</v>
      </c>
      <c r="B181" s="89" t="s">
        <v>3846</v>
      </c>
      <c r="C181" s="89" t="s">
        <v>3801</v>
      </c>
      <c r="D181" s="84">
        <v>13</v>
      </c>
      <c r="E181" s="89" t="s">
        <v>3846</v>
      </c>
      <c r="F181" s="73" t="s">
        <v>1884</v>
      </c>
      <c r="G181" s="78" t="s">
        <v>3847</v>
      </c>
      <c r="H181" s="76">
        <f t="shared" si="3"/>
        <v>1338</v>
      </c>
      <c r="I181" s="98" t="s">
        <v>1670</v>
      </c>
      <c r="J181" s="98" t="s">
        <v>592</v>
      </c>
      <c r="K181" s="77"/>
      <c r="O181" s="39"/>
      <c r="P181" s="39"/>
      <c r="Q181" s="39"/>
    </row>
    <row r="182" spans="1:17" ht="25.8">
      <c r="A182" s="89" t="s">
        <v>3801</v>
      </c>
      <c r="B182" s="89" t="s">
        <v>3848</v>
      </c>
      <c r="C182" s="89" t="s">
        <v>3801</v>
      </c>
      <c r="D182" s="84">
        <v>13</v>
      </c>
      <c r="E182" s="89" t="s">
        <v>3848</v>
      </c>
      <c r="F182" s="73" t="s">
        <v>1503</v>
      </c>
      <c r="G182" s="78" t="s">
        <v>3849</v>
      </c>
      <c r="H182" s="76">
        <f t="shared" si="3"/>
        <v>1339</v>
      </c>
      <c r="I182" s="98" t="s">
        <v>1482</v>
      </c>
      <c r="J182" s="98" t="s">
        <v>592</v>
      </c>
      <c r="K182" s="83"/>
      <c r="L182" s="39"/>
    </row>
    <row r="183" spans="1:17" ht="25.8">
      <c r="A183" s="89" t="s">
        <v>3801</v>
      </c>
      <c r="B183" s="89" t="s">
        <v>3850</v>
      </c>
      <c r="C183" s="89" t="s">
        <v>3801</v>
      </c>
      <c r="D183" s="84">
        <v>13</v>
      </c>
      <c r="E183" s="89" t="s">
        <v>3850</v>
      </c>
      <c r="F183" s="73" t="s">
        <v>1501</v>
      </c>
      <c r="G183" s="78" t="s">
        <v>3851</v>
      </c>
      <c r="H183" s="76">
        <f t="shared" si="3"/>
        <v>1340</v>
      </c>
      <c r="I183" s="98" t="s">
        <v>1634</v>
      </c>
      <c r="J183" s="98" t="s">
        <v>592</v>
      </c>
      <c r="K183" s="77"/>
    </row>
    <row r="184" spans="1:17" ht="25.8">
      <c r="A184" s="89" t="s">
        <v>3801</v>
      </c>
      <c r="B184" s="89" t="s">
        <v>3852</v>
      </c>
      <c r="C184" s="89" t="s">
        <v>3801</v>
      </c>
      <c r="D184" s="84">
        <v>13</v>
      </c>
      <c r="E184" s="89" t="s">
        <v>3852</v>
      </c>
      <c r="F184" s="73" t="s">
        <v>1502</v>
      </c>
      <c r="G184" s="78" t="s">
        <v>3853</v>
      </c>
      <c r="H184" s="76">
        <f t="shared" si="3"/>
        <v>1341</v>
      </c>
      <c r="I184" s="98" t="s">
        <v>1634</v>
      </c>
      <c r="J184" s="98" t="s">
        <v>592</v>
      </c>
      <c r="K184" s="77"/>
    </row>
    <row r="185" spans="1:17" ht="25.8">
      <c r="A185" s="89" t="s">
        <v>3801</v>
      </c>
      <c r="B185" s="89" t="s">
        <v>3854</v>
      </c>
      <c r="C185" s="89" t="s">
        <v>3801</v>
      </c>
      <c r="D185" s="84">
        <v>13</v>
      </c>
      <c r="E185" s="89" t="s">
        <v>3852</v>
      </c>
      <c r="F185" s="73" t="s">
        <v>1838</v>
      </c>
      <c r="G185" s="78" t="s">
        <v>3855</v>
      </c>
      <c r="H185" s="76">
        <f t="shared" si="3"/>
        <v>1342</v>
      </c>
      <c r="I185" s="98" t="s">
        <v>1632</v>
      </c>
      <c r="J185" s="98" t="s">
        <v>592</v>
      </c>
      <c r="K185" s="77"/>
    </row>
    <row r="186" spans="1:17" ht="25.8">
      <c r="A186" s="83" t="s">
        <v>3547</v>
      </c>
      <c r="B186" s="95" t="s">
        <v>3856</v>
      </c>
      <c r="C186" s="89" t="s">
        <v>3801</v>
      </c>
      <c r="D186" s="84">
        <v>13</v>
      </c>
      <c r="E186" s="96" t="s">
        <v>3857</v>
      </c>
      <c r="F186" s="77" t="s">
        <v>1812</v>
      </c>
      <c r="G186" s="78" t="s">
        <v>3858</v>
      </c>
      <c r="H186" s="76">
        <f t="shared" si="3"/>
        <v>1343</v>
      </c>
      <c r="I186" s="89" t="s">
        <v>1636</v>
      </c>
      <c r="J186" s="76" t="s">
        <v>592</v>
      </c>
      <c r="K186" s="83"/>
      <c r="L186" s="39"/>
      <c r="M186" s="39"/>
      <c r="N186" s="39"/>
    </row>
    <row r="187" spans="1:17" ht="25.8">
      <c r="A187" s="89" t="s">
        <v>3801</v>
      </c>
      <c r="B187" s="100" t="s">
        <v>3859</v>
      </c>
      <c r="C187" s="89" t="s">
        <v>3801</v>
      </c>
      <c r="D187" s="84">
        <v>13</v>
      </c>
      <c r="E187" s="96" t="s">
        <v>3857</v>
      </c>
      <c r="F187" s="73" t="s">
        <v>1839</v>
      </c>
      <c r="G187" s="78" t="s">
        <v>3858</v>
      </c>
      <c r="H187" s="76">
        <f t="shared" si="3"/>
        <v>1344</v>
      </c>
      <c r="I187" s="98" t="s">
        <v>1636</v>
      </c>
      <c r="J187" s="98" t="s">
        <v>592</v>
      </c>
      <c r="K187" s="83"/>
      <c r="L187" s="39"/>
    </row>
    <row r="188" spans="1:17" ht="25.8">
      <c r="A188" s="89" t="s">
        <v>3801</v>
      </c>
      <c r="B188" s="89" t="s">
        <v>3860</v>
      </c>
      <c r="C188" s="89" t="s">
        <v>3801</v>
      </c>
      <c r="D188" s="84">
        <v>13</v>
      </c>
      <c r="E188" s="89" t="s">
        <v>3860</v>
      </c>
      <c r="F188" s="73" t="s">
        <v>1889</v>
      </c>
      <c r="G188" s="78" t="s">
        <v>3861</v>
      </c>
      <c r="H188" s="76">
        <f t="shared" si="3"/>
        <v>1345</v>
      </c>
      <c r="I188" s="98" t="s">
        <v>1672</v>
      </c>
      <c r="J188" s="98" t="s">
        <v>592</v>
      </c>
      <c r="K188" s="83"/>
      <c r="L188" s="39"/>
    </row>
    <row r="189" spans="1:17" ht="25.8">
      <c r="A189" s="89" t="s">
        <v>3801</v>
      </c>
      <c r="B189" s="89" t="s">
        <v>3862</v>
      </c>
      <c r="C189" s="89" t="s">
        <v>3801</v>
      </c>
      <c r="D189" s="84">
        <v>13</v>
      </c>
      <c r="E189" s="89" t="s">
        <v>3862</v>
      </c>
      <c r="F189" s="73" t="s">
        <v>1888</v>
      </c>
      <c r="G189" s="78" t="s">
        <v>3863</v>
      </c>
      <c r="H189" s="76">
        <f t="shared" si="3"/>
        <v>1346</v>
      </c>
      <c r="I189" s="98" t="s">
        <v>1670</v>
      </c>
      <c r="J189" s="98" t="s">
        <v>592</v>
      </c>
      <c r="K189" s="83"/>
      <c r="L189" s="39"/>
    </row>
    <row r="190" spans="1:17" ht="25.8">
      <c r="A190" s="83" t="s">
        <v>3547</v>
      </c>
      <c r="B190" s="76" t="s">
        <v>3864</v>
      </c>
      <c r="C190" s="93" t="s">
        <v>1497</v>
      </c>
      <c r="D190" s="84">
        <v>13</v>
      </c>
      <c r="E190" s="76" t="s">
        <v>3864</v>
      </c>
      <c r="F190" s="84" t="s">
        <v>1744</v>
      </c>
      <c r="G190" s="78" t="s">
        <v>3865</v>
      </c>
      <c r="H190" s="76">
        <f t="shared" si="3"/>
        <v>1347</v>
      </c>
      <c r="I190" s="76" t="s">
        <v>1672</v>
      </c>
      <c r="J190" s="76" t="s">
        <v>592</v>
      </c>
      <c r="K190" s="83"/>
    </row>
    <row r="191" spans="1:17" ht="25.8">
      <c r="A191" s="83" t="s">
        <v>3547</v>
      </c>
      <c r="B191" s="76" t="s">
        <v>3866</v>
      </c>
      <c r="C191" s="93" t="s">
        <v>3867</v>
      </c>
      <c r="D191" s="84">
        <v>14</v>
      </c>
      <c r="E191" s="76" t="s">
        <v>3868</v>
      </c>
      <c r="F191" s="84" t="s">
        <v>1799</v>
      </c>
      <c r="G191" s="78" t="s">
        <v>1799</v>
      </c>
      <c r="H191" s="76">
        <f t="shared" si="3"/>
        <v>1401</v>
      </c>
      <c r="I191" s="76"/>
      <c r="J191" s="76" t="s">
        <v>592</v>
      </c>
      <c r="K191" s="83"/>
      <c r="L191" s="39"/>
      <c r="M191" s="39"/>
      <c r="N191" s="39"/>
    </row>
    <row r="192" spans="1:17" ht="25.8">
      <c r="A192" s="83" t="s">
        <v>3547</v>
      </c>
      <c r="B192" s="76" t="s">
        <v>3869</v>
      </c>
      <c r="C192" s="93" t="s">
        <v>3867</v>
      </c>
      <c r="D192" s="84">
        <v>14</v>
      </c>
      <c r="E192" s="88" t="s">
        <v>3870</v>
      </c>
      <c r="F192" s="84" t="s">
        <v>1800</v>
      </c>
      <c r="G192" s="78" t="s">
        <v>1800</v>
      </c>
      <c r="H192" s="76">
        <f t="shared" si="3"/>
        <v>1402</v>
      </c>
      <c r="I192" s="89"/>
      <c r="J192" s="76" t="s">
        <v>592</v>
      </c>
      <c r="K192" s="83"/>
      <c r="L192" s="39"/>
      <c r="M192" s="39"/>
      <c r="N192" s="39"/>
      <c r="O192" s="39"/>
      <c r="P192" s="39"/>
      <c r="Q192" s="39"/>
    </row>
    <row r="193" spans="1:17" ht="25.8">
      <c r="A193" s="83" t="s">
        <v>3547</v>
      </c>
      <c r="B193" s="84" t="s">
        <v>3871</v>
      </c>
      <c r="C193" s="76" t="s">
        <v>3872</v>
      </c>
      <c r="D193" s="84">
        <v>15</v>
      </c>
      <c r="E193" s="84" t="s">
        <v>3872</v>
      </c>
      <c r="F193" s="84" t="s">
        <v>1802</v>
      </c>
      <c r="G193" s="78" t="s">
        <v>1802</v>
      </c>
      <c r="H193" s="76">
        <f t="shared" si="3"/>
        <v>1501</v>
      </c>
      <c r="I193" s="77"/>
      <c r="J193" s="76" t="s">
        <v>592</v>
      </c>
      <c r="K193" s="84"/>
      <c r="L193" s="40"/>
      <c r="M193" s="40"/>
      <c r="N193" s="40"/>
      <c r="O193" s="39"/>
      <c r="P193" s="39"/>
      <c r="Q193" s="39"/>
    </row>
    <row r="194" spans="1:17" ht="25.8">
      <c r="A194" s="83" t="s">
        <v>3547</v>
      </c>
      <c r="B194" s="76" t="s">
        <v>3873</v>
      </c>
      <c r="C194" s="93" t="s">
        <v>1666</v>
      </c>
      <c r="D194" s="84">
        <v>16</v>
      </c>
      <c r="E194" s="76" t="s">
        <v>3873</v>
      </c>
      <c r="F194" s="76" t="s">
        <v>1724</v>
      </c>
      <c r="G194" s="78" t="s">
        <v>1724</v>
      </c>
      <c r="H194" s="76">
        <f t="shared" si="3"/>
        <v>1601</v>
      </c>
      <c r="I194" s="76" t="s">
        <v>1672</v>
      </c>
      <c r="J194" s="76" t="s">
        <v>592</v>
      </c>
      <c r="K194" s="83"/>
      <c r="L194" s="40"/>
      <c r="M194" s="40"/>
      <c r="N194" s="40"/>
    </row>
    <row r="195" spans="1:17" ht="25.8">
      <c r="A195" s="83" t="s">
        <v>3547</v>
      </c>
      <c r="B195" s="76" t="s">
        <v>3874</v>
      </c>
      <c r="C195" s="88" t="s">
        <v>3875</v>
      </c>
      <c r="D195" s="84">
        <v>16</v>
      </c>
      <c r="E195" s="76" t="s">
        <v>3874</v>
      </c>
      <c r="F195" s="76" t="s">
        <v>1730</v>
      </c>
      <c r="G195" s="78" t="s">
        <v>1730</v>
      </c>
      <c r="H195" s="76">
        <f t="shared" si="3"/>
        <v>1602</v>
      </c>
      <c r="I195" s="76" t="s">
        <v>1731</v>
      </c>
      <c r="J195" s="76" t="s">
        <v>592</v>
      </c>
      <c r="K195" s="83"/>
      <c r="L195" s="40"/>
      <c r="M195" s="40"/>
      <c r="N195" s="40"/>
    </row>
    <row r="196" spans="1:17" ht="25.8">
      <c r="A196" s="83" t="s">
        <v>3547</v>
      </c>
      <c r="B196" s="89" t="s">
        <v>3876</v>
      </c>
      <c r="C196" s="77" t="s">
        <v>3877</v>
      </c>
      <c r="D196" s="84">
        <v>16</v>
      </c>
      <c r="E196" s="77" t="s">
        <v>3878</v>
      </c>
      <c r="F196" s="77" t="s">
        <v>1805</v>
      </c>
      <c r="G196" s="78" t="s">
        <v>3879</v>
      </c>
      <c r="H196" s="76">
        <f t="shared" si="3"/>
        <v>1603</v>
      </c>
      <c r="I196" s="89" t="s">
        <v>1670</v>
      </c>
      <c r="J196" s="76" t="s">
        <v>592</v>
      </c>
      <c r="K196" s="83"/>
      <c r="L196" s="39"/>
      <c r="M196" s="39"/>
      <c r="N196" s="39"/>
    </row>
    <row r="197" spans="1:17" ht="25.8">
      <c r="A197" s="83" t="s">
        <v>3547</v>
      </c>
      <c r="B197" s="89" t="s">
        <v>3880</v>
      </c>
      <c r="C197" s="77" t="s">
        <v>3877</v>
      </c>
      <c r="D197" s="84">
        <v>16</v>
      </c>
      <c r="E197" s="77" t="s">
        <v>3881</v>
      </c>
      <c r="F197" s="77" t="s">
        <v>1807</v>
      </c>
      <c r="G197" s="78" t="s">
        <v>3882</v>
      </c>
      <c r="H197" s="76">
        <f t="shared" si="3"/>
        <v>1604</v>
      </c>
      <c r="I197" s="89" t="s">
        <v>1668</v>
      </c>
      <c r="J197" s="76" t="s">
        <v>592</v>
      </c>
      <c r="K197" s="83"/>
      <c r="L197" s="39"/>
      <c r="M197" s="39"/>
      <c r="N197" s="39"/>
      <c r="O197" s="39"/>
      <c r="P197" s="39"/>
      <c r="Q197" s="39"/>
    </row>
    <row r="198" spans="1:17" ht="25.8">
      <c r="A198" s="83" t="s">
        <v>3547</v>
      </c>
      <c r="B198" s="84" t="s">
        <v>3883</v>
      </c>
      <c r="C198" s="76" t="s">
        <v>3877</v>
      </c>
      <c r="D198" s="84">
        <v>16</v>
      </c>
      <c r="E198" s="84" t="s">
        <v>3884</v>
      </c>
      <c r="F198" s="84" t="s">
        <v>1803</v>
      </c>
      <c r="G198" s="78" t="s">
        <v>346</v>
      </c>
      <c r="H198" s="76">
        <f t="shared" si="3"/>
        <v>1605</v>
      </c>
      <c r="I198" s="77" t="s">
        <v>1668</v>
      </c>
      <c r="J198" s="76" t="s">
        <v>592</v>
      </c>
      <c r="K198" s="84"/>
      <c r="L198" s="40"/>
      <c r="M198" s="40"/>
      <c r="N198" s="40"/>
    </row>
    <row r="199" spans="1:17" ht="25.8">
      <c r="A199" s="83" t="s">
        <v>3547</v>
      </c>
      <c r="B199" s="76" t="s">
        <v>3885</v>
      </c>
      <c r="C199" s="76" t="s">
        <v>3877</v>
      </c>
      <c r="D199" s="84">
        <v>16</v>
      </c>
      <c r="E199" s="76" t="s">
        <v>3886</v>
      </c>
      <c r="F199" s="84" t="s">
        <v>1806</v>
      </c>
      <c r="G199" s="78" t="s">
        <v>3887</v>
      </c>
      <c r="H199" s="76">
        <f t="shared" si="3"/>
        <v>1606</v>
      </c>
      <c r="I199" s="76" t="s">
        <v>1668</v>
      </c>
      <c r="J199" s="76" t="s">
        <v>592</v>
      </c>
      <c r="K199" s="83"/>
      <c r="L199" s="39"/>
      <c r="M199" s="39"/>
      <c r="N199" s="39"/>
    </row>
    <row r="200" spans="1:17" ht="25.8">
      <c r="A200" s="83" t="s">
        <v>3547</v>
      </c>
      <c r="B200" s="89" t="s">
        <v>3888</v>
      </c>
      <c r="C200" s="89" t="s">
        <v>3877</v>
      </c>
      <c r="D200" s="84">
        <v>16</v>
      </c>
      <c r="E200" s="83" t="s">
        <v>3889</v>
      </c>
      <c r="F200" s="77" t="s">
        <v>1809</v>
      </c>
      <c r="G200" s="78" t="s">
        <v>3890</v>
      </c>
      <c r="H200" s="76">
        <f t="shared" si="3"/>
        <v>1607</v>
      </c>
      <c r="I200" s="77" t="s">
        <v>1670</v>
      </c>
      <c r="J200" s="76" t="s">
        <v>592</v>
      </c>
      <c r="K200" s="83"/>
      <c r="L200" s="39"/>
      <c r="M200" s="39"/>
      <c r="N200" s="39"/>
    </row>
    <row r="201" spans="1:17" ht="25.8">
      <c r="A201" s="83" t="s">
        <v>3547</v>
      </c>
      <c r="B201" s="89" t="s">
        <v>3891</v>
      </c>
      <c r="C201" s="77" t="s">
        <v>3877</v>
      </c>
      <c r="D201" s="84">
        <v>16</v>
      </c>
      <c r="E201" s="77" t="s">
        <v>3892</v>
      </c>
      <c r="F201" s="77" t="s">
        <v>1804</v>
      </c>
      <c r="G201" s="78" t="s">
        <v>3893</v>
      </c>
      <c r="H201" s="76">
        <f t="shared" ref="H201:H207" si="4">IF(D201=D200,H200+1,D201*100+1)</f>
        <v>1608</v>
      </c>
      <c r="I201" s="89" t="s">
        <v>1670</v>
      </c>
      <c r="J201" s="76" t="s">
        <v>592</v>
      </c>
      <c r="K201" s="83"/>
      <c r="L201" s="39"/>
      <c r="M201" s="39"/>
      <c r="N201" s="39"/>
    </row>
    <row r="202" spans="1:17" ht="25.8">
      <c r="A202" s="83" t="s">
        <v>3547</v>
      </c>
      <c r="B202" s="89" t="s">
        <v>3894</v>
      </c>
      <c r="C202" s="89" t="s">
        <v>3877</v>
      </c>
      <c r="D202" s="84">
        <v>16</v>
      </c>
      <c r="E202" s="83" t="s">
        <v>3895</v>
      </c>
      <c r="F202" s="77" t="s">
        <v>1808</v>
      </c>
      <c r="G202" s="78" t="s">
        <v>3896</v>
      </c>
      <c r="H202" s="76">
        <f t="shared" si="4"/>
        <v>1609</v>
      </c>
      <c r="I202" s="77" t="s">
        <v>1670</v>
      </c>
      <c r="J202" s="76" t="s">
        <v>592</v>
      </c>
      <c r="K202" s="83"/>
      <c r="L202" s="39"/>
      <c r="M202" s="39"/>
      <c r="N202" s="39"/>
      <c r="Q202" s="39"/>
    </row>
    <row r="203" spans="1:17" ht="23.4">
      <c r="A203" s="83" t="s">
        <v>3547</v>
      </c>
      <c r="B203" s="77" t="s">
        <v>3897</v>
      </c>
      <c r="C203" s="77" t="s">
        <v>3898</v>
      </c>
      <c r="D203" s="77" t="s">
        <v>3899</v>
      </c>
      <c r="E203" s="77" t="s">
        <v>3900</v>
      </c>
      <c r="F203" s="77" t="s">
        <v>1922</v>
      </c>
      <c r="G203" s="77" t="s">
        <v>1922</v>
      </c>
      <c r="H203" s="76">
        <f t="shared" si="4"/>
        <v>1701</v>
      </c>
      <c r="I203" s="77" t="s">
        <v>1921</v>
      </c>
      <c r="J203" s="76" t="s">
        <v>592</v>
      </c>
      <c r="K203" s="77"/>
    </row>
    <row r="204" spans="1:17" ht="23.4">
      <c r="A204" s="83" t="s">
        <v>3547</v>
      </c>
      <c r="B204" s="77" t="s">
        <v>3901</v>
      </c>
      <c r="C204" s="77" t="s">
        <v>3898</v>
      </c>
      <c r="D204" s="77" t="s">
        <v>3899</v>
      </c>
      <c r="E204" s="101" t="s">
        <v>3902</v>
      </c>
      <c r="F204" s="77" t="s">
        <v>1923</v>
      </c>
      <c r="G204" s="77" t="s">
        <v>1923</v>
      </c>
      <c r="H204" s="76">
        <f t="shared" si="4"/>
        <v>1702</v>
      </c>
      <c r="I204" s="77" t="s">
        <v>1921</v>
      </c>
      <c r="J204" s="76" t="s">
        <v>592</v>
      </c>
      <c r="K204" s="77"/>
    </row>
    <row r="205" spans="1:17" ht="25.8">
      <c r="A205" s="83" t="s">
        <v>3547</v>
      </c>
      <c r="B205" s="77" t="s">
        <v>3903</v>
      </c>
      <c r="C205" s="77" t="s">
        <v>3898</v>
      </c>
      <c r="D205" s="77" t="s">
        <v>3899</v>
      </c>
      <c r="E205" s="77" t="s">
        <v>3904</v>
      </c>
      <c r="F205" s="77" t="s">
        <v>1925</v>
      </c>
      <c r="G205" s="78" t="s">
        <v>3905</v>
      </c>
      <c r="H205" s="76">
        <f t="shared" si="4"/>
        <v>1703</v>
      </c>
      <c r="I205" s="77" t="s">
        <v>328</v>
      </c>
      <c r="J205" s="76" t="s">
        <v>592</v>
      </c>
      <c r="K205" s="77"/>
    </row>
    <row r="206" spans="1:17" ht="25.8">
      <c r="A206" s="83" t="s">
        <v>3547</v>
      </c>
      <c r="B206" s="77" t="s">
        <v>3906</v>
      </c>
      <c r="C206" s="77" t="s">
        <v>3898</v>
      </c>
      <c r="D206" s="77" t="s">
        <v>3899</v>
      </c>
      <c r="E206" s="77" t="s">
        <v>3907</v>
      </c>
      <c r="F206" s="77" t="s">
        <v>1924</v>
      </c>
      <c r="G206" s="78" t="s">
        <v>3908</v>
      </c>
      <c r="H206" s="76">
        <f t="shared" si="4"/>
        <v>1704</v>
      </c>
      <c r="I206" s="77" t="s">
        <v>339</v>
      </c>
      <c r="J206" s="76" t="s">
        <v>592</v>
      </c>
      <c r="K206" s="77"/>
    </row>
    <row r="207" spans="1:17" ht="25.8">
      <c r="A207" s="83" t="s">
        <v>3547</v>
      </c>
      <c r="B207" s="83" t="s">
        <v>3909</v>
      </c>
      <c r="C207" s="84" t="s">
        <v>3910</v>
      </c>
      <c r="D207" s="84">
        <v>18</v>
      </c>
      <c r="E207" s="85" t="s">
        <v>3911</v>
      </c>
      <c r="F207" s="84" t="s">
        <v>3912</v>
      </c>
      <c r="G207" s="78" t="s">
        <v>3913</v>
      </c>
      <c r="H207" s="76">
        <f t="shared" si="4"/>
        <v>1801</v>
      </c>
      <c r="I207" s="76"/>
      <c r="J207" s="76" t="s">
        <v>592</v>
      </c>
      <c r="K207" s="83"/>
      <c r="L207" s="39"/>
    </row>
  </sheetData>
  <phoneticPr fontId="68" type="noConversion"/>
  <conditionalFormatting sqref="G1:G205 G208:G1048576">
    <cfRule type="duplicateValues" dxfId="41"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8">
    <tabColor rgb="FF00B050"/>
  </sheetPr>
  <dimension ref="A1:R26"/>
  <sheetViews>
    <sheetView zoomScaleNormal="100" workbookViewId="0">
      <selection activeCell="H1" sqref="H1"/>
    </sheetView>
  </sheetViews>
  <sheetFormatPr defaultColWidth="9" defaultRowHeight="14.4"/>
  <cols>
    <col min="1" max="2" width="9" style="26"/>
    <col min="3" max="3" width="12.6328125" style="26" customWidth="1"/>
    <col min="4" max="4" width="16.90625" style="26" bestFit="1" customWidth="1"/>
    <col min="5" max="5" width="4.6328125" style="26" customWidth="1"/>
    <col min="6" max="6" width="9" style="26"/>
    <col min="7" max="7" width="20.54296875" style="26" bestFit="1" customWidth="1"/>
    <col min="8" max="8" width="17.6328125" style="26" bestFit="1" customWidth="1"/>
    <col min="9" max="9" width="9.7265625" style="26" customWidth="1"/>
    <col min="10" max="10" width="9.1796875" style="19" bestFit="1" customWidth="1"/>
    <col min="11" max="11" width="15.81640625" style="26" customWidth="1"/>
    <col min="12" max="12" width="9" style="26"/>
    <col min="13" max="13" width="7" style="26" customWidth="1"/>
    <col min="14" max="14" width="6.81640625" style="26" customWidth="1"/>
    <col min="15" max="15" width="22" style="19" customWidth="1"/>
    <col min="16" max="16384" width="9" style="26"/>
  </cols>
  <sheetData>
    <row r="1" spans="1:18" s="19"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19" t="s">
        <v>15</v>
      </c>
      <c r="B2" s="19">
        <v>1</v>
      </c>
      <c r="C2" s="19" t="s">
        <v>37</v>
      </c>
      <c r="D2" s="19" t="s">
        <v>3407</v>
      </c>
      <c r="E2" s="19" t="s">
        <v>38</v>
      </c>
      <c r="F2" s="19">
        <f>IF(E2="Char",200,8)</f>
        <v>200</v>
      </c>
      <c r="G2" s="19"/>
      <c r="H2" s="30"/>
      <c r="I2" s="19" t="s">
        <v>757</v>
      </c>
      <c r="J2" s="30" t="s">
        <v>597</v>
      </c>
      <c r="K2" s="19" t="s">
        <v>55</v>
      </c>
      <c r="L2" s="19" t="s">
        <v>39</v>
      </c>
      <c r="M2" s="18"/>
      <c r="N2" s="19"/>
      <c r="O2" s="24" t="s">
        <v>3408</v>
      </c>
      <c r="P2" s="19"/>
      <c r="Q2" s="26" t="s">
        <v>592</v>
      </c>
    </row>
    <row r="3" spans="1:18" ht="15.6">
      <c r="A3" s="19" t="s">
        <v>15</v>
      </c>
      <c r="B3" s="19">
        <v>2</v>
      </c>
      <c r="C3" s="19" t="s">
        <v>57</v>
      </c>
      <c r="D3" s="19" t="s">
        <v>3409</v>
      </c>
      <c r="E3" s="19" t="s">
        <v>38</v>
      </c>
      <c r="F3" s="19">
        <f t="shared" ref="F3:F26" si="0">IF(E3="Char",200,8)</f>
        <v>200</v>
      </c>
      <c r="G3" s="29" t="s">
        <v>3336</v>
      </c>
      <c r="H3" s="29" t="s">
        <v>618</v>
      </c>
      <c r="I3" s="30" t="s">
        <v>60</v>
      </c>
      <c r="J3" s="34" t="s">
        <v>3323</v>
      </c>
      <c r="K3" s="19" t="s">
        <v>55</v>
      </c>
      <c r="L3" s="19" t="s">
        <v>39</v>
      </c>
      <c r="M3" s="18"/>
      <c r="N3" s="19" t="s">
        <v>596</v>
      </c>
    </row>
    <row r="4" spans="1:18" ht="15.6">
      <c r="A4" s="19" t="s">
        <v>15</v>
      </c>
      <c r="B4" s="19">
        <v>3</v>
      </c>
      <c r="C4" s="19" t="s">
        <v>41</v>
      </c>
      <c r="D4" s="19" t="s">
        <v>3410</v>
      </c>
      <c r="E4" s="19" t="s">
        <v>38</v>
      </c>
      <c r="F4" s="19">
        <f t="shared" si="0"/>
        <v>200</v>
      </c>
      <c r="G4" s="19"/>
      <c r="H4" s="30"/>
      <c r="I4" s="19" t="s">
        <v>69</v>
      </c>
      <c r="J4" s="30" t="s">
        <v>597</v>
      </c>
      <c r="K4" s="19" t="s">
        <v>55</v>
      </c>
      <c r="L4" s="19" t="s">
        <v>39</v>
      </c>
      <c r="M4" s="18"/>
      <c r="N4" s="18"/>
      <c r="O4" s="26" t="s">
        <v>3411</v>
      </c>
      <c r="P4" s="19"/>
      <c r="Q4" s="19"/>
      <c r="R4" s="19" t="s">
        <v>592</v>
      </c>
    </row>
    <row r="5" spans="1:18" ht="15.6">
      <c r="A5" s="19" t="s">
        <v>15</v>
      </c>
      <c r="B5" s="19">
        <v>4</v>
      </c>
      <c r="C5" s="19" t="s">
        <v>387</v>
      </c>
      <c r="D5" s="19" t="s">
        <v>3412</v>
      </c>
      <c r="E5" s="19" t="s">
        <v>242</v>
      </c>
      <c r="F5" s="19">
        <f t="shared" si="0"/>
        <v>8</v>
      </c>
      <c r="G5" s="19"/>
      <c r="H5" s="30"/>
      <c r="I5" s="19" t="s">
        <v>69</v>
      </c>
      <c r="J5" s="30" t="s">
        <v>597</v>
      </c>
      <c r="K5" s="19" t="s">
        <v>55</v>
      </c>
      <c r="L5" s="19" t="s">
        <v>39</v>
      </c>
      <c r="M5" s="18"/>
      <c r="N5" s="18"/>
      <c r="O5" s="19" t="s">
        <v>3916</v>
      </c>
      <c r="R5" s="19" t="s">
        <v>592</v>
      </c>
    </row>
    <row r="6" spans="1:18" ht="15.6">
      <c r="A6" s="19" t="s">
        <v>15</v>
      </c>
      <c r="B6" s="19">
        <v>5</v>
      </c>
      <c r="C6" s="19" t="s">
        <v>388</v>
      </c>
      <c r="D6" s="19" t="s">
        <v>3413</v>
      </c>
      <c r="E6" s="19" t="s">
        <v>38</v>
      </c>
      <c r="F6" s="19">
        <f t="shared" si="0"/>
        <v>200</v>
      </c>
      <c r="G6" s="19" t="s">
        <v>389</v>
      </c>
      <c r="H6" s="30" t="s">
        <v>388</v>
      </c>
      <c r="I6" s="19" t="s">
        <v>3322</v>
      </c>
      <c r="J6" s="34" t="s">
        <v>3323</v>
      </c>
      <c r="K6" s="19" t="s">
        <v>245</v>
      </c>
      <c r="L6" s="19" t="s">
        <v>39</v>
      </c>
      <c r="M6" s="18"/>
      <c r="N6" s="18"/>
    </row>
    <row r="7" spans="1:18" ht="15.6">
      <c r="A7" s="19" t="s">
        <v>15</v>
      </c>
      <c r="B7" s="19">
        <v>6</v>
      </c>
      <c r="C7" s="19" t="s">
        <v>390</v>
      </c>
      <c r="D7" s="19" t="s">
        <v>3414</v>
      </c>
      <c r="E7" s="19" t="s">
        <v>38</v>
      </c>
      <c r="F7" s="19">
        <f t="shared" si="0"/>
        <v>200</v>
      </c>
      <c r="G7" s="19" t="s">
        <v>391</v>
      </c>
      <c r="H7" s="30" t="s">
        <v>390</v>
      </c>
      <c r="I7" s="19" t="s">
        <v>3322</v>
      </c>
      <c r="J7" s="34" t="s">
        <v>3323</v>
      </c>
      <c r="K7" s="19" t="s">
        <v>111</v>
      </c>
      <c r="L7" s="19" t="s">
        <v>39</v>
      </c>
      <c r="M7" s="18"/>
      <c r="N7" s="18"/>
    </row>
    <row r="8" spans="1:18" ht="15.6">
      <c r="A8" s="19" t="s">
        <v>15</v>
      </c>
      <c r="B8" s="19">
        <v>7</v>
      </c>
      <c r="C8" s="30" t="s">
        <v>846</v>
      </c>
      <c r="D8" s="119" t="s">
        <v>3982</v>
      </c>
      <c r="E8" s="30" t="s">
        <v>38</v>
      </c>
      <c r="F8" s="19">
        <f>IF(E8="Char",200,8)</f>
        <v>200</v>
      </c>
      <c r="G8" s="19"/>
      <c r="H8" s="30" t="s">
        <v>846</v>
      </c>
      <c r="I8" s="19" t="s">
        <v>3322</v>
      </c>
      <c r="J8" s="34" t="s">
        <v>3323</v>
      </c>
      <c r="K8" s="30" t="s">
        <v>264</v>
      </c>
      <c r="L8" s="30" t="s">
        <v>49</v>
      </c>
      <c r="M8" s="18"/>
      <c r="N8" s="18"/>
    </row>
    <row r="9" spans="1:18" ht="15.6">
      <c r="A9" s="19" t="s">
        <v>15</v>
      </c>
      <c r="B9" s="19">
        <v>8</v>
      </c>
      <c r="C9" s="30" t="s">
        <v>392</v>
      </c>
      <c r="D9" s="44" t="s">
        <v>3983</v>
      </c>
      <c r="E9" s="19" t="s">
        <v>38</v>
      </c>
      <c r="F9" s="19">
        <f t="shared" si="0"/>
        <v>200</v>
      </c>
      <c r="G9" s="19"/>
      <c r="H9" s="30"/>
      <c r="I9" s="19" t="s">
        <v>3322</v>
      </c>
      <c r="J9" s="34" t="s">
        <v>3323</v>
      </c>
      <c r="K9" s="30" t="s">
        <v>248</v>
      </c>
      <c r="L9" s="19" t="s">
        <v>42</v>
      </c>
      <c r="M9" s="18"/>
      <c r="N9" s="18"/>
    </row>
    <row r="10" spans="1:18" ht="15.6">
      <c r="A10" s="19" t="s">
        <v>15</v>
      </c>
      <c r="B10" s="19">
        <v>9</v>
      </c>
      <c r="C10" s="30" t="s">
        <v>970</v>
      </c>
      <c r="D10" s="44" t="s">
        <v>3984</v>
      </c>
      <c r="E10" s="19" t="s">
        <v>38</v>
      </c>
      <c r="F10" s="19">
        <f t="shared" ref="F10" si="1">IF(E10="Char",200,8)</f>
        <v>200</v>
      </c>
      <c r="G10" s="19"/>
      <c r="H10" s="30" t="s">
        <v>1105</v>
      </c>
      <c r="I10" s="19" t="s">
        <v>3322</v>
      </c>
      <c r="J10" s="34" t="s">
        <v>3323</v>
      </c>
      <c r="K10" s="30" t="s">
        <v>275</v>
      </c>
      <c r="L10" s="19" t="s">
        <v>42</v>
      </c>
      <c r="M10" s="18"/>
      <c r="N10" s="18"/>
    </row>
    <row r="11" spans="1:18" ht="15.6">
      <c r="A11" s="19" t="s">
        <v>15</v>
      </c>
      <c r="B11" s="19">
        <v>10</v>
      </c>
      <c r="C11" s="30" t="s">
        <v>393</v>
      </c>
      <c r="D11" s="44" t="s">
        <v>3985</v>
      </c>
      <c r="E11" s="30" t="s">
        <v>38</v>
      </c>
      <c r="F11" s="19">
        <f t="shared" si="0"/>
        <v>200</v>
      </c>
      <c r="G11" s="19"/>
      <c r="H11" s="30"/>
      <c r="I11" s="19" t="s">
        <v>69</v>
      </c>
      <c r="J11" s="30" t="s">
        <v>597</v>
      </c>
      <c r="K11" s="30" t="s">
        <v>248</v>
      </c>
      <c r="L11" s="30" t="s">
        <v>42</v>
      </c>
      <c r="M11" s="18"/>
      <c r="N11" s="18"/>
      <c r="O11" s="19" t="s">
        <v>3418</v>
      </c>
      <c r="R11" s="19" t="s">
        <v>592</v>
      </c>
    </row>
    <row r="12" spans="1:18" ht="15.6">
      <c r="A12" s="19" t="s">
        <v>15</v>
      </c>
      <c r="B12" s="19">
        <v>11</v>
      </c>
      <c r="C12" s="30" t="s">
        <v>959</v>
      </c>
      <c r="D12" s="30" t="s">
        <v>3986</v>
      </c>
      <c r="E12" s="30" t="s">
        <v>242</v>
      </c>
      <c r="F12" s="19">
        <f t="shared" si="0"/>
        <v>8</v>
      </c>
      <c r="G12" s="19"/>
      <c r="H12" s="30"/>
      <c r="I12" s="19" t="s">
        <v>69</v>
      </c>
      <c r="J12" s="30" t="s">
        <v>597</v>
      </c>
      <c r="K12" s="30" t="s">
        <v>248</v>
      </c>
      <c r="L12" s="30" t="s">
        <v>49</v>
      </c>
      <c r="M12" s="18"/>
      <c r="N12" s="18"/>
      <c r="O12" s="19" t="s">
        <v>3420</v>
      </c>
      <c r="R12" s="19" t="s">
        <v>592</v>
      </c>
    </row>
    <row r="13" spans="1:18" ht="15.6">
      <c r="A13" s="19" t="s">
        <v>15</v>
      </c>
      <c r="B13" s="19">
        <v>12</v>
      </c>
      <c r="C13" s="30" t="s">
        <v>960</v>
      </c>
      <c r="D13" s="44" t="s">
        <v>3987</v>
      </c>
      <c r="E13" s="30" t="s">
        <v>38</v>
      </c>
      <c r="F13" s="19">
        <f t="shared" si="0"/>
        <v>200</v>
      </c>
      <c r="G13" s="19"/>
      <c r="H13" s="30" t="s">
        <v>1105</v>
      </c>
      <c r="I13" s="19" t="s">
        <v>69</v>
      </c>
      <c r="J13" s="30" t="s">
        <v>597</v>
      </c>
      <c r="K13" s="30" t="s">
        <v>275</v>
      </c>
      <c r="L13" s="30" t="s">
        <v>49</v>
      </c>
      <c r="M13" s="18"/>
      <c r="N13" s="18"/>
      <c r="O13" s="19" t="s">
        <v>3422</v>
      </c>
      <c r="R13" s="19" t="s">
        <v>592</v>
      </c>
    </row>
    <row r="14" spans="1:18" ht="15.6">
      <c r="A14" s="19" t="s">
        <v>15</v>
      </c>
      <c r="B14" s="19">
        <v>13</v>
      </c>
      <c r="C14" s="19" t="s">
        <v>394</v>
      </c>
      <c r="D14" s="19" t="s">
        <v>3423</v>
      </c>
      <c r="E14" s="19" t="s">
        <v>38</v>
      </c>
      <c r="F14" s="19">
        <f t="shared" si="0"/>
        <v>200</v>
      </c>
      <c r="G14" s="19" t="s">
        <v>315</v>
      </c>
      <c r="H14" s="30" t="s">
        <v>1127</v>
      </c>
      <c r="I14" s="19" t="s">
        <v>3322</v>
      </c>
      <c r="J14" s="34" t="s">
        <v>3323</v>
      </c>
      <c r="K14" s="19" t="s">
        <v>115</v>
      </c>
      <c r="L14" s="19" t="s">
        <v>49</v>
      </c>
      <c r="M14" s="18"/>
      <c r="N14" s="18"/>
    </row>
    <row r="15" spans="1:18" ht="15.6">
      <c r="A15" s="19" t="s">
        <v>15</v>
      </c>
      <c r="B15" s="19">
        <v>14</v>
      </c>
      <c r="C15" s="19" t="s">
        <v>395</v>
      </c>
      <c r="D15" s="19" t="s">
        <v>3424</v>
      </c>
      <c r="E15" s="19" t="s">
        <v>38</v>
      </c>
      <c r="F15" s="19">
        <f t="shared" si="0"/>
        <v>200</v>
      </c>
      <c r="G15" s="19"/>
      <c r="H15" s="30"/>
      <c r="I15" s="19" t="s">
        <v>3322</v>
      </c>
      <c r="J15" s="34" t="s">
        <v>3323</v>
      </c>
      <c r="K15" s="19" t="s">
        <v>115</v>
      </c>
      <c r="L15" s="19" t="s">
        <v>49</v>
      </c>
      <c r="M15" s="18"/>
      <c r="N15" s="18"/>
    </row>
    <row r="16" spans="1:18" ht="15.6">
      <c r="A16" s="19" t="s">
        <v>15</v>
      </c>
      <c r="B16" s="19">
        <v>15</v>
      </c>
      <c r="C16" s="19" t="s">
        <v>1862</v>
      </c>
      <c r="D16" s="115" t="s">
        <v>3962</v>
      </c>
      <c r="E16" s="19" t="s">
        <v>38</v>
      </c>
      <c r="F16" s="19">
        <f t="shared" si="0"/>
        <v>200</v>
      </c>
      <c r="G16" s="19" t="s">
        <v>274</v>
      </c>
      <c r="H16" s="30" t="s">
        <v>1053</v>
      </c>
      <c r="I16" s="19" t="s">
        <v>69</v>
      </c>
      <c r="J16" s="30" t="s">
        <v>597</v>
      </c>
      <c r="K16" s="19" t="s">
        <v>115</v>
      </c>
      <c r="L16" s="19" t="s">
        <v>42</v>
      </c>
      <c r="M16" s="19"/>
      <c r="N16" s="18"/>
      <c r="O16" s="19" t="s">
        <v>1432</v>
      </c>
      <c r="R16" s="19" t="s">
        <v>592</v>
      </c>
    </row>
    <row r="17" spans="1:18" ht="15.6">
      <c r="A17" s="19" t="s">
        <v>15</v>
      </c>
      <c r="B17" s="19">
        <v>16</v>
      </c>
      <c r="C17" s="19" t="s">
        <v>396</v>
      </c>
      <c r="D17" s="114" t="s">
        <v>3964</v>
      </c>
      <c r="E17" s="19" t="s">
        <v>38</v>
      </c>
      <c r="F17" s="19">
        <f t="shared" si="0"/>
        <v>200</v>
      </c>
      <c r="G17" s="19" t="s">
        <v>274</v>
      </c>
      <c r="H17" s="30" t="s">
        <v>1053</v>
      </c>
      <c r="I17" s="19" t="s">
        <v>69</v>
      </c>
      <c r="J17" s="30" t="s">
        <v>597</v>
      </c>
      <c r="K17" s="19" t="s">
        <v>115</v>
      </c>
      <c r="L17" s="19" t="s">
        <v>49</v>
      </c>
      <c r="M17" s="18"/>
      <c r="N17" s="18"/>
      <c r="O17" s="19" t="s">
        <v>1432</v>
      </c>
      <c r="R17" s="19" t="s">
        <v>592</v>
      </c>
    </row>
    <row r="18" spans="1:18" ht="15.6">
      <c r="A18" s="19" t="s">
        <v>15</v>
      </c>
      <c r="B18" s="19">
        <v>17</v>
      </c>
      <c r="C18" s="19" t="s">
        <v>266</v>
      </c>
      <c r="D18" s="19" t="s">
        <v>3425</v>
      </c>
      <c r="E18" s="19" t="s">
        <v>242</v>
      </c>
      <c r="F18" s="19">
        <f t="shared" si="0"/>
        <v>8</v>
      </c>
      <c r="G18" s="19"/>
      <c r="H18" s="30"/>
      <c r="I18" s="19" t="s">
        <v>69</v>
      </c>
      <c r="J18" s="30" t="s">
        <v>597</v>
      </c>
      <c r="K18" s="19" t="s">
        <v>258</v>
      </c>
      <c r="L18" s="19" t="s">
        <v>42</v>
      </c>
      <c r="M18" s="18"/>
      <c r="N18" s="18"/>
      <c r="O18" s="19" t="s">
        <v>3426</v>
      </c>
      <c r="R18" s="19" t="s">
        <v>592</v>
      </c>
    </row>
    <row r="19" spans="1:18" ht="15.6">
      <c r="A19" s="19" t="s">
        <v>15</v>
      </c>
      <c r="B19" s="19">
        <v>18</v>
      </c>
      <c r="C19" s="19" t="s">
        <v>267</v>
      </c>
      <c r="D19" s="19" t="s">
        <v>3427</v>
      </c>
      <c r="E19" s="19" t="s">
        <v>38</v>
      </c>
      <c r="F19" s="19">
        <f t="shared" si="0"/>
        <v>200</v>
      </c>
      <c r="G19" s="19"/>
      <c r="H19" s="30"/>
      <c r="I19" s="19" t="s">
        <v>69</v>
      </c>
      <c r="J19" s="30" t="s">
        <v>597</v>
      </c>
      <c r="K19" s="19" t="s">
        <v>258</v>
      </c>
      <c r="L19" s="19" t="s">
        <v>49</v>
      </c>
      <c r="M19" s="18"/>
      <c r="N19" s="18"/>
      <c r="O19" s="19" t="s">
        <v>3428</v>
      </c>
      <c r="R19" s="19" t="s">
        <v>592</v>
      </c>
    </row>
    <row r="20" spans="1:18" s="28" customFormat="1" ht="15.6">
      <c r="A20" s="19" t="s">
        <v>15</v>
      </c>
      <c r="B20" s="19">
        <v>19</v>
      </c>
      <c r="C20" s="28" t="s">
        <v>260</v>
      </c>
      <c r="D20" s="28" t="s">
        <v>3429</v>
      </c>
      <c r="E20" s="28" t="s">
        <v>38</v>
      </c>
      <c r="F20" s="25">
        <f t="shared" si="0"/>
        <v>200</v>
      </c>
      <c r="G20" s="28" t="s">
        <v>598</v>
      </c>
      <c r="H20" s="30" t="s">
        <v>260</v>
      </c>
      <c r="I20" s="25" t="s">
        <v>69</v>
      </c>
      <c r="J20" s="30" t="s">
        <v>597</v>
      </c>
      <c r="K20" s="28" t="s">
        <v>258</v>
      </c>
      <c r="L20" s="28" t="s">
        <v>49</v>
      </c>
      <c r="O20" s="28" t="s">
        <v>3430</v>
      </c>
      <c r="R20" s="19" t="s">
        <v>592</v>
      </c>
    </row>
    <row r="21" spans="1:18" ht="15.6">
      <c r="A21" s="19" t="s">
        <v>15</v>
      </c>
      <c r="B21" s="19">
        <v>20</v>
      </c>
      <c r="C21" s="19" t="s">
        <v>397</v>
      </c>
      <c r="D21" s="19" t="s">
        <v>3431</v>
      </c>
      <c r="E21" s="19" t="s">
        <v>38</v>
      </c>
      <c r="F21" s="19">
        <f t="shared" si="0"/>
        <v>200</v>
      </c>
      <c r="G21" s="19"/>
      <c r="H21" s="30"/>
      <c r="I21" s="25" t="s">
        <v>69</v>
      </c>
      <c r="J21" s="30" t="s">
        <v>597</v>
      </c>
      <c r="K21" s="19" t="s">
        <v>258</v>
      </c>
      <c r="L21" s="19" t="s">
        <v>42</v>
      </c>
      <c r="M21" s="18"/>
      <c r="N21" s="18"/>
      <c r="O21" s="19" t="s">
        <v>3432</v>
      </c>
      <c r="R21" s="19" t="s">
        <v>592</v>
      </c>
    </row>
    <row r="22" spans="1:18" ht="15.6">
      <c r="A22" s="19" t="s">
        <v>15</v>
      </c>
      <c r="B22" s="19">
        <v>21</v>
      </c>
      <c r="C22" s="19" t="s">
        <v>398</v>
      </c>
      <c r="D22" s="19" t="s">
        <v>3433</v>
      </c>
      <c r="E22" s="19" t="s">
        <v>242</v>
      </c>
      <c r="F22" s="19">
        <f t="shared" si="0"/>
        <v>8</v>
      </c>
      <c r="G22" s="19"/>
      <c r="H22" s="30"/>
      <c r="I22" s="19" t="s">
        <v>69</v>
      </c>
      <c r="J22" s="30" t="s">
        <v>597</v>
      </c>
      <c r="K22" s="19" t="s">
        <v>258</v>
      </c>
      <c r="L22" s="19" t="s">
        <v>49</v>
      </c>
      <c r="M22" s="18"/>
      <c r="N22" s="18"/>
      <c r="O22" s="19" t="s">
        <v>3919</v>
      </c>
      <c r="R22" s="19" t="s">
        <v>592</v>
      </c>
    </row>
    <row r="23" spans="1:18" s="32" customFormat="1" ht="15.6">
      <c r="A23" s="19" t="s">
        <v>15</v>
      </c>
      <c r="B23" s="19">
        <v>22</v>
      </c>
      <c r="C23" s="32" t="s">
        <v>1877</v>
      </c>
      <c r="D23" s="32" t="s">
        <v>3434</v>
      </c>
      <c r="E23" s="32" t="s">
        <v>38</v>
      </c>
      <c r="F23" s="19">
        <f t="shared" si="0"/>
        <v>200</v>
      </c>
      <c r="I23" s="19" t="s">
        <v>69</v>
      </c>
      <c r="J23" s="30" t="s">
        <v>597</v>
      </c>
      <c r="K23" s="32" t="s">
        <v>258</v>
      </c>
      <c r="L23" s="32" t="s">
        <v>49</v>
      </c>
      <c r="O23" s="32" t="s">
        <v>3922</v>
      </c>
      <c r="R23" s="19" t="s">
        <v>592</v>
      </c>
    </row>
    <row r="24" spans="1:18" s="32" customFormat="1" ht="15.6">
      <c r="A24" s="19" t="s">
        <v>15</v>
      </c>
      <c r="B24" s="19">
        <v>23</v>
      </c>
      <c r="C24" s="32" t="s">
        <v>1878</v>
      </c>
      <c r="D24" s="32" t="s">
        <v>3435</v>
      </c>
      <c r="E24" s="32" t="s">
        <v>242</v>
      </c>
      <c r="F24" s="19">
        <f t="shared" si="0"/>
        <v>8</v>
      </c>
      <c r="I24" s="19" t="s">
        <v>69</v>
      </c>
      <c r="J24" s="30" t="s">
        <v>597</v>
      </c>
      <c r="K24" s="32" t="s">
        <v>258</v>
      </c>
      <c r="L24" s="32" t="s">
        <v>49</v>
      </c>
      <c r="O24" s="32" t="s">
        <v>3923</v>
      </c>
      <c r="R24" s="19" t="s">
        <v>592</v>
      </c>
    </row>
    <row r="25" spans="1:18" s="30" customFormat="1" ht="13.8" customHeight="1">
      <c r="A25" s="19" t="s">
        <v>15</v>
      </c>
      <c r="B25" s="19">
        <v>24</v>
      </c>
      <c r="C25" s="30" t="s">
        <v>399</v>
      </c>
      <c r="D25" s="19" t="s">
        <v>3436</v>
      </c>
      <c r="E25" s="30" t="s">
        <v>38</v>
      </c>
      <c r="F25" s="19">
        <f t="shared" si="0"/>
        <v>200</v>
      </c>
      <c r="I25" s="19" t="s">
        <v>3322</v>
      </c>
      <c r="J25" s="34" t="s">
        <v>3323</v>
      </c>
      <c r="M25" s="30" t="s">
        <v>78</v>
      </c>
      <c r="N25" s="30" t="s">
        <v>54</v>
      </c>
      <c r="O25" s="19"/>
    </row>
    <row r="26" spans="1:18" ht="15.6">
      <c r="A26" s="19" t="s">
        <v>15</v>
      </c>
      <c r="B26" s="19">
        <v>25</v>
      </c>
      <c r="C26" s="26" t="s">
        <v>1649</v>
      </c>
      <c r="D26" s="19" t="s">
        <v>3437</v>
      </c>
      <c r="E26" s="30" t="s">
        <v>38</v>
      </c>
      <c r="F26" s="19">
        <f t="shared" si="0"/>
        <v>200</v>
      </c>
      <c r="G26" s="30"/>
      <c r="H26" s="30"/>
      <c r="I26" s="19" t="s">
        <v>3322</v>
      </c>
      <c r="J26" s="34" t="s">
        <v>3323</v>
      </c>
      <c r="K26" s="30"/>
      <c r="L26" s="30"/>
      <c r="M26" s="30" t="s">
        <v>78</v>
      </c>
      <c r="N26" s="30" t="s">
        <v>54</v>
      </c>
      <c r="P26" s="30"/>
      <c r="Q26" s="30"/>
      <c r="R26" s="30"/>
    </row>
  </sheetData>
  <phoneticPr fontId="67" type="noConversion"/>
  <conditionalFormatting sqref="D26">
    <cfRule type="duplicateValues" dxfId="40" priority="3"/>
  </conditionalFormatting>
  <conditionalFormatting sqref="D27:D1048576 D2:D15 D25 D18:D22">
    <cfRule type="duplicateValues" dxfId="39" priority="4"/>
  </conditionalFormatting>
  <conditionalFormatting sqref="G3">
    <cfRule type="duplicateValues" dxfId="38" priority="2"/>
  </conditionalFormatting>
  <conditionalFormatting sqref="H3">
    <cfRule type="duplicateValues" dxfId="37" priority="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00B050"/>
  </sheetPr>
  <dimension ref="A1:R49"/>
  <sheetViews>
    <sheetView topLeftCell="A7" zoomScaleNormal="100" workbookViewId="0">
      <selection activeCell="O22" sqref="O22"/>
    </sheetView>
  </sheetViews>
  <sheetFormatPr defaultColWidth="9" defaultRowHeight="15.6"/>
  <cols>
    <col min="1" max="1" width="7.453125" style="10" customWidth="1"/>
    <col min="2" max="2" width="4.1796875" style="10" customWidth="1"/>
    <col min="3" max="3" width="13.453125" style="10" customWidth="1"/>
    <col min="4" max="4" width="30.81640625" style="10" customWidth="1"/>
    <col min="5" max="5" width="5.08984375" style="10" customWidth="1"/>
    <col min="6" max="6" width="6.6328125" style="10" customWidth="1"/>
    <col min="7" max="7" width="24.453125" style="10" customWidth="1"/>
    <col min="8" max="8" width="21.6328125" style="10" customWidth="1"/>
    <col min="9" max="9" width="8.453125" style="10" customWidth="1"/>
    <col min="10" max="10" width="11.453125" style="7" customWidth="1"/>
    <col min="11" max="11" width="16.1796875" style="10" customWidth="1"/>
    <col min="12" max="12" width="5.26953125" style="10" customWidth="1"/>
    <col min="13" max="13" width="5.453125" style="10" customWidth="1"/>
    <col min="14" max="14" width="7.6328125" style="10" customWidth="1"/>
    <col min="15" max="15" width="19.08984375" style="10" customWidth="1"/>
    <col min="16" max="16" width="8.81640625" style="10" customWidth="1"/>
    <col min="17" max="17" width="9.1796875" style="10" customWidth="1"/>
    <col min="18" max="18" width="7.453125" style="10" customWidth="1"/>
    <col min="19" max="16384" width="9" style="10"/>
  </cols>
  <sheetData>
    <row r="1" spans="1:18" s="7"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8" t="s">
        <v>11</v>
      </c>
      <c r="B2" s="18">
        <v>1</v>
      </c>
      <c r="C2" s="18" t="s">
        <v>37</v>
      </c>
      <c r="D2" s="18" t="s">
        <v>1418</v>
      </c>
      <c r="E2" s="19" t="s">
        <v>38</v>
      </c>
      <c r="F2" s="19">
        <f>IF(E2="Char",200,8)</f>
        <v>200</v>
      </c>
      <c r="G2" s="19"/>
      <c r="H2" s="19"/>
      <c r="I2" s="19" t="s">
        <v>757</v>
      </c>
      <c r="J2" s="30" t="s">
        <v>597</v>
      </c>
      <c r="K2" s="19" t="s">
        <v>55</v>
      </c>
      <c r="L2" s="19" t="s">
        <v>39</v>
      </c>
      <c r="M2" s="18"/>
      <c r="N2" s="19"/>
      <c r="O2" s="24" t="s">
        <v>1419</v>
      </c>
      <c r="P2" s="19"/>
      <c r="Q2" s="26" t="s">
        <v>592</v>
      </c>
      <c r="R2" s="30"/>
    </row>
    <row r="3" spans="1:18">
      <c r="A3" s="18" t="s">
        <v>11</v>
      </c>
      <c r="B3" s="18">
        <v>2</v>
      </c>
      <c r="C3" s="18" t="s">
        <v>57</v>
      </c>
      <c r="D3" s="18" t="s">
        <v>1420</v>
      </c>
      <c r="E3" s="19" t="s">
        <v>38</v>
      </c>
      <c r="F3" s="19">
        <f t="shared" ref="F3:F45" si="0">IF(E3="Char",200,8)</f>
        <v>200</v>
      </c>
      <c r="G3" s="29" t="s">
        <v>3336</v>
      </c>
      <c r="H3" s="29" t="s">
        <v>618</v>
      </c>
      <c r="I3" s="30" t="s">
        <v>60</v>
      </c>
      <c r="J3" s="30" t="s">
        <v>597</v>
      </c>
      <c r="K3" s="19" t="s">
        <v>55</v>
      </c>
      <c r="L3" s="19" t="s">
        <v>39</v>
      </c>
      <c r="M3" s="18"/>
      <c r="N3" s="19" t="s">
        <v>596</v>
      </c>
      <c r="O3" s="19"/>
      <c r="P3" s="30"/>
      <c r="Q3" s="30"/>
      <c r="R3" s="30"/>
    </row>
    <row r="4" spans="1:18">
      <c r="A4" s="18" t="s">
        <v>11</v>
      </c>
      <c r="B4" s="18">
        <v>3</v>
      </c>
      <c r="C4" s="18" t="s">
        <v>41</v>
      </c>
      <c r="D4" s="18" t="s">
        <v>1421</v>
      </c>
      <c r="E4" s="19" t="s">
        <v>38</v>
      </c>
      <c r="F4" s="19">
        <f t="shared" si="0"/>
        <v>200</v>
      </c>
      <c r="G4" s="19"/>
      <c r="H4" s="19"/>
      <c r="I4" s="28" t="s">
        <v>69</v>
      </c>
      <c r="J4" s="30" t="s">
        <v>597</v>
      </c>
      <c r="K4" s="19" t="s">
        <v>55</v>
      </c>
      <c r="L4" s="19" t="s">
        <v>39</v>
      </c>
      <c r="M4" s="18"/>
      <c r="N4" s="18"/>
      <c r="O4" s="26" t="s">
        <v>1422</v>
      </c>
      <c r="P4" s="30"/>
      <c r="Q4" s="30"/>
      <c r="R4" s="26" t="s">
        <v>592</v>
      </c>
    </row>
    <row r="5" spans="1:18">
      <c r="A5" s="18" t="s">
        <v>11</v>
      </c>
      <c r="B5" s="18">
        <v>4</v>
      </c>
      <c r="C5" s="18" t="s">
        <v>424</v>
      </c>
      <c r="D5" s="18" t="s">
        <v>1423</v>
      </c>
      <c r="E5" s="19" t="s">
        <v>242</v>
      </c>
      <c r="F5" s="19">
        <f t="shared" si="0"/>
        <v>8</v>
      </c>
      <c r="G5" s="19"/>
      <c r="I5" s="30" t="s">
        <v>60</v>
      </c>
      <c r="J5" s="30" t="s">
        <v>597</v>
      </c>
      <c r="K5" s="19" t="s">
        <v>55</v>
      </c>
      <c r="L5" s="19" t="s">
        <v>39</v>
      </c>
      <c r="M5" s="19"/>
      <c r="N5" s="19"/>
      <c r="O5" s="19"/>
      <c r="P5" s="30"/>
      <c r="Q5" s="30"/>
      <c r="R5" s="30"/>
    </row>
    <row r="6" spans="1:18">
      <c r="A6" s="18" t="s">
        <v>11</v>
      </c>
      <c r="B6" s="18">
        <v>5</v>
      </c>
      <c r="C6" s="18" t="s">
        <v>425</v>
      </c>
      <c r="D6" s="18" t="s">
        <v>1586</v>
      </c>
      <c r="E6" s="19" t="s">
        <v>38</v>
      </c>
      <c r="F6" s="19">
        <f t="shared" si="0"/>
        <v>200</v>
      </c>
      <c r="G6" s="19"/>
      <c r="H6" s="105" t="s">
        <v>3933</v>
      </c>
      <c r="I6" s="19" t="s">
        <v>3322</v>
      </c>
      <c r="J6" s="34" t="s">
        <v>3323</v>
      </c>
      <c r="K6" s="19" t="s">
        <v>245</v>
      </c>
      <c r="L6" s="19" t="s">
        <v>39</v>
      </c>
      <c r="M6" s="19"/>
      <c r="N6" s="19"/>
      <c r="O6" s="19"/>
      <c r="P6" s="30"/>
      <c r="Q6" s="30"/>
      <c r="R6" s="30"/>
    </row>
    <row r="7" spans="1:18">
      <c r="A7" s="18" t="s">
        <v>11</v>
      </c>
      <c r="B7" s="18">
        <v>6</v>
      </c>
      <c r="C7" s="18" t="s">
        <v>426</v>
      </c>
      <c r="D7" s="18" t="s">
        <v>1587</v>
      </c>
      <c r="E7" s="19" t="s">
        <v>38</v>
      </c>
      <c r="F7" s="19">
        <f t="shared" si="0"/>
        <v>200</v>
      </c>
      <c r="G7" s="30"/>
      <c r="H7" s="105" t="s">
        <v>3933</v>
      </c>
      <c r="I7" s="30" t="s">
        <v>60</v>
      </c>
      <c r="J7" s="30" t="s">
        <v>597</v>
      </c>
      <c r="K7" s="19" t="s">
        <v>275</v>
      </c>
      <c r="L7" s="19" t="s">
        <v>42</v>
      </c>
      <c r="M7" s="19"/>
      <c r="N7" s="19"/>
      <c r="O7" s="19" t="s">
        <v>427</v>
      </c>
      <c r="P7" s="30"/>
      <c r="Q7" s="30"/>
      <c r="R7" s="30"/>
    </row>
    <row r="8" spans="1:18">
      <c r="A8" s="18" t="s">
        <v>11</v>
      </c>
      <c r="B8" s="18">
        <v>7</v>
      </c>
      <c r="C8" s="18" t="s">
        <v>428</v>
      </c>
      <c r="D8" s="18" t="s">
        <v>1588</v>
      </c>
      <c r="E8" s="19" t="s">
        <v>242</v>
      </c>
      <c r="F8" s="19">
        <f t="shared" si="0"/>
        <v>8</v>
      </c>
      <c r="G8" s="30"/>
      <c r="H8" s="105" t="s">
        <v>3933</v>
      </c>
      <c r="I8" s="30" t="s">
        <v>60</v>
      </c>
      <c r="J8" s="30" t="s">
        <v>597</v>
      </c>
      <c r="K8" s="19" t="s">
        <v>275</v>
      </c>
      <c r="L8" s="19" t="s">
        <v>42</v>
      </c>
      <c r="M8" s="19"/>
      <c r="N8" s="19"/>
      <c r="O8" s="19" t="s">
        <v>427</v>
      </c>
      <c r="P8" s="30"/>
      <c r="Q8" s="30"/>
      <c r="R8" s="30"/>
    </row>
    <row r="9" spans="1:18">
      <c r="A9" s="18" t="s">
        <v>11</v>
      </c>
      <c r="B9" s="18">
        <v>8</v>
      </c>
      <c r="C9" s="18" t="s">
        <v>429</v>
      </c>
      <c r="D9" s="18" t="s">
        <v>1539</v>
      </c>
      <c r="E9" s="19" t="s">
        <v>38</v>
      </c>
      <c r="F9" s="19">
        <f t="shared" si="0"/>
        <v>200</v>
      </c>
      <c r="G9" s="30"/>
      <c r="H9" s="105" t="s">
        <v>3933</v>
      </c>
      <c r="I9" s="30" t="s">
        <v>60</v>
      </c>
      <c r="J9" s="30" t="s">
        <v>597</v>
      </c>
      <c r="K9" s="19" t="s">
        <v>111</v>
      </c>
      <c r="L9" s="19" t="s">
        <v>39</v>
      </c>
      <c r="M9" s="19"/>
      <c r="N9" s="19"/>
      <c r="O9" s="19" t="s">
        <v>427</v>
      </c>
      <c r="P9" s="30"/>
      <c r="Q9" s="30"/>
      <c r="R9" s="30"/>
    </row>
    <row r="10" spans="1:18">
      <c r="A10" s="18" t="s">
        <v>11</v>
      </c>
      <c r="B10" s="18">
        <v>9</v>
      </c>
      <c r="C10" s="18" t="s">
        <v>430</v>
      </c>
      <c r="D10" s="18" t="s">
        <v>1589</v>
      </c>
      <c r="E10" s="19" t="s">
        <v>242</v>
      </c>
      <c r="F10" s="19">
        <f t="shared" si="0"/>
        <v>8</v>
      </c>
      <c r="G10" s="30"/>
      <c r="H10" s="105" t="s">
        <v>3933</v>
      </c>
      <c r="I10" s="30" t="s">
        <v>60</v>
      </c>
      <c r="J10" s="30" t="s">
        <v>597</v>
      </c>
      <c r="K10" s="19" t="s">
        <v>275</v>
      </c>
      <c r="L10" s="19" t="s">
        <v>42</v>
      </c>
      <c r="M10" s="19"/>
      <c r="N10" s="19"/>
      <c r="O10" s="19" t="s">
        <v>427</v>
      </c>
      <c r="P10" s="30"/>
      <c r="Q10" s="30"/>
      <c r="R10" s="30"/>
    </row>
    <row r="11" spans="1:18">
      <c r="A11" s="18" t="s">
        <v>11</v>
      </c>
      <c r="B11" s="18">
        <v>10</v>
      </c>
      <c r="C11" s="18" t="s">
        <v>431</v>
      </c>
      <c r="D11" s="18" t="s">
        <v>1590</v>
      </c>
      <c r="E11" s="19" t="s">
        <v>38</v>
      </c>
      <c r="F11" s="19">
        <f t="shared" si="0"/>
        <v>200</v>
      </c>
      <c r="G11" s="30"/>
      <c r="H11" s="105" t="s">
        <v>3933</v>
      </c>
      <c r="I11" s="30" t="s">
        <v>60</v>
      </c>
      <c r="J11" s="30" t="s">
        <v>597</v>
      </c>
      <c r="K11" s="19" t="s">
        <v>275</v>
      </c>
      <c r="L11" s="19" t="s">
        <v>42</v>
      </c>
      <c r="M11" s="19"/>
      <c r="N11" s="19"/>
      <c r="O11" s="19" t="s">
        <v>427</v>
      </c>
      <c r="P11" s="30"/>
      <c r="Q11" s="30"/>
      <c r="R11" s="30"/>
    </row>
    <row r="12" spans="1:18">
      <c r="A12" s="18" t="s">
        <v>11</v>
      </c>
      <c r="B12" s="18">
        <v>11</v>
      </c>
      <c r="C12" s="18" t="s">
        <v>432</v>
      </c>
      <c r="D12" s="18" t="s">
        <v>1591</v>
      </c>
      <c r="E12" s="19" t="s">
        <v>242</v>
      </c>
      <c r="F12" s="19">
        <f t="shared" si="0"/>
        <v>8</v>
      </c>
      <c r="G12" s="30"/>
      <c r="H12" s="105" t="s">
        <v>3933</v>
      </c>
      <c r="I12" s="30" t="s">
        <v>60</v>
      </c>
      <c r="J12" s="30" t="s">
        <v>597</v>
      </c>
      <c r="K12" s="19" t="s">
        <v>275</v>
      </c>
      <c r="L12" s="19" t="s">
        <v>42</v>
      </c>
      <c r="M12" s="19"/>
      <c r="N12" s="19"/>
      <c r="O12" s="19" t="s">
        <v>427</v>
      </c>
      <c r="P12" s="30"/>
      <c r="Q12" s="30"/>
      <c r="R12" s="30"/>
    </row>
    <row r="13" spans="1:18">
      <c r="A13" s="18" t="s">
        <v>11</v>
      </c>
      <c r="B13" s="18">
        <v>12</v>
      </c>
      <c r="C13" s="18" t="s">
        <v>433</v>
      </c>
      <c r="D13" s="18" t="s">
        <v>1592</v>
      </c>
      <c r="E13" s="19" t="s">
        <v>38</v>
      </c>
      <c r="F13" s="19">
        <f t="shared" si="0"/>
        <v>200</v>
      </c>
      <c r="G13" s="30"/>
      <c r="H13" s="105" t="s">
        <v>3933</v>
      </c>
      <c r="I13" s="30" t="s">
        <v>60</v>
      </c>
      <c r="J13" s="30" t="s">
        <v>597</v>
      </c>
      <c r="K13" s="19" t="s">
        <v>275</v>
      </c>
      <c r="L13" s="19" t="s">
        <v>42</v>
      </c>
      <c r="M13" s="19"/>
      <c r="N13" s="19"/>
      <c r="O13" s="19" t="s">
        <v>427</v>
      </c>
      <c r="P13" s="30"/>
      <c r="Q13" s="30"/>
      <c r="R13" s="30"/>
    </row>
    <row r="14" spans="1:18">
      <c r="A14" s="18" t="s">
        <v>11</v>
      </c>
      <c r="B14" s="18">
        <v>13</v>
      </c>
      <c r="C14" s="18" t="s">
        <v>434</v>
      </c>
      <c r="D14" s="18" t="s">
        <v>1593</v>
      </c>
      <c r="E14" s="19" t="s">
        <v>242</v>
      </c>
      <c r="F14" s="19">
        <f t="shared" si="0"/>
        <v>8</v>
      </c>
      <c r="G14" s="30"/>
      <c r="H14" s="105" t="s">
        <v>3933</v>
      </c>
      <c r="I14" s="30" t="s">
        <v>60</v>
      </c>
      <c r="J14" s="30" t="s">
        <v>597</v>
      </c>
      <c r="K14" s="19" t="s">
        <v>275</v>
      </c>
      <c r="L14" s="19" t="s">
        <v>42</v>
      </c>
      <c r="M14" s="19"/>
      <c r="N14" s="19"/>
      <c r="O14" s="19" t="s">
        <v>427</v>
      </c>
      <c r="P14" s="30"/>
      <c r="Q14" s="30"/>
      <c r="R14" s="30"/>
    </row>
    <row r="15" spans="1:18">
      <c r="A15" s="18" t="s">
        <v>11</v>
      </c>
      <c r="B15" s="18">
        <v>14</v>
      </c>
      <c r="C15" s="18" t="s">
        <v>435</v>
      </c>
      <c r="D15" s="18" t="s">
        <v>1540</v>
      </c>
      <c r="E15" s="19" t="s">
        <v>38</v>
      </c>
      <c r="F15" s="19">
        <f t="shared" si="0"/>
        <v>200</v>
      </c>
      <c r="G15" s="19"/>
      <c r="H15" s="105" t="s">
        <v>3933</v>
      </c>
      <c r="I15" s="30" t="s">
        <v>60</v>
      </c>
      <c r="J15" s="30" t="s">
        <v>597</v>
      </c>
      <c r="K15" s="19" t="s">
        <v>115</v>
      </c>
      <c r="L15" s="19" t="s">
        <v>42</v>
      </c>
      <c r="M15" s="19"/>
      <c r="N15" s="19"/>
      <c r="O15" s="19"/>
      <c r="P15" s="30"/>
      <c r="Q15" s="30"/>
      <c r="R15" s="30"/>
    </row>
    <row r="16" spans="1:18">
      <c r="A16" s="18" t="s">
        <v>11</v>
      </c>
      <c r="B16" s="18">
        <v>15</v>
      </c>
      <c r="C16" s="18" t="s">
        <v>436</v>
      </c>
      <c r="D16" s="18" t="s">
        <v>1594</v>
      </c>
      <c r="E16" s="19" t="s">
        <v>242</v>
      </c>
      <c r="F16" s="19">
        <f t="shared" si="0"/>
        <v>8</v>
      </c>
      <c r="G16" s="30"/>
      <c r="H16" s="105" t="s">
        <v>3933</v>
      </c>
      <c r="I16" s="30" t="s">
        <v>60</v>
      </c>
      <c r="J16" s="30" t="s">
        <v>597</v>
      </c>
      <c r="K16" s="19" t="s">
        <v>275</v>
      </c>
      <c r="L16" s="19" t="s">
        <v>42</v>
      </c>
      <c r="M16" s="19"/>
      <c r="N16" s="19"/>
      <c r="O16" s="19" t="s">
        <v>427</v>
      </c>
      <c r="P16" s="30"/>
      <c r="Q16" s="30"/>
      <c r="R16" s="30"/>
    </row>
    <row r="17" spans="1:18">
      <c r="A17" s="18" t="s">
        <v>11</v>
      </c>
      <c r="B17" s="18">
        <v>16</v>
      </c>
      <c r="C17" s="18" t="s">
        <v>437</v>
      </c>
      <c r="D17" s="18" t="s">
        <v>1595</v>
      </c>
      <c r="E17" s="19" t="s">
        <v>38</v>
      </c>
      <c r="F17" s="19">
        <f t="shared" si="0"/>
        <v>200</v>
      </c>
      <c r="G17" s="30"/>
      <c r="H17" s="105" t="s">
        <v>3933</v>
      </c>
      <c r="I17" s="30" t="s">
        <v>60</v>
      </c>
      <c r="J17" s="30" t="s">
        <v>597</v>
      </c>
      <c r="K17" s="19" t="s">
        <v>275</v>
      </c>
      <c r="L17" s="19" t="s">
        <v>42</v>
      </c>
      <c r="M17" s="19"/>
      <c r="N17" s="19"/>
      <c r="O17" s="19" t="s">
        <v>427</v>
      </c>
      <c r="P17" s="30"/>
      <c r="Q17" s="30"/>
      <c r="R17" s="30"/>
    </row>
    <row r="18" spans="1:18">
      <c r="A18" s="18" t="s">
        <v>11</v>
      </c>
      <c r="B18" s="18">
        <v>17</v>
      </c>
      <c r="C18" s="18" t="s">
        <v>438</v>
      </c>
      <c r="D18" s="18" t="s">
        <v>1596</v>
      </c>
      <c r="E18" s="19" t="s">
        <v>242</v>
      </c>
      <c r="F18" s="19">
        <f t="shared" si="0"/>
        <v>8</v>
      </c>
      <c r="G18" s="30"/>
      <c r="H18" s="105" t="s">
        <v>3933</v>
      </c>
      <c r="I18" s="30" t="s">
        <v>60</v>
      </c>
      <c r="J18" s="30" t="s">
        <v>597</v>
      </c>
      <c r="K18" s="19" t="s">
        <v>275</v>
      </c>
      <c r="L18" s="19" t="s">
        <v>42</v>
      </c>
      <c r="M18" s="19"/>
      <c r="N18" s="19"/>
      <c r="O18" s="19" t="s">
        <v>427</v>
      </c>
      <c r="P18" s="30"/>
      <c r="Q18" s="30"/>
      <c r="R18" s="30"/>
    </row>
    <row r="19" spans="1:18">
      <c r="A19" s="18" t="s">
        <v>11</v>
      </c>
      <c r="B19" s="18">
        <v>18</v>
      </c>
      <c r="C19" s="18" t="s">
        <v>439</v>
      </c>
      <c r="D19" s="18" t="s">
        <v>1597</v>
      </c>
      <c r="E19" s="19" t="s">
        <v>38</v>
      </c>
      <c r="F19" s="19">
        <f t="shared" si="0"/>
        <v>200</v>
      </c>
      <c r="G19" s="19" t="s">
        <v>274</v>
      </c>
      <c r="H19" s="19" t="s">
        <v>1053</v>
      </c>
      <c r="I19" s="19" t="s">
        <v>3322</v>
      </c>
      <c r="J19" s="34" t="s">
        <v>3323</v>
      </c>
      <c r="K19" s="19" t="s">
        <v>115</v>
      </c>
      <c r="L19" s="19" t="s">
        <v>42</v>
      </c>
      <c r="M19" s="19"/>
      <c r="N19" s="19"/>
      <c r="O19" s="19"/>
      <c r="P19" s="30"/>
      <c r="Q19" s="30"/>
      <c r="R19" s="30"/>
    </row>
    <row r="20" spans="1:18" s="16" customFormat="1">
      <c r="A20" s="18" t="s">
        <v>11</v>
      </c>
      <c r="B20" s="18">
        <v>19</v>
      </c>
      <c r="C20" s="35" t="s">
        <v>685</v>
      </c>
      <c r="D20" s="35" t="s">
        <v>1598</v>
      </c>
      <c r="E20" s="29" t="s">
        <v>38</v>
      </c>
      <c r="F20" s="19">
        <f t="shared" si="0"/>
        <v>200</v>
      </c>
      <c r="G20" s="29" t="s">
        <v>440</v>
      </c>
      <c r="H20" s="29" t="s">
        <v>3332</v>
      </c>
      <c r="I20" s="19" t="s">
        <v>3322</v>
      </c>
      <c r="J20" s="34" t="s">
        <v>3323</v>
      </c>
      <c r="K20" s="29" t="s">
        <v>115</v>
      </c>
      <c r="L20" s="29" t="s">
        <v>42</v>
      </c>
      <c r="M20" s="29"/>
      <c r="N20" s="29"/>
      <c r="O20" s="29"/>
      <c r="P20" s="34"/>
      <c r="Q20" s="34"/>
      <c r="R20" s="34"/>
    </row>
    <row r="21" spans="1:18" s="16" customFormat="1">
      <c r="A21" s="18" t="s">
        <v>11</v>
      </c>
      <c r="B21" s="18">
        <v>20</v>
      </c>
      <c r="C21" s="35" t="s">
        <v>441</v>
      </c>
      <c r="D21" s="35" t="s">
        <v>1599</v>
      </c>
      <c r="E21" s="19" t="s">
        <v>38</v>
      </c>
      <c r="F21" s="19">
        <f t="shared" si="0"/>
        <v>200</v>
      </c>
      <c r="G21" s="29"/>
      <c r="H21" s="29"/>
      <c r="I21" s="19" t="s">
        <v>3322</v>
      </c>
      <c r="J21" s="34" t="s">
        <v>3323</v>
      </c>
      <c r="K21" s="29"/>
      <c r="L21" s="29"/>
      <c r="M21" s="29" t="s">
        <v>78</v>
      </c>
      <c r="N21" s="29"/>
      <c r="O21" s="29"/>
      <c r="P21" s="34"/>
      <c r="Q21" s="34"/>
      <c r="R21" s="34"/>
    </row>
    <row r="22" spans="1:18" s="16" customFormat="1">
      <c r="A22" s="18" t="s">
        <v>11</v>
      </c>
      <c r="B22" s="18">
        <v>21</v>
      </c>
      <c r="C22" s="35" t="s">
        <v>442</v>
      </c>
      <c r="D22" s="35" t="s">
        <v>1600</v>
      </c>
      <c r="E22" s="29" t="s">
        <v>38</v>
      </c>
      <c r="F22" s="19">
        <f t="shared" ref="F22:F23" si="1">IF(E22="Char",200,8)</f>
        <v>200</v>
      </c>
      <c r="G22" s="29"/>
      <c r="H22" s="29"/>
      <c r="I22" s="19" t="s">
        <v>3322</v>
      </c>
      <c r="J22" s="34" t="s">
        <v>3323</v>
      </c>
      <c r="K22" s="29"/>
      <c r="L22" s="29"/>
      <c r="M22" s="29" t="s">
        <v>78</v>
      </c>
      <c r="N22" s="29"/>
      <c r="O22" s="29"/>
      <c r="P22" s="34"/>
      <c r="Q22" s="34"/>
      <c r="R22" s="34"/>
    </row>
    <row r="23" spans="1:18" s="16" customFormat="1">
      <c r="A23" s="18" t="s">
        <v>11</v>
      </c>
      <c r="B23" s="18">
        <v>22</v>
      </c>
      <c r="C23" s="35" t="s">
        <v>690</v>
      </c>
      <c r="D23" s="35" t="s">
        <v>1601</v>
      </c>
      <c r="E23" s="29" t="s">
        <v>38</v>
      </c>
      <c r="F23" s="19">
        <f t="shared" si="1"/>
        <v>200</v>
      </c>
      <c r="G23" s="29"/>
      <c r="H23" s="29"/>
      <c r="I23" s="19" t="s">
        <v>3322</v>
      </c>
      <c r="J23" s="34" t="s">
        <v>3323</v>
      </c>
      <c r="K23" s="29"/>
      <c r="L23" s="29"/>
      <c r="M23" s="29" t="s">
        <v>78</v>
      </c>
      <c r="N23" s="29"/>
      <c r="O23" s="29"/>
      <c r="P23" s="34"/>
      <c r="Q23" s="34"/>
      <c r="R23" s="34"/>
    </row>
    <row r="24" spans="1:18" s="16" customFormat="1">
      <c r="A24" s="18" t="s">
        <v>11</v>
      </c>
      <c r="B24" s="18">
        <v>23</v>
      </c>
      <c r="C24" s="35" t="s">
        <v>443</v>
      </c>
      <c r="D24" s="35" t="s">
        <v>1602</v>
      </c>
      <c r="E24" s="29" t="s">
        <v>38</v>
      </c>
      <c r="F24" s="19">
        <f t="shared" si="0"/>
        <v>200</v>
      </c>
      <c r="G24" s="29"/>
      <c r="H24" s="29" t="s">
        <v>3331</v>
      </c>
      <c r="I24" s="19" t="s">
        <v>3322</v>
      </c>
      <c r="J24" s="34" t="s">
        <v>3323</v>
      </c>
      <c r="K24" s="29"/>
      <c r="L24" s="29"/>
      <c r="M24" s="29" t="s">
        <v>78</v>
      </c>
      <c r="N24" s="29"/>
      <c r="O24" s="29"/>
      <c r="P24" s="34"/>
      <c r="Q24" s="34"/>
      <c r="R24" s="34"/>
    </row>
    <row r="25" spans="1:18">
      <c r="A25" s="18" t="s">
        <v>11</v>
      </c>
      <c r="B25" s="18">
        <v>24</v>
      </c>
      <c r="C25" s="18" t="s">
        <v>444</v>
      </c>
      <c r="D25" s="18" t="s">
        <v>3438</v>
      </c>
      <c r="E25" s="19" t="s">
        <v>38</v>
      </c>
      <c r="F25" s="19">
        <f t="shared" si="0"/>
        <v>200</v>
      </c>
      <c r="G25" s="19"/>
      <c r="H25" s="29" t="s">
        <v>3333</v>
      </c>
      <c r="I25" s="19" t="s">
        <v>3322</v>
      </c>
      <c r="J25" s="34" t="s">
        <v>3323</v>
      </c>
      <c r="K25" s="19" t="s">
        <v>115</v>
      </c>
      <c r="L25" s="19" t="s">
        <v>42</v>
      </c>
      <c r="M25" s="19"/>
      <c r="N25" s="19"/>
      <c r="O25" s="19"/>
      <c r="P25" s="30"/>
      <c r="Q25" s="30"/>
      <c r="R25" s="30"/>
    </row>
    <row r="26" spans="1:18">
      <c r="A26" s="18" t="s">
        <v>11</v>
      </c>
      <c r="B26" s="18">
        <v>25</v>
      </c>
      <c r="C26" s="18" t="s">
        <v>445</v>
      </c>
      <c r="D26" s="18" t="s">
        <v>1603</v>
      </c>
      <c r="E26" s="19" t="s">
        <v>38</v>
      </c>
      <c r="F26" s="19">
        <f t="shared" si="0"/>
        <v>200</v>
      </c>
      <c r="G26" s="19" t="s">
        <v>446</v>
      </c>
      <c r="H26" s="19" t="s">
        <v>3329</v>
      </c>
      <c r="I26" s="19" t="s">
        <v>3322</v>
      </c>
      <c r="J26" s="34" t="s">
        <v>3323</v>
      </c>
      <c r="K26" s="19" t="s">
        <v>115</v>
      </c>
      <c r="L26" s="19" t="s">
        <v>49</v>
      </c>
      <c r="M26" s="19"/>
      <c r="N26" s="19"/>
      <c r="O26" s="19"/>
      <c r="P26" s="30"/>
      <c r="Q26" s="30"/>
      <c r="R26" s="30"/>
    </row>
    <row r="27" spans="1:18">
      <c r="A27" s="18" t="s">
        <v>11</v>
      </c>
      <c r="B27" s="18">
        <v>26</v>
      </c>
      <c r="C27" s="30" t="s">
        <v>793</v>
      </c>
      <c r="D27" s="47" t="s">
        <v>3330</v>
      </c>
      <c r="E27" s="19" t="s">
        <v>38</v>
      </c>
      <c r="F27" s="19">
        <f t="shared" ref="F27" si="2">IF(E27="Char",2000,8)</f>
        <v>2000</v>
      </c>
      <c r="G27" s="19" t="s">
        <v>274</v>
      </c>
      <c r="H27" s="19" t="s">
        <v>1053</v>
      </c>
      <c r="I27" s="19" t="s">
        <v>3322</v>
      </c>
      <c r="J27" s="34" t="s">
        <v>3323</v>
      </c>
      <c r="K27" s="30" t="s">
        <v>115</v>
      </c>
      <c r="L27" s="19" t="s">
        <v>49</v>
      </c>
      <c r="M27" s="19"/>
      <c r="N27" s="19"/>
      <c r="O27" s="19"/>
      <c r="P27" s="30"/>
      <c r="Q27" s="30"/>
      <c r="R27" s="30"/>
    </row>
    <row r="28" spans="1:18">
      <c r="A28" s="18" t="s">
        <v>11</v>
      </c>
      <c r="B28" s="18">
        <v>27</v>
      </c>
      <c r="C28" s="18" t="s">
        <v>792</v>
      </c>
      <c r="D28" s="18" t="s">
        <v>1604</v>
      </c>
      <c r="E28" s="19" t="s">
        <v>38</v>
      </c>
      <c r="F28" s="19">
        <f t="shared" ref="F28:F32" si="3">IF(E28="Char",2000,8)</f>
        <v>2000</v>
      </c>
      <c r="G28" s="19" t="s">
        <v>274</v>
      </c>
      <c r="H28" s="19" t="s">
        <v>1053</v>
      </c>
      <c r="I28" s="19" t="s">
        <v>3322</v>
      </c>
      <c r="J28" s="34" t="s">
        <v>3323</v>
      </c>
      <c r="K28" s="30" t="s">
        <v>115</v>
      </c>
      <c r="L28" s="19" t="s">
        <v>49</v>
      </c>
      <c r="M28" s="19"/>
      <c r="N28" s="19"/>
      <c r="O28" s="19"/>
      <c r="P28" s="30"/>
      <c r="Q28" s="30"/>
      <c r="R28" s="30"/>
    </row>
    <row r="29" spans="1:18">
      <c r="A29" s="18" t="s">
        <v>11</v>
      </c>
      <c r="B29" s="18">
        <v>28</v>
      </c>
      <c r="C29" s="18" t="s">
        <v>794</v>
      </c>
      <c r="D29" s="18" t="s">
        <v>1605</v>
      </c>
      <c r="E29" s="19" t="s">
        <v>38</v>
      </c>
      <c r="F29" s="19">
        <f t="shared" si="3"/>
        <v>2000</v>
      </c>
      <c r="G29" s="19" t="s">
        <v>274</v>
      </c>
      <c r="H29" s="19" t="s">
        <v>1053</v>
      </c>
      <c r="I29" s="19" t="s">
        <v>3322</v>
      </c>
      <c r="J29" s="34" t="s">
        <v>3323</v>
      </c>
      <c r="K29" s="30" t="s">
        <v>115</v>
      </c>
      <c r="L29" s="19" t="s">
        <v>49</v>
      </c>
      <c r="M29" s="19"/>
      <c r="N29" s="19"/>
      <c r="O29" s="19"/>
      <c r="P29" s="30"/>
      <c r="Q29" s="30"/>
      <c r="R29" s="30"/>
    </row>
    <row r="30" spans="1:18">
      <c r="A30" s="18" t="s">
        <v>11</v>
      </c>
      <c r="B30" s="18">
        <v>29</v>
      </c>
      <c r="C30" s="18" t="s">
        <v>795</v>
      </c>
      <c r="D30" s="18" t="s">
        <v>1606</v>
      </c>
      <c r="E30" s="19" t="s">
        <v>38</v>
      </c>
      <c r="F30" s="19">
        <f t="shared" si="3"/>
        <v>2000</v>
      </c>
      <c r="G30" s="19" t="s">
        <v>274</v>
      </c>
      <c r="H30" s="19" t="s">
        <v>1053</v>
      </c>
      <c r="I30" s="19" t="s">
        <v>3322</v>
      </c>
      <c r="J30" s="34" t="s">
        <v>3323</v>
      </c>
      <c r="K30" s="30" t="s">
        <v>115</v>
      </c>
      <c r="L30" s="19" t="s">
        <v>49</v>
      </c>
      <c r="M30" s="19"/>
      <c r="N30" s="19"/>
      <c r="O30" s="19"/>
      <c r="P30" s="30"/>
      <c r="Q30" s="30"/>
      <c r="R30" s="30"/>
    </row>
    <row r="31" spans="1:18">
      <c r="A31" s="18" t="s">
        <v>11</v>
      </c>
      <c r="B31" s="18">
        <v>30</v>
      </c>
      <c r="C31" s="18" t="s">
        <v>796</v>
      </c>
      <c r="D31" s="18" t="s">
        <v>1607</v>
      </c>
      <c r="E31" s="19" t="s">
        <v>38</v>
      </c>
      <c r="F31" s="19">
        <f t="shared" si="3"/>
        <v>2000</v>
      </c>
      <c r="G31" s="19" t="s">
        <v>274</v>
      </c>
      <c r="H31" s="19" t="s">
        <v>1053</v>
      </c>
      <c r="I31" s="19" t="s">
        <v>3322</v>
      </c>
      <c r="J31" s="34" t="s">
        <v>3323</v>
      </c>
      <c r="K31" s="30" t="s">
        <v>115</v>
      </c>
      <c r="L31" s="19" t="s">
        <v>49</v>
      </c>
      <c r="M31" s="19"/>
      <c r="N31" s="19"/>
      <c r="O31" s="19"/>
      <c r="P31" s="30"/>
      <c r="Q31" s="30"/>
      <c r="R31" s="30"/>
    </row>
    <row r="32" spans="1:18">
      <c r="A32" s="18" t="s">
        <v>11</v>
      </c>
      <c r="B32" s="18">
        <v>31</v>
      </c>
      <c r="C32" s="18" t="s">
        <v>797</v>
      </c>
      <c r="D32" s="18" t="s">
        <v>1608</v>
      </c>
      <c r="E32" s="19" t="s">
        <v>38</v>
      </c>
      <c r="F32" s="19">
        <f t="shared" si="3"/>
        <v>2000</v>
      </c>
      <c r="G32" s="19" t="s">
        <v>274</v>
      </c>
      <c r="H32" s="19" t="s">
        <v>1053</v>
      </c>
      <c r="I32" s="19" t="s">
        <v>3322</v>
      </c>
      <c r="J32" s="34" t="s">
        <v>3323</v>
      </c>
      <c r="K32" s="30" t="s">
        <v>115</v>
      </c>
      <c r="L32" s="19" t="s">
        <v>49</v>
      </c>
      <c r="M32" s="19"/>
      <c r="N32" s="19"/>
      <c r="O32" s="19"/>
      <c r="P32" s="30"/>
      <c r="Q32" s="30"/>
      <c r="R32" s="30"/>
    </row>
    <row r="33" spans="1:18">
      <c r="A33" s="18" t="s">
        <v>11</v>
      </c>
      <c r="B33" s="18">
        <v>32</v>
      </c>
      <c r="C33" s="30" t="s">
        <v>1858</v>
      </c>
      <c r="D33" s="30" t="s">
        <v>1609</v>
      </c>
      <c r="E33" s="30" t="s">
        <v>38</v>
      </c>
      <c r="F33" s="19">
        <f t="shared" ref="F33" si="4">IF(E33="Char",200,8)</f>
        <v>200</v>
      </c>
      <c r="G33" s="30"/>
      <c r="H33" s="30"/>
      <c r="I33" s="19" t="s">
        <v>3322</v>
      </c>
      <c r="J33" s="34" t="s">
        <v>3323</v>
      </c>
      <c r="K33" s="30"/>
      <c r="L33" s="30"/>
      <c r="M33" s="30" t="s">
        <v>78</v>
      </c>
      <c r="N33" s="30"/>
      <c r="O33" s="30"/>
      <c r="P33" s="30"/>
      <c r="Q33" s="30"/>
      <c r="R33" s="30"/>
    </row>
    <row r="34" spans="1:18">
      <c r="A34" s="18" t="s">
        <v>11</v>
      </c>
      <c r="B34" s="18">
        <v>33</v>
      </c>
      <c r="C34" s="18" t="s">
        <v>605</v>
      </c>
      <c r="D34" s="18" t="s">
        <v>1610</v>
      </c>
      <c r="E34" s="19" t="s">
        <v>38</v>
      </c>
      <c r="F34" s="19">
        <f t="shared" si="0"/>
        <v>200</v>
      </c>
      <c r="G34" s="19"/>
      <c r="H34" s="19"/>
      <c r="I34" s="19" t="s">
        <v>3322</v>
      </c>
      <c r="J34" s="34" t="s">
        <v>3323</v>
      </c>
      <c r="K34" s="19" t="s">
        <v>115</v>
      </c>
      <c r="L34" s="19" t="s">
        <v>49</v>
      </c>
      <c r="M34" s="19"/>
      <c r="N34" s="19"/>
      <c r="O34" s="19"/>
      <c r="P34" s="30"/>
      <c r="Q34" s="30"/>
      <c r="R34" s="30"/>
    </row>
    <row r="35" spans="1:18" s="12" customFormat="1">
      <c r="A35" s="18" t="s">
        <v>11</v>
      </c>
      <c r="B35" s="18">
        <v>34</v>
      </c>
      <c r="C35" s="28" t="s">
        <v>260</v>
      </c>
      <c r="D35" s="28" t="s">
        <v>1437</v>
      </c>
      <c r="E35" s="28" t="s">
        <v>38</v>
      </c>
      <c r="F35" s="25">
        <f t="shared" si="0"/>
        <v>200</v>
      </c>
      <c r="G35" s="28" t="s">
        <v>598</v>
      </c>
      <c r="H35" s="28" t="s">
        <v>260</v>
      </c>
      <c r="I35" s="28" t="s">
        <v>69</v>
      </c>
      <c r="J35" s="30" t="s">
        <v>597</v>
      </c>
      <c r="K35" s="28" t="s">
        <v>258</v>
      </c>
      <c r="L35" s="28" t="s">
        <v>49</v>
      </c>
      <c r="M35" s="28"/>
      <c r="N35" s="28"/>
      <c r="O35" s="28" t="s">
        <v>1438</v>
      </c>
      <c r="P35" s="28"/>
      <c r="Q35" s="28"/>
      <c r="R35" s="26" t="s">
        <v>592</v>
      </c>
    </row>
    <row r="36" spans="1:18">
      <c r="A36" s="18" t="s">
        <v>11</v>
      </c>
      <c r="B36" s="18">
        <v>35</v>
      </c>
      <c r="C36" s="18" t="s">
        <v>447</v>
      </c>
      <c r="D36" s="18" t="s">
        <v>1567</v>
      </c>
      <c r="E36" s="19" t="s">
        <v>38</v>
      </c>
      <c r="F36" s="19">
        <f t="shared" si="0"/>
        <v>200</v>
      </c>
      <c r="G36" s="19"/>
      <c r="H36" s="19"/>
      <c r="I36" s="19" t="s">
        <v>3322</v>
      </c>
      <c r="J36" s="34" t="s">
        <v>3323</v>
      </c>
      <c r="K36" s="19" t="s">
        <v>258</v>
      </c>
      <c r="L36" s="19" t="s">
        <v>42</v>
      </c>
      <c r="M36" s="19"/>
      <c r="N36" s="19"/>
      <c r="O36" s="19"/>
      <c r="P36" s="30"/>
      <c r="Q36" s="30"/>
      <c r="R36" s="30"/>
    </row>
    <row r="37" spans="1:18">
      <c r="A37" s="18" t="s">
        <v>11</v>
      </c>
      <c r="B37" s="18">
        <v>36</v>
      </c>
      <c r="C37" s="18" t="s">
        <v>448</v>
      </c>
      <c r="D37" s="18" t="s">
        <v>1611</v>
      </c>
      <c r="E37" s="19" t="s">
        <v>38</v>
      </c>
      <c r="F37" s="19">
        <f t="shared" si="0"/>
        <v>200</v>
      </c>
      <c r="G37" s="19"/>
      <c r="H37" s="19"/>
      <c r="I37" s="19" t="s">
        <v>3322</v>
      </c>
      <c r="J37" s="34" t="s">
        <v>3323</v>
      </c>
      <c r="K37" s="19" t="s">
        <v>258</v>
      </c>
      <c r="L37" s="19" t="s">
        <v>42</v>
      </c>
      <c r="M37" s="19"/>
      <c r="N37" s="19"/>
      <c r="O37" s="19"/>
      <c r="P37" s="30"/>
      <c r="Q37" s="30"/>
      <c r="R37" s="30"/>
    </row>
    <row r="38" spans="1:18">
      <c r="A38" s="18" t="s">
        <v>11</v>
      </c>
      <c r="B38" s="18">
        <v>37</v>
      </c>
      <c r="C38" s="18" t="s">
        <v>449</v>
      </c>
      <c r="D38" s="18" t="s">
        <v>1568</v>
      </c>
      <c r="E38" s="19" t="s">
        <v>242</v>
      </c>
      <c r="F38" s="19">
        <f t="shared" si="0"/>
        <v>8</v>
      </c>
      <c r="G38" s="19"/>
      <c r="H38" s="19"/>
      <c r="I38" s="30" t="s">
        <v>69</v>
      </c>
      <c r="J38" s="30" t="s">
        <v>597</v>
      </c>
      <c r="K38" s="19" t="s">
        <v>258</v>
      </c>
      <c r="L38" s="19" t="s">
        <v>49</v>
      </c>
      <c r="M38" s="19"/>
      <c r="N38" s="19"/>
      <c r="O38" s="19" t="s">
        <v>3919</v>
      </c>
      <c r="P38" s="30"/>
      <c r="Q38" s="30"/>
      <c r="R38" s="26" t="s">
        <v>592</v>
      </c>
    </row>
    <row r="39" spans="1:18">
      <c r="A39" s="18" t="s">
        <v>11</v>
      </c>
      <c r="B39" s="18">
        <v>38</v>
      </c>
      <c r="C39" s="18" t="s">
        <v>1521</v>
      </c>
      <c r="D39" s="18" t="s">
        <v>1569</v>
      </c>
      <c r="E39" s="19" t="s">
        <v>242</v>
      </c>
      <c r="F39" s="19">
        <f t="shared" si="0"/>
        <v>8</v>
      </c>
      <c r="G39" s="19"/>
      <c r="H39" s="19"/>
      <c r="I39" s="30" t="s">
        <v>69</v>
      </c>
      <c r="J39" s="30" t="s">
        <v>597</v>
      </c>
      <c r="K39" s="19" t="s">
        <v>258</v>
      </c>
      <c r="L39" s="19" t="s">
        <v>49</v>
      </c>
      <c r="M39" s="19"/>
      <c r="N39" s="19"/>
      <c r="O39" s="19" t="s">
        <v>3919</v>
      </c>
      <c r="P39" s="30"/>
      <c r="Q39" s="30"/>
      <c r="R39" s="26" t="s">
        <v>592</v>
      </c>
    </row>
    <row r="40" spans="1:18">
      <c r="A40" s="18" t="s">
        <v>11</v>
      </c>
      <c r="B40" s="18">
        <v>39</v>
      </c>
      <c r="C40" s="32" t="s">
        <v>1525</v>
      </c>
      <c r="D40" s="18" t="s">
        <v>1550</v>
      </c>
      <c r="E40" s="19" t="s">
        <v>38</v>
      </c>
      <c r="F40" s="19">
        <f t="shared" ref="F40" si="5">IF(E40="Char",200,8)</f>
        <v>200</v>
      </c>
      <c r="G40" s="19" t="s">
        <v>1519</v>
      </c>
      <c r="H40" s="19" t="s">
        <v>1520</v>
      </c>
      <c r="I40" s="28" t="s">
        <v>69</v>
      </c>
      <c r="J40" s="30" t="s">
        <v>597</v>
      </c>
      <c r="K40" s="32" t="s">
        <v>258</v>
      </c>
      <c r="L40" s="32" t="s">
        <v>49</v>
      </c>
      <c r="M40" s="19"/>
      <c r="N40" s="19"/>
      <c r="O40" s="18" t="s">
        <v>1550</v>
      </c>
      <c r="P40" s="30"/>
      <c r="Q40" s="30"/>
      <c r="R40" s="26" t="s">
        <v>592</v>
      </c>
    </row>
    <row r="41" spans="1:18">
      <c r="A41" s="18" t="s">
        <v>11</v>
      </c>
      <c r="B41" s="18">
        <v>40</v>
      </c>
      <c r="C41" s="18" t="s">
        <v>1523</v>
      </c>
      <c r="D41" s="18" t="s">
        <v>1551</v>
      </c>
      <c r="E41" s="19" t="s">
        <v>38</v>
      </c>
      <c r="F41" s="19">
        <f t="shared" si="0"/>
        <v>200</v>
      </c>
      <c r="G41" s="19" t="s">
        <v>1519</v>
      </c>
      <c r="H41" s="19" t="s">
        <v>1520</v>
      </c>
      <c r="I41" s="28" t="s">
        <v>69</v>
      </c>
      <c r="J41" s="30" t="s">
        <v>597</v>
      </c>
      <c r="K41" s="32" t="s">
        <v>258</v>
      </c>
      <c r="L41" s="32" t="s">
        <v>49</v>
      </c>
      <c r="M41" s="19"/>
      <c r="N41" s="19"/>
      <c r="O41" s="18" t="s">
        <v>1551</v>
      </c>
      <c r="P41" s="30"/>
      <c r="Q41" s="30"/>
      <c r="R41" s="26" t="s">
        <v>592</v>
      </c>
    </row>
    <row r="42" spans="1:18">
      <c r="A42" s="18" t="s">
        <v>11</v>
      </c>
      <c r="B42" s="18">
        <v>41</v>
      </c>
      <c r="C42" s="18" t="s">
        <v>1522</v>
      </c>
      <c r="D42" s="18" t="s">
        <v>1542</v>
      </c>
      <c r="E42" s="19" t="s">
        <v>38</v>
      </c>
      <c r="F42" s="19">
        <f t="shared" si="0"/>
        <v>200</v>
      </c>
      <c r="G42" s="19"/>
      <c r="H42" s="19"/>
      <c r="I42" s="28" t="s">
        <v>69</v>
      </c>
      <c r="J42" s="30" t="s">
        <v>597</v>
      </c>
      <c r="K42" s="32" t="s">
        <v>258</v>
      </c>
      <c r="L42" s="32" t="s">
        <v>49</v>
      </c>
      <c r="M42" s="19"/>
      <c r="N42" s="19"/>
      <c r="O42" s="19" t="s">
        <v>1543</v>
      </c>
      <c r="P42" s="30"/>
      <c r="Q42" s="30"/>
      <c r="R42" s="26" t="s">
        <v>592</v>
      </c>
    </row>
    <row r="43" spans="1:18">
      <c r="A43" s="18" t="s">
        <v>11</v>
      </c>
      <c r="B43" s="18">
        <v>42</v>
      </c>
      <c r="C43" s="30" t="s">
        <v>686</v>
      </c>
      <c r="D43" s="30" t="s">
        <v>1612</v>
      </c>
      <c r="E43" s="30" t="s">
        <v>38</v>
      </c>
      <c r="F43" s="19">
        <f t="shared" si="0"/>
        <v>200</v>
      </c>
      <c r="G43" s="30"/>
      <c r="H43" s="30"/>
      <c r="I43" s="19" t="s">
        <v>3322</v>
      </c>
      <c r="J43" s="34" t="s">
        <v>3323</v>
      </c>
      <c r="K43" s="30"/>
      <c r="L43" s="30"/>
      <c r="M43" s="30" t="s">
        <v>78</v>
      </c>
      <c r="N43" s="30"/>
      <c r="O43" s="30"/>
      <c r="P43" s="30"/>
      <c r="Q43" s="30"/>
      <c r="R43" s="30"/>
    </row>
    <row r="44" spans="1:18">
      <c r="A44" s="18" t="s">
        <v>11</v>
      </c>
      <c r="B44" s="18">
        <v>43</v>
      </c>
      <c r="C44" s="19" t="s">
        <v>687</v>
      </c>
      <c r="D44" s="19" t="s">
        <v>1545</v>
      </c>
      <c r="E44" s="30" t="s">
        <v>38</v>
      </c>
      <c r="F44" s="19">
        <f t="shared" si="0"/>
        <v>200</v>
      </c>
      <c r="G44" s="30"/>
      <c r="H44" s="19"/>
      <c r="I44" s="30" t="s">
        <v>60</v>
      </c>
      <c r="J44" s="30" t="s">
        <v>597</v>
      </c>
      <c r="K44" s="30"/>
      <c r="L44" s="30"/>
      <c r="M44" s="30" t="s">
        <v>78</v>
      </c>
      <c r="N44" s="19" t="s">
        <v>596</v>
      </c>
      <c r="O44" s="19" t="s">
        <v>427</v>
      </c>
      <c r="P44" s="30"/>
      <c r="Q44" s="30"/>
      <c r="R44" s="30"/>
    </row>
    <row r="45" spans="1:18">
      <c r="A45" s="18" t="s">
        <v>11</v>
      </c>
      <c r="B45" s="18">
        <v>44</v>
      </c>
      <c r="C45" s="19" t="s">
        <v>688</v>
      </c>
      <c r="D45" s="19" t="s">
        <v>1546</v>
      </c>
      <c r="E45" s="30" t="s">
        <v>38</v>
      </c>
      <c r="F45" s="19">
        <f t="shared" si="0"/>
        <v>200</v>
      </c>
      <c r="G45" s="30"/>
      <c r="H45" s="19"/>
      <c r="I45" s="19" t="s">
        <v>3322</v>
      </c>
      <c r="J45" s="30" t="s">
        <v>597</v>
      </c>
      <c r="K45" s="30"/>
      <c r="L45" s="30"/>
      <c r="M45" s="30" t="s">
        <v>78</v>
      </c>
      <c r="N45" s="30"/>
      <c r="O45" s="33" t="s">
        <v>1300</v>
      </c>
      <c r="P45" s="30"/>
      <c r="Q45" s="30"/>
      <c r="R45" s="30"/>
    </row>
    <row r="46" spans="1:18">
      <c r="A46" s="18" t="s">
        <v>11</v>
      </c>
      <c r="B46" s="18">
        <v>45</v>
      </c>
      <c r="C46" s="30" t="s">
        <v>632</v>
      </c>
      <c r="D46" s="30" t="s">
        <v>1613</v>
      </c>
      <c r="E46" s="30" t="s">
        <v>38</v>
      </c>
      <c r="F46" s="19">
        <f t="shared" ref="F46" si="6">IF(E46="Char",200,8)</f>
        <v>200</v>
      </c>
      <c r="G46" s="19" t="s">
        <v>274</v>
      </c>
      <c r="H46" s="19" t="s">
        <v>1053</v>
      </c>
      <c r="I46" s="30" t="s">
        <v>69</v>
      </c>
      <c r="J46" s="30" t="s">
        <v>597</v>
      </c>
      <c r="K46" s="30"/>
      <c r="L46" s="30"/>
      <c r="M46" s="30" t="s">
        <v>78</v>
      </c>
      <c r="N46" s="30"/>
      <c r="O46" s="30" t="s">
        <v>3924</v>
      </c>
      <c r="P46" s="30"/>
      <c r="Q46" s="30"/>
      <c r="R46" s="26" t="s">
        <v>592</v>
      </c>
    </row>
    <row r="47" spans="1:18">
      <c r="A47" s="18" t="s">
        <v>11</v>
      </c>
      <c r="B47" s="18">
        <v>46</v>
      </c>
      <c r="C47" s="30" t="s">
        <v>591</v>
      </c>
      <c r="D47" s="30" t="s">
        <v>1614</v>
      </c>
      <c r="E47" s="30" t="s">
        <v>38</v>
      </c>
      <c r="F47" s="19">
        <f t="shared" ref="F47" si="7">IF(E47="Char",200,8)</f>
        <v>200</v>
      </c>
      <c r="G47" s="19" t="s">
        <v>274</v>
      </c>
      <c r="H47" s="19" t="s">
        <v>1053</v>
      </c>
      <c r="I47" s="19" t="s">
        <v>3322</v>
      </c>
      <c r="J47" s="34" t="s">
        <v>3323</v>
      </c>
      <c r="K47" s="30"/>
      <c r="L47" s="30"/>
      <c r="M47" s="30" t="s">
        <v>592</v>
      </c>
      <c r="N47" s="30"/>
      <c r="O47" s="30"/>
      <c r="P47" s="30"/>
      <c r="Q47" s="30"/>
      <c r="R47" s="30"/>
    </row>
    <row r="48" spans="1:18">
      <c r="A48" s="18" t="s">
        <v>11</v>
      </c>
      <c r="B48" s="18">
        <v>47</v>
      </c>
      <c r="C48" s="30" t="s">
        <v>689</v>
      </c>
      <c r="D48" s="30" t="s">
        <v>1615</v>
      </c>
      <c r="E48" s="30" t="s">
        <v>38</v>
      </c>
      <c r="F48" s="19">
        <f t="shared" ref="F48" si="8">IF(E48="Char",200,8)</f>
        <v>200</v>
      </c>
      <c r="G48" s="19" t="s">
        <v>274</v>
      </c>
      <c r="H48" s="19" t="s">
        <v>1053</v>
      </c>
      <c r="I48" s="19" t="s">
        <v>3322</v>
      </c>
      <c r="J48" s="34" t="s">
        <v>3323</v>
      </c>
      <c r="K48" s="30"/>
      <c r="L48" s="30"/>
      <c r="M48" s="30" t="s">
        <v>592</v>
      </c>
      <c r="N48" s="30"/>
      <c r="O48" s="30"/>
      <c r="P48" s="30"/>
      <c r="Q48" s="30"/>
      <c r="R48" s="30"/>
    </row>
    <row r="49" spans="1:18">
      <c r="A49" s="18" t="s">
        <v>11</v>
      </c>
      <c r="B49" s="18">
        <v>48</v>
      </c>
      <c r="C49" s="30" t="s">
        <v>946</v>
      </c>
      <c r="D49" s="30" t="s">
        <v>1616</v>
      </c>
      <c r="E49" s="30" t="s">
        <v>38</v>
      </c>
      <c r="F49" s="19">
        <f t="shared" ref="F49" si="9">IF(E49="Char",200,8)</f>
        <v>200</v>
      </c>
      <c r="G49" s="19" t="s">
        <v>274</v>
      </c>
      <c r="H49" s="19" t="s">
        <v>1053</v>
      </c>
      <c r="I49" s="19" t="s">
        <v>3322</v>
      </c>
      <c r="J49" s="34" t="s">
        <v>3323</v>
      </c>
      <c r="K49" s="30"/>
      <c r="L49" s="30"/>
      <c r="M49" s="30" t="s">
        <v>592</v>
      </c>
      <c r="N49" s="30"/>
      <c r="O49" s="30"/>
      <c r="P49" s="30"/>
      <c r="Q49" s="30"/>
      <c r="R49" s="30"/>
    </row>
  </sheetData>
  <phoneticPr fontId="67" type="noConversion"/>
  <conditionalFormatting sqref="G3">
    <cfRule type="duplicateValues" dxfId="36" priority="2"/>
  </conditionalFormatting>
  <conditionalFormatting sqref="H3">
    <cfRule type="duplicateValues" dxfId="35"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tabColor rgb="FF00B050"/>
  </sheetPr>
  <dimension ref="A1:R36"/>
  <sheetViews>
    <sheetView workbookViewId="0">
      <selection activeCell="D9" sqref="D9"/>
    </sheetView>
  </sheetViews>
  <sheetFormatPr defaultColWidth="8.81640625" defaultRowHeight="15.6"/>
  <cols>
    <col min="1" max="1" width="7" style="10" customWidth="1"/>
    <col min="2" max="2" width="3.6328125" style="10" customWidth="1"/>
    <col min="3" max="3" width="13" style="10" customWidth="1"/>
    <col min="4" max="4" width="26.6328125" style="10" customWidth="1"/>
    <col min="5" max="5" width="4.6328125" style="10" customWidth="1"/>
    <col min="6" max="6" width="8.81640625" style="10"/>
    <col min="7" max="7" width="11.7265625" style="10" customWidth="1"/>
    <col min="8" max="8" width="8.81640625" style="10"/>
    <col min="9" max="9" width="9.26953125" style="10" customWidth="1"/>
    <col min="10" max="10" width="11.453125" style="7" customWidth="1"/>
    <col min="11" max="11" width="16.7265625" style="10" customWidth="1"/>
    <col min="12" max="12" width="5.6328125" style="10" customWidth="1"/>
    <col min="13" max="14" width="8.81640625" style="10"/>
    <col min="15" max="15" width="14" style="10" customWidth="1"/>
    <col min="16" max="16384" width="8.81640625" style="10"/>
  </cols>
  <sheetData>
    <row r="1" spans="1:18" s="7"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9" t="s">
        <v>10</v>
      </c>
      <c r="B2" s="19">
        <v>1</v>
      </c>
      <c r="C2" s="19" t="s">
        <v>37</v>
      </c>
      <c r="D2" s="19" t="s">
        <v>1418</v>
      </c>
      <c r="E2" s="19" t="s">
        <v>38</v>
      </c>
      <c r="F2" s="19">
        <f>IF(E2="Char",200,8)</f>
        <v>200</v>
      </c>
      <c r="G2" s="19"/>
      <c r="H2" s="19"/>
      <c r="I2" s="19" t="s">
        <v>757</v>
      </c>
      <c r="J2" s="30" t="s">
        <v>597</v>
      </c>
      <c r="K2" s="19" t="s">
        <v>55</v>
      </c>
      <c r="L2" s="19" t="s">
        <v>39</v>
      </c>
      <c r="M2" s="19"/>
      <c r="N2" s="19"/>
      <c r="O2" s="24" t="s">
        <v>1419</v>
      </c>
      <c r="P2" s="19"/>
      <c r="Q2" s="18" t="s">
        <v>592</v>
      </c>
      <c r="R2" s="19"/>
    </row>
    <row r="3" spans="1:18">
      <c r="A3" s="19" t="s">
        <v>10</v>
      </c>
      <c r="B3" s="19">
        <v>2</v>
      </c>
      <c r="C3" s="19" t="s">
        <v>57</v>
      </c>
      <c r="D3" s="19" t="s">
        <v>1420</v>
      </c>
      <c r="E3" s="19" t="s">
        <v>38</v>
      </c>
      <c r="F3" s="19">
        <f t="shared" ref="F3:F14" si="0">IF(E3="Char",200,8)</f>
        <v>200</v>
      </c>
      <c r="G3" s="29" t="s">
        <v>3336</v>
      </c>
      <c r="H3" s="29" t="s">
        <v>618</v>
      </c>
      <c r="I3" s="19" t="s">
        <v>60</v>
      </c>
      <c r="J3" s="30" t="s">
        <v>597</v>
      </c>
      <c r="K3" s="19" t="s">
        <v>55</v>
      </c>
      <c r="L3" s="19" t="s">
        <v>39</v>
      </c>
      <c r="M3" s="19"/>
      <c r="N3" s="19" t="s">
        <v>596</v>
      </c>
      <c r="O3" s="19"/>
      <c r="P3" s="19"/>
      <c r="Q3" s="19"/>
      <c r="R3" s="19"/>
    </row>
    <row r="4" spans="1:18">
      <c r="A4" s="19" t="s">
        <v>10</v>
      </c>
      <c r="B4" s="19">
        <v>3</v>
      </c>
      <c r="C4" s="19" t="s">
        <v>41</v>
      </c>
      <c r="D4" s="19" t="s">
        <v>1421</v>
      </c>
      <c r="E4" s="19" t="s">
        <v>38</v>
      </c>
      <c r="F4" s="19">
        <f t="shared" si="0"/>
        <v>200</v>
      </c>
      <c r="G4" s="19"/>
      <c r="H4" s="19"/>
      <c r="I4" s="19" t="s">
        <v>69</v>
      </c>
      <c r="J4" s="30" t="s">
        <v>597</v>
      </c>
      <c r="K4" s="19" t="s">
        <v>55</v>
      </c>
      <c r="L4" s="19" t="s">
        <v>39</v>
      </c>
      <c r="M4" s="19"/>
      <c r="N4" s="19"/>
      <c r="O4" s="18" t="s">
        <v>1422</v>
      </c>
      <c r="P4" s="19"/>
      <c r="Q4" s="19"/>
      <c r="R4" s="18" t="s">
        <v>592</v>
      </c>
    </row>
    <row r="5" spans="1:18">
      <c r="A5" s="19" t="s">
        <v>10</v>
      </c>
      <c r="B5" s="19">
        <v>4</v>
      </c>
      <c r="C5" s="19" t="s">
        <v>419</v>
      </c>
      <c r="D5" s="19" t="s">
        <v>1423</v>
      </c>
      <c r="E5" s="19" t="s">
        <v>242</v>
      </c>
      <c r="F5" s="19">
        <f t="shared" si="0"/>
        <v>8</v>
      </c>
      <c r="G5" s="19"/>
      <c r="H5" s="19"/>
      <c r="I5" s="19" t="s">
        <v>69</v>
      </c>
      <c r="J5" s="30" t="s">
        <v>597</v>
      </c>
      <c r="K5" s="19" t="s">
        <v>55</v>
      </c>
      <c r="L5" s="19" t="s">
        <v>39</v>
      </c>
      <c r="M5" s="19"/>
      <c r="N5" s="19"/>
      <c r="O5" s="19" t="s">
        <v>3916</v>
      </c>
      <c r="P5" s="19"/>
      <c r="Q5" s="19"/>
      <c r="R5" s="18" t="s">
        <v>592</v>
      </c>
    </row>
    <row r="6" spans="1:18" s="7" customFormat="1">
      <c r="A6" s="19" t="s">
        <v>10</v>
      </c>
      <c r="B6" s="19">
        <v>5</v>
      </c>
      <c r="C6" s="29" t="s">
        <v>804</v>
      </c>
      <c r="D6" s="19" t="s">
        <v>1537</v>
      </c>
      <c r="E6" s="19" t="s">
        <v>242</v>
      </c>
      <c r="F6" s="19">
        <f t="shared" si="0"/>
        <v>8</v>
      </c>
      <c r="G6" s="19"/>
      <c r="H6" s="19"/>
      <c r="I6" s="19" t="s">
        <v>60</v>
      </c>
      <c r="J6" s="30" t="s">
        <v>597</v>
      </c>
      <c r="K6" s="19"/>
      <c r="L6" s="19"/>
      <c r="M6" s="19" t="s">
        <v>78</v>
      </c>
      <c r="N6" s="19"/>
      <c r="O6" s="19"/>
      <c r="P6" s="19"/>
      <c r="Q6" s="19"/>
      <c r="R6" s="19"/>
    </row>
    <row r="7" spans="1:18">
      <c r="A7" s="19" t="s">
        <v>10</v>
      </c>
      <c r="B7" s="19">
        <v>6</v>
      </c>
      <c r="C7" s="19" t="s">
        <v>420</v>
      </c>
      <c r="D7" s="19" t="s">
        <v>1621</v>
      </c>
      <c r="E7" s="19" t="s">
        <v>38</v>
      </c>
      <c r="F7" s="19">
        <f t="shared" si="0"/>
        <v>200</v>
      </c>
      <c r="G7" s="19"/>
      <c r="H7" s="19"/>
      <c r="I7" s="19" t="s">
        <v>3322</v>
      </c>
      <c r="J7" s="34" t="s">
        <v>3323</v>
      </c>
      <c r="K7" s="19" t="s">
        <v>245</v>
      </c>
      <c r="L7" s="19" t="s">
        <v>39</v>
      </c>
      <c r="M7" s="19"/>
      <c r="N7" s="19"/>
      <c r="O7" s="19"/>
      <c r="P7" s="19"/>
      <c r="Q7" s="19"/>
      <c r="R7" s="19"/>
    </row>
    <row r="8" spans="1:18">
      <c r="A8" s="19" t="s">
        <v>10</v>
      </c>
      <c r="B8" s="19">
        <v>7</v>
      </c>
      <c r="C8" s="19" t="s">
        <v>421</v>
      </c>
      <c r="D8" s="118" t="s">
        <v>3988</v>
      </c>
      <c r="E8" s="19" t="s">
        <v>38</v>
      </c>
      <c r="F8" s="19">
        <f t="shared" si="0"/>
        <v>200</v>
      </c>
      <c r="G8" s="19" t="s">
        <v>3334</v>
      </c>
      <c r="H8" s="19" t="s">
        <v>421</v>
      </c>
      <c r="I8" s="19" t="s">
        <v>3322</v>
      </c>
      <c r="J8" s="34" t="s">
        <v>3323</v>
      </c>
      <c r="K8" s="19" t="s">
        <v>264</v>
      </c>
      <c r="L8" s="19" t="s">
        <v>49</v>
      </c>
      <c r="M8" s="19"/>
      <c r="N8" s="19"/>
      <c r="O8" s="19"/>
      <c r="P8" s="19"/>
      <c r="Q8" s="19"/>
      <c r="R8" s="19"/>
    </row>
    <row r="9" spans="1:18">
      <c r="A9" s="19" t="s">
        <v>10</v>
      </c>
      <c r="B9" s="19">
        <v>8</v>
      </c>
      <c r="C9" s="19" t="s">
        <v>801</v>
      </c>
      <c r="D9" s="19" t="s">
        <v>1554</v>
      </c>
      <c r="E9" s="19" t="s">
        <v>38</v>
      </c>
      <c r="F9" s="19">
        <f t="shared" si="0"/>
        <v>200</v>
      </c>
      <c r="G9" s="19"/>
      <c r="H9" s="19"/>
      <c r="I9" s="19" t="s">
        <v>3322</v>
      </c>
      <c r="J9" s="34" t="s">
        <v>3323</v>
      </c>
      <c r="K9" s="19" t="s">
        <v>115</v>
      </c>
      <c r="L9" s="19" t="s">
        <v>49</v>
      </c>
      <c r="M9" s="19"/>
      <c r="N9" s="19"/>
      <c r="O9" s="19"/>
      <c r="P9" s="19"/>
      <c r="Q9" s="19"/>
      <c r="R9" s="19"/>
    </row>
    <row r="10" spans="1:18">
      <c r="A10" s="19" t="s">
        <v>10</v>
      </c>
      <c r="B10" s="19">
        <v>9</v>
      </c>
      <c r="C10" s="19" t="s">
        <v>803</v>
      </c>
      <c r="D10" s="19" t="s">
        <v>1622</v>
      </c>
      <c r="E10" s="19" t="s">
        <v>38</v>
      </c>
      <c r="F10" s="19">
        <f t="shared" si="0"/>
        <v>200</v>
      </c>
      <c r="G10" s="19"/>
      <c r="H10" s="19"/>
      <c r="I10" s="19" t="s">
        <v>3322</v>
      </c>
      <c r="J10" s="34" t="s">
        <v>3323</v>
      </c>
      <c r="K10" s="19"/>
      <c r="L10" s="19"/>
      <c r="M10" s="19" t="s">
        <v>592</v>
      </c>
      <c r="N10" s="19"/>
      <c r="O10" s="19"/>
      <c r="P10" s="19"/>
      <c r="Q10" s="19"/>
      <c r="R10" s="19"/>
    </row>
    <row r="11" spans="1:18">
      <c r="A11" s="19" t="s">
        <v>10</v>
      </c>
      <c r="B11" s="19">
        <v>10</v>
      </c>
      <c r="C11" s="19" t="s">
        <v>422</v>
      </c>
      <c r="D11" s="19" t="s">
        <v>1567</v>
      </c>
      <c r="E11" s="19" t="s">
        <v>38</v>
      </c>
      <c r="F11" s="19">
        <f t="shared" si="0"/>
        <v>200</v>
      </c>
      <c r="G11" s="19"/>
      <c r="H11" s="19"/>
      <c r="I11" s="19" t="s">
        <v>3322</v>
      </c>
      <c r="J11" s="34" t="s">
        <v>3323</v>
      </c>
      <c r="K11" s="19" t="s">
        <v>258</v>
      </c>
      <c r="L11" s="19" t="s">
        <v>42</v>
      </c>
      <c r="M11" s="19"/>
      <c r="N11" s="19"/>
      <c r="O11" s="19"/>
      <c r="P11" s="19"/>
      <c r="Q11" s="19"/>
      <c r="R11" s="19"/>
    </row>
    <row r="12" spans="1:18">
      <c r="A12" s="19" t="s">
        <v>10</v>
      </c>
      <c r="B12" s="19">
        <v>11</v>
      </c>
      <c r="C12" s="19" t="s">
        <v>777</v>
      </c>
      <c r="D12" s="19" t="s">
        <v>1549</v>
      </c>
      <c r="E12" s="19" t="s">
        <v>38</v>
      </c>
      <c r="F12" s="19">
        <f t="shared" si="0"/>
        <v>200</v>
      </c>
      <c r="G12" s="19"/>
      <c r="H12" s="19"/>
      <c r="I12" s="19" t="s">
        <v>3322</v>
      </c>
      <c r="J12" s="34" t="s">
        <v>3323</v>
      </c>
      <c r="K12" s="19" t="s">
        <v>258</v>
      </c>
      <c r="L12" s="19" t="s">
        <v>49</v>
      </c>
      <c r="M12" s="19"/>
      <c r="N12" s="19"/>
      <c r="O12" s="19"/>
      <c r="P12" s="19"/>
      <c r="Q12" s="19"/>
      <c r="R12" s="19"/>
    </row>
    <row r="13" spans="1:18">
      <c r="A13" s="19" t="s">
        <v>10</v>
      </c>
      <c r="B13" s="19">
        <v>12</v>
      </c>
      <c r="C13" s="19" t="s">
        <v>423</v>
      </c>
      <c r="D13" s="19" t="s">
        <v>1568</v>
      </c>
      <c r="E13" s="19" t="s">
        <v>242</v>
      </c>
      <c r="F13" s="19">
        <f t="shared" si="0"/>
        <v>8</v>
      </c>
      <c r="G13" s="19"/>
      <c r="H13" s="19"/>
      <c r="I13" s="19" t="s">
        <v>69</v>
      </c>
      <c r="J13" s="30" t="s">
        <v>597</v>
      </c>
      <c r="K13" s="19" t="s">
        <v>258</v>
      </c>
      <c r="L13" s="19" t="s">
        <v>49</v>
      </c>
      <c r="M13" s="19"/>
      <c r="N13" s="19"/>
      <c r="O13" s="19" t="s">
        <v>3919</v>
      </c>
      <c r="P13" s="19"/>
      <c r="Q13" s="19"/>
      <c r="R13" s="18" t="s">
        <v>592</v>
      </c>
    </row>
    <row r="14" spans="1:18">
      <c r="A14" s="19" t="s">
        <v>10</v>
      </c>
      <c r="B14" s="19">
        <v>13</v>
      </c>
      <c r="C14" s="19" t="s">
        <v>778</v>
      </c>
      <c r="D14" s="19" t="s">
        <v>1569</v>
      </c>
      <c r="E14" s="19" t="s">
        <v>242</v>
      </c>
      <c r="F14" s="19">
        <f t="shared" si="0"/>
        <v>8</v>
      </c>
      <c r="G14" s="19"/>
      <c r="H14" s="19"/>
      <c r="I14" s="19" t="s">
        <v>69</v>
      </c>
      <c r="J14" s="30" t="s">
        <v>597</v>
      </c>
      <c r="K14" s="19" t="s">
        <v>258</v>
      </c>
      <c r="L14" s="19" t="s">
        <v>49</v>
      </c>
      <c r="M14" s="19"/>
      <c r="N14" s="19"/>
      <c r="O14" s="19" t="s">
        <v>3919</v>
      </c>
      <c r="P14" s="19"/>
      <c r="Q14" s="19"/>
      <c r="R14" s="18" t="s">
        <v>592</v>
      </c>
    </row>
    <row r="15" spans="1:18">
      <c r="A15" s="19" t="s">
        <v>10</v>
      </c>
      <c r="B15" s="19">
        <v>14</v>
      </c>
      <c r="C15" s="32" t="s">
        <v>1617</v>
      </c>
      <c r="D15" s="18" t="s">
        <v>1571</v>
      </c>
      <c r="E15" s="19" t="s">
        <v>38</v>
      </c>
      <c r="F15" s="19">
        <f t="shared" ref="F15:F18" si="1">IF(E15="Char",200,8)</f>
        <v>200</v>
      </c>
      <c r="G15" s="32" t="s">
        <v>1519</v>
      </c>
      <c r="H15" s="19" t="s">
        <v>1532</v>
      </c>
      <c r="I15" s="19" t="s">
        <v>69</v>
      </c>
      <c r="J15" s="30" t="s">
        <v>597</v>
      </c>
      <c r="K15" s="19" t="s">
        <v>258</v>
      </c>
      <c r="L15" s="19" t="s">
        <v>49</v>
      </c>
      <c r="M15" s="19"/>
      <c r="N15" s="19"/>
      <c r="O15" s="18" t="s">
        <v>1571</v>
      </c>
      <c r="P15" s="19"/>
      <c r="Q15" s="19"/>
      <c r="R15" s="26" t="s">
        <v>592</v>
      </c>
    </row>
    <row r="16" spans="1:18">
      <c r="A16" s="19" t="s">
        <v>10</v>
      </c>
      <c r="B16" s="19">
        <v>15</v>
      </c>
      <c r="C16" s="32" t="s">
        <v>1618</v>
      </c>
      <c r="D16" s="18" t="s">
        <v>1572</v>
      </c>
      <c r="E16" s="19" t="s">
        <v>38</v>
      </c>
      <c r="F16" s="19">
        <f t="shared" si="1"/>
        <v>200</v>
      </c>
      <c r="G16" s="32"/>
      <c r="H16" s="19"/>
      <c r="I16" s="19" t="s">
        <v>69</v>
      </c>
      <c r="J16" s="30" t="s">
        <v>597</v>
      </c>
      <c r="K16" s="19" t="s">
        <v>258</v>
      </c>
      <c r="L16" s="19" t="s">
        <v>49</v>
      </c>
      <c r="M16" s="19"/>
      <c r="N16" s="19"/>
      <c r="O16" s="18" t="s">
        <v>1573</v>
      </c>
      <c r="P16" s="19"/>
      <c r="Q16" s="19"/>
      <c r="R16" s="26" t="s">
        <v>592</v>
      </c>
    </row>
    <row r="17" spans="1:18">
      <c r="A17" s="19" t="s">
        <v>10</v>
      </c>
      <c r="B17" s="19">
        <v>16</v>
      </c>
      <c r="C17" s="32" t="s">
        <v>1619</v>
      </c>
      <c r="D17" s="18" t="s">
        <v>1551</v>
      </c>
      <c r="E17" s="19" t="s">
        <v>38</v>
      </c>
      <c r="F17" s="19">
        <f t="shared" si="1"/>
        <v>200</v>
      </c>
      <c r="G17" s="32" t="s">
        <v>1531</v>
      </c>
      <c r="H17" s="19" t="s">
        <v>1532</v>
      </c>
      <c r="I17" s="19" t="s">
        <v>69</v>
      </c>
      <c r="J17" s="30" t="s">
        <v>597</v>
      </c>
      <c r="K17" s="19" t="s">
        <v>258</v>
      </c>
      <c r="L17" s="19" t="s">
        <v>49</v>
      </c>
      <c r="M17" s="19"/>
      <c r="N17" s="19"/>
      <c r="O17" s="18" t="s">
        <v>1551</v>
      </c>
      <c r="P17" s="19"/>
      <c r="Q17" s="19"/>
      <c r="R17" s="26" t="s">
        <v>592</v>
      </c>
    </row>
    <row r="18" spans="1:18">
      <c r="A18" s="19" t="s">
        <v>10</v>
      </c>
      <c r="B18" s="19">
        <v>17</v>
      </c>
      <c r="C18" s="32" t="s">
        <v>1620</v>
      </c>
      <c r="D18" s="18" t="s">
        <v>1542</v>
      </c>
      <c r="E18" s="19" t="s">
        <v>38</v>
      </c>
      <c r="F18" s="19">
        <f t="shared" si="1"/>
        <v>200</v>
      </c>
      <c r="G18" s="32"/>
      <c r="H18" s="19"/>
      <c r="I18" s="19" t="s">
        <v>69</v>
      </c>
      <c r="J18" s="30" t="s">
        <v>597</v>
      </c>
      <c r="K18" s="19" t="s">
        <v>258</v>
      </c>
      <c r="L18" s="19" t="s">
        <v>49</v>
      </c>
      <c r="M18" s="19"/>
      <c r="N18" s="19"/>
      <c r="O18" s="19" t="s">
        <v>1543</v>
      </c>
      <c r="P18" s="19"/>
      <c r="Q18" s="19"/>
      <c r="R18" s="26" t="s">
        <v>592</v>
      </c>
    </row>
    <row r="19" spans="1:18">
      <c r="A19" s="19" t="s">
        <v>10</v>
      </c>
      <c r="B19" s="19">
        <v>18</v>
      </c>
      <c r="C19" s="18" t="s">
        <v>1144</v>
      </c>
      <c r="D19" s="18" t="s">
        <v>1587</v>
      </c>
      <c r="E19" s="19" t="s">
        <v>38</v>
      </c>
      <c r="F19" s="19">
        <v>200</v>
      </c>
      <c r="G19" s="19" t="s">
        <v>427</v>
      </c>
      <c r="H19" s="19"/>
      <c r="I19" s="19" t="s">
        <v>60</v>
      </c>
      <c r="J19" s="30" t="s">
        <v>597</v>
      </c>
      <c r="K19" s="19"/>
      <c r="L19" s="19"/>
      <c r="M19" s="19" t="s">
        <v>78</v>
      </c>
      <c r="N19" s="19"/>
      <c r="O19" s="19"/>
      <c r="P19" s="19"/>
      <c r="Q19" s="19"/>
      <c r="R19" s="19"/>
    </row>
    <row r="20" spans="1:18">
      <c r="A20" s="19" t="s">
        <v>10</v>
      </c>
      <c r="B20" s="19">
        <v>19</v>
      </c>
      <c r="C20" s="18" t="s">
        <v>856</v>
      </c>
      <c r="D20" s="18" t="s">
        <v>1588</v>
      </c>
      <c r="E20" s="19" t="s">
        <v>242</v>
      </c>
      <c r="F20" s="19">
        <v>8</v>
      </c>
      <c r="G20" s="19" t="s">
        <v>427</v>
      </c>
      <c r="H20" s="19"/>
      <c r="I20" s="19" t="s">
        <v>60</v>
      </c>
      <c r="J20" s="30" t="s">
        <v>597</v>
      </c>
      <c r="K20" s="19"/>
      <c r="L20" s="19"/>
      <c r="M20" s="19" t="s">
        <v>78</v>
      </c>
      <c r="N20" s="19"/>
      <c r="O20" s="19"/>
      <c r="P20" s="19"/>
      <c r="Q20" s="19"/>
      <c r="R20" s="19"/>
    </row>
    <row r="21" spans="1:18">
      <c r="A21" s="19" t="s">
        <v>10</v>
      </c>
      <c r="B21" s="19">
        <v>20</v>
      </c>
      <c r="C21" s="18" t="s">
        <v>857</v>
      </c>
      <c r="D21" s="18" t="s">
        <v>1539</v>
      </c>
      <c r="E21" s="19" t="s">
        <v>38</v>
      </c>
      <c r="F21" s="19">
        <v>200</v>
      </c>
      <c r="G21" s="19" t="s">
        <v>427</v>
      </c>
      <c r="H21" s="19"/>
      <c r="I21" s="19" t="s">
        <v>60</v>
      </c>
      <c r="J21" s="30" t="s">
        <v>597</v>
      </c>
      <c r="K21" s="19"/>
      <c r="L21" s="19"/>
      <c r="M21" s="19" t="s">
        <v>78</v>
      </c>
      <c r="N21" s="19"/>
      <c r="O21" s="19"/>
      <c r="P21" s="19"/>
      <c r="Q21" s="19"/>
      <c r="R21" s="19"/>
    </row>
    <row r="22" spans="1:18">
      <c r="A22" s="19" t="s">
        <v>10</v>
      </c>
      <c r="B22" s="19">
        <v>21</v>
      </c>
      <c r="C22" s="18" t="s">
        <v>858</v>
      </c>
      <c r="D22" s="18" t="s">
        <v>1589</v>
      </c>
      <c r="E22" s="19" t="s">
        <v>242</v>
      </c>
      <c r="F22" s="19">
        <v>8</v>
      </c>
      <c r="G22" s="19" t="s">
        <v>427</v>
      </c>
      <c r="H22" s="19"/>
      <c r="I22" s="19" t="s">
        <v>60</v>
      </c>
      <c r="J22" s="30" t="s">
        <v>597</v>
      </c>
      <c r="K22" s="19"/>
      <c r="L22" s="19"/>
      <c r="M22" s="19" t="s">
        <v>78</v>
      </c>
      <c r="N22" s="19"/>
      <c r="O22" s="19"/>
      <c r="P22" s="19"/>
      <c r="Q22" s="19"/>
      <c r="R22" s="19"/>
    </row>
    <row r="23" spans="1:18">
      <c r="A23" s="19" t="s">
        <v>10</v>
      </c>
      <c r="B23" s="19">
        <v>22</v>
      </c>
      <c r="C23" s="18" t="s">
        <v>859</v>
      </c>
      <c r="D23" s="18" t="s">
        <v>1590</v>
      </c>
      <c r="E23" s="19" t="s">
        <v>38</v>
      </c>
      <c r="F23" s="19">
        <v>200</v>
      </c>
      <c r="G23" s="19" t="s">
        <v>427</v>
      </c>
      <c r="H23" s="19"/>
      <c r="I23" s="19" t="s">
        <v>60</v>
      </c>
      <c r="J23" s="30" t="s">
        <v>597</v>
      </c>
      <c r="K23" s="19"/>
      <c r="L23" s="19"/>
      <c r="M23" s="19" t="s">
        <v>78</v>
      </c>
      <c r="N23" s="19"/>
      <c r="O23" s="19"/>
      <c r="P23" s="19"/>
      <c r="Q23" s="19"/>
      <c r="R23" s="19"/>
    </row>
    <row r="24" spans="1:18">
      <c r="A24" s="19" t="s">
        <v>10</v>
      </c>
      <c r="B24" s="19">
        <v>23</v>
      </c>
      <c r="C24" s="18" t="s">
        <v>860</v>
      </c>
      <c r="D24" s="18" t="s">
        <v>1591</v>
      </c>
      <c r="E24" s="19" t="s">
        <v>242</v>
      </c>
      <c r="F24" s="19">
        <v>8</v>
      </c>
      <c r="G24" s="19" t="s">
        <v>427</v>
      </c>
      <c r="H24" s="19"/>
      <c r="I24" s="19" t="s">
        <v>60</v>
      </c>
      <c r="J24" s="30" t="s">
        <v>597</v>
      </c>
      <c r="K24" s="19"/>
      <c r="L24" s="19"/>
      <c r="M24" s="19" t="s">
        <v>78</v>
      </c>
      <c r="N24" s="19"/>
      <c r="O24" s="19"/>
      <c r="P24" s="19"/>
      <c r="Q24" s="19"/>
      <c r="R24" s="19"/>
    </row>
    <row r="25" spans="1:18">
      <c r="A25" s="19" t="s">
        <v>10</v>
      </c>
      <c r="B25" s="19">
        <v>24</v>
      </c>
      <c r="C25" s="18" t="s">
        <v>861</v>
      </c>
      <c r="D25" s="18" t="s">
        <v>1592</v>
      </c>
      <c r="E25" s="19" t="s">
        <v>38</v>
      </c>
      <c r="F25" s="19">
        <v>200</v>
      </c>
      <c r="G25" s="19" t="s">
        <v>427</v>
      </c>
      <c r="H25" s="19"/>
      <c r="I25" s="19" t="s">
        <v>60</v>
      </c>
      <c r="J25" s="30" t="s">
        <v>597</v>
      </c>
      <c r="K25" s="19"/>
      <c r="L25" s="19"/>
      <c r="M25" s="19" t="s">
        <v>78</v>
      </c>
      <c r="N25" s="19"/>
      <c r="O25" s="19"/>
      <c r="P25" s="19"/>
      <c r="Q25" s="19"/>
      <c r="R25" s="19"/>
    </row>
    <row r="26" spans="1:18">
      <c r="A26" s="19" t="s">
        <v>10</v>
      </c>
      <c r="B26" s="19">
        <v>25</v>
      </c>
      <c r="C26" s="18" t="s">
        <v>862</v>
      </c>
      <c r="D26" s="18" t="s">
        <v>1593</v>
      </c>
      <c r="E26" s="19" t="s">
        <v>242</v>
      </c>
      <c r="F26" s="19">
        <v>8</v>
      </c>
      <c r="G26" s="19" t="s">
        <v>427</v>
      </c>
      <c r="H26" s="19"/>
      <c r="I26" s="19" t="s">
        <v>60</v>
      </c>
      <c r="J26" s="30" t="s">
        <v>597</v>
      </c>
      <c r="K26" s="19"/>
      <c r="L26" s="19"/>
      <c r="M26" s="19" t="s">
        <v>78</v>
      </c>
      <c r="N26" s="19"/>
      <c r="O26" s="19"/>
      <c r="P26" s="19"/>
      <c r="Q26" s="19"/>
      <c r="R26" s="19"/>
    </row>
    <row r="27" spans="1:18">
      <c r="A27" s="19" t="s">
        <v>10</v>
      </c>
      <c r="B27" s="19">
        <v>26</v>
      </c>
      <c r="C27" s="18" t="s">
        <v>1001</v>
      </c>
      <c r="D27" s="18" t="s">
        <v>1540</v>
      </c>
      <c r="E27" s="19" t="s">
        <v>38</v>
      </c>
      <c r="F27" s="19">
        <v>200</v>
      </c>
      <c r="G27" s="19" t="s">
        <v>427</v>
      </c>
      <c r="H27" s="19"/>
      <c r="I27" s="19" t="s">
        <v>60</v>
      </c>
      <c r="J27" s="30" t="s">
        <v>597</v>
      </c>
      <c r="K27" s="19"/>
      <c r="L27" s="19"/>
      <c r="M27" s="19" t="s">
        <v>78</v>
      </c>
      <c r="N27" s="19"/>
      <c r="O27" s="19"/>
      <c r="P27" s="19"/>
      <c r="Q27" s="19"/>
      <c r="R27" s="19"/>
    </row>
    <row r="28" spans="1:18">
      <c r="A28" s="19" t="s">
        <v>10</v>
      </c>
      <c r="B28" s="19">
        <v>27</v>
      </c>
      <c r="C28" s="18" t="s">
        <v>863</v>
      </c>
      <c r="D28" s="18" t="s">
        <v>1594</v>
      </c>
      <c r="E28" s="19" t="s">
        <v>242</v>
      </c>
      <c r="F28" s="19">
        <v>8</v>
      </c>
      <c r="G28" s="19" t="s">
        <v>427</v>
      </c>
      <c r="H28" s="19"/>
      <c r="I28" s="19" t="s">
        <v>60</v>
      </c>
      <c r="J28" s="30" t="s">
        <v>597</v>
      </c>
      <c r="K28" s="19"/>
      <c r="L28" s="19"/>
      <c r="M28" s="19" t="s">
        <v>78</v>
      </c>
      <c r="N28" s="19"/>
      <c r="O28" s="19"/>
      <c r="P28" s="19"/>
      <c r="Q28" s="19"/>
      <c r="R28" s="19"/>
    </row>
    <row r="29" spans="1:18">
      <c r="A29" s="19" t="s">
        <v>10</v>
      </c>
      <c r="B29" s="19">
        <v>28</v>
      </c>
      <c r="C29" s="18" t="s">
        <v>864</v>
      </c>
      <c r="D29" s="18" t="s">
        <v>1595</v>
      </c>
      <c r="E29" s="19" t="s">
        <v>38</v>
      </c>
      <c r="F29" s="19">
        <v>200</v>
      </c>
      <c r="G29" s="19" t="s">
        <v>427</v>
      </c>
      <c r="H29" s="19"/>
      <c r="I29" s="19" t="s">
        <v>60</v>
      </c>
      <c r="J29" s="30" t="s">
        <v>597</v>
      </c>
      <c r="K29" s="19"/>
      <c r="L29" s="19"/>
      <c r="M29" s="19" t="s">
        <v>78</v>
      </c>
      <c r="N29" s="19"/>
      <c r="O29" s="19"/>
      <c r="P29" s="19"/>
      <c r="Q29" s="19"/>
      <c r="R29" s="19"/>
    </row>
    <row r="30" spans="1:18">
      <c r="A30" s="19" t="s">
        <v>10</v>
      </c>
      <c r="B30" s="19">
        <v>29</v>
      </c>
      <c r="C30" s="18" t="s">
        <v>865</v>
      </c>
      <c r="D30" s="18" t="s">
        <v>1596</v>
      </c>
      <c r="E30" s="19" t="s">
        <v>242</v>
      </c>
      <c r="F30" s="19">
        <v>8</v>
      </c>
      <c r="G30" s="19" t="s">
        <v>427</v>
      </c>
      <c r="H30" s="19"/>
      <c r="I30" s="19" t="s">
        <v>60</v>
      </c>
      <c r="J30" s="30" t="s">
        <v>597</v>
      </c>
      <c r="K30" s="19"/>
      <c r="L30" s="19"/>
      <c r="M30" s="19" t="s">
        <v>78</v>
      </c>
      <c r="N30" s="19"/>
      <c r="O30" s="19"/>
      <c r="P30" s="19"/>
      <c r="Q30" s="19"/>
      <c r="R30" s="19"/>
    </row>
    <row r="31" spans="1:18">
      <c r="A31" s="19" t="s">
        <v>10</v>
      </c>
      <c r="B31" s="19">
        <v>30</v>
      </c>
      <c r="C31" s="19" t="s">
        <v>687</v>
      </c>
      <c r="D31" s="19" t="s">
        <v>1545</v>
      </c>
      <c r="E31" s="19" t="s">
        <v>38</v>
      </c>
      <c r="F31" s="19">
        <v>200</v>
      </c>
      <c r="G31" s="19" t="s">
        <v>427</v>
      </c>
      <c r="H31" s="19"/>
      <c r="I31" s="19" t="s">
        <v>60</v>
      </c>
      <c r="J31" s="30" t="s">
        <v>597</v>
      </c>
      <c r="K31" s="19"/>
      <c r="L31" s="19"/>
      <c r="M31" s="19" t="s">
        <v>78</v>
      </c>
      <c r="N31" s="19" t="s">
        <v>596</v>
      </c>
      <c r="O31" s="19"/>
      <c r="P31" s="19"/>
      <c r="Q31" s="19"/>
      <c r="R31" s="19"/>
    </row>
    <row r="32" spans="1:18">
      <c r="A32" s="19" t="s">
        <v>10</v>
      </c>
      <c r="B32" s="19">
        <v>31</v>
      </c>
      <c r="C32" s="19" t="s">
        <v>688</v>
      </c>
      <c r="D32" s="19" t="s">
        <v>1546</v>
      </c>
      <c r="E32" s="19" t="s">
        <v>38</v>
      </c>
      <c r="F32" s="19">
        <v>200</v>
      </c>
      <c r="G32" s="36"/>
      <c r="H32" s="36"/>
      <c r="I32" s="19" t="s">
        <v>757</v>
      </c>
      <c r="J32" s="30" t="s">
        <v>597</v>
      </c>
      <c r="K32" s="19"/>
      <c r="L32" s="19"/>
      <c r="M32" s="19" t="s">
        <v>78</v>
      </c>
      <c r="N32" s="19"/>
      <c r="O32" s="19"/>
      <c r="P32" s="19"/>
      <c r="Q32" s="19"/>
      <c r="R32" s="19"/>
    </row>
    <row r="33" spans="1:18">
      <c r="A33" s="19" t="s">
        <v>10</v>
      </c>
      <c r="B33" s="19">
        <v>32</v>
      </c>
      <c r="C33" s="19" t="s">
        <v>802</v>
      </c>
      <c r="D33" s="19" t="s">
        <v>1544</v>
      </c>
      <c r="E33" s="19" t="s">
        <v>38</v>
      </c>
      <c r="F33" s="19">
        <f>IF(E33="Char",200,8)</f>
        <v>200</v>
      </c>
      <c r="G33" s="19"/>
      <c r="H33" s="19"/>
      <c r="I33" s="19" t="s">
        <v>3322</v>
      </c>
      <c r="J33" s="34" t="s">
        <v>3323</v>
      </c>
      <c r="K33" s="19"/>
      <c r="L33" s="19"/>
      <c r="M33" s="19" t="s">
        <v>592</v>
      </c>
      <c r="N33" s="19"/>
      <c r="O33" s="19"/>
      <c r="P33" s="19"/>
      <c r="Q33" s="19"/>
      <c r="R33" s="19"/>
    </row>
    <row r="34" spans="1:18">
      <c r="A34" s="19" t="s">
        <v>10</v>
      </c>
      <c r="B34" s="19">
        <v>33</v>
      </c>
      <c r="C34" s="18" t="s">
        <v>963</v>
      </c>
      <c r="D34" s="19" t="s">
        <v>1623</v>
      </c>
      <c r="E34" s="19" t="s">
        <v>38</v>
      </c>
      <c r="F34" s="19">
        <f t="shared" ref="F34:F36" si="2">IF(E34="Char",200,8)</f>
        <v>200</v>
      </c>
      <c r="G34" s="19"/>
      <c r="H34" s="19"/>
      <c r="I34" s="19" t="s">
        <v>3322</v>
      </c>
      <c r="J34" s="34" t="s">
        <v>3323</v>
      </c>
      <c r="K34" s="19"/>
      <c r="L34" s="19"/>
      <c r="M34" s="19" t="s">
        <v>592</v>
      </c>
      <c r="N34" s="19"/>
      <c r="O34" s="19"/>
      <c r="P34" s="19"/>
      <c r="Q34" s="19"/>
      <c r="R34" s="19"/>
    </row>
    <row r="35" spans="1:18">
      <c r="A35" s="19" t="s">
        <v>10</v>
      </c>
      <c r="B35" s="19">
        <v>34</v>
      </c>
      <c r="C35" s="18" t="s">
        <v>964</v>
      </c>
      <c r="D35" s="19" t="s">
        <v>1624</v>
      </c>
      <c r="E35" s="19" t="s">
        <v>38</v>
      </c>
      <c r="F35" s="19">
        <f t="shared" si="2"/>
        <v>200</v>
      </c>
      <c r="G35" s="19"/>
      <c r="H35" s="19"/>
      <c r="I35" s="19" t="s">
        <v>3322</v>
      </c>
      <c r="J35" s="34" t="s">
        <v>3323</v>
      </c>
      <c r="K35" s="19"/>
      <c r="L35" s="19"/>
      <c r="M35" s="19" t="s">
        <v>592</v>
      </c>
      <c r="N35" s="19"/>
      <c r="O35" s="19"/>
      <c r="P35" s="19"/>
      <c r="Q35" s="19"/>
      <c r="R35" s="19"/>
    </row>
    <row r="36" spans="1:18">
      <c r="A36" s="19" t="s">
        <v>10</v>
      </c>
      <c r="B36" s="19">
        <v>35</v>
      </c>
      <c r="C36" s="18" t="s">
        <v>965</v>
      </c>
      <c r="D36" s="19" t="s">
        <v>1625</v>
      </c>
      <c r="E36" s="19" t="s">
        <v>38</v>
      </c>
      <c r="F36" s="19">
        <f t="shared" si="2"/>
        <v>200</v>
      </c>
      <c r="G36" s="19"/>
      <c r="H36" s="19"/>
      <c r="I36" s="19" t="s">
        <v>3322</v>
      </c>
      <c r="J36" s="34" t="s">
        <v>3323</v>
      </c>
      <c r="K36" s="19"/>
      <c r="L36" s="19"/>
      <c r="M36" s="19" t="s">
        <v>592</v>
      </c>
      <c r="N36" s="19"/>
      <c r="O36" s="19"/>
      <c r="P36" s="19"/>
      <c r="Q36" s="19"/>
      <c r="R36" s="19"/>
    </row>
  </sheetData>
  <phoneticPr fontId="67" type="noConversion"/>
  <conditionalFormatting sqref="C6">
    <cfRule type="duplicateValues" dxfId="34" priority="4"/>
  </conditionalFormatting>
  <conditionalFormatting sqref="G3">
    <cfRule type="duplicateValues" dxfId="33" priority="2"/>
  </conditionalFormatting>
  <conditionalFormatting sqref="H3">
    <cfRule type="duplicateValues" dxfId="32"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4">
    <tabColor rgb="FF00B050"/>
  </sheetPr>
  <dimension ref="A1:R46"/>
  <sheetViews>
    <sheetView zoomScale="115" zoomScaleNormal="115" workbookViewId="0">
      <selection activeCell="D9" sqref="D9"/>
    </sheetView>
  </sheetViews>
  <sheetFormatPr defaultColWidth="9" defaultRowHeight="15.6"/>
  <cols>
    <col min="1" max="2" width="9" style="7"/>
    <col min="3" max="3" width="15.453125" style="13" customWidth="1"/>
    <col min="4" max="4" width="35.81640625" style="7" customWidth="1"/>
    <col min="5" max="5" width="4.6328125" style="7" customWidth="1"/>
    <col min="6" max="6" width="6.26953125" style="7" customWidth="1"/>
    <col min="7" max="8" width="9" style="7"/>
    <col min="9" max="9" width="9.453125" style="7" customWidth="1"/>
    <col min="10" max="10" width="11.6328125" style="7" customWidth="1"/>
    <col min="11" max="11" width="15.81640625" style="7" customWidth="1"/>
    <col min="12" max="14" width="9" style="7"/>
    <col min="15" max="15" width="139.54296875" style="7" customWidth="1"/>
    <col min="16" max="16384" width="9" style="7"/>
  </cols>
  <sheetData>
    <row r="1" spans="1:18">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9" t="s">
        <v>8</v>
      </c>
      <c r="B2" s="19">
        <v>1</v>
      </c>
      <c r="C2" s="29" t="s">
        <v>37</v>
      </c>
      <c r="D2" s="19" t="s">
        <v>1418</v>
      </c>
      <c r="E2" s="19" t="s">
        <v>38</v>
      </c>
      <c r="F2" s="19">
        <f>IF(E2="Char",200,8)</f>
        <v>200</v>
      </c>
      <c r="G2" s="19"/>
      <c r="H2" s="19"/>
      <c r="I2" s="19" t="s">
        <v>757</v>
      </c>
      <c r="J2" s="30" t="s">
        <v>597</v>
      </c>
      <c r="K2" s="30" t="s">
        <v>55</v>
      </c>
      <c r="L2" s="30" t="s">
        <v>39</v>
      </c>
      <c r="M2" s="19"/>
      <c r="N2" s="19"/>
      <c r="O2" s="24" t="s">
        <v>1419</v>
      </c>
      <c r="P2" s="19"/>
      <c r="Q2" s="26" t="s">
        <v>592</v>
      </c>
      <c r="R2" s="19"/>
    </row>
    <row r="3" spans="1:18">
      <c r="A3" s="19" t="s">
        <v>8</v>
      </c>
      <c r="B3" s="19">
        <v>2</v>
      </c>
      <c r="C3" s="29" t="s">
        <v>57</v>
      </c>
      <c r="D3" s="19" t="s">
        <v>1420</v>
      </c>
      <c r="E3" s="19" t="s">
        <v>38</v>
      </c>
      <c r="F3" s="19">
        <f t="shared" ref="F3:F46" si="0">IF(E3="Char",200,8)</f>
        <v>200</v>
      </c>
      <c r="G3" s="29" t="s">
        <v>3336</v>
      </c>
      <c r="H3" s="29" t="s">
        <v>618</v>
      </c>
      <c r="I3" s="19" t="s">
        <v>619</v>
      </c>
      <c r="J3" s="30" t="s">
        <v>597</v>
      </c>
      <c r="K3" s="30" t="s">
        <v>55</v>
      </c>
      <c r="L3" s="30" t="s">
        <v>39</v>
      </c>
      <c r="M3" s="19"/>
      <c r="N3" s="19" t="s">
        <v>597</v>
      </c>
      <c r="O3" s="19"/>
      <c r="P3" s="19"/>
      <c r="Q3" s="19"/>
      <c r="R3" s="19"/>
    </row>
    <row r="4" spans="1:18">
      <c r="A4" s="19" t="s">
        <v>8</v>
      </c>
      <c r="B4" s="19">
        <v>3</v>
      </c>
      <c r="C4" s="29" t="s">
        <v>41</v>
      </c>
      <c r="D4" s="19" t="s">
        <v>1421</v>
      </c>
      <c r="E4" s="19" t="s">
        <v>38</v>
      </c>
      <c r="F4" s="19">
        <f t="shared" si="0"/>
        <v>200</v>
      </c>
      <c r="G4" s="19"/>
      <c r="H4" s="19"/>
      <c r="I4" s="19" t="s">
        <v>590</v>
      </c>
      <c r="J4" s="30" t="s">
        <v>597</v>
      </c>
      <c r="K4" s="30" t="s">
        <v>55</v>
      </c>
      <c r="L4" s="30" t="s">
        <v>39</v>
      </c>
      <c r="M4" s="19"/>
      <c r="N4" s="19"/>
      <c r="O4" s="26" t="s">
        <v>1422</v>
      </c>
      <c r="P4" s="19"/>
      <c r="Q4" s="19"/>
      <c r="R4" s="19" t="s">
        <v>592</v>
      </c>
    </row>
    <row r="5" spans="1:18">
      <c r="A5" s="19" t="s">
        <v>8</v>
      </c>
      <c r="B5" s="19">
        <v>4</v>
      </c>
      <c r="C5" s="29" t="s">
        <v>348</v>
      </c>
      <c r="D5" s="19" t="s">
        <v>1423</v>
      </c>
      <c r="E5" s="19" t="s">
        <v>242</v>
      </c>
      <c r="F5" s="19">
        <f t="shared" si="0"/>
        <v>8</v>
      </c>
      <c r="G5" s="19"/>
      <c r="H5" s="19"/>
      <c r="I5" s="19" t="s">
        <v>619</v>
      </c>
      <c r="J5" s="30" t="s">
        <v>597</v>
      </c>
      <c r="K5" s="30" t="s">
        <v>55</v>
      </c>
      <c r="L5" s="30" t="s">
        <v>39</v>
      </c>
      <c r="M5" s="19"/>
      <c r="N5" s="19"/>
      <c r="O5" s="19"/>
      <c r="P5" s="19"/>
      <c r="Q5" s="19"/>
      <c r="R5" s="19"/>
    </row>
    <row r="6" spans="1:18">
      <c r="A6" s="19" t="s">
        <v>8</v>
      </c>
      <c r="B6" s="19">
        <v>5</v>
      </c>
      <c r="C6" s="29" t="s">
        <v>969</v>
      </c>
      <c r="D6" s="19" t="s">
        <v>1553</v>
      </c>
      <c r="E6" s="19" t="s">
        <v>38</v>
      </c>
      <c r="F6" s="19">
        <f t="shared" si="0"/>
        <v>200</v>
      </c>
      <c r="G6" s="19"/>
      <c r="H6" s="19"/>
      <c r="I6" s="19" t="s">
        <v>3322</v>
      </c>
      <c r="J6" s="34" t="s">
        <v>3323</v>
      </c>
      <c r="K6" s="19" t="s">
        <v>245</v>
      </c>
      <c r="L6" s="19" t="s">
        <v>39</v>
      </c>
      <c r="M6" s="19"/>
      <c r="N6" s="19"/>
      <c r="O6" s="19"/>
      <c r="P6" s="19"/>
      <c r="Q6" s="19"/>
      <c r="R6" s="19"/>
    </row>
    <row r="7" spans="1:18">
      <c r="A7" s="19" t="s">
        <v>8</v>
      </c>
      <c r="B7" s="19">
        <v>6</v>
      </c>
      <c r="C7" s="30" t="s">
        <v>1294</v>
      </c>
      <c r="D7" s="30" t="s">
        <v>1539</v>
      </c>
      <c r="E7" s="19" t="s">
        <v>38</v>
      </c>
      <c r="F7" s="19">
        <f t="shared" ref="F7" si="1">IF(E7="Char",200,8)</f>
        <v>200</v>
      </c>
      <c r="G7" s="19"/>
      <c r="H7" s="19"/>
      <c r="I7" s="19" t="s">
        <v>590</v>
      </c>
      <c r="J7" s="30" t="s">
        <v>597</v>
      </c>
      <c r="K7" s="30" t="s">
        <v>111</v>
      </c>
      <c r="L7" s="30" t="s">
        <v>49</v>
      </c>
      <c r="M7" s="19"/>
      <c r="N7" s="19"/>
      <c r="O7" s="19" t="s">
        <v>3925</v>
      </c>
      <c r="P7" s="19"/>
      <c r="Q7" s="19"/>
      <c r="R7" s="19"/>
    </row>
    <row r="8" spans="1:18">
      <c r="A8" s="19" t="s">
        <v>8</v>
      </c>
      <c r="B8" s="19">
        <v>7</v>
      </c>
      <c r="C8" s="29" t="s">
        <v>798</v>
      </c>
      <c r="D8" s="19" t="s">
        <v>1537</v>
      </c>
      <c r="E8" s="19" t="s">
        <v>242</v>
      </c>
      <c r="F8" s="19">
        <f t="shared" si="0"/>
        <v>8</v>
      </c>
      <c r="G8" s="19"/>
      <c r="H8" s="19"/>
      <c r="I8" s="19" t="s">
        <v>3322</v>
      </c>
      <c r="J8" s="30" t="s">
        <v>597</v>
      </c>
      <c r="K8" s="19"/>
      <c r="L8" s="19"/>
      <c r="M8" s="30" t="s">
        <v>78</v>
      </c>
      <c r="N8" s="19"/>
      <c r="O8" s="19"/>
      <c r="P8" s="19"/>
      <c r="Q8" s="19"/>
      <c r="R8" s="19"/>
    </row>
    <row r="9" spans="1:18">
      <c r="A9" s="19" t="s">
        <v>8</v>
      </c>
      <c r="B9" s="19">
        <v>8</v>
      </c>
      <c r="C9" s="29" t="s">
        <v>349</v>
      </c>
      <c r="D9" s="118" t="s">
        <v>3989</v>
      </c>
      <c r="E9" s="19" t="s">
        <v>38</v>
      </c>
      <c r="F9" s="19">
        <f t="shared" si="0"/>
        <v>200</v>
      </c>
      <c r="G9" s="19"/>
      <c r="H9" s="29" t="s">
        <v>349</v>
      </c>
      <c r="I9" s="19" t="s">
        <v>3322</v>
      </c>
      <c r="J9" s="34" t="s">
        <v>3323</v>
      </c>
      <c r="K9" s="19" t="s">
        <v>264</v>
      </c>
      <c r="L9" s="19" t="s">
        <v>49</v>
      </c>
      <c r="M9" s="19"/>
      <c r="N9" s="19"/>
      <c r="O9" s="19"/>
      <c r="P9" s="19"/>
      <c r="Q9" s="19"/>
      <c r="R9" s="19"/>
    </row>
    <row r="10" spans="1:18" s="10" customFormat="1">
      <c r="A10" s="19" t="s">
        <v>8</v>
      </c>
      <c r="B10" s="19">
        <v>9</v>
      </c>
      <c r="C10" s="34" t="s">
        <v>350</v>
      </c>
      <c r="D10" s="63" t="s">
        <v>1554</v>
      </c>
      <c r="E10" s="30" t="s">
        <v>38</v>
      </c>
      <c r="F10" s="19">
        <f t="shared" si="0"/>
        <v>200</v>
      </c>
      <c r="G10" s="30"/>
      <c r="H10" s="30"/>
      <c r="I10" s="19" t="s">
        <v>3322</v>
      </c>
      <c r="J10" s="34" t="s">
        <v>3323</v>
      </c>
      <c r="K10" s="30" t="s">
        <v>115</v>
      </c>
      <c r="L10" s="30" t="s">
        <v>49</v>
      </c>
      <c r="M10" s="30"/>
      <c r="N10" s="30"/>
      <c r="O10" s="19"/>
      <c r="P10" s="30"/>
      <c r="Q10" s="30"/>
      <c r="R10" s="30"/>
    </row>
    <row r="11" spans="1:18" s="10" customFormat="1">
      <c r="A11" s="19" t="s">
        <v>8</v>
      </c>
      <c r="B11" s="19">
        <v>10</v>
      </c>
      <c r="C11" s="34" t="s">
        <v>681</v>
      </c>
      <c r="D11" s="30" t="s">
        <v>1555</v>
      </c>
      <c r="E11" s="30" t="s">
        <v>38</v>
      </c>
      <c r="F11" s="19">
        <f t="shared" si="0"/>
        <v>200</v>
      </c>
      <c r="G11" s="30"/>
      <c r="H11" s="106" t="s">
        <v>3934</v>
      </c>
      <c r="I11" s="19" t="s">
        <v>3322</v>
      </c>
      <c r="J11" s="34" t="s">
        <v>3323</v>
      </c>
      <c r="K11" s="30"/>
      <c r="L11" s="30"/>
      <c r="M11" s="30" t="s">
        <v>78</v>
      </c>
      <c r="N11" s="30"/>
      <c r="O11" s="19"/>
      <c r="P11" s="30"/>
      <c r="Q11" s="30"/>
      <c r="R11" s="30"/>
    </row>
    <row r="12" spans="1:18" s="10" customFormat="1">
      <c r="A12" s="19" t="s">
        <v>8</v>
      </c>
      <c r="B12" s="19">
        <v>11</v>
      </c>
      <c r="C12" s="34" t="s">
        <v>351</v>
      </c>
      <c r="D12" s="30" t="s">
        <v>1556</v>
      </c>
      <c r="E12" s="30" t="s">
        <v>38</v>
      </c>
      <c r="F12" s="19">
        <f t="shared" si="0"/>
        <v>200</v>
      </c>
      <c r="G12" s="30"/>
      <c r="H12" s="30"/>
      <c r="I12" s="19" t="s">
        <v>3322</v>
      </c>
      <c r="J12" s="34" t="s">
        <v>3323</v>
      </c>
      <c r="K12" s="30"/>
      <c r="L12" s="30"/>
      <c r="M12" s="30" t="s">
        <v>78</v>
      </c>
      <c r="N12" s="30"/>
      <c r="O12" s="19"/>
      <c r="P12" s="30"/>
      <c r="Q12" s="30"/>
      <c r="R12" s="30"/>
    </row>
    <row r="13" spans="1:18" s="10" customFormat="1">
      <c r="A13" s="19" t="s">
        <v>8</v>
      </c>
      <c r="B13" s="19">
        <v>12</v>
      </c>
      <c r="C13" s="34" t="s">
        <v>682</v>
      </c>
      <c r="D13" s="30" t="s">
        <v>1557</v>
      </c>
      <c r="E13" s="30" t="s">
        <v>38</v>
      </c>
      <c r="F13" s="19">
        <f t="shared" ref="F13" si="2">IF(E13="Char",200,8)</f>
        <v>200</v>
      </c>
      <c r="G13" s="30"/>
      <c r="H13" s="30"/>
      <c r="I13" s="19" t="s">
        <v>3322</v>
      </c>
      <c r="J13" s="34" t="s">
        <v>3323</v>
      </c>
      <c r="K13" s="30"/>
      <c r="L13" s="30"/>
      <c r="M13" s="30" t="s">
        <v>78</v>
      </c>
      <c r="N13" s="30"/>
      <c r="O13" s="19"/>
      <c r="P13" s="30"/>
      <c r="Q13" s="30"/>
      <c r="R13" s="30"/>
    </row>
    <row r="14" spans="1:18" s="10" customFormat="1">
      <c r="A14" s="19" t="s">
        <v>8</v>
      </c>
      <c r="B14" s="19">
        <v>13</v>
      </c>
      <c r="C14" s="34" t="s">
        <v>683</v>
      </c>
      <c r="D14" s="30" t="s">
        <v>1558</v>
      </c>
      <c r="E14" s="30" t="s">
        <v>38</v>
      </c>
      <c r="F14" s="19">
        <f t="shared" ref="F14" si="3">IF(E14="Char",200,8)</f>
        <v>200</v>
      </c>
      <c r="G14" s="30"/>
      <c r="H14" s="30"/>
      <c r="I14" s="19" t="s">
        <v>3322</v>
      </c>
      <c r="J14" s="34" t="s">
        <v>3323</v>
      </c>
      <c r="K14" s="30"/>
      <c r="L14" s="30"/>
      <c r="M14" s="30" t="s">
        <v>78</v>
      </c>
      <c r="N14" s="30"/>
      <c r="O14" s="19"/>
      <c r="P14" s="30"/>
      <c r="Q14" s="30"/>
      <c r="R14" s="30"/>
    </row>
    <row r="15" spans="1:18" s="10" customFormat="1">
      <c r="A15" s="19" t="s">
        <v>8</v>
      </c>
      <c r="B15" s="19">
        <v>14</v>
      </c>
      <c r="C15" s="34" t="s">
        <v>684</v>
      </c>
      <c r="D15" s="30" t="s">
        <v>1559</v>
      </c>
      <c r="E15" s="30" t="s">
        <v>38</v>
      </c>
      <c r="F15" s="19">
        <f t="shared" ref="F15" si="4">IF(E15="Char",200,8)</f>
        <v>200</v>
      </c>
      <c r="G15" s="30"/>
      <c r="H15" s="30"/>
      <c r="I15" s="19" t="s">
        <v>3322</v>
      </c>
      <c r="J15" s="34" t="s">
        <v>3323</v>
      </c>
      <c r="K15" s="30"/>
      <c r="L15" s="30"/>
      <c r="M15" s="30" t="s">
        <v>78</v>
      </c>
      <c r="N15" s="30"/>
      <c r="O15" s="19"/>
      <c r="P15" s="30"/>
      <c r="Q15" s="30"/>
      <c r="R15" s="30"/>
    </row>
    <row r="16" spans="1:18">
      <c r="A16" s="19" t="s">
        <v>8</v>
      </c>
      <c r="B16" s="19">
        <v>15</v>
      </c>
      <c r="C16" s="29" t="s">
        <v>352</v>
      </c>
      <c r="D16" s="19" t="s">
        <v>1560</v>
      </c>
      <c r="E16" s="19" t="s">
        <v>38</v>
      </c>
      <c r="F16" s="19">
        <f t="shared" si="0"/>
        <v>200</v>
      </c>
      <c r="G16" s="19" t="s">
        <v>287</v>
      </c>
      <c r="H16" s="19" t="s">
        <v>1105</v>
      </c>
      <c r="I16" s="19" t="s">
        <v>3322</v>
      </c>
      <c r="J16" s="34" t="s">
        <v>3323</v>
      </c>
      <c r="K16" s="19" t="s">
        <v>275</v>
      </c>
      <c r="L16" s="19" t="s">
        <v>49</v>
      </c>
      <c r="M16" s="19"/>
      <c r="N16" s="19"/>
      <c r="O16" s="19"/>
      <c r="P16" s="19"/>
      <c r="Q16" s="19"/>
      <c r="R16" s="19"/>
    </row>
    <row r="17" spans="1:18">
      <c r="A17" s="19" t="s">
        <v>8</v>
      </c>
      <c r="B17" s="19">
        <v>16</v>
      </c>
      <c r="C17" s="29" t="s">
        <v>353</v>
      </c>
      <c r="D17" s="19" t="s">
        <v>1561</v>
      </c>
      <c r="E17" s="19" t="s">
        <v>38</v>
      </c>
      <c r="F17" s="19">
        <f t="shared" si="0"/>
        <v>200</v>
      </c>
      <c r="G17" s="19"/>
      <c r="H17" s="19"/>
      <c r="I17" s="19" t="s">
        <v>3322</v>
      </c>
      <c r="J17" s="34" t="s">
        <v>3323</v>
      </c>
      <c r="K17" s="19"/>
      <c r="L17" s="19"/>
      <c r="M17" s="30" t="s">
        <v>78</v>
      </c>
      <c r="N17" s="19"/>
      <c r="O17" s="19"/>
      <c r="P17" s="19"/>
      <c r="Q17" s="19"/>
      <c r="R17" s="19"/>
    </row>
    <row r="18" spans="1:18">
      <c r="A18" s="19" t="s">
        <v>8</v>
      </c>
      <c r="B18" s="19">
        <v>17</v>
      </c>
      <c r="C18" s="29" t="s">
        <v>354</v>
      </c>
      <c r="D18" s="19" t="s">
        <v>1562</v>
      </c>
      <c r="E18" s="19" t="s">
        <v>38</v>
      </c>
      <c r="F18" s="19">
        <f t="shared" si="0"/>
        <v>200</v>
      </c>
      <c r="G18" s="19" t="s">
        <v>290</v>
      </c>
      <c r="H18" s="19" t="s">
        <v>1140</v>
      </c>
      <c r="I18" s="19" t="s">
        <v>3322</v>
      </c>
      <c r="J18" s="34" t="s">
        <v>3323</v>
      </c>
      <c r="K18" s="19" t="s">
        <v>275</v>
      </c>
      <c r="L18" s="19" t="s">
        <v>49</v>
      </c>
      <c r="M18" s="19"/>
      <c r="N18" s="19"/>
      <c r="O18" s="19"/>
      <c r="P18" s="19"/>
      <c r="Q18" s="19"/>
      <c r="R18" s="19"/>
    </row>
    <row r="19" spans="1:18">
      <c r="A19" s="19" t="s">
        <v>8</v>
      </c>
      <c r="B19" s="19">
        <v>18</v>
      </c>
      <c r="C19" s="29" t="s">
        <v>355</v>
      </c>
      <c r="D19" s="19" t="s">
        <v>1563</v>
      </c>
      <c r="E19" s="19" t="s">
        <v>38</v>
      </c>
      <c r="F19" s="19">
        <f t="shared" si="0"/>
        <v>200</v>
      </c>
      <c r="G19" s="19"/>
      <c r="H19" s="19"/>
      <c r="I19" s="19" t="s">
        <v>3322</v>
      </c>
      <c r="J19" s="34" t="s">
        <v>3323</v>
      </c>
      <c r="K19" s="19"/>
      <c r="L19" s="19"/>
      <c r="M19" s="30" t="s">
        <v>78</v>
      </c>
      <c r="N19" s="19"/>
      <c r="O19" s="19"/>
      <c r="P19" s="19"/>
      <c r="Q19" s="19"/>
      <c r="R19" s="19"/>
    </row>
    <row r="20" spans="1:18">
      <c r="A20" s="19" t="s">
        <v>8</v>
      </c>
      <c r="B20" s="19">
        <v>19</v>
      </c>
      <c r="C20" s="29" t="s">
        <v>356</v>
      </c>
      <c r="D20" s="19" t="s">
        <v>1564</v>
      </c>
      <c r="E20" s="19" t="s">
        <v>242</v>
      </c>
      <c r="F20" s="19">
        <f t="shared" si="0"/>
        <v>8</v>
      </c>
      <c r="G20" s="19"/>
      <c r="H20" s="19"/>
      <c r="I20" s="19" t="s">
        <v>3322</v>
      </c>
      <c r="J20" s="34" t="s">
        <v>3323</v>
      </c>
      <c r="K20" s="19" t="s">
        <v>115</v>
      </c>
      <c r="L20" s="19" t="s">
        <v>49</v>
      </c>
      <c r="M20" s="19"/>
      <c r="N20" s="19"/>
      <c r="O20" s="19"/>
      <c r="P20" s="19"/>
      <c r="Q20" s="19"/>
      <c r="R20" s="19"/>
    </row>
    <row r="21" spans="1:18">
      <c r="A21" s="19" t="s">
        <v>8</v>
      </c>
      <c r="B21" s="19">
        <v>20</v>
      </c>
      <c r="C21" s="29" t="s">
        <v>357</v>
      </c>
      <c r="D21" s="19" t="s">
        <v>1565</v>
      </c>
      <c r="E21" s="19" t="s">
        <v>38</v>
      </c>
      <c r="F21" s="19">
        <f t="shared" si="0"/>
        <v>200</v>
      </c>
      <c r="G21" s="19" t="s">
        <v>292</v>
      </c>
      <c r="H21" s="19" t="s">
        <v>1107</v>
      </c>
      <c r="I21" s="19" t="s">
        <v>3322</v>
      </c>
      <c r="J21" s="34" t="s">
        <v>3323</v>
      </c>
      <c r="K21" s="19" t="s">
        <v>275</v>
      </c>
      <c r="L21" s="19" t="s">
        <v>49</v>
      </c>
      <c r="M21" s="19"/>
      <c r="N21" s="19"/>
      <c r="O21" s="19"/>
      <c r="P21" s="19"/>
      <c r="Q21" s="19"/>
      <c r="R21" s="19"/>
    </row>
    <row r="22" spans="1:18">
      <c r="A22" s="19" t="s">
        <v>8</v>
      </c>
      <c r="B22" s="19">
        <v>21</v>
      </c>
      <c r="C22" s="29" t="s">
        <v>358</v>
      </c>
      <c r="D22" s="19" t="s">
        <v>1566</v>
      </c>
      <c r="E22" s="19" t="s">
        <v>38</v>
      </c>
      <c r="F22" s="19">
        <f t="shared" si="0"/>
        <v>200</v>
      </c>
      <c r="G22" s="19"/>
      <c r="H22" s="19" t="s">
        <v>1107</v>
      </c>
      <c r="I22" s="19" t="s">
        <v>3322</v>
      </c>
      <c r="J22" s="34" t="s">
        <v>3323</v>
      </c>
      <c r="K22" s="19"/>
      <c r="L22" s="19"/>
      <c r="M22" s="30" t="s">
        <v>78</v>
      </c>
      <c r="N22" s="19"/>
      <c r="O22" s="19"/>
      <c r="P22" s="19"/>
      <c r="Q22" s="19"/>
      <c r="R22" s="19"/>
    </row>
    <row r="23" spans="1:18" s="12" customFormat="1">
      <c r="A23" s="19" t="s">
        <v>8</v>
      </c>
      <c r="B23" s="19">
        <v>22</v>
      </c>
      <c r="C23" s="28" t="s">
        <v>260</v>
      </c>
      <c r="D23" s="28" t="s">
        <v>1437</v>
      </c>
      <c r="E23" s="28" t="s">
        <v>38</v>
      </c>
      <c r="F23" s="25">
        <f t="shared" si="0"/>
        <v>200</v>
      </c>
      <c r="G23" s="28" t="s">
        <v>598</v>
      </c>
      <c r="H23" s="28" t="s">
        <v>260</v>
      </c>
      <c r="I23" s="25" t="s">
        <v>69</v>
      </c>
      <c r="J23" s="30" t="s">
        <v>597</v>
      </c>
      <c r="K23" s="28" t="s">
        <v>258</v>
      </c>
      <c r="L23" s="28" t="s">
        <v>49</v>
      </c>
      <c r="M23" s="28"/>
      <c r="N23" s="28"/>
      <c r="O23" s="28" t="s">
        <v>1438</v>
      </c>
      <c r="P23" s="28"/>
      <c r="Q23" s="28"/>
      <c r="R23" s="26" t="s">
        <v>592</v>
      </c>
    </row>
    <row r="24" spans="1:18">
      <c r="A24" s="19" t="s">
        <v>8</v>
      </c>
      <c r="B24" s="19">
        <v>23</v>
      </c>
      <c r="C24" s="29" t="s">
        <v>359</v>
      </c>
      <c r="D24" s="19" t="s">
        <v>1567</v>
      </c>
      <c r="E24" s="19" t="s">
        <v>38</v>
      </c>
      <c r="F24" s="19">
        <f t="shared" si="0"/>
        <v>200</v>
      </c>
      <c r="G24" s="19"/>
      <c r="H24" s="19"/>
      <c r="I24" s="19" t="s">
        <v>3322</v>
      </c>
      <c r="J24" s="34" t="s">
        <v>3323</v>
      </c>
      <c r="K24" s="19" t="s">
        <v>258</v>
      </c>
      <c r="L24" s="19" t="s">
        <v>49</v>
      </c>
      <c r="M24" s="19"/>
      <c r="N24" s="19"/>
      <c r="O24" s="19"/>
      <c r="P24" s="19"/>
      <c r="Q24" s="19"/>
      <c r="R24" s="19"/>
    </row>
    <row r="25" spans="1:18">
      <c r="A25" s="19" t="s">
        <v>8</v>
      </c>
      <c r="B25" s="19">
        <v>24</v>
      </c>
      <c r="C25" s="29" t="s">
        <v>360</v>
      </c>
      <c r="D25" s="19" t="s">
        <v>1549</v>
      </c>
      <c r="E25" s="19" t="s">
        <v>38</v>
      </c>
      <c r="F25" s="19">
        <f t="shared" si="0"/>
        <v>200</v>
      </c>
      <c r="G25" s="19"/>
      <c r="H25" s="19"/>
      <c r="I25" s="19" t="s">
        <v>3322</v>
      </c>
      <c r="J25" s="34" t="s">
        <v>3323</v>
      </c>
      <c r="K25" s="19" t="s">
        <v>258</v>
      </c>
      <c r="L25" s="19" t="s">
        <v>49</v>
      </c>
      <c r="M25" s="19"/>
      <c r="N25" s="19"/>
      <c r="O25" s="19"/>
      <c r="P25" s="19"/>
      <c r="Q25" s="19"/>
      <c r="R25" s="19"/>
    </row>
    <row r="26" spans="1:18">
      <c r="A26" s="19" t="s">
        <v>8</v>
      </c>
      <c r="B26" s="19">
        <v>25</v>
      </c>
      <c r="C26" s="29" t="s">
        <v>361</v>
      </c>
      <c r="D26" s="19" t="s">
        <v>1568</v>
      </c>
      <c r="E26" s="19" t="s">
        <v>242</v>
      </c>
      <c r="F26" s="19">
        <f t="shared" si="0"/>
        <v>8</v>
      </c>
      <c r="G26" s="19"/>
      <c r="H26" s="19"/>
      <c r="I26" s="19" t="s">
        <v>69</v>
      </c>
      <c r="J26" s="30" t="s">
        <v>597</v>
      </c>
      <c r="K26" s="19" t="s">
        <v>258</v>
      </c>
      <c r="L26" s="19" t="s">
        <v>49</v>
      </c>
      <c r="M26" s="19"/>
      <c r="N26" s="19"/>
      <c r="O26" s="19" t="s">
        <v>3919</v>
      </c>
      <c r="P26" s="19"/>
      <c r="Q26" s="19"/>
      <c r="R26" s="26" t="s">
        <v>592</v>
      </c>
    </row>
    <row r="27" spans="1:18">
      <c r="A27" s="19" t="s">
        <v>8</v>
      </c>
      <c r="B27" s="19">
        <v>26</v>
      </c>
      <c r="C27" s="29" t="s">
        <v>362</v>
      </c>
      <c r="D27" s="19" t="s">
        <v>1569</v>
      </c>
      <c r="E27" s="19" t="s">
        <v>242</v>
      </c>
      <c r="F27" s="19">
        <f t="shared" si="0"/>
        <v>8</v>
      </c>
      <c r="G27" s="19"/>
      <c r="H27" s="19"/>
      <c r="I27" s="19" t="s">
        <v>69</v>
      </c>
      <c r="J27" s="30" t="s">
        <v>597</v>
      </c>
      <c r="K27" s="19" t="s">
        <v>258</v>
      </c>
      <c r="L27" s="19" t="s">
        <v>49</v>
      </c>
      <c r="M27" s="19"/>
      <c r="N27" s="19"/>
      <c r="O27" s="19" t="s">
        <v>3919</v>
      </c>
      <c r="P27" s="19"/>
      <c r="Q27" s="19"/>
      <c r="R27" s="26" t="s">
        <v>592</v>
      </c>
    </row>
    <row r="28" spans="1:18">
      <c r="A28" s="19" t="s">
        <v>8</v>
      </c>
      <c r="B28" s="19">
        <v>27</v>
      </c>
      <c r="C28" s="32" t="s">
        <v>1526</v>
      </c>
      <c r="D28" s="18" t="s">
        <v>1570</v>
      </c>
      <c r="E28" s="32" t="s">
        <v>38</v>
      </c>
      <c r="F28" s="19">
        <f t="shared" si="0"/>
        <v>200</v>
      </c>
      <c r="G28" s="32" t="s">
        <v>1519</v>
      </c>
      <c r="H28" s="19" t="s">
        <v>1532</v>
      </c>
      <c r="I28" s="19" t="s">
        <v>69</v>
      </c>
      <c r="J28" s="30" t="s">
        <v>597</v>
      </c>
      <c r="K28" s="32" t="s">
        <v>258</v>
      </c>
      <c r="L28" s="32" t="s">
        <v>49</v>
      </c>
      <c r="M28" s="19"/>
      <c r="N28" s="19"/>
      <c r="O28" s="18" t="s">
        <v>1570</v>
      </c>
      <c r="P28" s="19"/>
      <c r="Q28" s="19"/>
      <c r="R28" s="26" t="s">
        <v>592</v>
      </c>
    </row>
    <row r="29" spans="1:18">
      <c r="A29" s="19" t="s">
        <v>8</v>
      </c>
      <c r="B29" s="19">
        <v>28</v>
      </c>
      <c r="C29" s="32" t="s">
        <v>1527</v>
      </c>
      <c r="D29" s="18" t="s">
        <v>1550</v>
      </c>
      <c r="E29" s="32" t="s">
        <v>38</v>
      </c>
      <c r="F29" s="19">
        <f t="shared" si="0"/>
        <v>200</v>
      </c>
      <c r="G29" s="32" t="s">
        <v>1519</v>
      </c>
      <c r="H29" s="19" t="s">
        <v>1532</v>
      </c>
      <c r="I29" s="19" t="s">
        <v>69</v>
      </c>
      <c r="J29" s="30" t="s">
        <v>597</v>
      </c>
      <c r="K29" s="32" t="s">
        <v>258</v>
      </c>
      <c r="L29" s="32" t="s">
        <v>49</v>
      </c>
      <c r="M29" s="19"/>
      <c r="N29" s="19"/>
      <c r="O29" s="18" t="s">
        <v>1550</v>
      </c>
      <c r="P29" s="19"/>
      <c r="Q29" s="19"/>
      <c r="R29" s="26" t="s">
        <v>592</v>
      </c>
    </row>
    <row r="30" spans="1:18">
      <c r="A30" s="19" t="s">
        <v>8</v>
      </c>
      <c r="B30" s="19">
        <v>29</v>
      </c>
      <c r="C30" s="32" t="s">
        <v>1528</v>
      </c>
      <c r="D30" s="18" t="s">
        <v>1571</v>
      </c>
      <c r="E30" s="32" t="s">
        <v>38</v>
      </c>
      <c r="F30" s="19">
        <f t="shared" si="0"/>
        <v>200</v>
      </c>
      <c r="G30" s="32" t="s">
        <v>1531</v>
      </c>
      <c r="H30" s="19" t="s">
        <v>1532</v>
      </c>
      <c r="I30" s="19" t="s">
        <v>69</v>
      </c>
      <c r="J30" s="30" t="s">
        <v>597</v>
      </c>
      <c r="K30" s="32" t="s">
        <v>258</v>
      </c>
      <c r="L30" s="32" t="s">
        <v>49</v>
      </c>
      <c r="M30" s="19"/>
      <c r="N30" s="19"/>
      <c r="O30" s="18" t="s">
        <v>1571</v>
      </c>
      <c r="P30" s="19"/>
      <c r="Q30" s="19"/>
      <c r="R30" s="26" t="s">
        <v>592</v>
      </c>
    </row>
    <row r="31" spans="1:18">
      <c r="A31" s="19" t="s">
        <v>8</v>
      </c>
      <c r="B31" s="19">
        <v>30</v>
      </c>
      <c r="C31" s="32" t="s">
        <v>1533</v>
      </c>
      <c r="D31" s="18" t="s">
        <v>1572</v>
      </c>
      <c r="E31" s="32" t="s">
        <v>38</v>
      </c>
      <c r="F31" s="19">
        <f t="shared" si="0"/>
        <v>200</v>
      </c>
      <c r="G31" s="32"/>
      <c r="H31" s="19"/>
      <c r="I31" s="19" t="s">
        <v>69</v>
      </c>
      <c r="J31" s="30" t="s">
        <v>597</v>
      </c>
      <c r="K31" s="32" t="s">
        <v>258</v>
      </c>
      <c r="L31" s="32" t="s">
        <v>49</v>
      </c>
      <c r="M31" s="19"/>
      <c r="N31" s="19"/>
      <c r="O31" s="18" t="s">
        <v>1573</v>
      </c>
      <c r="P31" s="19"/>
      <c r="Q31" s="19"/>
      <c r="R31" s="26" t="s">
        <v>592</v>
      </c>
    </row>
    <row r="32" spans="1:18">
      <c r="A32" s="19" t="s">
        <v>8</v>
      </c>
      <c r="B32" s="19">
        <v>31</v>
      </c>
      <c r="C32" s="32" t="s">
        <v>1529</v>
      </c>
      <c r="D32" s="18" t="s">
        <v>1551</v>
      </c>
      <c r="E32" s="32" t="s">
        <v>38</v>
      </c>
      <c r="F32" s="19">
        <f t="shared" si="0"/>
        <v>200</v>
      </c>
      <c r="G32" s="32" t="s">
        <v>1519</v>
      </c>
      <c r="H32" s="19" t="s">
        <v>1532</v>
      </c>
      <c r="I32" s="19" t="s">
        <v>69</v>
      </c>
      <c r="J32" s="30" t="s">
        <v>597</v>
      </c>
      <c r="K32" s="32" t="s">
        <v>258</v>
      </c>
      <c r="L32" s="32" t="s">
        <v>49</v>
      </c>
      <c r="M32" s="19"/>
      <c r="N32" s="19"/>
      <c r="O32" s="18" t="s">
        <v>1551</v>
      </c>
      <c r="P32" s="19"/>
      <c r="Q32" s="19"/>
      <c r="R32" s="26" t="s">
        <v>592</v>
      </c>
    </row>
    <row r="33" spans="1:18">
      <c r="A33" s="19" t="s">
        <v>8</v>
      </c>
      <c r="B33" s="19">
        <v>32</v>
      </c>
      <c r="C33" s="32" t="s">
        <v>1530</v>
      </c>
      <c r="D33" s="18" t="s">
        <v>1542</v>
      </c>
      <c r="E33" s="32" t="s">
        <v>38</v>
      </c>
      <c r="F33" s="19">
        <f t="shared" si="0"/>
        <v>200</v>
      </c>
      <c r="G33" s="32"/>
      <c r="H33" s="19"/>
      <c r="I33" s="19" t="s">
        <v>69</v>
      </c>
      <c r="J33" s="30" t="s">
        <v>597</v>
      </c>
      <c r="K33" s="32" t="s">
        <v>258</v>
      </c>
      <c r="L33" s="32" t="s">
        <v>49</v>
      </c>
      <c r="M33" s="19"/>
      <c r="N33" s="19"/>
      <c r="O33" s="19" t="s">
        <v>1543</v>
      </c>
      <c r="P33" s="19"/>
      <c r="Q33" s="19"/>
      <c r="R33" s="26" t="s">
        <v>592</v>
      </c>
    </row>
    <row r="34" spans="1:18">
      <c r="A34" s="19" t="s">
        <v>8</v>
      </c>
      <c r="B34" s="19">
        <v>33</v>
      </c>
      <c r="C34" s="29" t="s">
        <v>1524</v>
      </c>
      <c r="D34" s="19" t="s">
        <v>1574</v>
      </c>
      <c r="E34" s="19" t="s">
        <v>38</v>
      </c>
      <c r="F34" s="19">
        <f t="shared" si="0"/>
        <v>200</v>
      </c>
      <c r="G34" s="19"/>
      <c r="H34" s="19" t="s">
        <v>1053</v>
      </c>
      <c r="I34" s="19" t="s">
        <v>3322</v>
      </c>
      <c r="J34" s="34" t="s">
        <v>3323</v>
      </c>
      <c r="K34" s="19"/>
      <c r="L34" s="19"/>
      <c r="M34" s="19" t="s">
        <v>78</v>
      </c>
      <c r="N34" s="19"/>
      <c r="O34" s="19"/>
      <c r="P34" s="19"/>
      <c r="Q34" s="19"/>
      <c r="R34" s="19"/>
    </row>
    <row r="35" spans="1:18">
      <c r="A35" s="19" t="s">
        <v>8</v>
      </c>
      <c r="B35" s="19">
        <v>34</v>
      </c>
      <c r="C35" s="29" t="s">
        <v>940</v>
      </c>
      <c r="D35" s="19" t="s">
        <v>1575</v>
      </c>
      <c r="E35" s="19" t="s">
        <v>38</v>
      </c>
      <c r="F35" s="19">
        <f t="shared" ref="F35" si="5">IF(E35="Char",200,8)</f>
        <v>200</v>
      </c>
      <c r="G35" s="19"/>
      <c r="H35" s="19"/>
      <c r="I35" s="19" t="s">
        <v>3322</v>
      </c>
      <c r="J35" s="34" t="s">
        <v>3323</v>
      </c>
      <c r="K35" s="19"/>
      <c r="L35" s="19"/>
      <c r="M35" s="19" t="s">
        <v>78</v>
      </c>
      <c r="N35" s="19"/>
      <c r="O35" s="19"/>
      <c r="P35" s="19"/>
      <c r="Q35" s="19"/>
      <c r="R35" s="19"/>
    </row>
    <row r="36" spans="1:18">
      <c r="A36" s="19" t="s">
        <v>8</v>
      </c>
      <c r="B36" s="19">
        <v>35</v>
      </c>
      <c r="C36" s="29" t="s">
        <v>971</v>
      </c>
      <c r="D36" s="19" t="s">
        <v>1576</v>
      </c>
      <c r="E36" s="19" t="s">
        <v>38</v>
      </c>
      <c r="F36" s="19">
        <f t="shared" ref="F36" si="6">IF(E36="Char",200,8)</f>
        <v>200</v>
      </c>
      <c r="G36" s="19"/>
      <c r="H36" s="19"/>
      <c r="I36" s="19" t="s">
        <v>3322</v>
      </c>
      <c r="J36" s="34" t="s">
        <v>3323</v>
      </c>
      <c r="K36" s="19"/>
      <c r="L36" s="19"/>
      <c r="M36" s="19" t="s">
        <v>78</v>
      </c>
      <c r="N36" s="19"/>
      <c r="O36" s="19"/>
      <c r="P36" s="19"/>
      <c r="Q36" s="19"/>
      <c r="R36" s="19"/>
    </row>
    <row r="37" spans="1:18">
      <c r="A37" s="19" t="s">
        <v>8</v>
      </c>
      <c r="B37" s="19">
        <v>36</v>
      </c>
      <c r="C37" s="29" t="s">
        <v>972</v>
      </c>
      <c r="D37" s="19" t="s">
        <v>1577</v>
      </c>
      <c r="E37" s="19" t="s">
        <v>38</v>
      </c>
      <c r="F37" s="19">
        <f t="shared" ref="F37" si="7">IF(E37="Char",200,8)</f>
        <v>200</v>
      </c>
      <c r="G37" s="19"/>
      <c r="H37" s="19"/>
      <c r="I37" s="19" t="s">
        <v>3322</v>
      </c>
      <c r="J37" s="34" t="s">
        <v>3323</v>
      </c>
      <c r="K37" s="19"/>
      <c r="L37" s="19"/>
      <c r="M37" s="19" t="s">
        <v>78</v>
      </c>
      <c r="N37" s="19"/>
      <c r="O37" s="19"/>
      <c r="P37" s="19"/>
      <c r="Q37" s="19"/>
      <c r="R37" s="19"/>
    </row>
    <row r="38" spans="1:18">
      <c r="A38" s="19" t="s">
        <v>8</v>
      </c>
      <c r="B38" s="19">
        <v>37</v>
      </c>
      <c r="C38" s="29" t="s">
        <v>363</v>
      </c>
      <c r="D38" s="19" t="s">
        <v>1578</v>
      </c>
      <c r="E38" s="19" t="s">
        <v>38</v>
      </c>
      <c r="F38" s="19">
        <f t="shared" si="0"/>
        <v>200</v>
      </c>
      <c r="G38" s="19"/>
      <c r="H38" s="19"/>
      <c r="I38" s="19" t="s">
        <v>619</v>
      </c>
      <c r="J38" s="30" t="s">
        <v>597</v>
      </c>
      <c r="K38" s="19"/>
      <c r="L38" s="19"/>
      <c r="M38" s="19" t="s">
        <v>78</v>
      </c>
      <c r="N38" s="19"/>
      <c r="O38" s="19"/>
      <c r="P38" s="19"/>
      <c r="Q38" s="19"/>
      <c r="R38" s="19"/>
    </row>
    <row r="39" spans="1:18">
      <c r="A39" s="19" t="s">
        <v>8</v>
      </c>
      <c r="B39" s="19">
        <v>38</v>
      </c>
      <c r="C39" s="29" t="s">
        <v>364</v>
      </c>
      <c r="D39" s="19" t="s">
        <v>1579</v>
      </c>
      <c r="E39" s="19" t="s">
        <v>38</v>
      </c>
      <c r="F39" s="19">
        <f t="shared" si="0"/>
        <v>200</v>
      </c>
      <c r="G39" s="19"/>
      <c r="H39" s="19"/>
      <c r="I39" s="19" t="s">
        <v>619</v>
      </c>
      <c r="J39" s="30" t="s">
        <v>597</v>
      </c>
      <c r="K39" s="19"/>
      <c r="L39" s="19"/>
      <c r="M39" s="19" t="s">
        <v>78</v>
      </c>
      <c r="N39" s="19"/>
      <c r="O39" s="19"/>
      <c r="P39" s="19"/>
      <c r="Q39" s="19"/>
      <c r="R39" s="19"/>
    </row>
    <row r="40" spans="1:18">
      <c r="A40" s="19" t="s">
        <v>8</v>
      </c>
      <c r="B40" s="19">
        <v>39</v>
      </c>
      <c r="C40" s="29" t="s">
        <v>365</v>
      </c>
      <c r="D40" s="19" t="s">
        <v>1580</v>
      </c>
      <c r="E40" s="19" t="s">
        <v>38</v>
      </c>
      <c r="F40" s="19">
        <f t="shared" si="0"/>
        <v>200</v>
      </c>
      <c r="G40" s="19"/>
      <c r="H40" s="19"/>
      <c r="I40" s="19" t="s">
        <v>619</v>
      </c>
      <c r="J40" s="30" t="s">
        <v>597</v>
      </c>
      <c r="K40" s="19"/>
      <c r="L40" s="19"/>
      <c r="M40" s="19" t="s">
        <v>78</v>
      </c>
      <c r="N40" s="19"/>
      <c r="O40" s="19"/>
      <c r="P40" s="19"/>
      <c r="Q40" s="19"/>
      <c r="R40" s="19"/>
    </row>
    <row r="41" spans="1:18">
      <c r="A41" s="19" t="s">
        <v>8</v>
      </c>
      <c r="B41" s="19">
        <v>40</v>
      </c>
      <c r="C41" s="29" t="s">
        <v>366</v>
      </c>
      <c r="D41" s="19" t="s">
        <v>1581</v>
      </c>
      <c r="E41" s="19" t="s">
        <v>38</v>
      </c>
      <c r="F41" s="19">
        <f t="shared" si="0"/>
        <v>200</v>
      </c>
      <c r="G41" s="19"/>
      <c r="H41" s="19"/>
      <c r="I41" s="19" t="s">
        <v>619</v>
      </c>
      <c r="J41" s="30" t="s">
        <v>597</v>
      </c>
      <c r="K41" s="19"/>
      <c r="L41" s="19"/>
      <c r="M41" s="19" t="s">
        <v>78</v>
      </c>
      <c r="N41" s="19"/>
      <c r="O41" s="19"/>
      <c r="P41" s="19"/>
      <c r="Q41" s="19"/>
      <c r="R41" s="19"/>
    </row>
    <row r="42" spans="1:18">
      <c r="A42" s="19" t="s">
        <v>8</v>
      </c>
      <c r="B42" s="19">
        <v>41</v>
      </c>
      <c r="C42" s="29" t="s">
        <v>367</v>
      </c>
      <c r="D42" s="19" t="s">
        <v>1582</v>
      </c>
      <c r="E42" s="19" t="s">
        <v>38</v>
      </c>
      <c r="F42" s="19">
        <f t="shared" si="0"/>
        <v>200</v>
      </c>
      <c r="G42" s="19"/>
      <c r="H42" s="19"/>
      <c r="I42" s="19" t="s">
        <v>619</v>
      </c>
      <c r="J42" s="30" t="s">
        <v>597</v>
      </c>
      <c r="K42" s="19"/>
      <c r="L42" s="19"/>
      <c r="M42" s="19" t="s">
        <v>78</v>
      </c>
      <c r="N42" s="19"/>
      <c r="O42" s="19"/>
      <c r="P42" s="19"/>
      <c r="Q42" s="19"/>
      <c r="R42" s="19"/>
    </row>
    <row r="43" spans="1:18">
      <c r="A43" s="19" t="s">
        <v>8</v>
      </c>
      <c r="B43" s="19">
        <v>42</v>
      </c>
      <c r="C43" s="29" t="s">
        <v>368</v>
      </c>
      <c r="D43" s="19" t="s">
        <v>1583</v>
      </c>
      <c r="E43" s="19" t="s">
        <v>38</v>
      </c>
      <c r="F43" s="19">
        <f t="shared" si="0"/>
        <v>200</v>
      </c>
      <c r="G43" s="19"/>
      <c r="H43" s="19"/>
      <c r="I43" s="19" t="s">
        <v>619</v>
      </c>
      <c r="J43" s="30" t="s">
        <v>597</v>
      </c>
      <c r="K43" s="19"/>
      <c r="L43" s="19"/>
      <c r="M43" s="19" t="s">
        <v>78</v>
      </c>
      <c r="N43" s="19"/>
      <c r="O43" s="19"/>
      <c r="P43" s="19"/>
      <c r="Q43" s="19"/>
      <c r="R43" s="19"/>
    </row>
    <row r="44" spans="1:18">
      <c r="A44" s="19" t="s">
        <v>8</v>
      </c>
      <c r="B44" s="19">
        <v>43</v>
      </c>
      <c r="C44" s="29" t="s">
        <v>369</v>
      </c>
      <c r="D44" s="19" t="s">
        <v>1584</v>
      </c>
      <c r="E44" s="19" t="s">
        <v>38</v>
      </c>
      <c r="F44" s="19">
        <f t="shared" si="0"/>
        <v>200</v>
      </c>
      <c r="G44" s="19"/>
      <c r="H44" s="19"/>
      <c r="I44" s="19" t="s">
        <v>619</v>
      </c>
      <c r="J44" s="30" t="s">
        <v>597</v>
      </c>
      <c r="K44" s="19"/>
      <c r="L44" s="19"/>
      <c r="M44" s="19" t="s">
        <v>78</v>
      </c>
      <c r="N44" s="19"/>
      <c r="O44" s="19"/>
      <c r="P44" s="19"/>
      <c r="Q44" s="19"/>
      <c r="R44" s="19"/>
    </row>
    <row r="45" spans="1:18">
      <c r="A45" s="19" t="s">
        <v>8</v>
      </c>
      <c r="B45" s="19">
        <v>44</v>
      </c>
      <c r="C45" s="29" t="s">
        <v>370</v>
      </c>
      <c r="D45" s="19" t="s">
        <v>1585</v>
      </c>
      <c r="E45" s="19" t="s">
        <v>38</v>
      </c>
      <c r="F45" s="19">
        <f t="shared" si="0"/>
        <v>200</v>
      </c>
      <c r="G45" s="19"/>
      <c r="H45" s="19"/>
      <c r="I45" s="19" t="s">
        <v>619</v>
      </c>
      <c r="J45" s="30" t="s">
        <v>597</v>
      </c>
      <c r="K45" s="19"/>
      <c r="L45" s="19"/>
      <c r="M45" s="19" t="s">
        <v>78</v>
      </c>
      <c r="N45" s="19"/>
      <c r="O45" s="19"/>
      <c r="P45" s="19"/>
      <c r="Q45" s="19"/>
      <c r="R45" s="19"/>
    </row>
    <row r="46" spans="1:18">
      <c r="A46" s="19" t="s">
        <v>8</v>
      </c>
      <c r="B46" s="19">
        <v>45</v>
      </c>
      <c r="C46" s="29" t="s">
        <v>371</v>
      </c>
      <c r="D46" s="19" t="s">
        <v>1546</v>
      </c>
      <c r="E46" s="19" t="s">
        <v>38</v>
      </c>
      <c r="F46" s="19">
        <f t="shared" si="0"/>
        <v>200</v>
      </c>
      <c r="G46" s="19"/>
      <c r="H46" s="19"/>
      <c r="I46" s="19" t="s">
        <v>619</v>
      </c>
      <c r="J46" s="30" t="s">
        <v>597</v>
      </c>
      <c r="K46" s="19"/>
      <c r="L46" s="19"/>
      <c r="M46" s="19" t="s">
        <v>78</v>
      </c>
      <c r="N46" s="19"/>
      <c r="O46" s="19" t="s">
        <v>3327</v>
      </c>
      <c r="P46" s="19"/>
      <c r="Q46" s="19"/>
      <c r="R46" s="19"/>
    </row>
  </sheetData>
  <phoneticPr fontId="67" type="noConversion"/>
  <conditionalFormatting sqref="C2:C1048576">
    <cfRule type="duplicateValues" dxfId="31" priority="244"/>
  </conditionalFormatting>
  <conditionalFormatting sqref="G3">
    <cfRule type="duplicateValues" dxfId="30" priority="2"/>
  </conditionalFormatting>
  <conditionalFormatting sqref="H3">
    <cfRule type="duplicateValues" dxfId="29" priority="1"/>
  </conditionalFormatting>
  <conditionalFormatting sqref="H9">
    <cfRule type="duplicateValues" dxfId="28" priority="3"/>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tabColor rgb="FF00B050"/>
  </sheetPr>
  <dimension ref="A1:R24"/>
  <sheetViews>
    <sheetView zoomScale="115" zoomScaleNormal="115" workbookViewId="0">
      <selection activeCell="D25" sqref="D25"/>
    </sheetView>
  </sheetViews>
  <sheetFormatPr defaultColWidth="8.81640625" defaultRowHeight="15.6"/>
  <cols>
    <col min="1" max="1" width="7" style="10" customWidth="1"/>
    <col min="2" max="2" width="3.6328125" style="10" customWidth="1"/>
    <col min="3" max="3" width="13" style="10" customWidth="1"/>
    <col min="4" max="4" width="34.6328125" style="10" customWidth="1"/>
    <col min="5" max="5" width="4.6328125" style="10" customWidth="1"/>
    <col min="6" max="6" width="6.26953125" style="10" customWidth="1"/>
    <col min="7" max="7" width="14.1796875" style="10" customWidth="1"/>
    <col min="8" max="8" width="23.26953125" style="10" customWidth="1"/>
    <col min="9" max="9" width="9.453125" style="10" customWidth="1"/>
    <col min="10" max="10" width="11.6328125" style="7" customWidth="1"/>
    <col min="11" max="11" width="15.81640625" style="10" customWidth="1"/>
    <col min="12" max="13" width="5" style="10" customWidth="1"/>
    <col min="14" max="14" width="6.1796875" style="10" customWidth="1"/>
    <col min="15" max="15" width="14" style="10" customWidth="1"/>
    <col min="16" max="16384" width="8.81640625" style="10"/>
  </cols>
  <sheetData>
    <row r="1" spans="1:18" s="7"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19" t="s">
        <v>14</v>
      </c>
      <c r="B2" s="19">
        <v>1</v>
      </c>
      <c r="C2" s="19" t="s">
        <v>37</v>
      </c>
      <c r="D2" s="19" t="s">
        <v>1418</v>
      </c>
      <c r="E2" s="19" t="s">
        <v>38</v>
      </c>
      <c r="F2" s="19">
        <f>IF(E2="Char",200,8)</f>
        <v>200</v>
      </c>
      <c r="G2" s="19"/>
      <c r="H2" s="19"/>
      <c r="I2" s="19" t="s">
        <v>757</v>
      </c>
      <c r="J2" s="30" t="s">
        <v>597</v>
      </c>
      <c r="K2" s="19" t="s">
        <v>55</v>
      </c>
      <c r="L2" s="19" t="s">
        <v>39</v>
      </c>
      <c r="M2" s="18"/>
      <c r="N2" s="19"/>
      <c r="O2" s="24" t="s">
        <v>1419</v>
      </c>
      <c r="P2" s="19"/>
      <c r="Q2" s="26" t="s">
        <v>592</v>
      </c>
      <c r="R2" s="30"/>
    </row>
    <row r="3" spans="1:18">
      <c r="A3" s="19" t="s">
        <v>14</v>
      </c>
      <c r="B3" s="19">
        <v>2</v>
      </c>
      <c r="C3" s="19" t="s">
        <v>57</v>
      </c>
      <c r="D3" s="19" t="s">
        <v>1420</v>
      </c>
      <c r="E3" s="19" t="s">
        <v>38</v>
      </c>
      <c r="F3" s="19">
        <f t="shared" ref="F3:F20" si="0">IF(E3="Char",200,8)</f>
        <v>200</v>
      </c>
      <c r="G3" s="29" t="s">
        <v>3336</v>
      </c>
      <c r="H3" s="29" t="s">
        <v>618</v>
      </c>
      <c r="I3" s="30" t="s">
        <v>60</v>
      </c>
      <c r="J3" s="30" t="s">
        <v>597</v>
      </c>
      <c r="K3" s="19" t="s">
        <v>55</v>
      </c>
      <c r="L3" s="19" t="s">
        <v>39</v>
      </c>
      <c r="M3" s="18"/>
      <c r="N3" s="19" t="s">
        <v>596</v>
      </c>
      <c r="O3" s="19"/>
      <c r="P3" s="30"/>
      <c r="Q3" s="30"/>
      <c r="R3" s="30"/>
    </row>
    <row r="4" spans="1:18">
      <c r="A4" s="19" t="s">
        <v>14</v>
      </c>
      <c r="B4" s="19">
        <v>3</v>
      </c>
      <c r="C4" s="19" t="s">
        <v>41</v>
      </c>
      <c r="D4" s="19" t="s">
        <v>1421</v>
      </c>
      <c r="E4" s="19" t="s">
        <v>38</v>
      </c>
      <c r="F4" s="19">
        <f t="shared" si="0"/>
        <v>200</v>
      </c>
      <c r="G4" s="19"/>
      <c r="H4" s="19"/>
      <c r="I4" s="19" t="s">
        <v>69</v>
      </c>
      <c r="J4" s="30" t="s">
        <v>597</v>
      </c>
      <c r="K4" s="19" t="s">
        <v>55</v>
      </c>
      <c r="L4" s="19" t="s">
        <v>39</v>
      </c>
      <c r="M4" s="18"/>
      <c r="N4" s="18"/>
      <c r="O4" s="72" t="s">
        <v>3523</v>
      </c>
      <c r="P4" s="30"/>
      <c r="Q4" s="30"/>
      <c r="R4" s="26" t="s">
        <v>592</v>
      </c>
    </row>
    <row r="5" spans="1:18">
      <c r="A5" s="19" t="s">
        <v>14</v>
      </c>
      <c r="B5" s="19">
        <v>4</v>
      </c>
      <c r="C5" s="19" t="s">
        <v>417</v>
      </c>
      <c r="D5" s="19" t="s">
        <v>1423</v>
      </c>
      <c r="E5" s="19" t="s">
        <v>242</v>
      </c>
      <c r="F5" s="19">
        <f t="shared" si="0"/>
        <v>8</v>
      </c>
      <c r="G5" s="19"/>
      <c r="H5" s="19"/>
      <c r="I5" s="19" t="s">
        <v>69</v>
      </c>
      <c r="J5" s="30" t="s">
        <v>597</v>
      </c>
      <c r="K5" s="19" t="s">
        <v>55</v>
      </c>
      <c r="L5" s="19" t="s">
        <v>39</v>
      </c>
      <c r="M5" s="18"/>
      <c r="N5" s="18"/>
      <c r="O5" s="42" t="s">
        <v>3916</v>
      </c>
      <c r="P5" s="30"/>
      <c r="Q5" s="30"/>
      <c r="R5" s="26" t="s">
        <v>592</v>
      </c>
    </row>
    <row r="6" spans="1:18" s="7" customFormat="1">
      <c r="A6" s="19" t="s">
        <v>14</v>
      </c>
      <c r="B6" s="19">
        <v>5</v>
      </c>
      <c r="C6" s="29" t="s">
        <v>799</v>
      </c>
      <c r="D6" s="19" t="s">
        <v>1537</v>
      </c>
      <c r="E6" s="19" t="s">
        <v>242</v>
      </c>
      <c r="F6" s="19">
        <f t="shared" si="0"/>
        <v>8</v>
      </c>
      <c r="G6" s="19"/>
      <c r="H6" s="19"/>
      <c r="I6" s="19" t="s">
        <v>3322</v>
      </c>
      <c r="J6" s="30" t="s">
        <v>597</v>
      </c>
      <c r="K6" s="19"/>
      <c r="L6" s="19"/>
      <c r="M6" s="30" t="s">
        <v>78</v>
      </c>
      <c r="N6" s="19"/>
      <c r="O6" s="19"/>
      <c r="P6" s="19"/>
      <c r="Q6" s="19"/>
      <c r="R6" s="19"/>
    </row>
    <row r="7" spans="1:18">
      <c r="A7" s="19" t="s">
        <v>14</v>
      </c>
      <c r="B7" s="19">
        <v>6</v>
      </c>
      <c r="C7" s="19" t="s">
        <v>210</v>
      </c>
      <c r="D7" s="19" t="s">
        <v>1538</v>
      </c>
      <c r="E7" s="19" t="s">
        <v>38</v>
      </c>
      <c r="F7" s="19">
        <f t="shared" si="0"/>
        <v>200</v>
      </c>
      <c r="G7" s="19"/>
      <c r="H7" s="19"/>
      <c r="I7" s="19" t="s">
        <v>3322</v>
      </c>
      <c r="J7" s="34" t="s">
        <v>3323</v>
      </c>
      <c r="K7" s="19" t="s">
        <v>245</v>
      </c>
      <c r="L7" s="19" t="s">
        <v>39</v>
      </c>
      <c r="M7" s="30"/>
      <c r="N7" s="30"/>
      <c r="O7" s="19"/>
      <c r="P7" s="30"/>
      <c r="Q7" s="30"/>
      <c r="R7" s="30"/>
    </row>
    <row r="8" spans="1:18">
      <c r="A8" s="19" t="s">
        <v>14</v>
      </c>
      <c r="B8" s="19">
        <v>7</v>
      </c>
      <c r="C8" s="19" t="s">
        <v>1400</v>
      </c>
      <c r="D8" s="19" t="s">
        <v>1547</v>
      </c>
      <c r="E8" s="19" t="s">
        <v>38</v>
      </c>
      <c r="F8" s="19">
        <f t="shared" ref="F8" si="1">IF(E8="Char",200,8)</f>
        <v>200</v>
      </c>
      <c r="G8" s="19"/>
      <c r="H8" s="19"/>
      <c r="I8" s="19" t="s">
        <v>3322</v>
      </c>
      <c r="J8" s="34" t="s">
        <v>3323</v>
      </c>
      <c r="K8" s="19"/>
      <c r="L8" s="19"/>
      <c r="M8" s="30" t="s">
        <v>592</v>
      </c>
      <c r="N8" s="30"/>
      <c r="O8" s="19" t="s">
        <v>3915</v>
      </c>
      <c r="P8" s="30"/>
      <c r="Q8" s="30" t="s">
        <v>592</v>
      </c>
      <c r="R8" s="30"/>
    </row>
    <row r="9" spans="1:18" s="7" customFormat="1">
      <c r="A9" s="19" t="s">
        <v>14</v>
      </c>
      <c r="B9" s="19">
        <v>8</v>
      </c>
      <c r="C9" s="19" t="s">
        <v>800</v>
      </c>
      <c r="D9" s="19" t="s">
        <v>1539</v>
      </c>
      <c r="E9" s="19" t="s">
        <v>38</v>
      </c>
      <c r="F9" s="19">
        <f t="shared" si="0"/>
        <v>200</v>
      </c>
      <c r="G9" s="19"/>
      <c r="H9" s="105" t="s">
        <v>3934</v>
      </c>
      <c r="I9" s="30" t="s">
        <v>60</v>
      </c>
      <c r="J9" s="30" t="s">
        <v>597</v>
      </c>
      <c r="K9" s="19" t="s">
        <v>111</v>
      </c>
      <c r="L9" s="19" t="s">
        <v>49</v>
      </c>
      <c r="M9" s="19"/>
      <c r="N9" s="19"/>
      <c r="O9" s="19"/>
      <c r="P9" s="19"/>
      <c r="Q9" s="19"/>
      <c r="R9" s="19"/>
    </row>
    <row r="10" spans="1:18">
      <c r="A10" s="19" t="s">
        <v>14</v>
      </c>
      <c r="B10" s="19">
        <v>9</v>
      </c>
      <c r="C10" s="19" t="s">
        <v>418</v>
      </c>
      <c r="D10" s="118" t="s">
        <v>3991</v>
      </c>
      <c r="E10" s="19" t="s">
        <v>38</v>
      </c>
      <c r="F10" s="19">
        <f t="shared" si="0"/>
        <v>200</v>
      </c>
      <c r="G10" s="19"/>
      <c r="H10" s="19" t="s">
        <v>418</v>
      </c>
      <c r="I10" s="19" t="s">
        <v>3322</v>
      </c>
      <c r="J10" s="34" t="s">
        <v>3323</v>
      </c>
      <c r="K10" s="19" t="s">
        <v>264</v>
      </c>
      <c r="L10" s="19" t="s">
        <v>49</v>
      </c>
      <c r="M10" s="30"/>
      <c r="N10" s="30"/>
      <c r="O10" s="19"/>
      <c r="P10" s="30"/>
      <c r="Q10" s="30"/>
      <c r="R10" s="30"/>
    </row>
    <row r="11" spans="1:18">
      <c r="A11" s="19" t="s">
        <v>14</v>
      </c>
      <c r="B11" s="19">
        <v>10</v>
      </c>
      <c r="C11" s="19" t="s">
        <v>1002</v>
      </c>
      <c r="D11" s="30" t="s">
        <v>1540</v>
      </c>
      <c r="E11" s="19" t="s">
        <v>38</v>
      </c>
      <c r="F11" s="19">
        <f t="shared" ref="F11" si="2">IF(E11="Char",200,8)</f>
        <v>200</v>
      </c>
      <c r="G11" s="30"/>
      <c r="H11" s="30"/>
      <c r="I11" s="30" t="s">
        <v>60</v>
      </c>
      <c r="J11" s="30" t="s">
        <v>597</v>
      </c>
      <c r="K11" s="19" t="s">
        <v>115</v>
      </c>
      <c r="L11" s="19" t="s">
        <v>49</v>
      </c>
      <c r="M11" s="30"/>
      <c r="N11" s="30"/>
      <c r="O11" s="30"/>
      <c r="P11" s="30"/>
      <c r="Q11" s="30"/>
      <c r="R11" s="30"/>
    </row>
    <row r="12" spans="1:18">
      <c r="A12" s="19" t="s">
        <v>14</v>
      </c>
      <c r="B12" s="19">
        <v>11</v>
      </c>
      <c r="C12" s="19" t="s">
        <v>212</v>
      </c>
      <c r="D12" s="19" t="s">
        <v>1548</v>
      </c>
      <c r="E12" s="19" t="s">
        <v>38</v>
      </c>
      <c r="F12" s="19">
        <f t="shared" si="0"/>
        <v>200</v>
      </c>
      <c r="G12" s="19"/>
      <c r="H12" s="19"/>
      <c r="I12" s="19" t="s">
        <v>3322</v>
      </c>
      <c r="J12" s="34" t="s">
        <v>3323</v>
      </c>
      <c r="K12" s="19" t="s">
        <v>258</v>
      </c>
      <c r="L12" s="19" t="s">
        <v>49</v>
      </c>
      <c r="M12" s="30"/>
      <c r="N12" s="30"/>
      <c r="O12" s="19"/>
      <c r="P12" s="30"/>
      <c r="Q12" s="30"/>
      <c r="R12" s="30"/>
    </row>
    <row r="13" spans="1:18">
      <c r="A13" s="19" t="s">
        <v>14</v>
      </c>
      <c r="B13" s="19">
        <v>12</v>
      </c>
      <c r="C13" s="19" t="s">
        <v>961</v>
      </c>
      <c r="D13" s="19" t="s">
        <v>1549</v>
      </c>
      <c r="E13" s="19" t="s">
        <v>38</v>
      </c>
      <c r="F13" s="19">
        <f t="shared" si="0"/>
        <v>200</v>
      </c>
      <c r="G13" s="19"/>
      <c r="H13" s="19"/>
      <c r="I13" s="19" t="s">
        <v>3322</v>
      </c>
      <c r="J13" s="34" t="s">
        <v>3323</v>
      </c>
      <c r="K13" s="19" t="s">
        <v>258</v>
      </c>
      <c r="L13" s="19" t="s">
        <v>49</v>
      </c>
      <c r="M13" s="30"/>
      <c r="N13" s="30"/>
      <c r="O13" s="19"/>
      <c r="P13" s="30"/>
      <c r="Q13" s="30"/>
      <c r="R13" s="30"/>
    </row>
    <row r="14" spans="1:18">
      <c r="A14" s="19" t="s">
        <v>14</v>
      </c>
      <c r="B14" s="19">
        <v>13</v>
      </c>
      <c r="C14" s="19" t="s">
        <v>1297</v>
      </c>
      <c r="D14" s="19" t="s">
        <v>1541</v>
      </c>
      <c r="E14" s="19" t="s">
        <v>242</v>
      </c>
      <c r="F14" s="19">
        <f t="shared" si="0"/>
        <v>8</v>
      </c>
      <c r="G14" s="19"/>
      <c r="H14" s="19"/>
      <c r="I14" s="19" t="s">
        <v>69</v>
      </c>
      <c r="J14" s="30" t="s">
        <v>597</v>
      </c>
      <c r="K14" s="19"/>
      <c r="L14" s="19"/>
      <c r="M14" s="30" t="s">
        <v>592</v>
      </c>
      <c r="N14" s="30"/>
      <c r="O14" s="19" t="s">
        <v>3919</v>
      </c>
      <c r="P14" s="30"/>
      <c r="Q14" s="30"/>
      <c r="R14" s="26" t="s">
        <v>592</v>
      </c>
    </row>
    <row r="15" spans="1:18" s="7" customFormat="1">
      <c r="A15" s="19" t="s">
        <v>14</v>
      </c>
      <c r="B15" s="19">
        <v>14</v>
      </c>
      <c r="C15" s="32" t="s">
        <v>1640</v>
      </c>
      <c r="D15" s="18" t="s">
        <v>1570</v>
      </c>
      <c r="E15" s="32" t="s">
        <v>38</v>
      </c>
      <c r="F15" s="19">
        <v>200</v>
      </c>
      <c r="G15" s="32" t="s">
        <v>1519</v>
      </c>
      <c r="H15" s="19" t="s">
        <v>1532</v>
      </c>
      <c r="I15" s="19" t="s">
        <v>69</v>
      </c>
      <c r="J15" s="30" t="s">
        <v>597</v>
      </c>
      <c r="K15" s="32"/>
      <c r="L15" s="32"/>
      <c r="M15" s="30" t="s">
        <v>592</v>
      </c>
      <c r="N15" s="19"/>
      <c r="O15" s="18" t="s">
        <v>1570</v>
      </c>
      <c r="P15" s="19"/>
      <c r="Q15" s="19"/>
      <c r="R15" s="26" t="s">
        <v>592</v>
      </c>
    </row>
    <row r="16" spans="1:18" s="7" customFormat="1">
      <c r="A16" s="19" t="s">
        <v>14</v>
      </c>
      <c r="B16" s="19">
        <v>15</v>
      </c>
      <c r="C16" s="32" t="s">
        <v>1641</v>
      </c>
      <c r="D16" s="18" t="s">
        <v>1571</v>
      </c>
      <c r="E16" s="32" t="s">
        <v>38</v>
      </c>
      <c r="F16" s="19">
        <v>200</v>
      </c>
      <c r="G16" s="32" t="s">
        <v>1531</v>
      </c>
      <c r="H16" s="19" t="s">
        <v>1532</v>
      </c>
      <c r="I16" s="19" t="s">
        <v>69</v>
      </c>
      <c r="J16" s="30" t="s">
        <v>597</v>
      </c>
      <c r="K16" s="32"/>
      <c r="L16" s="32"/>
      <c r="M16" s="30" t="s">
        <v>592</v>
      </c>
      <c r="N16" s="19"/>
      <c r="O16" s="18" t="s">
        <v>1571</v>
      </c>
      <c r="P16" s="19"/>
      <c r="Q16" s="19"/>
      <c r="R16" s="26" t="s">
        <v>592</v>
      </c>
    </row>
    <row r="17" spans="1:18" s="7" customFormat="1">
      <c r="A17" s="19" t="s">
        <v>14</v>
      </c>
      <c r="B17" s="19">
        <v>16</v>
      </c>
      <c r="C17" s="32" t="s">
        <v>1642</v>
      </c>
      <c r="D17" s="18" t="s">
        <v>1572</v>
      </c>
      <c r="E17" s="32" t="s">
        <v>38</v>
      </c>
      <c r="F17" s="19">
        <v>200</v>
      </c>
      <c r="G17" s="32"/>
      <c r="H17" s="19"/>
      <c r="I17" s="19" t="s">
        <v>69</v>
      </c>
      <c r="J17" s="30" t="s">
        <v>597</v>
      </c>
      <c r="K17" s="32"/>
      <c r="L17" s="32"/>
      <c r="M17" s="30" t="s">
        <v>592</v>
      </c>
      <c r="N17" s="19"/>
      <c r="O17" s="18" t="s">
        <v>1573</v>
      </c>
      <c r="P17" s="19"/>
      <c r="Q17" s="19"/>
      <c r="R17" s="26" t="s">
        <v>592</v>
      </c>
    </row>
    <row r="18" spans="1:18">
      <c r="A18" s="19" t="s">
        <v>14</v>
      </c>
      <c r="B18" s="19">
        <v>17</v>
      </c>
      <c r="C18" s="2" t="s">
        <v>1534</v>
      </c>
      <c r="D18" s="18" t="s">
        <v>1550</v>
      </c>
      <c r="E18" s="2" t="s">
        <v>38</v>
      </c>
      <c r="F18" s="19">
        <f t="shared" si="0"/>
        <v>200</v>
      </c>
      <c r="G18" s="2" t="s">
        <v>1519</v>
      </c>
      <c r="H18" s="30" t="s">
        <v>1532</v>
      </c>
      <c r="I18" s="19" t="s">
        <v>69</v>
      </c>
      <c r="J18" s="30" t="s">
        <v>597</v>
      </c>
      <c r="K18" s="19" t="s">
        <v>258</v>
      </c>
      <c r="L18" s="2" t="s">
        <v>49</v>
      </c>
      <c r="M18" s="30"/>
      <c r="N18" s="30"/>
      <c r="O18" s="18" t="s">
        <v>1550</v>
      </c>
      <c r="P18" s="30"/>
      <c r="Q18" s="30"/>
      <c r="R18" s="26" t="s">
        <v>592</v>
      </c>
    </row>
    <row r="19" spans="1:18">
      <c r="A19" s="19" t="s">
        <v>14</v>
      </c>
      <c r="B19" s="19">
        <v>18</v>
      </c>
      <c r="C19" s="2" t="s">
        <v>1535</v>
      </c>
      <c r="D19" s="18" t="s">
        <v>1551</v>
      </c>
      <c r="E19" s="2" t="s">
        <v>38</v>
      </c>
      <c r="F19" s="19">
        <f t="shared" si="0"/>
        <v>200</v>
      </c>
      <c r="G19" s="2" t="s">
        <v>1531</v>
      </c>
      <c r="H19" s="30" t="s">
        <v>1532</v>
      </c>
      <c r="I19" s="19" t="s">
        <v>69</v>
      </c>
      <c r="J19" s="30" t="s">
        <v>597</v>
      </c>
      <c r="K19" s="19" t="s">
        <v>258</v>
      </c>
      <c r="L19" s="2" t="s">
        <v>49</v>
      </c>
      <c r="M19" s="30"/>
      <c r="N19" s="30"/>
      <c r="O19" s="18" t="s">
        <v>1551</v>
      </c>
      <c r="P19" s="30"/>
      <c r="Q19" s="30"/>
      <c r="R19" s="26" t="s">
        <v>592</v>
      </c>
    </row>
    <row r="20" spans="1:18">
      <c r="A20" s="19" t="s">
        <v>14</v>
      </c>
      <c r="B20" s="19">
        <v>19</v>
      </c>
      <c r="C20" s="2" t="s">
        <v>1536</v>
      </c>
      <c r="D20" s="18" t="s">
        <v>1542</v>
      </c>
      <c r="E20" s="2" t="s">
        <v>38</v>
      </c>
      <c r="F20" s="19">
        <f t="shared" si="0"/>
        <v>200</v>
      </c>
      <c r="G20" s="2"/>
      <c r="H20" s="30"/>
      <c r="I20" s="19" t="s">
        <v>69</v>
      </c>
      <c r="J20" s="30" t="s">
        <v>597</v>
      </c>
      <c r="K20" s="19" t="s">
        <v>258</v>
      </c>
      <c r="L20" s="2" t="s">
        <v>49</v>
      </c>
      <c r="M20" s="30"/>
      <c r="N20" s="30"/>
      <c r="O20" s="19" t="s">
        <v>1543</v>
      </c>
      <c r="P20" s="30"/>
      <c r="Q20" s="30"/>
      <c r="R20" s="26" t="s">
        <v>592</v>
      </c>
    </row>
    <row r="21" spans="1:18">
      <c r="A21" s="19" t="s">
        <v>14</v>
      </c>
      <c r="B21" s="19">
        <v>20</v>
      </c>
      <c r="C21" s="19" t="s">
        <v>214</v>
      </c>
      <c r="D21" s="19" t="s">
        <v>1544</v>
      </c>
      <c r="E21" s="19" t="s">
        <v>38</v>
      </c>
      <c r="F21" s="19">
        <f>IF(E21="Char",200,8)</f>
        <v>200</v>
      </c>
      <c r="G21" s="30"/>
      <c r="H21" s="19" t="s">
        <v>1053</v>
      </c>
      <c r="I21" s="19" t="s">
        <v>3322</v>
      </c>
      <c r="J21" s="34" t="s">
        <v>3323</v>
      </c>
      <c r="K21" s="30"/>
      <c r="L21" s="30"/>
      <c r="M21" s="19" t="s">
        <v>78</v>
      </c>
      <c r="N21" s="30"/>
      <c r="O21" s="19"/>
      <c r="P21" s="30"/>
      <c r="Q21" s="30"/>
      <c r="R21" s="30"/>
    </row>
    <row r="22" spans="1:18">
      <c r="A22" s="19" t="s">
        <v>14</v>
      </c>
      <c r="B22" s="19">
        <v>21</v>
      </c>
      <c r="C22" s="19" t="s">
        <v>962</v>
      </c>
      <c r="D22" s="19" t="s">
        <v>1552</v>
      </c>
      <c r="E22" s="19" t="s">
        <v>38</v>
      </c>
      <c r="F22" s="19">
        <f>IF(E22="Char",200,8)</f>
        <v>200</v>
      </c>
      <c r="G22" s="30"/>
      <c r="H22" s="19" t="s">
        <v>1053</v>
      </c>
      <c r="I22" s="19" t="s">
        <v>3322</v>
      </c>
      <c r="J22" s="34" t="s">
        <v>3323</v>
      </c>
      <c r="K22" s="30"/>
      <c r="L22" s="30"/>
      <c r="M22" s="19" t="s">
        <v>78</v>
      </c>
      <c r="N22" s="30"/>
      <c r="O22" s="30"/>
      <c r="P22" s="30"/>
      <c r="Q22" s="30"/>
      <c r="R22" s="30"/>
    </row>
    <row r="23" spans="1:18">
      <c r="A23" s="19" t="s">
        <v>14</v>
      </c>
      <c r="B23" s="19">
        <v>22</v>
      </c>
      <c r="C23" s="19" t="s">
        <v>687</v>
      </c>
      <c r="D23" s="19" t="s">
        <v>1545</v>
      </c>
      <c r="E23" s="30" t="s">
        <v>38</v>
      </c>
      <c r="F23" s="19">
        <v>200</v>
      </c>
      <c r="G23" s="19" t="s">
        <v>427</v>
      </c>
      <c r="H23" s="19"/>
      <c r="I23" s="19" t="s">
        <v>757</v>
      </c>
      <c r="J23" s="30" t="s">
        <v>597</v>
      </c>
      <c r="K23" s="30"/>
      <c r="L23" s="30"/>
      <c r="M23" s="30" t="s">
        <v>78</v>
      </c>
      <c r="N23" s="19" t="s">
        <v>596</v>
      </c>
      <c r="O23" s="19" t="s">
        <v>427</v>
      </c>
      <c r="P23" s="30"/>
      <c r="Q23" s="30"/>
      <c r="R23" s="30"/>
    </row>
    <row r="24" spans="1:18">
      <c r="A24" s="19" t="s">
        <v>14</v>
      </c>
      <c r="B24" s="19">
        <v>23</v>
      </c>
      <c r="C24" s="19" t="s">
        <v>688</v>
      </c>
      <c r="D24" s="19" t="s">
        <v>1546</v>
      </c>
      <c r="E24" s="30" t="s">
        <v>38</v>
      </c>
      <c r="F24" s="19">
        <v>200</v>
      </c>
      <c r="G24" s="33"/>
      <c r="H24" s="33"/>
      <c r="I24" s="30"/>
      <c r="J24" s="19"/>
      <c r="K24" s="30"/>
      <c r="L24" s="30"/>
      <c r="M24" s="30" t="s">
        <v>78</v>
      </c>
      <c r="N24" s="30"/>
      <c r="O24" s="33" t="s">
        <v>1300</v>
      </c>
      <c r="P24" s="30"/>
      <c r="Q24" s="30"/>
      <c r="R24" s="30"/>
    </row>
  </sheetData>
  <phoneticPr fontId="67" type="noConversion"/>
  <conditionalFormatting sqref="C6">
    <cfRule type="duplicateValues" dxfId="27" priority="4"/>
  </conditionalFormatting>
  <conditionalFormatting sqref="C15:C17">
    <cfRule type="duplicateValues" dxfId="26" priority="3"/>
  </conditionalFormatting>
  <conditionalFormatting sqref="G3">
    <cfRule type="duplicateValues" dxfId="25" priority="2"/>
  </conditionalFormatting>
  <conditionalFormatting sqref="H3">
    <cfRule type="duplicateValues" dxfId="24"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F18BD-9048-46D1-8EEA-48D85FD8A7D7}">
  <sheetPr codeName="Sheet34">
    <tabColor rgb="FF00B050"/>
  </sheetPr>
  <dimension ref="A1:R36"/>
  <sheetViews>
    <sheetView zoomScaleNormal="100" workbookViewId="0">
      <selection activeCell="D9" sqref="D9"/>
    </sheetView>
  </sheetViews>
  <sheetFormatPr defaultColWidth="8.453125" defaultRowHeight="15.6"/>
  <cols>
    <col min="1" max="1" width="7" style="10" customWidth="1"/>
    <col min="2" max="2" width="3.6328125" style="10" customWidth="1"/>
    <col min="3" max="3" width="12.26953125" style="10" customWidth="1"/>
    <col min="4" max="4" width="35.453125" style="10" customWidth="1"/>
    <col min="5" max="5" width="4.6328125" style="10" customWidth="1"/>
    <col min="6" max="6" width="6.08984375" style="10" customWidth="1"/>
    <col min="7" max="7" width="20.54296875" style="10" bestFit="1" customWidth="1"/>
    <col min="8" max="8" width="20" style="10" customWidth="1"/>
    <col min="9" max="9" width="9.453125" style="10" customWidth="1"/>
    <col min="10" max="10" width="11.6328125" style="7" customWidth="1"/>
    <col min="11" max="11" width="17.81640625" style="10" customWidth="1"/>
    <col min="12" max="12" width="5" style="10" customWidth="1"/>
    <col min="13" max="13" width="4.81640625" style="10" customWidth="1"/>
    <col min="14" max="14" width="7.1796875" style="10" customWidth="1"/>
    <col min="15" max="15" width="76.453125" style="10" customWidth="1"/>
    <col min="16" max="16" width="8.453125" style="10"/>
    <col min="17" max="17" width="7.08984375" style="10" customWidth="1"/>
    <col min="18" max="16384" width="8.453125" style="10"/>
  </cols>
  <sheetData>
    <row r="1" spans="1:18" s="7"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c r="A2" s="30" t="s">
        <v>974</v>
      </c>
      <c r="B2" s="30">
        <v>1</v>
      </c>
      <c r="C2" s="34" t="s">
        <v>614</v>
      </c>
      <c r="D2" s="30" t="s">
        <v>3407</v>
      </c>
      <c r="E2" s="30" t="s">
        <v>38</v>
      </c>
      <c r="F2" s="50">
        <f>IF(E2="Char",200,8)</f>
        <v>200</v>
      </c>
      <c r="G2" s="30"/>
      <c r="H2" s="30"/>
      <c r="I2" s="30" t="s">
        <v>757</v>
      </c>
      <c r="J2" s="30" t="s">
        <v>597</v>
      </c>
      <c r="K2" s="30" t="s">
        <v>55</v>
      </c>
      <c r="L2" s="30" t="s">
        <v>39</v>
      </c>
      <c r="M2" s="30"/>
      <c r="N2" s="30"/>
      <c r="O2" s="24" t="s">
        <v>3408</v>
      </c>
      <c r="P2" s="19"/>
      <c r="Q2" s="26" t="s">
        <v>592</v>
      </c>
      <c r="R2" s="30"/>
    </row>
    <row r="3" spans="1:18">
      <c r="A3" s="30" t="s">
        <v>974</v>
      </c>
      <c r="B3" s="30">
        <v>2</v>
      </c>
      <c r="C3" s="34" t="s">
        <v>618</v>
      </c>
      <c r="D3" s="30" t="s">
        <v>3409</v>
      </c>
      <c r="E3" s="30" t="s">
        <v>38</v>
      </c>
      <c r="F3" s="50">
        <f t="shared" ref="F3:F32" si="0">IF(E3="Char",200,8)</f>
        <v>200</v>
      </c>
      <c r="G3" s="29" t="s">
        <v>3336</v>
      </c>
      <c r="H3" s="29" t="s">
        <v>618</v>
      </c>
      <c r="I3" s="30" t="s">
        <v>619</v>
      </c>
      <c r="J3" s="30" t="s">
        <v>597</v>
      </c>
      <c r="K3" s="30" t="s">
        <v>55</v>
      </c>
      <c r="L3" s="30" t="s">
        <v>39</v>
      </c>
      <c r="M3" s="30"/>
      <c r="N3" s="30" t="s">
        <v>597</v>
      </c>
      <c r="O3" s="30"/>
      <c r="P3" s="30"/>
      <c r="Q3" s="30"/>
      <c r="R3" s="30"/>
    </row>
    <row r="4" spans="1:18">
      <c r="A4" s="30" t="s">
        <v>974</v>
      </c>
      <c r="B4" s="30">
        <v>3</v>
      </c>
      <c r="C4" s="34" t="s">
        <v>620</v>
      </c>
      <c r="D4" s="30" t="s">
        <v>3410</v>
      </c>
      <c r="E4" s="30" t="s">
        <v>38</v>
      </c>
      <c r="F4" s="50">
        <f t="shared" si="0"/>
        <v>200</v>
      </c>
      <c r="G4" s="30"/>
      <c r="H4" s="30"/>
      <c r="I4" s="30" t="s">
        <v>590</v>
      </c>
      <c r="J4" s="30" t="s">
        <v>597</v>
      </c>
      <c r="K4" s="30" t="s">
        <v>55</v>
      </c>
      <c r="L4" s="30" t="s">
        <v>39</v>
      </c>
      <c r="M4" s="30"/>
      <c r="N4" s="30"/>
      <c r="O4" s="26" t="s">
        <v>3411</v>
      </c>
      <c r="P4" s="30"/>
      <c r="Q4" s="30"/>
      <c r="R4" s="30" t="s">
        <v>592</v>
      </c>
    </row>
    <row r="5" spans="1:18">
      <c r="A5" s="30" t="s">
        <v>974</v>
      </c>
      <c r="B5" s="30">
        <v>4</v>
      </c>
      <c r="C5" s="34" t="s">
        <v>975</v>
      </c>
      <c r="D5" s="30" t="s">
        <v>3412</v>
      </c>
      <c r="E5" s="30" t="s">
        <v>242</v>
      </c>
      <c r="F5" s="50">
        <f t="shared" si="0"/>
        <v>8</v>
      </c>
      <c r="G5" s="30"/>
      <c r="H5" s="30"/>
      <c r="I5" s="30" t="s">
        <v>590</v>
      </c>
      <c r="J5" s="30" t="s">
        <v>597</v>
      </c>
      <c r="K5" s="30" t="s">
        <v>55</v>
      </c>
      <c r="L5" s="30" t="s">
        <v>39</v>
      </c>
      <c r="M5" s="30"/>
      <c r="N5" s="30"/>
      <c r="O5" s="19" t="s">
        <v>3916</v>
      </c>
      <c r="P5" s="30"/>
      <c r="Q5" s="30"/>
      <c r="R5" s="30" t="s">
        <v>592</v>
      </c>
    </row>
    <row r="6" spans="1:18">
      <c r="A6" s="30" t="s">
        <v>974</v>
      </c>
      <c r="B6" s="30">
        <v>5</v>
      </c>
      <c r="C6" s="30" t="s">
        <v>1290</v>
      </c>
      <c r="D6" s="30" t="s">
        <v>3450</v>
      </c>
      <c r="E6" s="30" t="s">
        <v>38</v>
      </c>
      <c r="F6" s="50">
        <f t="shared" ref="F6" si="1">IF(E6="Char",200,8)</f>
        <v>200</v>
      </c>
      <c r="G6" s="30"/>
      <c r="H6" s="30"/>
      <c r="I6" s="30" t="s">
        <v>590</v>
      </c>
      <c r="J6" s="30" t="s">
        <v>597</v>
      </c>
      <c r="K6" s="30" t="s">
        <v>55</v>
      </c>
      <c r="L6" s="30" t="s">
        <v>49</v>
      </c>
      <c r="M6" s="30"/>
      <c r="N6" s="30"/>
      <c r="O6" s="19" t="s">
        <v>3926</v>
      </c>
      <c r="P6" s="30"/>
      <c r="Q6" s="19"/>
      <c r="R6" s="19" t="s">
        <v>592</v>
      </c>
    </row>
    <row r="7" spans="1:18">
      <c r="A7" s="30" t="s">
        <v>974</v>
      </c>
      <c r="B7" s="30">
        <v>6</v>
      </c>
      <c r="C7" s="34" t="s">
        <v>976</v>
      </c>
      <c r="D7" s="30" t="s">
        <v>3451</v>
      </c>
      <c r="E7" s="30" t="s">
        <v>38</v>
      </c>
      <c r="F7" s="50">
        <f t="shared" si="0"/>
        <v>200</v>
      </c>
      <c r="G7" s="30" t="s">
        <v>977</v>
      </c>
      <c r="H7" s="30" t="s">
        <v>976</v>
      </c>
      <c r="I7" s="30" t="s">
        <v>757</v>
      </c>
      <c r="J7" s="30" t="s">
        <v>597</v>
      </c>
      <c r="K7" s="30" t="s">
        <v>245</v>
      </c>
      <c r="L7" s="30" t="s">
        <v>39</v>
      </c>
      <c r="M7" s="30"/>
      <c r="N7" s="30"/>
      <c r="O7" s="30"/>
      <c r="P7" s="30"/>
      <c r="Q7" s="30"/>
      <c r="R7" s="30"/>
    </row>
    <row r="8" spans="1:18">
      <c r="A8" s="30" t="s">
        <v>974</v>
      </c>
      <c r="B8" s="30">
        <v>7</v>
      </c>
      <c r="C8" s="34" t="s">
        <v>978</v>
      </c>
      <c r="D8" s="30" t="s">
        <v>3452</v>
      </c>
      <c r="E8" s="30" t="s">
        <v>38</v>
      </c>
      <c r="F8" s="50">
        <f t="shared" si="0"/>
        <v>200</v>
      </c>
      <c r="G8" s="30" t="s">
        <v>979</v>
      </c>
      <c r="H8" s="30" t="s">
        <v>980</v>
      </c>
      <c r="I8" s="30" t="s">
        <v>757</v>
      </c>
      <c r="J8" s="30" t="s">
        <v>597</v>
      </c>
      <c r="K8" s="30" t="s">
        <v>111</v>
      </c>
      <c r="L8" s="30" t="s">
        <v>39</v>
      </c>
      <c r="M8" s="30"/>
      <c r="N8" s="30"/>
      <c r="O8" s="30"/>
      <c r="P8" s="30"/>
      <c r="Q8" s="30"/>
      <c r="R8" s="30"/>
    </row>
    <row r="9" spans="1:18">
      <c r="A9" s="30" t="s">
        <v>974</v>
      </c>
      <c r="B9" s="30">
        <v>8</v>
      </c>
      <c r="C9" s="34" t="s">
        <v>981</v>
      </c>
      <c r="D9" s="119" t="s">
        <v>3992</v>
      </c>
      <c r="E9" s="30" t="s">
        <v>38</v>
      </c>
      <c r="F9" s="50">
        <f t="shared" si="0"/>
        <v>200</v>
      </c>
      <c r="G9" s="30"/>
      <c r="H9" s="34" t="s">
        <v>981</v>
      </c>
      <c r="I9" s="30" t="s">
        <v>757</v>
      </c>
      <c r="J9" s="30" t="s">
        <v>597</v>
      </c>
      <c r="K9" s="30" t="s">
        <v>264</v>
      </c>
      <c r="L9" s="30" t="s">
        <v>49</v>
      </c>
      <c r="M9" s="30"/>
      <c r="N9" s="30"/>
      <c r="O9" s="30"/>
      <c r="P9" s="30"/>
      <c r="Q9" s="30"/>
      <c r="R9" s="30"/>
    </row>
    <row r="10" spans="1:18">
      <c r="A10" s="30" t="s">
        <v>974</v>
      </c>
      <c r="B10" s="30">
        <v>9</v>
      </c>
      <c r="C10" s="34" t="s">
        <v>982</v>
      </c>
      <c r="D10" s="30" t="s">
        <v>3415</v>
      </c>
      <c r="E10" s="30" t="s">
        <v>38</v>
      </c>
      <c r="F10" s="50">
        <f t="shared" si="0"/>
        <v>200</v>
      </c>
      <c r="G10" s="30"/>
      <c r="H10" s="30"/>
      <c r="I10" s="19" t="s">
        <v>3322</v>
      </c>
      <c r="J10" s="27" t="s">
        <v>3324</v>
      </c>
      <c r="K10" s="30" t="s">
        <v>248</v>
      </c>
      <c r="L10" s="30" t="s">
        <v>42</v>
      </c>
      <c r="M10" s="30"/>
      <c r="N10" s="30"/>
      <c r="O10" s="30"/>
      <c r="P10" s="30"/>
      <c r="Q10" s="30"/>
      <c r="R10" s="30"/>
    </row>
    <row r="11" spans="1:18">
      <c r="A11" s="30" t="s">
        <v>974</v>
      </c>
      <c r="B11" s="30">
        <v>10</v>
      </c>
      <c r="C11" s="34" t="s">
        <v>983</v>
      </c>
      <c r="D11" s="30" t="s">
        <v>3416</v>
      </c>
      <c r="E11" s="30" t="s">
        <v>38</v>
      </c>
      <c r="F11" s="50">
        <f t="shared" si="0"/>
        <v>200</v>
      </c>
      <c r="G11" s="30" t="s">
        <v>728</v>
      </c>
      <c r="H11" s="30" t="s">
        <v>984</v>
      </c>
      <c r="I11" s="19" t="s">
        <v>3322</v>
      </c>
      <c r="J11" s="27" t="s">
        <v>3324</v>
      </c>
      <c r="K11" s="30" t="s">
        <v>275</v>
      </c>
      <c r="L11" s="30" t="s">
        <v>42</v>
      </c>
      <c r="M11" s="30"/>
      <c r="N11" s="30"/>
      <c r="O11" s="30"/>
      <c r="P11" s="30"/>
      <c r="Q11" s="30"/>
      <c r="R11" s="30"/>
    </row>
    <row r="12" spans="1:18" s="46" customFormat="1">
      <c r="A12" s="51" t="s">
        <v>974</v>
      </c>
      <c r="B12" s="51">
        <v>11</v>
      </c>
      <c r="C12" s="52" t="s">
        <v>1869</v>
      </c>
      <c r="D12" s="53" t="s">
        <v>3453</v>
      </c>
      <c r="E12" s="53" t="s">
        <v>38</v>
      </c>
      <c r="F12" s="53">
        <f t="shared" si="0"/>
        <v>200</v>
      </c>
      <c r="G12" s="53"/>
      <c r="H12" s="53"/>
      <c r="I12" s="53" t="s">
        <v>3322</v>
      </c>
      <c r="J12" s="54" t="s">
        <v>3324</v>
      </c>
      <c r="K12" s="53" t="s">
        <v>275</v>
      </c>
      <c r="L12" s="53" t="s">
        <v>42</v>
      </c>
      <c r="M12" s="53"/>
      <c r="N12" s="53"/>
      <c r="O12" s="53"/>
      <c r="P12" s="53"/>
      <c r="Q12" s="53"/>
      <c r="R12" s="53"/>
    </row>
    <row r="13" spans="1:18" s="46" customFormat="1">
      <c r="A13" s="51" t="s">
        <v>974</v>
      </c>
      <c r="B13" s="51">
        <v>12</v>
      </c>
      <c r="C13" s="52" t="s">
        <v>1868</v>
      </c>
      <c r="D13" s="53" t="s">
        <v>3454</v>
      </c>
      <c r="E13" s="53" t="s">
        <v>38</v>
      </c>
      <c r="F13" s="53">
        <f t="shared" si="0"/>
        <v>200</v>
      </c>
      <c r="G13" s="53"/>
      <c r="H13" s="53"/>
      <c r="I13" s="53" t="s">
        <v>3322</v>
      </c>
      <c r="J13" s="54" t="s">
        <v>3324</v>
      </c>
      <c r="K13" s="53" t="s">
        <v>275</v>
      </c>
      <c r="L13" s="53" t="s">
        <v>42</v>
      </c>
      <c r="M13" s="53"/>
      <c r="N13" s="53"/>
      <c r="O13" s="53"/>
      <c r="P13" s="53"/>
      <c r="Q13" s="53"/>
      <c r="R13" s="53"/>
    </row>
    <row r="14" spans="1:18">
      <c r="A14" s="30" t="s">
        <v>974</v>
      </c>
      <c r="B14" s="30">
        <v>13</v>
      </c>
      <c r="C14" s="34" t="s">
        <v>985</v>
      </c>
      <c r="D14" s="30" t="s">
        <v>3417</v>
      </c>
      <c r="E14" s="30" t="s">
        <v>38</v>
      </c>
      <c r="F14" s="50">
        <f t="shared" si="0"/>
        <v>200</v>
      </c>
      <c r="G14" s="30"/>
      <c r="H14" s="30"/>
      <c r="I14" s="30" t="s">
        <v>590</v>
      </c>
      <c r="J14" s="30" t="s">
        <v>597</v>
      </c>
      <c r="K14" s="30" t="s">
        <v>248</v>
      </c>
      <c r="L14" s="30" t="s">
        <v>42</v>
      </c>
      <c r="M14" s="30"/>
      <c r="N14" s="30"/>
      <c r="O14" s="19" t="s">
        <v>3418</v>
      </c>
      <c r="P14" s="30"/>
      <c r="Q14" s="30"/>
      <c r="R14" s="30" t="s">
        <v>592</v>
      </c>
    </row>
    <row r="15" spans="1:18">
      <c r="A15" s="30" t="s">
        <v>974</v>
      </c>
      <c r="B15" s="30">
        <v>14</v>
      </c>
      <c r="C15" s="34" t="s">
        <v>986</v>
      </c>
      <c r="D15" s="30" t="s">
        <v>3419</v>
      </c>
      <c r="E15" s="30" t="s">
        <v>242</v>
      </c>
      <c r="F15" s="50">
        <f t="shared" si="0"/>
        <v>8</v>
      </c>
      <c r="G15" s="30"/>
      <c r="H15" s="30"/>
      <c r="I15" s="30" t="s">
        <v>590</v>
      </c>
      <c r="J15" s="30" t="s">
        <v>597</v>
      </c>
      <c r="K15" s="30" t="s">
        <v>248</v>
      </c>
      <c r="L15" s="30" t="s">
        <v>42</v>
      </c>
      <c r="M15" s="30"/>
      <c r="N15" s="30"/>
      <c r="O15" s="19" t="s">
        <v>3420</v>
      </c>
      <c r="P15" s="30"/>
      <c r="Q15" s="30"/>
      <c r="R15" s="30" t="s">
        <v>592</v>
      </c>
    </row>
    <row r="16" spans="1:18">
      <c r="A16" s="30" t="s">
        <v>974</v>
      </c>
      <c r="B16" s="30">
        <v>15</v>
      </c>
      <c r="C16" s="34" t="s">
        <v>987</v>
      </c>
      <c r="D16" s="30" t="s">
        <v>3421</v>
      </c>
      <c r="E16" s="30" t="s">
        <v>38</v>
      </c>
      <c r="F16" s="50">
        <f t="shared" si="0"/>
        <v>200</v>
      </c>
      <c r="G16" s="30" t="s">
        <v>287</v>
      </c>
      <c r="H16" s="30" t="s">
        <v>984</v>
      </c>
      <c r="I16" s="30" t="s">
        <v>590</v>
      </c>
      <c r="J16" s="30" t="s">
        <v>597</v>
      </c>
      <c r="K16" s="30" t="s">
        <v>275</v>
      </c>
      <c r="L16" s="30" t="s">
        <v>42</v>
      </c>
      <c r="M16" s="30"/>
      <c r="N16" s="30"/>
      <c r="O16" s="19" t="s">
        <v>3422</v>
      </c>
      <c r="P16" s="30"/>
      <c r="Q16" s="30"/>
      <c r="R16" s="30" t="s">
        <v>592</v>
      </c>
    </row>
    <row r="17" spans="1:18" s="7" customFormat="1">
      <c r="A17" s="30" t="s">
        <v>974</v>
      </c>
      <c r="B17" s="30">
        <v>16</v>
      </c>
      <c r="C17" s="34" t="s">
        <v>1866</v>
      </c>
      <c r="D17" s="19" t="s">
        <v>3455</v>
      </c>
      <c r="E17" s="19" t="s">
        <v>242</v>
      </c>
      <c r="F17" s="19">
        <f t="shared" si="0"/>
        <v>8</v>
      </c>
      <c r="G17" s="19"/>
      <c r="H17" s="19"/>
      <c r="I17" s="19" t="s">
        <v>69</v>
      </c>
      <c r="J17" s="30" t="s">
        <v>597</v>
      </c>
      <c r="K17" s="19" t="s">
        <v>275</v>
      </c>
      <c r="L17" s="19" t="s">
        <v>42</v>
      </c>
      <c r="M17" s="19"/>
      <c r="N17" s="19"/>
      <c r="O17" s="19" t="s">
        <v>3456</v>
      </c>
      <c r="P17" s="19"/>
      <c r="Q17" s="19"/>
      <c r="R17" s="26" t="s">
        <v>592</v>
      </c>
    </row>
    <row r="18" spans="1:18" s="7" customFormat="1">
      <c r="A18" s="30" t="s">
        <v>974</v>
      </c>
      <c r="B18" s="30">
        <v>17</v>
      </c>
      <c r="C18" s="34" t="s">
        <v>1867</v>
      </c>
      <c r="D18" s="19" t="s">
        <v>3457</v>
      </c>
      <c r="E18" s="19" t="s">
        <v>242</v>
      </c>
      <c r="F18" s="19">
        <f t="shared" si="0"/>
        <v>8</v>
      </c>
      <c r="G18" s="19"/>
      <c r="H18" s="19"/>
      <c r="I18" s="19" t="s">
        <v>69</v>
      </c>
      <c r="J18" s="30" t="s">
        <v>597</v>
      </c>
      <c r="K18" s="19" t="s">
        <v>275</v>
      </c>
      <c r="L18" s="19" t="s">
        <v>42</v>
      </c>
      <c r="M18" s="19"/>
      <c r="N18" s="19"/>
      <c r="O18" s="19" t="s">
        <v>3458</v>
      </c>
      <c r="P18" s="19"/>
      <c r="Q18" s="19"/>
      <c r="R18" s="26" t="s">
        <v>592</v>
      </c>
    </row>
    <row r="19" spans="1:18">
      <c r="A19" s="30" t="s">
        <v>974</v>
      </c>
      <c r="B19" s="30">
        <v>18</v>
      </c>
      <c r="C19" s="34" t="s">
        <v>1864</v>
      </c>
      <c r="D19" s="30" t="s">
        <v>3459</v>
      </c>
      <c r="E19" s="30" t="s">
        <v>38</v>
      </c>
      <c r="F19" s="50">
        <f t="shared" ref="F19" si="2">IF(E19="Char",200,8)</f>
        <v>200</v>
      </c>
      <c r="G19" s="30"/>
      <c r="H19" s="30"/>
      <c r="I19" s="30" t="s">
        <v>590</v>
      </c>
      <c r="J19" s="30" t="s">
        <v>597</v>
      </c>
      <c r="K19" s="30" t="s">
        <v>275</v>
      </c>
      <c r="L19" s="30" t="s">
        <v>42</v>
      </c>
      <c r="M19" s="30"/>
      <c r="N19" s="30"/>
      <c r="O19" s="19" t="s">
        <v>3460</v>
      </c>
      <c r="P19" s="19"/>
      <c r="Q19" s="19"/>
      <c r="R19" s="26" t="s">
        <v>592</v>
      </c>
    </row>
    <row r="20" spans="1:18" s="7" customFormat="1">
      <c r="A20" s="30" t="s">
        <v>974</v>
      </c>
      <c r="B20" s="30">
        <v>19</v>
      </c>
      <c r="C20" s="34" t="s">
        <v>1291</v>
      </c>
      <c r="D20" s="30" t="s">
        <v>3423</v>
      </c>
      <c r="E20" s="30" t="s">
        <v>615</v>
      </c>
      <c r="F20" s="30">
        <f t="shared" si="0"/>
        <v>200</v>
      </c>
      <c r="G20" s="30" t="s">
        <v>765</v>
      </c>
      <c r="H20" s="30" t="s">
        <v>1127</v>
      </c>
      <c r="I20" s="19" t="s">
        <v>3322</v>
      </c>
      <c r="J20" s="34" t="s">
        <v>3323</v>
      </c>
      <c r="K20" s="30" t="s">
        <v>115</v>
      </c>
      <c r="L20" s="30" t="s">
        <v>49</v>
      </c>
      <c r="M20" s="30"/>
      <c r="N20" s="30"/>
      <c r="O20" s="19"/>
      <c r="P20" s="19"/>
      <c r="Q20" s="19"/>
      <c r="R20" s="19"/>
    </row>
    <row r="21" spans="1:18" s="7" customFormat="1">
      <c r="A21" s="30" t="s">
        <v>974</v>
      </c>
      <c r="B21" s="30">
        <v>20</v>
      </c>
      <c r="C21" s="34" t="s">
        <v>1292</v>
      </c>
      <c r="D21" s="30" t="s">
        <v>3424</v>
      </c>
      <c r="E21" s="30" t="s">
        <v>615</v>
      </c>
      <c r="F21" s="30">
        <f t="shared" si="0"/>
        <v>200</v>
      </c>
      <c r="G21" s="30"/>
      <c r="H21" s="30"/>
      <c r="I21" s="19" t="s">
        <v>3322</v>
      </c>
      <c r="J21" s="34" t="s">
        <v>3323</v>
      </c>
      <c r="K21" s="30" t="s">
        <v>115</v>
      </c>
      <c r="L21" s="30" t="s">
        <v>49</v>
      </c>
      <c r="M21" s="30"/>
      <c r="N21" s="30"/>
      <c r="O21" s="19"/>
      <c r="P21" s="19"/>
      <c r="Q21" s="19"/>
      <c r="R21" s="19"/>
    </row>
    <row r="22" spans="1:18" s="7" customFormat="1">
      <c r="A22" s="30" t="s">
        <v>974</v>
      </c>
      <c r="B22" s="30">
        <v>21</v>
      </c>
      <c r="C22" s="34" t="s">
        <v>1293</v>
      </c>
      <c r="D22" s="30" t="s">
        <v>3461</v>
      </c>
      <c r="E22" s="30" t="s">
        <v>615</v>
      </c>
      <c r="F22" s="30">
        <f t="shared" si="0"/>
        <v>200</v>
      </c>
      <c r="G22" s="30"/>
      <c r="H22" s="30"/>
      <c r="I22" s="30" t="s">
        <v>757</v>
      </c>
      <c r="J22" s="30" t="s">
        <v>597</v>
      </c>
      <c r="K22" s="30" t="s">
        <v>115</v>
      </c>
      <c r="L22" s="30" t="s">
        <v>49</v>
      </c>
      <c r="M22" s="30"/>
      <c r="N22" s="30"/>
      <c r="O22" s="19"/>
      <c r="P22" s="19"/>
      <c r="Q22" s="19"/>
      <c r="R22" s="19"/>
    </row>
    <row r="23" spans="1:18">
      <c r="A23" s="30" t="s">
        <v>974</v>
      </c>
      <c r="B23" s="30">
        <v>22</v>
      </c>
      <c r="C23" s="34" t="s">
        <v>988</v>
      </c>
      <c r="D23" s="30" t="s">
        <v>3462</v>
      </c>
      <c r="E23" s="30" t="s">
        <v>38</v>
      </c>
      <c r="F23" s="50">
        <f t="shared" si="0"/>
        <v>200</v>
      </c>
      <c r="G23" s="30" t="s">
        <v>768</v>
      </c>
      <c r="H23" s="30" t="s">
        <v>989</v>
      </c>
      <c r="I23" s="19" t="s">
        <v>3322</v>
      </c>
      <c r="J23" s="34" t="s">
        <v>3323</v>
      </c>
      <c r="K23" s="30" t="s">
        <v>115</v>
      </c>
      <c r="L23" s="30" t="s">
        <v>49</v>
      </c>
      <c r="M23" s="30"/>
      <c r="N23" s="30"/>
      <c r="O23" s="30"/>
      <c r="P23" s="30"/>
      <c r="Q23" s="30"/>
      <c r="R23" s="30"/>
    </row>
    <row r="24" spans="1:18">
      <c r="A24" s="30" t="s">
        <v>974</v>
      </c>
      <c r="B24" s="30">
        <v>23</v>
      </c>
      <c r="C24" s="34" t="s">
        <v>990</v>
      </c>
      <c r="D24" s="30" t="s">
        <v>3463</v>
      </c>
      <c r="E24" s="30" t="s">
        <v>38</v>
      </c>
      <c r="F24" s="50">
        <f t="shared" si="0"/>
        <v>200</v>
      </c>
      <c r="G24" s="30" t="s">
        <v>711</v>
      </c>
      <c r="H24" s="30" t="s">
        <v>991</v>
      </c>
      <c r="I24" s="30" t="s">
        <v>757</v>
      </c>
      <c r="J24" s="30" t="s">
        <v>597</v>
      </c>
      <c r="K24" s="30" t="s">
        <v>115</v>
      </c>
      <c r="L24" s="30" t="s">
        <v>49</v>
      </c>
      <c r="M24" s="30"/>
      <c r="N24" s="30"/>
      <c r="O24" s="30"/>
      <c r="P24" s="19"/>
      <c r="Q24" s="30"/>
      <c r="R24" s="30"/>
    </row>
    <row r="25" spans="1:18">
      <c r="A25" s="30" t="s">
        <v>974</v>
      </c>
      <c r="B25" s="30">
        <v>24</v>
      </c>
      <c r="C25" s="34" t="s">
        <v>1295</v>
      </c>
      <c r="D25" s="30" t="s">
        <v>3464</v>
      </c>
      <c r="E25" s="30" t="s">
        <v>242</v>
      </c>
      <c r="F25" s="50">
        <f t="shared" ref="F25" si="3">IF(E25="Char",200,8)</f>
        <v>8</v>
      </c>
      <c r="G25" s="30"/>
      <c r="H25" s="30"/>
      <c r="I25" s="19" t="s">
        <v>3322</v>
      </c>
      <c r="J25" s="27" t="s">
        <v>3324</v>
      </c>
      <c r="K25" s="30" t="s">
        <v>275</v>
      </c>
      <c r="L25" s="30" t="s">
        <v>42</v>
      </c>
      <c r="M25" s="30"/>
      <c r="N25" s="30"/>
      <c r="O25" s="30"/>
      <c r="P25" s="19"/>
      <c r="Q25" s="30"/>
      <c r="R25" s="30"/>
    </row>
    <row r="26" spans="1:18">
      <c r="A26" s="30" t="s">
        <v>974</v>
      </c>
      <c r="B26" s="30">
        <v>25</v>
      </c>
      <c r="C26" s="34" t="s">
        <v>714</v>
      </c>
      <c r="D26" s="30" t="s">
        <v>3425</v>
      </c>
      <c r="E26" s="30" t="s">
        <v>242</v>
      </c>
      <c r="F26" s="50">
        <f t="shared" si="0"/>
        <v>8</v>
      </c>
      <c r="G26" s="30"/>
      <c r="H26" s="34" t="s">
        <v>714</v>
      </c>
      <c r="I26" s="30" t="s">
        <v>590</v>
      </c>
      <c r="J26" s="30" t="s">
        <v>597</v>
      </c>
      <c r="K26" s="30" t="s">
        <v>258</v>
      </c>
      <c r="L26" s="30" t="s">
        <v>42</v>
      </c>
      <c r="M26" s="30"/>
      <c r="N26" s="30"/>
      <c r="O26" s="19" t="s">
        <v>3426</v>
      </c>
      <c r="P26" s="19"/>
      <c r="Q26" s="30"/>
      <c r="R26" s="30" t="s">
        <v>592</v>
      </c>
    </row>
    <row r="27" spans="1:18">
      <c r="A27" s="30" t="s">
        <v>974</v>
      </c>
      <c r="B27" s="30">
        <v>26</v>
      </c>
      <c r="C27" s="34" t="s">
        <v>715</v>
      </c>
      <c r="D27" s="30" t="s">
        <v>3427</v>
      </c>
      <c r="E27" s="30" t="s">
        <v>38</v>
      </c>
      <c r="F27" s="50">
        <f t="shared" si="0"/>
        <v>200</v>
      </c>
      <c r="G27" s="30"/>
      <c r="H27" s="34" t="s">
        <v>715</v>
      </c>
      <c r="I27" s="30" t="s">
        <v>590</v>
      </c>
      <c r="J27" s="30" t="s">
        <v>597</v>
      </c>
      <c r="K27" s="30" t="s">
        <v>258</v>
      </c>
      <c r="L27" s="30" t="s">
        <v>49</v>
      </c>
      <c r="M27" s="30"/>
      <c r="N27" s="30"/>
      <c r="O27" s="19" t="s">
        <v>3428</v>
      </c>
      <c r="P27" s="30"/>
      <c r="Q27" s="30"/>
      <c r="R27" s="30"/>
    </row>
    <row r="28" spans="1:18">
      <c r="A28" s="30" t="s">
        <v>974</v>
      </c>
      <c r="B28" s="30">
        <v>27</v>
      </c>
      <c r="C28" s="34" t="s">
        <v>992</v>
      </c>
      <c r="D28" s="30" t="s">
        <v>3465</v>
      </c>
      <c r="E28" s="30" t="s">
        <v>615</v>
      </c>
      <c r="F28" s="50">
        <f t="shared" si="0"/>
        <v>200</v>
      </c>
      <c r="G28" s="30"/>
      <c r="H28" s="55"/>
      <c r="I28" s="19" t="s">
        <v>3322</v>
      </c>
      <c r="J28" s="34" t="s">
        <v>3323</v>
      </c>
      <c r="K28" s="30" t="s">
        <v>624</v>
      </c>
      <c r="L28" s="30" t="s">
        <v>695</v>
      </c>
      <c r="M28" s="30"/>
      <c r="N28" s="30"/>
      <c r="O28" s="30"/>
      <c r="P28" s="30"/>
      <c r="Q28" s="30"/>
      <c r="R28" s="30"/>
    </row>
    <row r="29" spans="1:18">
      <c r="A29" s="30" t="s">
        <v>974</v>
      </c>
      <c r="B29" s="30">
        <v>28</v>
      </c>
      <c r="C29" s="34" t="s">
        <v>993</v>
      </c>
      <c r="D29" s="30" t="s">
        <v>3466</v>
      </c>
      <c r="E29" s="30" t="s">
        <v>621</v>
      </c>
      <c r="F29" s="50">
        <f t="shared" si="0"/>
        <v>8</v>
      </c>
      <c r="G29" s="30"/>
      <c r="H29" s="30"/>
      <c r="I29" s="30" t="s">
        <v>590</v>
      </c>
      <c r="J29" s="30" t="s">
        <v>597</v>
      </c>
      <c r="K29" s="30" t="s">
        <v>624</v>
      </c>
      <c r="L29" s="30" t="s">
        <v>625</v>
      </c>
      <c r="M29" s="30"/>
      <c r="N29" s="30"/>
      <c r="O29" s="19" t="s">
        <v>3919</v>
      </c>
      <c r="P29" s="30"/>
      <c r="Q29" s="30"/>
      <c r="R29" s="30" t="s">
        <v>592</v>
      </c>
    </row>
    <row r="30" spans="1:18">
      <c r="A30" s="30" t="s">
        <v>974</v>
      </c>
      <c r="B30" s="30">
        <v>29</v>
      </c>
      <c r="C30" s="30" t="s">
        <v>995</v>
      </c>
      <c r="D30" s="30" t="s">
        <v>3467</v>
      </c>
      <c r="E30" s="30" t="s">
        <v>615</v>
      </c>
      <c r="F30" s="30">
        <f t="shared" si="0"/>
        <v>200</v>
      </c>
      <c r="G30" s="30"/>
      <c r="H30" s="30"/>
      <c r="I30" s="19" t="s">
        <v>3322</v>
      </c>
      <c r="J30" s="34" t="s">
        <v>3323</v>
      </c>
      <c r="K30" s="30"/>
      <c r="L30" s="30"/>
      <c r="M30" s="30" t="s">
        <v>592</v>
      </c>
      <c r="N30" s="30"/>
      <c r="O30" s="30"/>
      <c r="P30" s="30"/>
      <c r="Q30" s="30"/>
      <c r="R30" s="30"/>
    </row>
    <row r="31" spans="1:18">
      <c r="A31" s="30" t="s">
        <v>974</v>
      </c>
      <c r="B31" s="30">
        <v>30</v>
      </c>
      <c r="C31" s="30" t="s">
        <v>996</v>
      </c>
      <c r="D31" s="30" t="s">
        <v>3468</v>
      </c>
      <c r="E31" s="30" t="s">
        <v>621</v>
      </c>
      <c r="F31" s="30">
        <f t="shared" si="0"/>
        <v>8</v>
      </c>
      <c r="G31" s="30"/>
      <c r="H31" s="30"/>
      <c r="I31" s="30" t="s">
        <v>590</v>
      </c>
      <c r="J31" s="30" t="s">
        <v>597</v>
      </c>
      <c r="K31" s="30"/>
      <c r="L31" s="30"/>
      <c r="M31" s="30" t="s">
        <v>592</v>
      </c>
      <c r="N31" s="30"/>
      <c r="O31" s="19" t="s">
        <v>3469</v>
      </c>
      <c r="P31" s="30"/>
      <c r="Q31" s="30"/>
      <c r="R31" s="30"/>
    </row>
    <row r="32" spans="1:18">
      <c r="A32" s="30" t="s">
        <v>974</v>
      </c>
      <c r="B32" s="30">
        <v>31</v>
      </c>
      <c r="C32" s="30" t="s">
        <v>994</v>
      </c>
      <c r="D32" s="30" t="s">
        <v>3470</v>
      </c>
      <c r="E32" s="30" t="s">
        <v>615</v>
      </c>
      <c r="F32" s="30">
        <f t="shared" si="0"/>
        <v>200</v>
      </c>
      <c r="G32" s="30"/>
      <c r="H32" s="30"/>
      <c r="I32" s="30" t="s">
        <v>757</v>
      </c>
      <c r="J32" s="30" t="s">
        <v>597</v>
      </c>
      <c r="K32" s="30"/>
      <c r="L32" s="30"/>
      <c r="M32" s="30" t="s">
        <v>592</v>
      </c>
      <c r="N32" s="30"/>
      <c r="O32" s="30" t="s">
        <v>3471</v>
      </c>
      <c r="P32" s="30"/>
      <c r="Q32" s="30"/>
      <c r="R32" s="30"/>
    </row>
    <row r="33" spans="1:18">
      <c r="A33" s="30" t="s">
        <v>974</v>
      </c>
      <c r="B33" s="30">
        <v>32</v>
      </c>
      <c r="C33" s="30" t="s">
        <v>997</v>
      </c>
      <c r="D33" s="30" t="s">
        <v>3472</v>
      </c>
      <c r="E33" s="30" t="s">
        <v>615</v>
      </c>
      <c r="F33" s="30">
        <f>IF(E33="Char",200,8)</f>
        <v>200</v>
      </c>
      <c r="G33" s="30"/>
      <c r="H33" s="30"/>
      <c r="I33" s="30" t="s">
        <v>619</v>
      </c>
      <c r="J33" s="30" t="s">
        <v>597</v>
      </c>
      <c r="K33" s="30"/>
      <c r="L33" s="30"/>
      <c r="M33" s="30" t="s">
        <v>592</v>
      </c>
      <c r="N33" s="30" t="s">
        <v>597</v>
      </c>
      <c r="O33" s="30"/>
      <c r="P33" s="30"/>
      <c r="Q33" s="30"/>
      <c r="R33" s="30"/>
    </row>
    <row r="34" spans="1:18">
      <c r="A34" s="30" t="s">
        <v>974</v>
      </c>
      <c r="B34" s="30">
        <v>33</v>
      </c>
      <c r="C34" s="30" t="s">
        <v>998</v>
      </c>
      <c r="D34" s="30" t="s">
        <v>3473</v>
      </c>
      <c r="E34" s="30" t="s">
        <v>615</v>
      </c>
      <c r="F34" s="30">
        <v>200</v>
      </c>
      <c r="G34" s="30"/>
      <c r="H34" s="30"/>
      <c r="I34" s="19" t="s">
        <v>3322</v>
      </c>
      <c r="J34" s="27" t="s">
        <v>3324</v>
      </c>
      <c r="K34" s="30"/>
      <c r="L34" s="30"/>
      <c r="M34" s="30" t="s">
        <v>592</v>
      </c>
      <c r="N34" s="30"/>
      <c r="O34" s="30"/>
      <c r="P34" s="30"/>
      <c r="Q34" s="30"/>
      <c r="R34" s="30"/>
    </row>
    <row r="35" spans="1:18">
      <c r="A35" s="30" t="s">
        <v>974</v>
      </c>
      <c r="B35" s="30">
        <v>34</v>
      </c>
      <c r="C35" s="30" t="s">
        <v>999</v>
      </c>
      <c r="D35" s="30" t="s">
        <v>3474</v>
      </c>
      <c r="E35" s="30" t="s">
        <v>621</v>
      </c>
      <c r="F35" s="30">
        <f t="shared" ref="F35" si="4">IF(E35="Char",200,8)</f>
        <v>8</v>
      </c>
      <c r="G35" s="30"/>
      <c r="H35" s="30"/>
      <c r="I35" s="19" t="s">
        <v>3322</v>
      </c>
      <c r="J35" s="27" t="s">
        <v>3324</v>
      </c>
      <c r="K35" s="30"/>
      <c r="L35" s="30"/>
      <c r="M35" s="30" t="s">
        <v>592</v>
      </c>
      <c r="N35" s="30"/>
      <c r="O35" s="30"/>
      <c r="P35" s="30"/>
      <c r="Q35" s="30"/>
      <c r="R35" s="30"/>
    </row>
    <row r="36" spans="1:18">
      <c r="A36" s="30" t="s">
        <v>974</v>
      </c>
      <c r="B36" s="30">
        <v>35</v>
      </c>
      <c r="C36" s="30" t="s">
        <v>1000</v>
      </c>
      <c r="D36" s="30" t="s">
        <v>3475</v>
      </c>
      <c r="E36" s="30" t="s">
        <v>615</v>
      </c>
      <c r="F36" s="30">
        <v>200</v>
      </c>
      <c r="G36" s="30"/>
      <c r="H36" s="30"/>
      <c r="I36" s="19" t="s">
        <v>3322</v>
      </c>
      <c r="J36" s="34" t="s">
        <v>3323</v>
      </c>
      <c r="K36" s="30"/>
      <c r="L36" s="30"/>
      <c r="M36" s="30" t="s">
        <v>592</v>
      </c>
      <c r="N36" s="30"/>
      <c r="O36" s="30"/>
      <c r="P36" s="30"/>
      <c r="Q36" s="30"/>
      <c r="R36" s="30"/>
    </row>
  </sheetData>
  <phoneticPr fontId="67" type="noConversion"/>
  <conditionalFormatting sqref="G3">
    <cfRule type="duplicateValues" dxfId="23" priority="2"/>
  </conditionalFormatting>
  <conditionalFormatting sqref="H3">
    <cfRule type="duplicateValues" dxfId="22" priority="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F9BF-8832-4BFB-95BE-45EB3561D927}">
  <sheetPr codeName="Sheet3">
    <tabColor rgb="FF00B050"/>
  </sheetPr>
  <dimension ref="A1:R23"/>
  <sheetViews>
    <sheetView workbookViewId="0">
      <selection activeCell="G16" sqref="G16"/>
    </sheetView>
  </sheetViews>
  <sheetFormatPr defaultColWidth="8.453125" defaultRowHeight="14.4"/>
  <cols>
    <col min="1" max="1" width="7" style="30" customWidth="1"/>
    <col min="2" max="2" width="3.6328125" style="30" customWidth="1"/>
    <col min="3" max="3" width="12.6328125" style="30" customWidth="1"/>
    <col min="4" max="4" width="17.08984375" style="30" customWidth="1"/>
    <col min="5" max="5" width="5.6328125" style="30" customWidth="1"/>
    <col min="6" max="6" width="6.1796875" style="30" customWidth="1"/>
    <col min="7" max="7" width="23.08984375" style="30" customWidth="1"/>
    <col min="8" max="8" width="23.453125" style="30" customWidth="1"/>
    <col min="9" max="9" width="9.26953125" style="30" customWidth="1"/>
    <col min="10" max="10" width="11.453125" style="19" customWidth="1"/>
    <col min="11" max="11" width="17.81640625" style="30" customWidth="1"/>
    <col min="12" max="12" width="5.81640625" style="30" customWidth="1"/>
    <col min="13" max="13" width="5" style="30" customWidth="1"/>
    <col min="14" max="14" width="6.1796875" style="30" customWidth="1"/>
    <col min="15" max="15" width="41.1796875" style="30" customWidth="1"/>
    <col min="16" max="16384" width="8.453125" style="30"/>
  </cols>
  <sheetData>
    <row r="1" spans="1:18" s="25" customFormat="1">
      <c r="A1" s="56" t="s">
        <v>26</v>
      </c>
      <c r="B1" s="56" t="s">
        <v>1</v>
      </c>
      <c r="C1" s="56" t="s">
        <v>27</v>
      </c>
      <c r="D1" s="56" t="s">
        <v>28</v>
      </c>
      <c r="E1" s="56" t="s">
        <v>29</v>
      </c>
      <c r="F1" s="56" t="s">
        <v>30</v>
      </c>
      <c r="G1" s="56" t="s">
        <v>31</v>
      </c>
      <c r="H1" s="23" t="s">
        <v>973</v>
      </c>
      <c r="I1" s="56" t="s">
        <v>32</v>
      </c>
      <c r="J1" s="23" t="s">
        <v>3306</v>
      </c>
      <c r="K1" s="56" t="s">
        <v>33</v>
      </c>
      <c r="L1" s="23" t="s">
        <v>34</v>
      </c>
      <c r="M1" s="23" t="s">
        <v>35</v>
      </c>
      <c r="N1" s="23" t="s">
        <v>36</v>
      </c>
      <c r="O1" s="23" t="s">
        <v>3328</v>
      </c>
      <c r="P1" s="23" t="s">
        <v>648</v>
      </c>
      <c r="Q1" s="23" t="s">
        <v>649</v>
      </c>
      <c r="R1" s="23" t="s">
        <v>650</v>
      </c>
    </row>
    <row r="2" spans="1:18" s="25" customFormat="1" ht="15.6">
      <c r="A2" s="48" t="s">
        <v>13</v>
      </c>
      <c r="B2" s="48">
        <v>1</v>
      </c>
      <c r="C2" s="48" t="s">
        <v>37</v>
      </c>
      <c r="D2" s="48" t="s">
        <v>3407</v>
      </c>
      <c r="E2" s="48" t="s">
        <v>38</v>
      </c>
      <c r="F2" s="48">
        <f>IF(E2="Char",2000,8)</f>
        <v>2000</v>
      </c>
      <c r="G2" s="48"/>
      <c r="H2" s="48"/>
      <c r="I2" s="19" t="s">
        <v>261</v>
      </c>
      <c r="J2" s="30" t="s">
        <v>597</v>
      </c>
      <c r="K2" s="48" t="s">
        <v>55</v>
      </c>
      <c r="L2" s="48" t="s">
        <v>39</v>
      </c>
      <c r="M2" s="48"/>
      <c r="N2" s="57"/>
      <c r="O2" s="24" t="s">
        <v>3408</v>
      </c>
      <c r="P2" s="19"/>
      <c r="Q2" s="19" t="s">
        <v>592</v>
      </c>
    </row>
    <row r="3" spans="1:18" s="25" customFormat="1" ht="15.6">
      <c r="A3" s="48" t="s">
        <v>13</v>
      </c>
      <c r="B3" s="48">
        <v>2</v>
      </c>
      <c r="C3" s="48" t="s">
        <v>57</v>
      </c>
      <c r="D3" s="48" t="s">
        <v>3409</v>
      </c>
      <c r="E3" s="48" t="s">
        <v>38</v>
      </c>
      <c r="F3" s="48">
        <f t="shared" ref="F3:F23" si="0">IF(E3="Char",2000,8)</f>
        <v>2000</v>
      </c>
      <c r="G3" s="29" t="s">
        <v>3336</v>
      </c>
      <c r="H3" s="29" t="s">
        <v>618</v>
      </c>
      <c r="I3" s="48" t="s">
        <v>60</v>
      </c>
      <c r="J3" s="30" t="s">
        <v>597</v>
      </c>
      <c r="K3" s="48" t="s">
        <v>55</v>
      </c>
      <c r="L3" s="48" t="s">
        <v>39</v>
      </c>
      <c r="M3" s="48"/>
      <c r="N3" s="19" t="s">
        <v>596</v>
      </c>
      <c r="O3" s="57"/>
    </row>
    <row r="4" spans="1:18" s="25" customFormat="1" ht="15.6">
      <c r="A4" s="48" t="s">
        <v>13</v>
      </c>
      <c r="B4" s="48">
        <v>3</v>
      </c>
      <c r="C4" s="48" t="s">
        <v>41</v>
      </c>
      <c r="D4" s="48" t="s">
        <v>3410</v>
      </c>
      <c r="E4" s="48" t="s">
        <v>38</v>
      </c>
      <c r="F4" s="48">
        <f t="shared" si="0"/>
        <v>2000</v>
      </c>
      <c r="G4" s="48"/>
      <c r="H4" s="48"/>
      <c r="I4" s="48" t="s">
        <v>69</v>
      </c>
      <c r="J4" s="30" t="s">
        <v>597</v>
      </c>
      <c r="K4" s="48" t="s">
        <v>55</v>
      </c>
      <c r="L4" s="48" t="s">
        <v>39</v>
      </c>
      <c r="M4" s="48"/>
      <c r="N4" s="57"/>
      <c r="O4" s="24" t="s">
        <v>3411</v>
      </c>
      <c r="R4" s="25" t="s">
        <v>592</v>
      </c>
    </row>
    <row r="5" spans="1:18" s="25" customFormat="1" ht="15.6">
      <c r="A5" s="48" t="s">
        <v>13</v>
      </c>
      <c r="B5" s="48">
        <v>4</v>
      </c>
      <c r="C5" s="48" t="s">
        <v>630</v>
      </c>
      <c r="D5" s="48" t="s">
        <v>3412</v>
      </c>
      <c r="E5" s="48" t="s">
        <v>242</v>
      </c>
      <c r="F5" s="48">
        <f t="shared" si="0"/>
        <v>8</v>
      </c>
      <c r="G5" s="48"/>
      <c r="H5" s="48"/>
      <c r="I5" s="48" t="s">
        <v>69</v>
      </c>
      <c r="J5" s="30" t="s">
        <v>597</v>
      </c>
      <c r="K5" s="48" t="s">
        <v>55</v>
      </c>
      <c r="L5" s="48" t="s">
        <v>39</v>
      </c>
      <c r="M5" s="48"/>
      <c r="N5" s="57"/>
      <c r="O5" s="19" t="s">
        <v>3916</v>
      </c>
      <c r="R5" s="19" t="s">
        <v>592</v>
      </c>
    </row>
    <row r="6" spans="1:18" s="25" customFormat="1" ht="15.6">
      <c r="A6" s="48" t="s">
        <v>13</v>
      </c>
      <c r="B6" s="48">
        <v>5</v>
      </c>
      <c r="C6" s="48" t="s">
        <v>750</v>
      </c>
      <c r="D6" s="48" t="s">
        <v>3476</v>
      </c>
      <c r="E6" s="48" t="s">
        <v>38</v>
      </c>
      <c r="F6" s="48">
        <f t="shared" si="0"/>
        <v>2000</v>
      </c>
      <c r="G6" s="48"/>
      <c r="H6" s="48"/>
      <c r="I6" s="27" t="s">
        <v>3322</v>
      </c>
      <c r="J6" s="27" t="s">
        <v>3323</v>
      </c>
      <c r="K6" s="48" t="s">
        <v>245</v>
      </c>
      <c r="L6" s="48" t="s">
        <v>39</v>
      </c>
      <c r="M6" s="48"/>
      <c r="N6" s="57"/>
      <c r="O6" s="57"/>
    </row>
    <row r="7" spans="1:18" s="25" customFormat="1" ht="15.6">
      <c r="A7" s="48" t="s">
        <v>13</v>
      </c>
      <c r="B7" s="48">
        <v>6</v>
      </c>
      <c r="C7" s="48" t="s">
        <v>1011</v>
      </c>
      <c r="D7" s="48" t="s">
        <v>3477</v>
      </c>
      <c r="E7" s="48" t="s">
        <v>38</v>
      </c>
      <c r="F7" s="48">
        <f t="shared" si="0"/>
        <v>2000</v>
      </c>
      <c r="G7" s="48"/>
      <c r="H7" s="48"/>
      <c r="I7" s="27" t="s">
        <v>3322</v>
      </c>
      <c r="J7" s="27" t="s">
        <v>3323</v>
      </c>
      <c r="K7" s="48"/>
      <c r="L7" s="48"/>
      <c r="M7" s="30" t="s">
        <v>78</v>
      </c>
      <c r="N7" s="57"/>
      <c r="O7" s="116" t="s">
        <v>3965</v>
      </c>
      <c r="Q7" s="25" t="s">
        <v>592</v>
      </c>
    </row>
    <row r="8" spans="1:18" ht="15.6">
      <c r="A8" s="48" t="s">
        <v>13</v>
      </c>
      <c r="B8" s="48">
        <v>7</v>
      </c>
      <c r="C8" s="48" t="s">
        <v>1650</v>
      </c>
      <c r="D8" s="48" t="s">
        <v>3478</v>
      </c>
      <c r="E8" s="48" t="s">
        <v>38</v>
      </c>
      <c r="F8" s="48">
        <f t="shared" si="0"/>
        <v>2000</v>
      </c>
      <c r="G8" s="48"/>
      <c r="H8" s="48"/>
      <c r="I8" s="27" t="s">
        <v>3322</v>
      </c>
      <c r="J8" s="27" t="s">
        <v>3323</v>
      </c>
      <c r="K8" s="48"/>
      <c r="L8" s="48"/>
      <c r="M8" s="30" t="s">
        <v>78</v>
      </c>
      <c r="N8" s="57"/>
      <c r="O8" s="116" t="s">
        <v>3965</v>
      </c>
      <c r="P8" s="25"/>
      <c r="Q8" s="25" t="s">
        <v>592</v>
      </c>
      <c r="R8" s="25"/>
    </row>
    <row r="9" spans="1:18" ht="15.6">
      <c r="A9" s="48" t="s">
        <v>13</v>
      </c>
      <c r="B9" s="48">
        <v>8</v>
      </c>
      <c r="C9" s="48" t="s">
        <v>1651</v>
      </c>
      <c r="D9" s="48" t="s">
        <v>3479</v>
      </c>
      <c r="E9" s="48" t="s">
        <v>38</v>
      </c>
      <c r="F9" s="48">
        <f t="shared" si="0"/>
        <v>2000</v>
      </c>
      <c r="G9" s="48"/>
      <c r="H9" s="48"/>
      <c r="I9" s="27" t="s">
        <v>3322</v>
      </c>
      <c r="J9" s="27" t="s">
        <v>3323</v>
      </c>
      <c r="K9" s="48"/>
      <c r="L9" s="48"/>
      <c r="M9" s="30" t="s">
        <v>78</v>
      </c>
      <c r="N9" s="57"/>
      <c r="O9" s="116" t="s">
        <v>3965</v>
      </c>
      <c r="P9" s="25"/>
      <c r="Q9" s="25" t="s">
        <v>592</v>
      </c>
      <c r="R9" s="25"/>
    </row>
    <row r="10" spans="1:18" s="25" customFormat="1" ht="15.6">
      <c r="A10" s="48" t="s">
        <v>13</v>
      </c>
      <c r="B10" s="48">
        <v>8</v>
      </c>
      <c r="C10" s="48" t="s">
        <v>1652</v>
      </c>
      <c r="D10" s="48" t="s">
        <v>3480</v>
      </c>
      <c r="E10" s="48" t="s">
        <v>38</v>
      </c>
      <c r="F10" s="48">
        <f t="shared" si="0"/>
        <v>2000</v>
      </c>
      <c r="G10" s="48"/>
      <c r="H10" s="48"/>
      <c r="I10" s="27" t="s">
        <v>3322</v>
      </c>
      <c r="J10" s="27" t="s">
        <v>3323</v>
      </c>
      <c r="K10" s="48"/>
      <c r="L10" s="48"/>
      <c r="M10" s="30" t="s">
        <v>78</v>
      </c>
      <c r="N10" s="57"/>
      <c r="O10" s="116" t="s">
        <v>3965</v>
      </c>
      <c r="Q10" s="25" t="s">
        <v>592</v>
      </c>
    </row>
    <row r="11" spans="1:18" s="25" customFormat="1" ht="15.6">
      <c r="A11" s="48" t="s">
        <v>13</v>
      </c>
      <c r="B11" s="48">
        <v>9</v>
      </c>
      <c r="C11" s="30" t="s">
        <v>1004</v>
      </c>
      <c r="D11" s="120" t="s">
        <v>3993</v>
      </c>
      <c r="E11" s="48" t="s">
        <v>38</v>
      </c>
      <c r="F11" s="48">
        <f t="shared" si="0"/>
        <v>2000</v>
      </c>
      <c r="G11" s="30"/>
      <c r="H11" s="30" t="s">
        <v>1004</v>
      </c>
      <c r="I11" s="27" t="s">
        <v>3322</v>
      </c>
      <c r="J11" s="27" t="s">
        <v>3323</v>
      </c>
      <c r="K11" s="30" t="s">
        <v>264</v>
      </c>
      <c r="L11" s="30" t="s">
        <v>49</v>
      </c>
      <c r="M11" s="30"/>
      <c r="N11" s="30"/>
      <c r="O11" s="30"/>
      <c r="P11" s="30"/>
      <c r="Q11" s="30"/>
      <c r="R11" s="30"/>
    </row>
    <row r="12" spans="1:18" s="25" customFormat="1" ht="15.6">
      <c r="A12" s="48" t="s">
        <v>13</v>
      </c>
      <c r="B12" s="48">
        <v>10</v>
      </c>
      <c r="C12" s="30" t="s">
        <v>1005</v>
      </c>
      <c r="D12" s="121" t="s">
        <v>3994</v>
      </c>
      <c r="E12" s="48" t="s">
        <v>38</v>
      </c>
      <c r="F12" s="48">
        <f t="shared" si="0"/>
        <v>2000</v>
      </c>
      <c r="G12" s="30"/>
      <c r="H12" s="30" t="s">
        <v>1005</v>
      </c>
      <c r="I12" s="27" t="s">
        <v>3322</v>
      </c>
      <c r="J12" s="27" t="s">
        <v>3323</v>
      </c>
      <c r="K12" s="30" t="s">
        <v>264</v>
      </c>
      <c r="L12" s="30" t="s">
        <v>49</v>
      </c>
      <c r="M12" s="30"/>
      <c r="N12" s="30"/>
      <c r="O12" s="30"/>
      <c r="P12" s="30"/>
      <c r="Q12" s="30"/>
      <c r="R12" s="30"/>
    </row>
    <row r="13" spans="1:18" s="25" customFormat="1" ht="15.6">
      <c r="A13" s="48" t="s">
        <v>13</v>
      </c>
      <c r="B13" s="48">
        <v>11</v>
      </c>
      <c r="C13" s="30" t="s">
        <v>631</v>
      </c>
      <c r="D13" s="48" t="s">
        <v>3481</v>
      </c>
      <c r="E13" s="30" t="s">
        <v>38</v>
      </c>
      <c r="F13" s="48">
        <f t="shared" si="0"/>
        <v>2000</v>
      </c>
      <c r="G13" s="30"/>
      <c r="H13" s="30"/>
      <c r="I13" s="27" t="s">
        <v>3322</v>
      </c>
      <c r="J13" s="27" t="s">
        <v>3323</v>
      </c>
      <c r="K13" s="30" t="s">
        <v>258</v>
      </c>
      <c r="L13" s="30" t="s">
        <v>49</v>
      </c>
      <c r="M13" s="30"/>
    </row>
    <row r="14" spans="1:18" s="25" customFormat="1" ht="15.6">
      <c r="A14" s="48" t="s">
        <v>13</v>
      </c>
      <c r="B14" s="48">
        <v>13</v>
      </c>
      <c r="C14" s="30" t="s">
        <v>3325</v>
      </c>
      <c r="D14" s="48" t="s">
        <v>3482</v>
      </c>
      <c r="E14" s="30" t="s">
        <v>242</v>
      </c>
      <c r="F14" s="48">
        <v>8</v>
      </c>
      <c r="G14" s="30"/>
      <c r="H14" s="30"/>
      <c r="I14" s="27" t="s">
        <v>69</v>
      </c>
      <c r="J14" s="27" t="s">
        <v>69</v>
      </c>
      <c r="K14" s="30" t="s">
        <v>258</v>
      </c>
      <c r="L14" s="30" t="s">
        <v>49</v>
      </c>
      <c r="M14" s="30"/>
      <c r="O14" s="25" t="s">
        <v>3919</v>
      </c>
      <c r="R14" s="25" t="s">
        <v>78</v>
      </c>
    </row>
    <row r="15" spans="1:18" s="25" customFormat="1" ht="15.6">
      <c r="A15" s="48" t="s">
        <v>13</v>
      </c>
      <c r="B15" s="48">
        <v>12</v>
      </c>
      <c r="C15" s="30" t="s">
        <v>635</v>
      </c>
      <c r="D15" s="48" t="s">
        <v>3483</v>
      </c>
      <c r="E15" s="30" t="s">
        <v>38</v>
      </c>
      <c r="F15" s="48">
        <f t="shared" si="0"/>
        <v>2000</v>
      </c>
      <c r="G15" s="30"/>
      <c r="H15" s="30" t="s">
        <v>635</v>
      </c>
      <c r="I15" s="27" t="s">
        <v>3322</v>
      </c>
      <c r="J15" s="27" t="s">
        <v>3323</v>
      </c>
      <c r="K15" s="30"/>
      <c r="L15" s="30"/>
      <c r="M15" s="30" t="s">
        <v>78</v>
      </c>
    </row>
    <row r="16" spans="1:18" ht="15.6">
      <c r="A16" s="48" t="s">
        <v>13</v>
      </c>
      <c r="B16" s="48">
        <v>13</v>
      </c>
      <c r="C16" s="30" t="s">
        <v>1003</v>
      </c>
      <c r="D16" s="48" t="s">
        <v>3484</v>
      </c>
      <c r="E16" s="30" t="s">
        <v>38</v>
      </c>
      <c r="F16" s="48">
        <f t="shared" si="0"/>
        <v>2000</v>
      </c>
      <c r="I16" s="27" t="s">
        <v>3322</v>
      </c>
      <c r="J16" s="27" t="s">
        <v>3323</v>
      </c>
      <c r="M16" s="30" t="s">
        <v>78</v>
      </c>
      <c r="N16" s="25"/>
      <c r="O16" s="25"/>
      <c r="P16" s="25"/>
      <c r="Q16" s="25"/>
      <c r="R16" s="25"/>
    </row>
    <row r="17" spans="1:18" ht="15.6">
      <c r="A17" s="48" t="s">
        <v>13</v>
      </c>
      <c r="B17" s="48">
        <v>14</v>
      </c>
      <c r="C17" s="30" t="s">
        <v>1012</v>
      </c>
      <c r="D17" s="48" t="s">
        <v>3485</v>
      </c>
      <c r="E17" s="30" t="s">
        <v>38</v>
      </c>
      <c r="F17" s="48">
        <f t="shared" si="0"/>
        <v>2000</v>
      </c>
      <c r="I17" s="27" t="s">
        <v>3322</v>
      </c>
      <c r="J17" s="27" t="s">
        <v>3323</v>
      </c>
      <c r="M17" s="30" t="s">
        <v>78</v>
      </c>
      <c r="N17" s="25"/>
      <c r="O17" s="116" t="s">
        <v>3965</v>
      </c>
      <c r="P17" s="25"/>
      <c r="Q17" s="25" t="s">
        <v>592</v>
      </c>
      <c r="R17" s="25"/>
    </row>
    <row r="18" spans="1:18" ht="15.6">
      <c r="A18" s="48" t="s">
        <v>13</v>
      </c>
      <c r="B18" s="48">
        <v>15</v>
      </c>
      <c r="C18" s="30" t="s">
        <v>1653</v>
      </c>
      <c r="D18" s="48" t="s">
        <v>3486</v>
      </c>
      <c r="E18" s="30" t="s">
        <v>38</v>
      </c>
      <c r="F18" s="48">
        <f t="shared" si="0"/>
        <v>2000</v>
      </c>
      <c r="I18" s="27" t="s">
        <v>3322</v>
      </c>
      <c r="J18" s="27" t="s">
        <v>3323</v>
      </c>
      <c r="M18" s="30" t="s">
        <v>78</v>
      </c>
      <c r="N18" s="25"/>
      <c r="O18" s="116" t="s">
        <v>3965</v>
      </c>
      <c r="P18" s="25"/>
      <c r="Q18" s="25" t="s">
        <v>592</v>
      </c>
      <c r="R18" s="25"/>
    </row>
    <row r="19" spans="1:18" ht="15.6">
      <c r="A19" s="48" t="s">
        <v>13</v>
      </c>
      <c r="B19" s="48">
        <v>16</v>
      </c>
      <c r="C19" s="48" t="s">
        <v>1006</v>
      </c>
      <c r="D19" s="117" t="s">
        <v>3487</v>
      </c>
      <c r="E19" s="48" t="s">
        <v>38</v>
      </c>
      <c r="F19" s="48">
        <f t="shared" si="0"/>
        <v>2000</v>
      </c>
      <c r="G19" s="48"/>
      <c r="H19" s="48"/>
      <c r="I19" s="27" t="s">
        <v>3322</v>
      </c>
      <c r="J19" s="27" t="s">
        <v>3323</v>
      </c>
      <c r="K19" s="48"/>
      <c r="L19" s="48"/>
      <c r="M19" s="48" t="s">
        <v>78</v>
      </c>
      <c r="N19" s="57"/>
      <c r="O19" s="116" t="s">
        <v>3965</v>
      </c>
      <c r="P19" s="25"/>
      <c r="Q19" s="25" t="s">
        <v>592</v>
      </c>
      <c r="R19" s="25"/>
    </row>
    <row r="20" spans="1:18" ht="15.6">
      <c r="A20" s="48" t="s">
        <v>13</v>
      </c>
      <c r="B20" s="48">
        <v>17</v>
      </c>
      <c r="C20" s="24" t="s">
        <v>1007</v>
      </c>
      <c r="D20" s="48" t="s">
        <v>3488</v>
      </c>
      <c r="E20" s="48" t="s">
        <v>38</v>
      </c>
      <c r="F20" s="48">
        <f t="shared" si="0"/>
        <v>2000</v>
      </c>
      <c r="G20" s="48"/>
      <c r="H20" s="48"/>
      <c r="I20" s="27" t="s">
        <v>3322</v>
      </c>
      <c r="J20" s="27" t="s">
        <v>3323</v>
      </c>
      <c r="M20" s="30" t="s">
        <v>78</v>
      </c>
    </row>
    <row r="21" spans="1:18" ht="15.6">
      <c r="A21" s="48" t="s">
        <v>13</v>
      </c>
      <c r="B21" s="48">
        <v>18</v>
      </c>
      <c r="C21" s="24" t="s">
        <v>1008</v>
      </c>
      <c r="D21" s="48" t="s">
        <v>3475</v>
      </c>
      <c r="E21" s="48" t="s">
        <v>38</v>
      </c>
      <c r="F21" s="48">
        <f t="shared" si="0"/>
        <v>2000</v>
      </c>
      <c r="I21" s="27" t="s">
        <v>3322</v>
      </c>
      <c r="J21" s="27" t="s">
        <v>3323</v>
      </c>
      <c r="M21" s="30" t="s">
        <v>78</v>
      </c>
    </row>
    <row r="22" spans="1:18" ht="15.6">
      <c r="A22" s="48" t="s">
        <v>13</v>
      </c>
      <c r="B22" s="48">
        <v>19</v>
      </c>
      <c r="C22" s="48" t="s">
        <v>1009</v>
      </c>
      <c r="D22" s="48" t="s">
        <v>3489</v>
      </c>
      <c r="E22" s="48" t="s">
        <v>38</v>
      </c>
      <c r="F22" s="48">
        <f t="shared" si="0"/>
        <v>2000</v>
      </c>
      <c r="I22" s="27" t="s">
        <v>3322</v>
      </c>
      <c r="J22" s="27" t="s">
        <v>3323</v>
      </c>
      <c r="M22" s="30" t="s">
        <v>78</v>
      </c>
    </row>
    <row r="23" spans="1:18" ht="15.6">
      <c r="A23" s="48" t="s">
        <v>13</v>
      </c>
      <c r="B23" s="48">
        <v>20</v>
      </c>
      <c r="C23" s="48" t="s">
        <v>1010</v>
      </c>
      <c r="D23" s="48" t="s">
        <v>3490</v>
      </c>
      <c r="E23" s="48" t="s">
        <v>38</v>
      </c>
      <c r="F23" s="48">
        <f t="shared" si="0"/>
        <v>2000</v>
      </c>
      <c r="I23" s="27" t="s">
        <v>3322</v>
      </c>
      <c r="J23" s="27" t="s">
        <v>3323</v>
      </c>
      <c r="M23" s="30" t="s">
        <v>78</v>
      </c>
    </row>
  </sheetData>
  <phoneticPr fontId="67" type="noConversion"/>
  <conditionalFormatting sqref="C14">
    <cfRule type="duplicateValues" dxfId="21" priority="3"/>
  </conditionalFormatting>
  <conditionalFormatting sqref="C22:C23 C16:C19 C1:C10 C13">
    <cfRule type="duplicateValues" dxfId="20" priority="5"/>
  </conditionalFormatting>
  <conditionalFormatting sqref="G3">
    <cfRule type="duplicateValues" dxfId="19" priority="2"/>
  </conditionalFormatting>
  <conditionalFormatting sqref="H3">
    <cfRule type="duplicateValues" dxfId="18" priority="1"/>
  </conditionalFormatting>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BF0F-B932-4F4C-BD13-3AF9A3D21B99}">
  <sheetPr codeName="Sheet14">
    <tabColor rgb="FF00B050"/>
  </sheetPr>
  <dimension ref="A1:R18"/>
  <sheetViews>
    <sheetView workbookViewId="0">
      <selection activeCell="G27" sqref="G27"/>
    </sheetView>
  </sheetViews>
  <sheetFormatPr defaultColWidth="8.453125" defaultRowHeight="14.4"/>
  <cols>
    <col min="1" max="3" width="8.453125" style="30"/>
    <col min="4" max="4" width="18.26953125" style="30" bestFit="1" customWidth="1"/>
    <col min="5" max="8" width="8.453125" style="30"/>
    <col min="9" max="9" width="9.26953125" style="30" customWidth="1"/>
    <col min="10" max="10" width="11.453125" style="19" customWidth="1"/>
    <col min="11" max="16384" width="8.453125" style="30"/>
  </cols>
  <sheetData>
    <row r="1" spans="1:18" s="19"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19" t="s">
        <v>943</v>
      </c>
      <c r="B2" s="19">
        <v>1</v>
      </c>
      <c r="C2" s="19" t="s">
        <v>614</v>
      </c>
      <c r="D2" s="19" t="s">
        <v>3386</v>
      </c>
      <c r="E2" s="19" t="s">
        <v>615</v>
      </c>
      <c r="F2" s="19">
        <f>IF(E2="Char",200,8)</f>
        <v>200</v>
      </c>
      <c r="G2" s="19"/>
      <c r="H2" s="19"/>
      <c r="I2" s="19" t="s">
        <v>757</v>
      </c>
      <c r="J2" s="30" t="s">
        <v>597</v>
      </c>
      <c r="K2" s="19" t="s">
        <v>616</v>
      </c>
      <c r="L2" s="19" t="s">
        <v>617</v>
      </c>
      <c r="M2" s="19"/>
      <c r="N2" s="19"/>
      <c r="O2" s="24" t="s">
        <v>3387</v>
      </c>
      <c r="P2" s="19"/>
      <c r="Q2" s="26" t="s">
        <v>592</v>
      </c>
    </row>
    <row r="3" spans="1:18" ht="15.6">
      <c r="A3" s="19" t="s">
        <v>943</v>
      </c>
      <c r="B3" s="19">
        <v>2</v>
      </c>
      <c r="C3" s="19" t="s">
        <v>618</v>
      </c>
      <c r="D3" s="19" t="s">
        <v>3388</v>
      </c>
      <c r="E3" s="19" t="s">
        <v>615</v>
      </c>
      <c r="F3" s="19">
        <f t="shared" ref="F3:F18" si="0">IF(E3="Char",200,8)</f>
        <v>200</v>
      </c>
      <c r="G3" s="29" t="s">
        <v>3336</v>
      </c>
      <c r="H3" s="29" t="s">
        <v>618</v>
      </c>
      <c r="I3" s="19" t="s">
        <v>619</v>
      </c>
      <c r="J3" s="30" t="s">
        <v>597</v>
      </c>
      <c r="K3" s="19" t="s">
        <v>616</v>
      </c>
      <c r="L3" s="19" t="s">
        <v>617</v>
      </c>
      <c r="M3" s="19"/>
      <c r="N3" s="19" t="s">
        <v>597</v>
      </c>
      <c r="O3" s="19"/>
    </row>
    <row r="4" spans="1:18" ht="15.6">
      <c r="A4" s="19" t="s">
        <v>943</v>
      </c>
      <c r="B4" s="19">
        <v>3</v>
      </c>
      <c r="C4" s="19" t="s">
        <v>620</v>
      </c>
      <c r="D4" s="19" t="s">
        <v>3389</v>
      </c>
      <c r="E4" s="19" t="s">
        <v>615</v>
      </c>
      <c r="F4" s="19">
        <f t="shared" si="0"/>
        <v>200</v>
      </c>
      <c r="G4" s="19"/>
      <c r="H4" s="19"/>
      <c r="I4" s="19" t="s">
        <v>590</v>
      </c>
      <c r="J4" s="30" t="s">
        <v>597</v>
      </c>
      <c r="K4" s="19" t="s">
        <v>616</v>
      </c>
      <c r="L4" s="19" t="s">
        <v>617</v>
      </c>
      <c r="M4" s="19"/>
      <c r="N4" s="19"/>
      <c r="O4" s="26" t="s">
        <v>3390</v>
      </c>
      <c r="R4" s="26" t="s">
        <v>592</v>
      </c>
    </row>
    <row r="5" spans="1:18" ht="15.6">
      <c r="A5" s="19" t="s">
        <v>943</v>
      </c>
      <c r="B5" s="19">
        <v>4</v>
      </c>
      <c r="C5" s="19" t="s">
        <v>947</v>
      </c>
      <c r="D5" s="19" t="s">
        <v>3391</v>
      </c>
      <c r="E5" s="19" t="s">
        <v>621</v>
      </c>
      <c r="F5" s="19">
        <f t="shared" si="0"/>
        <v>8</v>
      </c>
      <c r="G5" s="19"/>
      <c r="H5" s="19"/>
      <c r="I5" s="19" t="s">
        <v>590</v>
      </c>
      <c r="J5" s="30" t="s">
        <v>597</v>
      </c>
      <c r="K5" s="19" t="s">
        <v>616</v>
      </c>
      <c r="L5" s="19" t="s">
        <v>617</v>
      </c>
      <c r="M5" s="19"/>
      <c r="N5" s="19"/>
      <c r="O5" s="19" t="s">
        <v>3916</v>
      </c>
      <c r="R5" s="26" t="s">
        <v>592</v>
      </c>
    </row>
    <row r="6" spans="1:18" ht="15.6">
      <c r="A6" s="19" t="s">
        <v>943</v>
      </c>
      <c r="B6" s="19">
        <v>5</v>
      </c>
      <c r="C6" s="19" t="s">
        <v>948</v>
      </c>
      <c r="D6" s="19" t="s">
        <v>3491</v>
      </c>
      <c r="E6" s="19" t="s">
        <v>615</v>
      </c>
      <c r="F6" s="19">
        <f t="shared" si="0"/>
        <v>200</v>
      </c>
      <c r="G6" s="19" t="s">
        <v>949</v>
      </c>
      <c r="H6" s="19" t="s">
        <v>1113</v>
      </c>
      <c r="I6" s="27" t="s">
        <v>3322</v>
      </c>
      <c r="J6" s="27" t="s">
        <v>3323</v>
      </c>
      <c r="K6" s="19" t="s">
        <v>622</v>
      </c>
      <c r="L6" s="19" t="s">
        <v>617</v>
      </c>
      <c r="M6" s="19"/>
      <c r="N6" s="19"/>
      <c r="O6" s="19"/>
    </row>
    <row r="7" spans="1:18" ht="15.6">
      <c r="A7" s="19" t="s">
        <v>943</v>
      </c>
      <c r="B7" s="19">
        <v>6</v>
      </c>
      <c r="C7" s="19" t="s">
        <v>950</v>
      </c>
      <c r="D7" s="19" t="s">
        <v>3492</v>
      </c>
      <c r="E7" s="19" t="s">
        <v>615</v>
      </c>
      <c r="F7" s="19">
        <f t="shared" si="0"/>
        <v>200</v>
      </c>
      <c r="G7" s="19" t="s">
        <v>951</v>
      </c>
      <c r="H7" s="19" t="s">
        <v>1114</v>
      </c>
      <c r="I7" s="27" t="s">
        <v>3322</v>
      </c>
      <c r="J7" s="27" t="s">
        <v>3323</v>
      </c>
      <c r="K7" s="19" t="s">
        <v>700</v>
      </c>
      <c r="L7" s="19" t="s">
        <v>617</v>
      </c>
      <c r="M7" s="19"/>
      <c r="N7" s="19"/>
      <c r="O7" s="19"/>
    </row>
    <row r="8" spans="1:18" ht="15.6">
      <c r="A8" s="19" t="s">
        <v>943</v>
      </c>
      <c r="B8" s="19">
        <v>7</v>
      </c>
      <c r="C8" s="19" t="s">
        <v>952</v>
      </c>
      <c r="D8" s="122" t="s">
        <v>3995</v>
      </c>
      <c r="E8" s="19" t="s">
        <v>615</v>
      </c>
      <c r="F8" s="19">
        <f t="shared" si="0"/>
        <v>200</v>
      </c>
      <c r="G8" s="19"/>
      <c r="H8" s="19"/>
      <c r="I8" s="27" t="s">
        <v>3322</v>
      </c>
      <c r="J8" s="27" t="s">
        <v>3323</v>
      </c>
      <c r="K8" s="19" t="s">
        <v>744</v>
      </c>
      <c r="L8" s="19" t="s">
        <v>625</v>
      </c>
      <c r="M8" s="19"/>
      <c r="N8" s="19"/>
      <c r="O8" s="19"/>
    </row>
    <row r="9" spans="1:18" ht="15.6">
      <c r="A9" s="19" t="s">
        <v>943</v>
      </c>
      <c r="B9" s="19">
        <v>8</v>
      </c>
      <c r="C9" s="19" t="s">
        <v>953</v>
      </c>
      <c r="D9" s="122" t="s">
        <v>3996</v>
      </c>
      <c r="E9" s="19" t="s">
        <v>615</v>
      </c>
      <c r="F9" s="19">
        <f t="shared" si="0"/>
        <v>200</v>
      </c>
      <c r="G9" s="19"/>
      <c r="H9" s="19"/>
      <c r="I9" s="27" t="s">
        <v>3322</v>
      </c>
      <c r="J9" s="27" t="s">
        <v>3323</v>
      </c>
      <c r="K9" s="19" t="s">
        <v>702</v>
      </c>
      <c r="L9" s="19" t="s">
        <v>695</v>
      </c>
      <c r="M9" s="19"/>
      <c r="N9" s="19"/>
      <c r="O9" s="19"/>
    </row>
    <row r="10" spans="1:18" ht="15.6">
      <c r="A10" s="19" t="s">
        <v>943</v>
      </c>
      <c r="B10" s="19">
        <v>9</v>
      </c>
      <c r="C10" s="19" t="s">
        <v>954</v>
      </c>
      <c r="D10" s="122" t="s">
        <v>3997</v>
      </c>
      <c r="E10" s="19" t="s">
        <v>615</v>
      </c>
      <c r="F10" s="19">
        <f t="shared" si="0"/>
        <v>200</v>
      </c>
      <c r="G10" s="19" t="s">
        <v>955</v>
      </c>
      <c r="H10" s="19" t="s">
        <v>1115</v>
      </c>
      <c r="I10" s="19" t="s">
        <v>590</v>
      </c>
      <c r="J10" s="30" t="s">
        <v>597</v>
      </c>
      <c r="K10" s="19" t="s">
        <v>702</v>
      </c>
      <c r="L10" s="19" t="s">
        <v>695</v>
      </c>
      <c r="M10" s="19"/>
      <c r="N10" s="19"/>
      <c r="O10" s="19" t="s">
        <v>3394</v>
      </c>
      <c r="R10" s="26" t="s">
        <v>592</v>
      </c>
    </row>
    <row r="11" spans="1:18" ht="15.6">
      <c r="A11" s="19" t="s">
        <v>943</v>
      </c>
      <c r="B11" s="19">
        <v>10</v>
      </c>
      <c r="C11" s="19" t="s">
        <v>714</v>
      </c>
      <c r="D11" s="19" t="s">
        <v>3399</v>
      </c>
      <c r="E11" s="19" t="s">
        <v>621</v>
      </c>
      <c r="F11" s="19">
        <f t="shared" si="0"/>
        <v>8</v>
      </c>
      <c r="G11" s="19"/>
      <c r="H11" s="19"/>
      <c r="I11" s="19" t="s">
        <v>590</v>
      </c>
      <c r="J11" s="30" t="s">
        <v>597</v>
      </c>
      <c r="K11" s="19" t="s">
        <v>624</v>
      </c>
      <c r="L11" s="19" t="s">
        <v>695</v>
      </c>
      <c r="M11" s="19"/>
      <c r="N11" s="19"/>
      <c r="O11" s="19" t="s">
        <v>3400</v>
      </c>
    </row>
    <row r="12" spans="1:18" ht="15.6">
      <c r="A12" s="19" t="s">
        <v>943</v>
      </c>
      <c r="B12" s="19">
        <v>11</v>
      </c>
      <c r="C12" s="19" t="s">
        <v>715</v>
      </c>
      <c r="D12" s="19" t="s">
        <v>3401</v>
      </c>
      <c r="E12" s="19" t="s">
        <v>615</v>
      </c>
      <c r="F12" s="19">
        <f t="shared" si="0"/>
        <v>200</v>
      </c>
      <c r="G12" s="19"/>
      <c r="H12" s="19"/>
      <c r="I12" s="19" t="s">
        <v>590</v>
      </c>
      <c r="J12" s="30" t="s">
        <v>597</v>
      </c>
      <c r="K12" s="19" t="s">
        <v>624</v>
      </c>
      <c r="L12" s="19" t="s">
        <v>625</v>
      </c>
      <c r="M12" s="19"/>
      <c r="N12" s="19"/>
      <c r="O12" s="19" t="s">
        <v>3402</v>
      </c>
    </row>
    <row r="13" spans="1:18" ht="15.6">
      <c r="A13" s="19" t="s">
        <v>943</v>
      </c>
      <c r="B13" s="19">
        <v>12</v>
      </c>
      <c r="C13" s="19" t="s">
        <v>623</v>
      </c>
      <c r="D13" s="19" t="str">
        <f>VLOOKUP(C13,[1]SE!$C$2:$D$12,2,0)</f>
        <v>时期</v>
      </c>
      <c r="E13" s="19" t="s">
        <v>615</v>
      </c>
      <c r="F13" s="19">
        <f t="shared" si="0"/>
        <v>200</v>
      </c>
      <c r="G13" s="19" t="s">
        <v>716</v>
      </c>
      <c r="H13" s="19" t="s">
        <v>260</v>
      </c>
      <c r="I13" s="19" t="s">
        <v>590</v>
      </c>
      <c r="J13" s="30" t="s">
        <v>597</v>
      </c>
      <c r="K13" s="19" t="s">
        <v>624</v>
      </c>
      <c r="L13" s="19" t="s">
        <v>625</v>
      </c>
      <c r="M13" s="19"/>
      <c r="N13" s="19"/>
      <c r="O13" s="28" t="s">
        <v>3403</v>
      </c>
      <c r="R13" s="26" t="s">
        <v>592</v>
      </c>
    </row>
    <row r="14" spans="1:18" ht="15.6">
      <c r="A14" s="19" t="s">
        <v>943</v>
      </c>
      <c r="B14" s="19">
        <v>13</v>
      </c>
      <c r="C14" s="19" t="s">
        <v>956</v>
      </c>
      <c r="D14" s="19" t="s">
        <v>3442</v>
      </c>
      <c r="E14" s="19" t="s">
        <v>615</v>
      </c>
      <c r="F14" s="19">
        <f t="shared" si="0"/>
        <v>200</v>
      </c>
      <c r="G14" s="19"/>
      <c r="H14" s="19"/>
      <c r="I14" s="27" t="s">
        <v>3322</v>
      </c>
      <c r="J14" s="27" t="s">
        <v>3323</v>
      </c>
      <c r="K14" s="19" t="s">
        <v>624</v>
      </c>
      <c r="L14" s="19" t="s">
        <v>695</v>
      </c>
      <c r="M14" s="19"/>
      <c r="N14" s="19"/>
      <c r="O14" s="19"/>
    </row>
    <row r="15" spans="1:18" ht="15.6">
      <c r="A15" s="19" t="s">
        <v>943</v>
      </c>
      <c r="B15" s="19">
        <v>14</v>
      </c>
      <c r="C15" s="19" t="s">
        <v>957</v>
      </c>
      <c r="D15" s="19" t="s">
        <v>3443</v>
      </c>
      <c r="E15" s="19" t="s">
        <v>621</v>
      </c>
      <c r="F15" s="19">
        <f t="shared" si="0"/>
        <v>8</v>
      </c>
      <c r="G15" s="19"/>
      <c r="H15" s="19"/>
      <c r="I15" s="19" t="s">
        <v>590</v>
      </c>
      <c r="J15" s="30" t="s">
        <v>597</v>
      </c>
      <c r="K15" s="19" t="s">
        <v>624</v>
      </c>
      <c r="L15" s="19" t="s">
        <v>625</v>
      </c>
      <c r="M15" s="19"/>
      <c r="N15" s="19"/>
      <c r="O15" s="19" t="s">
        <v>3919</v>
      </c>
      <c r="R15" s="26" t="s">
        <v>592</v>
      </c>
    </row>
    <row r="16" spans="1:18" ht="15.6">
      <c r="A16" s="19" t="s">
        <v>943</v>
      </c>
      <c r="B16" s="19">
        <v>15</v>
      </c>
      <c r="C16" s="19" t="s">
        <v>944</v>
      </c>
      <c r="D16" s="19" t="s">
        <v>3493</v>
      </c>
      <c r="E16" s="19" t="s">
        <v>615</v>
      </c>
      <c r="F16" s="19">
        <f t="shared" si="0"/>
        <v>200</v>
      </c>
      <c r="G16" s="19"/>
      <c r="H16" s="19" t="s">
        <v>944</v>
      </c>
      <c r="I16" s="27" t="s">
        <v>3322</v>
      </c>
      <c r="J16" s="27" t="s">
        <v>3323</v>
      </c>
      <c r="K16" s="19"/>
      <c r="L16" s="19"/>
      <c r="M16" s="19" t="s">
        <v>592</v>
      </c>
      <c r="N16" s="19"/>
      <c r="O16" s="19"/>
    </row>
    <row r="17" spans="1:15" ht="15.6">
      <c r="A17" s="19" t="s">
        <v>943</v>
      </c>
      <c r="B17" s="19">
        <v>16</v>
      </c>
      <c r="C17" s="19" t="s">
        <v>945</v>
      </c>
      <c r="D17" s="19" t="s">
        <v>3494</v>
      </c>
      <c r="E17" s="19" t="s">
        <v>615</v>
      </c>
      <c r="F17" s="19">
        <f t="shared" si="0"/>
        <v>200</v>
      </c>
      <c r="G17" s="19"/>
      <c r="H17" s="19"/>
      <c r="I17" s="27" t="s">
        <v>3322</v>
      </c>
      <c r="J17" s="27" t="s">
        <v>3323</v>
      </c>
      <c r="K17" s="19"/>
      <c r="L17" s="19"/>
      <c r="M17" s="19" t="s">
        <v>592</v>
      </c>
      <c r="N17" s="19"/>
      <c r="O17" s="19"/>
    </row>
    <row r="18" spans="1:15" ht="15.6">
      <c r="A18" s="19" t="s">
        <v>943</v>
      </c>
      <c r="B18" s="19">
        <v>17</v>
      </c>
      <c r="C18" s="19" t="s">
        <v>666</v>
      </c>
      <c r="D18" s="19" t="s">
        <v>3495</v>
      </c>
      <c r="E18" s="19" t="s">
        <v>615</v>
      </c>
      <c r="F18" s="19">
        <f t="shared" si="0"/>
        <v>200</v>
      </c>
      <c r="G18" s="19"/>
      <c r="H18" s="19"/>
      <c r="I18" s="27" t="s">
        <v>3322</v>
      </c>
      <c r="J18" s="27" t="s">
        <v>3323</v>
      </c>
      <c r="K18" s="19"/>
      <c r="L18" s="19"/>
      <c r="M18" s="19" t="s">
        <v>592</v>
      </c>
      <c r="N18" s="19"/>
      <c r="O18" s="19"/>
    </row>
  </sheetData>
  <phoneticPr fontId="67" type="noConversion"/>
  <conditionalFormatting sqref="G3">
    <cfRule type="duplicateValues" dxfId="17" priority="2"/>
  </conditionalFormatting>
  <conditionalFormatting sqref="H3">
    <cfRule type="duplicateValues" dxfId="16"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7C0B3-210C-4E94-BE52-B64C7CE30DD1}">
  <sheetPr codeName="Sheet30">
    <tabColor rgb="FF00B050"/>
  </sheetPr>
  <dimension ref="A1:R18"/>
  <sheetViews>
    <sheetView workbookViewId="0">
      <selection activeCell="F29" sqref="F29"/>
    </sheetView>
  </sheetViews>
  <sheetFormatPr defaultColWidth="8.453125" defaultRowHeight="14.4"/>
  <cols>
    <col min="1" max="3" width="8.453125" style="30"/>
    <col min="4" max="4" width="18.1796875" style="30" customWidth="1"/>
    <col min="5" max="6" width="8.453125" style="30"/>
    <col min="7" max="7" width="20.54296875" style="30" bestFit="1" customWidth="1"/>
    <col min="8" max="8" width="17.6328125" style="30" bestFit="1" customWidth="1"/>
    <col min="9" max="9" width="9.26953125" style="30" customWidth="1"/>
    <col min="10" max="10" width="11.453125" style="19" customWidth="1"/>
    <col min="11" max="11" width="17.81640625" style="30" customWidth="1"/>
    <col min="12" max="14" width="8.453125" style="30"/>
    <col min="15" max="15" width="36.36328125" style="30" customWidth="1"/>
    <col min="16" max="16384" width="8.453125" style="30"/>
  </cols>
  <sheetData>
    <row r="1" spans="1:18" s="19"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19" t="s">
        <v>736</v>
      </c>
      <c r="B2" s="19">
        <v>1</v>
      </c>
      <c r="C2" s="19" t="s">
        <v>614</v>
      </c>
      <c r="D2" s="19" t="s">
        <v>3386</v>
      </c>
      <c r="E2" s="19" t="s">
        <v>615</v>
      </c>
      <c r="F2" s="19">
        <f>IF(E2="Char",200,8)</f>
        <v>200</v>
      </c>
      <c r="G2" s="19"/>
      <c r="H2" s="19"/>
      <c r="I2" s="19" t="s">
        <v>757</v>
      </c>
      <c r="J2" s="30" t="s">
        <v>597</v>
      </c>
      <c r="K2" s="19" t="s">
        <v>616</v>
      </c>
      <c r="L2" s="19" t="s">
        <v>617</v>
      </c>
      <c r="M2" s="19"/>
      <c r="N2" s="19"/>
      <c r="O2" s="24" t="s">
        <v>3387</v>
      </c>
      <c r="P2" s="19"/>
      <c r="Q2" s="26" t="s">
        <v>592</v>
      </c>
    </row>
    <row r="3" spans="1:18" ht="15.6">
      <c r="A3" s="19" t="s">
        <v>736</v>
      </c>
      <c r="B3" s="19">
        <v>2</v>
      </c>
      <c r="C3" s="19" t="s">
        <v>618</v>
      </c>
      <c r="D3" s="19" t="s">
        <v>3388</v>
      </c>
      <c r="E3" s="19" t="s">
        <v>615</v>
      </c>
      <c r="F3" s="19">
        <f t="shared" ref="F3:F18" si="0">IF(E3="Char",200,8)</f>
        <v>200</v>
      </c>
      <c r="G3" s="29" t="s">
        <v>3336</v>
      </c>
      <c r="H3" s="29" t="s">
        <v>618</v>
      </c>
      <c r="I3" s="19" t="s">
        <v>619</v>
      </c>
      <c r="J3" s="30" t="s">
        <v>597</v>
      </c>
      <c r="K3" s="19" t="s">
        <v>616</v>
      </c>
      <c r="L3" s="19" t="s">
        <v>617</v>
      </c>
      <c r="M3" s="19"/>
      <c r="N3" s="19" t="s">
        <v>597</v>
      </c>
      <c r="O3" s="19"/>
      <c r="P3" s="26"/>
      <c r="Q3" s="26"/>
      <c r="R3" s="26"/>
    </row>
    <row r="4" spans="1:18" ht="15.6">
      <c r="A4" s="19" t="s">
        <v>736</v>
      </c>
      <c r="B4" s="19">
        <v>3</v>
      </c>
      <c r="C4" s="19" t="s">
        <v>620</v>
      </c>
      <c r="D4" s="19" t="s">
        <v>3389</v>
      </c>
      <c r="E4" s="19" t="s">
        <v>615</v>
      </c>
      <c r="F4" s="19">
        <f t="shared" si="0"/>
        <v>200</v>
      </c>
      <c r="G4" s="19"/>
      <c r="H4" s="19"/>
      <c r="I4" s="19" t="s">
        <v>590</v>
      </c>
      <c r="J4" s="30" t="s">
        <v>597</v>
      </c>
      <c r="K4" s="19" t="s">
        <v>616</v>
      </c>
      <c r="L4" s="19" t="s">
        <v>617</v>
      </c>
      <c r="M4" s="19"/>
      <c r="N4" s="19"/>
      <c r="O4" s="26" t="s">
        <v>3390</v>
      </c>
      <c r="P4" s="19"/>
      <c r="Q4" s="19"/>
      <c r="R4" s="19" t="s">
        <v>592</v>
      </c>
    </row>
    <row r="5" spans="1:18" ht="15.6">
      <c r="A5" s="19" t="s">
        <v>736</v>
      </c>
      <c r="B5" s="19">
        <v>4</v>
      </c>
      <c r="C5" s="19" t="s">
        <v>737</v>
      </c>
      <c r="D5" s="19" t="s">
        <v>3391</v>
      </c>
      <c r="E5" s="19" t="s">
        <v>621</v>
      </c>
      <c r="F5" s="19">
        <f t="shared" si="0"/>
        <v>8</v>
      </c>
      <c r="G5" s="19"/>
      <c r="H5" s="19"/>
      <c r="I5" s="19" t="s">
        <v>590</v>
      </c>
      <c r="J5" s="30" t="s">
        <v>597</v>
      </c>
      <c r="K5" s="19" t="s">
        <v>616</v>
      </c>
      <c r="L5" s="19" t="s">
        <v>617</v>
      </c>
      <c r="M5" s="19"/>
      <c r="N5" s="19"/>
      <c r="O5" s="19" t="s">
        <v>3916</v>
      </c>
      <c r="P5" s="26"/>
      <c r="Q5" s="26"/>
      <c r="R5" s="19" t="s">
        <v>592</v>
      </c>
    </row>
    <row r="6" spans="1:18" ht="15.6">
      <c r="A6" s="19" t="s">
        <v>736</v>
      </c>
      <c r="B6" s="19">
        <v>5</v>
      </c>
      <c r="C6" s="19" t="s">
        <v>738</v>
      </c>
      <c r="D6" s="19" t="s">
        <v>3496</v>
      </c>
      <c r="E6" s="19" t="s">
        <v>615</v>
      </c>
      <c r="F6" s="19">
        <f t="shared" si="0"/>
        <v>200</v>
      </c>
      <c r="G6" s="19" t="s">
        <v>739</v>
      </c>
      <c r="H6" s="19" t="s">
        <v>1159</v>
      </c>
      <c r="I6" s="19" t="s">
        <v>590</v>
      </c>
      <c r="J6" s="30" t="s">
        <v>597</v>
      </c>
      <c r="K6" s="19" t="s">
        <v>622</v>
      </c>
      <c r="L6" s="19" t="s">
        <v>617</v>
      </c>
      <c r="M6" s="19"/>
      <c r="N6" s="19"/>
      <c r="O6" s="19" t="s">
        <v>3497</v>
      </c>
    </row>
    <row r="7" spans="1:18" ht="15.6">
      <c r="A7" s="19" t="s">
        <v>736</v>
      </c>
      <c r="B7" s="19">
        <v>6</v>
      </c>
      <c r="C7" s="19" t="s">
        <v>740</v>
      </c>
      <c r="D7" s="19" t="s">
        <v>3498</v>
      </c>
      <c r="E7" s="19" t="s">
        <v>615</v>
      </c>
      <c r="F7" s="19">
        <f t="shared" si="0"/>
        <v>200</v>
      </c>
      <c r="G7" s="19" t="s">
        <v>741</v>
      </c>
      <c r="H7" s="19" t="s">
        <v>1160</v>
      </c>
      <c r="I7" s="27" t="s">
        <v>3322</v>
      </c>
      <c r="J7" s="27" t="s">
        <v>3323</v>
      </c>
      <c r="K7" s="19" t="s">
        <v>700</v>
      </c>
      <c r="L7" s="19" t="s">
        <v>617</v>
      </c>
      <c r="M7" s="19"/>
      <c r="N7" s="19"/>
      <c r="O7" s="19"/>
    </row>
    <row r="8" spans="1:18" ht="15.6">
      <c r="A8" s="19" t="s">
        <v>736</v>
      </c>
      <c r="B8" s="19">
        <v>7</v>
      </c>
      <c r="C8" s="19" t="s">
        <v>742</v>
      </c>
      <c r="D8" s="122" t="s">
        <v>3998</v>
      </c>
      <c r="E8" s="19" t="s">
        <v>615</v>
      </c>
      <c r="F8" s="19">
        <f t="shared" si="0"/>
        <v>200</v>
      </c>
      <c r="G8" s="19" t="s">
        <v>743</v>
      </c>
      <c r="H8" s="19" t="s">
        <v>1161</v>
      </c>
      <c r="I8" s="27" t="s">
        <v>3322</v>
      </c>
      <c r="J8" s="27" t="s">
        <v>3323</v>
      </c>
      <c r="K8" s="19" t="s">
        <v>744</v>
      </c>
      <c r="L8" s="19" t="s">
        <v>695</v>
      </c>
      <c r="M8" s="19"/>
      <c r="N8" s="19"/>
      <c r="O8" s="19"/>
    </row>
    <row r="9" spans="1:18" ht="15.6">
      <c r="A9" s="19" t="s">
        <v>736</v>
      </c>
      <c r="B9" s="19">
        <v>8</v>
      </c>
      <c r="C9" s="19" t="s">
        <v>745</v>
      </c>
      <c r="D9" s="122" t="s">
        <v>3999</v>
      </c>
      <c r="E9" s="19" t="s">
        <v>615</v>
      </c>
      <c r="F9" s="19">
        <f t="shared" si="0"/>
        <v>200</v>
      </c>
      <c r="G9" s="19"/>
      <c r="H9" s="19"/>
      <c r="I9" s="27" t="s">
        <v>3322</v>
      </c>
      <c r="J9" s="27" t="s">
        <v>3323</v>
      </c>
      <c r="K9" s="19" t="s">
        <v>702</v>
      </c>
      <c r="L9" s="19" t="s">
        <v>695</v>
      </c>
      <c r="M9" s="19"/>
      <c r="N9" s="19"/>
      <c r="O9" s="19"/>
    </row>
    <row r="10" spans="1:18" ht="15.6">
      <c r="A10" s="19" t="s">
        <v>736</v>
      </c>
      <c r="B10" s="19">
        <v>9</v>
      </c>
      <c r="C10" s="19" t="s">
        <v>746</v>
      </c>
      <c r="D10" s="122" t="s">
        <v>4000</v>
      </c>
      <c r="E10" s="19" t="s">
        <v>615</v>
      </c>
      <c r="F10" s="19">
        <f t="shared" si="0"/>
        <v>200</v>
      </c>
      <c r="G10" s="19" t="s">
        <v>747</v>
      </c>
      <c r="H10" s="19" t="s">
        <v>3935</v>
      </c>
      <c r="I10" s="19" t="s">
        <v>590</v>
      </c>
      <c r="J10" s="30" t="s">
        <v>597</v>
      </c>
      <c r="K10" s="19" t="s">
        <v>702</v>
      </c>
      <c r="L10" s="19" t="s">
        <v>695</v>
      </c>
      <c r="M10" s="19"/>
      <c r="N10" s="19"/>
      <c r="O10" s="19" t="s">
        <v>3394</v>
      </c>
      <c r="P10" s="19"/>
      <c r="Q10" s="19"/>
      <c r="R10" s="19" t="s">
        <v>592</v>
      </c>
    </row>
    <row r="11" spans="1:18" ht="15.6">
      <c r="A11" s="19" t="s">
        <v>736</v>
      </c>
      <c r="B11" s="19">
        <v>10</v>
      </c>
      <c r="C11" s="30" t="s">
        <v>1298</v>
      </c>
      <c r="D11" s="30" t="s">
        <v>3397</v>
      </c>
      <c r="E11" s="19" t="s">
        <v>615</v>
      </c>
      <c r="F11" s="19">
        <f t="shared" ref="F11:F12" si="1">IF(E11="Char",200,8)</f>
        <v>200</v>
      </c>
      <c r="G11" s="30" t="s">
        <v>765</v>
      </c>
      <c r="H11" s="19" t="s">
        <v>1127</v>
      </c>
      <c r="I11" s="19" t="s">
        <v>590</v>
      </c>
      <c r="J11" s="30" t="s">
        <v>597</v>
      </c>
      <c r="K11" s="19" t="s">
        <v>702</v>
      </c>
      <c r="L11" s="19" t="s">
        <v>625</v>
      </c>
      <c r="M11" s="19"/>
      <c r="N11" s="19"/>
      <c r="O11" s="19" t="s">
        <v>3499</v>
      </c>
      <c r="P11" s="19"/>
      <c r="Q11" s="19"/>
      <c r="R11" s="19" t="s">
        <v>592</v>
      </c>
    </row>
    <row r="12" spans="1:18" ht="15.6">
      <c r="A12" s="19" t="s">
        <v>736</v>
      </c>
      <c r="B12" s="19">
        <v>11</v>
      </c>
      <c r="C12" s="30" t="s">
        <v>1299</v>
      </c>
      <c r="D12" s="30" t="s">
        <v>3398</v>
      </c>
      <c r="E12" s="19" t="s">
        <v>615</v>
      </c>
      <c r="F12" s="19">
        <f t="shared" si="1"/>
        <v>200</v>
      </c>
      <c r="G12" s="19"/>
      <c r="H12" s="19"/>
      <c r="I12" s="19" t="s">
        <v>590</v>
      </c>
      <c r="J12" s="30" t="s">
        <v>597</v>
      </c>
      <c r="K12" s="19" t="s">
        <v>702</v>
      </c>
      <c r="L12" s="19" t="s">
        <v>625</v>
      </c>
      <c r="M12" s="19"/>
      <c r="N12" s="19"/>
      <c r="O12" s="19" t="s">
        <v>3500</v>
      </c>
      <c r="P12" s="19"/>
      <c r="Q12" s="19"/>
      <c r="R12" s="19" t="s">
        <v>592</v>
      </c>
    </row>
    <row r="13" spans="1:18" ht="15.6">
      <c r="A13" s="19" t="s">
        <v>736</v>
      </c>
      <c r="B13" s="19">
        <v>12</v>
      </c>
      <c r="C13" s="30" t="s">
        <v>1301</v>
      </c>
      <c r="D13" s="30" t="s">
        <v>3501</v>
      </c>
      <c r="E13" s="19" t="s">
        <v>615</v>
      </c>
      <c r="F13" s="19">
        <f t="shared" ref="F13" si="2">IF(E13="Char",200,8)</f>
        <v>200</v>
      </c>
      <c r="G13" s="30" t="s">
        <v>1377</v>
      </c>
      <c r="H13" s="19" t="s">
        <v>1378</v>
      </c>
      <c r="I13" s="19" t="s">
        <v>757</v>
      </c>
      <c r="J13" s="30" t="s">
        <v>597</v>
      </c>
      <c r="K13" s="19" t="s">
        <v>702</v>
      </c>
      <c r="L13" s="19" t="s">
        <v>695</v>
      </c>
      <c r="M13" s="19"/>
      <c r="N13" s="19"/>
      <c r="O13" s="19" t="s">
        <v>3502</v>
      </c>
      <c r="P13" s="19"/>
      <c r="Q13" s="26" t="s">
        <v>592</v>
      </c>
      <c r="R13" s="19"/>
    </row>
    <row r="14" spans="1:18" ht="15.6">
      <c r="A14" s="19" t="s">
        <v>736</v>
      </c>
      <c r="B14" s="19">
        <v>13</v>
      </c>
      <c r="C14" s="19" t="s">
        <v>266</v>
      </c>
      <c r="D14" s="19" t="s">
        <v>3399</v>
      </c>
      <c r="E14" s="32" t="s">
        <v>242</v>
      </c>
      <c r="F14" s="19">
        <f t="shared" si="0"/>
        <v>8</v>
      </c>
      <c r="H14" s="32"/>
      <c r="I14" s="19" t="s">
        <v>590</v>
      </c>
      <c r="J14" s="30" t="s">
        <v>597</v>
      </c>
      <c r="K14" s="32" t="s">
        <v>258</v>
      </c>
      <c r="L14" s="32" t="s">
        <v>42</v>
      </c>
      <c r="M14" s="19"/>
      <c r="N14" s="19"/>
      <c r="O14" s="19"/>
      <c r="P14" s="19"/>
      <c r="Q14" s="26"/>
    </row>
    <row r="15" spans="1:18" ht="15.6">
      <c r="A15" s="19" t="s">
        <v>736</v>
      </c>
      <c r="B15" s="19">
        <v>14</v>
      </c>
      <c r="C15" s="19" t="s">
        <v>267</v>
      </c>
      <c r="D15" s="19" t="s">
        <v>3401</v>
      </c>
      <c r="E15" s="32" t="s">
        <v>38</v>
      </c>
      <c r="F15" s="19">
        <f>IF(E15="Char",200,8)</f>
        <v>200</v>
      </c>
      <c r="H15" s="32"/>
      <c r="I15" s="27" t="s">
        <v>3322</v>
      </c>
      <c r="J15" s="27" t="s">
        <v>3323</v>
      </c>
      <c r="K15" s="32" t="s">
        <v>258</v>
      </c>
      <c r="L15" s="32" t="s">
        <v>49</v>
      </c>
      <c r="M15" s="19"/>
      <c r="N15" s="19"/>
      <c r="O15" s="19" t="s">
        <v>3503</v>
      </c>
      <c r="P15" s="19"/>
      <c r="Q15" s="26"/>
      <c r="R15" s="26" t="s">
        <v>592</v>
      </c>
    </row>
    <row r="16" spans="1:18" ht="15.6">
      <c r="A16" s="19" t="s">
        <v>736</v>
      </c>
      <c r="B16" s="19">
        <v>15</v>
      </c>
      <c r="C16" s="19" t="s">
        <v>623</v>
      </c>
      <c r="D16" s="19" t="s">
        <v>3504</v>
      </c>
      <c r="E16" s="19" t="s">
        <v>615</v>
      </c>
      <c r="F16" s="19">
        <f t="shared" si="0"/>
        <v>200</v>
      </c>
      <c r="G16" s="19" t="s">
        <v>716</v>
      </c>
      <c r="H16" s="19" t="s">
        <v>260</v>
      </c>
      <c r="I16" s="19" t="s">
        <v>590</v>
      </c>
      <c r="J16" s="30" t="s">
        <v>597</v>
      </c>
      <c r="K16" s="19" t="s">
        <v>624</v>
      </c>
      <c r="L16" s="19" t="s">
        <v>625</v>
      </c>
      <c r="M16" s="19"/>
      <c r="N16" s="19"/>
      <c r="O16" s="28" t="s">
        <v>3403</v>
      </c>
      <c r="R16" s="19" t="s">
        <v>592</v>
      </c>
    </row>
    <row r="17" spans="1:18" ht="15.6">
      <c r="A17" s="19" t="s">
        <v>736</v>
      </c>
      <c r="B17" s="19">
        <v>16</v>
      </c>
      <c r="C17" s="19" t="s">
        <v>748</v>
      </c>
      <c r="D17" s="19" t="s">
        <v>3404</v>
      </c>
      <c r="E17" s="19" t="s">
        <v>615</v>
      </c>
      <c r="F17" s="19">
        <f t="shared" si="0"/>
        <v>200</v>
      </c>
      <c r="G17" s="19"/>
      <c r="H17" s="19"/>
      <c r="I17" s="19" t="s">
        <v>590</v>
      </c>
      <c r="J17" s="30" t="s">
        <v>597</v>
      </c>
      <c r="K17" s="19" t="s">
        <v>624</v>
      </c>
      <c r="L17" s="19" t="s">
        <v>695</v>
      </c>
      <c r="M17" s="19"/>
      <c r="N17" s="19"/>
      <c r="O17" s="19" t="s">
        <v>3405</v>
      </c>
      <c r="R17" s="19" t="s">
        <v>592</v>
      </c>
    </row>
    <row r="18" spans="1:18" ht="15.6">
      <c r="A18" s="19" t="s">
        <v>736</v>
      </c>
      <c r="B18" s="19">
        <v>17</v>
      </c>
      <c r="C18" s="19" t="s">
        <v>749</v>
      </c>
      <c r="D18" s="19" t="s">
        <v>3406</v>
      </c>
      <c r="E18" s="19" t="s">
        <v>621</v>
      </c>
      <c r="F18" s="19">
        <f t="shared" si="0"/>
        <v>8</v>
      </c>
      <c r="G18" s="19"/>
      <c r="H18" s="19"/>
      <c r="I18" s="19" t="s">
        <v>590</v>
      </c>
      <c r="J18" s="30" t="s">
        <v>597</v>
      </c>
      <c r="K18" s="19" t="s">
        <v>624</v>
      </c>
      <c r="L18" s="19" t="s">
        <v>625</v>
      </c>
      <c r="M18" s="19"/>
      <c r="N18" s="19"/>
      <c r="O18" s="19" t="s">
        <v>3919</v>
      </c>
      <c r="R18" s="19" t="s">
        <v>592</v>
      </c>
    </row>
  </sheetData>
  <phoneticPr fontId="67" type="noConversion"/>
  <conditionalFormatting sqref="D14:D15">
    <cfRule type="duplicateValues" dxfId="15" priority="430"/>
  </conditionalFormatting>
  <conditionalFormatting sqref="G3">
    <cfRule type="duplicateValues" dxfId="14" priority="2"/>
  </conditionalFormatting>
  <conditionalFormatting sqref="H3">
    <cfRule type="duplicateValues" dxfId="13"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2716-D91F-403D-B152-886DFB50204A}">
  <sheetPr codeName="Sheet31">
    <tabColor rgb="FF00B050"/>
  </sheetPr>
  <dimension ref="A1:R23"/>
  <sheetViews>
    <sheetView workbookViewId="0">
      <selection activeCell="I34" sqref="I34"/>
    </sheetView>
  </sheetViews>
  <sheetFormatPr defaultColWidth="8.453125" defaultRowHeight="14.4"/>
  <cols>
    <col min="1" max="2" width="8.453125" style="30"/>
    <col min="3" max="3" width="14.26953125" style="30" customWidth="1"/>
    <col min="4" max="4" width="18.6328125" style="30" bestFit="1" customWidth="1"/>
    <col min="5" max="5" width="5.6328125" style="30" customWidth="1"/>
    <col min="6" max="6" width="7.26953125" style="30" customWidth="1"/>
    <col min="7" max="7" width="27.7265625" style="30" customWidth="1"/>
    <col min="8" max="8" width="23.26953125" style="30" customWidth="1"/>
    <col min="9" max="9" width="9" style="30" customWidth="1"/>
    <col min="10" max="10" width="11.453125" style="19" customWidth="1"/>
    <col min="11" max="11" width="17.6328125" style="30" customWidth="1"/>
    <col min="12" max="14" width="8.453125" style="30"/>
    <col min="15" max="15" width="32.54296875" style="30" customWidth="1"/>
    <col min="16" max="16384" width="8.453125" style="30"/>
  </cols>
  <sheetData>
    <row r="1" spans="1:18" s="19"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19" t="s">
        <v>719</v>
      </c>
      <c r="B2" s="19">
        <v>1</v>
      </c>
      <c r="C2" s="19" t="s">
        <v>614</v>
      </c>
      <c r="D2" s="19" t="s">
        <v>3386</v>
      </c>
      <c r="E2" s="19" t="s">
        <v>615</v>
      </c>
      <c r="F2" s="19">
        <f>IF(E2="Char",200,8)</f>
        <v>200</v>
      </c>
      <c r="G2" s="19"/>
      <c r="H2" s="19"/>
      <c r="I2" s="19" t="s">
        <v>757</v>
      </c>
      <c r="J2" s="30" t="s">
        <v>597</v>
      </c>
      <c r="K2" s="19" t="s">
        <v>616</v>
      </c>
      <c r="L2" s="19" t="s">
        <v>617</v>
      </c>
      <c r="M2" s="19"/>
      <c r="N2" s="19"/>
      <c r="O2" s="24" t="s">
        <v>3387</v>
      </c>
      <c r="P2" s="19"/>
      <c r="Q2" s="26" t="s">
        <v>592</v>
      </c>
    </row>
    <row r="3" spans="1:18" ht="15.6">
      <c r="A3" s="19" t="s">
        <v>719</v>
      </c>
      <c r="B3" s="19">
        <v>2</v>
      </c>
      <c r="C3" s="19" t="s">
        <v>618</v>
      </c>
      <c r="D3" s="19" t="s">
        <v>3388</v>
      </c>
      <c r="E3" s="19" t="s">
        <v>615</v>
      </c>
      <c r="F3" s="19">
        <f t="shared" ref="F3:F14" si="0">IF(E3="Char",200,8)</f>
        <v>200</v>
      </c>
      <c r="G3" s="29" t="s">
        <v>3336</v>
      </c>
      <c r="H3" s="29" t="s">
        <v>618</v>
      </c>
      <c r="I3" s="19" t="s">
        <v>619</v>
      </c>
      <c r="J3" s="30" t="s">
        <v>597</v>
      </c>
      <c r="K3" s="19" t="s">
        <v>616</v>
      </c>
      <c r="L3" s="19" t="s">
        <v>617</v>
      </c>
      <c r="M3" s="19"/>
      <c r="N3" s="19" t="s">
        <v>597</v>
      </c>
      <c r="O3" s="19"/>
    </row>
    <row r="4" spans="1:18" ht="15.6">
      <c r="A4" s="19" t="s">
        <v>719</v>
      </c>
      <c r="B4" s="19">
        <v>3</v>
      </c>
      <c r="C4" s="19" t="s">
        <v>620</v>
      </c>
      <c r="D4" s="19" t="s">
        <v>3389</v>
      </c>
      <c r="E4" s="19" t="s">
        <v>615</v>
      </c>
      <c r="F4" s="19">
        <f t="shared" si="0"/>
        <v>200</v>
      </c>
      <c r="G4" s="19"/>
      <c r="H4" s="19"/>
      <c r="I4" s="19" t="s">
        <v>590</v>
      </c>
      <c r="J4" s="30" t="s">
        <v>597</v>
      </c>
      <c r="K4" s="19" t="s">
        <v>616</v>
      </c>
      <c r="L4" s="19" t="s">
        <v>617</v>
      </c>
      <c r="M4" s="19"/>
      <c r="N4" s="19"/>
      <c r="O4" s="26" t="s">
        <v>3390</v>
      </c>
      <c r="P4" s="19"/>
      <c r="Q4" s="19"/>
      <c r="R4" s="19" t="s">
        <v>592</v>
      </c>
    </row>
    <row r="5" spans="1:18" ht="15.6">
      <c r="A5" s="19" t="s">
        <v>719</v>
      </c>
      <c r="B5" s="19">
        <v>4</v>
      </c>
      <c r="C5" s="19" t="s">
        <v>720</v>
      </c>
      <c r="D5" s="19" t="s">
        <v>3391</v>
      </c>
      <c r="E5" s="19" t="s">
        <v>621</v>
      </c>
      <c r="F5" s="19">
        <f t="shared" si="0"/>
        <v>8</v>
      </c>
      <c r="G5" s="19"/>
      <c r="H5" s="19"/>
      <c r="I5" s="19" t="s">
        <v>590</v>
      </c>
      <c r="J5" s="30" t="s">
        <v>597</v>
      </c>
      <c r="K5" s="19" t="s">
        <v>616</v>
      </c>
      <c r="L5" s="19" t="s">
        <v>617</v>
      </c>
      <c r="M5" s="19"/>
      <c r="N5" s="19"/>
      <c r="O5" s="19" t="s">
        <v>3916</v>
      </c>
      <c r="P5" s="26"/>
      <c r="Q5" s="26"/>
      <c r="R5" s="19" t="s">
        <v>592</v>
      </c>
    </row>
    <row r="6" spans="1:18" s="106" customFormat="1" ht="15.6">
      <c r="A6" s="105" t="s">
        <v>719</v>
      </c>
      <c r="B6" s="105">
        <v>5</v>
      </c>
      <c r="C6" s="105" t="s">
        <v>809</v>
      </c>
      <c r="D6" s="105" t="s">
        <v>3505</v>
      </c>
      <c r="E6" s="105" t="s">
        <v>38</v>
      </c>
      <c r="F6" s="105">
        <f t="shared" si="0"/>
        <v>200</v>
      </c>
      <c r="G6" s="105"/>
      <c r="H6" s="105"/>
      <c r="I6" s="113" t="s">
        <v>3322</v>
      </c>
      <c r="J6" s="113" t="s">
        <v>3323</v>
      </c>
      <c r="K6" s="105" t="s">
        <v>55</v>
      </c>
      <c r="L6" s="105" t="s">
        <v>49</v>
      </c>
      <c r="M6" s="105"/>
      <c r="N6" s="105"/>
      <c r="O6" s="105"/>
    </row>
    <row r="7" spans="1:18" s="106" customFormat="1" ht="15.6">
      <c r="A7" s="105" t="s">
        <v>719</v>
      </c>
      <c r="B7" s="105">
        <v>6</v>
      </c>
      <c r="C7" s="105" t="s">
        <v>721</v>
      </c>
      <c r="D7" s="105" t="s">
        <v>3506</v>
      </c>
      <c r="E7" s="105" t="s">
        <v>615</v>
      </c>
      <c r="F7" s="105">
        <f t="shared" si="0"/>
        <v>200</v>
      </c>
      <c r="G7" s="105"/>
      <c r="H7" s="105"/>
      <c r="I7" s="113" t="s">
        <v>3322</v>
      </c>
      <c r="J7" s="113" t="s">
        <v>3323</v>
      </c>
      <c r="K7" s="105" t="s">
        <v>616</v>
      </c>
      <c r="L7" s="105" t="s">
        <v>695</v>
      </c>
      <c r="M7" s="105"/>
      <c r="N7" s="105"/>
      <c r="O7" s="105"/>
    </row>
    <row r="8" spans="1:18" ht="15.6">
      <c r="A8" s="19" t="s">
        <v>719</v>
      </c>
      <c r="B8" s="19">
        <v>7</v>
      </c>
      <c r="C8" s="19" t="s">
        <v>722</v>
      </c>
      <c r="D8" s="19" t="s">
        <v>3392</v>
      </c>
      <c r="E8" s="19" t="s">
        <v>615</v>
      </c>
      <c r="F8" s="19">
        <f t="shared" si="0"/>
        <v>200</v>
      </c>
      <c r="G8" s="19" t="s">
        <v>723</v>
      </c>
      <c r="H8" s="19" t="s">
        <v>1169</v>
      </c>
      <c r="I8" s="19" t="s">
        <v>590</v>
      </c>
      <c r="J8" s="30" t="s">
        <v>597</v>
      </c>
      <c r="K8" s="19" t="s">
        <v>622</v>
      </c>
      <c r="L8" s="19" t="s">
        <v>617</v>
      </c>
      <c r="M8" s="19"/>
      <c r="N8" s="19"/>
      <c r="O8" s="19" t="s">
        <v>3497</v>
      </c>
    </row>
    <row r="9" spans="1:18" ht="15.6">
      <c r="A9" s="19" t="s">
        <v>719</v>
      </c>
      <c r="B9" s="19">
        <v>8</v>
      </c>
      <c r="C9" s="19" t="s">
        <v>724</v>
      </c>
      <c r="D9" s="19" t="s">
        <v>3393</v>
      </c>
      <c r="E9" s="19" t="s">
        <v>615</v>
      </c>
      <c r="F9" s="19">
        <f t="shared" si="0"/>
        <v>200</v>
      </c>
      <c r="G9" s="19" t="s">
        <v>725</v>
      </c>
      <c r="H9" s="19" t="s">
        <v>1170</v>
      </c>
      <c r="I9" s="27" t="s">
        <v>3322</v>
      </c>
      <c r="J9" s="27" t="s">
        <v>3323</v>
      </c>
      <c r="K9" s="19" t="s">
        <v>700</v>
      </c>
      <c r="L9" s="19" t="s">
        <v>617</v>
      </c>
      <c r="M9" s="19"/>
      <c r="N9" s="19"/>
    </row>
    <row r="10" spans="1:18" ht="15.6">
      <c r="A10" s="19" t="s">
        <v>719</v>
      </c>
      <c r="B10" s="19">
        <v>9</v>
      </c>
      <c r="C10" s="19" t="s">
        <v>726</v>
      </c>
      <c r="D10" s="122" t="s">
        <v>4001</v>
      </c>
      <c r="E10" s="19" t="s">
        <v>615</v>
      </c>
      <c r="F10" s="19">
        <f t="shared" si="0"/>
        <v>200</v>
      </c>
      <c r="G10" s="19"/>
      <c r="H10" s="19"/>
      <c r="I10" s="27" t="s">
        <v>3322</v>
      </c>
      <c r="J10" s="27" t="s">
        <v>3323</v>
      </c>
      <c r="K10" s="19" t="s">
        <v>702</v>
      </c>
      <c r="L10" s="19" t="s">
        <v>695</v>
      </c>
      <c r="M10" s="19"/>
      <c r="N10" s="19"/>
      <c r="O10" s="19"/>
    </row>
    <row r="11" spans="1:18" ht="15.6">
      <c r="A11" s="19" t="s">
        <v>719</v>
      </c>
      <c r="B11" s="19">
        <v>10</v>
      </c>
      <c r="C11" s="19" t="s">
        <v>727</v>
      </c>
      <c r="D11" s="122" t="s">
        <v>4002</v>
      </c>
      <c r="E11" s="19" t="s">
        <v>615</v>
      </c>
      <c r="F11" s="19">
        <f t="shared" ref="F11" si="1">IF(E11="Char",200,8)</f>
        <v>200</v>
      </c>
      <c r="G11" s="19" t="s">
        <v>728</v>
      </c>
      <c r="H11" s="19" t="s">
        <v>1105</v>
      </c>
      <c r="I11" s="27" t="s">
        <v>3322</v>
      </c>
      <c r="J11" s="27" t="s">
        <v>3323</v>
      </c>
      <c r="K11" s="19" t="s">
        <v>709</v>
      </c>
      <c r="L11" s="19" t="s">
        <v>695</v>
      </c>
      <c r="M11" s="19"/>
      <c r="N11" s="19"/>
      <c r="O11" s="19"/>
    </row>
    <row r="12" spans="1:18" ht="15.6">
      <c r="A12" s="19" t="s">
        <v>719</v>
      </c>
      <c r="B12" s="19">
        <v>11</v>
      </c>
      <c r="C12" s="19" t="s">
        <v>729</v>
      </c>
      <c r="D12" s="122" t="s">
        <v>4003</v>
      </c>
      <c r="E12" s="19" t="s">
        <v>615</v>
      </c>
      <c r="F12" s="19">
        <f t="shared" si="0"/>
        <v>200</v>
      </c>
      <c r="G12" s="19" t="s">
        <v>704</v>
      </c>
      <c r="H12" s="19"/>
      <c r="I12" s="19" t="s">
        <v>590</v>
      </c>
      <c r="J12" s="30" t="s">
        <v>597</v>
      </c>
      <c r="K12" s="19" t="s">
        <v>702</v>
      </c>
      <c r="L12" s="19" t="s">
        <v>695</v>
      </c>
      <c r="M12" s="19"/>
      <c r="N12" s="19"/>
      <c r="O12" s="19" t="s">
        <v>3394</v>
      </c>
      <c r="P12" s="19"/>
      <c r="Q12" s="19"/>
      <c r="R12" s="19" t="s">
        <v>592</v>
      </c>
    </row>
    <row r="13" spans="1:18" ht="15.6">
      <c r="A13" s="19" t="s">
        <v>719</v>
      </c>
      <c r="B13" s="19">
        <v>12</v>
      </c>
      <c r="C13" s="19" t="s">
        <v>730</v>
      </c>
      <c r="D13" s="42" t="s">
        <v>4004</v>
      </c>
      <c r="E13" s="19" t="s">
        <v>621</v>
      </c>
      <c r="F13" s="19">
        <f t="shared" si="0"/>
        <v>8</v>
      </c>
      <c r="G13" s="19"/>
      <c r="H13" s="19"/>
      <c r="I13" s="19" t="s">
        <v>590</v>
      </c>
      <c r="J13" s="30" t="s">
        <v>597</v>
      </c>
      <c r="K13" s="19" t="s">
        <v>702</v>
      </c>
      <c r="L13" s="19" t="s">
        <v>695</v>
      </c>
      <c r="M13" s="19"/>
      <c r="N13" s="19"/>
      <c r="O13" s="19" t="s">
        <v>3395</v>
      </c>
      <c r="P13" s="19"/>
      <c r="Q13" s="19"/>
      <c r="R13" s="19" t="s">
        <v>592</v>
      </c>
    </row>
    <row r="14" spans="1:18" ht="15.6">
      <c r="A14" s="19" t="s">
        <v>719</v>
      </c>
      <c r="B14" s="19">
        <v>13</v>
      </c>
      <c r="C14" s="19" t="s">
        <v>731</v>
      </c>
      <c r="D14" s="122" t="s">
        <v>4005</v>
      </c>
      <c r="E14" s="19" t="s">
        <v>615</v>
      </c>
      <c r="F14" s="19">
        <f t="shared" si="0"/>
        <v>200</v>
      </c>
      <c r="G14" s="19"/>
      <c r="H14" s="19"/>
      <c r="I14" s="19" t="s">
        <v>590</v>
      </c>
      <c r="J14" s="30" t="s">
        <v>597</v>
      </c>
      <c r="K14" s="19" t="s">
        <v>709</v>
      </c>
      <c r="L14" s="19" t="s">
        <v>695</v>
      </c>
      <c r="M14" s="19"/>
      <c r="N14" s="19"/>
      <c r="O14" s="19" t="s">
        <v>3396</v>
      </c>
      <c r="P14" s="19"/>
      <c r="Q14" s="19"/>
      <c r="R14" s="19" t="s">
        <v>592</v>
      </c>
    </row>
    <row r="15" spans="1:18" ht="15.6">
      <c r="A15" s="19" t="s">
        <v>719</v>
      </c>
      <c r="B15" s="19">
        <v>14</v>
      </c>
      <c r="C15" s="19" t="s">
        <v>732</v>
      </c>
      <c r="D15" s="19" t="s">
        <v>3507</v>
      </c>
      <c r="E15" s="19" t="s">
        <v>615</v>
      </c>
      <c r="F15" s="19">
        <f t="shared" ref="F15:F23" si="2">IF(E15="Char",200,8)</f>
        <v>200</v>
      </c>
      <c r="G15" s="19" t="s">
        <v>711</v>
      </c>
      <c r="H15" s="19" t="s">
        <v>1143</v>
      </c>
      <c r="I15" s="27" t="s">
        <v>3322</v>
      </c>
      <c r="J15" s="27" t="s">
        <v>3323</v>
      </c>
      <c r="K15" s="19" t="s">
        <v>708</v>
      </c>
      <c r="L15" s="19" t="s">
        <v>695</v>
      </c>
      <c r="M15" s="19"/>
      <c r="N15" s="19"/>
      <c r="O15" s="19"/>
    </row>
    <row r="16" spans="1:18" ht="15.6">
      <c r="A16" s="19" t="s">
        <v>719</v>
      </c>
      <c r="B16" s="19">
        <v>15</v>
      </c>
      <c r="C16" s="19" t="s">
        <v>1859</v>
      </c>
      <c r="D16" s="115" t="s">
        <v>3962</v>
      </c>
      <c r="E16" s="19" t="s">
        <v>615</v>
      </c>
      <c r="F16" s="19">
        <f t="shared" ref="F16" si="3">IF(E16="Char",200,8)</f>
        <v>200</v>
      </c>
      <c r="G16" s="19" t="s">
        <v>612</v>
      </c>
      <c r="H16" s="19" t="s">
        <v>1053</v>
      </c>
      <c r="I16" s="19" t="s">
        <v>590</v>
      </c>
      <c r="J16" s="30" t="s">
        <v>597</v>
      </c>
      <c r="K16" s="19" t="s">
        <v>708</v>
      </c>
      <c r="L16" s="19" t="s">
        <v>695</v>
      </c>
      <c r="M16" s="19"/>
      <c r="N16" s="19"/>
      <c r="O16" s="19" t="s">
        <v>3508</v>
      </c>
      <c r="R16" s="19" t="s">
        <v>592</v>
      </c>
    </row>
    <row r="17" spans="1:18" ht="15.6">
      <c r="A17" s="19" t="s">
        <v>719</v>
      </c>
      <c r="B17" s="19">
        <v>16</v>
      </c>
      <c r="C17" s="19" t="s">
        <v>733</v>
      </c>
      <c r="D17" s="114" t="s">
        <v>3964</v>
      </c>
      <c r="E17" s="19" t="s">
        <v>615</v>
      </c>
      <c r="F17" s="19">
        <f t="shared" si="2"/>
        <v>200</v>
      </c>
      <c r="G17" s="19" t="s">
        <v>612</v>
      </c>
      <c r="H17" s="19" t="s">
        <v>1053</v>
      </c>
      <c r="I17" s="19" t="s">
        <v>590</v>
      </c>
      <c r="J17" s="30" t="s">
        <v>597</v>
      </c>
      <c r="K17" s="19" t="s">
        <v>708</v>
      </c>
      <c r="L17" s="32" t="s">
        <v>49</v>
      </c>
      <c r="M17" s="19"/>
      <c r="N17" s="19"/>
      <c r="O17" s="19" t="s">
        <v>3508</v>
      </c>
      <c r="R17" s="19" t="s">
        <v>592</v>
      </c>
    </row>
    <row r="18" spans="1:18" ht="15.6">
      <c r="A18" s="19" t="s">
        <v>719</v>
      </c>
      <c r="B18" s="19">
        <v>17</v>
      </c>
      <c r="C18" s="30" t="s">
        <v>1302</v>
      </c>
      <c r="D18" s="30" t="s">
        <v>3509</v>
      </c>
      <c r="E18" s="19" t="s">
        <v>615</v>
      </c>
      <c r="F18" s="19">
        <f>IF(E18="Char",200,8)</f>
        <v>200</v>
      </c>
      <c r="G18" s="30" t="s">
        <v>1377</v>
      </c>
      <c r="H18" s="19" t="s">
        <v>1378</v>
      </c>
      <c r="I18" s="19" t="s">
        <v>757</v>
      </c>
      <c r="J18" s="30" t="s">
        <v>597</v>
      </c>
      <c r="K18" s="19" t="s">
        <v>702</v>
      </c>
      <c r="L18" s="19" t="s">
        <v>695</v>
      </c>
      <c r="M18" s="19"/>
      <c r="N18" s="19"/>
      <c r="O18" s="19" t="s">
        <v>3502</v>
      </c>
      <c r="P18" s="19"/>
      <c r="Q18" s="26" t="s">
        <v>592</v>
      </c>
    </row>
    <row r="19" spans="1:18" ht="15.6">
      <c r="A19" s="19" t="s">
        <v>719</v>
      </c>
      <c r="B19" s="19">
        <v>18</v>
      </c>
      <c r="C19" s="32" t="s">
        <v>266</v>
      </c>
      <c r="D19" s="19" t="s">
        <v>3399</v>
      </c>
      <c r="E19" s="32" t="s">
        <v>242</v>
      </c>
      <c r="F19" s="19">
        <f t="shared" ref="F19" si="4">IF(E19="Char",200,8)</f>
        <v>8</v>
      </c>
      <c r="H19" s="32"/>
      <c r="I19" s="19" t="s">
        <v>590</v>
      </c>
      <c r="J19" s="30" t="s">
        <v>597</v>
      </c>
      <c r="K19" s="32" t="s">
        <v>258</v>
      </c>
      <c r="L19" s="32" t="s">
        <v>42</v>
      </c>
      <c r="M19" s="19"/>
      <c r="N19" s="19"/>
      <c r="O19" s="19"/>
      <c r="P19" s="19"/>
      <c r="Q19" s="26"/>
    </row>
    <row r="20" spans="1:18" ht="15.6">
      <c r="A20" s="19" t="s">
        <v>719</v>
      </c>
      <c r="B20" s="19">
        <v>19</v>
      </c>
      <c r="C20" s="32" t="s">
        <v>715</v>
      </c>
      <c r="D20" s="19" t="s">
        <v>3401</v>
      </c>
      <c r="E20" s="32" t="s">
        <v>38</v>
      </c>
      <c r="F20" s="19">
        <f>IF(E20="Char",200,8)</f>
        <v>200</v>
      </c>
      <c r="H20" s="32"/>
      <c r="I20" s="27" t="s">
        <v>3322</v>
      </c>
      <c r="J20" s="27" t="s">
        <v>3323</v>
      </c>
      <c r="K20" s="32" t="s">
        <v>258</v>
      </c>
      <c r="L20" s="32" t="s">
        <v>49</v>
      </c>
      <c r="M20" s="19"/>
      <c r="N20" s="19"/>
      <c r="O20" s="19" t="s">
        <v>3503</v>
      </c>
      <c r="P20" s="19"/>
      <c r="Q20" s="26"/>
      <c r="R20" s="26" t="s">
        <v>592</v>
      </c>
    </row>
    <row r="21" spans="1:18" ht="15.6">
      <c r="A21" s="19" t="s">
        <v>719</v>
      </c>
      <c r="B21" s="19">
        <v>20</v>
      </c>
      <c r="C21" s="19" t="s">
        <v>623</v>
      </c>
      <c r="D21" s="19" t="s">
        <v>3504</v>
      </c>
      <c r="E21" s="19" t="s">
        <v>615</v>
      </c>
      <c r="F21" s="19">
        <f t="shared" ref="F21" si="5">IF(E21="Char",2000,8)</f>
        <v>2000</v>
      </c>
      <c r="G21" s="19" t="s">
        <v>716</v>
      </c>
      <c r="H21" s="19" t="s">
        <v>260</v>
      </c>
      <c r="I21" s="19" t="s">
        <v>590</v>
      </c>
      <c r="J21" s="30" t="s">
        <v>597</v>
      </c>
      <c r="K21" s="19" t="s">
        <v>624</v>
      </c>
      <c r="L21" s="19" t="s">
        <v>625</v>
      </c>
      <c r="M21" s="19"/>
      <c r="N21" s="19"/>
      <c r="O21" s="28" t="s">
        <v>3403</v>
      </c>
      <c r="R21" s="19" t="s">
        <v>592</v>
      </c>
    </row>
    <row r="22" spans="1:18" ht="15.6">
      <c r="A22" s="19" t="s">
        <v>719</v>
      </c>
      <c r="B22" s="19">
        <v>21</v>
      </c>
      <c r="C22" s="19" t="s">
        <v>734</v>
      </c>
      <c r="D22" s="19" t="s">
        <v>3404</v>
      </c>
      <c r="E22" s="19" t="s">
        <v>615</v>
      </c>
      <c r="F22" s="19">
        <f t="shared" si="2"/>
        <v>200</v>
      </c>
      <c r="G22" s="19"/>
      <c r="H22" s="19"/>
      <c r="I22" s="19" t="s">
        <v>590</v>
      </c>
      <c r="J22" s="30" t="s">
        <v>597</v>
      </c>
      <c r="K22" s="19" t="s">
        <v>624</v>
      </c>
      <c r="L22" s="19" t="s">
        <v>695</v>
      </c>
      <c r="M22" s="19"/>
      <c r="N22" s="19"/>
      <c r="O22" s="19" t="s">
        <v>3405</v>
      </c>
      <c r="R22" s="19" t="s">
        <v>592</v>
      </c>
    </row>
    <row r="23" spans="1:18" ht="15.6">
      <c r="A23" s="19" t="s">
        <v>719</v>
      </c>
      <c r="B23" s="19">
        <v>22</v>
      </c>
      <c r="C23" s="19" t="s">
        <v>735</v>
      </c>
      <c r="D23" s="19" t="s">
        <v>3406</v>
      </c>
      <c r="E23" s="19" t="s">
        <v>621</v>
      </c>
      <c r="F23" s="19">
        <f t="shared" si="2"/>
        <v>8</v>
      </c>
      <c r="G23" s="19"/>
      <c r="H23" s="19"/>
      <c r="I23" s="19" t="s">
        <v>590</v>
      </c>
      <c r="J23" s="30" t="s">
        <v>597</v>
      </c>
      <c r="K23" s="19" t="s">
        <v>624</v>
      </c>
      <c r="L23" s="19" t="s">
        <v>625</v>
      </c>
      <c r="M23" s="19"/>
      <c r="N23" s="19"/>
      <c r="O23" s="19" t="s">
        <v>3919</v>
      </c>
      <c r="R23" s="19" t="s">
        <v>592</v>
      </c>
    </row>
  </sheetData>
  <phoneticPr fontId="67" type="noConversion"/>
  <conditionalFormatting sqref="G3">
    <cfRule type="duplicateValues" dxfId="12" priority="2"/>
  </conditionalFormatting>
  <conditionalFormatting sqref="H3">
    <cfRule type="duplicateValues" dxfId="11" priority="1"/>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5CA2-8445-43C1-8E3E-EAC1E2B6F04B}">
  <sheetPr codeName="Sheet32">
    <tabColor rgb="FF00B050"/>
  </sheetPr>
  <dimension ref="A1:R21"/>
  <sheetViews>
    <sheetView workbookViewId="0">
      <selection activeCell="O32" sqref="O32"/>
    </sheetView>
  </sheetViews>
  <sheetFormatPr defaultColWidth="8.453125" defaultRowHeight="14.4"/>
  <cols>
    <col min="1" max="2" width="8.453125" style="30"/>
    <col min="3" max="3" width="12.26953125" style="30" customWidth="1"/>
    <col min="4" max="4" width="17.26953125" style="30" bestFit="1" customWidth="1"/>
    <col min="5" max="8" width="8.453125" style="30"/>
    <col min="9" max="9" width="9.26953125" style="30" customWidth="1"/>
    <col min="10" max="10" width="11.453125" style="19" customWidth="1"/>
    <col min="11" max="11" width="15.453125" style="30" customWidth="1"/>
    <col min="12" max="14" width="8.453125" style="30"/>
    <col min="15" max="15" width="20.6328125" style="30" customWidth="1"/>
    <col min="16" max="16384" width="8.453125" style="30"/>
  </cols>
  <sheetData>
    <row r="1" spans="1:18" s="19" customFormat="1">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19" t="s">
        <v>692</v>
      </c>
      <c r="B2" s="19">
        <v>1</v>
      </c>
      <c r="C2" s="19" t="s">
        <v>614</v>
      </c>
      <c r="D2" s="19" t="s">
        <v>3386</v>
      </c>
      <c r="E2" s="19" t="s">
        <v>615</v>
      </c>
      <c r="F2" s="19">
        <f>IF(E2="Char",200,8)</f>
        <v>200</v>
      </c>
      <c r="G2" s="19"/>
      <c r="H2" s="19"/>
      <c r="I2" s="19" t="s">
        <v>757</v>
      </c>
      <c r="J2" s="30" t="s">
        <v>597</v>
      </c>
      <c r="K2" s="19" t="s">
        <v>616</v>
      </c>
      <c r="L2" s="19" t="s">
        <v>617</v>
      </c>
      <c r="M2" s="19"/>
      <c r="N2" s="19"/>
      <c r="O2" s="24" t="s">
        <v>3387</v>
      </c>
      <c r="P2" s="19"/>
      <c r="Q2" s="26" t="s">
        <v>592</v>
      </c>
    </row>
    <row r="3" spans="1:18" ht="15.6">
      <c r="A3" s="19" t="s">
        <v>692</v>
      </c>
      <c r="B3" s="19">
        <v>2</v>
      </c>
      <c r="C3" s="19" t="s">
        <v>618</v>
      </c>
      <c r="D3" s="19" t="s">
        <v>3388</v>
      </c>
      <c r="E3" s="19" t="s">
        <v>615</v>
      </c>
      <c r="F3" s="19">
        <f t="shared" ref="F3:F9" si="0">IF(E3="Char",200,8)</f>
        <v>200</v>
      </c>
      <c r="G3" s="29" t="s">
        <v>3336</v>
      </c>
      <c r="H3" s="29" t="s">
        <v>618</v>
      </c>
      <c r="I3" s="19" t="s">
        <v>619</v>
      </c>
      <c r="J3" s="30" t="s">
        <v>597</v>
      </c>
      <c r="K3" s="19" t="s">
        <v>616</v>
      </c>
      <c r="L3" s="19" t="s">
        <v>617</v>
      </c>
      <c r="M3" s="19"/>
      <c r="N3" s="19" t="s">
        <v>597</v>
      </c>
      <c r="O3" s="19"/>
    </row>
    <row r="4" spans="1:18" ht="15.6">
      <c r="A4" s="19" t="s">
        <v>692</v>
      </c>
      <c r="B4" s="19">
        <v>3</v>
      </c>
      <c r="C4" s="19" t="s">
        <v>620</v>
      </c>
      <c r="D4" s="19" t="s">
        <v>3389</v>
      </c>
      <c r="E4" s="19" t="s">
        <v>615</v>
      </c>
      <c r="F4" s="19">
        <f t="shared" si="0"/>
        <v>200</v>
      </c>
      <c r="G4" s="19"/>
      <c r="H4" s="19"/>
      <c r="I4" s="19" t="s">
        <v>590</v>
      </c>
      <c r="J4" s="30" t="s">
        <v>597</v>
      </c>
      <c r="K4" s="19" t="s">
        <v>616</v>
      </c>
      <c r="L4" s="19" t="s">
        <v>617</v>
      </c>
      <c r="M4" s="19"/>
      <c r="N4" s="19"/>
      <c r="O4" s="26" t="s">
        <v>3390</v>
      </c>
      <c r="P4" s="19"/>
      <c r="Q4" s="19"/>
      <c r="R4" s="19" t="s">
        <v>592</v>
      </c>
    </row>
    <row r="5" spans="1:18" ht="15.6">
      <c r="A5" s="19" t="s">
        <v>692</v>
      </c>
      <c r="B5" s="19">
        <v>4</v>
      </c>
      <c r="C5" s="19" t="s">
        <v>693</v>
      </c>
      <c r="D5" s="19" t="s">
        <v>3391</v>
      </c>
      <c r="E5" s="19" t="s">
        <v>621</v>
      </c>
      <c r="F5" s="19">
        <f t="shared" si="0"/>
        <v>8</v>
      </c>
      <c r="G5" s="19"/>
      <c r="H5" s="19"/>
      <c r="I5" s="19" t="s">
        <v>590</v>
      </c>
      <c r="J5" s="30" t="s">
        <v>597</v>
      </c>
      <c r="K5" s="19" t="s">
        <v>616</v>
      </c>
      <c r="L5" s="19" t="s">
        <v>617</v>
      </c>
      <c r="M5" s="19"/>
      <c r="N5" s="19"/>
      <c r="O5" s="19" t="s">
        <v>3916</v>
      </c>
      <c r="P5" s="26"/>
      <c r="Q5" s="26"/>
      <c r="R5" s="19" t="s">
        <v>592</v>
      </c>
    </row>
    <row r="6" spans="1:18" ht="15.6">
      <c r="A6" s="19" t="s">
        <v>692</v>
      </c>
      <c r="B6" s="19">
        <v>5</v>
      </c>
      <c r="C6" s="19" t="s">
        <v>694</v>
      </c>
      <c r="D6" s="19" t="s">
        <v>3510</v>
      </c>
      <c r="E6" s="19" t="s">
        <v>615</v>
      </c>
      <c r="F6" s="19">
        <f t="shared" si="0"/>
        <v>200</v>
      </c>
      <c r="G6" s="19"/>
      <c r="H6" s="19"/>
      <c r="I6" s="27" t="s">
        <v>3322</v>
      </c>
      <c r="J6" s="27" t="s">
        <v>3323</v>
      </c>
      <c r="K6" s="19" t="s">
        <v>616</v>
      </c>
      <c r="L6" s="19" t="s">
        <v>695</v>
      </c>
      <c r="M6" s="19"/>
      <c r="N6" s="19"/>
      <c r="O6" s="19"/>
    </row>
    <row r="7" spans="1:18" ht="15.6">
      <c r="A7" s="19" t="s">
        <v>692</v>
      </c>
      <c r="B7" s="19">
        <v>6</v>
      </c>
      <c r="C7" s="19" t="s">
        <v>696</v>
      </c>
      <c r="D7" s="124" t="s">
        <v>4007</v>
      </c>
      <c r="E7" s="19" t="s">
        <v>615</v>
      </c>
      <c r="F7" s="19">
        <f t="shared" ref="F7" si="1">IF(E7="Char",200,8)</f>
        <v>200</v>
      </c>
      <c r="G7" s="19" t="s">
        <v>697</v>
      </c>
      <c r="H7" s="19" t="s">
        <v>696</v>
      </c>
      <c r="I7" s="19" t="s">
        <v>590</v>
      </c>
      <c r="J7" s="30" t="s">
        <v>597</v>
      </c>
      <c r="K7" s="19" t="s">
        <v>622</v>
      </c>
      <c r="L7" s="19" t="s">
        <v>617</v>
      </c>
      <c r="M7" s="19"/>
      <c r="N7" s="19"/>
      <c r="O7" s="123" t="s">
        <v>3497</v>
      </c>
      <c r="R7" s="19" t="s">
        <v>592</v>
      </c>
    </row>
    <row r="8" spans="1:18" ht="15.6">
      <c r="A8" s="19" t="s">
        <v>692</v>
      </c>
      <c r="B8" s="19">
        <v>7</v>
      </c>
      <c r="C8" s="19" t="s">
        <v>698</v>
      </c>
      <c r="D8" s="124" t="s">
        <v>4008</v>
      </c>
      <c r="E8" s="19" t="s">
        <v>615</v>
      </c>
      <c r="F8" s="19">
        <f t="shared" si="0"/>
        <v>200</v>
      </c>
      <c r="G8" s="19" t="s">
        <v>699</v>
      </c>
      <c r="H8" s="19" t="s">
        <v>1167</v>
      </c>
      <c r="I8" s="27" t="s">
        <v>3322</v>
      </c>
      <c r="J8" s="27" t="s">
        <v>3323</v>
      </c>
      <c r="K8" s="19" t="s">
        <v>700</v>
      </c>
      <c r="L8" s="19" t="s">
        <v>617</v>
      </c>
      <c r="M8" s="19"/>
      <c r="N8" s="19"/>
      <c r="O8" s="123"/>
    </row>
    <row r="9" spans="1:18" ht="15.6">
      <c r="A9" s="19" t="s">
        <v>692</v>
      </c>
      <c r="B9" s="19">
        <v>8</v>
      </c>
      <c r="C9" s="19" t="s">
        <v>701</v>
      </c>
      <c r="D9" s="124" t="s">
        <v>4009</v>
      </c>
      <c r="E9" s="19" t="s">
        <v>615</v>
      </c>
      <c r="F9" s="19">
        <f t="shared" si="0"/>
        <v>200</v>
      </c>
      <c r="G9" s="19"/>
      <c r="H9" s="19"/>
      <c r="I9" s="27" t="s">
        <v>3322</v>
      </c>
      <c r="J9" s="27" t="s">
        <v>3323</v>
      </c>
      <c r="K9" s="19" t="s">
        <v>702</v>
      </c>
      <c r="L9" s="19" t="s">
        <v>695</v>
      </c>
      <c r="M9" s="19"/>
      <c r="N9" s="19"/>
      <c r="O9" s="123"/>
    </row>
    <row r="10" spans="1:18" ht="15.6">
      <c r="A10" s="19" t="s">
        <v>692</v>
      </c>
      <c r="B10" s="19">
        <v>9</v>
      </c>
      <c r="C10" s="19" t="s">
        <v>703</v>
      </c>
      <c r="D10" s="124" t="s">
        <v>4010</v>
      </c>
      <c r="E10" s="19" t="s">
        <v>615</v>
      </c>
      <c r="F10" s="19">
        <f t="shared" ref="F10" si="2">IF(E10="Char",200,8)</f>
        <v>200</v>
      </c>
      <c r="G10" s="19" t="s">
        <v>704</v>
      </c>
      <c r="H10" s="19"/>
      <c r="I10" s="19" t="s">
        <v>590</v>
      </c>
      <c r="J10" s="30" t="s">
        <v>597</v>
      </c>
      <c r="K10" s="19" t="s">
        <v>702</v>
      </c>
      <c r="L10" s="19" t="s">
        <v>695</v>
      </c>
      <c r="M10" s="19"/>
      <c r="N10" s="19"/>
      <c r="O10" s="123" t="s">
        <v>3394</v>
      </c>
      <c r="P10" s="19"/>
      <c r="Q10" s="19"/>
      <c r="R10" s="19" t="s">
        <v>592</v>
      </c>
    </row>
    <row r="11" spans="1:18" ht="15.6">
      <c r="A11" s="19" t="s">
        <v>692</v>
      </c>
      <c r="B11" s="19">
        <v>10</v>
      </c>
      <c r="C11" s="19" t="s">
        <v>705</v>
      </c>
      <c r="D11" s="122" t="s">
        <v>4006</v>
      </c>
      <c r="E11" s="19" t="s">
        <v>706</v>
      </c>
      <c r="F11" s="19">
        <v>200</v>
      </c>
      <c r="G11" s="19" t="s">
        <v>707</v>
      </c>
      <c r="H11" s="19" t="s">
        <v>1168</v>
      </c>
      <c r="I11" s="27" t="s">
        <v>3322</v>
      </c>
      <c r="J11" s="27" t="s">
        <v>3323</v>
      </c>
      <c r="K11" s="19" t="s">
        <v>708</v>
      </c>
      <c r="L11" s="19" t="s">
        <v>695</v>
      </c>
      <c r="M11" s="19"/>
      <c r="N11" s="19"/>
      <c r="O11" s="123"/>
    </row>
    <row r="12" spans="1:18" ht="15.6">
      <c r="A12" s="19" t="s">
        <v>692</v>
      </c>
      <c r="B12" s="19">
        <v>11</v>
      </c>
      <c r="C12" s="19" t="s">
        <v>808</v>
      </c>
      <c r="D12" s="19" t="s">
        <v>3511</v>
      </c>
      <c r="E12" s="19" t="s">
        <v>706</v>
      </c>
      <c r="F12" s="19">
        <v>200</v>
      </c>
      <c r="G12" s="19"/>
      <c r="H12" s="19"/>
      <c r="I12" s="27" t="s">
        <v>3322</v>
      </c>
      <c r="J12" s="27" t="s">
        <v>3323</v>
      </c>
      <c r="K12" s="19" t="s">
        <v>709</v>
      </c>
      <c r="L12" s="19"/>
      <c r="M12" s="19" t="s">
        <v>592</v>
      </c>
      <c r="N12" s="19"/>
      <c r="O12" s="19"/>
    </row>
    <row r="13" spans="1:18" ht="15.6">
      <c r="A13" s="19" t="s">
        <v>692</v>
      </c>
      <c r="B13" s="19">
        <v>12</v>
      </c>
      <c r="C13" s="19" t="s">
        <v>710</v>
      </c>
      <c r="D13" s="19" t="s">
        <v>3507</v>
      </c>
      <c r="E13" s="19" t="s">
        <v>615</v>
      </c>
      <c r="F13" s="19">
        <f t="shared" ref="F13:F21" si="3">IF(E13="Char",200,8)</f>
        <v>200</v>
      </c>
      <c r="G13" s="19" t="s">
        <v>711</v>
      </c>
      <c r="H13" s="19" t="s">
        <v>1143</v>
      </c>
      <c r="I13" s="27" t="s">
        <v>3322</v>
      </c>
      <c r="J13" s="27" t="s">
        <v>3323</v>
      </c>
      <c r="K13" s="19" t="s">
        <v>708</v>
      </c>
      <c r="L13" s="19" t="s">
        <v>695</v>
      </c>
      <c r="M13" s="19"/>
      <c r="N13" s="19"/>
      <c r="O13" s="19"/>
    </row>
    <row r="14" spans="1:18" ht="15.6">
      <c r="A14" s="19" t="s">
        <v>692</v>
      </c>
      <c r="B14" s="19">
        <v>13</v>
      </c>
      <c r="C14" s="19" t="s">
        <v>712</v>
      </c>
      <c r="D14" s="115" t="s">
        <v>3962</v>
      </c>
      <c r="E14" s="19" t="s">
        <v>615</v>
      </c>
      <c r="F14" s="19">
        <f t="shared" si="3"/>
        <v>200</v>
      </c>
      <c r="G14" s="19" t="s">
        <v>612</v>
      </c>
      <c r="H14" s="19" t="s">
        <v>1053</v>
      </c>
      <c r="I14" s="19" t="s">
        <v>590</v>
      </c>
      <c r="J14" s="30" t="s">
        <v>597</v>
      </c>
      <c r="K14" s="19" t="s">
        <v>708</v>
      </c>
      <c r="L14" s="19" t="s">
        <v>695</v>
      </c>
      <c r="M14" s="19"/>
      <c r="N14" s="19"/>
      <c r="O14" s="19" t="s">
        <v>3508</v>
      </c>
      <c r="R14" s="19" t="s">
        <v>592</v>
      </c>
    </row>
    <row r="15" spans="1:18" ht="15.6">
      <c r="A15" s="19" t="s">
        <v>692</v>
      </c>
      <c r="B15" s="19">
        <v>14</v>
      </c>
      <c r="C15" s="19" t="s">
        <v>713</v>
      </c>
      <c r="D15" s="114" t="s">
        <v>3964</v>
      </c>
      <c r="E15" s="19" t="s">
        <v>615</v>
      </c>
      <c r="F15" s="19">
        <f t="shared" si="3"/>
        <v>200</v>
      </c>
      <c r="G15" s="19" t="s">
        <v>612</v>
      </c>
      <c r="H15" s="19" t="s">
        <v>1053</v>
      </c>
      <c r="I15" s="19" t="s">
        <v>590</v>
      </c>
      <c r="J15" s="30" t="s">
        <v>597</v>
      </c>
      <c r="K15" s="19" t="s">
        <v>708</v>
      </c>
      <c r="L15" s="32" t="s">
        <v>49</v>
      </c>
      <c r="M15" s="19"/>
      <c r="N15" s="19"/>
      <c r="O15" s="19" t="s">
        <v>3508</v>
      </c>
      <c r="R15" s="19" t="s">
        <v>592</v>
      </c>
    </row>
    <row r="16" spans="1:18" ht="15.6">
      <c r="A16" s="19" t="s">
        <v>692</v>
      </c>
      <c r="B16" s="19">
        <v>15</v>
      </c>
      <c r="C16" s="30" t="s">
        <v>1303</v>
      </c>
      <c r="D16" s="30" t="s">
        <v>3509</v>
      </c>
      <c r="E16" s="19" t="s">
        <v>615</v>
      </c>
      <c r="F16" s="19">
        <f>IF(E16="Char",200,8)</f>
        <v>200</v>
      </c>
      <c r="G16" s="30" t="s">
        <v>1377</v>
      </c>
      <c r="H16" s="19" t="s">
        <v>1378</v>
      </c>
      <c r="I16" s="19" t="s">
        <v>757</v>
      </c>
      <c r="J16" s="30" t="s">
        <v>597</v>
      </c>
      <c r="K16" s="19" t="s">
        <v>702</v>
      </c>
      <c r="L16" s="19" t="s">
        <v>695</v>
      </c>
      <c r="M16" s="19"/>
      <c r="N16" s="19"/>
      <c r="O16" s="19" t="s">
        <v>3512</v>
      </c>
      <c r="P16" s="19"/>
      <c r="Q16" s="26" t="s">
        <v>592</v>
      </c>
    </row>
    <row r="17" spans="1:18" ht="15.6">
      <c r="A17" s="19" t="s">
        <v>692</v>
      </c>
      <c r="B17" s="19">
        <v>16</v>
      </c>
      <c r="C17" s="32" t="s">
        <v>266</v>
      </c>
      <c r="D17" s="19" t="s">
        <v>3399</v>
      </c>
      <c r="E17" s="32" t="s">
        <v>242</v>
      </c>
      <c r="F17" s="19">
        <f t="shared" si="3"/>
        <v>8</v>
      </c>
      <c r="H17" s="32"/>
      <c r="I17" s="19" t="s">
        <v>590</v>
      </c>
      <c r="J17" s="30" t="s">
        <v>597</v>
      </c>
      <c r="K17" s="32" t="s">
        <v>258</v>
      </c>
      <c r="L17" s="32" t="s">
        <v>42</v>
      </c>
      <c r="M17" s="19"/>
      <c r="N17" s="19"/>
      <c r="O17" s="19"/>
      <c r="P17" s="19"/>
      <c r="Q17" s="26"/>
    </row>
    <row r="18" spans="1:18" ht="15.6">
      <c r="A18" s="19" t="s">
        <v>692</v>
      </c>
      <c r="B18" s="19">
        <v>17</v>
      </c>
      <c r="C18" s="32" t="s">
        <v>715</v>
      </c>
      <c r="D18" s="19" t="s">
        <v>3401</v>
      </c>
      <c r="E18" s="32" t="s">
        <v>38</v>
      </c>
      <c r="F18" s="19">
        <f>IF(E18="Char",200,8)</f>
        <v>200</v>
      </c>
      <c r="H18" s="32"/>
      <c r="I18" s="27" t="s">
        <v>3322</v>
      </c>
      <c r="J18" s="27" t="s">
        <v>3323</v>
      </c>
      <c r="K18" s="32" t="s">
        <v>258</v>
      </c>
      <c r="L18" s="32" t="s">
        <v>49</v>
      </c>
      <c r="M18" s="19"/>
      <c r="N18" s="19"/>
      <c r="O18" s="19" t="s">
        <v>3503</v>
      </c>
      <c r="P18" s="19"/>
      <c r="Q18" s="26"/>
      <c r="R18" s="26" t="s">
        <v>592</v>
      </c>
    </row>
    <row r="19" spans="1:18" s="19" customFormat="1" ht="15.6">
      <c r="A19" s="19" t="s">
        <v>692</v>
      </c>
      <c r="B19" s="19">
        <v>18</v>
      </c>
      <c r="C19" s="19" t="s">
        <v>623</v>
      </c>
      <c r="D19" s="19" t="s">
        <v>3504</v>
      </c>
      <c r="E19" s="19" t="s">
        <v>615</v>
      </c>
      <c r="F19" s="19">
        <f t="shared" si="3"/>
        <v>200</v>
      </c>
      <c r="G19" s="19" t="s">
        <v>716</v>
      </c>
      <c r="H19" s="19" t="s">
        <v>260</v>
      </c>
      <c r="I19" s="19" t="s">
        <v>590</v>
      </c>
      <c r="J19" s="30" t="s">
        <v>597</v>
      </c>
      <c r="K19" s="19" t="s">
        <v>624</v>
      </c>
      <c r="L19" s="19" t="s">
        <v>625</v>
      </c>
      <c r="O19" s="28" t="s">
        <v>3403</v>
      </c>
      <c r="P19" s="30"/>
      <c r="Q19" s="30"/>
      <c r="R19" s="19" t="s">
        <v>592</v>
      </c>
    </row>
    <row r="20" spans="1:18" ht="15.6">
      <c r="A20" s="19" t="s">
        <v>692</v>
      </c>
      <c r="B20" s="19">
        <v>19</v>
      </c>
      <c r="C20" s="19" t="s">
        <v>717</v>
      </c>
      <c r="D20" s="19" t="s">
        <v>3404</v>
      </c>
      <c r="E20" s="19" t="s">
        <v>615</v>
      </c>
      <c r="F20" s="19">
        <f>IF(E20="Char",200,8)</f>
        <v>200</v>
      </c>
      <c r="G20" s="19"/>
      <c r="I20" s="19" t="s">
        <v>590</v>
      </c>
      <c r="J20" s="30" t="s">
        <v>597</v>
      </c>
      <c r="K20" s="19" t="s">
        <v>624</v>
      </c>
      <c r="L20" s="19" t="s">
        <v>695</v>
      </c>
      <c r="M20" s="19"/>
      <c r="N20" s="19"/>
      <c r="O20" s="19" t="s">
        <v>3405</v>
      </c>
      <c r="R20" s="19" t="s">
        <v>592</v>
      </c>
    </row>
    <row r="21" spans="1:18" ht="15.6">
      <c r="A21" s="19" t="s">
        <v>692</v>
      </c>
      <c r="B21" s="19">
        <v>20</v>
      </c>
      <c r="C21" s="19" t="s">
        <v>718</v>
      </c>
      <c r="D21" s="19" t="s">
        <v>3406</v>
      </c>
      <c r="E21" s="19" t="s">
        <v>621</v>
      </c>
      <c r="F21" s="19">
        <f t="shared" si="3"/>
        <v>8</v>
      </c>
      <c r="G21" s="19"/>
      <c r="I21" s="19" t="s">
        <v>590</v>
      </c>
      <c r="J21" s="30" t="s">
        <v>597</v>
      </c>
      <c r="K21" s="19" t="s">
        <v>624</v>
      </c>
      <c r="L21" s="19" t="s">
        <v>625</v>
      </c>
      <c r="M21" s="19"/>
      <c r="N21" s="19"/>
      <c r="O21" s="19" t="s">
        <v>3919</v>
      </c>
      <c r="R21" s="19" t="s">
        <v>592</v>
      </c>
    </row>
  </sheetData>
  <phoneticPr fontId="67" type="noConversion"/>
  <conditionalFormatting sqref="C11:C12">
    <cfRule type="duplicateValues" dxfId="10" priority="226"/>
  </conditionalFormatting>
  <conditionalFormatting sqref="D11:D12">
    <cfRule type="duplicateValues" dxfId="9" priority="393"/>
  </conditionalFormatting>
  <conditionalFormatting sqref="G3">
    <cfRule type="duplicateValues" dxfId="8" priority="2"/>
  </conditionalFormatting>
  <conditionalFormatting sqref="H3">
    <cfRule type="duplicateValues" dxfId="7" priority="1"/>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3">
    <tabColor theme="7"/>
  </sheetPr>
  <dimension ref="A1:N79"/>
  <sheetViews>
    <sheetView topLeftCell="A49" workbookViewId="0">
      <selection activeCell="T70" sqref="T70"/>
    </sheetView>
  </sheetViews>
  <sheetFormatPr defaultColWidth="8.81640625" defaultRowHeight="15.6"/>
  <cols>
    <col min="14" max="14" width="53.6328125" customWidth="1"/>
  </cols>
  <sheetData>
    <row r="1" spans="1:14">
      <c r="A1" s="3" t="s">
        <v>26</v>
      </c>
      <c r="B1" s="3" t="s">
        <v>1</v>
      </c>
      <c r="C1" s="3" t="s">
        <v>27</v>
      </c>
      <c r="D1" s="3" t="s">
        <v>28</v>
      </c>
      <c r="E1" s="3" t="s">
        <v>29</v>
      </c>
      <c r="F1" s="3" t="s">
        <v>30</v>
      </c>
      <c r="G1" s="3" t="s">
        <v>31</v>
      </c>
      <c r="H1" s="3" t="s">
        <v>32</v>
      </c>
      <c r="I1" s="3" t="s">
        <v>33</v>
      </c>
      <c r="J1" s="3" t="s">
        <v>34</v>
      </c>
      <c r="K1" s="3" t="s">
        <v>35</v>
      </c>
      <c r="L1" s="3" t="s">
        <v>36</v>
      </c>
      <c r="M1" s="3" t="s">
        <v>50</v>
      </c>
      <c r="N1" s="2"/>
    </row>
    <row r="2" spans="1:14">
      <c r="A2" s="2" t="s">
        <v>5</v>
      </c>
      <c r="B2" s="2">
        <v>1</v>
      </c>
      <c r="C2" s="2" t="s">
        <v>37</v>
      </c>
      <c r="D2" s="2" t="s">
        <v>51</v>
      </c>
      <c r="E2" s="2" t="s">
        <v>52</v>
      </c>
      <c r="F2" s="2">
        <v>2000</v>
      </c>
      <c r="G2" s="2" t="s">
        <v>53</v>
      </c>
      <c r="H2" s="2"/>
      <c r="I2" s="2" t="s">
        <v>55</v>
      </c>
      <c r="J2" s="2" t="s">
        <v>56</v>
      </c>
      <c r="K2" s="2"/>
      <c r="L2" s="2"/>
      <c r="M2" s="2">
        <v>1</v>
      </c>
      <c r="N2" s="2"/>
    </row>
    <row r="3" spans="1:14">
      <c r="A3" s="2" t="s">
        <v>5</v>
      </c>
      <c r="B3" s="2">
        <v>2</v>
      </c>
      <c r="C3" s="2" t="s">
        <v>57</v>
      </c>
      <c r="D3" s="2" t="s">
        <v>58</v>
      </c>
      <c r="E3" s="2" t="s">
        <v>52</v>
      </c>
      <c r="F3" s="2">
        <v>2000</v>
      </c>
      <c r="G3" s="2" t="s">
        <v>59</v>
      </c>
      <c r="H3" s="2"/>
      <c r="I3" s="2" t="s">
        <v>61</v>
      </c>
      <c r="J3" s="2" t="s">
        <v>56</v>
      </c>
      <c r="K3" s="2"/>
      <c r="L3" s="2"/>
      <c r="M3" s="2">
        <v>1</v>
      </c>
      <c r="N3" s="2"/>
    </row>
    <row r="4" spans="1:14">
      <c r="A4" s="2" t="s">
        <v>5</v>
      </c>
      <c r="B4" s="2">
        <v>3</v>
      </c>
      <c r="C4" s="2" t="s">
        <v>41</v>
      </c>
      <c r="D4" s="2" t="s">
        <v>62</v>
      </c>
      <c r="E4" s="2" t="s">
        <v>52</v>
      </c>
      <c r="F4" s="2">
        <v>2000</v>
      </c>
      <c r="G4" s="2" t="s">
        <v>53</v>
      </c>
      <c r="H4" s="2"/>
      <c r="I4" s="2" t="s">
        <v>61</v>
      </c>
      <c r="J4" s="2" t="s">
        <v>56</v>
      </c>
      <c r="K4" s="2"/>
      <c r="L4" s="2"/>
      <c r="M4" s="2">
        <v>1</v>
      </c>
      <c r="N4" s="2"/>
    </row>
    <row r="5" spans="1:14">
      <c r="A5" s="2" t="s">
        <v>5</v>
      </c>
      <c r="B5" s="2">
        <v>4</v>
      </c>
      <c r="C5" s="2" t="s">
        <v>63</v>
      </c>
      <c r="D5" s="2" t="s">
        <v>64</v>
      </c>
      <c r="E5" s="2" t="s">
        <v>52</v>
      </c>
      <c r="F5" s="2">
        <v>2000</v>
      </c>
      <c r="G5" s="2" t="s">
        <v>53</v>
      </c>
      <c r="H5" s="2"/>
      <c r="I5" s="2" t="s">
        <v>65</v>
      </c>
      <c r="J5" s="2" t="s">
        <v>56</v>
      </c>
      <c r="K5" s="2"/>
      <c r="L5" s="2"/>
      <c r="M5" s="2">
        <v>1</v>
      </c>
      <c r="N5" s="2"/>
    </row>
    <row r="6" spans="1:14">
      <c r="A6" s="2" t="s">
        <v>5</v>
      </c>
      <c r="B6" s="2">
        <v>5</v>
      </c>
      <c r="C6" s="2" t="s">
        <v>66</v>
      </c>
      <c r="D6" s="2" t="s">
        <v>67</v>
      </c>
      <c r="E6" s="2" t="s">
        <v>52</v>
      </c>
      <c r="F6" s="2">
        <v>2000</v>
      </c>
      <c r="G6" s="2" t="s">
        <v>68</v>
      </c>
      <c r="H6" s="2"/>
      <c r="I6" s="2" t="s">
        <v>70</v>
      </c>
      <c r="J6" s="2" t="s">
        <v>71</v>
      </c>
      <c r="K6" s="2"/>
      <c r="L6" s="2"/>
      <c r="M6" s="2">
        <v>1</v>
      </c>
      <c r="N6" s="2"/>
    </row>
    <row r="7" spans="1:14">
      <c r="A7" s="2" t="s">
        <v>5</v>
      </c>
      <c r="B7" s="2">
        <v>6</v>
      </c>
      <c r="C7" s="2" t="s">
        <v>72</v>
      </c>
      <c r="D7" s="2" t="s">
        <v>73</v>
      </c>
      <c r="E7" s="2" t="s">
        <v>52</v>
      </c>
      <c r="F7" s="2">
        <v>2000</v>
      </c>
      <c r="G7" s="2" t="s">
        <v>68</v>
      </c>
      <c r="H7" s="2"/>
      <c r="I7" s="2" t="s">
        <v>70</v>
      </c>
      <c r="J7" s="2" t="s">
        <v>71</v>
      </c>
      <c r="K7" s="2"/>
      <c r="L7" s="2"/>
      <c r="M7" s="2">
        <v>1</v>
      </c>
      <c r="N7" s="2"/>
    </row>
    <row r="8" spans="1:14">
      <c r="A8" s="2" t="s">
        <v>5</v>
      </c>
      <c r="B8" s="2">
        <v>7</v>
      </c>
      <c r="C8" s="2" t="s">
        <v>74</v>
      </c>
      <c r="D8" s="2" t="s">
        <v>75</v>
      </c>
      <c r="E8" s="2" t="s">
        <v>52</v>
      </c>
      <c r="F8" s="2">
        <v>2000</v>
      </c>
      <c r="G8" s="2" t="s">
        <v>68</v>
      </c>
      <c r="H8" s="2"/>
      <c r="I8" s="2" t="s">
        <v>70</v>
      </c>
      <c r="J8" s="2" t="s">
        <v>71</v>
      </c>
      <c r="K8" s="2"/>
      <c r="L8" s="2"/>
      <c r="M8" s="2">
        <v>1</v>
      </c>
      <c r="N8" s="2"/>
    </row>
    <row r="9" spans="1:14">
      <c r="A9" s="2" t="s">
        <v>5</v>
      </c>
      <c r="B9" s="2">
        <v>8</v>
      </c>
      <c r="C9" s="2" t="s">
        <v>76</v>
      </c>
      <c r="D9" s="2" t="s">
        <v>77</v>
      </c>
      <c r="E9" s="2" t="s">
        <v>52</v>
      </c>
      <c r="F9" s="2">
        <v>2000</v>
      </c>
      <c r="G9" s="2" t="s">
        <v>68</v>
      </c>
      <c r="H9" s="2"/>
      <c r="I9" s="2" t="s">
        <v>70</v>
      </c>
      <c r="J9" s="2" t="s">
        <v>71</v>
      </c>
      <c r="K9" s="2"/>
      <c r="L9" s="2"/>
      <c r="M9" s="2">
        <v>1</v>
      </c>
      <c r="N9" s="2"/>
    </row>
    <row r="10" spans="1:14">
      <c r="A10" s="2" t="s">
        <v>5</v>
      </c>
      <c r="B10" s="2">
        <v>9</v>
      </c>
      <c r="C10" s="2" t="s">
        <v>79</v>
      </c>
      <c r="D10" s="2" t="s">
        <v>80</v>
      </c>
      <c r="E10" s="2" t="s">
        <v>52</v>
      </c>
      <c r="F10" s="2">
        <v>2000</v>
      </c>
      <c r="G10" s="2" t="s">
        <v>68</v>
      </c>
      <c r="H10" s="2"/>
      <c r="I10" s="2" t="s">
        <v>70</v>
      </c>
      <c r="J10" s="2" t="s">
        <v>71</v>
      </c>
      <c r="K10" s="2"/>
      <c r="L10" s="2"/>
      <c r="M10" s="2">
        <v>1</v>
      </c>
      <c r="N10" s="2"/>
    </row>
    <row r="11" spans="1:14">
      <c r="A11" s="2" t="s">
        <v>5</v>
      </c>
      <c r="B11" s="2">
        <v>10</v>
      </c>
      <c r="C11" s="2" t="s">
        <v>81</v>
      </c>
      <c r="D11" s="2" t="s">
        <v>82</v>
      </c>
      <c r="E11" s="2" t="s">
        <v>52</v>
      </c>
      <c r="F11" s="2">
        <v>2000</v>
      </c>
      <c r="G11" s="2" t="s">
        <v>68</v>
      </c>
      <c r="H11" s="2"/>
      <c r="I11" s="2" t="s">
        <v>70</v>
      </c>
      <c r="J11" s="2" t="s">
        <v>71</v>
      </c>
      <c r="K11" s="2"/>
      <c r="L11" s="2"/>
      <c r="M11" s="2">
        <v>2</v>
      </c>
      <c r="N11" s="2"/>
    </row>
    <row r="12" spans="1:14">
      <c r="A12" s="2" t="s">
        <v>5</v>
      </c>
      <c r="B12" s="2">
        <v>11</v>
      </c>
      <c r="C12" s="2" t="s">
        <v>83</v>
      </c>
      <c r="D12" s="2" t="s">
        <v>84</v>
      </c>
      <c r="E12" s="2" t="s">
        <v>52</v>
      </c>
      <c r="F12" s="2">
        <v>2000</v>
      </c>
      <c r="G12" s="2" t="s">
        <v>85</v>
      </c>
      <c r="H12" s="2"/>
      <c r="I12" s="2" t="s">
        <v>70</v>
      </c>
      <c r="J12" s="2" t="s">
        <v>71</v>
      </c>
      <c r="K12" s="2"/>
      <c r="L12" s="2"/>
      <c r="M12" s="2">
        <v>2</v>
      </c>
      <c r="N12" s="2"/>
    </row>
    <row r="13" spans="1:14">
      <c r="A13" s="2" t="s">
        <v>5</v>
      </c>
      <c r="B13" s="2">
        <v>12</v>
      </c>
      <c r="C13" s="2" t="s">
        <v>86</v>
      </c>
      <c r="D13" s="2" t="s">
        <v>87</v>
      </c>
      <c r="E13" s="2" t="s">
        <v>52</v>
      </c>
      <c r="F13" s="2">
        <v>2000</v>
      </c>
      <c r="G13" s="2" t="s">
        <v>88</v>
      </c>
      <c r="H13" s="2"/>
      <c r="I13" s="2" t="s">
        <v>70</v>
      </c>
      <c r="J13" s="2" t="s">
        <v>71</v>
      </c>
      <c r="K13" s="2"/>
      <c r="L13" s="2"/>
      <c r="M13" s="2">
        <v>2</v>
      </c>
      <c r="N13" s="2"/>
    </row>
    <row r="14" spans="1:14">
      <c r="A14" s="2" t="s">
        <v>5</v>
      </c>
      <c r="B14" s="2">
        <v>13</v>
      </c>
      <c r="C14" s="2" t="s">
        <v>89</v>
      </c>
      <c r="D14" s="2" t="s">
        <v>90</v>
      </c>
      <c r="E14" s="2" t="s">
        <v>52</v>
      </c>
      <c r="F14" s="2">
        <v>2000</v>
      </c>
      <c r="G14" s="2" t="s">
        <v>53</v>
      </c>
      <c r="H14" s="2"/>
      <c r="I14" s="2" t="s">
        <v>70</v>
      </c>
      <c r="J14" s="2" t="s">
        <v>56</v>
      </c>
      <c r="K14" s="2"/>
      <c r="L14" s="2"/>
      <c r="M14" s="2">
        <v>1</v>
      </c>
      <c r="N14" s="2"/>
    </row>
    <row r="15" spans="1:14">
      <c r="A15" s="2" t="s">
        <v>5</v>
      </c>
      <c r="B15" s="2">
        <v>14</v>
      </c>
      <c r="C15" s="2" t="s">
        <v>91</v>
      </c>
      <c r="D15" s="2" t="s">
        <v>92</v>
      </c>
      <c r="E15" s="2" t="s">
        <v>52</v>
      </c>
      <c r="F15" s="2">
        <v>2000</v>
      </c>
      <c r="G15" s="2" t="s">
        <v>68</v>
      </c>
      <c r="H15" s="2"/>
      <c r="I15" s="2" t="s">
        <v>70</v>
      </c>
      <c r="J15" s="2" t="s">
        <v>93</v>
      </c>
      <c r="K15" s="2"/>
      <c r="L15" s="2"/>
      <c r="M15" s="2">
        <v>1</v>
      </c>
      <c r="N15" s="2"/>
    </row>
    <row r="16" spans="1:14">
      <c r="A16" s="2" t="s">
        <v>5</v>
      </c>
      <c r="B16" s="2">
        <v>15</v>
      </c>
      <c r="C16" s="2" t="s">
        <v>94</v>
      </c>
      <c r="D16" s="2" t="s">
        <v>95</v>
      </c>
      <c r="E16" s="2" t="s">
        <v>96</v>
      </c>
      <c r="F16" s="2">
        <v>8</v>
      </c>
      <c r="G16" s="2" t="s">
        <v>53</v>
      </c>
      <c r="H16" s="2"/>
      <c r="I16" s="2" t="s">
        <v>70</v>
      </c>
      <c r="J16" s="2" t="s">
        <v>71</v>
      </c>
      <c r="K16" s="2"/>
      <c r="L16" s="2"/>
      <c r="M16" s="2">
        <v>1</v>
      </c>
      <c r="N16" s="2"/>
    </row>
    <row r="17" spans="1:14">
      <c r="A17" s="2" t="s">
        <v>5</v>
      </c>
      <c r="B17" s="2">
        <v>16</v>
      </c>
      <c r="C17" s="2" t="s">
        <v>97</v>
      </c>
      <c r="D17" s="2" t="s">
        <v>98</v>
      </c>
      <c r="E17" s="2" t="s">
        <v>52</v>
      </c>
      <c r="F17" s="2">
        <v>2000</v>
      </c>
      <c r="G17" s="2" t="s">
        <v>99</v>
      </c>
      <c r="H17" s="2"/>
      <c r="I17" s="2" t="s">
        <v>100</v>
      </c>
      <c r="J17" s="2" t="s">
        <v>71</v>
      </c>
      <c r="K17" s="2"/>
      <c r="L17" s="2"/>
      <c r="M17" s="2">
        <v>1</v>
      </c>
      <c r="N17" s="2"/>
    </row>
    <row r="18" spans="1:14">
      <c r="A18" s="2" t="s">
        <v>5</v>
      </c>
      <c r="B18" s="2">
        <v>17</v>
      </c>
      <c r="C18" s="2" t="s">
        <v>101</v>
      </c>
      <c r="D18" s="2" t="s">
        <v>102</v>
      </c>
      <c r="E18" s="2" t="s">
        <v>52</v>
      </c>
      <c r="F18" s="2">
        <v>2000</v>
      </c>
      <c r="G18" s="2" t="s">
        <v>103</v>
      </c>
      <c r="H18" s="2"/>
      <c r="I18" s="2" t="s">
        <v>70</v>
      </c>
      <c r="J18" s="2" t="s">
        <v>56</v>
      </c>
      <c r="K18" s="2"/>
      <c r="L18" s="2"/>
      <c r="M18" s="2">
        <v>1</v>
      </c>
      <c r="N18" s="2"/>
    </row>
    <row r="19" spans="1:14">
      <c r="A19" s="2" t="s">
        <v>5</v>
      </c>
      <c r="B19" s="2">
        <v>18</v>
      </c>
      <c r="C19" s="2" t="s">
        <v>104</v>
      </c>
      <c r="D19" s="2" t="s">
        <v>105</v>
      </c>
      <c r="E19" s="2" t="s">
        <v>52</v>
      </c>
      <c r="F19" s="2">
        <v>2000</v>
      </c>
      <c r="G19" s="2" t="s">
        <v>204</v>
      </c>
      <c r="H19" s="2"/>
      <c r="I19" s="2" t="s">
        <v>70</v>
      </c>
      <c r="J19" s="2" t="s">
        <v>93</v>
      </c>
      <c r="K19" s="2"/>
      <c r="L19" s="2"/>
      <c r="M19" s="2">
        <v>1</v>
      </c>
      <c r="N19" s="2"/>
    </row>
    <row r="20" spans="1:14">
      <c r="A20" s="2" t="s">
        <v>5</v>
      </c>
      <c r="B20" s="2">
        <v>19</v>
      </c>
      <c r="C20" s="2" t="s">
        <v>106</v>
      </c>
      <c r="D20" s="2" t="s">
        <v>107</v>
      </c>
      <c r="E20" s="2" t="s">
        <v>52</v>
      </c>
      <c r="F20" s="2">
        <v>2000</v>
      </c>
      <c r="G20" s="2" t="s">
        <v>108</v>
      </c>
      <c r="H20" s="2"/>
      <c r="I20" s="2" t="s">
        <v>70</v>
      </c>
      <c r="J20" s="2" t="s">
        <v>56</v>
      </c>
      <c r="K20" s="2"/>
      <c r="L20" s="2"/>
      <c r="M20" s="2">
        <v>2</v>
      </c>
      <c r="N20" s="2"/>
    </row>
    <row r="21" spans="1:14">
      <c r="A21" s="2" t="s">
        <v>5</v>
      </c>
      <c r="B21" s="2">
        <v>20</v>
      </c>
      <c r="C21" s="2" t="s">
        <v>109</v>
      </c>
      <c r="D21" s="2" t="s">
        <v>110</v>
      </c>
      <c r="E21" s="2" t="s">
        <v>52</v>
      </c>
      <c r="F21" s="2">
        <v>2000</v>
      </c>
      <c r="G21" s="2" t="s">
        <v>108</v>
      </c>
      <c r="H21" s="2"/>
      <c r="I21" s="2" t="s">
        <v>111</v>
      </c>
      <c r="J21" s="2" t="s">
        <v>56</v>
      </c>
      <c r="K21" s="2"/>
      <c r="L21" s="2"/>
      <c r="M21" s="2">
        <v>2</v>
      </c>
      <c r="N21" s="2"/>
    </row>
    <row r="22" spans="1:14">
      <c r="A22" s="2" t="s">
        <v>5</v>
      </c>
      <c r="B22" s="2">
        <v>21</v>
      </c>
      <c r="C22" s="2" t="s">
        <v>112</v>
      </c>
      <c r="D22" s="2" t="s">
        <v>113</v>
      </c>
      <c r="E22" s="2" t="s">
        <v>52</v>
      </c>
      <c r="F22" s="2">
        <v>2000</v>
      </c>
      <c r="G22" s="2" t="s">
        <v>108</v>
      </c>
      <c r="H22" s="2"/>
      <c r="I22" s="2" t="s">
        <v>70</v>
      </c>
      <c r="J22" s="2" t="s">
        <v>56</v>
      </c>
      <c r="K22" s="2"/>
      <c r="L22" s="2"/>
      <c r="M22" s="2">
        <v>2</v>
      </c>
      <c r="N22" s="2"/>
    </row>
    <row r="23" spans="1:14">
      <c r="A23" s="2" t="s">
        <v>5</v>
      </c>
      <c r="B23" s="2">
        <v>22</v>
      </c>
      <c r="C23" s="2" t="s">
        <v>114</v>
      </c>
      <c r="D23" s="2" t="s">
        <v>205</v>
      </c>
      <c r="E23" s="2" t="s">
        <v>52</v>
      </c>
      <c r="F23" s="2">
        <v>2000</v>
      </c>
      <c r="G23" s="2" t="s">
        <v>108</v>
      </c>
      <c r="H23" s="2"/>
      <c r="I23" s="2" t="s">
        <v>111</v>
      </c>
      <c r="J23" s="2" t="s">
        <v>56</v>
      </c>
      <c r="K23" s="2"/>
      <c r="L23" s="2"/>
      <c r="M23" s="2">
        <v>2</v>
      </c>
      <c r="N23" s="2"/>
    </row>
    <row r="24" spans="1:14">
      <c r="A24" s="2" t="s">
        <v>5</v>
      </c>
      <c r="B24" s="2">
        <v>23</v>
      </c>
      <c r="C24" s="2" t="s">
        <v>116</v>
      </c>
      <c r="D24" s="2" t="s">
        <v>117</v>
      </c>
      <c r="E24" s="2" t="s">
        <v>52</v>
      </c>
      <c r="F24" s="2">
        <v>2000</v>
      </c>
      <c r="G24" s="2" t="s">
        <v>118</v>
      </c>
      <c r="H24" s="2"/>
      <c r="I24" s="2" t="s">
        <v>70</v>
      </c>
      <c r="J24" s="2" t="s">
        <v>119</v>
      </c>
      <c r="K24" s="2"/>
      <c r="L24" s="2"/>
      <c r="M24" s="2">
        <v>2</v>
      </c>
      <c r="N24" s="2" t="s">
        <v>120</v>
      </c>
    </row>
    <row r="25" spans="1:14">
      <c r="A25" s="2" t="s">
        <v>5</v>
      </c>
      <c r="B25" s="2">
        <v>24</v>
      </c>
      <c r="C25" s="2" t="s">
        <v>121</v>
      </c>
      <c r="D25" s="2" t="s">
        <v>122</v>
      </c>
      <c r="E25" s="2" t="s">
        <v>52</v>
      </c>
      <c r="F25" s="2">
        <v>200</v>
      </c>
      <c r="G25" s="2"/>
      <c r="H25" s="2"/>
      <c r="I25" s="2"/>
      <c r="J25" s="2"/>
      <c r="K25" s="2" t="s">
        <v>78</v>
      </c>
      <c r="L25" s="2"/>
      <c r="M25" s="2">
        <v>3</v>
      </c>
      <c r="N25" s="2"/>
    </row>
    <row r="26" spans="1:14">
      <c r="A26" s="2" t="s">
        <v>5</v>
      </c>
      <c r="B26" s="2">
        <v>25</v>
      </c>
      <c r="C26" s="2" t="s">
        <v>123</v>
      </c>
      <c r="D26" s="2" t="s">
        <v>124</v>
      </c>
      <c r="E26" s="2" t="s">
        <v>52</v>
      </c>
      <c r="F26" s="2">
        <v>200</v>
      </c>
      <c r="G26" s="2"/>
      <c r="H26" s="2"/>
      <c r="I26" s="2"/>
      <c r="J26" s="2"/>
      <c r="K26" s="2" t="s">
        <v>78</v>
      </c>
      <c r="L26" s="2"/>
      <c r="M26" s="2">
        <v>3</v>
      </c>
      <c r="N26" s="2"/>
    </row>
    <row r="27" spans="1:14">
      <c r="A27" s="2" t="s">
        <v>5</v>
      </c>
      <c r="B27" s="2">
        <v>26</v>
      </c>
      <c r="C27" s="2" t="s">
        <v>125</v>
      </c>
      <c r="D27" s="2" t="s">
        <v>126</v>
      </c>
      <c r="E27" s="2" t="s">
        <v>52</v>
      </c>
      <c r="F27" s="2">
        <v>200</v>
      </c>
      <c r="G27" s="2"/>
      <c r="H27" s="2"/>
      <c r="I27" s="2"/>
      <c r="J27" s="2"/>
      <c r="K27" s="2" t="s">
        <v>78</v>
      </c>
      <c r="L27" s="2"/>
      <c r="M27" s="2">
        <v>3</v>
      </c>
      <c r="N27" s="2"/>
    </row>
    <row r="28" spans="1:14">
      <c r="A28" s="2" t="s">
        <v>5</v>
      </c>
      <c r="B28" s="2">
        <v>27</v>
      </c>
      <c r="C28" s="2" t="s">
        <v>127</v>
      </c>
      <c r="D28" s="2" t="s">
        <v>128</v>
      </c>
      <c r="E28" s="2" t="s">
        <v>52</v>
      </c>
      <c r="F28" s="2">
        <v>200</v>
      </c>
      <c r="G28" s="2"/>
      <c r="H28" s="2"/>
      <c r="I28" s="2"/>
      <c r="J28" s="2"/>
      <c r="K28" s="2" t="s">
        <v>78</v>
      </c>
      <c r="L28" s="2"/>
      <c r="M28" s="2">
        <v>3</v>
      </c>
      <c r="N28" s="2"/>
    </row>
    <row r="29" spans="1:14">
      <c r="A29" s="2" t="s">
        <v>5</v>
      </c>
      <c r="B29" s="2">
        <v>28</v>
      </c>
      <c r="C29" s="2" t="s">
        <v>206</v>
      </c>
      <c r="D29" s="2" t="s">
        <v>207</v>
      </c>
      <c r="E29" s="2" t="s">
        <v>52</v>
      </c>
      <c r="F29" s="2">
        <v>200</v>
      </c>
      <c r="G29" s="2"/>
      <c r="H29" s="2"/>
      <c r="I29" s="2"/>
      <c r="J29" s="2"/>
      <c r="K29" s="2" t="s">
        <v>78</v>
      </c>
      <c r="L29" s="2"/>
      <c r="M29" s="2">
        <v>3</v>
      </c>
      <c r="N29" s="2"/>
    </row>
    <row r="30" spans="1:14">
      <c r="A30" s="2" t="s">
        <v>5</v>
      </c>
      <c r="B30" s="2">
        <v>29</v>
      </c>
      <c r="C30" s="2" t="s">
        <v>129</v>
      </c>
      <c r="D30" s="2" t="s">
        <v>130</v>
      </c>
      <c r="E30" s="2" t="s">
        <v>96</v>
      </c>
      <c r="F30" s="2">
        <v>8</v>
      </c>
      <c r="G30" s="2"/>
      <c r="H30" s="2"/>
      <c r="I30" s="2"/>
      <c r="J30" s="2"/>
      <c r="K30" s="2" t="s">
        <v>78</v>
      </c>
      <c r="L30" s="2"/>
      <c r="M30" s="2">
        <v>3</v>
      </c>
      <c r="N30" s="2"/>
    </row>
    <row r="31" spans="1:14">
      <c r="A31" s="2" t="s">
        <v>5</v>
      </c>
      <c r="B31" s="2">
        <v>30</v>
      </c>
      <c r="C31" s="2" t="s">
        <v>131</v>
      </c>
      <c r="D31" s="2" t="s">
        <v>132</v>
      </c>
      <c r="E31" s="2" t="s">
        <v>52</v>
      </c>
      <c r="F31" s="2">
        <v>200</v>
      </c>
      <c r="G31" s="2"/>
      <c r="H31" s="2"/>
      <c r="I31" s="2"/>
      <c r="J31" s="2"/>
      <c r="K31" s="2" t="s">
        <v>78</v>
      </c>
      <c r="L31" s="2"/>
      <c r="M31" s="2">
        <v>3</v>
      </c>
      <c r="N31" s="2"/>
    </row>
    <row r="32" spans="1:14">
      <c r="A32" s="2" t="s">
        <v>5</v>
      </c>
      <c r="B32" s="2">
        <v>31</v>
      </c>
      <c r="C32" s="2" t="s">
        <v>133</v>
      </c>
      <c r="D32" s="2" t="s">
        <v>134</v>
      </c>
      <c r="E32" s="2" t="s">
        <v>52</v>
      </c>
      <c r="F32" s="2">
        <v>200</v>
      </c>
      <c r="G32" s="2"/>
      <c r="H32" s="2"/>
      <c r="I32" s="2"/>
      <c r="J32" s="2"/>
      <c r="K32" s="2" t="s">
        <v>78</v>
      </c>
      <c r="L32" s="2"/>
      <c r="M32" s="2">
        <v>3</v>
      </c>
      <c r="N32" s="2"/>
    </row>
    <row r="33" spans="1:14">
      <c r="A33" s="2" t="s">
        <v>5</v>
      </c>
      <c r="B33" s="2">
        <v>32</v>
      </c>
      <c r="C33" s="2" t="s">
        <v>203</v>
      </c>
      <c r="D33" s="2" t="s">
        <v>208</v>
      </c>
      <c r="E33" s="2" t="s">
        <v>52</v>
      </c>
      <c r="F33" s="2">
        <v>200</v>
      </c>
      <c r="G33" s="2"/>
      <c r="H33" s="2"/>
      <c r="I33" s="2"/>
      <c r="J33" s="2"/>
      <c r="K33" s="2" t="s">
        <v>78</v>
      </c>
      <c r="L33" s="2"/>
      <c r="M33" s="2">
        <v>3</v>
      </c>
      <c r="N33" s="2" t="s">
        <v>209</v>
      </c>
    </row>
    <row r="34" spans="1:14">
      <c r="A34" s="2" t="s">
        <v>5</v>
      </c>
      <c r="B34" s="2">
        <v>33</v>
      </c>
      <c r="C34" s="2" t="s">
        <v>210</v>
      </c>
      <c r="D34" s="2" t="s">
        <v>211</v>
      </c>
      <c r="E34" s="2" t="s">
        <v>52</v>
      </c>
      <c r="F34" s="2">
        <v>200</v>
      </c>
      <c r="G34" s="2"/>
      <c r="H34" s="2"/>
      <c r="I34" s="2"/>
      <c r="J34" s="2"/>
      <c r="K34" s="2" t="s">
        <v>78</v>
      </c>
      <c r="L34" s="2"/>
      <c r="M34" s="2">
        <v>3</v>
      </c>
      <c r="N34" s="2" t="s">
        <v>209</v>
      </c>
    </row>
    <row r="35" spans="1:14">
      <c r="A35" s="2" t="s">
        <v>5</v>
      </c>
      <c r="B35" s="2">
        <v>34</v>
      </c>
      <c r="C35" s="2" t="s">
        <v>212</v>
      </c>
      <c r="D35" s="2" t="s">
        <v>213</v>
      </c>
      <c r="E35" s="2" t="s">
        <v>52</v>
      </c>
      <c r="F35" s="2">
        <v>200</v>
      </c>
      <c r="G35" s="2"/>
      <c r="H35" s="2"/>
      <c r="I35" s="2"/>
      <c r="J35" s="2"/>
      <c r="K35" s="2" t="s">
        <v>78</v>
      </c>
      <c r="L35" s="2"/>
      <c r="M35" s="2">
        <v>3</v>
      </c>
      <c r="N35" s="2" t="s">
        <v>209</v>
      </c>
    </row>
    <row r="36" spans="1:14">
      <c r="A36" s="2" t="s">
        <v>5</v>
      </c>
      <c r="B36" s="2">
        <v>35</v>
      </c>
      <c r="C36" s="2" t="s">
        <v>214</v>
      </c>
      <c r="D36" s="2" t="s">
        <v>215</v>
      </c>
      <c r="E36" s="2" t="s">
        <v>52</v>
      </c>
      <c r="F36" s="2">
        <v>200</v>
      </c>
      <c r="G36" s="2"/>
      <c r="H36" s="2"/>
      <c r="I36" s="2"/>
      <c r="J36" s="2"/>
      <c r="K36" s="2" t="s">
        <v>78</v>
      </c>
      <c r="L36" s="2"/>
      <c r="M36" s="2">
        <v>3</v>
      </c>
      <c r="N36" s="2" t="s">
        <v>209</v>
      </c>
    </row>
    <row r="37" spans="1:14">
      <c r="A37" s="2" t="s">
        <v>5</v>
      </c>
      <c r="B37" s="2">
        <v>36</v>
      </c>
      <c r="C37" s="2" t="s">
        <v>216</v>
      </c>
      <c r="D37" s="2" t="s">
        <v>217</v>
      </c>
      <c r="E37" s="2" t="s">
        <v>52</v>
      </c>
      <c r="F37" s="2">
        <v>200</v>
      </c>
      <c r="G37" s="2" t="s">
        <v>85</v>
      </c>
      <c r="H37" s="2"/>
      <c r="I37" s="2"/>
      <c r="J37" s="2"/>
      <c r="K37" s="2" t="s">
        <v>78</v>
      </c>
      <c r="L37" s="2"/>
      <c r="M37" s="2">
        <v>3</v>
      </c>
      <c r="N37" s="2" t="s">
        <v>209</v>
      </c>
    </row>
    <row r="38" spans="1:14">
      <c r="A38" s="2" t="s">
        <v>5</v>
      </c>
      <c r="B38" s="2">
        <v>37</v>
      </c>
      <c r="C38" s="2" t="s">
        <v>218</v>
      </c>
      <c r="D38" s="2" t="s">
        <v>219</v>
      </c>
      <c r="E38" s="2" t="s">
        <v>52</v>
      </c>
      <c r="F38" s="2">
        <v>200</v>
      </c>
      <c r="G38" s="2"/>
      <c r="H38" s="2"/>
      <c r="I38" s="2"/>
      <c r="J38" s="2"/>
      <c r="K38" s="2" t="s">
        <v>78</v>
      </c>
      <c r="L38" s="2"/>
      <c r="M38" s="2">
        <v>3</v>
      </c>
      <c r="N38" s="2" t="s">
        <v>209</v>
      </c>
    </row>
    <row r="39" spans="1:14">
      <c r="A39" s="2" t="s">
        <v>5</v>
      </c>
      <c r="B39" s="2">
        <v>38</v>
      </c>
      <c r="C39" s="2" t="s">
        <v>135</v>
      </c>
      <c r="D39" s="2" t="s">
        <v>136</v>
      </c>
      <c r="E39" s="2" t="s">
        <v>52</v>
      </c>
      <c r="F39" s="2">
        <v>200</v>
      </c>
      <c r="G39" s="2"/>
      <c r="H39" s="2"/>
      <c r="I39" s="2"/>
      <c r="J39" s="2"/>
      <c r="K39" s="2" t="s">
        <v>78</v>
      </c>
      <c r="L39" s="2"/>
      <c r="M39" s="2">
        <v>3</v>
      </c>
      <c r="N39" s="2" t="s">
        <v>220</v>
      </c>
    </row>
    <row r="40" spans="1:14">
      <c r="A40" s="2" t="s">
        <v>5</v>
      </c>
      <c r="B40" s="2">
        <v>39</v>
      </c>
      <c r="C40" s="2" t="s">
        <v>137</v>
      </c>
      <c r="D40" s="2" t="s">
        <v>138</v>
      </c>
      <c r="E40" s="2" t="s">
        <v>52</v>
      </c>
      <c r="F40" s="2">
        <v>200</v>
      </c>
      <c r="G40" s="2"/>
      <c r="H40" s="2"/>
      <c r="I40" s="2"/>
      <c r="J40" s="2"/>
      <c r="K40" s="2" t="s">
        <v>78</v>
      </c>
      <c r="L40" s="2"/>
      <c r="M40" s="2">
        <v>3</v>
      </c>
      <c r="N40" s="2" t="s">
        <v>220</v>
      </c>
    </row>
    <row r="41" spans="1:14">
      <c r="A41" s="2" t="s">
        <v>5</v>
      </c>
      <c r="B41" s="2">
        <v>40</v>
      </c>
      <c r="C41" s="2" t="s">
        <v>139</v>
      </c>
      <c r="D41" s="2" t="s">
        <v>140</v>
      </c>
      <c r="E41" s="2" t="s">
        <v>52</v>
      </c>
      <c r="F41" s="2">
        <v>200</v>
      </c>
      <c r="G41" s="2"/>
      <c r="H41" s="2"/>
      <c r="I41" s="2"/>
      <c r="J41" s="2"/>
      <c r="K41" s="2" t="s">
        <v>78</v>
      </c>
      <c r="L41" s="2"/>
      <c r="M41" s="2">
        <v>3</v>
      </c>
      <c r="N41" s="2" t="s">
        <v>220</v>
      </c>
    </row>
    <row r="42" spans="1:14">
      <c r="A42" s="2" t="s">
        <v>5</v>
      </c>
      <c r="B42" s="2">
        <v>41</v>
      </c>
      <c r="C42" s="2" t="s">
        <v>141</v>
      </c>
      <c r="D42" s="2" t="s">
        <v>142</v>
      </c>
      <c r="E42" s="2" t="s">
        <v>52</v>
      </c>
      <c r="F42" s="2">
        <v>200</v>
      </c>
      <c r="G42" s="2" t="s">
        <v>85</v>
      </c>
      <c r="H42" s="2"/>
      <c r="I42" s="2"/>
      <c r="J42" s="2"/>
      <c r="K42" s="2" t="s">
        <v>78</v>
      </c>
      <c r="L42" s="2"/>
      <c r="M42" s="2">
        <v>3</v>
      </c>
      <c r="N42" s="2" t="s">
        <v>220</v>
      </c>
    </row>
    <row r="43" spans="1:14">
      <c r="A43" s="1" t="s">
        <v>5</v>
      </c>
      <c r="B43" s="1">
        <v>42</v>
      </c>
      <c r="C43" s="1" t="s">
        <v>143</v>
      </c>
      <c r="D43" s="1" t="s">
        <v>144</v>
      </c>
      <c r="E43" s="1" t="s">
        <v>52</v>
      </c>
      <c r="F43" s="1">
        <v>200</v>
      </c>
      <c r="G43" s="1"/>
      <c r="H43" s="1"/>
      <c r="I43" s="1"/>
      <c r="J43" s="1"/>
      <c r="K43" s="1" t="s">
        <v>78</v>
      </c>
      <c r="L43" s="1"/>
      <c r="M43" s="1">
        <v>3</v>
      </c>
      <c r="N43" s="2" t="s">
        <v>220</v>
      </c>
    </row>
    <row r="44" spans="1:14">
      <c r="A44" s="4" t="s">
        <v>5</v>
      </c>
      <c r="B44" s="4">
        <v>43</v>
      </c>
      <c r="C44" s="4" t="s">
        <v>145</v>
      </c>
      <c r="D44" s="4" t="s">
        <v>146</v>
      </c>
      <c r="E44" s="4" t="s">
        <v>52</v>
      </c>
      <c r="F44" s="4">
        <v>200</v>
      </c>
      <c r="G44" s="4"/>
      <c r="H44" s="4"/>
      <c r="I44" s="4"/>
      <c r="J44" s="4"/>
      <c r="K44" s="4" t="s">
        <v>78</v>
      </c>
      <c r="L44" s="4"/>
      <c r="M44" s="4">
        <v>3</v>
      </c>
      <c r="N44" s="1" t="s">
        <v>221</v>
      </c>
    </row>
    <row r="45" spans="1:14">
      <c r="A45" s="4" t="s">
        <v>5</v>
      </c>
      <c r="B45" s="4">
        <v>44</v>
      </c>
      <c r="C45" s="4" t="s">
        <v>147</v>
      </c>
      <c r="D45" s="4" t="s">
        <v>148</v>
      </c>
      <c r="E45" s="4" t="s">
        <v>52</v>
      </c>
      <c r="F45" s="4">
        <v>200</v>
      </c>
      <c r="G45" s="4"/>
      <c r="H45" s="4"/>
      <c r="I45" s="4"/>
      <c r="J45" s="4"/>
      <c r="K45" s="4" t="s">
        <v>78</v>
      </c>
      <c r="L45" s="4"/>
      <c r="M45" s="4">
        <v>3</v>
      </c>
      <c r="N45" s="1" t="s">
        <v>221</v>
      </c>
    </row>
    <row r="46" spans="1:14">
      <c r="A46" s="4" t="s">
        <v>5</v>
      </c>
      <c r="B46" s="4">
        <v>45</v>
      </c>
      <c r="C46" s="4" t="s">
        <v>149</v>
      </c>
      <c r="D46" s="4" t="s">
        <v>150</v>
      </c>
      <c r="E46" s="4" t="s">
        <v>52</v>
      </c>
      <c r="F46" s="4">
        <v>200</v>
      </c>
      <c r="G46" s="4"/>
      <c r="H46" s="4"/>
      <c r="I46" s="4"/>
      <c r="J46" s="4"/>
      <c r="K46" s="4" t="s">
        <v>78</v>
      </c>
      <c r="L46" s="4"/>
      <c r="M46" s="4">
        <v>3</v>
      </c>
      <c r="N46" s="1" t="s">
        <v>221</v>
      </c>
    </row>
    <row r="47" spans="1:14">
      <c r="A47" s="4" t="s">
        <v>5</v>
      </c>
      <c r="B47" s="4">
        <v>46</v>
      </c>
      <c r="C47" s="4" t="s">
        <v>151</v>
      </c>
      <c r="D47" s="4" t="s">
        <v>152</v>
      </c>
      <c r="E47" s="4" t="s">
        <v>52</v>
      </c>
      <c r="F47" s="4">
        <v>200</v>
      </c>
      <c r="G47" s="4"/>
      <c r="H47" s="4"/>
      <c r="I47" s="4"/>
      <c r="J47" s="4"/>
      <c r="K47" s="4" t="s">
        <v>78</v>
      </c>
      <c r="L47" s="4"/>
      <c r="M47" s="4">
        <v>3</v>
      </c>
      <c r="N47" s="1" t="s">
        <v>221</v>
      </c>
    </row>
    <row r="48" spans="1:14">
      <c r="A48" s="4" t="s">
        <v>5</v>
      </c>
      <c r="B48" s="4">
        <v>47</v>
      </c>
      <c r="C48" s="4" t="s">
        <v>153</v>
      </c>
      <c r="D48" s="4" t="s">
        <v>154</v>
      </c>
      <c r="E48" s="4" t="s">
        <v>52</v>
      </c>
      <c r="F48" s="4">
        <v>200</v>
      </c>
      <c r="G48" s="4"/>
      <c r="H48" s="4"/>
      <c r="I48" s="4"/>
      <c r="J48" s="4"/>
      <c r="K48" s="4" t="s">
        <v>78</v>
      </c>
      <c r="L48" s="4"/>
      <c r="M48" s="4">
        <v>3</v>
      </c>
      <c r="N48" s="1" t="s">
        <v>221</v>
      </c>
    </row>
    <row r="49" spans="1:14">
      <c r="A49" s="4" t="s">
        <v>5</v>
      </c>
      <c r="B49" s="4">
        <v>48</v>
      </c>
      <c r="C49" s="4" t="s">
        <v>222</v>
      </c>
      <c r="D49" s="4" t="s">
        <v>155</v>
      </c>
      <c r="E49" s="4" t="s">
        <v>52</v>
      </c>
      <c r="F49" s="4">
        <v>200</v>
      </c>
      <c r="G49" s="4"/>
      <c r="H49" s="4"/>
      <c r="I49" s="4"/>
      <c r="J49" s="4"/>
      <c r="K49" s="4" t="s">
        <v>78</v>
      </c>
      <c r="L49" s="4"/>
      <c r="M49" s="4">
        <v>3</v>
      </c>
      <c r="N49" s="1" t="s">
        <v>221</v>
      </c>
    </row>
    <row r="50" spans="1:14">
      <c r="A50" s="4" t="s">
        <v>5</v>
      </c>
      <c r="B50" s="4">
        <v>49</v>
      </c>
      <c r="C50" s="4" t="s">
        <v>156</v>
      </c>
      <c r="D50" s="4" t="s">
        <v>157</v>
      </c>
      <c r="E50" s="4" t="s">
        <v>52</v>
      </c>
      <c r="F50" s="4">
        <v>200</v>
      </c>
      <c r="G50" s="4" t="s">
        <v>85</v>
      </c>
      <c r="H50" s="4"/>
      <c r="I50" s="4"/>
      <c r="J50" s="4"/>
      <c r="K50" s="4" t="s">
        <v>78</v>
      </c>
      <c r="L50" s="4"/>
      <c r="M50" s="4">
        <v>3</v>
      </c>
      <c r="N50" s="1" t="s">
        <v>221</v>
      </c>
    </row>
    <row r="51" spans="1:14">
      <c r="A51" s="4" t="s">
        <v>5</v>
      </c>
      <c r="B51" s="4">
        <v>50</v>
      </c>
      <c r="C51" s="4" t="s">
        <v>158</v>
      </c>
      <c r="D51" s="4" t="s">
        <v>159</v>
      </c>
      <c r="E51" s="4" t="s">
        <v>52</v>
      </c>
      <c r="F51" s="4">
        <v>200</v>
      </c>
      <c r="G51" s="4"/>
      <c r="H51" s="4"/>
      <c r="I51" s="4"/>
      <c r="J51" s="4"/>
      <c r="K51" s="4" t="s">
        <v>78</v>
      </c>
      <c r="L51" s="4"/>
      <c r="M51" s="4">
        <v>3</v>
      </c>
      <c r="N51" s="1" t="s">
        <v>221</v>
      </c>
    </row>
    <row r="52" spans="1:14">
      <c r="A52" s="4" t="s">
        <v>5</v>
      </c>
      <c r="B52" s="4">
        <v>51</v>
      </c>
      <c r="C52" s="4" t="s">
        <v>160</v>
      </c>
      <c r="D52" s="4" t="s">
        <v>161</v>
      </c>
      <c r="E52" s="4" t="s">
        <v>52</v>
      </c>
      <c r="F52" s="4">
        <v>200</v>
      </c>
      <c r="G52" s="4" t="s">
        <v>85</v>
      </c>
      <c r="H52" s="4"/>
      <c r="I52" s="4"/>
      <c r="J52" s="4"/>
      <c r="K52" s="4" t="s">
        <v>78</v>
      </c>
      <c r="L52" s="4"/>
      <c r="M52" s="4">
        <v>3</v>
      </c>
      <c r="N52" s="1" t="s">
        <v>221</v>
      </c>
    </row>
    <row r="53" spans="1:14">
      <c r="A53" s="4" t="s">
        <v>5</v>
      </c>
      <c r="B53" s="4">
        <v>52</v>
      </c>
      <c r="C53" s="4" t="s">
        <v>202</v>
      </c>
      <c r="D53" s="4" t="s">
        <v>223</v>
      </c>
      <c r="E53" s="4" t="s">
        <v>52</v>
      </c>
      <c r="F53" s="4">
        <v>200</v>
      </c>
      <c r="G53" s="4"/>
      <c r="H53" s="4"/>
      <c r="I53" s="4"/>
      <c r="J53" s="4"/>
      <c r="K53" s="4" t="s">
        <v>78</v>
      </c>
      <c r="L53" s="4"/>
      <c r="M53" s="4">
        <v>3</v>
      </c>
      <c r="N53" s="4" t="s">
        <v>224</v>
      </c>
    </row>
    <row r="54" spans="1:14">
      <c r="A54" s="4" t="s">
        <v>5</v>
      </c>
      <c r="B54" s="4">
        <v>53</v>
      </c>
      <c r="C54" s="4" t="s">
        <v>225</v>
      </c>
      <c r="D54" s="4" t="s">
        <v>226</v>
      </c>
      <c r="E54" s="4" t="s">
        <v>52</v>
      </c>
      <c r="F54" s="4">
        <v>200</v>
      </c>
      <c r="G54" s="4"/>
      <c r="H54" s="4"/>
      <c r="I54" s="4"/>
      <c r="J54" s="4"/>
      <c r="K54" s="4" t="s">
        <v>78</v>
      </c>
      <c r="L54" s="4"/>
      <c r="M54" s="4">
        <v>3</v>
      </c>
      <c r="N54" s="4" t="s">
        <v>224</v>
      </c>
    </row>
    <row r="55" spans="1:14">
      <c r="A55" s="4" t="s">
        <v>5</v>
      </c>
      <c r="B55" s="4">
        <v>54</v>
      </c>
      <c r="C55" s="4" t="s">
        <v>227</v>
      </c>
      <c r="D55" s="4" t="s">
        <v>228</v>
      </c>
      <c r="E55" s="4" t="s">
        <v>52</v>
      </c>
      <c r="F55" s="4">
        <v>200</v>
      </c>
      <c r="G55" s="4"/>
      <c r="H55" s="4"/>
      <c r="I55" s="4"/>
      <c r="J55" s="4"/>
      <c r="K55" s="4" t="s">
        <v>78</v>
      </c>
      <c r="L55" s="4"/>
      <c r="M55" s="4">
        <v>3</v>
      </c>
      <c r="N55" s="4" t="s">
        <v>224</v>
      </c>
    </row>
    <row r="56" spans="1:14">
      <c r="A56" s="4" t="s">
        <v>5</v>
      </c>
      <c r="B56" s="4">
        <v>55</v>
      </c>
      <c r="C56" s="4" t="s">
        <v>229</v>
      </c>
      <c r="D56" s="4" t="s">
        <v>230</v>
      </c>
      <c r="E56" s="4" t="s">
        <v>52</v>
      </c>
      <c r="F56" s="4">
        <v>200</v>
      </c>
      <c r="G56" s="4"/>
      <c r="H56" s="4"/>
      <c r="I56" s="4"/>
      <c r="J56" s="4"/>
      <c r="K56" s="4" t="s">
        <v>78</v>
      </c>
      <c r="L56" s="4"/>
      <c r="M56" s="4">
        <v>3</v>
      </c>
      <c r="N56" s="4" t="s">
        <v>224</v>
      </c>
    </row>
    <row r="57" spans="1:14">
      <c r="A57" s="4" t="s">
        <v>5</v>
      </c>
      <c r="B57" s="4">
        <v>56</v>
      </c>
      <c r="C57" s="4" t="s">
        <v>231</v>
      </c>
      <c r="D57" s="4" t="s">
        <v>232</v>
      </c>
      <c r="E57" s="4" t="s">
        <v>52</v>
      </c>
      <c r="F57" s="4">
        <v>200</v>
      </c>
      <c r="G57" s="4"/>
      <c r="H57" s="4"/>
      <c r="I57" s="4"/>
      <c r="J57" s="4"/>
      <c r="K57" s="4" t="s">
        <v>78</v>
      </c>
      <c r="L57" s="4"/>
      <c r="M57" s="4">
        <v>3</v>
      </c>
      <c r="N57" s="4" t="s">
        <v>224</v>
      </c>
    </row>
    <row r="58" spans="1:14">
      <c r="A58" s="4" t="s">
        <v>5</v>
      </c>
      <c r="B58" s="4">
        <v>57</v>
      </c>
      <c r="C58" s="4" t="s">
        <v>233</v>
      </c>
      <c r="D58" s="4" t="s">
        <v>234</v>
      </c>
      <c r="E58" s="4" t="s">
        <v>52</v>
      </c>
      <c r="F58" s="4">
        <v>200</v>
      </c>
      <c r="G58" s="4"/>
      <c r="H58" s="4"/>
      <c r="I58" s="4"/>
      <c r="J58" s="4"/>
      <c r="K58" s="4" t="s">
        <v>78</v>
      </c>
      <c r="L58" s="4"/>
      <c r="M58" s="4">
        <v>3</v>
      </c>
      <c r="N58" s="4" t="s">
        <v>224</v>
      </c>
    </row>
    <row r="59" spans="1:14">
      <c r="A59" s="4" t="s">
        <v>5</v>
      </c>
      <c r="B59" s="4">
        <v>58</v>
      </c>
      <c r="C59" s="4" t="s">
        <v>235</v>
      </c>
      <c r="D59" s="4" t="s">
        <v>236</v>
      </c>
      <c r="E59" s="4" t="s">
        <v>52</v>
      </c>
      <c r="F59" s="4">
        <v>200</v>
      </c>
      <c r="G59" s="4" t="s">
        <v>85</v>
      </c>
      <c r="H59" s="4"/>
      <c r="I59" s="4"/>
      <c r="J59" s="4"/>
      <c r="K59" s="4" t="s">
        <v>78</v>
      </c>
      <c r="L59" s="4"/>
      <c r="M59" s="4">
        <v>3</v>
      </c>
      <c r="N59" s="4" t="s">
        <v>224</v>
      </c>
    </row>
    <row r="60" spans="1:14">
      <c r="A60" s="4" t="s">
        <v>5</v>
      </c>
      <c r="B60" s="4">
        <v>59</v>
      </c>
      <c r="C60" s="4" t="s">
        <v>237</v>
      </c>
      <c r="D60" s="4" t="s">
        <v>215</v>
      </c>
      <c r="E60" s="4" t="s">
        <v>52</v>
      </c>
      <c r="F60" s="4">
        <v>200</v>
      </c>
      <c r="G60" s="4"/>
      <c r="H60" s="4"/>
      <c r="I60" s="4"/>
      <c r="J60" s="4"/>
      <c r="K60" s="4" t="s">
        <v>78</v>
      </c>
      <c r="L60" s="4"/>
      <c r="M60" s="4">
        <v>3</v>
      </c>
      <c r="N60" s="4" t="s">
        <v>224</v>
      </c>
    </row>
    <row r="61" spans="1:14">
      <c r="A61" s="4" t="s">
        <v>5</v>
      </c>
      <c r="B61" s="4">
        <v>60</v>
      </c>
      <c r="C61" s="4" t="s">
        <v>238</v>
      </c>
      <c r="D61" s="4" t="s">
        <v>239</v>
      </c>
      <c r="E61" s="4" t="s">
        <v>52</v>
      </c>
      <c r="F61" s="4">
        <v>200</v>
      </c>
      <c r="G61" s="4"/>
      <c r="H61" s="4"/>
      <c r="I61" s="4"/>
      <c r="J61" s="4"/>
      <c r="K61" s="4" t="s">
        <v>78</v>
      </c>
      <c r="L61" s="4"/>
      <c r="M61" s="4">
        <v>3</v>
      </c>
      <c r="N61" s="4" t="s">
        <v>224</v>
      </c>
    </row>
    <row r="62" spans="1:14">
      <c r="A62" s="2" t="s">
        <v>5</v>
      </c>
      <c r="B62" s="2">
        <v>61</v>
      </c>
      <c r="C62" s="2" t="s">
        <v>162</v>
      </c>
      <c r="D62" s="2" t="s">
        <v>163</v>
      </c>
      <c r="E62" s="2" t="s">
        <v>52</v>
      </c>
      <c r="F62" s="2">
        <v>200</v>
      </c>
      <c r="G62" s="2"/>
      <c r="H62" s="2"/>
      <c r="I62" s="2"/>
      <c r="J62" s="2"/>
      <c r="K62" s="2" t="s">
        <v>78</v>
      </c>
      <c r="L62" s="2"/>
      <c r="M62" s="2">
        <v>3</v>
      </c>
      <c r="N62" s="2"/>
    </row>
    <row r="63" spans="1:14">
      <c r="A63" s="2" t="s">
        <v>5</v>
      </c>
      <c r="B63" s="2">
        <v>62</v>
      </c>
      <c r="C63" s="2" t="s">
        <v>164</v>
      </c>
      <c r="D63" s="2" t="s">
        <v>165</v>
      </c>
      <c r="E63" s="2" t="s">
        <v>52</v>
      </c>
      <c r="F63" s="2">
        <v>200</v>
      </c>
      <c r="G63" s="2" t="s">
        <v>85</v>
      </c>
      <c r="H63" s="2"/>
      <c r="I63" s="2"/>
      <c r="J63" s="2"/>
      <c r="K63" s="2" t="s">
        <v>78</v>
      </c>
      <c r="L63" s="2"/>
      <c r="M63" s="2">
        <v>3</v>
      </c>
      <c r="N63" s="2"/>
    </row>
    <row r="64" spans="1:14">
      <c r="A64" s="2" t="s">
        <v>5</v>
      </c>
      <c r="B64" s="2">
        <v>63</v>
      </c>
      <c r="C64" s="2" t="s">
        <v>166</v>
      </c>
      <c r="D64" s="2" t="s">
        <v>240</v>
      </c>
      <c r="E64" s="2" t="s">
        <v>52</v>
      </c>
      <c r="F64" s="2">
        <v>200</v>
      </c>
      <c r="G64" s="2"/>
      <c r="H64" s="2"/>
      <c r="I64" s="2"/>
      <c r="J64" s="2"/>
      <c r="K64" s="2" t="s">
        <v>78</v>
      </c>
      <c r="L64" s="2"/>
      <c r="M64" s="2">
        <v>3</v>
      </c>
      <c r="N64" s="2"/>
    </row>
    <row r="65" spans="1:14">
      <c r="A65" s="2" t="s">
        <v>5</v>
      </c>
      <c r="B65" s="2">
        <v>64</v>
      </c>
      <c r="C65" s="2" t="s">
        <v>167</v>
      </c>
      <c r="D65" s="2" t="s">
        <v>168</v>
      </c>
      <c r="E65" s="2" t="s">
        <v>52</v>
      </c>
      <c r="F65" s="2">
        <v>200</v>
      </c>
      <c r="G65" s="2"/>
      <c r="H65" s="2"/>
      <c r="I65" s="2"/>
      <c r="J65" s="2"/>
      <c r="K65" s="2" t="s">
        <v>78</v>
      </c>
      <c r="L65" s="2"/>
      <c r="M65" s="2">
        <v>3</v>
      </c>
      <c r="N65" s="2"/>
    </row>
    <row r="66" spans="1:14">
      <c r="A66" s="2" t="s">
        <v>5</v>
      </c>
      <c r="B66" s="2">
        <v>65</v>
      </c>
      <c r="C66" s="2" t="s">
        <v>169</v>
      </c>
      <c r="D66" s="2" t="s">
        <v>170</v>
      </c>
      <c r="E66" s="2" t="s">
        <v>52</v>
      </c>
      <c r="F66" s="2">
        <v>200</v>
      </c>
      <c r="G66" s="2"/>
      <c r="H66" s="2"/>
      <c r="I66" s="2"/>
      <c r="J66" s="2"/>
      <c r="K66" s="2" t="s">
        <v>78</v>
      </c>
      <c r="L66" s="2"/>
      <c r="M66" s="2">
        <v>3</v>
      </c>
      <c r="N66" s="2"/>
    </row>
    <row r="67" spans="1:14">
      <c r="A67" s="2" t="s">
        <v>5</v>
      </c>
      <c r="B67" s="2">
        <v>66</v>
      </c>
      <c r="C67" s="2" t="s">
        <v>171</v>
      </c>
      <c r="D67" s="2" t="s">
        <v>172</v>
      </c>
      <c r="E67" s="2" t="s">
        <v>52</v>
      </c>
      <c r="F67" s="2">
        <v>200</v>
      </c>
      <c r="G67" s="2"/>
      <c r="H67" s="2"/>
      <c r="I67" s="2"/>
      <c r="J67" s="2"/>
      <c r="K67" s="2" t="s">
        <v>78</v>
      </c>
      <c r="L67" s="2"/>
      <c r="M67" s="2">
        <v>3</v>
      </c>
      <c r="N67" s="2"/>
    </row>
    <row r="68" spans="1:14">
      <c r="A68" s="2" t="s">
        <v>5</v>
      </c>
      <c r="B68" s="2">
        <v>67</v>
      </c>
      <c r="C68" s="2" t="s">
        <v>173</v>
      </c>
      <c r="D68" s="2" t="s">
        <v>191</v>
      </c>
      <c r="E68" s="2" t="s">
        <v>52</v>
      </c>
      <c r="F68" s="2">
        <v>200</v>
      </c>
      <c r="G68" s="2"/>
      <c r="H68" s="2"/>
      <c r="I68" s="2"/>
      <c r="J68" s="2"/>
      <c r="K68" s="2" t="s">
        <v>78</v>
      </c>
      <c r="L68" s="2"/>
      <c r="M68" s="2">
        <v>3</v>
      </c>
      <c r="N68" s="2"/>
    </row>
    <row r="69" spans="1:14">
      <c r="A69" s="2" t="s">
        <v>5</v>
      </c>
      <c r="B69" s="2">
        <v>68</v>
      </c>
      <c r="C69" s="2" t="s">
        <v>174</v>
      </c>
      <c r="D69" s="2" t="s">
        <v>175</v>
      </c>
      <c r="E69" s="2" t="s">
        <v>52</v>
      </c>
      <c r="F69" s="2">
        <v>200</v>
      </c>
      <c r="G69" s="2"/>
      <c r="H69" s="2"/>
      <c r="I69" s="2"/>
      <c r="J69" s="2"/>
      <c r="K69" s="2" t="s">
        <v>78</v>
      </c>
      <c r="L69" s="2"/>
      <c r="M69" s="2">
        <v>3</v>
      </c>
      <c r="N69" s="2"/>
    </row>
    <row r="70" spans="1:14">
      <c r="A70" s="2" t="s">
        <v>5</v>
      </c>
      <c r="B70" s="2">
        <v>69</v>
      </c>
      <c r="C70" s="2" t="s">
        <v>176</v>
      </c>
      <c r="D70" s="2" t="s">
        <v>177</v>
      </c>
      <c r="E70" s="2" t="s">
        <v>52</v>
      </c>
      <c r="F70" s="2">
        <v>200</v>
      </c>
      <c r="G70" s="2"/>
      <c r="H70" s="2"/>
      <c r="I70" s="2"/>
      <c r="J70" s="2"/>
      <c r="K70" s="2" t="s">
        <v>78</v>
      </c>
      <c r="L70" s="2"/>
      <c r="M70" s="2">
        <v>3</v>
      </c>
      <c r="N70" s="2"/>
    </row>
    <row r="71" spans="1:14">
      <c r="A71" s="2" t="s">
        <v>5</v>
      </c>
      <c r="B71" s="2">
        <v>70</v>
      </c>
      <c r="C71" s="2" t="s">
        <v>178</v>
      </c>
      <c r="D71" s="2" t="s">
        <v>179</v>
      </c>
      <c r="E71" s="2" t="s">
        <v>52</v>
      </c>
      <c r="F71" s="2">
        <v>200</v>
      </c>
      <c r="G71" s="2"/>
      <c r="H71" s="2"/>
      <c r="I71" s="2"/>
      <c r="J71" s="2"/>
      <c r="K71" s="2" t="s">
        <v>78</v>
      </c>
      <c r="L71" s="2"/>
      <c r="M71" s="2">
        <v>3</v>
      </c>
      <c r="N71" s="2"/>
    </row>
    <row r="72" spans="1:14">
      <c r="A72" s="2" t="s">
        <v>5</v>
      </c>
      <c r="B72" s="2">
        <v>71</v>
      </c>
      <c r="C72" s="2" t="s">
        <v>180</v>
      </c>
      <c r="D72" s="2" t="s">
        <v>181</v>
      </c>
      <c r="E72" s="2" t="s">
        <v>52</v>
      </c>
      <c r="F72" s="2">
        <v>200</v>
      </c>
      <c r="G72" s="2"/>
      <c r="H72" s="2"/>
      <c r="I72" s="2"/>
      <c r="J72" s="2"/>
      <c r="K72" s="2" t="s">
        <v>78</v>
      </c>
      <c r="L72" s="2"/>
      <c r="M72" s="2">
        <v>3</v>
      </c>
      <c r="N72" s="2"/>
    </row>
    <row r="73" spans="1:14">
      <c r="A73" s="2" t="s">
        <v>5</v>
      </c>
      <c r="B73" s="2">
        <v>72</v>
      </c>
      <c r="C73" s="2" t="s">
        <v>182</v>
      </c>
      <c r="D73" s="2" t="s">
        <v>183</v>
      </c>
      <c r="E73" s="2" t="s">
        <v>52</v>
      </c>
      <c r="F73" s="2">
        <v>200</v>
      </c>
      <c r="G73" s="2"/>
      <c r="H73" s="2"/>
      <c r="I73" s="2"/>
      <c r="J73" s="2"/>
      <c r="K73" s="2" t="s">
        <v>78</v>
      </c>
      <c r="L73" s="2"/>
      <c r="M73" s="2">
        <v>3</v>
      </c>
      <c r="N73" s="2"/>
    </row>
    <row r="74" spans="1:14">
      <c r="A74" s="2" t="s">
        <v>5</v>
      </c>
      <c r="B74" s="2">
        <v>73</v>
      </c>
      <c r="C74" s="2" t="s">
        <v>184</v>
      </c>
      <c r="D74" s="2" t="s">
        <v>185</v>
      </c>
      <c r="E74" s="2" t="s">
        <v>52</v>
      </c>
      <c r="F74" s="2">
        <v>200</v>
      </c>
      <c r="G74" s="2"/>
      <c r="H74" s="2"/>
      <c r="I74" s="2"/>
      <c r="J74" s="2"/>
      <c r="K74" s="2" t="s">
        <v>78</v>
      </c>
      <c r="L74" s="2"/>
      <c r="M74" s="2">
        <v>3</v>
      </c>
      <c r="N74" s="2"/>
    </row>
    <row r="75" spans="1:14">
      <c r="A75" s="2" t="s">
        <v>5</v>
      </c>
      <c r="B75" s="2">
        <v>74</v>
      </c>
      <c r="C75" s="2" t="s">
        <v>186</v>
      </c>
      <c r="D75" s="2" t="s">
        <v>187</v>
      </c>
      <c r="E75" s="2" t="s">
        <v>52</v>
      </c>
      <c r="F75" s="2">
        <v>200</v>
      </c>
      <c r="G75" s="2"/>
      <c r="H75" s="2"/>
      <c r="I75" s="2"/>
      <c r="J75" s="2"/>
      <c r="K75" s="2" t="s">
        <v>78</v>
      </c>
      <c r="L75" s="2"/>
      <c r="M75" s="2">
        <v>3</v>
      </c>
      <c r="N75" s="2"/>
    </row>
    <row r="76" spans="1:14">
      <c r="A76" s="2" t="s">
        <v>5</v>
      </c>
      <c r="B76" s="2">
        <v>75</v>
      </c>
      <c r="C76" s="2" t="s">
        <v>188</v>
      </c>
      <c r="D76" s="2" t="s">
        <v>189</v>
      </c>
      <c r="E76" s="2" t="s">
        <v>52</v>
      </c>
      <c r="F76" s="2">
        <v>200</v>
      </c>
      <c r="G76" s="2"/>
      <c r="H76" s="2"/>
      <c r="I76" s="2"/>
      <c r="J76" s="2"/>
      <c r="K76" s="2" t="s">
        <v>78</v>
      </c>
      <c r="L76" s="2"/>
      <c r="M76" s="2">
        <v>3</v>
      </c>
      <c r="N76" s="2"/>
    </row>
    <row r="77" spans="1:14">
      <c r="A77" s="2" t="s">
        <v>5</v>
      </c>
      <c r="B77" s="2">
        <v>76</v>
      </c>
      <c r="C77" s="2" t="s">
        <v>190</v>
      </c>
      <c r="D77" s="2" t="s">
        <v>191</v>
      </c>
      <c r="E77" s="2" t="s">
        <v>52</v>
      </c>
      <c r="F77" s="2">
        <v>200</v>
      </c>
      <c r="G77" s="2"/>
      <c r="H77" s="2"/>
      <c r="I77" s="2"/>
      <c r="J77" s="2"/>
      <c r="K77" s="2" t="s">
        <v>78</v>
      </c>
      <c r="L77" s="2"/>
      <c r="M77" s="2">
        <v>3</v>
      </c>
      <c r="N77" s="2"/>
    </row>
    <row r="78" spans="1:14">
      <c r="A78" s="2" t="s">
        <v>5</v>
      </c>
      <c r="B78" s="2">
        <v>77</v>
      </c>
      <c r="C78" s="2" t="s">
        <v>192</v>
      </c>
      <c r="D78" s="2" t="s">
        <v>193</v>
      </c>
      <c r="E78" s="2" t="s">
        <v>52</v>
      </c>
      <c r="F78" s="2">
        <v>200</v>
      </c>
      <c r="G78" s="2"/>
      <c r="H78" s="2"/>
      <c r="I78" s="2"/>
      <c r="J78" s="2"/>
      <c r="K78" s="2" t="s">
        <v>78</v>
      </c>
      <c r="L78" s="2"/>
      <c r="M78" s="2">
        <v>3</v>
      </c>
      <c r="N78" s="2"/>
    </row>
    <row r="79" spans="1:14">
      <c r="A79" s="2" t="s">
        <v>5</v>
      </c>
      <c r="B79" s="2">
        <v>78</v>
      </c>
      <c r="C79" s="2" t="s">
        <v>194</v>
      </c>
      <c r="D79" s="2" t="s">
        <v>195</v>
      </c>
      <c r="E79" s="2" t="s">
        <v>52</v>
      </c>
      <c r="F79" s="2">
        <v>200</v>
      </c>
      <c r="G79" s="2"/>
      <c r="H79" s="2"/>
      <c r="I79" s="2"/>
      <c r="J79" s="2"/>
      <c r="K79" s="2" t="s">
        <v>78</v>
      </c>
      <c r="L79" s="2"/>
      <c r="M79" s="2">
        <v>3</v>
      </c>
      <c r="N79" s="2"/>
    </row>
  </sheetData>
  <phoneticPr fontId="67" type="noConversion"/>
  <conditionalFormatting sqref="C1:C79">
    <cfRule type="duplicateValues" dxfId="6"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rgb="FF00B050"/>
  </sheetPr>
  <dimension ref="A1:R32"/>
  <sheetViews>
    <sheetView zoomScale="115" zoomScaleNormal="115" workbookViewId="0">
      <selection activeCell="D8" sqref="D8:D15"/>
    </sheetView>
  </sheetViews>
  <sheetFormatPr defaultColWidth="9" defaultRowHeight="14.4"/>
  <cols>
    <col min="1" max="1" width="7" style="19" customWidth="1"/>
    <col min="2" max="2" width="3.6328125" style="19" customWidth="1"/>
    <col min="3" max="3" width="12.6328125" style="19" customWidth="1"/>
    <col min="4" max="4" width="44.54296875" style="19" customWidth="1"/>
    <col min="5" max="5" width="7.81640625" style="19" customWidth="1"/>
    <col min="6" max="6" width="8.26953125" style="19" customWidth="1"/>
    <col min="7" max="7" width="24.453125" style="19" customWidth="1"/>
    <col min="8" max="8" width="23.26953125" style="19" customWidth="1"/>
    <col min="9" max="9" width="16.26953125" style="19" customWidth="1"/>
    <col min="10" max="10" width="12" style="19" customWidth="1"/>
    <col min="11" max="11" width="18.81640625" style="19" customWidth="1"/>
    <col min="12" max="13" width="5" style="19" customWidth="1"/>
    <col min="14" max="14" width="6.1796875" style="19" customWidth="1"/>
    <col min="15" max="15" width="14.6328125" style="19" customWidth="1"/>
    <col min="16" max="16384" width="9" style="19"/>
  </cols>
  <sheetData>
    <row r="1" spans="1:18">
      <c r="A1" s="23" t="s">
        <v>26</v>
      </c>
      <c r="B1" s="23" t="s">
        <v>1</v>
      </c>
      <c r="C1" s="23" t="s">
        <v>27</v>
      </c>
      <c r="D1" s="23" t="s">
        <v>28</v>
      </c>
      <c r="E1" s="23" t="s">
        <v>29</v>
      </c>
      <c r="F1" s="23" t="s">
        <v>30</v>
      </c>
      <c r="G1" s="23" t="s">
        <v>31</v>
      </c>
      <c r="H1" s="23" t="s">
        <v>973</v>
      </c>
      <c r="I1" s="23" t="s">
        <v>32</v>
      </c>
      <c r="J1" s="23" t="s">
        <v>3306</v>
      </c>
      <c r="K1" s="23" t="s">
        <v>33</v>
      </c>
      <c r="L1" s="23" t="s">
        <v>34</v>
      </c>
      <c r="M1" s="23" t="s">
        <v>35</v>
      </c>
      <c r="N1" s="23" t="s">
        <v>36</v>
      </c>
      <c r="O1" s="23" t="s">
        <v>3328</v>
      </c>
      <c r="P1" s="23" t="s">
        <v>648</v>
      </c>
      <c r="Q1" s="23" t="s">
        <v>649</v>
      </c>
      <c r="R1" s="23" t="s">
        <v>650</v>
      </c>
    </row>
    <row r="2" spans="1:18" ht="15.6">
      <c r="A2" s="30" t="s">
        <v>754</v>
      </c>
      <c r="B2" s="30">
        <v>1</v>
      </c>
      <c r="C2" s="30" t="s">
        <v>614</v>
      </c>
      <c r="D2" s="30" t="s">
        <v>3386</v>
      </c>
      <c r="E2" s="30" t="s">
        <v>615</v>
      </c>
      <c r="F2" s="30">
        <f>IF(E2="Char",200,8)</f>
        <v>200</v>
      </c>
      <c r="G2" s="30"/>
      <c r="H2" s="30"/>
      <c r="I2" s="19" t="s">
        <v>261</v>
      </c>
      <c r="J2" s="30" t="s">
        <v>597</v>
      </c>
      <c r="K2" s="30" t="s">
        <v>616</v>
      </c>
      <c r="L2" s="30" t="s">
        <v>617</v>
      </c>
      <c r="M2" s="30"/>
      <c r="O2" s="24" t="s">
        <v>3387</v>
      </c>
      <c r="Q2" s="26" t="s">
        <v>592</v>
      </c>
    </row>
    <row r="3" spans="1:18" ht="15.6">
      <c r="A3" s="30" t="s">
        <v>754</v>
      </c>
      <c r="B3" s="30">
        <v>2</v>
      </c>
      <c r="C3" s="30" t="s">
        <v>618</v>
      </c>
      <c r="D3" s="30" t="s">
        <v>3388</v>
      </c>
      <c r="E3" s="30" t="s">
        <v>615</v>
      </c>
      <c r="F3" s="30">
        <f t="shared" ref="F3:F27" si="0">IF(E3="Char",200,8)</f>
        <v>200</v>
      </c>
      <c r="G3" s="29" t="s">
        <v>3336</v>
      </c>
      <c r="H3" s="29" t="s">
        <v>618</v>
      </c>
      <c r="I3" s="30" t="s">
        <v>619</v>
      </c>
      <c r="J3" s="30" t="s">
        <v>597</v>
      </c>
      <c r="K3" s="30" t="s">
        <v>616</v>
      </c>
      <c r="L3" s="30" t="s">
        <v>617</v>
      </c>
      <c r="M3" s="30"/>
      <c r="N3" s="30" t="s">
        <v>597</v>
      </c>
      <c r="O3" s="30"/>
    </row>
    <row r="4" spans="1:18" ht="15.6">
      <c r="A4" s="30" t="s">
        <v>754</v>
      </c>
      <c r="B4" s="30">
        <v>3</v>
      </c>
      <c r="C4" s="30" t="s">
        <v>620</v>
      </c>
      <c r="D4" s="30" t="s">
        <v>3389</v>
      </c>
      <c r="E4" s="30" t="s">
        <v>615</v>
      </c>
      <c r="F4" s="30">
        <f t="shared" si="0"/>
        <v>200</v>
      </c>
      <c r="G4" s="30"/>
      <c r="H4" s="30"/>
      <c r="I4" s="30" t="s">
        <v>590</v>
      </c>
      <c r="J4" s="30" t="s">
        <v>597</v>
      </c>
      <c r="K4" s="30" t="s">
        <v>616</v>
      </c>
      <c r="L4" s="30" t="s">
        <v>617</v>
      </c>
      <c r="M4" s="30"/>
      <c r="N4" s="30"/>
      <c r="O4" s="26" t="s">
        <v>3390</v>
      </c>
      <c r="R4" s="19" t="s">
        <v>592</v>
      </c>
    </row>
    <row r="5" spans="1:18" ht="15.6">
      <c r="A5" s="30" t="s">
        <v>754</v>
      </c>
      <c r="B5" s="30">
        <v>4</v>
      </c>
      <c r="C5" s="30" t="s">
        <v>755</v>
      </c>
      <c r="D5" s="30" t="s">
        <v>3391</v>
      </c>
      <c r="E5" s="30" t="s">
        <v>621</v>
      </c>
      <c r="F5" s="30">
        <f t="shared" si="0"/>
        <v>8</v>
      </c>
      <c r="G5" s="30"/>
      <c r="H5" s="30"/>
      <c r="I5" s="30" t="s">
        <v>590</v>
      </c>
      <c r="J5" s="30" t="s">
        <v>597</v>
      </c>
      <c r="K5" s="30" t="s">
        <v>616</v>
      </c>
      <c r="L5" s="30" t="s">
        <v>617</v>
      </c>
      <c r="M5" s="30"/>
      <c r="N5" s="30"/>
      <c r="O5" s="19" t="s">
        <v>3916</v>
      </c>
      <c r="R5" s="19" t="s">
        <v>592</v>
      </c>
    </row>
    <row r="6" spans="1:18" s="30" customFormat="1" ht="15.6">
      <c r="A6" s="30" t="s">
        <v>754</v>
      </c>
      <c r="B6" s="30">
        <v>5</v>
      </c>
      <c r="C6" s="30" t="s">
        <v>756</v>
      </c>
      <c r="D6" s="30" t="s">
        <v>3505</v>
      </c>
      <c r="E6" s="30" t="s">
        <v>615</v>
      </c>
      <c r="F6" s="30">
        <f t="shared" si="0"/>
        <v>200</v>
      </c>
      <c r="I6" s="27" t="s">
        <v>3322</v>
      </c>
      <c r="J6" s="27" t="s">
        <v>3323</v>
      </c>
      <c r="K6" s="30" t="s">
        <v>616</v>
      </c>
      <c r="L6" s="30" t="s">
        <v>625</v>
      </c>
    </row>
    <row r="7" spans="1:18" ht="15.6">
      <c r="A7" s="30" t="s">
        <v>754</v>
      </c>
      <c r="B7" s="30">
        <v>6</v>
      </c>
      <c r="C7" s="30" t="s">
        <v>939</v>
      </c>
      <c r="D7" s="30" t="s">
        <v>3513</v>
      </c>
      <c r="E7" s="30" t="s">
        <v>615</v>
      </c>
      <c r="F7" s="30">
        <f t="shared" ref="F7" si="1">IF(E7="Char",200,8)</f>
        <v>200</v>
      </c>
      <c r="G7" s="30"/>
      <c r="I7" s="30" t="s">
        <v>590</v>
      </c>
      <c r="J7" s="30" t="s">
        <v>597</v>
      </c>
      <c r="K7" s="58" t="s">
        <v>55</v>
      </c>
      <c r="L7" s="30" t="s">
        <v>625</v>
      </c>
      <c r="M7" s="30"/>
      <c r="N7" s="30"/>
      <c r="O7" s="19" t="s">
        <v>3513</v>
      </c>
      <c r="P7" s="30"/>
      <c r="R7" s="19" t="s">
        <v>592</v>
      </c>
    </row>
    <row r="8" spans="1:18" ht="15.6">
      <c r="A8" s="30" t="s">
        <v>754</v>
      </c>
      <c r="B8" s="30">
        <v>7</v>
      </c>
      <c r="C8" s="30" t="s">
        <v>604</v>
      </c>
      <c r="D8" s="125" t="s">
        <v>4011</v>
      </c>
      <c r="E8" s="30" t="s">
        <v>615</v>
      </c>
      <c r="F8" s="30">
        <f t="shared" si="0"/>
        <v>200</v>
      </c>
      <c r="G8" s="30"/>
      <c r="H8" s="30" t="s">
        <v>1133</v>
      </c>
      <c r="I8" s="30" t="s">
        <v>757</v>
      </c>
      <c r="J8" s="30" t="s">
        <v>597</v>
      </c>
      <c r="K8" s="30" t="s">
        <v>622</v>
      </c>
      <c r="L8" s="30" t="s">
        <v>617</v>
      </c>
      <c r="M8" s="30"/>
      <c r="N8" s="30"/>
    </row>
    <row r="9" spans="1:18" ht="15.6">
      <c r="A9" s="30" t="s">
        <v>754</v>
      </c>
      <c r="B9" s="30">
        <v>8</v>
      </c>
      <c r="C9" s="30" t="s">
        <v>758</v>
      </c>
      <c r="D9" s="125" t="s">
        <v>4012</v>
      </c>
      <c r="E9" s="30" t="s">
        <v>615</v>
      </c>
      <c r="F9" s="30">
        <f t="shared" si="0"/>
        <v>200</v>
      </c>
      <c r="G9" s="30"/>
      <c r="H9" s="30" t="s">
        <v>1134</v>
      </c>
      <c r="I9" s="30" t="s">
        <v>757</v>
      </c>
      <c r="J9" s="30" t="s">
        <v>597</v>
      </c>
      <c r="K9" s="30" t="s">
        <v>700</v>
      </c>
      <c r="L9" s="30" t="s">
        <v>617</v>
      </c>
      <c r="M9" s="30"/>
      <c r="N9" s="30"/>
      <c r="O9" s="30"/>
    </row>
    <row r="10" spans="1:18" ht="15.6">
      <c r="A10" s="30" t="s">
        <v>754</v>
      </c>
      <c r="B10" s="30">
        <v>9</v>
      </c>
      <c r="C10" s="30" t="s">
        <v>752</v>
      </c>
      <c r="D10" s="126" t="s">
        <v>4013</v>
      </c>
      <c r="E10" s="30" t="s">
        <v>615</v>
      </c>
      <c r="F10" s="30">
        <f t="shared" si="0"/>
        <v>200</v>
      </c>
      <c r="G10" s="30"/>
      <c r="H10" s="30" t="s">
        <v>1135</v>
      </c>
      <c r="I10" s="30" t="s">
        <v>619</v>
      </c>
      <c r="J10" s="30" t="s">
        <v>597</v>
      </c>
      <c r="K10" s="30" t="s">
        <v>744</v>
      </c>
      <c r="L10" s="30" t="s">
        <v>625</v>
      </c>
      <c r="M10" s="30"/>
      <c r="N10" s="30" t="s">
        <v>597</v>
      </c>
      <c r="O10" s="30" t="s">
        <v>634</v>
      </c>
    </row>
    <row r="11" spans="1:18" ht="15.6">
      <c r="A11" s="30" t="s">
        <v>754</v>
      </c>
      <c r="B11" s="30">
        <v>10</v>
      </c>
      <c r="C11" s="30" t="s">
        <v>759</v>
      </c>
      <c r="D11" s="125" t="s">
        <v>4014</v>
      </c>
      <c r="E11" s="30" t="s">
        <v>615</v>
      </c>
      <c r="F11" s="30">
        <f t="shared" si="0"/>
        <v>200</v>
      </c>
      <c r="G11" s="30"/>
      <c r="H11" s="30"/>
      <c r="I11" s="27" t="s">
        <v>3322</v>
      </c>
      <c r="J11" s="30" t="s">
        <v>3324</v>
      </c>
      <c r="K11" s="30" t="s">
        <v>702</v>
      </c>
      <c r="L11" s="30" t="s">
        <v>695</v>
      </c>
      <c r="M11" s="30"/>
      <c r="N11" s="30"/>
      <c r="O11" s="30"/>
    </row>
    <row r="12" spans="1:18" ht="15.6">
      <c r="A12" s="30" t="s">
        <v>754</v>
      </c>
      <c r="B12" s="30">
        <v>11</v>
      </c>
      <c r="C12" s="30" t="s">
        <v>760</v>
      </c>
      <c r="D12" s="125" t="s">
        <v>4015</v>
      </c>
      <c r="E12" s="30" t="s">
        <v>615</v>
      </c>
      <c r="F12" s="30">
        <f t="shared" si="0"/>
        <v>200</v>
      </c>
      <c r="G12" s="30" t="s">
        <v>761</v>
      </c>
      <c r="H12" s="30" t="s">
        <v>1136</v>
      </c>
      <c r="I12" s="27" t="s">
        <v>3322</v>
      </c>
      <c r="J12" s="30" t="s">
        <v>3324</v>
      </c>
      <c r="K12" s="30" t="s">
        <v>709</v>
      </c>
      <c r="L12" s="30" t="s">
        <v>695</v>
      </c>
      <c r="M12" s="30"/>
      <c r="N12" s="30"/>
      <c r="O12" s="30"/>
    </row>
    <row r="13" spans="1:18" ht="15.6">
      <c r="A13" s="30" t="s">
        <v>754</v>
      </c>
      <c r="B13" s="30">
        <v>12</v>
      </c>
      <c r="C13" s="30" t="s">
        <v>633</v>
      </c>
      <c r="D13" s="126" t="s">
        <v>4016</v>
      </c>
      <c r="E13" s="30" t="s">
        <v>615</v>
      </c>
      <c r="F13" s="30">
        <f t="shared" si="0"/>
        <v>200</v>
      </c>
      <c r="G13" s="30"/>
      <c r="H13" s="30"/>
      <c r="I13" s="30" t="s">
        <v>590</v>
      </c>
      <c r="J13" s="30" t="s">
        <v>597</v>
      </c>
      <c r="K13" s="30" t="s">
        <v>702</v>
      </c>
      <c r="L13" s="30" t="s">
        <v>695</v>
      </c>
      <c r="M13" s="30"/>
      <c r="N13" s="30"/>
      <c r="O13" s="19" t="s">
        <v>3394</v>
      </c>
      <c r="R13" s="19" t="s">
        <v>592</v>
      </c>
    </row>
    <row r="14" spans="1:18" ht="15.6">
      <c r="A14" s="30" t="s">
        <v>754</v>
      </c>
      <c r="B14" s="30">
        <v>13</v>
      </c>
      <c r="C14" s="30" t="s">
        <v>762</v>
      </c>
      <c r="D14" s="125" t="s">
        <v>4017</v>
      </c>
      <c r="E14" s="30" t="s">
        <v>621</v>
      </c>
      <c r="F14" s="30">
        <f t="shared" si="0"/>
        <v>8</v>
      </c>
      <c r="G14" s="30"/>
      <c r="H14" s="30"/>
      <c r="I14" s="30" t="s">
        <v>590</v>
      </c>
      <c r="J14" s="30" t="s">
        <v>597</v>
      </c>
      <c r="K14" s="30" t="s">
        <v>702</v>
      </c>
      <c r="L14" s="30" t="s">
        <v>695</v>
      </c>
      <c r="M14" s="30"/>
      <c r="N14" s="30"/>
      <c r="O14" s="19" t="s">
        <v>3395</v>
      </c>
      <c r="R14" s="19" t="s">
        <v>592</v>
      </c>
    </row>
    <row r="15" spans="1:18" ht="15.6">
      <c r="A15" s="30" t="s">
        <v>754</v>
      </c>
      <c r="B15" s="30">
        <v>14</v>
      </c>
      <c r="C15" s="30" t="s">
        <v>763</v>
      </c>
      <c r="D15" s="126" t="s">
        <v>4018</v>
      </c>
      <c r="E15" s="30" t="s">
        <v>615</v>
      </c>
      <c r="F15" s="30">
        <f t="shared" si="0"/>
        <v>200</v>
      </c>
      <c r="G15" s="30" t="s">
        <v>761</v>
      </c>
      <c r="H15" s="30" t="s">
        <v>1136</v>
      </c>
      <c r="I15" s="30" t="s">
        <v>590</v>
      </c>
      <c r="J15" s="30" t="s">
        <v>597</v>
      </c>
      <c r="K15" s="30" t="s">
        <v>709</v>
      </c>
      <c r="L15" s="30" t="s">
        <v>695</v>
      </c>
      <c r="M15" s="30"/>
      <c r="N15" s="30"/>
      <c r="O15" s="19" t="s">
        <v>3396</v>
      </c>
      <c r="R15" s="19" t="s">
        <v>592</v>
      </c>
    </row>
    <row r="16" spans="1:18" ht="15.6">
      <c r="A16" s="30" t="s">
        <v>754</v>
      </c>
      <c r="B16" s="30">
        <v>15</v>
      </c>
      <c r="C16" s="30" t="s">
        <v>764</v>
      </c>
      <c r="D16" s="30" t="s">
        <v>3397</v>
      </c>
      <c r="E16" s="30" t="s">
        <v>615</v>
      </c>
      <c r="F16" s="30">
        <f t="shared" si="0"/>
        <v>200</v>
      </c>
      <c r="G16" s="30" t="s">
        <v>765</v>
      </c>
      <c r="H16" s="30" t="s">
        <v>1127</v>
      </c>
      <c r="I16" s="27" t="s">
        <v>3322</v>
      </c>
      <c r="J16" s="27" t="s">
        <v>3323</v>
      </c>
      <c r="K16" s="30" t="s">
        <v>708</v>
      </c>
      <c r="L16" s="30" t="s">
        <v>625</v>
      </c>
      <c r="M16" s="30"/>
      <c r="N16" s="30"/>
      <c r="O16" s="30"/>
    </row>
    <row r="17" spans="1:18" ht="15.6">
      <c r="A17" s="30" t="s">
        <v>754</v>
      </c>
      <c r="B17" s="30">
        <v>16</v>
      </c>
      <c r="C17" s="30" t="s">
        <v>766</v>
      </c>
      <c r="D17" s="30" t="s">
        <v>3398</v>
      </c>
      <c r="E17" s="30" t="s">
        <v>615</v>
      </c>
      <c r="F17" s="30">
        <f t="shared" si="0"/>
        <v>200</v>
      </c>
      <c r="G17" s="30"/>
      <c r="H17" s="30"/>
      <c r="I17" s="27" t="s">
        <v>3322</v>
      </c>
      <c r="J17" s="27" t="s">
        <v>3323</v>
      </c>
      <c r="K17" s="30" t="s">
        <v>708</v>
      </c>
      <c r="L17" s="30" t="s">
        <v>625</v>
      </c>
      <c r="M17" s="30"/>
      <c r="N17" s="30"/>
      <c r="O17" s="30"/>
    </row>
    <row r="18" spans="1:18" ht="15.6">
      <c r="A18" s="30" t="s">
        <v>754</v>
      </c>
      <c r="B18" s="30">
        <v>17</v>
      </c>
      <c r="C18" s="30" t="s">
        <v>607</v>
      </c>
      <c r="D18" s="30" t="s">
        <v>3439</v>
      </c>
      <c r="E18" s="30" t="s">
        <v>615</v>
      </c>
      <c r="F18" s="30">
        <f t="shared" si="0"/>
        <v>200</v>
      </c>
      <c r="G18" s="30"/>
      <c r="H18" s="30"/>
      <c r="I18" s="30" t="s">
        <v>619</v>
      </c>
      <c r="J18" s="30" t="s">
        <v>597</v>
      </c>
      <c r="K18" s="30" t="s">
        <v>708</v>
      </c>
      <c r="L18" s="30" t="s">
        <v>695</v>
      </c>
      <c r="M18" s="30"/>
      <c r="N18" s="30" t="s">
        <v>597</v>
      </c>
      <c r="O18" s="30"/>
    </row>
    <row r="19" spans="1:18" ht="15.6">
      <c r="A19" s="30" t="s">
        <v>754</v>
      </c>
      <c r="B19" s="30">
        <v>18</v>
      </c>
      <c r="C19" s="30" t="s">
        <v>767</v>
      </c>
      <c r="D19" s="30" t="s">
        <v>3440</v>
      </c>
      <c r="E19" s="30" t="s">
        <v>615</v>
      </c>
      <c r="F19" s="30">
        <f t="shared" si="0"/>
        <v>200</v>
      </c>
      <c r="G19" s="30" t="s">
        <v>768</v>
      </c>
      <c r="H19" s="30" t="s">
        <v>1137</v>
      </c>
      <c r="I19" s="30" t="s">
        <v>757</v>
      </c>
      <c r="J19" s="30" t="s">
        <v>597</v>
      </c>
      <c r="K19" s="30" t="s">
        <v>708</v>
      </c>
      <c r="L19" s="30" t="s">
        <v>695</v>
      </c>
      <c r="M19" s="30"/>
      <c r="N19" s="30"/>
      <c r="O19" s="30"/>
    </row>
    <row r="20" spans="1:18" ht="15.6">
      <c r="A20" s="30" t="s">
        <v>754</v>
      </c>
      <c r="B20" s="30">
        <v>19</v>
      </c>
      <c r="C20" s="30" t="s">
        <v>769</v>
      </c>
      <c r="D20" s="30" t="s">
        <v>3441</v>
      </c>
      <c r="E20" s="30" t="s">
        <v>621</v>
      </c>
      <c r="F20" s="30">
        <f t="shared" si="0"/>
        <v>8</v>
      </c>
      <c r="G20" s="30"/>
      <c r="H20" s="30"/>
      <c r="I20" s="27" t="s">
        <v>3322</v>
      </c>
      <c r="J20" s="30" t="s">
        <v>3324</v>
      </c>
      <c r="K20" s="30" t="s">
        <v>709</v>
      </c>
      <c r="L20" s="30" t="s">
        <v>695</v>
      </c>
      <c r="M20" s="30"/>
      <c r="N20" s="30"/>
      <c r="O20" s="30"/>
    </row>
    <row r="21" spans="1:18" s="30" customFormat="1" ht="15.6">
      <c r="A21" s="30" t="s">
        <v>754</v>
      </c>
      <c r="B21" s="30">
        <v>20</v>
      </c>
      <c r="C21" s="30" t="s">
        <v>714</v>
      </c>
      <c r="D21" s="30" t="s">
        <v>3399</v>
      </c>
      <c r="E21" s="30" t="s">
        <v>621</v>
      </c>
      <c r="F21" s="30">
        <f t="shared" si="0"/>
        <v>8</v>
      </c>
      <c r="I21" s="30" t="s">
        <v>590</v>
      </c>
      <c r="J21" s="30" t="s">
        <v>597</v>
      </c>
      <c r="K21" s="30" t="s">
        <v>624</v>
      </c>
      <c r="L21" s="30" t="s">
        <v>695</v>
      </c>
      <c r="O21" s="19" t="s">
        <v>3400</v>
      </c>
      <c r="R21" s="19" t="s">
        <v>592</v>
      </c>
    </row>
    <row r="22" spans="1:18" s="30" customFormat="1" ht="15.6">
      <c r="A22" s="30" t="s">
        <v>754</v>
      </c>
      <c r="B22" s="30">
        <v>21</v>
      </c>
      <c r="C22" s="30" t="s">
        <v>715</v>
      </c>
      <c r="D22" s="30" t="s">
        <v>3401</v>
      </c>
      <c r="E22" s="30" t="s">
        <v>615</v>
      </c>
      <c r="F22" s="30">
        <f t="shared" si="0"/>
        <v>200</v>
      </c>
      <c r="I22" s="30" t="s">
        <v>590</v>
      </c>
      <c r="J22" s="30" t="s">
        <v>597</v>
      </c>
      <c r="K22" s="30" t="s">
        <v>624</v>
      </c>
      <c r="L22" s="30" t="s">
        <v>625</v>
      </c>
      <c r="O22" s="19" t="s">
        <v>3402</v>
      </c>
      <c r="R22" s="19" t="s">
        <v>592</v>
      </c>
    </row>
    <row r="23" spans="1:18" ht="15.6">
      <c r="A23" s="30" t="s">
        <v>754</v>
      </c>
      <c r="B23" s="30">
        <v>22</v>
      </c>
      <c r="C23" s="30" t="s">
        <v>770</v>
      </c>
      <c r="D23" s="30" t="s">
        <v>3514</v>
      </c>
      <c r="E23" s="30" t="s">
        <v>615</v>
      </c>
      <c r="F23" s="30">
        <f t="shared" si="0"/>
        <v>200</v>
      </c>
      <c r="G23" s="30"/>
      <c r="H23" s="30"/>
      <c r="I23" s="30" t="s">
        <v>590</v>
      </c>
      <c r="J23" s="30" t="s">
        <v>597</v>
      </c>
      <c r="K23" s="30" t="s">
        <v>624</v>
      </c>
      <c r="L23" s="30" t="s">
        <v>695</v>
      </c>
      <c r="M23" s="30"/>
      <c r="N23" s="30"/>
      <c r="O23" s="19" t="s">
        <v>3405</v>
      </c>
      <c r="R23" s="19" t="s">
        <v>592</v>
      </c>
    </row>
    <row r="24" spans="1:18" ht="15.6">
      <c r="A24" s="30" t="s">
        <v>754</v>
      </c>
      <c r="B24" s="30">
        <v>23</v>
      </c>
      <c r="C24" s="30" t="s">
        <v>771</v>
      </c>
      <c r="D24" s="30" t="s">
        <v>3515</v>
      </c>
      <c r="E24" s="30" t="s">
        <v>621</v>
      </c>
      <c r="F24" s="30">
        <f t="shared" si="0"/>
        <v>8</v>
      </c>
      <c r="G24" s="30"/>
      <c r="H24" s="30"/>
      <c r="I24" s="30" t="s">
        <v>590</v>
      </c>
      <c r="J24" s="30" t="s">
        <v>597</v>
      </c>
      <c r="K24" s="30" t="s">
        <v>624</v>
      </c>
      <c r="L24" s="30" t="s">
        <v>625</v>
      </c>
      <c r="M24" s="30"/>
      <c r="N24" s="30"/>
      <c r="O24" s="19" t="s">
        <v>3919</v>
      </c>
      <c r="R24" s="19" t="s">
        <v>592</v>
      </c>
    </row>
    <row r="25" spans="1:18" ht="15.6">
      <c r="A25" s="30" t="s">
        <v>754</v>
      </c>
      <c r="B25" s="30">
        <v>24</v>
      </c>
      <c r="C25" s="30" t="s">
        <v>772</v>
      </c>
      <c r="D25" s="30" t="s">
        <v>3444</v>
      </c>
      <c r="E25" s="30" t="s">
        <v>615</v>
      </c>
      <c r="F25" s="30">
        <f t="shared" si="0"/>
        <v>200</v>
      </c>
      <c r="G25" s="30"/>
      <c r="H25" s="30" t="s">
        <v>772</v>
      </c>
      <c r="I25" s="27" t="s">
        <v>3322</v>
      </c>
      <c r="J25" s="27" t="s">
        <v>3323</v>
      </c>
      <c r="K25" s="30" t="s">
        <v>624</v>
      </c>
      <c r="L25" s="30" t="s">
        <v>625</v>
      </c>
      <c r="M25" s="30"/>
      <c r="N25" s="30"/>
      <c r="O25" s="30"/>
    </row>
    <row r="26" spans="1:18" s="25" customFormat="1" ht="15.6">
      <c r="A26" s="30" t="s">
        <v>754</v>
      </c>
      <c r="B26" s="30">
        <v>25</v>
      </c>
      <c r="C26" s="30" t="s">
        <v>773</v>
      </c>
      <c r="D26" s="30" t="s">
        <v>3445</v>
      </c>
      <c r="E26" s="30" t="s">
        <v>621</v>
      </c>
      <c r="F26" s="30">
        <f t="shared" si="0"/>
        <v>8</v>
      </c>
      <c r="G26" s="30"/>
      <c r="H26" s="30" t="s">
        <v>773</v>
      </c>
      <c r="I26" s="30" t="s">
        <v>590</v>
      </c>
      <c r="J26" s="30" t="s">
        <v>597</v>
      </c>
      <c r="K26" s="30" t="s">
        <v>624</v>
      </c>
      <c r="L26" s="30" t="s">
        <v>625</v>
      </c>
      <c r="M26" s="30"/>
      <c r="N26" s="30"/>
      <c r="O26" s="19" t="s">
        <v>3446</v>
      </c>
    </row>
    <row r="27" spans="1:18" ht="15.6">
      <c r="A27" s="30" t="s">
        <v>754</v>
      </c>
      <c r="B27" s="30">
        <v>26</v>
      </c>
      <c r="C27" s="30" t="s">
        <v>774</v>
      </c>
      <c r="D27" s="30" t="s">
        <v>3447</v>
      </c>
      <c r="E27" s="30" t="s">
        <v>615</v>
      </c>
      <c r="F27" s="30">
        <f t="shared" si="0"/>
        <v>200</v>
      </c>
      <c r="G27" s="30"/>
      <c r="H27" s="30"/>
      <c r="I27" s="30" t="s">
        <v>757</v>
      </c>
      <c r="J27" s="30" t="s">
        <v>597</v>
      </c>
      <c r="K27" s="30" t="s">
        <v>624</v>
      </c>
      <c r="L27" s="30" t="s">
        <v>625</v>
      </c>
      <c r="M27" s="30"/>
      <c r="N27" s="30"/>
      <c r="O27" s="30" t="s">
        <v>3448</v>
      </c>
    </row>
    <row r="28" spans="1:18" ht="15.6">
      <c r="A28" s="30" t="s">
        <v>754</v>
      </c>
      <c r="B28" s="30">
        <v>27</v>
      </c>
      <c r="C28" s="30" t="s">
        <v>775</v>
      </c>
      <c r="D28" s="30" t="s">
        <v>3449</v>
      </c>
      <c r="E28" s="30" t="s">
        <v>615</v>
      </c>
      <c r="F28" s="30">
        <f>IF(E28="Char",200,8)</f>
        <v>200</v>
      </c>
      <c r="G28" s="30"/>
      <c r="H28" s="30"/>
      <c r="I28" s="30" t="s">
        <v>619</v>
      </c>
      <c r="J28" s="30" t="s">
        <v>597</v>
      </c>
      <c r="K28" s="30" t="s">
        <v>624</v>
      </c>
      <c r="L28" s="30" t="s">
        <v>625</v>
      </c>
      <c r="M28" s="30"/>
      <c r="N28" s="30"/>
      <c r="O28" s="30"/>
    </row>
    <row r="29" spans="1:18" ht="15.6">
      <c r="A29" s="30" t="s">
        <v>754</v>
      </c>
      <c r="B29" s="30">
        <v>28</v>
      </c>
      <c r="C29" s="30" t="s">
        <v>627</v>
      </c>
      <c r="D29" s="30" t="s">
        <v>3516</v>
      </c>
      <c r="E29" s="30" t="s">
        <v>615</v>
      </c>
      <c r="F29" s="30">
        <v>200</v>
      </c>
      <c r="G29" s="30"/>
      <c r="I29" s="27" t="s">
        <v>3322</v>
      </c>
      <c r="J29" s="30" t="s">
        <v>3324</v>
      </c>
      <c r="K29" s="30"/>
      <c r="L29" s="30"/>
      <c r="M29" s="30" t="s">
        <v>592</v>
      </c>
      <c r="N29" s="30"/>
      <c r="O29" s="30"/>
    </row>
    <row r="30" spans="1:18" ht="15.6">
      <c r="A30" s="30" t="s">
        <v>754</v>
      </c>
      <c r="B30" s="30">
        <v>29</v>
      </c>
      <c r="C30" s="30" t="s">
        <v>628</v>
      </c>
      <c r="D30" s="30" t="s">
        <v>3517</v>
      </c>
      <c r="E30" s="30" t="s">
        <v>621</v>
      </c>
      <c r="F30" s="30">
        <f t="shared" ref="F30" si="2">IF(E30="Char",200,8)</f>
        <v>8</v>
      </c>
      <c r="G30" s="30"/>
      <c r="I30" s="27" t="s">
        <v>3322</v>
      </c>
      <c r="J30" s="30" t="s">
        <v>3324</v>
      </c>
      <c r="K30" s="30"/>
      <c r="L30" s="30"/>
      <c r="M30" s="30" t="s">
        <v>592</v>
      </c>
      <c r="N30" s="30"/>
      <c r="O30" s="30"/>
    </row>
    <row r="31" spans="1:18" ht="15.6">
      <c r="A31" s="30" t="s">
        <v>754</v>
      </c>
      <c r="B31" s="30">
        <v>30</v>
      </c>
      <c r="C31" s="30" t="s">
        <v>753</v>
      </c>
      <c r="D31" s="30" t="s">
        <v>3518</v>
      </c>
      <c r="E31" s="30" t="s">
        <v>615</v>
      </c>
      <c r="F31" s="30">
        <v>200</v>
      </c>
      <c r="G31" s="30"/>
      <c r="H31" s="30"/>
      <c r="I31" s="27" t="s">
        <v>3322</v>
      </c>
      <c r="J31" s="27" t="s">
        <v>3323</v>
      </c>
      <c r="K31" s="30"/>
      <c r="L31" s="30"/>
      <c r="M31" s="30" t="s">
        <v>592</v>
      </c>
      <c r="N31" s="30"/>
      <c r="O31" s="30"/>
    </row>
    <row r="32" spans="1:18">
      <c r="H32" s="30"/>
    </row>
  </sheetData>
  <phoneticPr fontId="67" type="noConversion"/>
  <conditionalFormatting sqref="G3">
    <cfRule type="duplicateValues" dxfId="5" priority="2"/>
  </conditionalFormatting>
  <conditionalFormatting sqref="H3">
    <cfRule type="duplicateValues" dxfId="4"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26FB-63E6-45FB-A67F-564F55003F08}">
  <sheetPr>
    <tabColor rgb="FF00B050"/>
  </sheetPr>
  <dimension ref="A1"/>
  <sheetViews>
    <sheetView workbookViewId="0">
      <selection activeCell="G16" sqref="G16"/>
    </sheetView>
  </sheetViews>
  <sheetFormatPr defaultRowHeight="15.6"/>
  <sheetData/>
  <phoneticPr fontId="67"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rgb="FF00B050"/>
  </sheetPr>
  <dimension ref="A1:R30"/>
  <sheetViews>
    <sheetView zoomScaleNormal="100" workbookViewId="0">
      <selection activeCell="J24" sqref="J24"/>
    </sheetView>
  </sheetViews>
  <sheetFormatPr defaultColWidth="9" defaultRowHeight="15.6"/>
  <cols>
    <col min="1" max="2" width="9" style="7"/>
    <col min="3" max="3" width="12.6328125" style="7" customWidth="1"/>
    <col min="4" max="4" width="18.453125" style="7" customWidth="1"/>
    <col min="5" max="5" width="9" style="7"/>
    <col min="6" max="6" width="6.26953125" style="7" customWidth="1"/>
    <col min="7" max="7" width="15.1796875" style="7" customWidth="1"/>
    <col min="8" max="8" width="16.08984375" style="7" customWidth="1"/>
    <col min="9" max="9" width="9.26953125" style="7" customWidth="1"/>
    <col min="10" max="10" width="9.453125" style="7" customWidth="1"/>
    <col min="11" max="11" width="15.81640625" style="7" customWidth="1"/>
    <col min="12" max="14" width="9" style="7"/>
    <col min="15" max="15" width="16.81640625" style="7" customWidth="1"/>
    <col min="16" max="16384" width="9" style="7"/>
  </cols>
  <sheetData>
    <row r="1" spans="1:18">
      <c r="A1" s="9" t="s">
        <v>26</v>
      </c>
      <c r="B1" s="9" t="s">
        <v>1</v>
      </c>
      <c r="C1" s="9" t="s">
        <v>27</v>
      </c>
      <c r="D1" s="9" t="s">
        <v>28</v>
      </c>
      <c r="E1" s="9" t="s">
        <v>29</v>
      </c>
      <c r="F1" s="9" t="s">
        <v>30</v>
      </c>
      <c r="G1" s="9" t="s">
        <v>31</v>
      </c>
      <c r="H1" s="9" t="s">
        <v>973</v>
      </c>
      <c r="I1" s="9" t="s">
        <v>32</v>
      </c>
      <c r="J1" s="9" t="s">
        <v>3306</v>
      </c>
      <c r="K1" s="9" t="s">
        <v>33</v>
      </c>
      <c r="L1" s="9" t="s">
        <v>34</v>
      </c>
      <c r="M1" s="9" t="s">
        <v>35</v>
      </c>
      <c r="N1" s="9" t="s">
        <v>36</v>
      </c>
      <c r="O1" s="23" t="s">
        <v>3328</v>
      </c>
      <c r="P1" s="23" t="s">
        <v>648</v>
      </c>
      <c r="Q1" s="23" t="s">
        <v>649</v>
      </c>
      <c r="R1" s="23" t="s">
        <v>650</v>
      </c>
    </row>
    <row r="2" spans="1:18">
      <c r="A2" s="20" t="s">
        <v>19</v>
      </c>
      <c r="B2" s="20">
        <v>1</v>
      </c>
      <c r="C2" s="10" t="s">
        <v>37</v>
      </c>
      <c r="D2" s="10" t="s">
        <v>1021</v>
      </c>
      <c r="E2" s="10" t="s">
        <v>38</v>
      </c>
      <c r="F2" s="10">
        <f>IF(E2="Char",200,8)</f>
        <v>200</v>
      </c>
      <c r="G2" s="10"/>
      <c r="H2" s="10"/>
      <c r="I2" s="7" t="s">
        <v>757</v>
      </c>
      <c r="J2" s="10" t="s">
        <v>597</v>
      </c>
      <c r="K2" s="7" t="s">
        <v>55</v>
      </c>
      <c r="L2" s="7" t="s">
        <v>39</v>
      </c>
      <c r="M2" s="8"/>
      <c r="N2" s="8"/>
      <c r="O2" s="17" t="s">
        <v>1019</v>
      </c>
      <c r="Q2" s="8" t="s">
        <v>592</v>
      </c>
    </row>
    <row r="3" spans="1:18">
      <c r="A3" s="20" t="s">
        <v>19</v>
      </c>
      <c r="B3" s="20">
        <v>2</v>
      </c>
      <c r="C3" s="10" t="s">
        <v>57</v>
      </c>
      <c r="D3" s="10" t="s">
        <v>1022</v>
      </c>
      <c r="E3" s="10" t="s">
        <v>38</v>
      </c>
      <c r="F3" s="10">
        <f t="shared" ref="F3:F16" si="0">IF(E3="Char",200,8)</f>
        <v>200</v>
      </c>
      <c r="G3" s="13" t="s">
        <v>3336</v>
      </c>
      <c r="H3" s="13" t="s">
        <v>618</v>
      </c>
      <c r="I3" s="10" t="s">
        <v>60</v>
      </c>
      <c r="J3" s="10" t="s">
        <v>597</v>
      </c>
      <c r="K3" s="7" t="s">
        <v>55</v>
      </c>
      <c r="L3" s="7" t="s">
        <v>39</v>
      </c>
      <c r="M3" s="8"/>
    </row>
    <row r="4" spans="1:18">
      <c r="A4" s="20" t="s">
        <v>19</v>
      </c>
      <c r="B4" s="20">
        <v>3</v>
      </c>
      <c r="C4" s="10" t="s">
        <v>41</v>
      </c>
      <c r="D4" s="10" t="s">
        <v>1023</v>
      </c>
      <c r="E4" s="10" t="s">
        <v>38</v>
      </c>
      <c r="F4" s="10">
        <f t="shared" si="0"/>
        <v>200</v>
      </c>
      <c r="G4" s="10"/>
      <c r="H4" s="10"/>
      <c r="I4" s="7" t="s">
        <v>69</v>
      </c>
      <c r="J4" s="10" t="s">
        <v>597</v>
      </c>
      <c r="K4" s="7" t="s">
        <v>55</v>
      </c>
      <c r="L4" s="7" t="s">
        <v>39</v>
      </c>
      <c r="M4" s="8"/>
      <c r="N4" s="8"/>
      <c r="O4" s="5" t="s">
        <v>1015</v>
      </c>
      <c r="R4" s="7" t="s">
        <v>592</v>
      </c>
    </row>
    <row r="5" spans="1:18">
      <c r="A5" s="20" t="s">
        <v>19</v>
      </c>
      <c r="B5" s="20">
        <v>4</v>
      </c>
      <c r="C5" s="10" t="s">
        <v>451</v>
      </c>
      <c r="D5" s="10" t="s">
        <v>1034</v>
      </c>
      <c r="E5" s="10" t="s">
        <v>242</v>
      </c>
      <c r="F5" s="10">
        <f t="shared" si="0"/>
        <v>8</v>
      </c>
      <c r="G5" s="10"/>
      <c r="H5" s="10"/>
      <c r="I5" s="7" t="s">
        <v>69</v>
      </c>
      <c r="J5" s="10" t="s">
        <v>597</v>
      </c>
      <c r="K5" s="7" t="s">
        <v>55</v>
      </c>
      <c r="L5" s="7" t="s">
        <v>39</v>
      </c>
      <c r="M5" s="8"/>
      <c r="N5" s="8"/>
      <c r="O5" s="7" t="s">
        <v>3916</v>
      </c>
      <c r="R5" s="7" t="s">
        <v>592</v>
      </c>
    </row>
    <row r="6" spans="1:18">
      <c r="A6" s="20" t="s">
        <v>19</v>
      </c>
      <c r="B6" s="20">
        <v>5</v>
      </c>
      <c r="C6" s="10" t="s">
        <v>452</v>
      </c>
      <c r="D6" s="10" t="s">
        <v>4019</v>
      </c>
      <c r="E6" s="10" t="s">
        <v>38</v>
      </c>
      <c r="F6" s="10">
        <f t="shared" si="0"/>
        <v>200</v>
      </c>
      <c r="G6" s="10" t="s">
        <v>1402</v>
      </c>
      <c r="H6" s="10" t="s">
        <v>1152</v>
      </c>
      <c r="I6" s="10" t="s">
        <v>261</v>
      </c>
      <c r="J6" s="10" t="s">
        <v>597</v>
      </c>
      <c r="K6" s="10" t="s">
        <v>245</v>
      </c>
      <c r="L6" s="10" t="s">
        <v>39</v>
      </c>
      <c r="O6" s="10"/>
    </row>
    <row r="7" spans="1:18">
      <c r="A7" s="20" t="s">
        <v>19</v>
      </c>
      <c r="B7" s="20">
        <v>6</v>
      </c>
      <c r="C7" s="10" t="s">
        <v>453</v>
      </c>
      <c r="D7" s="10" t="s">
        <v>1158</v>
      </c>
      <c r="E7" s="10" t="s">
        <v>38</v>
      </c>
      <c r="F7" s="10">
        <f t="shared" si="0"/>
        <v>200</v>
      </c>
      <c r="G7" s="10" t="s">
        <v>1403</v>
      </c>
      <c r="H7" s="10" t="s">
        <v>1153</v>
      </c>
      <c r="I7" s="10" t="s">
        <v>261</v>
      </c>
      <c r="J7" s="10" t="s">
        <v>597</v>
      </c>
      <c r="K7" s="10" t="s">
        <v>111</v>
      </c>
      <c r="L7" s="10" t="s">
        <v>39</v>
      </c>
      <c r="O7" s="10"/>
    </row>
    <row r="8" spans="1:18">
      <c r="A8" s="20" t="s">
        <v>19</v>
      </c>
      <c r="B8" s="20">
        <v>7</v>
      </c>
      <c r="C8" s="10" t="s">
        <v>454</v>
      </c>
      <c r="D8" s="10" t="s">
        <v>1156</v>
      </c>
      <c r="E8" s="10" t="s">
        <v>38</v>
      </c>
      <c r="F8" s="10">
        <f t="shared" ref="F8" si="1">IF(E8="Char",200,8)</f>
        <v>200</v>
      </c>
      <c r="G8" s="10"/>
      <c r="H8" s="10"/>
      <c r="I8" s="7" t="s">
        <v>590</v>
      </c>
      <c r="J8" s="10" t="s">
        <v>597</v>
      </c>
      <c r="K8" s="10"/>
      <c r="L8" s="10"/>
      <c r="M8" s="7" t="s">
        <v>78</v>
      </c>
      <c r="O8" s="10"/>
    </row>
    <row r="9" spans="1:18">
      <c r="A9" s="20" t="s">
        <v>19</v>
      </c>
      <c r="B9" s="20">
        <v>8</v>
      </c>
      <c r="C9" s="10" t="s">
        <v>455</v>
      </c>
      <c r="D9" s="10" t="s">
        <v>4020</v>
      </c>
      <c r="E9" s="10" t="s">
        <v>38</v>
      </c>
      <c r="F9" s="10">
        <f t="shared" si="0"/>
        <v>200</v>
      </c>
      <c r="G9" s="10"/>
      <c r="H9" s="10" t="s">
        <v>455</v>
      </c>
      <c r="I9" s="11" t="s">
        <v>3322</v>
      </c>
      <c r="J9" s="11" t="s">
        <v>3326</v>
      </c>
      <c r="K9" s="10" t="s">
        <v>264</v>
      </c>
      <c r="L9" s="10" t="s">
        <v>42</v>
      </c>
    </row>
    <row r="10" spans="1:18">
      <c r="A10" s="20" t="s">
        <v>19</v>
      </c>
      <c r="B10" s="20">
        <v>9</v>
      </c>
      <c r="C10" s="10" t="s">
        <v>456</v>
      </c>
      <c r="D10" s="10" t="s">
        <v>4021</v>
      </c>
      <c r="E10" s="10" t="s">
        <v>38</v>
      </c>
      <c r="F10" s="10">
        <f t="shared" si="0"/>
        <v>200</v>
      </c>
      <c r="G10" s="10"/>
      <c r="H10" s="10"/>
      <c r="I10" s="11" t="s">
        <v>3322</v>
      </c>
      <c r="J10" s="11" t="s">
        <v>3326</v>
      </c>
      <c r="K10" s="10" t="s">
        <v>248</v>
      </c>
      <c r="L10" s="10" t="s">
        <v>42</v>
      </c>
    </row>
    <row r="11" spans="1:18">
      <c r="A11" s="20" t="s">
        <v>19</v>
      </c>
      <c r="B11" s="20">
        <v>10</v>
      </c>
      <c r="C11" s="10" t="s">
        <v>457</v>
      </c>
      <c r="D11" s="10" t="s">
        <v>4022</v>
      </c>
      <c r="E11" s="10" t="s">
        <v>38</v>
      </c>
      <c r="F11" s="10">
        <f t="shared" si="0"/>
        <v>200</v>
      </c>
      <c r="G11" s="10" t="s">
        <v>458</v>
      </c>
      <c r="H11" s="10" t="s">
        <v>1136</v>
      </c>
      <c r="I11" s="11" t="s">
        <v>3322</v>
      </c>
      <c r="J11" s="11" t="s">
        <v>3326</v>
      </c>
      <c r="K11" s="10" t="s">
        <v>275</v>
      </c>
      <c r="L11" s="10" t="s">
        <v>42</v>
      </c>
    </row>
    <row r="12" spans="1:18">
      <c r="A12" s="20" t="s">
        <v>19</v>
      </c>
      <c r="B12" s="20">
        <v>11</v>
      </c>
      <c r="C12" s="10" t="s">
        <v>459</v>
      </c>
      <c r="D12" s="10" t="s">
        <v>4023</v>
      </c>
      <c r="E12" s="10" t="s">
        <v>38</v>
      </c>
      <c r="F12" s="10">
        <f t="shared" si="0"/>
        <v>200</v>
      </c>
      <c r="G12" s="10"/>
      <c r="H12" s="10"/>
      <c r="I12" s="7" t="s">
        <v>69</v>
      </c>
      <c r="J12" s="10" t="s">
        <v>597</v>
      </c>
      <c r="K12" s="10" t="s">
        <v>248</v>
      </c>
      <c r="L12" s="10" t="s">
        <v>42</v>
      </c>
      <c r="O12" s="7" t="s">
        <v>1304</v>
      </c>
      <c r="R12" s="7" t="s">
        <v>592</v>
      </c>
    </row>
    <row r="13" spans="1:18">
      <c r="A13" s="20" t="s">
        <v>19</v>
      </c>
      <c r="B13" s="20">
        <v>12</v>
      </c>
      <c r="C13" s="10" t="s">
        <v>460</v>
      </c>
      <c r="D13" s="10" t="s">
        <v>4024</v>
      </c>
      <c r="E13" s="10" t="s">
        <v>242</v>
      </c>
      <c r="F13" s="10">
        <f t="shared" si="0"/>
        <v>8</v>
      </c>
      <c r="G13" s="10"/>
      <c r="H13" s="10"/>
      <c r="I13" s="7" t="s">
        <v>69</v>
      </c>
      <c r="J13" s="10" t="s">
        <v>597</v>
      </c>
      <c r="K13" s="10" t="s">
        <v>248</v>
      </c>
      <c r="L13" s="10" t="s">
        <v>42</v>
      </c>
      <c r="O13" s="7" t="s">
        <v>1305</v>
      </c>
      <c r="R13" s="7" t="s">
        <v>592</v>
      </c>
    </row>
    <row r="14" spans="1:18">
      <c r="A14" s="20" t="s">
        <v>19</v>
      </c>
      <c r="B14" s="20">
        <v>13</v>
      </c>
      <c r="C14" s="10" t="s">
        <v>461</v>
      </c>
      <c r="D14" s="10" t="s">
        <v>4025</v>
      </c>
      <c r="E14" s="10" t="s">
        <v>38</v>
      </c>
      <c r="F14" s="10">
        <f t="shared" si="0"/>
        <v>200</v>
      </c>
      <c r="G14" s="10" t="s">
        <v>458</v>
      </c>
      <c r="H14" s="10" t="s">
        <v>1136</v>
      </c>
      <c r="I14" s="7" t="s">
        <v>69</v>
      </c>
      <c r="J14" s="10" t="s">
        <v>597</v>
      </c>
      <c r="K14" s="10" t="s">
        <v>275</v>
      </c>
      <c r="L14" s="10" t="s">
        <v>42</v>
      </c>
      <c r="O14" s="7" t="s">
        <v>1306</v>
      </c>
      <c r="R14" s="7" t="s">
        <v>592</v>
      </c>
    </row>
    <row r="15" spans="1:18">
      <c r="A15" s="20" t="s">
        <v>19</v>
      </c>
      <c r="B15" s="20">
        <v>14</v>
      </c>
      <c r="C15" s="10" t="s">
        <v>462</v>
      </c>
      <c r="D15" s="10" t="s">
        <v>1130</v>
      </c>
      <c r="E15" s="10" t="s">
        <v>38</v>
      </c>
      <c r="F15" s="10">
        <f t="shared" si="0"/>
        <v>200</v>
      </c>
      <c r="G15" s="10" t="s">
        <v>450</v>
      </c>
      <c r="H15" s="10" t="s">
        <v>1137</v>
      </c>
      <c r="I15" s="10" t="s">
        <v>261</v>
      </c>
      <c r="J15" s="10" t="s">
        <v>597</v>
      </c>
      <c r="K15" s="10" t="s">
        <v>115</v>
      </c>
      <c r="L15" s="10" t="s">
        <v>42</v>
      </c>
    </row>
    <row r="16" spans="1:18">
      <c r="A16" s="20" t="s">
        <v>19</v>
      </c>
      <c r="B16" s="20">
        <v>15</v>
      </c>
      <c r="C16" s="10" t="s">
        <v>463</v>
      </c>
      <c r="D16" s="10" t="s">
        <v>1401</v>
      </c>
      <c r="E16" s="10" t="s">
        <v>38</v>
      </c>
      <c r="F16" s="10">
        <f t="shared" si="0"/>
        <v>200</v>
      </c>
      <c r="G16" s="10"/>
      <c r="H16" s="10"/>
      <c r="I16" s="11" t="s">
        <v>3322</v>
      </c>
      <c r="J16" s="11" t="s">
        <v>3326</v>
      </c>
      <c r="K16" s="10" t="s">
        <v>258</v>
      </c>
      <c r="L16" s="10" t="s">
        <v>42</v>
      </c>
    </row>
    <row r="17" spans="1:14">
      <c r="A17" s="20" t="s">
        <v>19</v>
      </c>
      <c r="B17" s="20">
        <v>16</v>
      </c>
      <c r="C17" s="10" t="s">
        <v>854</v>
      </c>
      <c r="D17" s="10" t="s">
        <v>1157</v>
      </c>
      <c r="E17" s="10" t="s">
        <v>242</v>
      </c>
      <c r="F17" s="10">
        <f t="shared" ref="F17:F18" si="2">IF(E17="Char",200,8)</f>
        <v>8</v>
      </c>
      <c r="H17" s="10" t="s">
        <v>1154</v>
      </c>
      <c r="I17" s="10" t="s">
        <v>60</v>
      </c>
      <c r="J17" s="10" t="s">
        <v>597</v>
      </c>
      <c r="M17" s="7" t="s">
        <v>78</v>
      </c>
      <c r="N17" s="7" t="s">
        <v>597</v>
      </c>
    </row>
    <row r="18" spans="1:14">
      <c r="A18" s="20" t="s">
        <v>19</v>
      </c>
      <c r="B18" s="20">
        <v>17</v>
      </c>
      <c r="C18" s="10" t="s">
        <v>855</v>
      </c>
      <c r="D18" s="10" t="s">
        <v>1145</v>
      </c>
      <c r="E18" s="10" t="s">
        <v>242</v>
      </c>
      <c r="F18" s="10">
        <f t="shared" si="2"/>
        <v>8</v>
      </c>
      <c r="H18" s="10" t="s">
        <v>1155</v>
      </c>
      <c r="I18" s="10" t="s">
        <v>60</v>
      </c>
      <c r="J18" s="10" t="s">
        <v>597</v>
      </c>
      <c r="M18" s="7" t="s">
        <v>78</v>
      </c>
      <c r="N18" s="7" t="s">
        <v>597</v>
      </c>
    </row>
    <row r="30" spans="1:14">
      <c r="M30" s="13"/>
    </row>
  </sheetData>
  <autoFilter ref="A1:R18" xr:uid="{00000000-0001-0000-1800-000000000000}"/>
  <phoneticPr fontId="67" type="noConversion"/>
  <conditionalFormatting sqref="G3">
    <cfRule type="duplicateValues" dxfId="3" priority="3"/>
  </conditionalFormatting>
  <conditionalFormatting sqref="H3">
    <cfRule type="duplicateValues" dxfId="2" priority="1"/>
  </conditionalFormatting>
  <conditionalFormatting sqref="M30">
    <cfRule type="duplicateValues" dxfId="1" priority="2"/>
  </conditionalFormatting>
  <pageMargins left="0.7" right="0.7" top="0.75" bottom="0.75"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4457-463D-4A0D-9476-49608476E528}">
  <sheetPr codeName="Sheet21">
    <tabColor rgb="FFFFC000"/>
  </sheetPr>
  <dimension ref="A1:J91"/>
  <sheetViews>
    <sheetView zoomScaleNormal="100" workbookViewId="0">
      <pane ySplit="1" topLeftCell="A62" activePane="bottomLeft" state="frozen"/>
      <selection pane="bottomLeft" activeCell="F98" sqref="A1:XFD1048576"/>
    </sheetView>
  </sheetViews>
  <sheetFormatPr defaultColWidth="8.453125" defaultRowHeight="15.6"/>
  <cols>
    <col min="1" max="1" width="11.08984375" style="10" customWidth="1"/>
    <col min="2" max="2" width="16.1796875" style="10" customWidth="1"/>
    <col min="3" max="3" width="24.1796875" style="10" customWidth="1"/>
    <col min="4" max="4" width="16.7265625" style="10" customWidth="1"/>
    <col min="5" max="5" width="31" style="10" customWidth="1"/>
    <col min="6" max="6" width="13.453125" style="10" customWidth="1"/>
    <col min="7" max="7" width="10.453125" style="10" customWidth="1"/>
    <col min="8" max="8" width="11.26953125" style="10" customWidth="1"/>
    <col min="9" max="9" width="19.26953125" style="10" customWidth="1"/>
    <col min="10" max="10" width="90.6328125" style="10" customWidth="1"/>
    <col min="11" max="16384" width="8.453125" style="10"/>
  </cols>
  <sheetData>
    <row r="1" spans="1:10" s="19" customFormat="1" ht="14.4">
      <c r="A1" s="62" t="s">
        <v>1387</v>
      </c>
      <c r="B1" s="62" t="s">
        <v>455</v>
      </c>
      <c r="C1" s="62" t="s">
        <v>453</v>
      </c>
      <c r="D1" s="62" t="s">
        <v>452</v>
      </c>
      <c r="E1" s="62" t="s">
        <v>1388</v>
      </c>
      <c r="F1" s="62" t="s">
        <v>1389</v>
      </c>
      <c r="G1" s="62" t="s">
        <v>1390</v>
      </c>
      <c r="H1" s="62" t="s">
        <v>1391</v>
      </c>
      <c r="I1" s="62" t="s">
        <v>1392</v>
      </c>
      <c r="J1" s="62" t="s">
        <v>1393</v>
      </c>
    </row>
    <row r="2" spans="1:10">
      <c r="A2" s="59" t="s">
        <v>810</v>
      </c>
      <c r="B2" s="59" t="s">
        <v>3519</v>
      </c>
      <c r="C2" s="29" t="s">
        <v>464</v>
      </c>
      <c r="D2" s="29"/>
      <c r="E2" s="29"/>
      <c r="F2" s="29"/>
      <c r="G2" s="29"/>
      <c r="H2" s="29">
        <v>1</v>
      </c>
      <c r="I2" s="29"/>
      <c r="J2" s="29"/>
    </row>
    <row r="3" spans="1:10">
      <c r="A3" s="59" t="s">
        <v>810</v>
      </c>
      <c r="B3" s="59" t="s">
        <v>3519</v>
      </c>
      <c r="C3" s="29" t="s">
        <v>285</v>
      </c>
      <c r="D3" s="29"/>
      <c r="E3" s="29"/>
      <c r="F3" s="29"/>
      <c r="G3" s="29"/>
      <c r="H3" s="29">
        <v>2</v>
      </c>
      <c r="I3" s="29"/>
      <c r="J3" s="29"/>
    </row>
    <row r="4" spans="1:10">
      <c r="A4" s="59" t="s">
        <v>810</v>
      </c>
      <c r="B4" s="59" t="s">
        <v>3519</v>
      </c>
      <c r="C4" s="29" t="s">
        <v>465</v>
      </c>
      <c r="D4" s="29"/>
      <c r="E4" s="29"/>
      <c r="F4" s="29"/>
      <c r="G4" s="29"/>
      <c r="H4" s="29">
        <v>3</v>
      </c>
      <c r="I4" s="29"/>
      <c r="J4" s="29"/>
    </row>
    <row r="5" spans="1:10">
      <c r="A5" s="59" t="s">
        <v>810</v>
      </c>
      <c r="B5" s="59" t="s">
        <v>3519</v>
      </c>
      <c r="C5" s="29" t="s">
        <v>466</v>
      </c>
      <c r="D5" s="29"/>
      <c r="E5" s="29"/>
      <c r="F5" s="29"/>
      <c r="G5" s="29"/>
      <c r="H5" s="29">
        <v>4</v>
      </c>
      <c r="I5" s="29"/>
      <c r="J5" s="29"/>
    </row>
    <row r="6" spans="1:10">
      <c r="A6" s="59" t="s">
        <v>810</v>
      </c>
      <c r="B6" s="59" t="s">
        <v>3519</v>
      </c>
      <c r="C6" s="29" t="s">
        <v>467</v>
      </c>
      <c r="D6" s="29"/>
      <c r="E6" s="29"/>
      <c r="F6" s="29"/>
      <c r="G6" s="29"/>
      <c r="H6" s="29">
        <v>5</v>
      </c>
      <c r="I6" s="29"/>
      <c r="J6" s="29"/>
    </row>
    <row r="7" spans="1:10">
      <c r="A7" s="59" t="s">
        <v>810</v>
      </c>
      <c r="B7" s="59" t="s">
        <v>3519</v>
      </c>
      <c r="C7" s="29" t="s">
        <v>468</v>
      </c>
      <c r="D7" s="29" t="s">
        <v>469</v>
      </c>
      <c r="E7" s="29" t="s">
        <v>470</v>
      </c>
      <c r="F7" s="29" t="s">
        <v>471</v>
      </c>
      <c r="G7" s="29"/>
      <c r="H7" s="29">
        <v>6</v>
      </c>
      <c r="I7" s="29"/>
      <c r="J7" s="29"/>
    </row>
    <row r="8" spans="1:10">
      <c r="A8" s="59" t="s">
        <v>810</v>
      </c>
      <c r="B8" s="59" t="s">
        <v>3519</v>
      </c>
      <c r="C8" s="29" t="s">
        <v>472</v>
      </c>
      <c r="D8" s="29" t="s">
        <v>866</v>
      </c>
      <c r="E8" s="29" t="s">
        <v>867</v>
      </c>
      <c r="F8" s="29" t="s">
        <v>868</v>
      </c>
      <c r="G8" s="29"/>
      <c r="H8" s="29">
        <v>7</v>
      </c>
      <c r="I8" s="29" t="s">
        <v>869</v>
      </c>
      <c r="J8" s="29"/>
    </row>
    <row r="9" spans="1:10">
      <c r="A9" s="59" t="s">
        <v>810</v>
      </c>
      <c r="B9" s="59" t="s">
        <v>3519</v>
      </c>
      <c r="C9" s="29" t="s">
        <v>473</v>
      </c>
      <c r="D9" s="29" t="s">
        <v>474</v>
      </c>
      <c r="E9" s="29" t="s">
        <v>475</v>
      </c>
      <c r="F9" s="29" t="s">
        <v>330</v>
      </c>
      <c r="G9" s="29"/>
      <c r="H9" s="29">
        <v>8</v>
      </c>
      <c r="I9" s="29"/>
      <c r="J9" s="29"/>
    </row>
    <row r="10" spans="1:10">
      <c r="A10" s="59" t="s">
        <v>810</v>
      </c>
      <c r="B10" s="59" t="s">
        <v>3519</v>
      </c>
      <c r="C10" s="29" t="s">
        <v>476</v>
      </c>
      <c r="D10" s="29" t="s">
        <v>477</v>
      </c>
      <c r="E10" s="29" t="s">
        <v>478</v>
      </c>
      <c r="F10" s="29" t="s">
        <v>479</v>
      </c>
      <c r="G10" s="29"/>
      <c r="H10" s="29">
        <v>9</v>
      </c>
      <c r="I10" s="29"/>
      <c r="J10" s="29"/>
    </row>
    <row r="11" spans="1:10">
      <c r="A11" s="59" t="s">
        <v>810</v>
      </c>
      <c r="B11" s="59" t="s">
        <v>3519</v>
      </c>
      <c r="C11" s="29" t="s">
        <v>480</v>
      </c>
      <c r="D11" s="29" t="s">
        <v>481</v>
      </c>
      <c r="E11" s="29" t="s">
        <v>482</v>
      </c>
      <c r="F11" s="29" t="s">
        <v>483</v>
      </c>
      <c r="G11" s="29"/>
      <c r="H11" s="29">
        <v>10</v>
      </c>
      <c r="I11" s="29"/>
      <c r="J11" s="29"/>
    </row>
    <row r="12" spans="1:10">
      <c r="A12" s="59" t="s">
        <v>810</v>
      </c>
      <c r="B12" s="59" t="s">
        <v>3519</v>
      </c>
      <c r="C12" s="29" t="s">
        <v>484</v>
      </c>
      <c r="D12" s="29" t="s">
        <v>485</v>
      </c>
      <c r="E12" s="29" t="s">
        <v>486</v>
      </c>
      <c r="F12" s="29" t="s">
        <v>487</v>
      </c>
      <c r="G12" s="60" t="s">
        <v>1791</v>
      </c>
      <c r="H12" s="29">
        <v>11</v>
      </c>
      <c r="I12" s="29" t="s">
        <v>870</v>
      </c>
      <c r="J12" s="29"/>
    </row>
    <row r="13" spans="1:10">
      <c r="A13" s="59" t="s">
        <v>810</v>
      </c>
      <c r="B13" s="59" t="s">
        <v>3519</v>
      </c>
      <c r="C13" s="29" t="s">
        <v>488</v>
      </c>
      <c r="D13" s="29" t="s">
        <v>489</v>
      </c>
      <c r="E13" s="29" t="s">
        <v>490</v>
      </c>
      <c r="F13" s="29" t="s">
        <v>491</v>
      </c>
      <c r="G13" s="29"/>
      <c r="H13" s="29">
        <v>12</v>
      </c>
      <c r="I13" s="29"/>
      <c r="J13" s="29"/>
    </row>
    <row r="14" spans="1:10">
      <c r="A14" s="59" t="s">
        <v>810</v>
      </c>
      <c r="B14" s="59" t="s">
        <v>3519</v>
      </c>
      <c r="C14" s="29" t="s">
        <v>492</v>
      </c>
      <c r="D14" s="29" t="s">
        <v>493</v>
      </c>
      <c r="E14" s="29" t="s">
        <v>494</v>
      </c>
      <c r="F14" s="29" t="s">
        <v>495</v>
      </c>
      <c r="G14" s="29"/>
      <c r="H14" s="29">
        <v>13</v>
      </c>
      <c r="I14" s="29"/>
      <c r="J14" s="29"/>
    </row>
    <row r="15" spans="1:10">
      <c r="A15" s="59" t="s">
        <v>810</v>
      </c>
      <c r="B15" s="59" t="s">
        <v>3519</v>
      </c>
      <c r="C15" s="29" t="s">
        <v>496</v>
      </c>
      <c r="D15" s="29" t="s">
        <v>497</v>
      </c>
      <c r="E15" s="29" t="s">
        <v>498</v>
      </c>
      <c r="F15" s="29" t="s">
        <v>499</v>
      </c>
      <c r="G15" s="60" t="s">
        <v>1904</v>
      </c>
      <c r="H15" s="29">
        <v>14</v>
      </c>
      <c r="I15" s="29" t="s">
        <v>608</v>
      </c>
      <c r="J15" s="29" t="s">
        <v>500</v>
      </c>
    </row>
    <row r="16" spans="1:10">
      <c r="A16" s="59" t="s">
        <v>810</v>
      </c>
      <c r="B16" s="59" t="s">
        <v>3519</v>
      </c>
      <c r="C16" s="29" t="s">
        <v>501</v>
      </c>
      <c r="D16" s="29" t="s">
        <v>502</v>
      </c>
      <c r="E16" s="29" t="s">
        <v>503</v>
      </c>
      <c r="F16" s="29" t="s">
        <v>504</v>
      </c>
      <c r="G16" s="60">
        <v>1</v>
      </c>
      <c r="H16" s="29">
        <v>15</v>
      </c>
      <c r="I16" s="29" t="s">
        <v>609</v>
      </c>
      <c r="J16" s="29" t="s">
        <v>505</v>
      </c>
    </row>
    <row r="17" spans="1:10">
      <c r="A17" s="59" t="s">
        <v>810</v>
      </c>
      <c r="B17" s="59" t="s">
        <v>3519</v>
      </c>
      <c r="C17" s="29" t="s">
        <v>506</v>
      </c>
      <c r="D17" s="29" t="s">
        <v>507</v>
      </c>
      <c r="E17" s="29" t="s">
        <v>508</v>
      </c>
      <c r="F17" s="29" t="s">
        <v>509</v>
      </c>
      <c r="G17" s="29"/>
      <c r="H17" s="29">
        <v>16</v>
      </c>
      <c r="I17" s="29"/>
      <c r="J17" s="29" t="s">
        <v>510</v>
      </c>
    </row>
    <row r="18" spans="1:10">
      <c r="A18" s="59" t="s">
        <v>810</v>
      </c>
      <c r="B18" s="59" t="s">
        <v>3519</v>
      </c>
      <c r="C18" s="29" t="s">
        <v>511</v>
      </c>
      <c r="D18" s="29" t="s">
        <v>512</v>
      </c>
      <c r="E18" s="29" t="s">
        <v>513</v>
      </c>
      <c r="F18" s="29" t="s">
        <v>514</v>
      </c>
      <c r="G18" s="29"/>
      <c r="H18" s="29">
        <v>17</v>
      </c>
      <c r="I18" s="29"/>
      <c r="J18" s="29" t="s">
        <v>515</v>
      </c>
    </row>
    <row r="19" spans="1:10">
      <c r="A19" s="59" t="s">
        <v>810</v>
      </c>
      <c r="B19" s="59" t="s">
        <v>3519</v>
      </c>
      <c r="C19" s="29" t="s">
        <v>516</v>
      </c>
      <c r="D19" s="29" t="s">
        <v>517</v>
      </c>
      <c r="E19" s="29" t="s">
        <v>518</v>
      </c>
      <c r="F19" s="29" t="s">
        <v>519</v>
      </c>
      <c r="G19" s="29"/>
      <c r="H19" s="29">
        <v>18</v>
      </c>
      <c r="I19" s="29"/>
      <c r="J19" s="29" t="s">
        <v>520</v>
      </c>
    </row>
    <row r="20" spans="1:10">
      <c r="A20" s="59" t="s">
        <v>810</v>
      </c>
      <c r="B20" s="59" t="s">
        <v>3519</v>
      </c>
      <c r="C20" s="29" t="s">
        <v>521</v>
      </c>
      <c r="D20" s="29" t="s">
        <v>522</v>
      </c>
      <c r="E20" s="29" t="s">
        <v>523</v>
      </c>
      <c r="F20" s="29" t="s">
        <v>330</v>
      </c>
      <c r="G20" s="29"/>
      <c r="H20" s="29">
        <v>19</v>
      </c>
      <c r="I20" s="29"/>
      <c r="J20" s="29" t="s">
        <v>524</v>
      </c>
    </row>
    <row r="21" spans="1:10">
      <c r="A21" s="59" t="s">
        <v>810</v>
      </c>
      <c r="B21" s="59" t="s">
        <v>3519</v>
      </c>
      <c r="C21" s="29" t="s">
        <v>1905</v>
      </c>
      <c r="D21" s="29" t="s">
        <v>526</v>
      </c>
      <c r="E21" s="19" t="s">
        <v>527</v>
      </c>
      <c r="F21" s="29" t="s">
        <v>528</v>
      </c>
      <c r="G21" s="60" t="s">
        <v>1472</v>
      </c>
      <c r="H21" s="29">
        <v>20</v>
      </c>
      <c r="I21" s="29" t="s">
        <v>1906</v>
      </c>
      <c r="J21" s="29" t="s">
        <v>529</v>
      </c>
    </row>
    <row r="22" spans="1:10">
      <c r="A22" s="59" t="s">
        <v>810</v>
      </c>
      <c r="B22" s="59" t="s">
        <v>3519</v>
      </c>
      <c r="C22" s="29" t="s">
        <v>530</v>
      </c>
      <c r="D22" s="29" t="s">
        <v>531</v>
      </c>
      <c r="E22" s="29" t="s">
        <v>532</v>
      </c>
      <c r="F22" s="29" t="s">
        <v>533</v>
      </c>
      <c r="G22" s="29"/>
      <c r="H22" s="29">
        <v>21</v>
      </c>
      <c r="I22" s="29"/>
      <c r="J22" s="29" t="s">
        <v>534</v>
      </c>
    </row>
    <row r="23" spans="1:10">
      <c r="A23" s="59" t="s">
        <v>810</v>
      </c>
      <c r="B23" s="59" t="s">
        <v>3519</v>
      </c>
      <c r="C23" s="29" t="s">
        <v>871</v>
      </c>
      <c r="D23" s="29" t="s">
        <v>535</v>
      </c>
      <c r="E23" s="29" t="s">
        <v>536</v>
      </c>
      <c r="F23" s="29" t="s">
        <v>537</v>
      </c>
      <c r="G23" s="29"/>
      <c r="H23" s="29">
        <v>22</v>
      </c>
      <c r="I23" s="29"/>
      <c r="J23" s="29" t="s">
        <v>538</v>
      </c>
    </row>
    <row r="24" spans="1:10">
      <c r="A24" s="59" t="s">
        <v>810</v>
      </c>
      <c r="B24" s="59" t="s">
        <v>3519</v>
      </c>
      <c r="C24" s="29" t="s">
        <v>539</v>
      </c>
      <c r="D24" s="29" t="s">
        <v>540</v>
      </c>
      <c r="E24" s="29" t="s">
        <v>541</v>
      </c>
      <c r="F24" s="29" t="s">
        <v>542</v>
      </c>
      <c r="G24" s="60" t="s">
        <v>1907</v>
      </c>
      <c r="H24" s="29">
        <v>23</v>
      </c>
      <c r="I24" s="29" t="s">
        <v>3520</v>
      </c>
      <c r="J24" s="29" t="s">
        <v>543</v>
      </c>
    </row>
    <row r="25" spans="1:10">
      <c r="A25" s="59" t="s">
        <v>810</v>
      </c>
      <c r="B25" s="59" t="s">
        <v>3519</v>
      </c>
      <c r="C25" s="29" t="s">
        <v>544</v>
      </c>
      <c r="D25" s="29" t="s">
        <v>545</v>
      </c>
      <c r="E25" s="29" t="s">
        <v>546</v>
      </c>
      <c r="F25" s="29" t="s">
        <v>547</v>
      </c>
      <c r="G25" s="29"/>
      <c r="H25" s="29">
        <v>24</v>
      </c>
      <c r="I25" s="29"/>
      <c r="J25" s="29" t="s">
        <v>548</v>
      </c>
    </row>
    <row r="26" spans="1:10">
      <c r="A26" s="59" t="s">
        <v>810</v>
      </c>
      <c r="B26" s="59" t="s">
        <v>3519</v>
      </c>
      <c r="C26" s="29" t="s">
        <v>549</v>
      </c>
      <c r="D26" s="29" t="s">
        <v>550</v>
      </c>
      <c r="E26" s="29" t="s">
        <v>551</v>
      </c>
      <c r="F26" s="29" t="s">
        <v>552</v>
      </c>
      <c r="G26" s="60" t="s">
        <v>1908</v>
      </c>
      <c r="H26" s="29">
        <v>25</v>
      </c>
      <c r="I26" s="29" t="s">
        <v>610</v>
      </c>
      <c r="J26" s="29" t="s">
        <v>553</v>
      </c>
    </row>
    <row r="27" spans="1:10">
      <c r="A27" s="59" t="s">
        <v>810</v>
      </c>
      <c r="B27" s="59" t="s">
        <v>3519</v>
      </c>
      <c r="C27" s="29" t="s">
        <v>562</v>
      </c>
      <c r="D27" s="29" t="s">
        <v>563</v>
      </c>
      <c r="E27" s="29" t="s">
        <v>564</v>
      </c>
      <c r="F27" s="29" t="s">
        <v>565</v>
      </c>
      <c r="G27" s="29"/>
      <c r="H27" s="29">
        <v>26</v>
      </c>
      <c r="I27" s="29"/>
      <c r="J27" s="29" t="s">
        <v>524</v>
      </c>
    </row>
    <row r="28" spans="1:10">
      <c r="A28" s="59" t="s">
        <v>810</v>
      </c>
      <c r="B28" s="59" t="s">
        <v>3519</v>
      </c>
      <c r="C28" s="29" t="s">
        <v>566</v>
      </c>
      <c r="D28" s="29" t="s">
        <v>567</v>
      </c>
      <c r="E28" s="29" t="s">
        <v>568</v>
      </c>
      <c r="F28" s="29" t="s">
        <v>569</v>
      </c>
      <c r="G28" s="29"/>
      <c r="H28" s="29">
        <v>27</v>
      </c>
      <c r="I28" s="29"/>
      <c r="J28" s="29" t="s">
        <v>524</v>
      </c>
    </row>
    <row r="29" spans="1:10">
      <c r="A29" s="59" t="s">
        <v>810</v>
      </c>
      <c r="B29" s="59" t="s">
        <v>3519</v>
      </c>
      <c r="C29" s="29" t="s">
        <v>872</v>
      </c>
      <c r="D29" s="29" t="s">
        <v>570</v>
      </c>
      <c r="E29" s="29" t="s">
        <v>571</v>
      </c>
      <c r="F29" s="29" t="s">
        <v>572</v>
      </c>
      <c r="G29" s="29"/>
      <c r="H29" s="29">
        <v>28</v>
      </c>
      <c r="I29" s="29"/>
      <c r="J29" s="29" t="s">
        <v>524</v>
      </c>
    </row>
    <row r="30" spans="1:10">
      <c r="A30" s="59" t="s">
        <v>810</v>
      </c>
      <c r="B30" s="59" t="s">
        <v>3519</v>
      </c>
      <c r="C30" s="29" t="s">
        <v>873</v>
      </c>
      <c r="D30" s="29" t="s">
        <v>874</v>
      </c>
      <c r="E30" s="29" t="s">
        <v>875</v>
      </c>
      <c r="F30" s="29" t="s">
        <v>876</v>
      </c>
      <c r="G30" s="29"/>
      <c r="H30" s="29">
        <v>29</v>
      </c>
      <c r="I30" s="29"/>
      <c r="J30" s="29" t="s">
        <v>877</v>
      </c>
    </row>
    <row r="31" spans="1:10">
      <c r="A31" s="59" t="s">
        <v>810</v>
      </c>
      <c r="B31" s="59" t="s">
        <v>3519</v>
      </c>
      <c r="C31" s="29" t="s">
        <v>878</v>
      </c>
      <c r="D31" s="29" t="s">
        <v>879</v>
      </c>
      <c r="E31" s="29" t="s">
        <v>880</v>
      </c>
      <c r="F31" s="29" t="s">
        <v>881</v>
      </c>
      <c r="G31" s="29"/>
      <c r="H31" s="29">
        <v>30</v>
      </c>
      <c r="I31" s="29" t="s">
        <v>937</v>
      </c>
      <c r="J31" s="29" t="s">
        <v>882</v>
      </c>
    </row>
    <row r="32" spans="1:10">
      <c r="A32" s="59" t="s">
        <v>810</v>
      </c>
      <c r="B32" s="59" t="s">
        <v>3519</v>
      </c>
      <c r="C32" s="29" t="s">
        <v>883</v>
      </c>
      <c r="D32" s="29" t="s">
        <v>884</v>
      </c>
      <c r="E32" s="29" t="s">
        <v>885</v>
      </c>
      <c r="F32" s="29" t="s">
        <v>886</v>
      </c>
      <c r="G32" s="29"/>
      <c r="H32" s="29">
        <v>31</v>
      </c>
      <c r="I32" s="29" t="s">
        <v>887</v>
      </c>
      <c r="J32" s="29" t="s">
        <v>888</v>
      </c>
    </row>
    <row r="33" spans="1:10">
      <c r="A33" s="59" t="s">
        <v>810</v>
      </c>
      <c r="B33" s="59" t="s">
        <v>3519</v>
      </c>
      <c r="C33" s="29" t="s">
        <v>889</v>
      </c>
      <c r="D33" s="29" t="s">
        <v>890</v>
      </c>
      <c r="E33" s="29" t="s">
        <v>891</v>
      </c>
      <c r="F33" s="29" t="s">
        <v>892</v>
      </c>
      <c r="G33" s="29"/>
      <c r="H33" s="29">
        <v>32</v>
      </c>
      <c r="I33" s="29" t="s">
        <v>893</v>
      </c>
      <c r="J33" s="29" t="s">
        <v>894</v>
      </c>
    </row>
    <row r="34" spans="1:10">
      <c r="A34" s="59" t="s">
        <v>810</v>
      </c>
      <c r="B34" s="59" t="s">
        <v>3519</v>
      </c>
      <c r="C34" s="29" t="s">
        <v>895</v>
      </c>
      <c r="D34" s="29" t="s">
        <v>896</v>
      </c>
      <c r="E34" s="29" t="s">
        <v>895</v>
      </c>
      <c r="F34" s="29" t="s">
        <v>897</v>
      </c>
      <c r="G34" s="29"/>
      <c r="H34" s="29">
        <v>33</v>
      </c>
      <c r="I34" s="29"/>
      <c r="J34" s="29" t="s">
        <v>898</v>
      </c>
    </row>
    <row r="35" spans="1:10">
      <c r="A35" s="59" t="s">
        <v>810</v>
      </c>
      <c r="B35" s="59" t="s">
        <v>3519</v>
      </c>
      <c r="C35" s="29" t="s">
        <v>899</v>
      </c>
      <c r="D35" s="29" t="s">
        <v>900</v>
      </c>
      <c r="E35" s="29" t="s">
        <v>901</v>
      </c>
      <c r="F35" s="29" t="s">
        <v>330</v>
      </c>
      <c r="G35" s="29"/>
      <c r="H35" s="29">
        <v>34</v>
      </c>
      <c r="I35" s="29"/>
      <c r="J35" s="29" t="s">
        <v>902</v>
      </c>
    </row>
    <row r="36" spans="1:10">
      <c r="A36" s="59" t="s">
        <v>810</v>
      </c>
      <c r="B36" s="59" t="s">
        <v>3519</v>
      </c>
      <c r="C36" s="29" t="s">
        <v>903</v>
      </c>
      <c r="D36" s="29" t="s">
        <v>904</v>
      </c>
      <c r="E36" s="29" t="s">
        <v>903</v>
      </c>
      <c r="F36" s="29" t="s">
        <v>905</v>
      </c>
      <c r="G36" s="29"/>
      <c r="H36" s="29">
        <v>35</v>
      </c>
      <c r="I36" s="29" t="s">
        <v>906</v>
      </c>
      <c r="J36" s="29" t="s">
        <v>907</v>
      </c>
    </row>
    <row r="37" spans="1:10">
      <c r="A37" s="59" t="s">
        <v>810</v>
      </c>
      <c r="B37" s="59" t="s">
        <v>3519</v>
      </c>
      <c r="C37" s="29" t="s">
        <v>908</v>
      </c>
      <c r="D37" s="29" t="s">
        <v>909</v>
      </c>
      <c r="E37" s="29" t="s">
        <v>910</v>
      </c>
      <c r="F37" s="29" t="s">
        <v>330</v>
      </c>
      <c r="G37" s="29"/>
      <c r="H37" s="29">
        <v>36</v>
      </c>
      <c r="I37" s="29"/>
      <c r="J37" s="29" t="s">
        <v>911</v>
      </c>
    </row>
    <row r="38" spans="1:10">
      <c r="A38" s="59" t="s">
        <v>810</v>
      </c>
      <c r="B38" s="59" t="s">
        <v>3519</v>
      </c>
      <c r="C38" s="61" t="s">
        <v>1399</v>
      </c>
      <c r="D38" s="29" t="s">
        <v>558</v>
      </c>
      <c r="E38" s="29" t="s">
        <v>559</v>
      </c>
      <c r="F38" s="29" t="s">
        <v>560</v>
      </c>
      <c r="G38" s="60" t="s">
        <v>1909</v>
      </c>
      <c r="H38" s="29">
        <v>37</v>
      </c>
      <c r="I38" s="29" t="s">
        <v>1910</v>
      </c>
      <c r="J38" s="29" t="s">
        <v>561</v>
      </c>
    </row>
    <row r="39" spans="1:10">
      <c r="A39" s="59" t="s">
        <v>810</v>
      </c>
      <c r="B39" s="59" t="s">
        <v>3519</v>
      </c>
      <c r="C39" s="29" t="s">
        <v>573</v>
      </c>
      <c r="D39" s="29" t="s">
        <v>574</v>
      </c>
      <c r="E39" s="29" t="s">
        <v>575</v>
      </c>
      <c r="F39" s="29" t="s">
        <v>576</v>
      </c>
      <c r="G39" s="29"/>
      <c r="H39" s="29">
        <v>38</v>
      </c>
      <c r="I39" s="29" t="s">
        <v>3521</v>
      </c>
      <c r="J39" s="29" t="s">
        <v>577</v>
      </c>
    </row>
    <row r="40" spans="1:10">
      <c r="A40" s="59" t="s">
        <v>810</v>
      </c>
      <c r="B40" s="59" t="s">
        <v>3519</v>
      </c>
      <c r="C40" s="29" t="s">
        <v>578</v>
      </c>
      <c r="D40" s="29" t="s">
        <v>579</v>
      </c>
      <c r="E40" s="29" t="s">
        <v>580</v>
      </c>
      <c r="F40" s="29" t="s">
        <v>581</v>
      </c>
      <c r="G40" s="29"/>
      <c r="H40" s="29">
        <v>39</v>
      </c>
      <c r="I40" s="29"/>
      <c r="J40" s="29" t="s">
        <v>524</v>
      </c>
    </row>
    <row r="41" spans="1:10">
      <c r="A41" s="59" t="s">
        <v>810</v>
      </c>
      <c r="B41" s="59" t="s">
        <v>3519</v>
      </c>
      <c r="C41" s="61" t="s">
        <v>1398</v>
      </c>
      <c r="D41" s="29" t="s">
        <v>554</v>
      </c>
      <c r="E41" s="29" t="s">
        <v>555</v>
      </c>
      <c r="F41" s="29" t="s">
        <v>556</v>
      </c>
      <c r="G41" s="60" t="s">
        <v>1911</v>
      </c>
      <c r="H41" s="29">
        <v>40</v>
      </c>
      <c r="I41" s="29" t="s">
        <v>1903</v>
      </c>
      <c r="J41" s="29" t="s">
        <v>557</v>
      </c>
    </row>
    <row r="42" spans="1:10">
      <c r="A42" s="59" t="s">
        <v>810</v>
      </c>
      <c r="B42" s="59" t="s">
        <v>3519</v>
      </c>
      <c r="C42" s="29" t="s">
        <v>912</v>
      </c>
      <c r="D42" s="29" t="s">
        <v>913</v>
      </c>
      <c r="E42" s="29" t="s">
        <v>914</v>
      </c>
      <c r="F42" s="29" t="s">
        <v>915</v>
      </c>
      <c r="G42" s="29"/>
      <c r="H42" s="29">
        <v>41</v>
      </c>
      <c r="I42" s="29"/>
      <c r="J42" s="29" t="s">
        <v>916</v>
      </c>
    </row>
    <row r="43" spans="1:10">
      <c r="A43" s="59" t="s">
        <v>810</v>
      </c>
      <c r="B43" s="59" t="s">
        <v>3519</v>
      </c>
      <c r="C43" s="29" t="s">
        <v>917</v>
      </c>
      <c r="D43" s="29" t="s">
        <v>918</v>
      </c>
      <c r="E43" s="29" t="s">
        <v>919</v>
      </c>
      <c r="F43" s="29" t="s">
        <v>920</v>
      </c>
      <c r="G43" s="29"/>
      <c r="H43" s="29">
        <v>42</v>
      </c>
      <c r="I43" s="29" t="s">
        <v>938</v>
      </c>
      <c r="J43" s="29" t="s">
        <v>921</v>
      </c>
    </row>
    <row r="44" spans="1:10">
      <c r="A44" s="59" t="s">
        <v>810</v>
      </c>
      <c r="B44" s="59" t="s">
        <v>3519</v>
      </c>
      <c r="C44" s="29" t="s">
        <v>922</v>
      </c>
      <c r="D44" s="29" t="s">
        <v>923</v>
      </c>
      <c r="E44" s="29" t="s">
        <v>924</v>
      </c>
      <c r="F44" s="29" t="s">
        <v>925</v>
      </c>
      <c r="G44" s="29"/>
      <c r="H44" s="29">
        <v>43</v>
      </c>
      <c r="I44" s="29"/>
      <c r="J44" s="29" t="s">
        <v>926</v>
      </c>
    </row>
    <row r="45" spans="1:10">
      <c r="A45" s="59" t="s">
        <v>810</v>
      </c>
      <c r="B45" s="59" t="s">
        <v>3519</v>
      </c>
      <c r="C45" s="29" t="s">
        <v>927</v>
      </c>
      <c r="D45" s="29" t="s">
        <v>928</v>
      </c>
      <c r="E45" s="29" t="s">
        <v>929</v>
      </c>
      <c r="F45" s="29" t="s">
        <v>330</v>
      </c>
      <c r="G45" s="29"/>
      <c r="H45" s="29">
        <v>44</v>
      </c>
      <c r="I45" s="29"/>
      <c r="J45" s="29" t="s">
        <v>930</v>
      </c>
    </row>
    <row r="46" spans="1:10">
      <c r="A46" s="59" t="s">
        <v>810</v>
      </c>
      <c r="B46" s="59" t="s">
        <v>3519</v>
      </c>
      <c r="C46" s="29" t="s">
        <v>931</v>
      </c>
      <c r="D46" s="29" t="s">
        <v>932</v>
      </c>
      <c r="E46" s="29" t="s">
        <v>933</v>
      </c>
      <c r="F46" s="29" t="s">
        <v>934</v>
      </c>
      <c r="G46" s="29"/>
      <c r="H46" s="29">
        <v>45</v>
      </c>
      <c r="I46" s="29"/>
      <c r="J46" s="29" t="s">
        <v>935</v>
      </c>
    </row>
    <row r="47" spans="1:10">
      <c r="A47" s="59" t="s">
        <v>936</v>
      </c>
      <c r="B47" s="59" t="s">
        <v>3522</v>
      </c>
      <c r="C47" s="29" t="s">
        <v>464</v>
      </c>
      <c r="D47" s="29"/>
      <c r="E47" s="29"/>
      <c r="F47" s="29"/>
      <c r="G47" s="29"/>
      <c r="H47" s="29">
        <v>1</v>
      </c>
      <c r="I47" s="29"/>
      <c r="J47" s="29"/>
    </row>
    <row r="48" spans="1:10">
      <c r="A48" s="59" t="s">
        <v>936</v>
      </c>
      <c r="B48" s="59" t="s">
        <v>3522</v>
      </c>
      <c r="C48" s="29" t="s">
        <v>285</v>
      </c>
      <c r="D48" s="29"/>
      <c r="E48" s="29"/>
      <c r="F48" s="29"/>
      <c r="G48" s="29"/>
      <c r="H48" s="29">
        <v>2</v>
      </c>
      <c r="I48" s="29"/>
      <c r="J48" s="29"/>
    </row>
    <row r="49" spans="1:10">
      <c r="A49" s="59" t="s">
        <v>936</v>
      </c>
      <c r="B49" s="59" t="s">
        <v>3522</v>
      </c>
      <c r="C49" s="29" t="s">
        <v>465</v>
      </c>
      <c r="D49" s="29"/>
      <c r="E49" s="29"/>
      <c r="F49" s="29"/>
      <c r="G49" s="29"/>
      <c r="H49" s="29">
        <v>3</v>
      </c>
      <c r="I49" s="29"/>
      <c r="J49" s="29"/>
    </row>
    <row r="50" spans="1:10">
      <c r="A50" s="59" t="s">
        <v>936</v>
      </c>
      <c r="B50" s="59" t="s">
        <v>3522</v>
      </c>
      <c r="C50" s="29" t="s">
        <v>466</v>
      </c>
      <c r="D50" s="29"/>
      <c r="E50" s="29"/>
      <c r="F50" s="29"/>
      <c r="G50" s="29"/>
      <c r="H50" s="29">
        <v>4</v>
      </c>
      <c r="I50" s="29"/>
      <c r="J50" s="29"/>
    </row>
    <row r="51" spans="1:10">
      <c r="A51" s="59" t="s">
        <v>936</v>
      </c>
      <c r="B51" s="59" t="s">
        <v>3522</v>
      </c>
      <c r="C51" s="29" t="s">
        <v>467</v>
      </c>
      <c r="D51" s="29"/>
      <c r="E51" s="29"/>
      <c r="F51" s="29"/>
      <c r="G51" s="29"/>
      <c r="H51" s="29">
        <v>5</v>
      </c>
      <c r="I51" s="29"/>
      <c r="J51" s="29"/>
    </row>
    <row r="52" spans="1:10">
      <c r="A52" s="59" t="s">
        <v>936</v>
      </c>
      <c r="B52" s="59" t="s">
        <v>3522</v>
      </c>
      <c r="C52" s="29" t="s">
        <v>468</v>
      </c>
      <c r="D52" s="29" t="s">
        <v>469</v>
      </c>
      <c r="E52" s="29" t="s">
        <v>470</v>
      </c>
      <c r="F52" s="29" t="s">
        <v>471</v>
      </c>
      <c r="G52" s="29"/>
      <c r="H52" s="29">
        <v>6</v>
      </c>
      <c r="I52" s="29"/>
      <c r="J52" s="29"/>
    </row>
    <row r="53" spans="1:10">
      <c r="A53" s="59" t="s">
        <v>936</v>
      </c>
      <c r="B53" s="59" t="s">
        <v>3522</v>
      </c>
      <c r="C53" s="29" t="s">
        <v>472</v>
      </c>
      <c r="D53" s="29" t="s">
        <v>866</v>
      </c>
      <c r="E53" s="29" t="s">
        <v>867</v>
      </c>
      <c r="F53" s="29" t="s">
        <v>868</v>
      </c>
      <c r="G53" s="29"/>
      <c r="H53" s="29">
        <v>7</v>
      </c>
      <c r="I53" s="29" t="s">
        <v>869</v>
      </c>
      <c r="J53" s="29"/>
    </row>
    <row r="54" spans="1:10">
      <c r="A54" s="59" t="s">
        <v>936</v>
      </c>
      <c r="B54" s="59" t="s">
        <v>3522</v>
      </c>
      <c r="C54" s="29" t="s">
        <v>473</v>
      </c>
      <c r="D54" s="29" t="s">
        <v>474</v>
      </c>
      <c r="E54" s="29" t="s">
        <v>475</v>
      </c>
      <c r="F54" s="29" t="s">
        <v>330</v>
      </c>
      <c r="G54" s="29"/>
      <c r="H54" s="29">
        <v>8</v>
      </c>
      <c r="I54" s="29"/>
      <c r="J54" s="29"/>
    </row>
    <row r="55" spans="1:10">
      <c r="A55" s="59" t="s">
        <v>936</v>
      </c>
      <c r="B55" s="59" t="s">
        <v>3522</v>
      </c>
      <c r="C55" s="29" t="s">
        <v>476</v>
      </c>
      <c r="D55" s="29" t="s">
        <v>477</v>
      </c>
      <c r="E55" s="29" t="s">
        <v>478</v>
      </c>
      <c r="F55" s="29" t="s">
        <v>479</v>
      </c>
      <c r="G55" s="29"/>
      <c r="H55" s="29">
        <v>9</v>
      </c>
      <c r="I55" s="29"/>
      <c r="J55" s="29"/>
    </row>
    <row r="56" spans="1:10">
      <c r="A56" s="59" t="s">
        <v>936</v>
      </c>
      <c r="B56" s="59" t="s">
        <v>3522</v>
      </c>
      <c r="C56" s="29" t="s">
        <v>480</v>
      </c>
      <c r="D56" s="29" t="s">
        <v>481</v>
      </c>
      <c r="E56" s="29" t="s">
        <v>482</v>
      </c>
      <c r="F56" s="29" t="s">
        <v>483</v>
      </c>
      <c r="G56" s="29"/>
      <c r="H56" s="29">
        <v>10</v>
      </c>
      <c r="I56" s="29"/>
      <c r="J56" s="29"/>
    </row>
    <row r="57" spans="1:10">
      <c r="A57" s="59" t="s">
        <v>936</v>
      </c>
      <c r="B57" s="59" t="s">
        <v>3522</v>
      </c>
      <c r="C57" s="29" t="s">
        <v>484</v>
      </c>
      <c r="D57" s="29" t="s">
        <v>485</v>
      </c>
      <c r="E57" s="29" t="s">
        <v>486</v>
      </c>
      <c r="F57" s="29" t="s">
        <v>487</v>
      </c>
      <c r="G57" s="60" t="s">
        <v>1791</v>
      </c>
      <c r="H57" s="29">
        <v>11</v>
      </c>
      <c r="I57" s="29" t="s">
        <v>1912</v>
      </c>
      <c r="J57" s="29"/>
    </row>
    <row r="58" spans="1:10">
      <c r="A58" s="59" t="s">
        <v>936</v>
      </c>
      <c r="B58" s="59" t="s">
        <v>3522</v>
      </c>
      <c r="C58" s="29" t="s">
        <v>488</v>
      </c>
      <c r="D58" s="29" t="s">
        <v>489</v>
      </c>
      <c r="E58" s="29" t="s">
        <v>490</v>
      </c>
      <c r="F58" s="29" t="s">
        <v>491</v>
      </c>
      <c r="G58" s="29"/>
      <c r="H58" s="29">
        <v>12</v>
      </c>
      <c r="I58" s="29"/>
      <c r="J58" s="29"/>
    </row>
    <row r="59" spans="1:10">
      <c r="A59" s="59" t="s">
        <v>936</v>
      </c>
      <c r="B59" s="59" t="s">
        <v>3522</v>
      </c>
      <c r="C59" s="29" t="s">
        <v>492</v>
      </c>
      <c r="D59" s="29" t="s">
        <v>493</v>
      </c>
      <c r="E59" s="29" t="s">
        <v>494</v>
      </c>
      <c r="F59" s="29" t="s">
        <v>495</v>
      </c>
      <c r="G59" s="29"/>
      <c r="H59" s="29">
        <v>13</v>
      </c>
      <c r="I59" s="29"/>
      <c r="J59" s="29"/>
    </row>
    <row r="60" spans="1:10">
      <c r="A60" s="59" t="s">
        <v>936</v>
      </c>
      <c r="B60" s="59" t="s">
        <v>3522</v>
      </c>
      <c r="C60" s="29" t="s">
        <v>496</v>
      </c>
      <c r="D60" s="29" t="s">
        <v>497</v>
      </c>
      <c r="E60" s="29" t="s">
        <v>498</v>
      </c>
      <c r="F60" s="29" t="s">
        <v>499</v>
      </c>
      <c r="G60" s="60" t="s">
        <v>1904</v>
      </c>
      <c r="H60" s="29">
        <v>14</v>
      </c>
      <c r="I60" s="29" t="s">
        <v>608</v>
      </c>
      <c r="J60" s="29" t="s">
        <v>500</v>
      </c>
    </row>
    <row r="61" spans="1:10">
      <c r="A61" s="59" t="s">
        <v>936</v>
      </c>
      <c r="B61" s="59" t="s">
        <v>3522</v>
      </c>
      <c r="C61" s="29" t="s">
        <v>501</v>
      </c>
      <c r="D61" s="29" t="s">
        <v>502</v>
      </c>
      <c r="E61" s="29" t="s">
        <v>503</v>
      </c>
      <c r="F61" s="29" t="s">
        <v>504</v>
      </c>
      <c r="G61" s="60">
        <v>1</v>
      </c>
      <c r="H61" s="29">
        <v>15</v>
      </c>
      <c r="I61" s="29" t="s">
        <v>609</v>
      </c>
      <c r="J61" s="29" t="s">
        <v>505</v>
      </c>
    </row>
    <row r="62" spans="1:10">
      <c r="A62" s="59" t="s">
        <v>936</v>
      </c>
      <c r="B62" s="59" t="s">
        <v>3522</v>
      </c>
      <c r="C62" s="29" t="s">
        <v>506</v>
      </c>
      <c r="D62" s="29" t="s">
        <v>507</v>
      </c>
      <c r="E62" s="29" t="s">
        <v>508</v>
      </c>
      <c r="F62" s="29" t="s">
        <v>509</v>
      </c>
      <c r="G62" s="29"/>
      <c r="H62" s="29">
        <v>16</v>
      </c>
      <c r="I62" s="29"/>
      <c r="J62" s="29" t="s">
        <v>510</v>
      </c>
    </row>
    <row r="63" spans="1:10">
      <c r="A63" s="59" t="s">
        <v>936</v>
      </c>
      <c r="B63" s="59" t="s">
        <v>3522</v>
      </c>
      <c r="C63" s="29" t="s">
        <v>511</v>
      </c>
      <c r="D63" s="29" t="s">
        <v>512</v>
      </c>
      <c r="E63" s="29" t="s">
        <v>513</v>
      </c>
      <c r="F63" s="29" t="s">
        <v>514</v>
      </c>
      <c r="G63" s="29"/>
      <c r="H63" s="29">
        <v>17</v>
      </c>
      <c r="I63" s="29"/>
      <c r="J63" s="29" t="s">
        <v>515</v>
      </c>
    </row>
    <row r="64" spans="1:10">
      <c r="A64" s="59" t="s">
        <v>936</v>
      </c>
      <c r="B64" s="59" t="s">
        <v>3522</v>
      </c>
      <c r="C64" s="29" t="s">
        <v>516</v>
      </c>
      <c r="D64" s="29" t="s">
        <v>517</v>
      </c>
      <c r="E64" s="29" t="s">
        <v>518</v>
      </c>
      <c r="F64" s="29" t="s">
        <v>519</v>
      </c>
      <c r="G64" s="29"/>
      <c r="H64" s="29">
        <v>18</v>
      </c>
      <c r="I64" s="29"/>
      <c r="J64" s="29" t="s">
        <v>520</v>
      </c>
    </row>
    <row r="65" spans="1:10">
      <c r="A65" s="59" t="s">
        <v>936</v>
      </c>
      <c r="B65" s="59" t="s">
        <v>3522</v>
      </c>
      <c r="C65" s="29" t="s">
        <v>521</v>
      </c>
      <c r="D65" s="29" t="s">
        <v>522</v>
      </c>
      <c r="E65" s="29" t="s">
        <v>523</v>
      </c>
      <c r="F65" s="29" t="s">
        <v>330</v>
      </c>
      <c r="G65" s="29"/>
      <c r="H65" s="29">
        <v>19</v>
      </c>
      <c r="I65" s="29"/>
      <c r="J65" s="29" t="s">
        <v>524</v>
      </c>
    </row>
    <row r="66" spans="1:10">
      <c r="A66" s="59" t="s">
        <v>936</v>
      </c>
      <c r="B66" s="59" t="s">
        <v>3522</v>
      </c>
      <c r="C66" s="29" t="s">
        <v>525</v>
      </c>
      <c r="D66" s="29" t="s">
        <v>526</v>
      </c>
      <c r="E66" s="29" t="s">
        <v>527</v>
      </c>
      <c r="F66" s="29" t="s">
        <v>528</v>
      </c>
      <c r="G66" s="60" t="s">
        <v>1472</v>
      </c>
      <c r="H66" s="29">
        <v>20</v>
      </c>
      <c r="I66" s="29" t="s">
        <v>1906</v>
      </c>
      <c r="J66" s="29" t="s">
        <v>529</v>
      </c>
    </row>
    <row r="67" spans="1:10">
      <c r="A67" s="59" t="s">
        <v>936</v>
      </c>
      <c r="B67" s="59" t="s">
        <v>3522</v>
      </c>
      <c r="C67" s="29" t="s">
        <v>530</v>
      </c>
      <c r="D67" s="29" t="s">
        <v>531</v>
      </c>
      <c r="E67" s="29" t="s">
        <v>532</v>
      </c>
      <c r="F67" s="29" t="s">
        <v>533</v>
      </c>
      <c r="G67" s="29"/>
      <c r="H67" s="29">
        <v>21</v>
      </c>
      <c r="I67" s="29"/>
      <c r="J67" s="29" t="s">
        <v>534</v>
      </c>
    </row>
    <row r="68" spans="1:10">
      <c r="A68" s="59" t="s">
        <v>936</v>
      </c>
      <c r="B68" s="59" t="s">
        <v>3522</v>
      </c>
      <c r="C68" s="29" t="s">
        <v>871</v>
      </c>
      <c r="D68" s="29" t="s">
        <v>535</v>
      </c>
      <c r="E68" s="29" t="s">
        <v>536</v>
      </c>
      <c r="F68" s="29" t="s">
        <v>537</v>
      </c>
      <c r="G68" s="29"/>
      <c r="H68" s="29">
        <v>22</v>
      </c>
      <c r="I68" s="29"/>
      <c r="J68" s="29" t="s">
        <v>538</v>
      </c>
    </row>
    <row r="69" spans="1:10">
      <c r="A69" s="59" t="s">
        <v>936</v>
      </c>
      <c r="B69" s="59" t="s">
        <v>3522</v>
      </c>
      <c r="C69" s="29" t="s">
        <v>539</v>
      </c>
      <c r="D69" s="29" t="s">
        <v>540</v>
      </c>
      <c r="E69" s="29" t="s">
        <v>541</v>
      </c>
      <c r="F69" s="29" t="s">
        <v>542</v>
      </c>
      <c r="G69" s="60" t="s">
        <v>1907</v>
      </c>
      <c r="H69" s="29">
        <v>23</v>
      </c>
      <c r="I69" s="29" t="s">
        <v>3520</v>
      </c>
      <c r="J69" s="29" t="s">
        <v>543</v>
      </c>
    </row>
    <row r="70" spans="1:10">
      <c r="A70" s="59" t="s">
        <v>936</v>
      </c>
      <c r="B70" s="59" t="s">
        <v>3522</v>
      </c>
      <c r="C70" s="29" t="s">
        <v>544</v>
      </c>
      <c r="D70" s="29" t="s">
        <v>545</v>
      </c>
      <c r="E70" s="29" t="s">
        <v>546</v>
      </c>
      <c r="F70" s="29" t="s">
        <v>547</v>
      </c>
      <c r="G70" s="29"/>
      <c r="H70" s="29">
        <v>24</v>
      </c>
      <c r="I70" s="29"/>
      <c r="J70" s="29" t="s">
        <v>548</v>
      </c>
    </row>
    <row r="71" spans="1:10">
      <c r="A71" s="59" t="s">
        <v>936</v>
      </c>
      <c r="B71" s="59" t="s">
        <v>3522</v>
      </c>
      <c r="C71" s="29" t="s">
        <v>549</v>
      </c>
      <c r="D71" s="29" t="s">
        <v>550</v>
      </c>
      <c r="E71" s="29" t="s">
        <v>551</v>
      </c>
      <c r="F71" s="29" t="s">
        <v>552</v>
      </c>
      <c r="G71" s="60" t="s">
        <v>1908</v>
      </c>
      <c r="H71" s="29">
        <v>25</v>
      </c>
      <c r="I71" s="29" t="s">
        <v>610</v>
      </c>
      <c r="J71" s="29" t="s">
        <v>553</v>
      </c>
    </row>
    <row r="72" spans="1:10">
      <c r="A72" s="59" t="s">
        <v>936</v>
      </c>
      <c r="B72" s="59" t="s">
        <v>3522</v>
      </c>
      <c r="C72" s="29" t="s">
        <v>562</v>
      </c>
      <c r="D72" s="29" t="s">
        <v>563</v>
      </c>
      <c r="E72" s="29" t="s">
        <v>564</v>
      </c>
      <c r="F72" s="29" t="s">
        <v>565</v>
      </c>
      <c r="G72" s="29"/>
      <c r="H72" s="29">
        <v>26</v>
      </c>
      <c r="I72" s="29"/>
      <c r="J72" s="29" t="s">
        <v>524</v>
      </c>
    </row>
    <row r="73" spans="1:10">
      <c r="A73" s="59" t="s">
        <v>936</v>
      </c>
      <c r="B73" s="59" t="s">
        <v>3522</v>
      </c>
      <c r="C73" s="29" t="s">
        <v>566</v>
      </c>
      <c r="D73" s="29" t="s">
        <v>567</v>
      </c>
      <c r="E73" s="29" t="s">
        <v>568</v>
      </c>
      <c r="F73" s="29" t="s">
        <v>569</v>
      </c>
      <c r="G73" s="29"/>
      <c r="H73" s="29">
        <v>27</v>
      </c>
      <c r="I73" s="29"/>
      <c r="J73" s="29" t="s">
        <v>524</v>
      </c>
    </row>
    <row r="74" spans="1:10">
      <c r="A74" s="59" t="s">
        <v>936</v>
      </c>
      <c r="B74" s="59" t="s">
        <v>3522</v>
      </c>
      <c r="C74" s="29" t="s">
        <v>872</v>
      </c>
      <c r="D74" s="29" t="s">
        <v>570</v>
      </c>
      <c r="E74" s="29" t="s">
        <v>571</v>
      </c>
      <c r="F74" s="29" t="s">
        <v>572</v>
      </c>
      <c r="G74" s="29"/>
      <c r="H74" s="29">
        <v>28</v>
      </c>
      <c r="I74" s="29"/>
      <c r="J74" s="29" t="s">
        <v>524</v>
      </c>
    </row>
    <row r="75" spans="1:10">
      <c r="A75" s="59" t="s">
        <v>936</v>
      </c>
      <c r="B75" s="59" t="s">
        <v>3522</v>
      </c>
      <c r="C75" s="29" t="s">
        <v>873</v>
      </c>
      <c r="D75" s="29" t="s">
        <v>874</v>
      </c>
      <c r="E75" s="29" t="s">
        <v>875</v>
      </c>
      <c r="F75" s="29" t="s">
        <v>876</v>
      </c>
      <c r="G75" s="29"/>
      <c r="H75" s="29">
        <v>29</v>
      </c>
      <c r="I75" s="29"/>
      <c r="J75" s="29" t="s">
        <v>877</v>
      </c>
    </row>
    <row r="76" spans="1:10">
      <c r="A76" s="59" t="s">
        <v>936</v>
      </c>
      <c r="B76" s="59" t="s">
        <v>3522</v>
      </c>
      <c r="C76" s="29" t="s">
        <v>878</v>
      </c>
      <c r="D76" s="29" t="s">
        <v>879</v>
      </c>
      <c r="E76" s="29" t="s">
        <v>880</v>
      </c>
      <c r="F76" s="29" t="s">
        <v>881</v>
      </c>
      <c r="G76" s="29"/>
      <c r="H76" s="29">
        <v>30</v>
      </c>
      <c r="I76" s="29" t="s">
        <v>937</v>
      </c>
      <c r="J76" s="29" t="s">
        <v>882</v>
      </c>
    </row>
    <row r="77" spans="1:10">
      <c r="A77" s="59" t="s">
        <v>936</v>
      </c>
      <c r="B77" s="59" t="s">
        <v>3522</v>
      </c>
      <c r="C77" s="29" t="s">
        <v>883</v>
      </c>
      <c r="D77" s="29" t="s">
        <v>884</v>
      </c>
      <c r="E77" s="29" t="s">
        <v>885</v>
      </c>
      <c r="F77" s="29" t="s">
        <v>886</v>
      </c>
      <c r="G77" s="29"/>
      <c r="H77" s="29">
        <v>31</v>
      </c>
      <c r="I77" s="29" t="s">
        <v>1913</v>
      </c>
      <c r="J77" s="29" t="s">
        <v>888</v>
      </c>
    </row>
    <row r="78" spans="1:10">
      <c r="A78" s="59" t="s">
        <v>936</v>
      </c>
      <c r="B78" s="59" t="s">
        <v>3522</v>
      </c>
      <c r="C78" s="29" t="s">
        <v>889</v>
      </c>
      <c r="D78" s="29" t="s">
        <v>890</v>
      </c>
      <c r="E78" s="29" t="s">
        <v>891</v>
      </c>
      <c r="F78" s="29" t="s">
        <v>892</v>
      </c>
      <c r="G78" s="29"/>
      <c r="H78" s="29">
        <v>32</v>
      </c>
      <c r="I78" s="29" t="s">
        <v>1914</v>
      </c>
      <c r="J78" s="29" t="s">
        <v>894</v>
      </c>
    </row>
    <row r="79" spans="1:10">
      <c r="A79" s="59" t="s">
        <v>936</v>
      </c>
      <c r="B79" s="59" t="s">
        <v>3522</v>
      </c>
      <c r="C79" s="29" t="s">
        <v>895</v>
      </c>
      <c r="D79" s="29" t="s">
        <v>896</v>
      </c>
      <c r="E79" s="29" t="s">
        <v>895</v>
      </c>
      <c r="F79" s="29" t="s">
        <v>897</v>
      </c>
      <c r="G79" s="29"/>
      <c r="H79" s="29">
        <v>33</v>
      </c>
      <c r="I79" s="29"/>
      <c r="J79" s="29" t="s">
        <v>898</v>
      </c>
    </row>
    <row r="80" spans="1:10">
      <c r="A80" s="59" t="s">
        <v>936</v>
      </c>
      <c r="B80" s="59" t="s">
        <v>3522</v>
      </c>
      <c r="C80" s="29" t="s">
        <v>899</v>
      </c>
      <c r="D80" s="29" t="s">
        <v>900</v>
      </c>
      <c r="E80" s="29" t="s">
        <v>901</v>
      </c>
      <c r="F80" s="29" t="s">
        <v>330</v>
      </c>
      <c r="G80" s="29"/>
      <c r="H80" s="29">
        <v>34</v>
      </c>
      <c r="I80" s="29"/>
      <c r="J80" s="29" t="s">
        <v>902</v>
      </c>
    </row>
    <row r="81" spans="1:10">
      <c r="A81" s="59" t="s">
        <v>936</v>
      </c>
      <c r="B81" s="59" t="s">
        <v>3522</v>
      </c>
      <c r="C81" s="29" t="s">
        <v>903</v>
      </c>
      <c r="D81" s="29" t="s">
        <v>904</v>
      </c>
      <c r="E81" s="29" t="s">
        <v>903</v>
      </c>
      <c r="F81" s="29" t="s">
        <v>905</v>
      </c>
      <c r="G81" s="29"/>
      <c r="H81" s="29">
        <v>35</v>
      </c>
      <c r="I81" s="29" t="s">
        <v>906</v>
      </c>
      <c r="J81" s="29" t="s">
        <v>907</v>
      </c>
    </row>
    <row r="82" spans="1:10">
      <c r="A82" s="59" t="s">
        <v>936</v>
      </c>
      <c r="B82" s="59" t="s">
        <v>3522</v>
      </c>
      <c r="C82" s="29" t="s">
        <v>908</v>
      </c>
      <c r="D82" s="29" t="s">
        <v>909</v>
      </c>
      <c r="E82" s="29" t="s">
        <v>910</v>
      </c>
      <c r="F82" s="29" t="s">
        <v>330</v>
      </c>
      <c r="G82" s="29"/>
      <c r="H82" s="29">
        <v>36</v>
      </c>
      <c r="I82" s="29"/>
      <c r="J82" s="29" t="s">
        <v>911</v>
      </c>
    </row>
    <row r="83" spans="1:10">
      <c r="A83" s="59" t="s">
        <v>936</v>
      </c>
      <c r="B83" s="59" t="s">
        <v>3522</v>
      </c>
      <c r="C83" s="61" t="s">
        <v>1399</v>
      </c>
      <c r="D83" s="29" t="s">
        <v>558</v>
      </c>
      <c r="E83" s="29" t="s">
        <v>559</v>
      </c>
      <c r="F83" s="29" t="s">
        <v>560</v>
      </c>
      <c r="G83" s="60" t="s">
        <v>1909</v>
      </c>
      <c r="H83" s="29">
        <v>37</v>
      </c>
      <c r="I83" s="29" t="s">
        <v>1910</v>
      </c>
      <c r="J83" s="29" t="s">
        <v>561</v>
      </c>
    </row>
    <row r="84" spans="1:10">
      <c r="A84" s="59" t="s">
        <v>936</v>
      </c>
      <c r="B84" s="59" t="s">
        <v>3522</v>
      </c>
      <c r="C84" s="29" t="s">
        <v>573</v>
      </c>
      <c r="D84" s="29" t="s">
        <v>574</v>
      </c>
      <c r="E84" s="29" t="s">
        <v>575</v>
      </c>
      <c r="F84" s="29" t="s">
        <v>576</v>
      </c>
      <c r="G84" s="29"/>
      <c r="H84" s="29">
        <v>38</v>
      </c>
      <c r="I84" s="29" t="s">
        <v>3521</v>
      </c>
      <c r="J84" s="29" t="s">
        <v>577</v>
      </c>
    </row>
    <row r="85" spans="1:10">
      <c r="A85" s="59" t="s">
        <v>936</v>
      </c>
      <c r="B85" s="59" t="s">
        <v>3522</v>
      </c>
      <c r="C85" s="29" t="s">
        <v>578</v>
      </c>
      <c r="D85" s="29" t="s">
        <v>579</v>
      </c>
      <c r="E85" s="29" t="s">
        <v>580</v>
      </c>
      <c r="F85" s="29" t="s">
        <v>581</v>
      </c>
      <c r="G85" s="29"/>
      <c r="H85" s="29">
        <v>39</v>
      </c>
      <c r="I85" s="29"/>
      <c r="J85" s="29" t="s">
        <v>524</v>
      </c>
    </row>
    <row r="86" spans="1:10">
      <c r="A86" s="59" t="s">
        <v>936</v>
      </c>
      <c r="B86" s="59" t="s">
        <v>3522</v>
      </c>
      <c r="C86" s="61" t="s">
        <v>1398</v>
      </c>
      <c r="D86" s="29" t="s">
        <v>554</v>
      </c>
      <c r="E86" s="29" t="s">
        <v>555</v>
      </c>
      <c r="F86" s="29" t="s">
        <v>556</v>
      </c>
      <c r="G86" s="60" t="s">
        <v>1911</v>
      </c>
      <c r="H86" s="29">
        <v>40</v>
      </c>
      <c r="I86" s="29" t="s">
        <v>1903</v>
      </c>
      <c r="J86" s="29" t="s">
        <v>557</v>
      </c>
    </row>
    <row r="87" spans="1:10">
      <c r="A87" s="59" t="s">
        <v>936</v>
      </c>
      <c r="B87" s="59" t="s">
        <v>3522</v>
      </c>
      <c r="C87" s="29" t="s">
        <v>912</v>
      </c>
      <c r="D87" s="29" t="s">
        <v>913</v>
      </c>
      <c r="E87" s="29" t="s">
        <v>914</v>
      </c>
      <c r="F87" s="29" t="s">
        <v>915</v>
      </c>
      <c r="G87" s="29"/>
      <c r="H87" s="29">
        <v>41</v>
      </c>
      <c r="I87" s="29"/>
      <c r="J87" s="29" t="s">
        <v>916</v>
      </c>
    </row>
    <row r="88" spans="1:10">
      <c r="A88" s="59" t="s">
        <v>936</v>
      </c>
      <c r="B88" s="59" t="s">
        <v>3522</v>
      </c>
      <c r="C88" s="29" t="s">
        <v>917</v>
      </c>
      <c r="D88" s="29" t="s">
        <v>918</v>
      </c>
      <c r="E88" s="29" t="s">
        <v>919</v>
      </c>
      <c r="F88" s="29" t="s">
        <v>920</v>
      </c>
      <c r="G88" s="29"/>
      <c r="H88" s="29">
        <v>42</v>
      </c>
      <c r="I88" s="29" t="s">
        <v>1915</v>
      </c>
      <c r="J88" s="29" t="s">
        <v>921</v>
      </c>
    </row>
    <row r="89" spans="1:10">
      <c r="A89" s="59" t="s">
        <v>936</v>
      </c>
      <c r="B89" s="59" t="s">
        <v>3522</v>
      </c>
      <c r="C89" s="29" t="s">
        <v>922</v>
      </c>
      <c r="D89" s="29" t="s">
        <v>923</v>
      </c>
      <c r="E89" s="29" t="s">
        <v>924</v>
      </c>
      <c r="F89" s="29" t="s">
        <v>925</v>
      </c>
      <c r="G89" s="29"/>
      <c r="H89" s="29">
        <v>43</v>
      </c>
      <c r="I89" s="29"/>
      <c r="J89" s="29" t="s">
        <v>926</v>
      </c>
    </row>
    <row r="90" spans="1:10">
      <c r="A90" s="59" t="s">
        <v>936</v>
      </c>
      <c r="B90" s="59" t="s">
        <v>3522</v>
      </c>
      <c r="C90" s="29" t="s">
        <v>927</v>
      </c>
      <c r="D90" s="29" t="s">
        <v>928</v>
      </c>
      <c r="E90" s="29" t="s">
        <v>929</v>
      </c>
      <c r="F90" s="29" t="s">
        <v>330</v>
      </c>
      <c r="G90" s="29"/>
      <c r="H90" s="29">
        <v>44</v>
      </c>
      <c r="I90" s="29"/>
      <c r="J90" s="29" t="s">
        <v>930</v>
      </c>
    </row>
    <row r="91" spans="1:10">
      <c r="A91" s="59" t="s">
        <v>936</v>
      </c>
      <c r="B91" s="59" t="s">
        <v>3522</v>
      </c>
      <c r="C91" s="29" t="s">
        <v>931</v>
      </c>
      <c r="D91" s="29" t="s">
        <v>932</v>
      </c>
      <c r="E91" s="29" t="s">
        <v>933</v>
      </c>
      <c r="F91" s="29" t="s">
        <v>934</v>
      </c>
      <c r="G91" s="29"/>
      <c r="H91" s="29">
        <v>45</v>
      </c>
      <c r="I91" s="29"/>
      <c r="J91" s="29" t="s">
        <v>935</v>
      </c>
    </row>
  </sheetData>
  <autoFilter ref="A1:J91" xr:uid="{1C064457-463D-4A0D-9476-49608476E528}"/>
  <phoneticPr fontId="71" type="noConversion"/>
  <conditionalFormatting sqref="C86">
    <cfRule type="duplicateValues" dxfId="0" priority="1"/>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17"/>
  <sheetViews>
    <sheetView topLeftCell="A187" workbookViewId="0">
      <selection activeCell="H211" sqref="H211"/>
    </sheetView>
  </sheetViews>
  <sheetFormatPr defaultRowHeight="15.6"/>
  <cols>
    <col min="1" max="1" width="7.81640625" customWidth="1"/>
    <col min="2" max="2" width="8.81640625" customWidth="1"/>
    <col min="3" max="3" width="40.81640625" customWidth="1"/>
    <col min="4" max="4" width="41.6328125" customWidth="1"/>
    <col min="5" max="5" width="23.90625" bestFit="1" customWidth="1"/>
    <col min="6" max="6" width="8.453125" bestFit="1" customWidth="1"/>
    <col min="7" max="7" width="5.81640625" customWidth="1"/>
    <col min="8" max="8" width="64.26953125" customWidth="1"/>
    <col min="9" max="9" width="6.81640625" customWidth="1"/>
    <col min="10" max="10" width="40.81640625" customWidth="1"/>
    <col min="11" max="11" width="7.81640625" customWidth="1"/>
  </cols>
  <sheetData>
    <row r="1" spans="1:11">
      <c r="A1" t="s">
        <v>0</v>
      </c>
      <c r="B1" t="s">
        <v>1927</v>
      </c>
      <c r="C1" t="s">
        <v>1928</v>
      </c>
      <c r="D1" t="s">
        <v>1929</v>
      </c>
      <c r="E1" t="s">
        <v>31</v>
      </c>
      <c r="F1" t="s">
        <v>32</v>
      </c>
      <c r="G1" t="s">
        <v>1930</v>
      </c>
      <c r="H1" t="s">
        <v>3</v>
      </c>
      <c r="I1" t="s">
        <v>1931</v>
      </c>
      <c r="J1" t="s">
        <v>1932</v>
      </c>
      <c r="K1" t="s">
        <v>1035</v>
      </c>
    </row>
    <row r="2" spans="1:11">
      <c r="A2" t="s">
        <v>24</v>
      </c>
      <c r="B2" t="s">
        <v>247</v>
      </c>
      <c r="C2" t="s">
        <v>1933</v>
      </c>
      <c r="D2" t="s">
        <v>1934</v>
      </c>
      <c r="E2" t="s">
        <v>1935</v>
      </c>
      <c r="F2" t="s">
        <v>60</v>
      </c>
      <c r="G2" t="s">
        <v>1935</v>
      </c>
      <c r="H2" t="s">
        <v>1936</v>
      </c>
      <c r="I2" t="s">
        <v>78</v>
      </c>
      <c r="J2" t="s">
        <v>1935</v>
      </c>
      <c r="K2" t="s">
        <v>1935</v>
      </c>
    </row>
    <row r="3" spans="1:11">
      <c r="A3" t="s">
        <v>24</v>
      </c>
      <c r="B3" t="s">
        <v>247</v>
      </c>
      <c r="C3" t="s">
        <v>1937</v>
      </c>
      <c r="D3" t="s">
        <v>1938</v>
      </c>
      <c r="E3" t="s">
        <v>1935</v>
      </c>
      <c r="F3" t="s">
        <v>60</v>
      </c>
      <c r="G3" t="s">
        <v>1935</v>
      </c>
      <c r="H3" t="s">
        <v>1939</v>
      </c>
      <c r="I3" t="s">
        <v>78</v>
      </c>
      <c r="J3" t="s">
        <v>1935</v>
      </c>
      <c r="K3" t="s">
        <v>1935</v>
      </c>
    </row>
    <row r="4" spans="1:11">
      <c r="A4" t="s">
        <v>24</v>
      </c>
      <c r="B4" t="s">
        <v>247</v>
      </c>
      <c r="C4" t="s">
        <v>1940</v>
      </c>
      <c r="D4" t="s">
        <v>1941</v>
      </c>
      <c r="E4" t="s">
        <v>1935</v>
      </c>
      <c r="F4" t="s">
        <v>60</v>
      </c>
      <c r="G4" t="s">
        <v>1935</v>
      </c>
      <c r="H4" t="s">
        <v>1478</v>
      </c>
      <c r="I4" t="s">
        <v>78</v>
      </c>
      <c r="J4" t="s">
        <v>1935</v>
      </c>
      <c r="K4" t="s">
        <v>1935</v>
      </c>
    </row>
    <row r="5" spans="1:11">
      <c r="A5" t="s">
        <v>24</v>
      </c>
      <c r="B5" t="s">
        <v>247</v>
      </c>
      <c r="C5" t="s">
        <v>1942</v>
      </c>
      <c r="D5" t="s">
        <v>1943</v>
      </c>
      <c r="E5" t="s">
        <v>1935</v>
      </c>
      <c r="F5" t="s">
        <v>60</v>
      </c>
      <c r="G5" t="s">
        <v>1935</v>
      </c>
      <c r="H5" t="s">
        <v>1944</v>
      </c>
      <c r="I5" t="s">
        <v>78</v>
      </c>
      <c r="J5" t="s">
        <v>1935</v>
      </c>
      <c r="K5" t="s">
        <v>1935</v>
      </c>
    </row>
    <row r="6" spans="1:11">
      <c r="A6" t="s">
        <v>24</v>
      </c>
      <c r="B6" t="s">
        <v>247</v>
      </c>
      <c r="C6" t="s">
        <v>1945</v>
      </c>
      <c r="D6" t="s">
        <v>1946</v>
      </c>
      <c r="E6" t="s">
        <v>1935</v>
      </c>
      <c r="F6" t="s">
        <v>60</v>
      </c>
      <c r="G6" t="s">
        <v>1935</v>
      </c>
      <c r="H6" t="s">
        <v>1947</v>
      </c>
      <c r="I6" t="s">
        <v>78</v>
      </c>
      <c r="J6" t="s">
        <v>1935</v>
      </c>
      <c r="K6" t="s">
        <v>1935</v>
      </c>
    </row>
    <row r="7" spans="1:11">
      <c r="A7" t="s">
        <v>24</v>
      </c>
      <c r="B7" t="s">
        <v>247</v>
      </c>
      <c r="C7" t="s">
        <v>1948</v>
      </c>
      <c r="D7" t="s">
        <v>1949</v>
      </c>
      <c r="E7" t="s">
        <v>1935</v>
      </c>
      <c r="F7" t="s">
        <v>60</v>
      </c>
      <c r="G7" t="s">
        <v>1935</v>
      </c>
      <c r="H7" t="s">
        <v>1950</v>
      </c>
      <c r="I7" t="s">
        <v>78</v>
      </c>
      <c r="J7" t="s">
        <v>1935</v>
      </c>
      <c r="K7" t="s">
        <v>1935</v>
      </c>
    </row>
    <row r="8" spans="1:11">
      <c r="A8" t="s">
        <v>24</v>
      </c>
      <c r="B8" t="s">
        <v>247</v>
      </c>
      <c r="C8" t="s">
        <v>1951</v>
      </c>
      <c r="D8" t="s">
        <v>1952</v>
      </c>
      <c r="E8" t="s">
        <v>1935</v>
      </c>
      <c r="F8" t="s">
        <v>60</v>
      </c>
      <c r="G8" t="s">
        <v>1935</v>
      </c>
      <c r="H8" t="s">
        <v>1953</v>
      </c>
      <c r="I8" t="s">
        <v>78</v>
      </c>
      <c r="J8" t="s">
        <v>1935</v>
      </c>
      <c r="K8" t="s">
        <v>1935</v>
      </c>
    </row>
    <row r="9" spans="1:11">
      <c r="A9" t="s">
        <v>24</v>
      </c>
      <c r="B9" t="s">
        <v>247</v>
      </c>
      <c r="C9" t="s">
        <v>1954</v>
      </c>
      <c r="D9" t="s">
        <v>1955</v>
      </c>
      <c r="E9" t="s">
        <v>1935</v>
      </c>
      <c r="F9" t="s">
        <v>60</v>
      </c>
      <c r="G9" t="s">
        <v>1935</v>
      </c>
      <c r="H9" t="s">
        <v>1956</v>
      </c>
      <c r="I9" t="s">
        <v>78</v>
      </c>
      <c r="J9" t="s">
        <v>1935</v>
      </c>
      <c r="K9" t="s">
        <v>1935</v>
      </c>
    </row>
    <row r="10" spans="1:11">
      <c r="A10" t="s">
        <v>24</v>
      </c>
      <c r="B10" t="s">
        <v>247</v>
      </c>
      <c r="C10" t="s">
        <v>1957</v>
      </c>
      <c r="D10" t="s">
        <v>1958</v>
      </c>
      <c r="E10" t="s">
        <v>1935</v>
      </c>
      <c r="F10" t="s">
        <v>60</v>
      </c>
      <c r="G10" t="s">
        <v>1935</v>
      </c>
      <c r="H10" t="s">
        <v>1959</v>
      </c>
      <c r="I10" t="s">
        <v>78</v>
      </c>
      <c r="J10" t="s">
        <v>1935</v>
      </c>
      <c r="K10" t="s">
        <v>1935</v>
      </c>
    </row>
    <row r="11" spans="1:11">
      <c r="A11" t="s">
        <v>24</v>
      </c>
      <c r="B11" t="s">
        <v>247</v>
      </c>
      <c r="C11" t="s">
        <v>1960</v>
      </c>
      <c r="D11" t="s">
        <v>1961</v>
      </c>
      <c r="E11" t="s">
        <v>1935</v>
      </c>
      <c r="F11" t="s">
        <v>60</v>
      </c>
      <c r="G11" t="s">
        <v>1935</v>
      </c>
      <c r="H11" t="s">
        <v>1962</v>
      </c>
      <c r="I11" t="s">
        <v>78</v>
      </c>
      <c r="J11" t="s">
        <v>1935</v>
      </c>
      <c r="K11" t="s">
        <v>1935</v>
      </c>
    </row>
    <row r="12" spans="1:11">
      <c r="A12" t="s">
        <v>24</v>
      </c>
      <c r="B12" t="s">
        <v>247</v>
      </c>
      <c r="C12" t="s">
        <v>1963</v>
      </c>
      <c r="D12" t="s">
        <v>1964</v>
      </c>
      <c r="E12" t="s">
        <v>1935</v>
      </c>
      <c r="F12" t="s">
        <v>60</v>
      </c>
      <c r="G12" t="s">
        <v>1935</v>
      </c>
      <c r="H12" t="s">
        <v>1965</v>
      </c>
      <c r="I12" t="s">
        <v>78</v>
      </c>
      <c r="J12" t="s">
        <v>1935</v>
      </c>
      <c r="K12" t="s">
        <v>1935</v>
      </c>
    </row>
    <row r="13" spans="1:11">
      <c r="A13" t="s">
        <v>24</v>
      </c>
      <c r="B13" t="s">
        <v>247</v>
      </c>
      <c r="C13" t="s">
        <v>1966</v>
      </c>
      <c r="D13" t="s">
        <v>1967</v>
      </c>
      <c r="E13" t="s">
        <v>1935</v>
      </c>
      <c r="F13" t="s">
        <v>60</v>
      </c>
      <c r="G13" t="s">
        <v>1935</v>
      </c>
      <c r="H13" t="s">
        <v>1968</v>
      </c>
      <c r="I13" t="s">
        <v>78</v>
      </c>
      <c r="J13" t="s">
        <v>1935</v>
      </c>
      <c r="K13" t="s">
        <v>1935</v>
      </c>
    </row>
    <row r="14" spans="1:11">
      <c r="A14" t="s">
        <v>24</v>
      </c>
      <c r="B14" t="s">
        <v>247</v>
      </c>
      <c r="C14" t="s">
        <v>1969</v>
      </c>
      <c r="D14" t="s">
        <v>1970</v>
      </c>
      <c r="E14" t="s">
        <v>1935</v>
      </c>
      <c r="F14" t="s">
        <v>60</v>
      </c>
      <c r="G14" t="s">
        <v>1935</v>
      </c>
      <c r="H14" t="s">
        <v>1971</v>
      </c>
      <c r="I14" t="s">
        <v>78</v>
      </c>
      <c r="J14" t="s">
        <v>1935</v>
      </c>
      <c r="K14" t="s">
        <v>1935</v>
      </c>
    </row>
    <row r="15" spans="1:11">
      <c r="A15" t="s">
        <v>24</v>
      </c>
      <c r="B15" t="s">
        <v>247</v>
      </c>
      <c r="C15" t="s">
        <v>1972</v>
      </c>
      <c r="D15" t="s">
        <v>1973</v>
      </c>
      <c r="E15" t="s">
        <v>1935</v>
      </c>
      <c r="F15" t="s">
        <v>60</v>
      </c>
      <c r="G15" t="s">
        <v>1935</v>
      </c>
      <c r="H15" t="s">
        <v>1974</v>
      </c>
      <c r="I15" t="s">
        <v>78</v>
      </c>
      <c r="J15" t="s">
        <v>1935</v>
      </c>
      <c r="K15" t="s">
        <v>1935</v>
      </c>
    </row>
    <row r="16" spans="1:11">
      <c r="A16" t="s">
        <v>24</v>
      </c>
      <c r="B16" t="s">
        <v>247</v>
      </c>
      <c r="C16" t="s">
        <v>1975</v>
      </c>
      <c r="D16" t="s">
        <v>1976</v>
      </c>
      <c r="E16" t="s">
        <v>1935</v>
      </c>
      <c r="F16" t="s">
        <v>60</v>
      </c>
      <c r="G16" t="s">
        <v>1935</v>
      </c>
      <c r="H16" t="s">
        <v>2984</v>
      </c>
      <c r="I16" t="s">
        <v>78</v>
      </c>
      <c r="J16" t="s">
        <v>1935</v>
      </c>
      <c r="K16" t="s">
        <v>1935</v>
      </c>
    </row>
    <row r="17" spans="1:11">
      <c r="A17" t="s">
        <v>24</v>
      </c>
      <c r="B17" t="s">
        <v>247</v>
      </c>
      <c r="C17" t="s">
        <v>1977</v>
      </c>
      <c r="D17" t="s">
        <v>1978</v>
      </c>
      <c r="E17" t="s">
        <v>1935</v>
      </c>
      <c r="F17" t="s">
        <v>60</v>
      </c>
      <c r="G17" t="s">
        <v>1935</v>
      </c>
      <c r="H17" t="s">
        <v>2985</v>
      </c>
      <c r="I17" t="s">
        <v>78</v>
      </c>
      <c r="J17" t="s">
        <v>1935</v>
      </c>
      <c r="K17" t="s">
        <v>1935</v>
      </c>
    </row>
    <row r="18" spans="1:11">
      <c r="A18" t="s">
        <v>24</v>
      </c>
      <c r="B18" t="s">
        <v>247</v>
      </c>
      <c r="C18" t="s">
        <v>1979</v>
      </c>
      <c r="D18" t="s">
        <v>1980</v>
      </c>
      <c r="E18" t="s">
        <v>1935</v>
      </c>
      <c r="F18" t="s">
        <v>60</v>
      </c>
      <c r="G18" t="s">
        <v>1935</v>
      </c>
      <c r="H18" t="s">
        <v>1981</v>
      </c>
      <c r="I18" t="s">
        <v>78</v>
      </c>
      <c r="J18" t="s">
        <v>1935</v>
      </c>
      <c r="K18" t="s">
        <v>1935</v>
      </c>
    </row>
    <row r="19" spans="1:11">
      <c r="A19" t="s">
        <v>24</v>
      </c>
      <c r="B19" t="s">
        <v>247</v>
      </c>
      <c r="C19" t="s">
        <v>1982</v>
      </c>
      <c r="D19" t="s">
        <v>1983</v>
      </c>
      <c r="E19" t="s">
        <v>1935</v>
      </c>
      <c r="F19" t="s">
        <v>60</v>
      </c>
      <c r="G19" t="s">
        <v>1935</v>
      </c>
      <c r="H19" t="s">
        <v>1984</v>
      </c>
      <c r="I19" t="s">
        <v>78</v>
      </c>
      <c r="J19" t="s">
        <v>1935</v>
      </c>
      <c r="K19" t="s">
        <v>1935</v>
      </c>
    </row>
    <row r="20" spans="1:11">
      <c r="A20" t="s">
        <v>24</v>
      </c>
      <c r="B20" t="s">
        <v>247</v>
      </c>
      <c r="C20" t="s">
        <v>1985</v>
      </c>
      <c r="D20" t="s">
        <v>1986</v>
      </c>
      <c r="E20" t="s">
        <v>1935</v>
      </c>
      <c r="F20" t="s">
        <v>60</v>
      </c>
      <c r="G20" t="s">
        <v>1935</v>
      </c>
      <c r="H20" t="s">
        <v>1987</v>
      </c>
      <c r="I20" t="s">
        <v>78</v>
      </c>
      <c r="J20" t="s">
        <v>1935</v>
      </c>
      <c r="K20" t="s">
        <v>1935</v>
      </c>
    </row>
    <row r="21" spans="1:11">
      <c r="A21" t="s">
        <v>24</v>
      </c>
      <c r="B21" t="s">
        <v>247</v>
      </c>
      <c r="C21" t="s">
        <v>1988</v>
      </c>
      <c r="D21" t="s">
        <v>1989</v>
      </c>
      <c r="E21" t="s">
        <v>1935</v>
      </c>
      <c r="F21" t="s">
        <v>60</v>
      </c>
      <c r="G21" t="s">
        <v>1935</v>
      </c>
      <c r="H21" t="s">
        <v>1478</v>
      </c>
      <c r="I21" t="s">
        <v>78</v>
      </c>
      <c r="J21" t="s">
        <v>1935</v>
      </c>
      <c r="K21" t="s">
        <v>1935</v>
      </c>
    </row>
    <row r="22" spans="1:11">
      <c r="A22" t="s">
        <v>24</v>
      </c>
      <c r="B22" t="s">
        <v>247</v>
      </c>
      <c r="C22" t="s">
        <v>1990</v>
      </c>
      <c r="D22" t="s">
        <v>1991</v>
      </c>
      <c r="E22" t="s">
        <v>1935</v>
      </c>
      <c r="F22" t="s">
        <v>60</v>
      </c>
      <c r="G22" t="s">
        <v>1935</v>
      </c>
      <c r="H22" t="s">
        <v>1992</v>
      </c>
      <c r="I22" t="s">
        <v>78</v>
      </c>
      <c r="J22" t="s">
        <v>1935</v>
      </c>
      <c r="K22" t="s">
        <v>1935</v>
      </c>
    </row>
    <row r="23" spans="1:11">
      <c r="A23" t="s">
        <v>24</v>
      </c>
      <c r="B23" t="s">
        <v>247</v>
      </c>
      <c r="C23" t="s">
        <v>1993</v>
      </c>
      <c r="D23" t="s">
        <v>1994</v>
      </c>
      <c r="E23" t="s">
        <v>1935</v>
      </c>
      <c r="F23" t="s">
        <v>60</v>
      </c>
      <c r="G23" t="s">
        <v>1935</v>
      </c>
      <c r="H23" t="s">
        <v>1995</v>
      </c>
      <c r="I23" t="s">
        <v>78</v>
      </c>
      <c r="J23" t="s">
        <v>1935</v>
      </c>
      <c r="K23" t="s">
        <v>1935</v>
      </c>
    </row>
    <row r="24" spans="1:11">
      <c r="A24" t="s">
        <v>24</v>
      </c>
      <c r="B24" t="s">
        <v>247</v>
      </c>
      <c r="C24" t="s">
        <v>1996</v>
      </c>
      <c r="D24" t="s">
        <v>1997</v>
      </c>
      <c r="E24" t="s">
        <v>1935</v>
      </c>
      <c r="F24" t="s">
        <v>60</v>
      </c>
      <c r="G24" t="s">
        <v>1935</v>
      </c>
      <c r="H24" t="s">
        <v>1998</v>
      </c>
      <c r="I24" t="s">
        <v>78</v>
      </c>
      <c r="J24" t="s">
        <v>1935</v>
      </c>
      <c r="K24" t="s">
        <v>1935</v>
      </c>
    </row>
    <row r="25" spans="1:11">
      <c r="A25" t="s">
        <v>24</v>
      </c>
      <c r="B25" t="s">
        <v>247</v>
      </c>
      <c r="C25" t="s">
        <v>1999</v>
      </c>
      <c r="D25" t="s">
        <v>2000</v>
      </c>
      <c r="E25" t="s">
        <v>1935</v>
      </c>
      <c r="F25" t="s">
        <v>60</v>
      </c>
      <c r="G25" t="s">
        <v>1935</v>
      </c>
      <c r="H25" t="s">
        <v>2001</v>
      </c>
      <c r="I25" t="s">
        <v>78</v>
      </c>
      <c r="J25" t="s">
        <v>1935</v>
      </c>
      <c r="K25" t="s">
        <v>1935</v>
      </c>
    </row>
    <row r="26" spans="1:11">
      <c r="A26" t="s">
        <v>24</v>
      </c>
      <c r="B26" t="s">
        <v>247</v>
      </c>
      <c r="C26" t="s">
        <v>2002</v>
      </c>
      <c r="D26" t="s">
        <v>2003</v>
      </c>
      <c r="E26" t="s">
        <v>1935</v>
      </c>
      <c r="F26" t="s">
        <v>60</v>
      </c>
      <c r="G26" t="s">
        <v>1935</v>
      </c>
      <c r="H26" t="s">
        <v>2004</v>
      </c>
      <c r="I26" t="s">
        <v>78</v>
      </c>
      <c r="J26" t="s">
        <v>1935</v>
      </c>
      <c r="K26" t="s">
        <v>1935</v>
      </c>
    </row>
    <row r="27" spans="1:11">
      <c r="A27" t="s">
        <v>24</v>
      </c>
      <c r="B27" t="s">
        <v>247</v>
      </c>
      <c r="C27" t="s">
        <v>2005</v>
      </c>
      <c r="D27" t="s">
        <v>2006</v>
      </c>
      <c r="E27" t="s">
        <v>1935</v>
      </c>
      <c r="F27" t="s">
        <v>60</v>
      </c>
      <c r="G27" t="s">
        <v>1935</v>
      </c>
      <c r="H27" t="s">
        <v>2007</v>
      </c>
      <c r="I27" t="s">
        <v>78</v>
      </c>
      <c r="J27" t="s">
        <v>1935</v>
      </c>
      <c r="K27" t="s">
        <v>1935</v>
      </c>
    </row>
    <row r="28" spans="1:11">
      <c r="A28" t="s">
        <v>24</v>
      </c>
      <c r="B28" t="s">
        <v>247</v>
      </c>
      <c r="C28" t="s">
        <v>2008</v>
      </c>
      <c r="D28" t="s">
        <v>2009</v>
      </c>
      <c r="E28" t="s">
        <v>1935</v>
      </c>
      <c r="F28" t="s">
        <v>60</v>
      </c>
      <c r="G28" t="s">
        <v>1935</v>
      </c>
      <c r="H28" t="s">
        <v>2010</v>
      </c>
      <c r="I28" t="s">
        <v>78</v>
      </c>
      <c r="J28" t="s">
        <v>1935</v>
      </c>
      <c r="K28" t="s">
        <v>1935</v>
      </c>
    </row>
    <row r="29" spans="1:11">
      <c r="A29" t="s">
        <v>24</v>
      </c>
      <c r="B29" t="s">
        <v>247</v>
      </c>
      <c r="C29" t="s">
        <v>2011</v>
      </c>
      <c r="D29" t="s">
        <v>2012</v>
      </c>
      <c r="E29" t="s">
        <v>1935</v>
      </c>
      <c r="F29" t="s">
        <v>60</v>
      </c>
      <c r="G29" t="s">
        <v>1935</v>
      </c>
      <c r="H29" t="s">
        <v>2013</v>
      </c>
      <c r="I29" t="s">
        <v>78</v>
      </c>
      <c r="J29" t="s">
        <v>1935</v>
      </c>
      <c r="K29" t="s">
        <v>1935</v>
      </c>
    </row>
    <row r="30" spans="1:11">
      <c r="A30" t="s">
        <v>24</v>
      </c>
      <c r="B30" t="s">
        <v>247</v>
      </c>
      <c r="C30" t="s">
        <v>2014</v>
      </c>
      <c r="D30" t="s">
        <v>2015</v>
      </c>
      <c r="E30" t="s">
        <v>1935</v>
      </c>
      <c r="F30" t="s">
        <v>60</v>
      </c>
      <c r="G30" t="s">
        <v>1935</v>
      </c>
      <c r="H30" t="s">
        <v>2016</v>
      </c>
      <c r="I30" t="s">
        <v>78</v>
      </c>
      <c r="J30" t="s">
        <v>1935</v>
      </c>
      <c r="K30" t="s">
        <v>1935</v>
      </c>
    </row>
    <row r="31" spans="1:11">
      <c r="A31" t="s">
        <v>24</v>
      </c>
      <c r="B31" t="s">
        <v>247</v>
      </c>
      <c r="C31" t="s">
        <v>2017</v>
      </c>
      <c r="D31" t="s">
        <v>2018</v>
      </c>
      <c r="E31" t="s">
        <v>1935</v>
      </c>
      <c r="F31" t="s">
        <v>60</v>
      </c>
      <c r="G31" t="s">
        <v>1935</v>
      </c>
      <c r="H31" t="s">
        <v>2019</v>
      </c>
      <c r="I31" t="s">
        <v>78</v>
      </c>
      <c r="J31" t="s">
        <v>1935</v>
      </c>
      <c r="K31" t="s">
        <v>1935</v>
      </c>
    </row>
    <row r="32" spans="1:11">
      <c r="A32" t="s">
        <v>24</v>
      </c>
      <c r="B32" t="s">
        <v>247</v>
      </c>
      <c r="C32" t="s">
        <v>2020</v>
      </c>
      <c r="D32" t="s">
        <v>2021</v>
      </c>
      <c r="E32" t="s">
        <v>1935</v>
      </c>
      <c r="F32" t="s">
        <v>60</v>
      </c>
      <c r="G32" t="s">
        <v>1935</v>
      </c>
      <c r="H32" t="s">
        <v>2022</v>
      </c>
      <c r="I32" t="s">
        <v>78</v>
      </c>
      <c r="J32" t="s">
        <v>1935</v>
      </c>
      <c r="K32" t="s">
        <v>1935</v>
      </c>
    </row>
    <row r="33" spans="1:11">
      <c r="A33" t="s">
        <v>24</v>
      </c>
      <c r="B33" t="s">
        <v>247</v>
      </c>
      <c r="C33" t="s">
        <v>2023</v>
      </c>
      <c r="D33" t="s">
        <v>2024</v>
      </c>
      <c r="E33" t="s">
        <v>1935</v>
      </c>
      <c r="F33" t="s">
        <v>60</v>
      </c>
      <c r="G33" t="s">
        <v>1935</v>
      </c>
      <c r="H33" t="s">
        <v>2025</v>
      </c>
      <c r="I33" t="s">
        <v>78</v>
      </c>
      <c r="J33" t="s">
        <v>1935</v>
      </c>
      <c r="K33" t="s">
        <v>1935</v>
      </c>
    </row>
    <row r="34" spans="1:11">
      <c r="A34" t="s">
        <v>24</v>
      </c>
      <c r="B34" t="s">
        <v>247</v>
      </c>
      <c r="C34" t="s">
        <v>2026</v>
      </c>
      <c r="D34" t="s">
        <v>2027</v>
      </c>
      <c r="E34" t="s">
        <v>1935</v>
      </c>
      <c r="F34" t="s">
        <v>60</v>
      </c>
      <c r="G34" t="s">
        <v>1935</v>
      </c>
      <c r="H34" t="s">
        <v>2028</v>
      </c>
      <c r="I34" t="s">
        <v>78</v>
      </c>
      <c r="J34" t="s">
        <v>1935</v>
      </c>
      <c r="K34" t="s">
        <v>1935</v>
      </c>
    </row>
    <row r="35" spans="1:11">
      <c r="A35" t="s">
        <v>24</v>
      </c>
      <c r="B35" t="s">
        <v>247</v>
      </c>
      <c r="C35" t="s">
        <v>2029</v>
      </c>
      <c r="D35" t="s">
        <v>2030</v>
      </c>
      <c r="E35" t="s">
        <v>1935</v>
      </c>
      <c r="F35" t="s">
        <v>60</v>
      </c>
      <c r="G35" t="s">
        <v>1935</v>
      </c>
      <c r="H35" t="s">
        <v>2986</v>
      </c>
      <c r="I35" t="s">
        <v>78</v>
      </c>
      <c r="J35" t="s">
        <v>1935</v>
      </c>
      <c r="K35" t="s">
        <v>1935</v>
      </c>
    </row>
    <row r="36" spans="1:11">
      <c r="A36" t="s">
        <v>24</v>
      </c>
      <c r="B36" t="s">
        <v>247</v>
      </c>
      <c r="C36" t="s">
        <v>2031</v>
      </c>
      <c r="D36" t="s">
        <v>2032</v>
      </c>
      <c r="E36" t="s">
        <v>1935</v>
      </c>
      <c r="F36" t="s">
        <v>60</v>
      </c>
      <c r="G36" t="s">
        <v>1935</v>
      </c>
      <c r="H36" t="s">
        <v>2984</v>
      </c>
      <c r="I36" t="s">
        <v>78</v>
      </c>
      <c r="J36" t="s">
        <v>1935</v>
      </c>
      <c r="K36" t="s">
        <v>1935</v>
      </c>
    </row>
    <row r="37" spans="1:11">
      <c r="A37" t="s">
        <v>24</v>
      </c>
      <c r="B37" t="s">
        <v>247</v>
      </c>
      <c r="C37" t="s">
        <v>2033</v>
      </c>
      <c r="D37" t="s">
        <v>2034</v>
      </c>
      <c r="E37" t="s">
        <v>1935</v>
      </c>
      <c r="F37" t="s">
        <v>60</v>
      </c>
      <c r="G37" t="s">
        <v>1935</v>
      </c>
      <c r="H37" t="s">
        <v>2035</v>
      </c>
      <c r="I37" t="s">
        <v>78</v>
      </c>
      <c r="J37" t="s">
        <v>1935</v>
      </c>
      <c r="K37" t="s">
        <v>1935</v>
      </c>
    </row>
    <row r="38" spans="1:11">
      <c r="A38" t="s">
        <v>24</v>
      </c>
      <c r="B38" t="s">
        <v>247</v>
      </c>
      <c r="C38" t="s">
        <v>2036</v>
      </c>
      <c r="D38" t="s">
        <v>2037</v>
      </c>
      <c r="E38" t="s">
        <v>1935</v>
      </c>
      <c r="F38" t="s">
        <v>60</v>
      </c>
      <c r="G38" t="s">
        <v>1935</v>
      </c>
      <c r="H38" t="s">
        <v>2038</v>
      </c>
      <c r="I38" t="s">
        <v>78</v>
      </c>
      <c r="J38" t="s">
        <v>1935</v>
      </c>
      <c r="K38" t="s">
        <v>1935</v>
      </c>
    </row>
    <row r="39" spans="1:11">
      <c r="A39" t="s">
        <v>24</v>
      </c>
      <c r="B39" t="s">
        <v>247</v>
      </c>
      <c r="C39" t="s">
        <v>2039</v>
      </c>
      <c r="D39" t="s">
        <v>2040</v>
      </c>
      <c r="E39" t="s">
        <v>1935</v>
      </c>
      <c r="F39" t="s">
        <v>60</v>
      </c>
      <c r="G39" t="s">
        <v>1935</v>
      </c>
      <c r="H39" t="s">
        <v>2038</v>
      </c>
      <c r="I39" t="s">
        <v>78</v>
      </c>
      <c r="J39" t="s">
        <v>1935</v>
      </c>
      <c r="K39" t="s">
        <v>1935</v>
      </c>
    </row>
    <row r="40" spans="1:11">
      <c r="A40" t="s">
        <v>24</v>
      </c>
      <c r="B40" t="s">
        <v>247</v>
      </c>
      <c r="C40" t="s">
        <v>2041</v>
      </c>
      <c r="D40" t="s">
        <v>2042</v>
      </c>
      <c r="E40" t="s">
        <v>1935</v>
      </c>
      <c r="F40" t="s">
        <v>60</v>
      </c>
      <c r="G40" t="s">
        <v>1935</v>
      </c>
      <c r="H40" t="s">
        <v>2043</v>
      </c>
      <c r="I40" t="s">
        <v>78</v>
      </c>
      <c r="J40" t="s">
        <v>1935</v>
      </c>
      <c r="K40" t="s">
        <v>1935</v>
      </c>
    </row>
    <row r="41" spans="1:11">
      <c r="A41" t="s">
        <v>24</v>
      </c>
      <c r="B41" t="s">
        <v>247</v>
      </c>
      <c r="C41" t="s">
        <v>2044</v>
      </c>
      <c r="D41" t="s">
        <v>2045</v>
      </c>
      <c r="E41" t="s">
        <v>1935</v>
      </c>
      <c r="F41" t="s">
        <v>60</v>
      </c>
      <c r="G41" t="s">
        <v>1935</v>
      </c>
      <c r="H41" t="s">
        <v>2046</v>
      </c>
      <c r="I41" t="s">
        <v>78</v>
      </c>
      <c r="J41" t="s">
        <v>1935</v>
      </c>
      <c r="K41" t="s">
        <v>1935</v>
      </c>
    </row>
    <row r="42" spans="1:11">
      <c r="A42" t="s">
        <v>24</v>
      </c>
      <c r="B42" t="s">
        <v>247</v>
      </c>
      <c r="C42" t="s">
        <v>2047</v>
      </c>
      <c r="D42" t="s">
        <v>2048</v>
      </c>
      <c r="E42" t="s">
        <v>1935</v>
      </c>
      <c r="F42" t="s">
        <v>60</v>
      </c>
      <c r="G42" t="s">
        <v>1935</v>
      </c>
      <c r="H42" s="104" t="s">
        <v>3927</v>
      </c>
      <c r="I42" t="s">
        <v>78</v>
      </c>
      <c r="J42" t="s">
        <v>1935</v>
      </c>
      <c r="K42" t="s">
        <v>1935</v>
      </c>
    </row>
    <row r="43" spans="1:11">
      <c r="A43" t="s">
        <v>24</v>
      </c>
      <c r="B43" t="s">
        <v>247</v>
      </c>
      <c r="C43" t="s">
        <v>1933</v>
      </c>
      <c r="D43" t="s">
        <v>1934</v>
      </c>
      <c r="E43" t="s">
        <v>1935</v>
      </c>
      <c r="F43" t="s">
        <v>60</v>
      </c>
      <c r="G43" t="s">
        <v>1935</v>
      </c>
      <c r="H43" s="104" t="s">
        <v>3932</v>
      </c>
      <c r="I43" t="s">
        <v>78</v>
      </c>
      <c r="J43" t="s">
        <v>1935</v>
      </c>
      <c r="K43" t="s">
        <v>1935</v>
      </c>
    </row>
    <row r="44" spans="1:11">
      <c r="A44" t="s">
        <v>24</v>
      </c>
      <c r="B44" t="s">
        <v>247</v>
      </c>
      <c r="C44" t="s">
        <v>1937</v>
      </c>
      <c r="D44" t="s">
        <v>1938</v>
      </c>
      <c r="E44" t="s">
        <v>1935</v>
      </c>
      <c r="F44" t="s">
        <v>60</v>
      </c>
      <c r="G44" t="s">
        <v>1935</v>
      </c>
      <c r="H44" t="s">
        <v>1939</v>
      </c>
      <c r="I44" t="s">
        <v>78</v>
      </c>
      <c r="J44" t="s">
        <v>1935</v>
      </c>
      <c r="K44" t="s">
        <v>1935</v>
      </c>
    </row>
    <row r="45" spans="1:11">
      <c r="A45" t="s">
        <v>24</v>
      </c>
      <c r="B45" t="s">
        <v>247</v>
      </c>
      <c r="C45" t="s">
        <v>1940</v>
      </c>
      <c r="D45" t="s">
        <v>1941</v>
      </c>
      <c r="E45" t="s">
        <v>1935</v>
      </c>
      <c r="F45" t="s">
        <v>60</v>
      </c>
      <c r="G45" t="s">
        <v>1935</v>
      </c>
      <c r="H45" t="s">
        <v>1478</v>
      </c>
      <c r="I45" t="s">
        <v>78</v>
      </c>
      <c r="J45" t="s">
        <v>1935</v>
      </c>
      <c r="K45" t="s">
        <v>1935</v>
      </c>
    </row>
    <row r="46" spans="1:11">
      <c r="A46" t="s">
        <v>24</v>
      </c>
      <c r="B46" t="s">
        <v>247</v>
      </c>
      <c r="C46" t="s">
        <v>1942</v>
      </c>
      <c r="D46" t="s">
        <v>1943</v>
      </c>
      <c r="E46" t="s">
        <v>1935</v>
      </c>
      <c r="F46" t="s">
        <v>60</v>
      </c>
      <c r="G46" t="s">
        <v>1935</v>
      </c>
      <c r="H46" t="s">
        <v>1944</v>
      </c>
      <c r="I46" t="s">
        <v>78</v>
      </c>
      <c r="J46" t="s">
        <v>1935</v>
      </c>
      <c r="K46" t="s">
        <v>1935</v>
      </c>
    </row>
    <row r="47" spans="1:11">
      <c r="A47" t="s">
        <v>24</v>
      </c>
      <c r="B47" t="s">
        <v>247</v>
      </c>
      <c r="C47" t="s">
        <v>1945</v>
      </c>
      <c r="D47" t="s">
        <v>1946</v>
      </c>
      <c r="E47" t="s">
        <v>1935</v>
      </c>
      <c r="F47" t="s">
        <v>60</v>
      </c>
      <c r="G47" t="s">
        <v>1935</v>
      </c>
      <c r="H47" t="s">
        <v>1947</v>
      </c>
      <c r="I47" t="s">
        <v>78</v>
      </c>
      <c r="J47" t="s">
        <v>1935</v>
      </c>
      <c r="K47" t="s">
        <v>1935</v>
      </c>
    </row>
    <row r="48" spans="1:11">
      <c r="A48" t="s">
        <v>24</v>
      </c>
      <c r="B48" t="s">
        <v>247</v>
      </c>
      <c r="C48" t="s">
        <v>1948</v>
      </c>
      <c r="D48" t="s">
        <v>1949</v>
      </c>
      <c r="E48" t="s">
        <v>1935</v>
      </c>
      <c r="F48" t="s">
        <v>60</v>
      </c>
      <c r="G48" t="s">
        <v>1935</v>
      </c>
      <c r="H48" t="s">
        <v>1950</v>
      </c>
      <c r="I48" t="s">
        <v>78</v>
      </c>
      <c r="J48" t="s">
        <v>1935</v>
      </c>
      <c r="K48" t="s">
        <v>1935</v>
      </c>
    </row>
    <row r="49" spans="1:11">
      <c r="A49" t="s">
        <v>24</v>
      </c>
      <c r="B49" t="s">
        <v>247</v>
      </c>
      <c r="C49" t="s">
        <v>1951</v>
      </c>
      <c r="D49" t="s">
        <v>1952</v>
      </c>
      <c r="E49" t="s">
        <v>1935</v>
      </c>
      <c r="F49" t="s">
        <v>60</v>
      </c>
      <c r="G49" t="s">
        <v>1935</v>
      </c>
      <c r="H49" t="s">
        <v>1953</v>
      </c>
      <c r="I49" t="s">
        <v>78</v>
      </c>
      <c r="J49" t="s">
        <v>1935</v>
      </c>
      <c r="K49" t="s">
        <v>1935</v>
      </c>
    </row>
    <row r="50" spans="1:11">
      <c r="A50" t="s">
        <v>24</v>
      </c>
      <c r="B50" t="s">
        <v>247</v>
      </c>
      <c r="C50" t="s">
        <v>1954</v>
      </c>
      <c r="D50" t="s">
        <v>1955</v>
      </c>
      <c r="E50" t="s">
        <v>1935</v>
      </c>
      <c r="F50" t="s">
        <v>60</v>
      </c>
      <c r="G50" t="s">
        <v>1935</v>
      </c>
      <c r="H50" t="s">
        <v>1956</v>
      </c>
      <c r="I50" t="s">
        <v>78</v>
      </c>
      <c r="J50" t="s">
        <v>1935</v>
      </c>
      <c r="K50" t="s">
        <v>1935</v>
      </c>
    </row>
    <row r="51" spans="1:11">
      <c r="A51" t="s">
        <v>24</v>
      </c>
      <c r="B51" t="s">
        <v>247</v>
      </c>
      <c r="C51" t="s">
        <v>1957</v>
      </c>
      <c r="D51" t="s">
        <v>1958</v>
      </c>
      <c r="E51" t="s">
        <v>1935</v>
      </c>
      <c r="F51" t="s">
        <v>60</v>
      </c>
      <c r="G51" t="s">
        <v>1935</v>
      </c>
      <c r="H51" t="s">
        <v>1959</v>
      </c>
      <c r="I51" t="s">
        <v>78</v>
      </c>
      <c r="J51" t="s">
        <v>1935</v>
      </c>
      <c r="K51" t="s">
        <v>1935</v>
      </c>
    </row>
    <row r="52" spans="1:11">
      <c r="A52" t="s">
        <v>24</v>
      </c>
      <c r="B52" t="s">
        <v>247</v>
      </c>
      <c r="C52" t="s">
        <v>1960</v>
      </c>
      <c r="D52" t="s">
        <v>1961</v>
      </c>
      <c r="E52" t="s">
        <v>1935</v>
      </c>
      <c r="F52" t="s">
        <v>60</v>
      </c>
      <c r="G52" t="s">
        <v>1935</v>
      </c>
      <c r="H52" t="s">
        <v>1962</v>
      </c>
      <c r="I52" t="s">
        <v>78</v>
      </c>
      <c r="J52" t="s">
        <v>1935</v>
      </c>
      <c r="K52" t="s">
        <v>1935</v>
      </c>
    </row>
    <row r="53" spans="1:11">
      <c r="A53" t="s">
        <v>24</v>
      </c>
      <c r="B53" t="s">
        <v>247</v>
      </c>
      <c r="C53" t="s">
        <v>1963</v>
      </c>
      <c r="D53" t="s">
        <v>1964</v>
      </c>
      <c r="E53" t="s">
        <v>1935</v>
      </c>
      <c r="F53" t="s">
        <v>60</v>
      </c>
      <c r="G53" t="s">
        <v>1935</v>
      </c>
      <c r="H53" t="s">
        <v>1965</v>
      </c>
      <c r="I53" t="s">
        <v>78</v>
      </c>
      <c r="J53" t="s">
        <v>1935</v>
      </c>
      <c r="K53" t="s">
        <v>1935</v>
      </c>
    </row>
    <row r="54" spans="1:11">
      <c r="A54" t="s">
        <v>24</v>
      </c>
      <c r="B54" t="s">
        <v>247</v>
      </c>
      <c r="C54" t="s">
        <v>1966</v>
      </c>
      <c r="D54" t="s">
        <v>1967</v>
      </c>
      <c r="E54" t="s">
        <v>1935</v>
      </c>
      <c r="F54" t="s">
        <v>60</v>
      </c>
      <c r="G54" t="s">
        <v>1935</v>
      </c>
      <c r="H54" t="s">
        <v>1968</v>
      </c>
      <c r="I54" t="s">
        <v>78</v>
      </c>
      <c r="J54" t="s">
        <v>1935</v>
      </c>
      <c r="K54" t="s">
        <v>1935</v>
      </c>
    </row>
    <row r="55" spans="1:11">
      <c r="A55" t="s">
        <v>24</v>
      </c>
      <c r="B55" t="s">
        <v>247</v>
      </c>
      <c r="C55" t="s">
        <v>1969</v>
      </c>
      <c r="D55" t="s">
        <v>1970</v>
      </c>
      <c r="E55" t="s">
        <v>1935</v>
      </c>
      <c r="F55" t="s">
        <v>60</v>
      </c>
      <c r="G55" t="s">
        <v>1935</v>
      </c>
      <c r="H55" t="s">
        <v>1971</v>
      </c>
      <c r="I55" t="s">
        <v>78</v>
      </c>
      <c r="J55" t="s">
        <v>1935</v>
      </c>
      <c r="K55" t="s">
        <v>1935</v>
      </c>
    </row>
    <row r="56" spans="1:11">
      <c r="A56" t="s">
        <v>24</v>
      </c>
      <c r="B56" t="s">
        <v>247</v>
      </c>
      <c r="C56" t="s">
        <v>1972</v>
      </c>
      <c r="D56" t="s">
        <v>1973</v>
      </c>
      <c r="E56" t="s">
        <v>1935</v>
      </c>
      <c r="F56" t="s">
        <v>60</v>
      </c>
      <c r="G56" t="s">
        <v>1935</v>
      </c>
      <c r="H56" t="s">
        <v>1974</v>
      </c>
      <c r="I56" t="s">
        <v>78</v>
      </c>
      <c r="J56" t="s">
        <v>1935</v>
      </c>
      <c r="K56" t="s">
        <v>1935</v>
      </c>
    </row>
    <row r="57" spans="1:11">
      <c r="A57" t="s">
        <v>24</v>
      </c>
      <c r="B57" t="s">
        <v>247</v>
      </c>
      <c r="C57" t="s">
        <v>1975</v>
      </c>
      <c r="D57" t="s">
        <v>1976</v>
      </c>
      <c r="E57" t="s">
        <v>1935</v>
      </c>
      <c r="F57" t="s">
        <v>60</v>
      </c>
      <c r="G57" t="s">
        <v>1935</v>
      </c>
      <c r="H57" t="s">
        <v>2984</v>
      </c>
      <c r="I57" t="s">
        <v>78</v>
      </c>
      <c r="J57" t="s">
        <v>1935</v>
      </c>
      <c r="K57" t="s">
        <v>1935</v>
      </c>
    </row>
    <row r="58" spans="1:11">
      <c r="A58" t="s">
        <v>24</v>
      </c>
      <c r="B58" t="s">
        <v>247</v>
      </c>
      <c r="C58" t="s">
        <v>1977</v>
      </c>
      <c r="D58" t="s">
        <v>1978</v>
      </c>
      <c r="E58" t="s">
        <v>1935</v>
      </c>
      <c r="F58" t="s">
        <v>60</v>
      </c>
      <c r="G58" t="s">
        <v>1935</v>
      </c>
      <c r="H58" t="s">
        <v>2985</v>
      </c>
      <c r="I58" t="s">
        <v>78</v>
      </c>
      <c r="J58" t="s">
        <v>1935</v>
      </c>
      <c r="K58" t="s">
        <v>1935</v>
      </c>
    </row>
    <row r="59" spans="1:11">
      <c r="A59" t="s">
        <v>24</v>
      </c>
      <c r="B59" t="s">
        <v>247</v>
      </c>
      <c r="C59" t="s">
        <v>1979</v>
      </c>
      <c r="D59" t="s">
        <v>1980</v>
      </c>
      <c r="E59" t="s">
        <v>1935</v>
      </c>
      <c r="F59" t="s">
        <v>60</v>
      </c>
      <c r="G59" t="s">
        <v>1935</v>
      </c>
      <c r="H59" t="s">
        <v>1981</v>
      </c>
      <c r="I59" t="s">
        <v>78</v>
      </c>
      <c r="J59" t="s">
        <v>1935</v>
      </c>
      <c r="K59" t="s">
        <v>1935</v>
      </c>
    </row>
    <row r="60" spans="1:11">
      <c r="A60" t="s">
        <v>24</v>
      </c>
      <c r="B60" t="s">
        <v>247</v>
      </c>
      <c r="C60" t="s">
        <v>1982</v>
      </c>
      <c r="D60" t="s">
        <v>1983</v>
      </c>
      <c r="E60" t="s">
        <v>1935</v>
      </c>
      <c r="F60" t="s">
        <v>60</v>
      </c>
      <c r="G60" t="s">
        <v>1935</v>
      </c>
      <c r="H60" t="s">
        <v>1984</v>
      </c>
      <c r="I60" t="s">
        <v>78</v>
      </c>
      <c r="J60" t="s">
        <v>1935</v>
      </c>
      <c r="K60" t="s">
        <v>1935</v>
      </c>
    </row>
    <row r="61" spans="1:11">
      <c r="A61" t="s">
        <v>24</v>
      </c>
      <c r="B61" t="s">
        <v>247</v>
      </c>
      <c r="C61" t="s">
        <v>1985</v>
      </c>
      <c r="D61" t="s">
        <v>1986</v>
      </c>
      <c r="E61" t="s">
        <v>1935</v>
      </c>
      <c r="F61" t="s">
        <v>60</v>
      </c>
      <c r="G61" t="s">
        <v>1935</v>
      </c>
      <c r="H61" t="s">
        <v>1987</v>
      </c>
      <c r="I61" t="s">
        <v>78</v>
      </c>
      <c r="J61" t="s">
        <v>1935</v>
      </c>
      <c r="K61" t="s">
        <v>1935</v>
      </c>
    </row>
    <row r="62" spans="1:11">
      <c r="A62" t="s">
        <v>24</v>
      </c>
      <c r="B62" t="s">
        <v>247</v>
      </c>
      <c r="C62" t="s">
        <v>1988</v>
      </c>
      <c r="D62" t="s">
        <v>1989</v>
      </c>
      <c r="E62" t="s">
        <v>1935</v>
      </c>
      <c r="F62" t="s">
        <v>60</v>
      </c>
      <c r="G62" t="s">
        <v>1935</v>
      </c>
      <c r="H62" t="s">
        <v>1478</v>
      </c>
      <c r="I62" t="s">
        <v>78</v>
      </c>
      <c r="J62" t="s">
        <v>1935</v>
      </c>
      <c r="K62" t="s">
        <v>1935</v>
      </c>
    </row>
    <row r="63" spans="1:11">
      <c r="A63" t="s">
        <v>24</v>
      </c>
      <c r="B63" t="s">
        <v>247</v>
      </c>
      <c r="C63" t="s">
        <v>1990</v>
      </c>
      <c r="D63" t="s">
        <v>1991</v>
      </c>
      <c r="E63" t="s">
        <v>1935</v>
      </c>
      <c r="F63" t="s">
        <v>60</v>
      </c>
      <c r="G63" t="s">
        <v>1935</v>
      </c>
      <c r="H63" t="s">
        <v>1992</v>
      </c>
      <c r="I63" t="s">
        <v>78</v>
      </c>
      <c r="J63" t="s">
        <v>1935</v>
      </c>
      <c r="K63" t="s">
        <v>1935</v>
      </c>
    </row>
    <row r="64" spans="1:11">
      <c r="A64" t="s">
        <v>24</v>
      </c>
      <c r="B64" t="s">
        <v>247</v>
      </c>
      <c r="C64" t="s">
        <v>1993</v>
      </c>
      <c r="D64" t="s">
        <v>1994</v>
      </c>
      <c r="E64" t="s">
        <v>1935</v>
      </c>
      <c r="F64" t="s">
        <v>60</v>
      </c>
      <c r="G64" t="s">
        <v>1935</v>
      </c>
      <c r="H64" t="s">
        <v>1995</v>
      </c>
      <c r="I64" t="s">
        <v>78</v>
      </c>
      <c r="J64" t="s">
        <v>1935</v>
      </c>
      <c r="K64" t="s">
        <v>1935</v>
      </c>
    </row>
    <row r="65" spans="1:11">
      <c r="A65" t="s">
        <v>24</v>
      </c>
      <c r="B65" t="s">
        <v>247</v>
      </c>
      <c r="C65" t="s">
        <v>1996</v>
      </c>
      <c r="D65" t="s">
        <v>1997</v>
      </c>
      <c r="E65" t="s">
        <v>1935</v>
      </c>
      <c r="F65" t="s">
        <v>60</v>
      </c>
      <c r="G65" t="s">
        <v>1935</v>
      </c>
      <c r="H65" t="s">
        <v>1998</v>
      </c>
      <c r="I65" t="s">
        <v>78</v>
      </c>
      <c r="J65" t="s">
        <v>1935</v>
      </c>
      <c r="K65" t="s">
        <v>1935</v>
      </c>
    </row>
    <row r="66" spans="1:11">
      <c r="A66" t="s">
        <v>24</v>
      </c>
      <c r="B66" t="s">
        <v>247</v>
      </c>
      <c r="C66" t="s">
        <v>1999</v>
      </c>
      <c r="D66" t="s">
        <v>2000</v>
      </c>
      <c r="E66" t="s">
        <v>1935</v>
      </c>
      <c r="F66" t="s">
        <v>60</v>
      </c>
      <c r="G66" t="s">
        <v>1935</v>
      </c>
      <c r="H66" t="s">
        <v>2001</v>
      </c>
      <c r="I66" t="s">
        <v>78</v>
      </c>
      <c r="J66" t="s">
        <v>1935</v>
      </c>
      <c r="K66" t="s">
        <v>1935</v>
      </c>
    </row>
    <row r="67" spans="1:11">
      <c r="A67" t="s">
        <v>24</v>
      </c>
      <c r="B67" t="s">
        <v>247</v>
      </c>
      <c r="C67" t="s">
        <v>2002</v>
      </c>
      <c r="D67" t="s">
        <v>2003</v>
      </c>
      <c r="E67" t="s">
        <v>1935</v>
      </c>
      <c r="F67" t="s">
        <v>60</v>
      </c>
      <c r="G67" t="s">
        <v>1935</v>
      </c>
      <c r="H67" t="s">
        <v>2004</v>
      </c>
      <c r="I67" t="s">
        <v>78</v>
      </c>
      <c r="J67" t="s">
        <v>1935</v>
      </c>
      <c r="K67" t="s">
        <v>1935</v>
      </c>
    </row>
    <row r="68" spans="1:11">
      <c r="A68" t="s">
        <v>24</v>
      </c>
      <c r="B68" t="s">
        <v>247</v>
      </c>
      <c r="C68" t="s">
        <v>2005</v>
      </c>
      <c r="D68" t="s">
        <v>2006</v>
      </c>
      <c r="E68" t="s">
        <v>1935</v>
      </c>
      <c r="F68" t="s">
        <v>60</v>
      </c>
      <c r="G68" t="s">
        <v>1935</v>
      </c>
      <c r="H68" t="s">
        <v>2007</v>
      </c>
      <c r="I68" t="s">
        <v>78</v>
      </c>
      <c r="J68" t="s">
        <v>1935</v>
      </c>
      <c r="K68" t="s">
        <v>1935</v>
      </c>
    </row>
    <row r="69" spans="1:11">
      <c r="A69" t="s">
        <v>24</v>
      </c>
      <c r="B69" t="s">
        <v>247</v>
      </c>
      <c r="C69" t="s">
        <v>2008</v>
      </c>
      <c r="D69" t="s">
        <v>2009</v>
      </c>
      <c r="E69" t="s">
        <v>1935</v>
      </c>
      <c r="F69" t="s">
        <v>60</v>
      </c>
      <c r="G69" t="s">
        <v>1935</v>
      </c>
      <c r="H69" t="s">
        <v>2010</v>
      </c>
      <c r="I69" t="s">
        <v>78</v>
      </c>
      <c r="J69" t="s">
        <v>1935</v>
      </c>
      <c r="K69" t="s">
        <v>1935</v>
      </c>
    </row>
    <row r="70" spans="1:11">
      <c r="A70" t="s">
        <v>24</v>
      </c>
      <c r="B70" t="s">
        <v>247</v>
      </c>
      <c r="C70" t="s">
        <v>2011</v>
      </c>
      <c r="D70" t="s">
        <v>2012</v>
      </c>
      <c r="E70" t="s">
        <v>1935</v>
      </c>
      <c r="F70" t="s">
        <v>60</v>
      </c>
      <c r="G70" t="s">
        <v>1935</v>
      </c>
      <c r="H70" t="s">
        <v>2013</v>
      </c>
      <c r="I70" t="s">
        <v>78</v>
      </c>
      <c r="J70" t="s">
        <v>1935</v>
      </c>
      <c r="K70" t="s">
        <v>1935</v>
      </c>
    </row>
    <row r="71" spans="1:11">
      <c r="A71" t="s">
        <v>24</v>
      </c>
      <c r="B71" t="s">
        <v>247</v>
      </c>
      <c r="C71" t="s">
        <v>2014</v>
      </c>
      <c r="D71" t="s">
        <v>2015</v>
      </c>
      <c r="E71" t="s">
        <v>1935</v>
      </c>
      <c r="F71" t="s">
        <v>60</v>
      </c>
      <c r="G71" t="s">
        <v>1935</v>
      </c>
      <c r="H71" t="s">
        <v>2016</v>
      </c>
      <c r="I71" t="s">
        <v>78</v>
      </c>
      <c r="J71" t="s">
        <v>1935</v>
      </c>
      <c r="K71" t="s">
        <v>1935</v>
      </c>
    </row>
    <row r="72" spans="1:11">
      <c r="A72" t="s">
        <v>24</v>
      </c>
      <c r="B72" t="s">
        <v>247</v>
      </c>
      <c r="C72" t="s">
        <v>2017</v>
      </c>
      <c r="D72" t="s">
        <v>2018</v>
      </c>
      <c r="E72" t="s">
        <v>1935</v>
      </c>
      <c r="F72" t="s">
        <v>60</v>
      </c>
      <c r="G72" t="s">
        <v>1935</v>
      </c>
      <c r="H72" t="s">
        <v>2019</v>
      </c>
      <c r="I72" t="s">
        <v>78</v>
      </c>
      <c r="J72" t="s">
        <v>1935</v>
      </c>
      <c r="K72" t="s">
        <v>1935</v>
      </c>
    </row>
    <row r="73" spans="1:11">
      <c r="A73" t="s">
        <v>24</v>
      </c>
      <c r="B73" t="s">
        <v>247</v>
      </c>
      <c r="C73" t="s">
        <v>2020</v>
      </c>
      <c r="D73" t="s">
        <v>2021</v>
      </c>
      <c r="E73" t="s">
        <v>1935</v>
      </c>
      <c r="F73" t="s">
        <v>60</v>
      </c>
      <c r="G73" t="s">
        <v>1935</v>
      </c>
      <c r="H73" t="s">
        <v>2022</v>
      </c>
      <c r="I73" t="s">
        <v>78</v>
      </c>
      <c r="J73" t="s">
        <v>1935</v>
      </c>
      <c r="K73" t="s">
        <v>1935</v>
      </c>
    </row>
    <row r="74" spans="1:11">
      <c r="A74" t="s">
        <v>24</v>
      </c>
      <c r="B74" t="s">
        <v>247</v>
      </c>
      <c r="C74" t="s">
        <v>2023</v>
      </c>
      <c r="D74" t="s">
        <v>2024</v>
      </c>
      <c r="E74" t="s">
        <v>1935</v>
      </c>
      <c r="F74" t="s">
        <v>60</v>
      </c>
      <c r="G74" t="s">
        <v>1935</v>
      </c>
      <c r="H74" t="s">
        <v>2025</v>
      </c>
      <c r="I74" t="s">
        <v>78</v>
      </c>
      <c r="J74" t="s">
        <v>1935</v>
      </c>
      <c r="K74" t="s">
        <v>1935</v>
      </c>
    </row>
    <row r="75" spans="1:11">
      <c r="A75" t="s">
        <v>24</v>
      </c>
      <c r="B75" t="s">
        <v>247</v>
      </c>
      <c r="C75" t="s">
        <v>2026</v>
      </c>
      <c r="D75" t="s">
        <v>2027</v>
      </c>
      <c r="E75" t="s">
        <v>1935</v>
      </c>
      <c r="F75" t="s">
        <v>60</v>
      </c>
      <c r="G75" t="s">
        <v>1935</v>
      </c>
      <c r="H75" t="s">
        <v>2028</v>
      </c>
      <c r="I75" t="s">
        <v>78</v>
      </c>
      <c r="J75" t="s">
        <v>1935</v>
      </c>
      <c r="K75" t="s">
        <v>1935</v>
      </c>
    </row>
    <row r="76" spans="1:11">
      <c r="A76" t="s">
        <v>24</v>
      </c>
      <c r="B76" t="s">
        <v>247</v>
      </c>
      <c r="C76" t="s">
        <v>2029</v>
      </c>
      <c r="D76" t="s">
        <v>2030</v>
      </c>
      <c r="E76" t="s">
        <v>1935</v>
      </c>
      <c r="F76" t="s">
        <v>60</v>
      </c>
      <c r="G76" t="s">
        <v>1935</v>
      </c>
      <c r="H76" t="s">
        <v>2986</v>
      </c>
      <c r="I76" t="s">
        <v>78</v>
      </c>
      <c r="J76" t="s">
        <v>1935</v>
      </c>
      <c r="K76" t="s">
        <v>1935</v>
      </c>
    </row>
    <row r="77" spans="1:11">
      <c r="A77" t="s">
        <v>24</v>
      </c>
      <c r="B77" t="s">
        <v>247</v>
      </c>
      <c r="C77" t="s">
        <v>2031</v>
      </c>
      <c r="D77" t="s">
        <v>2032</v>
      </c>
      <c r="E77" t="s">
        <v>1935</v>
      </c>
      <c r="F77" t="s">
        <v>60</v>
      </c>
      <c r="G77" t="s">
        <v>1935</v>
      </c>
      <c r="H77" t="s">
        <v>2984</v>
      </c>
      <c r="I77" t="s">
        <v>78</v>
      </c>
      <c r="J77" t="s">
        <v>1935</v>
      </c>
      <c r="K77" t="s">
        <v>1935</v>
      </c>
    </row>
    <row r="78" spans="1:11">
      <c r="A78" t="s">
        <v>24</v>
      </c>
      <c r="B78" t="s">
        <v>247</v>
      </c>
      <c r="C78" t="s">
        <v>2033</v>
      </c>
      <c r="D78" t="s">
        <v>2034</v>
      </c>
      <c r="E78" t="s">
        <v>1935</v>
      </c>
      <c r="F78" t="s">
        <v>60</v>
      </c>
      <c r="G78" t="s">
        <v>1935</v>
      </c>
      <c r="H78" t="s">
        <v>2035</v>
      </c>
      <c r="I78" t="s">
        <v>78</v>
      </c>
      <c r="J78" t="s">
        <v>1935</v>
      </c>
      <c r="K78" t="s">
        <v>1935</v>
      </c>
    </row>
    <row r="79" spans="1:11">
      <c r="A79" t="s">
        <v>24</v>
      </c>
      <c r="B79" t="s">
        <v>247</v>
      </c>
      <c r="C79" t="s">
        <v>2036</v>
      </c>
      <c r="D79" t="s">
        <v>2037</v>
      </c>
      <c r="E79" t="s">
        <v>1935</v>
      </c>
      <c r="F79" t="s">
        <v>60</v>
      </c>
      <c r="G79" t="s">
        <v>1935</v>
      </c>
      <c r="H79" t="s">
        <v>2038</v>
      </c>
      <c r="I79" t="s">
        <v>78</v>
      </c>
      <c r="J79" t="s">
        <v>1935</v>
      </c>
      <c r="K79" t="s">
        <v>1935</v>
      </c>
    </row>
    <row r="80" spans="1:11">
      <c r="A80" t="s">
        <v>24</v>
      </c>
      <c r="B80" t="s">
        <v>247</v>
      </c>
      <c r="C80" t="s">
        <v>2039</v>
      </c>
      <c r="D80" t="s">
        <v>2040</v>
      </c>
      <c r="E80" t="s">
        <v>1935</v>
      </c>
      <c r="F80" t="s">
        <v>60</v>
      </c>
      <c r="G80" t="s">
        <v>1935</v>
      </c>
      <c r="H80" t="s">
        <v>2038</v>
      </c>
      <c r="I80" t="s">
        <v>78</v>
      </c>
      <c r="J80" t="s">
        <v>1935</v>
      </c>
      <c r="K80" t="s">
        <v>1935</v>
      </c>
    </row>
    <row r="81" spans="1:11">
      <c r="A81" t="s">
        <v>24</v>
      </c>
      <c r="B81" t="s">
        <v>247</v>
      </c>
      <c r="C81" t="s">
        <v>2041</v>
      </c>
      <c r="D81" t="s">
        <v>2042</v>
      </c>
      <c r="E81" t="s">
        <v>1935</v>
      </c>
      <c r="F81" t="s">
        <v>60</v>
      </c>
      <c r="G81" t="s">
        <v>1935</v>
      </c>
      <c r="H81" t="s">
        <v>2043</v>
      </c>
      <c r="I81" t="s">
        <v>78</v>
      </c>
      <c r="J81" t="s">
        <v>1935</v>
      </c>
      <c r="K81" t="s">
        <v>1935</v>
      </c>
    </row>
    <row r="82" spans="1:11">
      <c r="A82" t="s">
        <v>24</v>
      </c>
      <c r="B82" t="s">
        <v>247</v>
      </c>
      <c r="C82" t="s">
        <v>2044</v>
      </c>
      <c r="D82" t="s">
        <v>2045</v>
      </c>
      <c r="E82" t="s">
        <v>1935</v>
      </c>
      <c r="F82" t="s">
        <v>60</v>
      </c>
      <c r="G82" t="s">
        <v>1935</v>
      </c>
      <c r="H82" t="s">
        <v>2046</v>
      </c>
      <c r="I82" t="s">
        <v>78</v>
      </c>
      <c r="J82" t="s">
        <v>1935</v>
      </c>
      <c r="K82" t="s">
        <v>1935</v>
      </c>
    </row>
    <row r="83" spans="1:11">
      <c r="A83" t="s">
        <v>24</v>
      </c>
      <c r="B83" t="s">
        <v>247</v>
      </c>
      <c r="C83" t="s">
        <v>2047</v>
      </c>
      <c r="D83" t="s">
        <v>2048</v>
      </c>
      <c r="E83" t="s">
        <v>1935</v>
      </c>
      <c r="F83" t="s">
        <v>60</v>
      </c>
      <c r="G83" t="s">
        <v>1935</v>
      </c>
      <c r="H83" t="s">
        <v>3927</v>
      </c>
      <c r="I83" t="s">
        <v>78</v>
      </c>
      <c r="J83" t="s">
        <v>1935</v>
      </c>
      <c r="K83" t="s">
        <v>1935</v>
      </c>
    </row>
    <row r="84" spans="1:11">
      <c r="A84" t="s">
        <v>17</v>
      </c>
      <c r="B84" t="s">
        <v>304</v>
      </c>
      <c r="C84" t="s">
        <v>2049</v>
      </c>
      <c r="D84" t="s">
        <v>1312</v>
      </c>
      <c r="E84" t="s">
        <v>1935</v>
      </c>
      <c r="F84" t="s">
        <v>54</v>
      </c>
      <c r="G84" t="s">
        <v>1935</v>
      </c>
      <c r="H84" t="s">
        <v>1935</v>
      </c>
      <c r="I84" t="s">
        <v>1935</v>
      </c>
      <c r="J84" t="s">
        <v>1935</v>
      </c>
      <c r="K84" t="s">
        <v>1311</v>
      </c>
    </row>
    <row r="85" spans="1:11">
      <c r="A85" t="s">
        <v>17</v>
      </c>
      <c r="B85" t="s">
        <v>304</v>
      </c>
      <c r="C85" t="s">
        <v>2050</v>
      </c>
      <c r="D85" t="s">
        <v>1313</v>
      </c>
      <c r="E85" t="s">
        <v>1935</v>
      </c>
      <c r="F85" t="s">
        <v>54</v>
      </c>
      <c r="G85" t="s">
        <v>1935</v>
      </c>
      <c r="H85" t="s">
        <v>1935</v>
      </c>
      <c r="I85" t="s">
        <v>1935</v>
      </c>
      <c r="J85" t="s">
        <v>1935</v>
      </c>
      <c r="K85" t="s">
        <v>1311</v>
      </c>
    </row>
    <row r="86" spans="1:11">
      <c r="A86" t="s">
        <v>17</v>
      </c>
      <c r="B86" t="s">
        <v>304</v>
      </c>
      <c r="C86" t="s">
        <v>2051</v>
      </c>
      <c r="D86" t="s">
        <v>1314</v>
      </c>
      <c r="E86" t="s">
        <v>1935</v>
      </c>
      <c r="F86" t="s">
        <v>54</v>
      </c>
      <c r="G86" t="s">
        <v>1935</v>
      </c>
      <c r="H86" t="s">
        <v>1935</v>
      </c>
      <c r="I86" t="s">
        <v>1935</v>
      </c>
      <c r="J86" t="s">
        <v>1935</v>
      </c>
      <c r="K86" t="s">
        <v>1311</v>
      </c>
    </row>
    <row r="87" spans="1:11">
      <c r="A87" t="s">
        <v>17</v>
      </c>
      <c r="B87" t="s">
        <v>304</v>
      </c>
      <c r="C87" t="s">
        <v>2052</v>
      </c>
      <c r="D87" t="s">
        <v>1315</v>
      </c>
      <c r="E87" t="s">
        <v>1935</v>
      </c>
      <c r="F87" t="s">
        <v>54</v>
      </c>
      <c r="G87" t="s">
        <v>1935</v>
      </c>
      <c r="H87" t="s">
        <v>1935</v>
      </c>
      <c r="I87" t="s">
        <v>1935</v>
      </c>
      <c r="J87" t="s">
        <v>1935</v>
      </c>
      <c r="K87" t="s">
        <v>1311</v>
      </c>
    </row>
    <row r="88" spans="1:11">
      <c r="A88" t="s">
        <v>17</v>
      </c>
      <c r="B88" t="s">
        <v>304</v>
      </c>
      <c r="C88" t="s">
        <v>2053</v>
      </c>
      <c r="D88" t="s">
        <v>2054</v>
      </c>
      <c r="E88" t="s">
        <v>1935</v>
      </c>
      <c r="F88" t="s">
        <v>54</v>
      </c>
      <c r="G88" t="s">
        <v>1935</v>
      </c>
      <c r="H88" t="s">
        <v>1935</v>
      </c>
      <c r="I88" t="s">
        <v>1935</v>
      </c>
      <c r="J88" t="s">
        <v>1935</v>
      </c>
      <c r="K88" t="s">
        <v>1317</v>
      </c>
    </row>
    <row r="89" spans="1:11">
      <c r="A89" t="s">
        <v>17</v>
      </c>
      <c r="B89" t="s">
        <v>304</v>
      </c>
      <c r="C89" t="s">
        <v>2055</v>
      </c>
      <c r="D89" t="s">
        <v>2056</v>
      </c>
      <c r="E89" t="s">
        <v>1935</v>
      </c>
      <c r="F89" t="s">
        <v>54</v>
      </c>
      <c r="G89" t="s">
        <v>1935</v>
      </c>
      <c r="H89" t="s">
        <v>1935</v>
      </c>
      <c r="I89" t="s">
        <v>1935</v>
      </c>
      <c r="J89" t="s">
        <v>1935</v>
      </c>
      <c r="K89" t="s">
        <v>1286</v>
      </c>
    </row>
    <row r="90" spans="1:11">
      <c r="A90" t="s">
        <v>17</v>
      </c>
      <c r="B90" t="s">
        <v>304</v>
      </c>
      <c r="C90" t="s">
        <v>2057</v>
      </c>
      <c r="D90" t="s">
        <v>2058</v>
      </c>
      <c r="E90" t="s">
        <v>1935</v>
      </c>
      <c r="F90" t="s">
        <v>54</v>
      </c>
      <c r="G90" t="s">
        <v>1935</v>
      </c>
      <c r="H90" t="s">
        <v>1935</v>
      </c>
      <c r="I90" t="s">
        <v>1935</v>
      </c>
      <c r="J90" t="s">
        <v>1935</v>
      </c>
      <c r="K90" t="s">
        <v>1286</v>
      </c>
    </row>
    <row r="91" spans="1:11">
      <c r="A91" t="s">
        <v>17</v>
      </c>
      <c r="B91" t="s">
        <v>304</v>
      </c>
      <c r="C91" t="s">
        <v>2059</v>
      </c>
      <c r="D91" t="s">
        <v>1316</v>
      </c>
      <c r="E91" t="s">
        <v>1935</v>
      </c>
      <c r="F91" t="s">
        <v>54</v>
      </c>
      <c r="G91" t="s">
        <v>1935</v>
      </c>
      <c r="H91" t="s">
        <v>1935</v>
      </c>
      <c r="I91" t="s">
        <v>1935</v>
      </c>
      <c r="J91" t="s">
        <v>1935</v>
      </c>
      <c r="K91" t="s">
        <v>1311</v>
      </c>
    </row>
    <row r="92" spans="1:11">
      <c r="A92" t="s">
        <v>17</v>
      </c>
      <c r="B92" t="s">
        <v>304</v>
      </c>
      <c r="C92" t="s">
        <v>2060</v>
      </c>
      <c r="D92" t="s">
        <v>2061</v>
      </c>
      <c r="E92" t="s">
        <v>1935</v>
      </c>
      <c r="F92" t="s">
        <v>54</v>
      </c>
      <c r="G92" t="s">
        <v>1935</v>
      </c>
      <c r="H92" t="s">
        <v>1935</v>
      </c>
      <c r="I92" t="s">
        <v>1935</v>
      </c>
      <c r="J92" t="s">
        <v>1935</v>
      </c>
      <c r="K92" t="s">
        <v>1286</v>
      </c>
    </row>
    <row r="93" spans="1:11">
      <c r="A93" t="s">
        <v>17</v>
      </c>
      <c r="B93" t="s">
        <v>304</v>
      </c>
      <c r="C93" t="s">
        <v>2062</v>
      </c>
      <c r="D93" t="s">
        <v>2063</v>
      </c>
      <c r="E93" t="s">
        <v>1935</v>
      </c>
      <c r="F93" t="s">
        <v>54</v>
      </c>
      <c r="G93" t="s">
        <v>1935</v>
      </c>
      <c r="H93" t="s">
        <v>1935</v>
      </c>
      <c r="I93" t="s">
        <v>1935</v>
      </c>
      <c r="J93" t="s">
        <v>1935</v>
      </c>
      <c r="K93" t="s">
        <v>1286</v>
      </c>
    </row>
    <row r="94" spans="1:11">
      <c r="A94" t="s">
        <v>17</v>
      </c>
      <c r="B94" t="s">
        <v>304</v>
      </c>
      <c r="C94" t="s">
        <v>2064</v>
      </c>
      <c r="D94" t="s">
        <v>1318</v>
      </c>
      <c r="E94" t="s">
        <v>1935</v>
      </c>
      <c r="F94" t="s">
        <v>54</v>
      </c>
      <c r="G94" t="s">
        <v>1935</v>
      </c>
      <c r="H94" t="s">
        <v>1935</v>
      </c>
      <c r="I94" t="s">
        <v>1935</v>
      </c>
      <c r="J94" t="s">
        <v>1935</v>
      </c>
      <c r="K94" t="s">
        <v>1286</v>
      </c>
    </row>
    <row r="95" spans="1:11">
      <c r="A95" t="s">
        <v>17</v>
      </c>
      <c r="B95" t="s">
        <v>304</v>
      </c>
      <c r="C95" t="s">
        <v>2065</v>
      </c>
      <c r="D95" t="s">
        <v>1319</v>
      </c>
      <c r="E95" t="s">
        <v>1935</v>
      </c>
      <c r="F95" t="s">
        <v>54</v>
      </c>
      <c r="G95" t="s">
        <v>1935</v>
      </c>
      <c r="H95" t="s">
        <v>1935</v>
      </c>
      <c r="I95" t="s">
        <v>1935</v>
      </c>
      <c r="J95" t="s">
        <v>1935</v>
      </c>
      <c r="K95" t="s">
        <v>1288</v>
      </c>
    </row>
    <row r="96" spans="1:11">
      <c r="A96" t="s">
        <v>17</v>
      </c>
      <c r="B96" t="s">
        <v>304</v>
      </c>
      <c r="C96" t="s">
        <v>2066</v>
      </c>
      <c r="D96" t="s">
        <v>1320</v>
      </c>
      <c r="E96" t="s">
        <v>1935</v>
      </c>
      <c r="F96" t="s">
        <v>54</v>
      </c>
      <c r="G96" t="s">
        <v>1935</v>
      </c>
      <c r="H96" t="s">
        <v>1935</v>
      </c>
      <c r="I96" t="s">
        <v>1935</v>
      </c>
      <c r="J96" t="s">
        <v>1935</v>
      </c>
      <c r="K96" t="s">
        <v>1288</v>
      </c>
    </row>
    <row r="97" spans="1:11">
      <c r="A97" t="s">
        <v>17</v>
      </c>
      <c r="B97" t="s">
        <v>304</v>
      </c>
      <c r="C97" t="s">
        <v>2067</v>
      </c>
      <c r="D97" t="s">
        <v>1469</v>
      </c>
      <c r="E97" t="s">
        <v>1935</v>
      </c>
      <c r="F97" t="s">
        <v>54</v>
      </c>
      <c r="G97" t="s">
        <v>1935</v>
      </c>
      <c r="H97" t="s">
        <v>1935</v>
      </c>
      <c r="I97" t="s">
        <v>1935</v>
      </c>
      <c r="J97" t="s">
        <v>1935</v>
      </c>
      <c r="K97" t="s">
        <v>1286</v>
      </c>
    </row>
    <row r="98" spans="1:11">
      <c r="A98" t="s">
        <v>17</v>
      </c>
      <c r="B98" t="s">
        <v>304</v>
      </c>
      <c r="C98" t="s">
        <v>2068</v>
      </c>
      <c r="D98" t="s">
        <v>1321</v>
      </c>
      <c r="E98" t="s">
        <v>1935</v>
      </c>
      <c r="F98" t="s">
        <v>54</v>
      </c>
      <c r="G98" t="s">
        <v>1935</v>
      </c>
      <c r="H98" t="s">
        <v>1935</v>
      </c>
      <c r="I98" t="s">
        <v>1935</v>
      </c>
      <c r="J98" t="s">
        <v>1935</v>
      </c>
      <c r="K98" t="s">
        <v>1288</v>
      </c>
    </row>
    <row r="99" spans="1:11">
      <c r="A99" t="s">
        <v>17</v>
      </c>
      <c r="B99" t="s">
        <v>304</v>
      </c>
      <c r="C99" t="s">
        <v>2069</v>
      </c>
      <c r="D99" t="s">
        <v>1322</v>
      </c>
      <c r="E99" t="s">
        <v>1935</v>
      </c>
      <c r="F99" t="s">
        <v>54</v>
      </c>
      <c r="G99" t="s">
        <v>1935</v>
      </c>
      <c r="H99" t="s">
        <v>1935</v>
      </c>
      <c r="I99" t="s">
        <v>1935</v>
      </c>
      <c r="J99" t="s">
        <v>1935</v>
      </c>
      <c r="K99" t="s">
        <v>1288</v>
      </c>
    </row>
    <row r="100" spans="1:11">
      <c r="A100" t="s">
        <v>17</v>
      </c>
      <c r="B100" t="s">
        <v>304</v>
      </c>
      <c r="C100" t="s">
        <v>2070</v>
      </c>
      <c r="D100" t="s">
        <v>1323</v>
      </c>
      <c r="E100" t="s">
        <v>1935</v>
      </c>
      <c r="F100" t="s">
        <v>54</v>
      </c>
      <c r="G100" t="s">
        <v>1935</v>
      </c>
      <c r="H100" t="s">
        <v>1935</v>
      </c>
      <c r="I100" t="s">
        <v>1935</v>
      </c>
      <c r="J100" t="s">
        <v>1935</v>
      </c>
      <c r="K100" t="s">
        <v>1288</v>
      </c>
    </row>
    <row r="101" spans="1:11">
      <c r="A101" t="s">
        <v>17</v>
      </c>
      <c r="B101" t="s">
        <v>304</v>
      </c>
      <c r="C101" t="s">
        <v>2071</v>
      </c>
      <c r="D101" t="s">
        <v>2072</v>
      </c>
      <c r="E101" t="s">
        <v>1935</v>
      </c>
      <c r="F101" t="s">
        <v>54</v>
      </c>
      <c r="G101" t="s">
        <v>1935</v>
      </c>
      <c r="H101" t="s">
        <v>1935</v>
      </c>
      <c r="I101" t="s">
        <v>1935</v>
      </c>
      <c r="J101" t="s">
        <v>1935</v>
      </c>
      <c r="K101" t="s">
        <v>1288</v>
      </c>
    </row>
    <row r="102" spans="1:11">
      <c r="A102" t="s">
        <v>17</v>
      </c>
      <c r="B102" t="s">
        <v>304</v>
      </c>
      <c r="C102" t="s">
        <v>2073</v>
      </c>
      <c r="D102" t="s">
        <v>1324</v>
      </c>
      <c r="E102" t="s">
        <v>1935</v>
      </c>
      <c r="F102" t="s">
        <v>54</v>
      </c>
      <c r="G102" t="s">
        <v>1935</v>
      </c>
      <c r="H102" t="s">
        <v>1935</v>
      </c>
      <c r="I102" t="s">
        <v>1935</v>
      </c>
      <c r="J102" t="s">
        <v>1935</v>
      </c>
      <c r="K102" t="s">
        <v>1288</v>
      </c>
    </row>
    <row r="103" spans="1:11">
      <c r="A103" t="s">
        <v>17</v>
      </c>
      <c r="B103" t="s">
        <v>304</v>
      </c>
      <c r="C103" t="s">
        <v>2074</v>
      </c>
      <c r="D103" t="s">
        <v>2075</v>
      </c>
      <c r="E103" t="s">
        <v>1935</v>
      </c>
      <c r="F103" t="s">
        <v>54</v>
      </c>
      <c r="G103" t="s">
        <v>1935</v>
      </c>
      <c r="H103" t="s">
        <v>1935</v>
      </c>
      <c r="I103" t="s">
        <v>1935</v>
      </c>
      <c r="J103" t="s">
        <v>1935</v>
      </c>
      <c r="K103" t="s">
        <v>1288</v>
      </c>
    </row>
    <row r="104" spans="1:11">
      <c r="A104" t="s">
        <v>17</v>
      </c>
      <c r="B104" t="s">
        <v>304</v>
      </c>
      <c r="C104" t="s">
        <v>2076</v>
      </c>
      <c r="D104" t="s">
        <v>2077</v>
      </c>
      <c r="E104" t="s">
        <v>1935</v>
      </c>
      <c r="F104" t="s">
        <v>54</v>
      </c>
      <c r="G104" t="s">
        <v>1935</v>
      </c>
      <c r="H104" t="s">
        <v>1935</v>
      </c>
      <c r="I104" t="s">
        <v>1935</v>
      </c>
      <c r="J104" t="s">
        <v>1935</v>
      </c>
      <c r="K104" t="s">
        <v>1288</v>
      </c>
    </row>
    <row r="105" spans="1:11">
      <c r="A105" t="s">
        <v>17</v>
      </c>
      <c r="B105" t="s">
        <v>304</v>
      </c>
      <c r="C105" t="s">
        <v>2078</v>
      </c>
      <c r="D105" t="s">
        <v>1325</v>
      </c>
      <c r="E105" t="s">
        <v>1935</v>
      </c>
      <c r="F105" t="s">
        <v>54</v>
      </c>
      <c r="G105" t="s">
        <v>1935</v>
      </c>
      <c r="H105" t="s">
        <v>1935</v>
      </c>
      <c r="I105" t="s">
        <v>1935</v>
      </c>
      <c r="J105" t="s">
        <v>1935</v>
      </c>
      <c r="K105" t="s">
        <v>1288</v>
      </c>
    </row>
    <row r="106" spans="1:11">
      <c r="A106" t="s">
        <v>17</v>
      </c>
      <c r="B106" t="s">
        <v>304</v>
      </c>
      <c r="C106" t="s">
        <v>2079</v>
      </c>
      <c r="D106" t="s">
        <v>1326</v>
      </c>
      <c r="E106" t="s">
        <v>1935</v>
      </c>
      <c r="F106" t="s">
        <v>54</v>
      </c>
      <c r="G106" t="s">
        <v>1935</v>
      </c>
      <c r="H106" t="s">
        <v>1935</v>
      </c>
      <c r="I106" t="s">
        <v>1935</v>
      </c>
      <c r="J106" t="s">
        <v>1935</v>
      </c>
      <c r="K106" t="s">
        <v>1288</v>
      </c>
    </row>
    <row r="107" spans="1:11">
      <c r="A107" t="s">
        <v>17</v>
      </c>
      <c r="B107" t="s">
        <v>304</v>
      </c>
      <c r="C107" t="s">
        <v>2080</v>
      </c>
      <c r="D107" t="s">
        <v>2081</v>
      </c>
      <c r="E107" t="s">
        <v>1935</v>
      </c>
      <c r="F107" t="s">
        <v>54</v>
      </c>
      <c r="G107" t="s">
        <v>1935</v>
      </c>
      <c r="H107" t="s">
        <v>1935</v>
      </c>
      <c r="I107" t="s">
        <v>1935</v>
      </c>
      <c r="J107" t="s">
        <v>1935</v>
      </c>
      <c r="K107" t="s">
        <v>1289</v>
      </c>
    </row>
    <row r="108" spans="1:11">
      <c r="A108" t="s">
        <v>17</v>
      </c>
      <c r="B108" t="s">
        <v>304</v>
      </c>
      <c r="C108" t="s">
        <v>2082</v>
      </c>
      <c r="D108" t="s">
        <v>1327</v>
      </c>
      <c r="E108" t="s">
        <v>1935</v>
      </c>
      <c r="F108" t="s">
        <v>54</v>
      </c>
      <c r="G108" t="s">
        <v>1935</v>
      </c>
      <c r="H108" t="s">
        <v>1935</v>
      </c>
      <c r="I108" t="s">
        <v>1935</v>
      </c>
      <c r="J108" t="s">
        <v>1935</v>
      </c>
      <c r="K108" t="s">
        <v>1289</v>
      </c>
    </row>
    <row r="109" spans="1:11">
      <c r="A109" t="s">
        <v>17</v>
      </c>
      <c r="B109" t="s">
        <v>304</v>
      </c>
      <c r="C109" t="s">
        <v>2083</v>
      </c>
      <c r="D109" t="s">
        <v>2084</v>
      </c>
      <c r="E109" t="s">
        <v>1935</v>
      </c>
      <c r="F109" t="s">
        <v>54</v>
      </c>
      <c r="G109" t="s">
        <v>1935</v>
      </c>
      <c r="H109" t="s">
        <v>1935</v>
      </c>
      <c r="I109" t="s">
        <v>1935</v>
      </c>
      <c r="J109" t="s">
        <v>1935</v>
      </c>
      <c r="K109" t="s">
        <v>1289</v>
      </c>
    </row>
    <row r="110" spans="1:11">
      <c r="A110" t="s">
        <v>17</v>
      </c>
      <c r="B110" t="s">
        <v>304</v>
      </c>
      <c r="C110" t="s">
        <v>2085</v>
      </c>
      <c r="D110" t="s">
        <v>1328</v>
      </c>
      <c r="E110" t="s">
        <v>1935</v>
      </c>
      <c r="F110" t="s">
        <v>54</v>
      </c>
      <c r="G110" t="s">
        <v>1935</v>
      </c>
      <c r="H110" t="s">
        <v>1935</v>
      </c>
      <c r="I110" t="s">
        <v>1935</v>
      </c>
      <c r="J110" t="s">
        <v>1935</v>
      </c>
      <c r="K110" t="s">
        <v>1289</v>
      </c>
    </row>
    <row r="111" spans="1:11">
      <c r="A111" t="s">
        <v>17</v>
      </c>
      <c r="B111" t="s">
        <v>304</v>
      </c>
      <c r="C111" t="s">
        <v>2086</v>
      </c>
      <c r="D111" t="s">
        <v>2087</v>
      </c>
      <c r="E111" t="s">
        <v>1935</v>
      </c>
      <c r="F111" t="s">
        <v>54</v>
      </c>
      <c r="G111" t="s">
        <v>1935</v>
      </c>
      <c r="H111" t="s">
        <v>1935</v>
      </c>
      <c r="I111" t="s">
        <v>1935</v>
      </c>
      <c r="J111" t="s">
        <v>1935</v>
      </c>
      <c r="K111" t="s">
        <v>1289</v>
      </c>
    </row>
    <row r="112" spans="1:11">
      <c r="A112" t="s">
        <v>17</v>
      </c>
      <c r="B112" t="s">
        <v>304</v>
      </c>
      <c r="C112" t="s">
        <v>2088</v>
      </c>
      <c r="D112" t="s">
        <v>1329</v>
      </c>
      <c r="E112" t="s">
        <v>1935</v>
      </c>
      <c r="F112" t="s">
        <v>54</v>
      </c>
      <c r="G112" t="s">
        <v>1935</v>
      </c>
      <c r="H112" t="s">
        <v>1935</v>
      </c>
      <c r="I112" t="s">
        <v>1935</v>
      </c>
      <c r="J112" t="s">
        <v>1935</v>
      </c>
      <c r="K112" t="s">
        <v>1289</v>
      </c>
    </row>
    <row r="113" spans="1:11">
      <c r="A113" t="s">
        <v>17</v>
      </c>
      <c r="B113" t="s">
        <v>304</v>
      </c>
      <c r="C113" t="s">
        <v>2089</v>
      </c>
      <c r="D113" t="s">
        <v>1330</v>
      </c>
      <c r="E113" t="s">
        <v>1935</v>
      </c>
      <c r="F113" t="s">
        <v>54</v>
      </c>
      <c r="G113" t="s">
        <v>1935</v>
      </c>
      <c r="H113" t="s">
        <v>1935</v>
      </c>
      <c r="I113" t="s">
        <v>1935</v>
      </c>
      <c r="J113" t="s">
        <v>1935</v>
      </c>
      <c r="K113" t="s">
        <v>1332</v>
      </c>
    </row>
    <row r="114" spans="1:11">
      <c r="A114" t="s">
        <v>17</v>
      </c>
      <c r="B114" t="s">
        <v>304</v>
      </c>
      <c r="C114" t="s">
        <v>2090</v>
      </c>
      <c r="D114" t="s">
        <v>1333</v>
      </c>
      <c r="E114" t="s">
        <v>1935</v>
      </c>
      <c r="F114" t="s">
        <v>54</v>
      </c>
      <c r="G114" t="s">
        <v>1935</v>
      </c>
      <c r="H114" t="s">
        <v>1935</v>
      </c>
      <c r="I114" t="s">
        <v>1935</v>
      </c>
      <c r="J114" t="s">
        <v>1935</v>
      </c>
      <c r="K114" t="s">
        <v>1332</v>
      </c>
    </row>
    <row r="115" spans="1:11">
      <c r="A115" t="s">
        <v>17</v>
      </c>
      <c r="B115" t="s">
        <v>304</v>
      </c>
      <c r="C115" t="s">
        <v>2091</v>
      </c>
      <c r="D115" t="s">
        <v>1474</v>
      </c>
      <c r="E115" t="s">
        <v>1935</v>
      </c>
      <c r="F115" t="s">
        <v>54</v>
      </c>
      <c r="G115" t="s">
        <v>1935</v>
      </c>
      <c r="H115" t="s">
        <v>1935</v>
      </c>
      <c r="I115" t="s">
        <v>1935</v>
      </c>
      <c r="J115" t="s">
        <v>1935</v>
      </c>
      <c r="K115" t="s">
        <v>1332</v>
      </c>
    </row>
    <row r="116" spans="1:11">
      <c r="A116" t="s">
        <v>17</v>
      </c>
      <c r="B116" t="s">
        <v>304</v>
      </c>
      <c r="C116" t="s">
        <v>2092</v>
      </c>
      <c r="D116" t="s">
        <v>2093</v>
      </c>
      <c r="E116" t="s">
        <v>1935</v>
      </c>
      <c r="F116" t="s">
        <v>54</v>
      </c>
      <c r="G116" t="s">
        <v>1935</v>
      </c>
      <c r="H116" t="s">
        <v>1935</v>
      </c>
      <c r="I116" t="s">
        <v>1935</v>
      </c>
      <c r="J116" t="s">
        <v>1935</v>
      </c>
      <c r="K116" t="s">
        <v>1285</v>
      </c>
    </row>
    <row r="117" spans="1:11">
      <c r="A117" t="s">
        <v>17</v>
      </c>
      <c r="B117" t="s">
        <v>304</v>
      </c>
      <c r="C117" t="s">
        <v>2094</v>
      </c>
      <c r="D117" t="s">
        <v>1334</v>
      </c>
      <c r="E117" t="s">
        <v>1935</v>
      </c>
      <c r="F117" t="s">
        <v>54</v>
      </c>
      <c r="G117" t="s">
        <v>1935</v>
      </c>
      <c r="H117" t="s">
        <v>1935</v>
      </c>
      <c r="I117" t="s">
        <v>1935</v>
      </c>
      <c r="J117" t="s">
        <v>1935</v>
      </c>
      <c r="K117" t="s">
        <v>1285</v>
      </c>
    </row>
    <row r="118" spans="1:11">
      <c r="A118" t="s">
        <v>17</v>
      </c>
      <c r="B118" t="s">
        <v>304</v>
      </c>
      <c r="C118" t="s">
        <v>2095</v>
      </c>
      <c r="D118" t="s">
        <v>1335</v>
      </c>
      <c r="E118" t="s">
        <v>1935</v>
      </c>
      <c r="F118" t="s">
        <v>54</v>
      </c>
      <c r="G118" t="s">
        <v>1935</v>
      </c>
      <c r="H118" t="s">
        <v>1935</v>
      </c>
      <c r="I118" t="s">
        <v>1935</v>
      </c>
      <c r="J118" t="s">
        <v>1935</v>
      </c>
      <c r="K118" t="s">
        <v>1285</v>
      </c>
    </row>
    <row r="119" spans="1:11">
      <c r="A119" t="s">
        <v>17</v>
      </c>
      <c r="B119" t="s">
        <v>304</v>
      </c>
      <c r="C119" t="s">
        <v>2096</v>
      </c>
      <c r="D119" t="s">
        <v>1336</v>
      </c>
      <c r="E119" t="s">
        <v>1935</v>
      </c>
      <c r="F119" t="s">
        <v>54</v>
      </c>
      <c r="G119" t="s">
        <v>1935</v>
      </c>
      <c r="H119" t="s">
        <v>1935</v>
      </c>
      <c r="I119" t="s">
        <v>1935</v>
      </c>
      <c r="J119" t="s">
        <v>1935</v>
      </c>
      <c r="K119" t="s">
        <v>1285</v>
      </c>
    </row>
    <row r="120" spans="1:11">
      <c r="A120" t="s">
        <v>17</v>
      </c>
      <c r="B120" t="s">
        <v>304</v>
      </c>
      <c r="C120" t="s">
        <v>2097</v>
      </c>
      <c r="D120" t="s">
        <v>2098</v>
      </c>
      <c r="E120" t="s">
        <v>1935</v>
      </c>
      <c r="F120" t="s">
        <v>54</v>
      </c>
      <c r="G120" t="s">
        <v>1935</v>
      </c>
      <c r="H120" t="s">
        <v>1935</v>
      </c>
      <c r="I120" t="s">
        <v>1935</v>
      </c>
      <c r="J120" t="s">
        <v>1935</v>
      </c>
      <c r="K120" t="s">
        <v>1285</v>
      </c>
    </row>
    <row r="121" spans="1:11">
      <c r="A121" t="s">
        <v>17</v>
      </c>
      <c r="B121" t="s">
        <v>304</v>
      </c>
      <c r="C121" t="s">
        <v>2099</v>
      </c>
      <c r="D121" t="s">
        <v>1337</v>
      </c>
      <c r="E121" t="s">
        <v>1935</v>
      </c>
      <c r="F121" t="s">
        <v>54</v>
      </c>
      <c r="G121" t="s">
        <v>1935</v>
      </c>
      <c r="H121" t="s">
        <v>1935</v>
      </c>
      <c r="I121" t="s">
        <v>1935</v>
      </c>
      <c r="J121" t="s">
        <v>1935</v>
      </c>
      <c r="K121" t="s">
        <v>1285</v>
      </c>
    </row>
    <row r="122" spans="1:11">
      <c r="A122" t="s">
        <v>17</v>
      </c>
      <c r="B122" t="s">
        <v>304</v>
      </c>
      <c r="C122" t="s">
        <v>2100</v>
      </c>
      <c r="D122" t="s">
        <v>1338</v>
      </c>
      <c r="E122" t="s">
        <v>1935</v>
      </c>
      <c r="F122" t="s">
        <v>54</v>
      </c>
      <c r="G122" t="s">
        <v>1935</v>
      </c>
      <c r="H122" t="s">
        <v>1935</v>
      </c>
      <c r="I122" t="s">
        <v>1935</v>
      </c>
      <c r="J122" t="s">
        <v>1935</v>
      </c>
      <c r="K122" t="s">
        <v>1285</v>
      </c>
    </row>
    <row r="123" spans="1:11">
      <c r="A123" t="s">
        <v>17</v>
      </c>
      <c r="B123" t="s">
        <v>304</v>
      </c>
      <c r="C123" t="s">
        <v>2101</v>
      </c>
      <c r="D123" t="s">
        <v>1339</v>
      </c>
      <c r="E123" t="s">
        <v>1935</v>
      </c>
      <c r="F123" t="s">
        <v>54</v>
      </c>
      <c r="G123" t="s">
        <v>1935</v>
      </c>
      <c r="H123" t="s">
        <v>1935</v>
      </c>
      <c r="I123" t="s">
        <v>1935</v>
      </c>
      <c r="J123" t="s">
        <v>1935</v>
      </c>
      <c r="K123" t="s">
        <v>1285</v>
      </c>
    </row>
    <row r="124" spans="1:11">
      <c r="A124" t="s">
        <v>17</v>
      </c>
      <c r="B124" t="s">
        <v>304</v>
      </c>
      <c r="C124" t="s">
        <v>2102</v>
      </c>
      <c r="D124" t="s">
        <v>1340</v>
      </c>
      <c r="E124" t="s">
        <v>1935</v>
      </c>
      <c r="F124" t="s">
        <v>54</v>
      </c>
      <c r="G124" t="s">
        <v>1935</v>
      </c>
      <c r="H124" t="s">
        <v>1935</v>
      </c>
      <c r="I124" t="s">
        <v>1935</v>
      </c>
      <c r="J124" t="s">
        <v>1935</v>
      </c>
      <c r="K124" t="s">
        <v>1285</v>
      </c>
    </row>
    <row r="125" spans="1:11">
      <c r="A125" t="s">
        <v>17</v>
      </c>
      <c r="B125" t="s">
        <v>304</v>
      </c>
      <c r="C125" t="s">
        <v>2103</v>
      </c>
      <c r="D125" t="s">
        <v>2104</v>
      </c>
      <c r="E125" t="s">
        <v>1935</v>
      </c>
      <c r="F125" t="s">
        <v>54</v>
      </c>
      <c r="G125" t="s">
        <v>1935</v>
      </c>
      <c r="H125" t="s">
        <v>1935</v>
      </c>
      <c r="I125" t="s">
        <v>1935</v>
      </c>
      <c r="J125" t="s">
        <v>1935</v>
      </c>
      <c r="K125" t="s">
        <v>1285</v>
      </c>
    </row>
    <row r="126" spans="1:11">
      <c r="A126" t="s">
        <v>17</v>
      </c>
      <c r="B126" t="s">
        <v>304</v>
      </c>
      <c r="C126" t="s">
        <v>2105</v>
      </c>
      <c r="D126" t="s">
        <v>1341</v>
      </c>
      <c r="E126" t="s">
        <v>1935</v>
      </c>
      <c r="F126" t="s">
        <v>54</v>
      </c>
      <c r="G126" t="s">
        <v>1935</v>
      </c>
      <c r="H126" t="s">
        <v>1935</v>
      </c>
      <c r="I126" t="s">
        <v>1935</v>
      </c>
      <c r="J126" t="s">
        <v>1935</v>
      </c>
      <c r="K126" t="s">
        <v>1285</v>
      </c>
    </row>
    <row r="127" spans="1:11">
      <c r="A127" t="s">
        <v>17</v>
      </c>
      <c r="B127" t="s">
        <v>304</v>
      </c>
      <c r="C127" t="s">
        <v>2106</v>
      </c>
      <c r="D127" t="s">
        <v>1342</v>
      </c>
      <c r="E127" t="s">
        <v>1935</v>
      </c>
      <c r="F127" t="s">
        <v>54</v>
      </c>
      <c r="G127" t="s">
        <v>1935</v>
      </c>
      <c r="H127" t="s">
        <v>1935</v>
      </c>
      <c r="I127" t="s">
        <v>1935</v>
      </c>
      <c r="J127" t="s">
        <v>1935</v>
      </c>
      <c r="K127" t="s">
        <v>1285</v>
      </c>
    </row>
    <row r="128" spans="1:11">
      <c r="A128" t="s">
        <v>17</v>
      </c>
      <c r="B128" t="s">
        <v>304</v>
      </c>
      <c r="C128" t="s">
        <v>2107</v>
      </c>
      <c r="D128" t="s">
        <v>1343</v>
      </c>
      <c r="E128" t="s">
        <v>1935</v>
      </c>
      <c r="F128" t="s">
        <v>54</v>
      </c>
      <c r="G128" t="s">
        <v>1935</v>
      </c>
      <c r="H128" t="s">
        <v>1935</v>
      </c>
      <c r="I128" t="s">
        <v>1935</v>
      </c>
      <c r="J128" t="s">
        <v>1935</v>
      </c>
      <c r="K128" t="s">
        <v>1285</v>
      </c>
    </row>
    <row r="129" spans="1:11">
      <c r="A129" t="s">
        <v>17</v>
      </c>
      <c r="B129" t="s">
        <v>304</v>
      </c>
      <c r="C129" t="s">
        <v>2108</v>
      </c>
      <c r="D129" t="s">
        <v>1344</v>
      </c>
      <c r="E129" t="s">
        <v>1935</v>
      </c>
      <c r="F129" t="s">
        <v>54</v>
      </c>
      <c r="G129" t="s">
        <v>1935</v>
      </c>
      <c r="H129" t="s">
        <v>1935</v>
      </c>
      <c r="I129" t="s">
        <v>1935</v>
      </c>
      <c r="J129" t="s">
        <v>1935</v>
      </c>
      <c r="K129" t="s">
        <v>1285</v>
      </c>
    </row>
    <row r="130" spans="1:11">
      <c r="A130" t="s">
        <v>17</v>
      </c>
      <c r="B130" t="s">
        <v>304</v>
      </c>
      <c r="C130" t="s">
        <v>2109</v>
      </c>
      <c r="D130" t="s">
        <v>1345</v>
      </c>
      <c r="E130" t="s">
        <v>1935</v>
      </c>
      <c r="F130" t="s">
        <v>54</v>
      </c>
      <c r="G130" t="s">
        <v>1935</v>
      </c>
      <c r="H130" t="s">
        <v>1935</v>
      </c>
      <c r="I130" t="s">
        <v>1935</v>
      </c>
      <c r="J130" t="s">
        <v>1935</v>
      </c>
      <c r="K130" t="s">
        <v>1285</v>
      </c>
    </row>
    <row r="131" spans="1:11">
      <c r="A131" t="s">
        <v>17</v>
      </c>
      <c r="B131" t="s">
        <v>304</v>
      </c>
      <c r="C131" t="s">
        <v>2110</v>
      </c>
      <c r="D131" t="s">
        <v>1346</v>
      </c>
      <c r="E131" t="s">
        <v>1935</v>
      </c>
      <c r="F131" t="s">
        <v>54</v>
      </c>
      <c r="G131" t="s">
        <v>1935</v>
      </c>
      <c r="H131" t="s">
        <v>1935</v>
      </c>
      <c r="I131" t="s">
        <v>1935</v>
      </c>
      <c r="J131" t="s">
        <v>1935</v>
      </c>
      <c r="K131" t="s">
        <v>1285</v>
      </c>
    </row>
    <row r="132" spans="1:11">
      <c r="A132" t="s">
        <v>17</v>
      </c>
      <c r="B132" t="s">
        <v>304</v>
      </c>
      <c r="C132" t="s">
        <v>2111</v>
      </c>
      <c r="D132" t="s">
        <v>1394</v>
      </c>
      <c r="E132" t="s">
        <v>1935</v>
      </c>
      <c r="F132" t="s">
        <v>54</v>
      </c>
      <c r="G132" t="s">
        <v>1935</v>
      </c>
      <c r="H132" t="s">
        <v>1935</v>
      </c>
      <c r="I132" t="s">
        <v>1935</v>
      </c>
      <c r="J132" t="s">
        <v>1935</v>
      </c>
      <c r="K132" t="s">
        <v>1285</v>
      </c>
    </row>
    <row r="133" spans="1:11">
      <c r="A133" t="s">
        <v>17</v>
      </c>
      <c r="B133" t="s">
        <v>304</v>
      </c>
      <c r="C133" t="s">
        <v>2112</v>
      </c>
      <c r="D133" t="s">
        <v>1395</v>
      </c>
      <c r="E133" t="s">
        <v>1935</v>
      </c>
      <c r="F133" t="s">
        <v>54</v>
      </c>
      <c r="G133" t="s">
        <v>1935</v>
      </c>
      <c r="H133" t="s">
        <v>1935</v>
      </c>
      <c r="I133" t="s">
        <v>1935</v>
      </c>
      <c r="J133" t="s">
        <v>1935</v>
      </c>
      <c r="K133" t="s">
        <v>1285</v>
      </c>
    </row>
    <row r="134" spans="1:11">
      <c r="A134" t="s">
        <v>17</v>
      </c>
      <c r="B134" t="s">
        <v>304</v>
      </c>
      <c r="C134" t="s">
        <v>2113</v>
      </c>
      <c r="D134" t="s">
        <v>1396</v>
      </c>
      <c r="E134" t="s">
        <v>1935</v>
      </c>
      <c r="F134" t="s">
        <v>54</v>
      </c>
      <c r="G134" t="s">
        <v>1935</v>
      </c>
      <c r="H134" t="s">
        <v>1935</v>
      </c>
      <c r="I134" t="s">
        <v>1935</v>
      </c>
      <c r="J134" t="s">
        <v>1935</v>
      </c>
      <c r="K134" t="s">
        <v>1285</v>
      </c>
    </row>
    <row r="135" spans="1:11">
      <c r="A135" t="s">
        <v>17</v>
      </c>
      <c r="B135" t="s">
        <v>304</v>
      </c>
      <c r="C135" t="s">
        <v>2114</v>
      </c>
      <c r="D135" t="s">
        <v>1397</v>
      </c>
      <c r="E135" t="s">
        <v>1935</v>
      </c>
      <c r="F135" t="s">
        <v>54</v>
      </c>
      <c r="G135" t="s">
        <v>1935</v>
      </c>
      <c r="H135" t="s">
        <v>1935</v>
      </c>
      <c r="I135" t="s">
        <v>1935</v>
      </c>
      <c r="J135" t="s">
        <v>1935</v>
      </c>
      <c r="K135" t="s">
        <v>1285</v>
      </c>
    </row>
    <row r="136" spans="1:11">
      <c r="A136" t="s">
        <v>17</v>
      </c>
      <c r="B136" t="s">
        <v>304</v>
      </c>
      <c r="C136" t="s">
        <v>2115</v>
      </c>
      <c r="D136" t="s">
        <v>1347</v>
      </c>
      <c r="E136" t="s">
        <v>1935</v>
      </c>
      <c r="F136" t="s">
        <v>54</v>
      </c>
      <c r="G136" t="s">
        <v>1935</v>
      </c>
      <c r="H136" t="s">
        <v>1935</v>
      </c>
      <c r="I136" t="s">
        <v>1935</v>
      </c>
      <c r="J136" t="s">
        <v>1935</v>
      </c>
      <c r="K136" t="s">
        <v>1285</v>
      </c>
    </row>
    <row r="137" spans="1:11">
      <c r="A137" t="s">
        <v>17</v>
      </c>
      <c r="B137" t="s">
        <v>304</v>
      </c>
      <c r="C137" t="s">
        <v>2116</v>
      </c>
      <c r="D137" t="s">
        <v>1348</v>
      </c>
      <c r="E137" t="s">
        <v>1935</v>
      </c>
      <c r="F137" t="s">
        <v>54</v>
      </c>
      <c r="G137" t="s">
        <v>1935</v>
      </c>
      <c r="H137" t="s">
        <v>1935</v>
      </c>
      <c r="I137" t="s">
        <v>1935</v>
      </c>
      <c r="J137" t="s">
        <v>1935</v>
      </c>
      <c r="K137" t="s">
        <v>1285</v>
      </c>
    </row>
    <row r="138" spans="1:11">
      <c r="A138" t="s">
        <v>17</v>
      </c>
      <c r="B138" t="s">
        <v>304</v>
      </c>
      <c r="C138" t="s">
        <v>2117</v>
      </c>
      <c r="D138" t="s">
        <v>2118</v>
      </c>
      <c r="E138" t="s">
        <v>1935</v>
      </c>
      <c r="F138" t="s">
        <v>54</v>
      </c>
      <c r="G138" t="s">
        <v>1935</v>
      </c>
      <c r="H138" t="s">
        <v>1935</v>
      </c>
      <c r="I138" t="s">
        <v>1935</v>
      </c>
      <c r="J138" t="s">
        <v>1935</v>
      </c>
      <c r="K138" t="s">
        <v>1285</v>
      </c>
    </row>
    <row r="139" spans="1:11">
      <c r="A139" t="s">
        <v>17</v>
      </c>
      <c r="B139" t="s">
        <v>304</v>
      </c>
      <c r="C139" t="s">
        <v>2119</v>
      </c>
      <c r="D139" t="s">
        <v>1349</v>
      </c>
      <c r="E139" t="s">
        <v>1935</v>
      </c>
      <c r="F139" t="s">
        <v>54</v>
      </c>
      <c r="G139" t="s">
        <v>1935</v>
      </c>
      <c r="H139" t="s">
        <v>1935</v>
      </c>
      <c r="I139" t="s">
        <v>1935</v>
      </c>
      <c r="J139" t="s">
        <v>1935</v>
      </c>
      <c r="K139" t="s">
        <v>1285</v>
      </c>
    </row>
    <row r="140" spans="1:11">
      <c r="A140" t="s">
        <v>17</v>
      </c>
      <c r="B140" t="s">
        <v>304</v>
      </c>
      <c r="C140" t="s">
        <v>2120</v>
      </c>
      <c r="D140" t="s">
        <v>1350</v>
      </c>
      <c r="E140" t="s">
        <v>1935</v>
      </c>
      <c r="F140" t="s">
        <v>54</v>
      </c>
      <c r="G140" t="s">
        <v>1935</v>
      </c>
      <c r="H140" t="s">
        <v>1935</v>
      </c>
      <c r="I140" t="s">
        <v>1935</v>
      </c>
      <c r="J140" t="s">
        <v>1935</v>
      </c>
      <c r="K140" t="s">
        <v>1287</v>
      </c>
    </row>
    <row r="141" spans="1:11">
      <c r="A141" t="s">
        <v>17</v>
      </c>
      <c r="B141" t="s">
        <v>304</v>
      </c>
      <c r="C141" t="s">
        <v>2121</v>
      </c>
      <c r="D141" t="s">
        <v>1351</v>
      </c>
      <c r="E141" t="s">
        <v>1935</v>
      </c>
      <c r="F141" t="s">
        <v>54</v>
      </c>
      <c r="G141" t="s">
        <v>1935</v>
      </c>
      <c r="H141" t="s">
        <v>1935</v>
      </c>
      <c r="I141" t="s">
        <v>1935</v>
      </c>
      <c r="J141" t="s">
        <v>1935</v>
      </c>
      <c r="K141" t="s">
        <v>1287</v>
      </c>
    </row>
    <row r="142" spans="1:11">
      <c r="A142" t="s">
        <v>17</v>
      </c>
      <c r="B142" t="s">
        <v>304</v>
      </c>
      <c r="C142" t="s">
        <v>2122</v>
      </c>
      <c r="D142" t="s">
        <v>2123</v>
      </c>
      <c r="E142" t="s">
        <v>1935</v>
      </c>
      <c r="F142" t="s">
        <v>54</v>
      </c>
      <c r="G142" t="s">
        <v>1935</v>
      </c>
      <c r="H142" t="s">
        <v>1935</v>
      </c>
      <c r="I142" t="s">
        <v>1935</v>
      </c>
      <c r="J142" t="s">
        <v>1935</v>
      </c>
      <c r="K142" t="s">
        <v>1287</v>
      </c>
    </row>
    <row r="143" spans="1:11">
      <c r="A143" t="s">
        <v>17</v>
      </c>
      <c r="B143" t="s">
        <v>304</v>
      </c>
      <c r="C143" t="s">
        <v>2124</v>
      </c>
      <c r="D143" t="s">
        <v>2125</v>
      </c>
      <c r="E143" t="s">
        <v>1935</v>
      </c>
      <c r="F143" t="s">
        <v>54</v>
      </c>
      <c r="G143" t="s">
        <v>1935</v>
      </c>
      <c r="H143" t="s">
        <v>1935</v>
      </c>
      <c r="I143" t="s">
        <v>1935</v>
      </c>
      <c r="J143" t="s">
        <v>1935</v>
      </c>
      <c r="K143" t="s">
        <v>1656</v>
      </c>
    </row>
    <row r="144" spans="1:11">
      <c r="A144" t="s">
        <v>17</v>
      </c>
      <c r="B144" t="s">
        <v>304</v>
      </c>
      <c r="C144" t="s">
        <v>2126</v>
      </c>
      <c r="D144" t="s">
        <v>2127</v>
      </c>
      <c r="E144" t="s">
        <v>1935</v>
      </c>
      <c r="F144" t="s">
        <v>54</v>
      </c>
      <c r="G144" t="s">
        <v>1935</v>
      </c>
      <c r="H144" t="s">
        <v>1935</v>
      </c>
      <c r="I144" t="s">
        <v>1935</v>
      </c>
      <c r="J144" t="s">
        <v>1935</v>
      </c>
      <c r="K144" t="s">
        <v>1656</v>
      </c>
    </row>
    <row r="145" spans="1:11">
      <c r="A145" t="s">
        <v>17</v>
      </c>
      <c r="B145" t="s">
        <v>304</v>
      </c>
      <c r="C145" t="s">
        <v>2128</v>
      </c>
      <c r="D145" t="s">
        <v>1352</v>
      </c>
      <c r="E145" t="s">
        <v>1935</v>
      </c>
      <c r="F145" t="s">
        <v>54</v>
      </c>
      <c r="G145" t="s">
        <v>1935</v>
      </c>
      <c r="H145" t="s">
        <v>1935</v>
      </c>
      <c r="I145" t="s">
        <v>1935</v>
      </c>
      <c r="J145" t="s">
        <v>1935</v>
      </c>
      <c r="K145" t="s">
        <v>1656</v>
      </c>
    </row>
    <row r="146" spans="1:11">
      <c r="A146" t="s">
        <v>17</v>
      </c>
      <c r="B146" t="s">
        <v>304</v>
      </c>
      <c r="C146" t="s">
        <v>2129</v>
      </c>
      <c r="D146" t="s">
        <v>1658</v>
      </c>
      <c r="E146" t="s">
        <v>1935</v>
      </c>
      <c r="F146" t="s">
        <v>54</v>
      </c>
      <c r="G146" t="s">
        <v>1935</v>
      </c>
      <c r="H146" t="s">
        <v>1935</v>
      </c>
      <c r="I146" t="s">
        <v>1935</v>
      </c>
      <c r="J146" t="s">
        <v>1935</v>
      </c>
      <c r="K146" t="s">
        <v>1656</v>
      </c>
    </row>
    <row r="147" spans="1:11">
      <c r="A147" t="s">
        <v>17</v>
      </c>
      <c r="B147" t="s">
        <v>304</v>
      </c>
      <c r="C147" t="s">
        <v>2130</v>
      </c>
      <c r="D147" t="s">
        <v>1354</v>
      </c>
      <c r="E147" t="s">
        <v>1935</v>
      </c>
      <c r="F147" t="s">
        <v>54</v>
      </c>
      <c r="G147" t="s">
        <v>1935</v>
      </c>
      <c r="H147" t="s">
        <v>1935</v>
      </c>
      <c r="I147" t="s">
        <v>1935</v>
      </c>
      <c r="J147" t="s">
        <v>1935</v>
      </c>
      <c r="K147" t="s">
        <v>1353</v>
      </c>
    </row>
    <row r="148" spans="1:11">
      <c r="A148" t="s">
        <v>17</v>
      </c>
      <c r="B148" t="s">
        <v>304</v>
      </c>
      <c r="C148" t="s">
        <v>2131</v>
      </c>
      <c r="D148" t="s">
        <v>1355</v>
      </c>
      <c r="E148" t="s">
        <v>1935</v>
      </c>
      <c r="F148" t="s">
        <v>54</v>
      </c>
      <c r="G148" t="s">
        <v>1935</v>
      </c>
      <c r="H148" t="s">
        <v>1935</v>
      </c>
      <c r="I148" t="s">
        <v>1935</v>
      </c>
      <c r="J148" t="s">
        <v>1935</v>
      </c>
      <c r="K148" t="s">
        <v>1353</v>
      </c>
    </row>
    <row r="149" spans="1:11">
      <c r="A149" t="s">
        <v>17</v>
      </c>
      <c r="B149" t="s">
        <v>304</v>
      </c>
      <c r="C149" t="s">
        <v>2132</v>
      </c>
      <c r="D149" t="s">
        <v>2133</v>
      </c>
      <c r="E149" t="s">
        <v>1935</v>
      </c>
      <c r="F149" t="s">
        <v>54</v>
      </c>
      <c r="G149" t="s">
        <v>1935</v>
      </c>
      <c r="H149" t="s">
        <v>1935</v>
      </c>
      <c r="I149" t="s">
        <v>1935</v>
      </c>
      <c r="J149" t="s">
        <v>1935</v>
      </c>
      <c r="K149" t="s">
        <v>1353</v>
      </c>
    </row>
    <row r="150" spans="1:11">
      <c r="A150" t="s">
        <v>17</v>
      </c>
      <c r="B150" t="s">
        <v>304</v>
      </c>
      <c r="C150" t="s">
        <v>2134</v>
      </c>
      <c r="D150" t="s">
        <v>839</v>
      </c>
      <c r="E150" t="s">
        <v>1935</v>
      </c>
      <c r="F150" t="s">
        <v>54</v>
      </c>
      <c r="G150" t="s">
        <v>1935</v>
      </c>
      <c r="H150" t="s">
        <v>1935</v>
      </c>
      <c r="I150" t="s">
        <v>1935</v>
      </c>
      <c r="J150" t="s">
        <v>1935</v>
      </c>
      <c r="K150" t="s">
        <v>1356</v>
      </c>
    </row>
    <row r="151" spans="1:11">
      <c r="A151" t="s">
        <v>17</v>
      </c>
      <c r="B151" t="s">
        <v>304</v>
      </c>
      <c r="C151" t="s">
        <v>2135</v>
      </c>
      <c r="D151" t="s">
        <v>840</v>
      </c>
      <c r="E151" t="s">
        <v>1935</v>
      </c>
      <c r="F151" t="s">
        <v>54</v>
      </c>
      <c r="G151" t="s">
        <v>1935</v>
      </c>
      <c r="H151" t="s">
        <v>1935</v>
      </c>
      <c r="I151" t="s">
        <v>1935</v>
      </c>
      <c r="J151" t="s">
        <v>1935</v>
      </c>
      <c r="K151" t="s">
        <v>1356</v>
      </c>
    </row>
    <row r="152" spans="1:11">
      <c r="A152" t="s">
        <v>17</v>
      </c>
      <c r="B152" t="s">
        <v>304</v>
      </c>
      <c r="C152" t="s">
        <v>2136</v>
      </c>
      <c r="D152" t="s">
        <v>841</v>
      </c>
      <c r="E152" t="s">
        <v>1935</v>
      </c>
      <c r="F152" t="s">
        <v>54</v>
      </c>
      <c r="G152" t="s">
        <v>1935</v>
      </c>
      <c r="H152" t="s">
        <v>1935</v>
      </c>
      <c r="I152" t="s">
        <v>1935</v>
      </c>
      <c r="J152" t="s">
        <v>1935</v>
      </c>
      <c r="K152" t="s">
        <v>1356</v>
      </c>
    </row>
    <row r="153" spans="1:11">
      <c r="A153" t="s">
        <v>17</v>
      </c>
      <c r="B153" t="s">
        <v>304</v>
      </c>
      <c r="C153" t="s">
        <v>2137</v>
      </c>
      <c r="D153" t="s">
        <v>1357</v>
      </c>
      <c r="E153" t="s">
        <v>1935</v>
      </c>
      <c r="F153" t="s">
        <v>54</v>
      </c>
      <c r="G153" t="s">
        <v>1935</v>
      </c>
      <c r="H153" t="s">
        <v>1935</v>
      </c>
      <c r="I153" t="s">
        <v>1935</v>
      </c>
      <c r="J153" t="s">
        <v>1935</v>
      </c>
      <c r="K153" t="s">
        <v>1357</v>
      </c>
    </row>
    <row r="154" spans="1:11">
      <c r="A154" t="s">
        <v>17</v>
      </c>
      <c r="B154" t="s">
        <v>304</v>
      </c>
      <c r="C154" t="s">
        <v>2138</v>
      </c>
      <c r="D154" t="s">
        <v>1732</v>
      </c>
      <c r="E154" t="s">
        <v>1935</v>
      </c>
      <c r="F154" t="s">
        <v>54</v>
      </c>
      <c r="G154" t="s">
        <v>1935</v>
      </c>
      <c r="H154" t="s">
        <v>1935</v>
      </c>
      <c r="I154" t="s">
        <v>1935</v>
      </c>
      <c r="J154" t="s">
        <v>1935</v>
      </c>
      <c r="K154" t="s">
        <v>1045</v>
      </c>
    </row>
    <row r="155" spans="1:11">
      <c r="A155" t="s">
        <v>17</v>
      </c>
      <c r="B155" t="s">
        <v>304</v>
      </c>
      <c r="C155" t="s">
        <v>2139</v>
      </c>
      <c r="D155" t="s">
        <v>1684</v>
      </c>
      <c r="E155" t="s">
        <v>1935</v>
      </c>
      <c r="F155" t="s">
        <v>54</v>
      </c>
      <c r="G155" t="s">
        <v>1935</v>
      </c>
      <c r="H155" t="s">
        <v>1935</v>
      </c>
      <c r="I155" t="s">
        <v>1935</v>
      </c>
      <c r="J155" t="s">
        <v>1935</v>
      </c>
      <c r="K155" t="s">
        <v>1289</v>
      </c>
    </row>
    <row r="156" spans="1:11">
      <c r="A156" t="s">
        <v>17</v>
      </c>
      <c r="B156" t="s">
        <v>304</v>
      </c>
      <c r="C156" t="s">
        <v>2140</v>
      </c>
      <c r="D156" t="s">
        <v>1686</v>
      </c>
      <c r="E156" t="s">
        <v>1935</v>
      </c>
      <c r="F156" t="s">
        <v>54</v>
      </c>
      <c r="G156" t="s">
        <v>1935</v>
      </c>
      <c r="H156" t="s">
        <v>1935</v>
      </c>
      <c r="I156" t="s">
        <v>1935</v>
      </c>
      <c r="J156" t="s">
        <v>1935</v>
      </c>
      <c r="K156" t="s">
        <v>1289</v>
      </c>
    </row>
    <row r="157" spans="1:11">
      <c r="A157" t="s">
        <v>17</v>
      </c>
      <c r="B157" t="s">
        <v>304</v>
      </c>
      <c r="C157" t="s">
        <v>2141</v>
      </c>
      <c r="D157" t="s">
        <v>1695</v>
      </c>
      <c r="E157" t="s">
        <v>1935</v>
      </c>
      <c r="F157" t="s">
        <v>54</v>
      </c>
      <c r="G157" t="s">
        <v>1935</v>
      </c>
      <c r="H157" t="s">
        <v>1935</v>
      </c>
      <c r="I157" t="s">
        <v>1935</v>
      </c>
      <c r="J157" t="s">
        <v>1935</v>
      </c>
      <c r="K157" t="s">
        <v>1287</v>
      </c>
    </row>
    <row r="158" spans="1:11">
      <c r="A158" t="s">
        <v>17</v>
      </c>
      <c r="B158" t="s">
        <v>304</v>
      </c>
      <c r="C158" t="s">
        <v>2142</v>
      </c>
      <c r="D158" t="s">
        <v>1756</v>
      </c>
      <c r="E158" t="s">
        <v>1935</v>
      </c>
      <c r="F158" t="s">
        <v>54</v>
      </c>
      <c r="G158" t="s">
        <v>1935</v>
      </c>
      <c r="H158" t="s">
        <v>1935</v>
      </c>
      <c r="I158" t="s">
        <v>1935</v>
      </c>
      <c r="J158" t="s">
        <v>1935</v>
      </c>
      <c r="K158" t="s">
        <v>1288</v>
      </c>
    </row>
    <row r="159" spans="1:11">
      <c r="A159" t="s">
        <v>17</v>
      </c>
      <c r="B159" t="s">
        <v>304</v>
      </c>
      <c r="C159" t="s">
        <v>2143</v>
      </c>
      <c r="D159" t="s">
        <v>1780</v>
      </c>
      <c r="E159" t="s">
        <v>1935</v>
      </c>
      <c r="F159" t="s">
        <v>54</v>
      </c>
      <c r="G159" t="s">
        <v>1935</v>
      </c>
      <c r="H159" t="s">
        <v>1935</v>
      </c>
      <c r="I159" t="s">
        <v>1935</v>
      </c>
      <c r="J159" t="s">
        <v>1935</v>
      </c>
      <c r="K159" t="s">
        <v>1285</v>
      </c>
    </row>
    <row r="160" spans="1:11">
      <c r="A160" t="s">
        <v>17</v>
      </c>
      <c r="B160" t="s">
        <v>304</v>
      </c>
      <c r="C160" t="s">
        <v>2144</v>
      </c>
      <c r="D160" t="s">
        <v>2145</v>
      </c>
      <c r="E160" t="s">
        <v>1935</v>
      </c>
      <c r="F160" t="s">
        <v>54</v>
      </c>
      <c r="G160" t="s">
        <v>1935</v>
      </c>
      <c r="H160" t="s">
        <v>1935</v>
      </c>
      <c r="I160" t="s">
        <v>1935</v>
      </c>
      <c r="J160" t="s">
        <v>1935</v>
      </c>
      <c r="K160" t="s">
        <v>1656</v>
      </c>
    </row>
    <row r="161" spans="1:11">
      <c r="A161" t="s">
        <v>17</v>
      </c>
      <c r="B161" t="s">
        <v>304</v>
      </c>
      <c r="C161" t="s">
        <v>2146</v>
      </c>
      <c r="D161" t="s">
        <v>2147</v>
      </c>
      <c r="E161" t="s">
        <v>1935</v>
      </c>
      <c r="F161" t="s">
        <v>54</v>
      </c>
      <c r="G161" t="s">
        <v>1935</v>
      </c>
      <c r="H161" t="s">
        <v>1935</v>
      </c>
      <c r="I161" t="s">
        <v>1935</v>
      </c>
      <c r="J161" t="s">
        <v>1935</v>
      </c>
      <c r="K161" t="s">
        <v>1656</v>
      </c>
    </row>
    <row r="162" spans="1:11">
      <c r="A162" t="s">
        <v>17</v>
      </c>
      <c r="B162" t="s">
        <v>304</v>
      </c>
      <c r="C162" t="s">
        <v>2148</v>
      </c>
      <c r="D162" t="s">
        <v>2149</v>
      </c>
      <c r="E162" t="s">
        <v>1935</v>
      </c>
      <c r="F162" t="s">
        <v>54</v>
      </c>
      <c r="G162" t="s">
        <v>1935</v>
      </c>
      <c r="H162" t="s">
        <v>1935</v>
      </c>
      <c r="I162" t="s">
        <v>1935</v>
      </c>
      <c r="J162" t="s">
        <v>1935</v>
      </c>
      <c r="K162" t="s">
        <v>1656</v>
      </c>
    </row>
    <row r="163" spans="1:11">
      <c r="A163" t="s">
        <v>17</v>
      </c>
      <c r="B163" t="s">
        <v>304</v>
      </c>
      <c r="C163" t="s">
        <v>2150</v>
      </c>
      <c r="D163" t="s">
        <v>1483</v>
      </c>
      <c r="E163" t="s">
        <v>1935</v>
      </c>
      <c r="F163" t="s">
        <v>54</v>
      </c>
      <c r="G163" t="s">
        <v>1935</v>
      </c>
      <c r="H163" t="s">
        <v>1935</v>
      </c>
      <c r="I163" t="s">
        <v>1935</v>
      </c>
      <c r="J163" t="s">
        <v>1935</v>
      </c>
      <c r="K163" t="s">
        <v>1483</v>
      </c>
    </row>
    <row r="164" spans="1:11">
      <c r="A164" t="s">
        <v>17</v>
      </c>
      <c r="B164" t="s">
        <v>304</v>
      </c>
      <c r="C164" t="s">
        <v>2151</v>
      </c>
      <c r="D164" t="s">
        <v>1489</v>
      </c>
      <c r="E164" t="s">
        <v>1935</v>
      </c>
      <c r="F164" t="s">
        <v>54</v>
      </c>
      <c r="G164" t="s">
        <v>1935</v>
      </c>
      <c r="H164" t="s">
        <v>1935</v>
      </c>
      <c r="I164" t="s">
        <v>1935</v>
      </c>
      <c r="J164" t="s">
        <v>1935</v>
      </c>
      <c r="K164" t="s">
        <v>1497</v>
      </c>
    </row>
    <row r="165" spans="1:11">
      <c r="A165" t="s">
        <v>17</v>
      </c>
      <c r="B165" t="s">
        <v>304</v>
      </c>
      <c r="C165" t="s">
        <v>2152</v>
      </c>
      <c r="D165" t="s">
        <v>1635</v>
      </c>
      <c r="E165" t="s">
        <v>1935</v>
      </c>
      <c r="F165" t="s">
        <v>54</v>
      </c>
      <c r="G165" t="s">
        <v>1935</v>
      </c>
      <c r="H165" t="s">
        <v>1935</v>
      </c>
      <c r="I165" t="s">
        <v>1935</v>
      </c>
      <c r="J165" t="s">
        <v>1935</v>
      </c>
      <c r="K165" t="s">
        <v>1497</v>
      </c>
    </row>
    <row r="166" spans="1:11">
      <c r="A166" t="s">
        <v>17</v>
      </c>
      <c r="B166" t="s">
        <v>304</v>
      </c>
      <c r="C166" t="s">
        <v>2153</v>
      </c>
      <c r="D166" t="s">
        <v>1490</v>
      </c>
      <c r="E166" t="s">
        <v>1935</v>
      </c>
      <c r="F166" t="s">
        <v>54</v>
      </c>
      <c r="G166" t="s">
        <v>1935</v>
      </c>
      <c r="H166" t="s">
        <v>1935</v>
      </c>
      <c r="I166" t="s">
        <v>1935</v>
      </c>
      <c r="J166" t="s">
        <v>1935</v>
      </c>
      <c r="K166" t="s">
        <v>1497</v>
      </c>
    </row>
    <row r="167" spans="1:11">
      <c r="A167" t="s">
        <v>17</v>
      </c>
      <c r="B167" t="s">
        <v>304</v>
      </c>
      <c r="C167" t="s">
        <v>2154</v>
      </c>
      <c r="D167" t="s">
        <v>1495</v>
      </c>
      <c r="E167" t="s">
        <v>1935</v>
      </c>
      <c r="F167" t="s">
        <v>54</v>
      </c>
      <c r="G167" t="s">
        <v>1935</v>
      </c>
      <c r="H167" t="s">
        <v>1935</v>
      </c>
      <c r="I167" t="s">
        <v>1935</v>
      </c>
      <c r="J167" t="s">
        <v>1935</v>
      </c>
      <c r="K167" t="s">
        <v>1497</v>
      </c>
    </row>
    <row r="168" spans="1:11">
      <c r="A168" t="s">
        <v>17</v>
      </c>
      <c r="B168" t="s">
        <v>304</v>
      </c>
      <c r="C168" t="s">
        <v>2155</v>
      </c>
      <c r="D168" t="s">
        <v>1496</v>
      </c>
      <c r="E168" t="s">
        <v>1935</v>
      </c>
      <c r="F168" t="s">
        <v>54</v>
      </c>
      <c r="G168" t="s">
        <v>1935</v>
      </c>
      <c r="H168" t="s">
        <v>1935</v>
      </c>
      <c r="I168" t="s">
        <v>1935</v>
      </c>
      <c r="J168" t="s">
        <v>1935</v>
      </c>
      <c r="K168" t="s">
        <v>1497</v>
      </c>
    </row>
    <row r="169" spans="1:11">
      <c r="A169" t="s">
        <v>17</v>
      </c>
      <c r="B169" t="s">
        <v>304</v>
      </c>
      <c r="C169" t="s">
        <v>2156</v>
      </c>
      <c r="D169" t="s">
        <v>1891</v>
      </c>
      <c r="E169" t="s">
        <v>1935</v>
      </c>
      <c r="F169" t="s">
        <v>54</v>
      </c>
      <c r="G169" t="s">
        <v>1935</v>
      </c>
      <c r="H169" t="s">
        <v>1935</v>
      </c>
      <c r="I169" t="s">
        <v>1935</v>
      </c>
      <c r="J169" t="s">
        <v>1935</v>
      </c>
      <c r="K169" t="s">
        <v>1045</v>
      </c>
    </row>
    <row r="170" spans="1:11">
      <c r="A170" t="s">
        <v>17</v>
      </c>
      <c r="B170" t="s">
        <v>304</v>
      </c>
      <c r="C170" t="s">
        <v>2157</v>
      </c>
      <c r="D170" t="s">
        <v>1664</v>
      </c>
      <c r="E170" t="s">
        <v>1935</v>
      </c>
      <c r="F170" t="s">
        <v>54</v>
      </c>
      <c r="G170" t="s">
        <v>1935</v>
      </c>
      <c r="H170" t="s">
        <v>1935</v>
      </c>
      <c r="I170" t="s">
        <v>1935</v>
      </c>
      <c r="J170" t="s">
        <v>1935</v>
      </c>
      <c r="K170" t="s">
        <v>1663</v>
      </c>
    </row>
    <row r="171" spans="1:11">
      <c r="A171" t="s">
        <v>17</v>
      </c>
      <c r="B171" t="s">
        <v>304</v>
      </c>
      <c r="C171" t="s">
        <v>2158</v>
      </c>
      <c r="D171" t="s">
        <v>1665</v>
      </c>
      <c r="E171" t="s">
        <v>1935</v>
      </c>
      <c r="F171" t="s">
        <v>54</v>
      </c>
      <c r="G171" t="s">
        <v>1935</v>
      </c>
      <c r="H171" t="s">
        <v>1935</v>
      </c>
      <c r="I171" t="s">
        <v>1935</v>
      </c>
      <c r="J171" t="s">
        <v>1935</v>
      </c>
      <c r="K171" t="s">
        <v>1663</v>
      </c>
    </row>
    <row r="172" spans="1:11">
      <c r="A172" t="s">
        <v>17</v>
      </c>
      <c r="B172" t="s">
        <v>304</v>
      </c>
      <c r="C172" t="s">
        <v>2159</v>
      </c>
      <c r="D172" t="s">
        <v>1752</v>
      </c>
      <c r="E172" t="s">
        <v>1935</v>
      </c>
      <c r="F172" t="s">
        <v>54</v>
      </c>
      <c r="G172" t="s">
        <v>1935</v>
      </c>
      <c r="H172" t="s">
        <v>1935</v>
      </c>
      <c r="I172" t="s">
        <v>1935</v>
      </c>
      <c r="J172" t="s">
        <v>1935</v>
      </c>
      <c r="K172" t="s">
        <v>1288</v>
      </c>
    </row>
    <row r="173" spans="1:11">
      <c r="A173" t="s">
        <v>17</v>
      </c>
      <c r="B173" t="s">
        <v>304</v>
      </c>
      <c r="C173" t="s">
        <v>2160</v>
      </c>
      <c r="D173" t="s">
        <v>2161</v>
      </c>
      <c r="E173" t="s">
        <v>1935</v>
      </c>
      <c r="F173" t="s">
        <v>54</v>
      </c>
      <c r="G173" t="s">
        <v>1935</v>
      </c>
      <c r="H173" t="s">
        <v>1935</v>
      </c>
      <c r="I173" t="s">
        <v>1935</v>
      </c>
      <c r="J173" t="s">
        <v>1935</v>
      </c>
      <c r="K173" t="s">
        <v>1288</v>
      </c>
    </row>
    <row r="174" spans="1:11">
      <c r="A174" t="s">
        <v>17</v>
      </c>
      <c r="B174" t="s">
        <v>304</v>
      </c>
      <c r="C174" t="s">
        <v>2162</v>
      </c>
      <c r="D174" t="s">
        <v>2163</v>
      </c>
      <c r="E174" t="s">
        <v>1935</v>
      </c>
      <c r="F174" t="s">
        <v>54</v>
      </c>
      <c r="G174" t="s">
        <v>1935</v>
      </c>
      <c r="H174" t="s">
        <v>1935</v>
      </c>
      <c r="I174" t="s">
        <v>1935</v>
      </c>
      <c r="J174" t="s">
        <v>1935</v>
      </c>
      <c r="K174" t="s">
        <v>1288</v>
      </c>
    </row>
    <row r="175" spans="1:11">
      <c r="A175" t="s">
        <v>17</v>
      </c>
      <c r="B175" t="s">
        <v>304</v>
      </c>
      <c r="C175" t="s">
        <v>2164</v>
      </c>
      <c r="D175" t="s">
        <v>1796</v>
      </c>
      <c r="E175" t="s">
        <v>1935</v>
      </c>
      <c r="F175" t="s">
        <v>54</v>
      </c>
      <c r="G175" t="s">
        <v>1935</v>
      </c>
      <c r="H175" t="s">
        <v>1935</v>
      </c>
      <c r="I175" t="s">
        <v>1935</v>
      </c>
      <c r="J175" t="s">
        <v>1935</v>
      </c>
      <c r="K175" t="s">
        <v>1660</v>
      </c>
    </row>
    <row r="176" spans="1:11">
      <c r="A176" t="s">
        <v>17</v>
      </c>
      <c r="B176" t="s">
        <v>304</v>
      </c>
      <c r="C176" t="s">
        <v>2165</v>
      </c>
      <c r="D176" t="s">
        <v>2166</v>
      </c>
      <c r="E176" t="s">
        <v>1935</v>
      </c>
      <c r="F176" t="s">
        <v>54</v>
      </c>
      <c r="G176" t="s">
        <v>1935</v>
      </c>
      <c r="H176" t="s">
        <v>1935</v>
      </c>
      <c r="I176" t="s">
        <v>1935</v>
      </c>
      <c r="J176" t="s">
        <v>1935</v>
      </c>
      <c r="K176" t="s">
        <v>1916</v>
      </c>
    </row>
    <row r="177" spans="1:11">
      <c r="A177" t="s">
        <v>17</v>
      </c>
      <c r="B177" t="s">
        <v>304</v>
      </c>
      <c r="C177" t="s">
        <v>2167</v>
      </c>
      <c r="D177" t="s">
        <v>1667</v>
      </c>
      <c r="E177" t="s">
        <v>1935</v>
      </c>
      <c r="F177" t="s">
        <v>54</v>
      </c>
      <c r="G177" t="s">
        <v>1935</v>
      </c>
      <c r="H177" t="s">
        <v>1935</v>
      </c>
      <c r="I177" t="s">
        <v>1935</v>
      </c>
      <c r="J177" t="s">
        <v>1935</v>
      </c>
      <c r="K177" t="s">
        <v>1666</v>
      </c>
    </row>
    <row r="178" spans="1:11">
      <c r="A178" t="s">
        <v>17</v>
      </c>
      <c r="B178" t="s">
        <v>304</v>
      </c>
      <c r="C178" t="s">
        <v>2168</v>
      </c>
      <c r="D178" t="s">
        <v>1669</v>
      </c>
      <c r="E178" t="s">
        <v>1935</v>
      </c>
      <c r="F178" t="s">
        <v>54</v>
      </c>
      <c r="G178" t="s">
        <v>1935</v>
      </c>
      <c r="H178" t="s">
        <v>1935</v>
      </c>
      <c r="I178" t="s">
        <v>1935</v>
      </c>
      <c r="J178" t="s">
        <v>1935</v>
      </c>
      <c r="K178" t="s">
        <v>1666</v>
      </c>
    </row>
    <row r="179" spans="1:11">
      <c r="A179" t="s">
        <v>17</v>
      </c>
      <c r="B179" t="s">
        <v>304</v>
      </c>
      <c r="C179" t="s">
        <v>2169</v>
      </c>
      <c r="D179" t="s">
        <v>2170</v>
      </c>
      <c r="E179" t="s">
        <v>1935</v>
      </c>
      <c r="F179" t="s">
        <v>54</v>
      </c>
      <c r="G179" t="s">
        <v>1935</v>
      </c>
      <c r="H179" t="s">
        <v>1935</v>
      </c>
      <c r="I179" t="s">
        <v>1935</v>
      </c>
      <c r="J179" t="s">
        <v>1935</v>
      </c>
      <c r="K179" t="s">
        <v>1916</v>
      </c>
    </row>
    <row r="180" spans="1:11">
      <c r="A180" t="s">
        <v>17</v>
      </c>
      <c r="B180" t="s">
        <v>304</v>
      </c>
      <c r="C180" t="s">
        <v>2171</v>
      </c>
      <c r="D180" t="s">
        <v>1671</v>
      </c>
      <c r="E180" t="s">
        <v>1935</v>
      </c>
      <c r="F180" t="s">
        <v>54</v>
      </c>
      <c r="G180" t="s">
        <v>1935</v>
      </c>
      <c r="H180" t="s">
        <v>1935</v>
      </c>
      <c r="I180" t="s">
        <v>1935</v>
      </c>
      <c r="J180" t="s">
        <v>1935</v>
      </c>
      <c r="K180" t="s">
        <v>1666</v>
      </c>
    </row>
    <row r="181" spans="1:11">
      <c r="A181" t="s">
        <v>17</v>
      </c>
      <c r="B181" t="s">
        <v>304</v>
      </c>
      <c r="C181" t="s">
        <v>2172</v>
      </c>
      <c r="D181" t="s">
        <v>2173</v>
      </c>
      <c r="E181" t="s">
        <v>1935</v>
      </c>
      <c r="F181" t="s">
        <v>54</v>
      </c>
      <c r="G181" t="s">
        <v>1935</v>
      </c>
      <c r="H181" t="s">
        <v>1935</v>
      </c>
      <c r="I181" t="s">
        <v>1935</v>
      </c>
      <c r="J181" t="s">
        <v>1935</v>
      </c>
      <c r="K181" t="s">
        <v>1920</v>
      </c>
    </row>
    <row r="182" spans="1:11">
      <c r="A182" t="s">
        <v>17</v>
      </c>
      <c r="B182" t="s">
        <v>304</v>
      </c>
      <c r="C182" t="s">
        <v>2174</v>
      </c>
      <c r="D182" t="s">
        <v>1673</v>
      </c>
      <c r="E182" t="s">
        <v>1935</v>
      </c>
      <c r="F182" t="s">
        <v>54</v>
      </c>
      <c r="G182" t="s">
        <v>1935</v>
      </c>
      <c r="H182" t="s">
        <v>1935</v>
      </c>
      <c r="I182" t="s">
        <v>1935</v>
      </c>
      <c r="J182" t="s">
        <v>1935</v>
      </c>
      <c r="K182" t="s">
        <v>1666</v>
      </c>
    </row>
    <row r="183" spans="1:11">
      <c r="A183" t="s">
        <v>17</v>
      </c>
      <c r="B183" t="s">
        <v>304</v>
      </c>
      <c r="C183" t="s">
        <v>2175</v>
      </c>
      <c r="D183" t="s">
        <v>2176</v>
      </c>
      <c r="E183" t="s">
        <v>1935</v>
      </c>
      <c r="F183" t="s">
        <v>54</v>
      </c>
      <c r="G183" t="s">
        <v>1935</v>
      </c>
      <c r="H183" t="s">
        <v>1935</v>
      </c>
      <c r="I183" t="s">
        <v>1935</v>
      </c>
      <c r="J183" t="s">
        <v>1935</v>
      </c>
      <c r="K183" t="s">
        <v>1920</v>
      </c>
    </row>
    <row r="184" spans="1:11">
      <c r="A184" t="s">
        <v>17</v>
      </c>
      <c r="B184" t="s">
        <v>304</v>
      </c>
      <c r="C184" t="s">
        <v>2177</v>
      </c>
      <c r="D184" t="s">
        <v>1674</v>
      </c>
      <c r="E184" t="s">
        <v>1935</v>
      </c>
      <c r="F184" t="s">
        <v>54</v>
      </c>
      <c r="G184" t="s">
        <v>1935</v>
      </c>
      <c r="H184" t="s">
        <v>1935</v>
      </c>
      <c r="I184" t="s">
        <v>1935</v>
      </c>
      <c r="J184" t="s">
        <v>1935</v>
      </c>
      <c r="K184" t="s">
        <v>1666</v>
      </c>
    </row>
    <row r="185" spans="1:11">
      <c r="A185" t="s">
        <v>17</v>
      </c>
      <c r="B185" t="s">
        <v>304</v>
      </c>
      <c r="C185" t="s">
        <v>2178</v>
      </c>
      <c r="D185" t="s">
        <v>2179</v>
      </c>
      <c r="E185" t="s">
        <v>1935</v>
      </c>
      <c r="F185" t="s">
        <v>54</v>
      </c>
      <c r="G185" t="s">
        <v>1935</v>
      </c>
      <c r="H185" t="s">
        <v>1935</v>
      </c>
      <c r="I185" t="s">
        <v>1935</v>
      </c>
      <c r="J185" t="s">
        <v>1935</v>
      </c>
      <c r="K185" t="s">
        <v>1920</v>
      </c>
    </row>
    <row r="186" spans="1:11">
      <c r="A186" t="s">
        <v>17</v>
      </c>
      <c r="B186" t="s">
        <v>304</v>
      </c>
      <c r="C186" t="s">
        <v>2180</v>
      </c>
      <c r="D186" t="s">
        <v>1675</v>
      </c>
      <c r="E186" t="s">
        <v>1935</v>
      </c>
      <c r="F186" t="s">
        <v>54</v>
      </c>
      <c r="G186" t="s">
        <v>1935</v>
      </c>
      <c r="H186" t="s">
        <v>1935</v>
      </c>
      <c r="I186" t="s">
        <v>1935</v>
      </c>
      <c r="J186" t="s">
        <v>1935</v>
      </c>
      <c r="K186" t="s">
        <v>1666</v>
      </c>
    </row>
    <row r="187" spans="1:11">
      <c r="A187" t="s">
        <v>17</v>
      </c>
      <c r="B187" t="s">
        <v>304</v>
      </c>
      <c r="C187" t="s">
        <v>2181</v>
      </c>
      <c r="D187" t="s">
        <v>2182</v>
      </c>
      <c r="E187" t="s">
        <v>1935</v>
      </c>
      <c r="F187" t="s">
        <v>54</v>
      </c>
      <c r="G187" t="s">
        <v>1935</v>
      </c>
      <c r="H187" t="s">
        <v>1935</v>
      </c>
      <c r="I187" t="s">
        <v>1935</v>
      </c>
      <c r="J187" t="s">
        <v>1935</v>
      </c>
      <c r="K187" t="s">
        <v>1920</v>
      </c>
    </row>
    <row r="188" spans="1:11">
      <c r="A188" t="s">
        <v>17</v>
      </c>
      <c r="B188" t="s">
        <v>304</v>
      </c>
      <c r="C188" t="s">
        <v>2183</v>
      </c>
      <c r="D188" t="s">
        <v>1676</v>
      </c>
      <c r="E188" t="s">
        <v>1935</v>
      </c>
      <c r="F188" t="s">
        <v>54</v>
      </c>
      <c r="G188" t="s">
        <v>1935</v>
      </c>
      <c r="H188" t="s">
        <v>1935</v>
      </c>
      <c r="I188" t="s">
        <v>1935</v>
      </c>
      <c r="J188" t="s">
        <v>1935</v>
      </c>
      <c r="K188" t="s">
        <v>1666</v>
      </c>
    </row>
    <row r="189" spans="1:11">
      <c r="A189" t="s">
        <v>17</v>
      </c>
      <c r="B189" t="s">
        <v>304</v>
      </c>
      <c r="C189" t="s">
        <v>2184</v>
      </c>
      <c r="D189" t="s">
        <v>1705</v>
      </c>
      <c r="E189" t="s">
        <v>1935</v>
      </c>
      <c r="F189" t="s">
        <v>54</v>
      </c>
      <c r="G189" t="s">
        <v>1935</v>
      </c>
      <c r="H189" t="s">
        <v>1935</v>
      </c>
      <c r="I189" t="s">
        <v>1935</v>
      </c>
      <c r="J189" t="s">
        <v>1935</v>
      </c>
      <c r="K189" t="s">
        <v>1045</v>
      </c>
    </row>
    <row r="190" spans="1:11">
      <c r="A190" t="s">
        <v>17</v>
      </c>
      <c r="B190" t="s">
        <v>304</v>
      </c>
      <c r="C190" t="s">
        <v>2185</v>
      </c>
      <c r="D190" t="s">
        <v>1688</v>
      </c>
      <c r="E190" t="s">
        <v>1935</v>
      </c>
      <c r="F190" t="s">
        <v>54</v>
      </c>
      <c r="G190" t="s">
        <v>1935</v>
      </c>
      <c r="H190" t="s">
        <v>1935</v>
      </c>
      <c r="I190" t="s">
        <v>1935</v>
      </c>
      <c r="J190" t="s">
        <v>1935</v>
      </c>
      <c r="K190" t="s">
        <v>1289</v>
      </c>
    </row>
    <row r="191" spans="1:11">
      <c r="A191" t="s">
        <v>17</v>
      </c>
      <c r="B191" t="s">
        <v>304</v>
      </c>
      <c r="C191" t="s">
        <v>2186</v>
      </c>
      <c r="D191" t="s">
        <v>1707</v>
      </c>
      <c r="E191" t="s">
        <v>1935</v>
      </c>
      <c r="F191" t="s">
        <v>54</v>
      </c>
      <c r="G191" t="s">
        <v>1935</v>
      </c>
      <c r="H191" t="s">
        <v>1935</v>
      </c>
      <c r="I191" t="s">
        <v>1935</v>
      </c>
      <c r="J191" t="s">
        <v>1935</v>
      </c>
      <c r="K191" t="s">
        <v>1045</v>
      </c>
    </row>
    <row r="192" spans="1:11">
      <c r="A192" t="s">
        <v>17</v>
      </c>
      <c r="B192" t="s">
        <v>304</v>
      </c>
      <c r="C192" t="s">
        <v>2187</v>
      </c>
      <c r="D192" t="s">
        <v>1709</v>
      </c>
      <c r="E192" t="s">
        <v>1935</v>
      </c>
      <c r="F192" t="s">
        <v>54</v>
      </c>
      <c r="G192" t="s">
        <v>1935</v>
      </c>
      <c r="H192" t="s">
        <v>1935</v>
      </c>
      <c r="I192" t="s">
        <v>1935</v>
      </c>
      <c r="J192" t="s">
        <v>1935</v>
      </c>
      <c r="K192" t="s">
        <v>1045</v>
      </c>
    </row>
    <row r="193" spans="1:11">
      <c r="A193" t="s">
        <v>17</v>
      </c>
      <c r="B193" t="s">
        <v>304</v>
      </c>
      <c r="C193" t="s">
        <v>2188</v>
      </c>
      <c r="D193" t="s">
        <v>1711</v>
      </c>
      <c r="E193" t="s">
        <v>1935</v>
      </c>
      <c r="F193" t="s">
        <v>54</v>
      </c>
      <c r="G193" t="s">
        <v>1935</v>
      </c>
      <c r="H193" t="s">
        <v>1935</v>
      </c>
      <c r="I193" t="s">
        <v>1935</v>
      </c>
      <c r="J193" t="s">
        <v>1935</v>
      </c>
      <c r="K193" t="s">
        <v>1045</v>
      </c>
    </row>
    <row r="194" spans="1:11">
      <c r="A194" t="s">
        <v>17</v>
      </c>
      <c r="B194" t="s">
        <v>304</v>
      </c>
      <c r="C194" t="s">
        <v>2189</v>
      </c>
      <c r="D194" t="s">
        <v>1697</v>
      </c>
      <c r="E194" t="s">
        <v>1935</v>
      </c>
      <c r="F194" t="s">
        <v>54</v>
      </c>
      <c r="G194" t="s">
        <v>1935</v>
      </c>
      <c r="H194" t="s">
        <v>1935</v>
      </c>
      <c r="I194" t="s">
        <v>1935</v>
      </c>
      <c r="J194" t="s">
        <v>1935</v>
      </c>
      <c r="K194" t="s">
        <v>1045</v>
      </c>
    </row>
    <row r="195" spans="1:11">
      <c r="A195" t="s">
        <v>17</v>
      </c>
      <c r="B195" t="s">
        <v>304</v>
      </c>
      <c r="C195" t="s">
        <v>2190</v>
      </c>
      <c r="D195" t="s">
        <v>1713</v>
      </c>
      <c r="E195" t="s">
        <v>1935</v>
      </c>
      <c r="F195" t="s">
        <v>54</v>
      </c>
      <c r="G195" t="s">
        <v>1935</v>
      </c>
      <c r="H195" t="s">
        <v>1935</v>
      </c>
      <c r="I195" t="s">
        <v>1935</v>
      </c>
      <c r="J195" t="s">
        <v>1935</v>
      </c>
      <c r="K195" t="s">
        <v>1045</v>
      </c>
    </row>
    <row r="196" spans="1:11">
      <c r="A196" t="s">
        <v>17</v>
      </c>
      <c r="B196" t="s">
        <v>304</v>
      </c>
      <c r="C196" t="s">
        <v>2191</v>
      </c>
      <c r="D196" t="s">
        <v>1699</v>
      </c>
      <c r="E196" t="s">
        <v>1935</v>
      </c>
      <c r="F196" t="s">
        <v>54</v>
      </c>
      <c r="G196" t="s">
        <v>1935</v>
      </c>
      <c r="H196" t="s">
        <v>1935</v>
      </c>
      <c r="I196" t="s">
        <v>1935</v>
      </c>
      <c r="J196" t="s">
        <v>1935</v>
      </c>
      <c r="K196" t="s">
        <v>1045</v>
      </c>
    </row>
    <row r="197" spans="1:11">
      <c r="A197" t="s">
        <v>17</v>
      </c>
      <c r="B197" t="s">
        <v>304</v>
      </c>
      <c r="C197" t="s">
        <v>2192</v>
      </c>
      <c r="D197" t="s">
        <v>1715</v>
      </c>
      <c r="E197" t="s">
        <v>1935</v>
      </c>
      <c r="F197" t="s">
        <v>54</v>
      </c>
      <c r="G197" t="s">
        <v>1935</v>
      </c>
      <c r="H197" t="s">
        <v>1935</v>
      </c>
      <c r="I197" t="s">
        <v>1935</v>
      </c>
      <c r="J197" t="s">
        <v>1935</v>
      </c>
      <c r="K197" t="s">
        <v>1045</v>
      </c>
    </row>
    <row r="198" spans="1:11">
      <c r="A198" t="s">
        <v>17</v>
      </c>
      <c r="B198" t="s">
        <v>304</v>
      </c>
      <c r="C198" t="s">
        <v>2193</v>
      </c>
      <c r="D198" t="s">
        <v>1701</v>
      </c>
      <c r="E198" t="s">
        <v>1935</v>
      </c>
      <c r="F198" t="s">
        <v>54</v>
      </c>
      <c r="G198" t="s">
        <v>1935</v>
      </c>
      <c r="H198" t="s">
        <v>1935</v>
      </c>
      <c r="I198" t="s">
        <v>1935</v>
      </c>
      <c r="J198" t="s">
        <v>1935</v>
      </c>
      <c r="K198" t="s">
        <v>1045</v>
      </c>
    </row>
    <row r="199" spans="1:11">
      <c r="A199" t="s">
        <v>17</v>
      </c>
      <c r="B199" t="s">
        <v>304</v>
      </c>
      <c r="C199" t="s">
        <v>2194</v>
      </c>
      <c r="D199" t="s">
        <v>1717</v>
      </c>
      <c r="E199" t="s">
        <v>1935</v>
      </c>
      <c r="F199" t="s">
        <v>54</v>
      </c>
      <c r="G199" t="s">
        <v>1935</v>
      </c>
      <c r="H199" t="s">
        <v>1935</v>
      </c>
      <c r="I199" t="s">
        <v>1935</v>
      </c>
      <c r="J199" t="s">
        <v>1935</v>
      </c>
      <c r="K199" t="s">
        <v>1045</v>
      </c>
    </row>
    <row r="200" spans="1:11">
      <c r="A200" t="s">
        <v>17</v>
      </c>
      <c r="B200" t="s">
        <v>304</v>
      </c>
      <c r="C200" t="s">
        <v>2195</v>
      </c>
      <c r="D200" t="s">
        <v>1703</v>
      </c>
      <c r="E200" t="s">
        <v>1935</v>
      </c>
      <c r="F200" t="s">
        <v>54</v>
      </c>
      <c r="G200" t="s">
        <v>1935</v>
      </c>
      <c r="H200" t="s">
        <v>1935</v>
      </c>
      <c r="I200" t="s">
        <v>1935</v>
      </c>
      <c r="J200" t="s">
        <v>1935</v>
      </c>
      <c r="K200" t="s">
        <v>1045</v>
      </c>
    </row>
    <row r="201" spans="1:11">
      <c r="A201" t="s">
        <v>17</v>
      </c>
      <c r="B201" t="s">
        <v>304</v>
      </c>
      <c r="C201" t="s">
        <v>2196</v>
      </c>
      <c r="D201" t="s">
        <v>1719</v>
      </c>
      <c r="E201" t="s">
        <v>1935</v>
      </c>
      <c r="F201" t="s">
        <v>54</v>
      </c>
      <c r="G201" t="s">
        <v>1935</v>
      </c>
      <c r="H201" t="s">
        <v>1935</v>
      </c>
      <c r="I201" t="s">
        <v>1935</v>
      </c>
      <c r="J201" t="s">
        <v>1935</v>
      </c>
      <c r="K201" t="s">
        <v>1045</v>
      </c>
    </row>
    <row r="202" spans="1:11">
      <c r="A202" t="s">
        <v>17</v>
      </c>
      <c r="B202" t="s">
        <v>304</v>
      </c>
      <c r="C202" t="s">
        <v>2197</v>
      </c>
      <c r="D202" t="s">
        <v>1745</v>
      </c>
      <c r="E202" t="s">
        <v>1935</v>
      </c>
      <c r="F202" t="s">
        <v>54</v>
      </c>
      <c r="G202" t="s">
        <v>1935</v>
      </c>
      <c r="H202" t="s">
        <v>1935</v>
      </c>
      <c r="I202" t="s">
        <v>1935</v>
      </c>
      <c r="J202" t="s">
        <v>1935</v>
      </c>
      <c r="K202" t="s">
        <v>1286</v>
      </c>
    </row>
    <row r="203" spans="1:11">
      <c r="A203" t="s">
        <v>17</v>
      </c>
      <c r="B203" t="s">
        <v>304</v>
      </c>
      <c r="C203" t="s">
        <v>2198</v>
      </c>
      <c r="D203" t="s">
        <v>1721</v>
      </c>
      <c r="E203" t="s">
        <v>1935</v>
      </c>
      <c r="F203" t="s">
        <v>54</v>
      </c>
      <c r="G203" t="s">
        <v>1935</v>
      </c>
      <c r="H203" t="s">
        <v>1935</v>
      </c>
      <c r="I203" t="s">
        <v>1935</v>
      </c>
      <c r="J203" t="s">
        <v>1935</v>
      </c>
      <c r="K203" t="s">
        <v>1045</v>
      </c>
    </row>
    <row r="204" spans="1:11">
      <c r="A204" t="s">
        <v>17</v>
      </c>
      <c r="B204" t="s">
        <v>304</v>
      </c>
      <c r="C204" t="s">
        <v>2199</v>
      </c>
      <c r="D204" t="s">
        <v>1754</v>
      </c>
      <c r="E204" t="s">
        <v>1935</v>
      </c>
      <c r="F204" t="s">
        <v>54</v>
      </c>
      <c r="G204" t="s">
        <v>1935</v>
      </c>
      <c r="H204" t="s">
        <v>1935</v>
      </c>
      <c r="I204" t="s">
        <v>1935</v>
      </c>
      <c r="J204" t="s">
        <v>1935</v>
      </c>
      <c r="K204" t="s">
        <v>1288</v>
      </c>
    </row>
    <row r="205" spans="1:11">
      <c r="A205" t="s">
        <v>17</v>
      </c>
      <c r="B205" t="s">
        <v>304</v>
      </c>
      <c r="C205" t="s">
        <v>2200</v>
      </c>
      <c r="D205" t="s">
        <v>1723</v>
      </c>
      <c r="E205" t="s">
        <v>1935</v>
      </c>
      <c r="F205" t="s">
        <v>54</v>
      </c>
      <c r="G205" t="s">
        <v>1935</v>
      </c>
      <c r="H205" t="s">
        <v>1935</v>
      </c>
      <c r="I205" t="s">
        <v>1935</v>
      </c>
      <c r="J205" t="s">
        <v>1935</v>
      </c>
      <c r="K205" t="s">
        <v>1045</v>
      </c>
    </row>
    <row r="206" spans="1:11">
      <c r="A206" t="s">
        <v>17</v>
      </c>
      <c r="B206" t="s">
        <v>304</v>
      </c>
      <c r="C206" t="s">
        <v>2201</v>
      </c>
      <c r="D206" t="s">
        <v>1818</v>
      </c>
      <c r="E206" t="s">
        <v>1935</v>
      </c>
      <c r="F206" t="s">
        <v>54</v>
      </c>
      <c r="G206" t="s">
        <v>1935</v>
      </c>
      <c r="H206" t="s">
        <v>1935</v>
      </c>
      <c r="I206" t="s">
        <v>1935</v>
      </c>
      <c r="J206" t="s">
        <v>1935</v>
      </c>
      <c r="K206" t="s">
        <v>1288</v>
      </c>
    </row>
    <row r="207" spans="1:11">
      <c r="A207" t="s">
        <v>17</v>
      </c>
      <c r="B207" t="s">
        <v>304</v>
      </c>
      <c r="C207" t="s">
        <v>2202</v>
      </c>
      <c r="D207" t="s">
        <v>1725</v>
      </c>
      <c r="E207" t="s">
        <v>1935</v>
      </c>
      <c r="F207" t="s">
        <v>54</v>
      </c>
      <c r="G207" t="s">
        <v>1935</v>
      </c>
      <c r="H207" t="s">
        <v>1935</v>
      </c>
      <c r="I207" t="s">
        <v>1935</v>
      </c>
      <c r="J207" t="s">
        <v>1935</v>
      </c>
      <c r="K207" t="s">
        <v>1045</v>
      </c>
    </row>
    <row r="208" spans="1:11">
      <c r="A208" t="s">
        <v>17</v>
      </c>
      <c r="B208" t="s">
        <v>304</v>
      </c>
      <c r="C208" t="s">
        <v>2203</v>
      </c>
      <c r="D208" t="s">
        <v>1783</v>
      </c>
      <c r="E208" t="s">
        <v>1935</v>
      </c>
      <c r="F208" t="s">
        <v>54</v>
      </c>
      <c r="G208" t="s">
        <v>1935</v>
      </c>
      <c r="H208" t="s">
        <v>1935</v>
      </c>
      <c r="I208" t="s">
        <v>1935</v>
      </c>
      <c r="J208" t="s">
        <v>1935</v>
      </c>
      <c r="K208" t="s">
        <v>1285</v>
      </c>
    </row>
    <row r="209" spans="1:11">
      <c r="A209" t="s">
        <v>17</v>
      </c>
      <c r="B209" t="s">
        <v>304</v>
      </c>
      <c r="C209" t="s">
        <v>2204</v>
      </c>
      <c r="D209" t="s">
        <v>1727</v>
      </c>
      <c r="E209" t="s">
        <v>1935</v>
      </c>
      <c r="F209" t="s">
        <v>54</v>
      </c>
      <c r="G209" t="s">
        <v>1935</v>
      </c>
      <c r="H209" t="s">
        <v>1935</v>
      </c>
      <c r="I209" t="s">
        <v>1935</v>
      </c>
      <c r="J209" t="s">
        <v>1935</v>
      </c>
      <c r="K209" t="s">
        <v>1045</v>
      </c>
    </row>
    <row r="210" spans="1:11">
      <c r="A210" t="s">
        <v>17</v>
      </c>
      <c r="B210" t="s">
        <v>304</v>
      </c>
      <c r="C210" t="s">
        <v>2205</v>
      </c>
      <c r="D210" t="s">
        <v>1729</v>
      </c>
      <c r="E210" t="s">
        <v>1935</v>
      </c>
      <c r="F210" t="s">
        <v>54</v>
      </c>
      <c r="G210" t="s">
        <v>1935</v>
      </c>
      <c r="H210" t="s">
        <v>1935</v>
      </c>
      <c r="I210" t="s">
        <v>1935</v>
      </c>
      <c r="J210" t="s">
        <v>1935</v>
      </c>
      <c r="K210" t="s">
        <v>1045</v>
      </c>
    </row>
    <row r="211" spans="1:11">
      <c r="A211" t="s">
        <v>17</v>
      </c>
      <c r="B211" t="s">
        <v>304</v>
      </c>
      <c r="C211" t="s">
        <v>2206</v>
      </c>
      <c r="D211" t="s">
        <v>1736</v>
      </c>
      <c r="E211" t="s">
        <v>1935</v>
      </c>
      <c r="F211" t="s">
        <v>54</v>
      </c>
      <c r="G211" t="s">
        <v>1935</v>
      </c>
      <c r="H211" t="s">
        <v>1935</v>
      </c>
      <c r="I211" t="s">
        <v>1935</v>
      </c>
      <c r="J211" t="s">
        <v>1935</v>
      </c>
      <c r="K211" t="s">
        <v>1045</v>
      </c>
    </row>
    <row r="212" spans="1:11">
      <c r="A212" t="s">
        <v>17</v>
      </c>
      <c r="B212" t="s">
        <v>304</v>
      </c>
      <c r="C212" t="s">
        <v>2207</v>
      </c>
      <c r="D212" t="s">
        <v>1810</v>
      </c>
      <c r="E212" t="s">
        <v>1935</v>
      </c>
      <c r="F212" t="s">
        <v>54</v>
      </c>
      <c r="G212" t="s">
        <v>1935</v>
      </c>
      <c r="H212" t="s">
        <v>1935</v>
      </c>
      <c r="I212" t="s">
        <v>1935</v>
      </c>
      <c r="J212" t="s">
        <v>1935</v>
      </c>
      <c r="K212" t="s">
        <v>1353</v>
      </c>
    </row>
    <row r="213" spans="1:11">
      <c r="A213" t="s">
        <v>17</v>
      </c>
      <c r="B213" t="s">
        <v>304</v>
      </c>
      <c r="C213" t="s">
        <v>2208</v>
      </c>
      <c r="D213" t="s">
        <v>1743</v>
      </c>
      <c r="E213" t="s">
        <v>1935</v>
      </c>
      <c r="F213" t="s">
        <v>54</v>
      </c>
      <c r="G213" t="s">
        <v>1935</v>
      </c>
      <c r="H213" t="s">
        <v>1935</v>
      </c>
      <c r="I213" t="s">
        <v>1935</v>
      </c>
      <c r="J213" t="s">
        <v>1935</v>
      </c>
      <c r="K213" t="s">
        <v>1045</v>
      </c>
    </row>
    <row r="214" spans="1:11">
      <c r="A214" t="s">
        <v>17</v>
      </c>
      <c r="B214" t="s">
        <v>304</v>
      </c>
      <c r="C214" t="s">
        <v>2209</v>
      </c>
      <c r="D214" t="s">
        <v>1811</v>
      </c>
      <c r="E214" t="s">
        <v>1935</v>
      </c>
      <c r="F214" t="s">
        <v>54</v>
      </c>
      <c r="G214" t="s">
        <v>1935</v>
      </c>
      <c r="H214" t="s">
        <v>1935</v>
      </c>
      <c r="I214" t="s">
        <v>1935</v>
      </c>
      <c r="J214" t="s">
        <v>1935</v>
      </c>
      <c r="K214" t="s">
        <v>1353</v>
      </c>
    </row>
    <row r="215" spans="1:11">
      <c r="A215" t="s">
        <v>17</v>
      </c>
      <c r="B215" t="s">
        <v>304</v>
      </c>
      <c r="C215" t="s">
        <v>2210</v>
      </c>
      <c r="D215" t="s">
        <v>1690</v>
      </c>
      <c r="E215" t="s">
        <v>1935</v>
      </c>
      <c r="F215" t="s">
        <v>54</v>
      </c>
      <c r="G215" t="s">
        <v>1935</v>
      </c>
      <c r="H215" t="s">
        <v>1935</v>
      </c>
      <c r="I215" t="s">
        <v>1935</v>
      </c>
      <c r="J215" t="s">
        <v>1935</v>
      </c>
      <c r="K215" t="s">
        <v>1289</v>
      </c>
    </row>
    <row r="216" spans="1:11">
      <c r="A216" t="s">
        <v>17</v>
      </c>
      <c r="B216" t="s">
        <v>304</v>
      </c>
      <c r="C216" t="s">
        <v>2211</v>
      </c>
      <c r="D216" t="s">
        <v>1692</v>
      </c>
      <c r="E216" t="s">
        <v>1935</v>
      </c>
      <c r="F216" t="s">
        <v>54</v>
      </c>
      <c r="G216" t="s">
        <v>1935</v>
      </c>
      <c r="H216" t="s">
        <v>1935</v>
      </c>
      <c r="I216" t="s">
        <v>1935</v>
      </c>
      <c r="J216" t="s">
        <v>1935</v>
      </c>
      <c r="K216" t="s">
        <v>1289</v>
      </c>
    </row>
    <row r="217" spans="1:11">
      <c r="A217" t="s">
        <v>17</v>
      </c>
      <c r="B217" t="s">
        <v>304</v>
      </c>
      <c r="C217" t="s">
        <v>2212</v>
      </c>
      <c r="D217" t="s">
        <v>1734</v>
      </c>
      <c r="E217" t="s">
        <v>1935</v>
      </c>
      <c r="F217" t="s">
        <v>54</v>
      </c>
      <c r="G217" t="s">
        <v>1935</v>
      </c>
      <c r="H217" t="s">
        <v>1935</v>
      </c>
      <c r="I217" t="s">
        <v>1935</v>
      </c>
      <c r="J217" t="s">
        <v>1935</v>
      </c>
      <c r="K217" t="s">
        <v>1045</v>
      </c>
    </row>
    <row r="218" spans="1:11">
      <c r="A218" t="s">
        <v>17</v>
      </c>
      <c r="B218" t="s">
        <v>304</v>
      </c>
      <c r="C218" t="s">
        <v>2213</v>
      </c>
      <c r="D218" t="s">
        <v>2214</v>
      </c>
      <c r="E218" t="s">
        <v>1935</v>
      </c>
      <c r="F218" t="s">
        <v>54</v>
      </c>
      <c r="G218" t="s">
        <v>1935</v>
      </c>
      <c r="H218" t="s">
        <v>1935</v>
      </c>
      <c r="I218" t="s">
        <v>1935</v>
      </c>
      <c r="J218" t="s">
        <v>1935</v>
      </c>
      <c r="K218" t="s">
        <v>1045</v>
      </c>
    </row>
    <row r="219" spans="1:11">
      <c r="A219" t="s">
        <v>17</v>
      </c>
      <c r="B219" t="s">
        <v>304</v>
      </c>
      <c r="C219" t="s">
        <v>2215</v>
      </c>
      <c r="D219" t="s">
        <v>1741</v>
      </c>
      <c r="E219" t="s">
        <v>1935</v>
      </c>
      <c r="F219" t="s">
        <v>54</v>
      </c>
      <c r="G219" t="s">
        <v>1935</v>
      </c>
      <c r="H219" t="s">
        <v>1935</v>
      </c>
      <c r="I219" t="s">
        <v>1935</v>
      </c>
      <c r="J219" t="s">
        <v>1935</v>
      </c>
      <c r="K219" t="s">
        <v>1045</v>
      </c>
    </row>
    <row r="220" spans="1:11">
      <c r="A220" t="s">
        <v>17</v>
      </c>
      <c r="B220" t="s">
        <v>304</v>
      </c>
      <c r="C220" t="s">
        <v>2216</v>
      </c>
      <c r="D220" t="s">
        <v>1510</v>
      </c>
      <c r="E220" t="s">
        <v>1935</v>
      </c>
      <c r="F220" t="s">
        <v>54</v>
      </c>
      <c r="G220" t="s">
        <v>1935</v>
      </c>
      <c r="H220" t="s">
        <v>1935</v>
      </c>
      <c r="I220" t="s">
        <v>1935</v>
      </c>
      <c r="J220" t="s">
        <v>1935</v>
      </c>
      <c r="K220" t="s">
        <v>1285</v>
      </c>
    </row>
    <row r="221" spans="1:11">
      <c r="A221" t="s">
        <v>17</v>
      </c>
      <c r="B221" t="s">
        <v>304</v>
      </c>
      <c r="C221" t="s">
        <v>2217</v>
      </c>
      <c r="D221" t="s">
        <v>1765</v>
      </c>
      <c r="E221" t="s">
        <v>1935</v>
      </c>
      <c r="F221" t="s">
        <v>54</v>
      </c>
      <c r="G221" t="s">
        <v>1935</v>
      </c>
      <c r="H221" t="s">
        <v>1935</v>
      </c>
      <c r="I221" t="s">
        <v>1935</v>
      </c>
      <c r="J221" t="s">
        <v>1935</v>
      </c>
      <c r="K221" t="s">
        <v>1285</v>
      </c>
    </row>
    <row r="222" spans="1:11">
      <c r="A222" t="s">
        <v>17</v>
      </c>
      <c r="B222" t="s">
        <v>304</v>
      </c>
      <c r="C222" t="s">
        <v>2218</v>
      </c>
      <c r="D222" t="s">
        <v>1770</v>
      </c>
      <c r="E222" t="s">
        <v>1935</v>
      </c>
      <c r="F222" t="s">
        <v>54</v>
      </c>
      <c r="G222" t="s">
        <v>1935</v>
      </c>
      <c r="H222" t="s">
        <v>1935</v>
      </c>
      <c r="I222" t="s">
        <v>1935</v>
      </c>
      <c r="J222" t="s">
        <v>1935</v>
      </c>
      <c r="K222" t="s">
        <v>1285</v>
      </c>
    </row>
    <row r="223" spans="1:11">
      <c r="A223" t="s">
        <v>17</v>
      </c>
      <c r="B223" t="s">
        <v>304</v>
      </c>
      <c r="C223" t="s">
        <v>2219</v>
      </c>
      <c r="D223" t="s">
        <v>1773</v>
      </c>
      <c r="E223" t="s">
        <v>1935</v>
      </c>
      <c r="F223" t="s">
        <v>54</v>
      </c>
      <c r="G223" t="s">
        <v>1935</v>
      </c>
      <c r="H223" t="s">
        <v>1935</v>
      </c>
      <c r="I223" t="s">
        <v>1935</v>
      </c>
      <c r="J223" t="s">
        <v>1935</v>
      </c>
      <c r="K223" t="s">
        <v>1285</v>
      </c>
    </row>
    <row r="224" spans="1:11">
      <c r="A224" t="s">
        <v>17</v>
      </c>
      <c r="B224" t="s">
        <v>304</v>
      </c>
      <c r="C224" t="s">
        <v>2220</v>
      </c>
      <c r="D224" t="s">
        <v>1775</v>
      </c>
      <c r="E224" t="s">
        <v>1935</v>
      </c>
      <c r="F224" t="s">
        <v>54</v>
      </c>
      <c r="G224" t="s">
        <v>1935</v>
      </c>
      <c r="H224" t="s">
        <v>1935</v>
      </c>
      <c r="I224" t="s">
        <v>1935</v>
      </c>
      <c r="J224" t="s">
        <v>1935</v>
      </c>
      <c r="K224" t="s">
        <v>1285</v>
      </c>
    </row>
    <row r="225" spans="1:11">
      <c r="A225" t="s">
        <v>17</v>
      </c>
      <c r="B225" t="s">
        <v>304</v>
      </c>
      <c r="C225" t="s">
        <v>2221</v>
      </c>
      <c r="D225" t="s">
        <v>1777</v>
      </c>
      <c r="E225" t="s">
        <v>1935</v>
      </c>
      <c r="F225" t="s">
        <v>54</v>
      </c>
      <c r="G225" t="s">
        <v>1935</v>
      </c>
      <c r="H225" t="s">
        <v>1935</v>
      </c>
      <c r="I225" t="s">
        <v>1935</v>
      </c>
      <c r="J225" t="s">
        <v>1935</v>
      </c>
      <c r="K225" t="s">
        <v>1285</v>
      </c>
    </row>
    <row r="226" spans="1:11">
      <c r="A226" t="s">
        <v>17</v>
      </c>
      <c r="B226" t="s">
        <v>304</v>
      </c>
      <c r="C226" t="s">
        <v>2222</v>
      </c>
      <c r="D226" t="s">
        <v>1785</v>
      </c>
      <c r="E226" t="s">
        <v>1935</v>
      </c>
      <c r="F226" t="s">
        <v>54</v>
      </c>
      <c r="G226" t="s">
        <v>1935</v>
      </c>
      <c r="H226" t="s">
        <v>1935</v>
      </c>
      <c r="I226" t="s">
        <v>1935</v>
      </c>
      <c r="J226" t="s">
        <v>1935</v>
      </c>
      <c r="K226" t="s">
        <v>1285</v>
      </c>
    </row>
    <row r="227" spans="1:11">
      <c r="A227" t="s">
        <v>17</v>
      </c>
      <c r="B227" t="s">
        <v>304</v>
      </c>
      <c r="C227" t="s">
        <v>2223</v>
      </c>
      <c r="D227" t="s">
        <v>1787</v>
      </c>
      <c r="E227" t="s">
        <v>1935</v>
      </c>
      <c r="F227" t="s">
        <v>54</v>
      </c>
      <c r="G227" t="s">
        <v>1935</v>
      </c>
      <c r="H227" t="s">
        <v>1935</v>
      </c>
      <c r="I227" t="s">
        <v>1935</v>
      </c>
      <c r="J227" t="s">
        <v>1935</v>
      </c>
      <c r="K227" t="s">
        <v>1285</v>
      </c>
    </row>
    <row r="228" spans="1:11">
      <c r="A228" t="s">
        <v>17</v>
      </c>
      <c r="B228" t="s">
        <v>304</v>
      </c>
      <c r="C228" t="s">
        <v>2224</v>
      </c>
      <c r="D228" t="s">
        <v>1682</v>
      </c>
      <c r="E228" t="s">
        <v>1935</v>
      </c>
      <c r="F228" t="s">
        <v>54</v>
      </c>
      <c r="G228" t="s">
        <v>1935</v>
      </c>
      <c r="H228" t="s">
        <v>1935</v>
      </c>
      <c r="I228" t="s">
        <v>1935</v>
      </c>
      <c r="J228" t="s">
        <v>1935</v>
      </c>
      <c r="K228" t="s">
        <v>1289</v>
      </c>
    </row>
    <row r="229" spans="1:11">
      <c r="A229" t="s">
        <v>17</v>
      </c>
      <c r="B229" t="s">
        <v>304</v>
      </c>
      <c r="C229" t="s">
        <v>2225</v>
      </c>
      <c r="D229" t="s">
        <v>1749</v>
      </c>
      <c r="E229" t="s">
        <v>1935</v>
      </c>
      <c r="F229" t="s">
        <v>54</v>
      </c>
      <c r="G229" t="s">
        <v>1935</v>
      </c>
      <c r="H229" t="s">
        <v>1935</v>
      </c>
      <c r="I229" t="s">
        <v>1935</v>
      </c>
      <c r="J229" t="s">
        <v>1935</v>
      </c>
      <c r="K229" t="s">
        <v>1656</v>
      </c>
    </row>
    <row r="230" spans="1:11">
      <c r="A230" t="s">
        <v>17</v>
      </c>
      <c r="B230" t="s">
        <v>304</v>
      </c>
      <c r="C230" t="s">
        <v>2226</v>
      </c>
      <c r="D230" t="s">
        <v>1488</v>
      </c>
      <c r="E230" t="s">
        <v>1935</v>
      </c>
      <c r="F230" t="s">
        <v>54</v>
      </c>
      <c r="G230" t="s">
        <v>1935</v>
      </c>
      <c r="H230" t="s">
        <v>1935</v>
      </c>
      <c r="I230" t="s">
        <v>1935</v>
      </c>
      <c r="J230" t="s">
        <v>1935</v>
      </c>
      <c r="K230" t="s">
        <v>1497</v>
      </c>
    </row>
    <row r="231" spans="1:11">
      <c r="A231" t="s">
        <v>17</v>
      </c>
      <c r="B231" t="s">
        <v>304</v>
      </c>
      <c r="C231" t="s">
        <v>2227</v>
      </c>
      <c r="D231" t="s">
        <v>1507</v>
      </c>
      <c r="E231" t="s">
        <v>1935</v>
      </c>
      <c r="F231" t="s">
        <v>54</v>
      </c>
      <c r="G231" t="s">
        <v>1935</v>
      </c>
      <c r="H231" t="s">
        <v>1935</v>
      </c>
      <c r="I231" t="s">
        <v>1935</v>
      </c>
      <c r="J231" t="s">
        <v>1935</v>
      </c>
      <c r="K231" t="s">
        <v>1507</v>
      </c>
    </row>
    <row r="232" spans="1:11">
      <c r="A232" t="s">
        <v>17</v>
      </c>
      <c r="B232" t="s">
        <v>304</v>
      </c>
      <c r="C232" t="s">
        <v>2228</v>
      </c>
      <c r="D232" t="s">
        <v>1508</v>
      </c>
      <c r="E232" t="s">
        <v>1935</v>
      </c>
      <c r="F232" t="s">
        <v>54</v>
      </c>
      <c r="G232" t="s">
        <v>1935</v>
      </c>
      <c r="H232" t="s">
        <v>1935</v>
      </c>
      <c r="I232" t="s">
        <v>1935</v>
      </c>
      <c r="J232" t="s">
        <v>1935</v>
      </c>
      <c r="K232" t="s">
        <v>1508</v>
      </c>
    </row>
    <row r="233" spans="1:11">
      <c r="A233" t="s">
        <v>17</v>
      </c>
      <c r="B233" t="s">
        <v>304</v>
      </c>
      <c r="C233" t="s">
        <v>2229</v>
      </c>
      <c r="D233" t="s">
        <v>1879</v>
      </c>
      <c r="E233" t="s">
        <v>1935</v>
      </c>
      <c r="F233" t="s">
        <v>54</v>
      </c>
      <c r="G233" t="s">
        <v>1935</v>
      </c>
      <c r="H233" t="s">
        <v>1935</v>
      </c>
      <c r="I233" t="s">
        <v>1935</v>
      </c>
      <c r="J233" t="s">
        <v>1935</v>
      </c>
      <c r="K233" t="s">
        <v>1497</v>
      </c>
    </row>
    <row r="234" spans="1:11">
      <c r="A234" t="s">
        <v>17</v>
      </c>
      <c r="B234" t="s">
        <v>304</v>
      </c>
      <c r="C234" t="s">
        <v>2230</v>
      </c>
      <c r="D234" t="s">
        <v>1880</v>
      </c>
      <c r="E234" t="s">
        <v>1935</v>
      </c>
      <c r="F234" t="s">
        <v>54</v>
      </c>
      <c r="G234" t="s">
        <v>1935</v>
      </c>
      <c r="H234" t="s">
        <v>1935</v>
      </c>
      <c r="I234" t="s">
        <v>1935</v>
      </c>
      <c r="J234" t="s">
        <v>1935</v>
      </c>
      <c r="K234" t="s">
        <v>1497</v>
      </c>
    </row>
    <row r="235" spans="1:11">
      <c r="A235" t="s">
        <v>17</v>
      </c>
      <c r="B235" t="s">
        <v>304</v>
      </c>
      <c r="C235" t="s">
        <v>2231</v>
      </c>
      <c r="D235" t="s">
        <v>1793</v>
      </c>
      <c r="E235" t="s">
        <v>1935</v>
      </c>
      <c r="F235" t="s">
        <v>54</v>
      </c>
      <c r="G235" t="s">
        <v>1935</v>
      </c>
      <c r="H235" t="s">
        <v>1935</v>
      </c>
      <c r="I235" t="s">
        <v>1935</v>
      </c>
      <c r="J235" t="s">
        <v>1935</v>
      </c>
      <c r="K235" t="s">
        <v>1660</v>
      </c>
    </row>
    <row r="236" spans="1:11">
      <c r="A236" t="s">
        <v>17</v>
      </c>
      <c r="B236" t="s">
        <v>304</v>
      </c>
      <c r="C236" t="s">
        <v>2232</v>
      </c>
      <c r="D236" t="s">
        <v>1881</v>
      </c>
      <c r="E236" t="s">
        <v>1935</v>
      </c>
      <c r="F236" t="s">
        <v>54</v>
      </c>
      <c r="G236" t="s">
        <v>1935</v>
      </c>
      <c r="H236" t="s">
        <v>1935</v>
      </c>
      <c r="I236" t="s">
        <v>1935</v>
      </c>
      <c r="J236" t="s">
        <v>1935</v>
      </c>
      <c r="K236" t="s">
        <v>1497</v>
      </c>
    </row>
    <row r="237" spans="1:11">
      <c r="A237" t="s">
        <v>17</v>
      </c>
      <c r="B237" t="s">
        <v>304</v>
      </c>
      <c r="C237" t="s">
        <v>2233</v>
      </c>
      <c r="D237" t="s">
        <v>1661</v>
      </c>
      <c r="E237" t="s">
        <v>1935</v>
      </c>
      <c r="F237" t="s">
        <v>54</v>
      </c>
      <c r="G237" t="s">
        <v>1935</v>
      </c>
      <c r="H237" t="s">
        <v>1935</v>
      </c>
      <c r="I237" t="s">
        <v>1935</v>
      </c>
      <c r="J237" t="s">
        <v>1935</v>
      </c>
      <c r="K237" t="s">
        <v>1660</v>
      </c>
    </row>
    <row r="238" spans="1:11">
      <c r="A238" t="s">
        <v>17</v>
      </c>
      <c r="B238" t="s">
        <v>304</v>
      </c>
      <c r="C238" t="s">
        <v>2234</v>
      </c>
      <c r="D238" t="s">
        <v>1797</v>
      </c>
      <c r="E238" t="s">
        <v>1935</v>
      </c>
      <c r="F238" t="s">
        <v>54</v>
      </c>
      <c r="G238" t="s">
        <v>1935</v>
      </c>
      <c r="H238" t="s">
        <v>1935</v>
      </c>
      <c r="I238" t="s">
        <v>1935</v>
      </c>
      <c r="J238" t="s">
        <v>1935</v>
      </c>
      <c r="K238" t="s">
        <v>1660</v>
      </c>
    </row>
    <row r="239" spans="1:11">
      <c r="A239" t="s">
        <v>17</v>
      </c>
      <c r="B239" t="s">
        <v>304</v>
      </c>
      <c r="C239" t="s">
        <v>2235</v>
      </c>
      <c r="D239" t="s">
        <v>1739</v>
      </c>
      <c r="E239" t="s">
        <v>1935</v>
      </c>
      <c r="F239" t="s">
        <v>54</v>
      </c>
      <c r="G239" t="s">
        <v>1935</v>
      </c>
      <c r="H239" t="s">
        <v>1935</v>
      </c>
      <c r="I239" t="s">
        <v>1935</v>
      </c>
      <c r="J239" t="s">
        <v>1935</v>
      </c>
      <c r="K239" t="s">
        <v>1497</v>
      </c>
    </row>
    <row r="240" spans="1:11">
      <c r="A240" t="s">
        <v>17</v>
      </c>
      <c r="B240" t="s">
        <v>304</v>
      </c>
      <c r="C240" t="s">
        <v>2236</v>
      </c>
      <c r="D240" t="s">
        <v>1694</v>
      </c>
      <c r="E240" t="s">
        <v>1935</v>
      </c>
      <c r="F240" t="s">
        <v>54</v>
      </c>
      <c r="G240" t="s">
        <v>1935</v>
      </c>
      <c r="H240" t="s">
        <v>1935</v>
      </c>
      <c r="I240" t="s">
        <v>1935</v>
      </c>
      <c r="J240" t="s">
        <v>1935</v>
      </c>
      <c r="K240" t="s">
        <v>1289</v>
      </c>
    </row>
    <row r="241" spans="1:11">
      <c r="A241" t="s">
        <v>17</v>
      </c>
      <c r="B241" t="s">
        <v>304</v>
      </c>
      <c r="C241" t="s">
        <v>2237</v>
      </c>
      <c r="D241" t="s">
        <v>1817</v>
      </c>
      <c r="E241" t="s">
        <v>1935</v>
      </c>
      <c r="F241" t="s">
        <v>54</v>
      </c>
      <c r="G241" t="s">
        <v>1935</v>
      </c>
      <c r="H241" t="s">
        <v>1935</v>
      </c>
      <c r="I241" t="s">
        <v>1935</v>
      </c>
      <c r="J241" t="s">
        <v>1935</v>
      </c>
      <c r="K241" t="s">
        <v>1288</v>
      </c>
    </row>
    <row r="242" spans="1:11">
      <c r="A242" t="s">
        <v>17</v>
      </c>
      <c r="B242" t="s">
        <v>304</v>
      </c>
      <c r="C242" t="s">
        <v>2238</v>
      </c>
      <c r="D242" t="s">
        <v>1882</v>
      </c>
      <c r="E242" t="s">
        <v>1935</v>
      </c>
      <c r="F242" t="s">
        <v>54</v>
      </c>
      <c r="G242" t="s">
        <v>1935</v>
      </c>
      <c r="H242" t="s">
        <v>1935</v>
      </c>
      <c r="I242" t="s">
        <v>1935</v>
      </c>
      <c r="J242" t="s">
        <v>1935</v>
      </c>
      <c r="K242" t="s">
        <v>1497</v>
      </c>
    </row>
    <row r="243" spans="1:11">
      <c r="A243" t="s">
        <v>17</v>
      </c>
      <c r="B243" t="s">
        <v>304</v>
      </c>
      <c r="C243" t="s">
        <v>2239</v>
      </c>
      <c r="D243" t="s">
        <v>1747</v>
      </c>
      <c r="E243" t="s">
        <v>1935</v>
      </c>
      <c r="F243" t="s">
        <v>54</v>
      </c>
      <c r="G243" t="s">
        <v>1935</v>
      </c>
      <c r="H243" t="s">
        <v>1935</v>
      </c>
      <c r="I243" t="s">
        <v>1935</v>
      </c>
      <c r="J243" t="s">
        <v>1935</v>
      </c>
      <c r="K243" t="s">
        <v>1286</v>
      </c>
    </row>
    <row r="244" spans="1:11">
      <c r="A244" t="s">
        <v>17</v>
      </c>
      <c r="B244" t="s">
        <v>304</v>
      </c>
      <c r="C244" t="s">
        <v>2240</v>
      </c>
      <c r="D244" t="s">
        <v>1491</v>
      </c>
      <c r="E244" t="s">
        <v>1935</v>
      </c>
      <c r="F244" t="s">
        <v>54</v>
      </c>
      <c r="G244" t="s">
        <v>1935</v>
      </c>
      <c r="H244" t="s">
        <v>1935</v>
      </c>
      <c r="I244" t="s">
        <v>1935</v>
      </c>
      <c r="J244" t="s">
        <v>1935</v>
      </c>
      <c r="K244" t="s">
        <v>1497</v>
      </c>
    </row>
    <row r="245" spans="1:11">
      <c r="A245" t="s">
        <v>17</v>
      </c>
      <c r="B245" t="s">
        <v>304</v>
      </c>
      <c r="C245" t="s">
        <v>2241</v>
      </c>
      <c r="D245" t="s">
        <v>1883</v>
      </c>
      <c r="E245" t="s">
        <v>1935</v>
      </c>
      <c r="F245" t="s">
        <v>54</v>
      </c>
      <c r="G245" t="s">
        <v>1935</v>
      </c>
      <c r="H245" t="s">
        <v>1935</v>
      </c>
      <c r="I245" t="s">
        <v>1935</v>
      </c>
      <c r="J245" t="s">
        <v>1935</v>
      </c>
      <c r="K245" t="s">
        <v>1497</v>
      </c>
    </row>
    <row r="246" spans="1:11">
      <c r="A246" t="s">
        <v>17</v>
      </c>
      <c r="B246" t="s">
        <v>304</v>
      </c>
      <c r="C246" t="s">
        <v>2242</v>
      </c>
      <c r="D246" t="s">
        <v>1823</v>
      </c>
      <c r="E246" t="s">
        <v>1935</v>
      </c>
      <c r="F246" t="s">
        <v>54</v>
      </c>
      <c r="G246" t="s">
        <v>1935</v>
      </c>
      <c r="H246" t="s">
        <v>1935</v>
      </c>
      <c r="I246" t="s">
        <v>1935</v>
      </c>
      <c r="J246" t="s">
        <v>1935</v>
      </c>
      <c r="K246" t="s">
        <v>1285</v>
      </c>
    </row>
    <row r="247" spans="1:11">
      <c r="A247" t="s">
        <v>17</v>
      </c>
      <c r="B247" t="s">
        <v>304</v>
      </c>
      <c r="C247" t="s">
        <v>2243</v>
      </c>
      <c r="D247" t="s">
        <v>1763</v>
      </c>
      <c r="E247" t="s">
        <v>1935</v>
      </c>
      <c r="F247" t="s">
        <v>54</v>
      </c>
      <c r="G247" t="s">
        <v>1935</v>
      </c>
      <c r="H247" t="s">
        <v>1935</v>
      </c>
      <c r="I247" t="s">
        <v>1935</v>
      </c>
      <c r="J247" t="s">
        <v>1935</v>
      </c>
      <c r="K247" t="s">
        <v>1285</v>
      </c>
    </row>
    <row r="248" spans="1:11">
      <c r="A248" t="s">
        <v>17</v>
      </c>
      <c r="B248" t="s">
        <v>304</v>
      </c>
      <c r="C248" t="s">
        <v>2244</v>
      </c>
      <c r="D248" t="s">
        <v>1492</v>
      </c>
      <c r="E248" t="s">
        <v>1935</v>
      </c>
      <c r="F248" t="s">
        <v>54</v>
      </c>
      <c r="G248" t="s">
        <v>1935</v>
      </c>
      <c r="H248" t="s">
        <v>1935</v>
      </c>
      <c r="I248" t="s">
        <v>1935</v>
      </c>
      <c r="J248" t="s">
        <v>1935</v>
      </c>
      <c r="K248" t="s">
        <v>1497</v>
      </c>
    </row>
    <row r="249" spans="1:11">
      <c r="A249" t="s">
        <v>17</v>
      </c>
      <c r="B249" t="s">
        <v>304</v>
      </c>
      <c r="C249" t="s">
        <v>2245</v>
      </c>
      <c r="D249" t="s">
        <v>1638</v>
      </c>
      <c r="E249" t="s">
        <v>1935</v>
      </c>
      <c r="F249" t="s">
        <v>54</v>
      </c>
      <c r="G249" t="s">
        <v>1935</v>
      </c>
      <c r="H249" t="s">
        <v>1935</v>
      </c>
      <c r="I249" t="s">
        <v>1935</v>
      </c>
      <c r="J249" t="s">
        <v>1935</v>
      </c>
      <c r="K249" t="s">
        <v>1637</v>
      </c>
    </row>
    <row r="250" spans="1:11">
      <c r="A250" t="s">
        <v>17</v>
      </c>
      <c r="B250" t="s">
        <v>304</v>
      </c>
      <c r="C250" t="s">
        <v>2246</v>
      </c>
      <c r="D250" t="s">
        <v>2247</v>
      </c>
      <c r="E250" t="s">
        <v>1935</v>
      </c>
      <c r="F250" t="s">
        <v>54</v>
      </c>
      <c r="G250" t="s">
        <v>1935</v>
      </c>
      <c r="H250" t="s">
        <v>1935</v>
      </c>
      <c r="I250" t="s">
        <v>1935</v>
      </c>
      <c r="J250" t="s">
        <v>1935</v>
      </c>
      <c r="K250" t="s">
        <v>1288</v>
      </c>
    </row>
    <row r="251" spans="1:11">
      <c r="A251" t="s">
        <v>17</v>
      </c>
      <c r="B251" t="s">
        <v>304</v>
      </c>
      <c r="C251" t="s">
        <v>2248</v>
      </c>
      <c r="D251" t="s">
        <v>2249</v>
      </c>
      <c r="E251" t="s">
        <v>1935</v>
      </c>
      <c r="F251" t="s">
        <v>54</v>
      </c>
      <c r="G251" t="s">
        <v>1935</v>
      </c>
      <c r="H251" t="s">
        <v>1935</v>
      </c>
      <c r="I251" t="s">
        <v>1935</v>
      </c>
      <c r="J251" t="s">
        <v>1935</v>
      </c>
      <c r="K251" t="s">
        <v>1285</v>
      </c>
    </row>
    <row r="252" spans="1:11">
      <c r="A252" t="s">
        <v>17</v>
      </c>
      <c r="B252" t="s">
        <v>304</v>
      </c>
      <c r="C252" t="s">
        <v>2250</v>
      </c>
      <c r="D252" t="s">
        <v>1820</v>
      </c>
      <c r="E252" t="s">
        <v>1935</v>
      </c>
      <c r="F252" t="s">
        <v>54</v>
      </c>
      <c r="G252" t="s">
        <v>1935</v>
      </c>
      <c r="H252" t="s">
        <v>1935</v>
      </c>
      <c r="I252" t="s">
        <v>1935</v>
      </c>
      <c r="J252" t="s">
        <v>1935</v>
      </c>
      <c r="K252" t="s">
        <v>1285</v>
      </c>
    </row>
    <row r="253" spans="1:11">
      <c r="A253" t="s">
        <v>17</v>
      </c>
      <c r="B253" t="s">
        <v>304</v>
      </c>
      <c r="C253" t="s">
        <v>2251</v>
      </c>
      <c r="D253" t="s">
        <v>1779</v>
      </c>
      <c r="E253" t="s">
        <v>1935</v>
      </c>
      <c r="F253" t="s">
        <v>54</v>
      </c>
      <c r="G253" t="s">
        <v>1935</v>
      </c>
      <c r="H253" t="s">
        <v>1935</v>
      </c>
      <c r="I253" t="s">
        <v>1935</v>
      </c>
      <c r="J253" t="s">
        <v>1935</v>
      </c>
      <c r="K253" t="s">
        <v>1285</v>
      </c>
    </row>
    <row r="254" spans="1:11">
      <c r="A254" t="s">
        <v>17</v>
      </c>
      <c r="B254" t="s">
        <v>304</v>
      </c>
      <c r="C254" t="s">
        <v>2252</v>
      </c>
      <c r="D254" t="s">
        <v>1837</v>
      </c>
      <c r="E254" t="s">
        <v>1935</v>
      </c>
      <c r="F254" t="s">
        <v>54</v>
      </c>
      <c r="G254" t="s">
        <v>1935</v>
      </c>
      <c r="H254" t="s">
        <v>1935</v>
      </c>
      <c r="I254" t="s">
        <v>1935</v>
      </c>
      <c r="J254" t="s">
        <v>1935</v>
      </c>
      <c r="K254" t="s">
        <v>1497</v>
      </c>
    </row>
    <row r="255" spans="1:11">
      <c r="A255" t="s">
        <v>17</v>
      </c>
      <c r="B255" t="s">
        <v>304</v>
      </c>
      <c r="C255" t="s">
        <v>2253</v>
      </c>
      <c r="D255" t="s">
        <v>1493</v>
      </c>
      <c r="E255" t="s">
        <v>1935</v>
      </c>
      <c r="F255" t="s">
        <v>54</v>
      </c>
      <c r="G255" t="s">
        <v>1935</v>
      </c>
      <c r="H255" t="s">
        <v>1935</v>
      </c>
      <c r="I255" t="s">
        <v>1935</v>
      </c>
      <c r="J255" t="s">
        <v>1935</v>
      </c>
      <c r="K255" t="s">
        <v>1497</v>
      </c>
    </row>
    <row r="256" spans="1:11">
      <c r="A256" t="s">
        <v>17</v>
      </c>
      <c r="B256" t="s">
        <v>304</v>
      </c>
      <c r="C256" t="s">
        <v>2254</v>
      </c>
      <c r="D256" t="s">
        <v>1494</v>
      </c>
      <c r="E256" t="s">
        <v>1935</v>
      </c>
      <c r="F256" t="s">
        <v>54</v>
      </c>
      <c r="G256" t="s">
        <v>1935</v>
      </c>
      <c r="H256" t="s">
        <v>1935</v>
      </c>
      <c r="I256" t="s">
        <v>1935</v>
      </c>
      <c r="J256" t="s">
        <v>1935</v>
      </c>
      <c r="K256" t="s">
        <v>1497</v>
      </c>
    </row>
    <row r="257" spans="1:11">
      <c r="A257" t="s">
        <v>17</v>
      </c>
      <c r="B257" t="s">
        <v>304</v>
      </c>
      <c r="C257" t="s">
        <v>2255</v>
      </c>
      <c r="D257" t="s">
        <v>2256</v>
      </c>
      <c r="E257" t="s">
        <v>1935</v>
      </c>
      <c r="F257" t="s">
        <v>54</v>
      </c>
      <c r="G257" t="s">
        <v>1935</v>
      </c>
      <c r="H257" t="s">
        <v>1935</v>
      </c>
      <c r="I257" t="s">
        <v>1935</v>
      </c>
      <c r="J257" t="s">
        <v>1935</v>
      </c>
      <c r="K257" t="s">
        <v>1890</v>
      </c>
    </row>
    <row r="258" spans="1:11">
      <c r="A258" t="s">
        <v>17</v>
      </c>
      <c r="B258" t="s">
        <v>304</v>
      </c>
      <c r="C258" t="s">
        <v>2257</v>
      </c>
      <c r="D258" t="s">
        <v>2258</v>
      </c>
      <c r="E258" t="s">
        <v>1935</v>
      </c>
      <c r="F258" t="s">
        <v>54</v>
      </c>
      <c r="G258" t="s">
        <v>1935</v>
      </c>
      <c r="H258" t="s">
        <v>1935</v>
      </c>
      <c r="I258" t="s">
        <v>1935</v>
      </c>
      <c r="J258" t="s">
        <v>1935</v>
      </c>
      <c r="K258" t="s">
        <v>1890</v>
      </c>
    </row>
    <row r="259" spans="1:11">
      <c r="A259" t="s">
        <v>17</v>
      </c>
      <c r="B259" t="s">
        <v>304</v>
      </c>
      <c r="C259" t="s">
        <v>2259</v>
      </c>
      <c r="D259" t="s">
        <v>2260</v>
      </c>
      <c r="E259" t="s">
        <v>1935</v>
      </c>
      <c r="F259" t="s">
        <v>54</v>
      </c>
      <c r="G259" t="s">
        <v>1935</v>
      </c>
      <c r="H259" t="s">
        <v>1935</v>
      </c>
      <c r="I259" t="s">
        <v>1935</v>
      </c>
      <c r="J259" t="s">
        <v>1935</v>
      </c>
      <c r="K259" t="s">
        <v>1890</v>
      </c>
    </row>
    <row r="260" spans="1:11">
      <c r="A260" t="s">
        <v>17</v>
      </c>
      <c r="B260" t="s">
        <v>304</v>
      </c>
      <c r="C260" t="s">
        <v>2261</v>
      </c>
      <c r="D260" t="s">
        <v>2262</v>
      </c>
      <c r="E260" t="s">
        <v>1935</v>
      </c>
      <c r="F260" t="s">
        <v>54</v>
      </c>
      <c r="G260" t="s">
        <v>1935</v>
      </c>
      <c r="H260" t="s">
        <v>1935</v>
      </c>
      <c r="I260" t="s">
        <v>1935</v>
      </c>
      <c r="J260" t="s">
        <v>1935</v>
      </c>
      <c r="K260" t="s">
        <v>1890</v>
      </c>
    </row>
    <row r="261" spans="1:11">
      <c r="A261" t="s">
        <v>17</v>
      </c>
      <c r="B261" t="s">
        <v>304</v>
      </c>
      <c r="C261" t="s">
        <v>2263</v>
      </c>
      <c r="D261" t="s">
        <v>2264</v>
      </c>
      <c r="E261" t="s">
        <v>1935</v>
      </c>
      <c r="F261" t="s">
        <v>54</v>
      </c>
      <c r="G261" t="s">
        <v>1935</v>
      </c>
      <c r="H261" t="s">
        <v>1935</v>
      </c>
      <c r="I261" t="s">
        <v>1935</v>
      </c>
      <c r="J261" t="s">
        <v>1935</v>
      </c>
      <c r="K261" t="s">
        <v>1890</v>
      </c>
    </row>
    <row r="262" spans="1:11">
      <c r="A262" t="s">
        <v>17</v>
      </c>
      <c r="B262" t="s">
        <v>304</v>
      </c>
      <c r="C262" t="s">
        <v>2265</v>
      </c>
      <c r="D262" t="s">
        <v>1511</v>
      </c>
      <c r="E262" t="s">
        <v>1935</v>
      </c>
      <c r="F262" t="s">
        <v>54</v>
      </c>
      <c r="G262" t="s">
        <v>1935</v>
      </c>
      <c r="H262" t="s">
        <v>1935</v>
      </c>
      <c r="I262" t="s">
        <v>1935</v>
      </c>
      <c r="J262" t="s">
        <v>1935</v>
      </c>
      <c r="K262" t="s">
        <v>1285</v>
      </c>
    </row>
    <row r="263" spans="1:11">
      <c r="A263" t="s">
        <v>17</v>
      </c>
      <c r="B263" t="s">
        <v>304</v>
      </c>
      <c r="C263" t="s">
        <v>2266</v>
      </c>
      <c r="D263" t="s">
        <v>1760</v>
      </c>
      <c r="E263" t="s">
        <v>1935</v>
      </c>
      <c r="F263" t="s">
        <v>54</v>
      </c>
      <c r="G263" t="s">
        <v>1935</v>
      </c>
      <c r="H263" t="s">
        <v>1935</v>
      </c>
      <c r="I263" t="s">
        <v>1935</v>
      </c>
      <c r="J263" t="s">
        <v>1935</v>
      </c>
      <c r="K263" t="s">
        <v>1285</v>
      </c>
    </row>
    <row r="264" spans="1:11">
      <c r="A264" t="s">
        <v>17</v>
      </c>
      <c r="B264" t="s">
        <v>304</v>
      </c>
      <c r="C264" t="s">
        <v>2267</v>
      </c>
      <c r="D264" t="s">
        <v>1814</v>
      </c>
      <c r="E264" t="s">
        <v>1935</v>
      </c>
      <c r="F264" t="s">
        <v>54</v>
      </c>
      <c r="G264" t="s">
        <v>1935</v>
      </c>
      <c r="H264" t="s">
        <v>1935</v>
      </c>
      <c r="I264" t="s">
        <v>1935</v>
      </c>
      <c r="J264" t="s">
        <v>1935</v>
      </c>
      <c r="K264" t="s">
        <v>1792</v>
      </c>
    </row>
    <row r="265" spans="1:11">
      <c r="A265" t="s">
        <v>17</v>
      </c>
      <c r="B265" t="s">
        <v>304</v>
      </c>
      <c r="C265" t="s">
        <v>2268</v>
      </c>
      <c r="D265" t="s">
        <v>1819</v>
      </c>
      <c r="E265" t="s">
        <v>1935</v>
      </c>
      <c r="F265" t="s">
        <v>54</v>
      </c>
      <c r="G265" t="s">
        <v>1935</v>
      </c>
      <c r="H265" t="s">
        <v>1935</v>
      </c>
      <c r="I265" t="s">
        <v>1935</v>
      </c>
      <c r="J265" t="s">
        <v>1935</v>
      </c>
      <c r="K265" t="s">
        <v>1285</v>
      </c>
    </row>
    <row r="266" spans="1:11">
      <c r="A266" t="s">
        <v>17</v>
      </c>
      <c r="B266" t="s">
        <v>304</v>
      </c>
      <c r="C266" t="s">
        <v>2269</v>
      </c>
      <c r="D266" t="s">
        <v>1825</v>
      </c>
      <c r="E266" t="s">
        <v>1935</v>
      </c>
      <c r="F266" t="s">
        <v>54</v>
      </c>
      <c r="G266" t="s">
        <v>1935</v>
      </c>
      <c r="H266" t="s">
        <v>1935</v>
      </c>
      <c r="I266" t="s">
        <v>1935</v>
      </c>
      <c r="J266" t="s">
        <v>1935</v>
      </c>
      <c r="K266" t="s">
        <v>1285</v>
      </c>
    </row>
    <row r="267" spans="1:11">
      <c r="A267" t="s">
        <v>17</v>
      </c>
      <c r="B267" t="s">
        <v>304</v>
      </c>
      <c r="C267" t="s">
        <v>2270</v>
      </c>
      <c r="D267" t="s">
        <v>1768</v>
      </c>
      <c r="E267" t="s">
        <v>1935</v>
      </c>
      <c r="F267" t="s">
        <v>54</v>
      </c>
      <c r="G267" t="s">
        <v>1935</v>
      </c>
      <c r="H267" t="s">
        <v>1935</v>
      </c>
      <c r="I267" t="s">
        <v>1935</v>
      </c>
      <c r="J267" t="s">
        <v>1935</v>
      </c>
      <c r="K267" t="s">
        <v>1285</v>
      </c>
    </row>
    <row r="268" spans="1:11">
      <c r="A268" t="s">
        <v>17</v>
      </c>
      <c r="B268" t="s">
        <v>304</v>
      </c>
      <c r="C268" t="s">
        <v>2271</v>
      </c>
      <c r="D268" t="s">
        <v>1827</v>
      </c>
      <c r="E268" t="s">
        <v>1935</v>
      </c>
      <c r="F268" t="s">
        <v>54</v>
      </c>
      <c r="G268" t="s">
        <v>1935</v>
      </c>
      <c r="H268" t="s">
        <v>1935</v>
      </c>
      <c r="I268" t="s">
        <v>1935</v>
      </c>
      <c r="J268" t="s">
        <v>1935</v>
      </c>
      <c r="K268" t="s">
        <v>1285</v>
      </c>
    </row>
    <row r="269" spans="1:11">
      <c r="A269" t="s">
        <v>17</v>
      </c>
      <c r="B269" t="s">
        <v>304</v>
      </c>
      <c r="C269" t="s">
        <v>2272</v>
      </c>
      <c r="D269" t="s">
        <v>1789</v>
      </c>
      <c r="E269" t="s">
        <v>1935</v>
      </c>
      <c r="F269" t="s">
        <v>54</v>
      </c>
      <c r="G269" t="s">
        <v>1935</v>
      </c>
      <c r="H269" t="s">
        <v>1935</v>
      </c>
      <c r="I269" t="s">
        <v>1935</v>
      </c>
      <c r="J269" t="s">
        <v>1935</v>
      </c>
      <c r="K269" t="s">
        <v>1311</v>
      </c>
    </row>
    <row r="270" spans="1:11">
      <c r="A270" t="s">
        <v>17</v>
      </c>
      <c r="B270" t="s">
        <v>304</v>
      </c>
      <c r="C270" t="s">
        <v>2273</v>
      </c>
      <c r="D270" t="s">
        <v>1680</v>
      </c>
      <c r="E270" t="s">
        <v>1935</v>
      </c>
      <c r="F270" t="s">
        <v>54</v>
      </c>
      <c r="G270" t="s">
        <v>1935</v>
      </c>
      <c r="H270" t="s">
        <v>1935</v>
      </c>
      <c r="I270" t="s">
        <v>1935</v>
      </c>
      <c r="J270" t="s">
        <v>1935</v>
      </c>
      <c r="K270" t="s">
        <v>1679</v>
      </c>
    </row>
    <row r="271" spans="1:11">
      <c r="A271" t="s">
        <v>17</v>
      </c>
      <c r="B271" t="s">
        <v>304</v>
      </c>
      <c r="C271" t="s">
        <v>2274</v>
      </c>
      <c r="D271" t="s">
        <v>1681</v>
      </c>
      <c r="E271" t="s">
        <v>1935</v>
      </c>
      <c r="F271" t="s">
        <v>54</v>
      </c>
      <c r="G271" t="s">
        <v>1935</v>
      </c>
      <c r="H271" t="s">
        <v>1935</v>
      </c>
      <c r="I271" t="s">
        <v>1935</v>
      </c>
      <c r="J271" t="s">
        <v>1935</v>
      </c>
      <c r="K271" t="s">
        <v>1679</v>
      </c>
    </row>
    <row r="272" spans="1:11">
      <c r="A272" t="s">
        <v>20</v>
      </c>
      <c r="B272" t="s">
        <v>376</v>
      </c>
      <c r="C272" t="s">
        <v>2275</v>
      </c>
      <c r="D272" t="s">
        <v>2276</v>
      </c>
      <c r="E272" t="s">
        <v>1935</v>
      </c>
      <c r="F272" t="s">
        <v>54</v>
      </c>
      <c r="G272" t="s">
        <v>1935</v>
      </c>
      <c r="H272" t="s">
        <v>1935</v>
      </c>
      <c r="I272" t="s">
        <v>1935</v>
      </c>
      <c r="J272" t="s">
        <v>1935</v>
      </c>
      <c r="K272" t="s">
        <v>1935</v>
      </c>
    </row>
    <row r="273" spans="1:11">
      <c r="A273" t="s">
        <v>20</v>
      </c>
      <c r="B273" t="s">
        <v>376</v>
      </c>
      <c r="C273" t="s">
        <v>2277</v>
      </c>
      <c r="D273" t="s">
        <v>2278</v>
      </c>
      <c r="E273" t="s">
        <v>1935</v>
      </c>
      <c r="F273" t="s">
        <v>54</v>
      </c>
      <c r="G273" t="s">
        <v>1935</v>
      </c>
      <c r="H273" t="s">
        <v>1935</v>
      </c>
      <c r="I273" t="s">
        <v>1935</v>
      </c>
      <c r="J273" t="s">
        <v>1935</v>
      </c>
      <c r="K273" t="s">
        <v>1935</v>
      </c>
    </row>
    <row r="274" spans="1:11">
      <c r="A274" t="s">
        <v>20</v>
      </c>
      <c r="B274" t="s">
        <v>376</v>
      </c>
      <c r="C274" t="s">
        <v>2279</v>
      </c>
      <c r="D274" t="s">
        <v>2280</v>
      </c>
      <c r="E274" t="s">
        <v>1935</v>
      </c>
      <c r="F274" t="s">
        <v>54</v>
      </c>
      <c r="G274" t="s">
        <v>1935</v>
      </c>
      <c r="H274" t="s">
        <v>1935</v>
      </c>
      <c r="I274" t="s">
        <v>1935</v>
      </c>
      <c r="J274" t="s">
        <v>1935</v>
      </c>
      <c r="K274" t="s">
        <v>1935</v>
      </c>
    </row>
    <row r="275" spans="1:11">
      <c r="A275" t="s">
        <v>20</v>
      </c>
      <c r="B275" t="s">
        <v>376</v>
      </c>
      <c r="C275" t="s">
        <v>2281</v>
      </c>
      <c r="D275" t="s">
        <v>2282</v>
      </c>
      <c r="E275" t="s">
        <v>1935</v>
      </c>
      <c r="F275" t="s">
        <v>54</v>
      </c>
      <c r="G275" t="s">
        <v>1935</v>
      </c>
      <c r="H275" t="s">
        <v>1935</v>
      </c>
      <c r="I275" t="s">
        <v>1935</v>
      </c>
      <c r="J275" t="s">
        <v>1935</v>
      </c>
      <c r="K275" t="s">
        <v>1935</v>
      </c>
    </row>
    <row r="276" spans="1:11">
      <c r="A276" t="s">
        <v>20</v>
      </c>
      <c r="B276" t="s">
        <v>376</v>
      </c>
      <c r="C276" t="s">
        <v>2283</v>
      </c>
      <c r="D276" t="s">
        <v>2284</v>
      </c>
      <c r="E276" t="s">
        <v>1935</v>
      </c>
      <c r="F276" t="s">
        <v>54</v>
      </c>
      <c r="G276" t="s">
        <v>1935</v>
      </c>
      <c r="H276" t="s">
        <v>1935</v>
      </c>
      <c r="I276" t="s">
        <v>1935</v>
      </c>
      <c r="J276" t="s">
        <v>1935</v>
      </c>
      <c r="K276" t="s">
        <v>1935</v>
      </c>
    </row>
    <row r="277" spans="1:11">
      <c r="A277" t="s">
        <v>20</v>
      </c>
      <c r="B277" t="s">
        <v>376</v>
      </c>
      <c r="C277" t="s">
        <v>2285</v>
      </c>
      <c r="D277" t="s">
        <v>2286</v>
      </c>
      <c r="E277" t="s">
        <v>1935</v>
      </c>
      <c r="F277" t="s">
        <v>54</v>
      </c>
      <c r="G277" t="s">
        <v>1935</v>
      </c>
      <c r="H277" t="s">
        <v>1935</v>
      </c>
      <c r="I277" t="s">
        <v>1935</v>
      </c>
      <c r="J277" t="s">
        <v>1935</v>
      </c>
      <c r="K277" t="s">
        <v>1935</v>
      </c>
    </row>
    <row r="278" spans="1:11">
      <c r="A278" t="s">
        <v>20</v>
      </c>
      <c r="B278" t="s">
        <v>376</v>
      </c>
      <c r="C278" t="s">
        <v>2287</v>
      </c>
      <c r="D278" t="s">
        <v>2288</v>
      </c>
      <c r="E278" t="s">
        <v>1935</v>
      </c>
      <c r="F278" t="s">
        <v>54</v>
      </c>
      <c r="G278" t="s">
        <v>1935</v>
      </c>
      <c r="H278" t="s">
        <v>1935</v>
      </c>
      <c r="I278" t="s">
        <v>1935</v>
      </c>
      <c r="J278" t="s">
        <v>1935</v>
      </c>
      <c r="K278" t="s">
        <v>1935</v>
      </c>
    </row>
    <row r="279" spans="1:11">
      <c r="A279" t="s">
        <v>20</v>
      </c>
      <c r="B279" t="s">
        <v>376</v>
      </c>
      <c r="C279" t="s">
        <v>2289</v>
      </c>
      <c r="D279" t="s">
        <v>2290</v>
      </c>
      <c r="E279" t="s">
        <v>1935</v>
      </c>
      <c r="F279" t="s">
        <v>54</v>
      </c>
      <c r="G279" t="s">
        <v>1935</v>
      </c>
      <c r="H279" t="s">
        <v>1935</v>
      </c>
      <c r="I279" t="s">
        <v>1935</v>
      </c>
      <c r="J279" t="s">
        <v>1935</v>
      </c>
      <c r="K279" t="s">
        <v>1935</v>
      </c>
    </row>
    <row r="280" spans="1:11">
      <c r="A280" t="s">
        <v>18</v>
      </c>
      <c r="B280" t="s">
        <v>402</v>
      </c>
      <c r="C280" t="s">
        <v>2291</v>
      </c>
      <c r="D280" t="s">
        <v>2292</v>
      </c>
      <c r="E280" t="s">
        <v>1935</v>
      </c>
      <c r="F280" t="s">
        <v>54</v>
      </c>
      <c r="G280" t="s">
        <v>1935</v>
      </c>
      <c r="H280" t="s">
        <v>1935</v>
      </c>
      <c r="I280" t="s">
        <v>1935</v>
      </c>
      <c r="J280" t="s">
        <v>1935</v>
      </c>
      <c r="K280" t="s">
        <v>1935</v>
      </c>
    </row>
    <row r="281" spans="1:11">
      <c r="A281" t="s">
        <v>18</v>
      </c>
      <c r="B281" t="s">
        <v>402</v>
      </c>
      <c r="C281" t="s">
        <v>2293</v>
      </c>
      <c r="D281" t="s">
        <v>2294</v>
      </c>
      <c r="E281" t="s">
        <v>1935</v>
      </c>
      <c r="F281" t="s">
        <v>54</v>
      </c>
      <c r="G281" t="s">
        <v>1935</v>
      </c>
      <c r="H281" t="s">
        <v>1935</v>
      </c>
      <c r="I281" t="s">
        <v>1935</v>
      </c>
      <c r="J281" t="s">
        <v>1935</v>
      </c>
      <c r="K281" t="s">
        <v>1935</v>
      </c>
    </row>
    <row r="282" spans="1:11">
      <c r="A282" t="s">
        <v>18</v>
      </c>
      <c r="B282" t="s">
        <v>402</v>
      </c>
      <c r="C282" t="s">
        <v>2295</v>
      </c>
      <c r="D282" t="s">
        <v>2296</v>
      </c>
      <c r="E282" t="s">
        <v>1935</v>
      </c>
      <c r="F282" t="s">
        <v>54</v>
      </c>
      <c r="G282" t="s">
        <v>1935</v>
      </c>
      <c r="H282" t="s">
        <v>1935</v>
      </c>
      <c r="I282" t="s">
        <v>1935</v>
      </c>
      <c r="J282" t="s">
        <v>1935</v>
      </c>
      <c r="K282" t="s">
        <v>1935</v>
      </c>
    </row>
    <row r="283" spans="1:11">
      <c r="A283" t="s">
        <v>18</v>
      </c>
      <c r="B283" t="s">
        <v>402</v>
      </c>
      <c r="C283" t="s">
        <v>2297</v>
      </c>
      <c r="D283" t="s">
        <v>2298</v>
      </c>
      <c r="E283" t="s">
        <v>1935</v>
      </c>
      <c r="F283" t="s">
        <v>54</v>
      </c>
      <c r="G283" t="s">
        <v>1935</v>
      </c>
      <c r="H283" t="s">
        <v>1935</v>
      </c>
      <c r="I283" t="s">
        <v>1935</v>
      </c>
      <c r="J283" t="s">
        <v>1935</v>
      </c>
      <c r="K283" t="s">
        <v>1935</v>
      </c>
    </row>
    <row r="284" spans="1:11">
      <c r="A284" t="s">
        <v>18</v>
      </c>
      <c r="B284" t="s">
        <v>402</v>
      </c>
      <c r="C284" t="s">
        <v>2299</v>
      </c>
      <c r="D284" t="s">
        <v>1312</v>
      </c>
      <c r="E284" t="s">
        <v>1935</v>
      </c>
      <c r="F284" t="s">
        <v>54</v>
      </c>
      <c r="G284" t="s">
        <v>1935</v>
      </c>
      <c r="H284" t="s">
        <v>1935</v>
      </c>
      <c r="I284" t="s">
        <v>1935</v>
      </c>
      <c r="J284" t="s">
        <v>1935</v>
      </c>
      <c r="K284" t="s">
        <v>1935</v>
      </c>
    </row>
    <row r="285" spans="1:11">
      <c r="A285" t="s">
        <v>18</v>
      </c>
      <c r="B285" t="s">
        <v>402</v>
      </c>
      <c r="C285" t="s">
        <v>2300</v>
      </c>
      <c r="D285" t="s">
        <v>1313</v>
      </c>
      <c r="E285" t="s">
        <v>1935</v>
      </c>
      <c r="F285" t="s">
        <v>54</v>
      </c>
      <c r="G285" t="s">
        <v>1935</v>
      </c>
      <c r="H285" t="s">
        <v>1935</v>
      </c>
      <c r="I285" t="s">
        <v>1935</v>
      </c>
      <c r="J285" t="s">
        <v>1935</v>
      </c>
      <c r="K285" t="s">
        <v>1935</v>
      </c>
    </row>
    <row r="286" spans="1:11">
      <c r="A286" t="s">
        <v>18</v>
      </c>
      <c r="B286" t="s">
        <v>402</v>
      </c>
      <c r="C286" t="s">
        <v>2301</v>
      </c>
      <c r="D286" t="s">
        <v>1314</v>
      </c>
      <c r="E286" t="s">
        <v>1935</v>
      </c>
      <c r="F286" t="s">
        <v>54</v>
      </c>
      <c r="G286" t="s">
        <v>1935</v>
      </c>
      <c r="H286" t="s">
        <v>1935</v>
      </c>
      <c r="I286" t="s">
        <v>1935</v>
      </c>
      <c r="J286" t="s">
        <v>1935</v>
      </c>
      <c r="K286" t="s">
        <v>1935</v>
      </c>
    </row>
    <row r="287" spans="1:11">
      <c r="A287" t="s">
        <v>18</v>
      </c>
      <c r="B287" t="s">
        <v>402</v>
      </c>
      <c r="C287" t="s">
        <v>2302</v>
      </c>
      <c r="D287" t="s">
        <v>2303</v>
      </c>
      <c r="E287" t="s">
        <v>1935</v>
      </c>
      <c r="F287" t="s">
        <v>54</v>
      </c>
      <c r="G287" t="s">
        <v>1935</v>
      </c>
      <c r="H287" t="s">
        <v>1935</v>
      </c>
      <c r="I287" t="s">
        <v>1935</v>
      </c>
      <c r="J287" t="s">
        <v>1935</v>
      </c>
      <c r="K287" t="s">
        <v>1935</v>
      </c>
    </row>
    <row r="288" spans="1:11">
      <c r="A288" t="s">
        <v>18</v>
      </c>
      <c r="B288" t="s">
        <v>402</v>
      </c>
      <c r="C288" t="s">
        <v>2304</v>
      </c>
      <c r="D288" t="s">
        <v>2305</v>
      </c>
      <c r="E288" t="s">
        <v>1935</v>
      </c>
      <c r="F288" t="s">
        <v>54</v>
      </c>
      <c r="G288" t="s">
        <v>1935</v>
      </c>
      <c r="H288" t="s">
        <v>1935</v>
      </c>
      <c r="I288" t="s">
        <v>1935</v>
      </c>
      <c r="J288" t="s">
        <v>1935</v>
      </c>
      <c r="K288" t="s">
        <v>1935</v>
      </c>
    </row>
    <row r="289" spans="1:11">
      <c r="A289" t="s">
        <v>2306</v>
      </c>
      <c r="B289" t="s">
        <v>2307</v>
      </c>
      <c r="C289" t="s">
        <v>2308</v>
      </c>
      <c r="D289" t="s">
        <v>2309</v>
      </c>
      <c r="E289" t="s">
        <v>1935</v>
      </c>
      <c r="F289" t="s">
        <v>54</v>
      </c>
      <c r="G289" t="s">
        <v>1935</v>
      </c>
      <c r="H289" t="s">
        <v>1935</v>
      </c>
      <c r="I289" t="s">
        <v>1935</v>
      </c>
      <c r="J289" t="s">
        <v>1935</v>
      </c>
      <c r="K289" t="s">
        <v>1935</v>
      </c>
    </row>
    <row r="290" spans="1:11">
      <c r="A290" t="s">
        <v>2306</v>
      </c>
      <c r="B290" t="s">
        <v>2307</v>
      </c>
      <c r="C290" t="s">
        <v>2310</v>
      </c>
      <c r="D290" t="s">
        <v>2311</v>
      </c>
      <c r="E290" t="s">
        <v>1935</v>
      </c>
      <c r="F290" t="s">
        <v>54</v>
      </c>
      <c r="G290" t="s">
        <v>1935</v>
      </c>
      <c r="H290" t="s">
        <v>1935</v>
      </c>
      <c r="I290" t="s">
        <v>1935</v>
      </c>
      <c r="J290" t="s">
        <v>1935</v>
      </c>
      <c r="K290" t="s">
        <v>1935</v>
      </c>
    </row>
    <row r="291" spans="1:11">
      <c r="A291" t="s">
        <v>2306</v>
      </c>
      <c r="B291" t="s">
        <v>2307</v>
      </c>
      <c r="C291" t="s">
        <v>2312</v>
      </c>
      <c r="D291" t="s">
        <v>2313</v>
      </c>
      <c r="E291" t="s">
        <v>1935</v>
      </c>
      <c r="F291" t="s">
        <v>54</v>
      </c>
      <c r="G291" t="s">
        <v>1935</v>
      </c>
      <c r="H291" t="s">
        <v>1935</v>
      </c>
      <c r="I291" t="s">
        <v>1935</v>
      </c>
      <c r="J291" t="s">
        <v>1935</v>
      </c>
      <c r="K291" t="s">
        <v>1935</v>
      </c>
    </row>
    <row r="292" spans="1:11">
      <c r="A292" t="s">
        <v>2306</v>
      </c>
      <c r="B292" t="s">
        <v>2307</v>
      </c>
      <c r="C292" t="s">
        <v>2314</v>
      </c>
      <c r="D292" t="s">
        <v>2315</v>
      </c>
      <c r="E292" t="s">
        <v>1935</v>
      </c>
      <c r="F292" t="s">
        <v>54</v>
      </c>
      <c r="G292" t="s">
        <v>1935</v>
      </c>
      <c r="H292" t="s">
        <v>1935</v>
      </c>
      <c r="I292" t="s">
        <v>1935</v>
      </c>
      <c r="J292" t="s">
        <v>1935</v>
      </c>
      <c r="K292" t="s">
        <v>1935</v>
      </c>
    </row>
    <row r="293" spans="1:11">
      <c r="A293" t="s">
        <v>2306</v>
      </c>
      <c r="B293" t="s">
        <v>2307</v>
      </c>
      <c r="C293" t="s">
        <v>2316</v>
      </c>
      <c r="D293" t="s">
        <v>2317</v>
      </c>
      <c r="E293" t="s">
        <v>1935</v>
      </c>
      <c r="F293" t="s">
        <v>54</v>
      </c>
      <c r="G293" t="s">
        <v>1935</v>
      </c>
      <c r="H293" t="s">
        <v>1935</v>
      </c>
      <c r="I293" t="s">
        <v>1935</v>
      </c>
      <c r="J293" t="s">
        <v>1935</v>
      </c>
      <c r="K293" t="s">
        <v>1935</v>
      </c>
    </row>
    <row r="294" spans="1:11">
      <c r="A294" t="s">
        <v>2306</v>
      </c>
      <c r="B294" t="s">
        <v>2307</v>
      </c>
      <c r="C294" t="s">
        <v>2318</v>
      </c>
      <c r="D294" t="s">
        <v>2319</v>
      </c>
      <c r="E294" t="s">
        <v>1935</v>
      </c>
      <c r="F294" t="s">
        <v>54</v>
      </c>
      <c r="G294" t="s">
        <v>1935</v>
      </c>
      <c r="H294" t="s">
        <v>1935</v>
      </c>
      <c r="I294" t="s">
        <v>1935</v>
      </c>
      <c r="J294" t="s">
        <v>1935</v>
      </c>
      <c r="K294" t="s">
        <v>1935</v>
      </c>
    </row>
    <row r="295" spans="1:11">
      <c r="A295" t="s">
        <v>2306</v>
      </c>
      <c r="B295" t="s">
        <v>2307</v>
      </c>
      <c r="C295" t="s">
        <v>2320</v>
      </c>
      <c r="D295" t="s">
        <v>2321</v>
      </c>
      <c r="E295" t="s">
        <v>1935</v>
      </c>
      <c r="F295" t="s">
        <v>54</v>
      </c>
      <c r="G295" t="s">
        <v>1935</v>
      </c>
      <c r="H295" t="s">
        <v>1935</v>
      </c>
      <c r="I295" t="s">
        <v>1935</v>
      </c>
      <c r="J295" t="s">
        <v>1935</v>
      </c>
      <c r="K295" t="s">
        <v>1935</v>
      </c>
    </row>
    <row r="296" spans="1:11">
      <c r="A296" t="s">
        <v>2306</v>
      </c>
      <c r="B296" t="s">
        <v>2307</v>
      </c>
      <c r="C296" t="s">
        <v>2322</v>
      </c>
      <c r="D296" t="s">
        <v>2323</v>
      </c>
      <c r="E296" t="s">
        <v>1935</v>
      </c>
      <c r="F296" t="s">
        <v>54</v>
      </c>
      <c r="G296" t="s">
        <v>1935</v>
      </c>
      <c r="H296" t="s">
        <v>1935</v>
      </c>
      <c r="I296" t="s">
        <v>1935</v>
      </c>
      <c r="J296" t="s">
        <v>1935</v>
      </c>
      <c r="K296" t="s">
        <v>1935</v>
      </c>
    </row>
    <row r="297" spans="1:11">
      <c r="A297" t="s">
        <v>2306</v>
      </c>
      <c r="B297" t="s">
        <v>2307</v>
      </c>
      <c r="C297" t="s">
        <v>2324</v>
      </c>
      <c r="D297" t="s">
        <v>2325</v>
      </c>
      <c r="E297" t="s">
        <v>1935</v>
      </c>
      <c r="F297" t="s">
        <v>54</v>
      </c>
      <c r="G297" t="s">
        <v>1935</v>
      </c>
      <c r="H297" t="s">
        <v>1935</v>
      </c>
      <c r="I297" t="s">
        <v>1935</v>
      </c>
      <c r="J297" t="s">
        <v>1935</v>
      </c>
      <c r="K297" t="s">
        <v>1935</v>
      </c>
    </row>
    <row r="298" spans="1:11">
      <c r="A298" t="s">
        <v>2306</v>
      </c>
      <c r="B298" t="s">
        <v>2307</v>
      </c>
      <c r="C298" t="s">
        <v>2326</v>
      </c>
      <c r="D298" t="s">
        <v>2327</v>
      </c>
      <c r="E298" t="s">
        <v>1935</v>
      </c>
      <c r="F298" t="s">
        <v>54</v>
      </c>
      <c r="G298" t="s">
        <v>1935</v>
      </c>
      <c r="H298" t="s">
        <v>1935</v>
      </c>
      <c r="I298" t="s">
        <v>1935</v>
      </c>
      <c r="J298" t="s">
        <v>1935</v>
      </c>
      <c r="K298" t="s">
        <v>1935</v>
      </c>
    </row>
    <row r="299" spans="1:11">
      <c r="A299" t="s">
        <v>2306</v>
      </c>
      <c r="B299" t="s">
        <v>2307</v>
      </c>
      <c r="C299" t="s">
        <v>2328</v>
      </c>
      <c r="D299" t="s">
        <v>2329</v>
      </c>
      <c r="E299" t="s">
        <v>1935</v>
      </c>
      <c r="F299" t="s">
        <v>54</v>
      </c>
      <c r="G299" t="s">
        <v>1935</v>
      </c>
      <c r="H299" t="s">
        <v>1935</v>
      </c>
      <c r="I299" t="s">
        <v>1935</v>
      </c>
      <c r="J299" t="s">
        <v>1935</v>
      </c>
      <c r="K299" t="s">
        <v>1935</v>
      </c>
    </row>
    <row r="300" spans="1:11">
      <c r="A300" t="s">
        <v>2306</v>
      </c>
      <c r="B300" t="s">
        <v>2307</v>
      </c>
      <c r="C300" t="s">
        <v>2330</v>
      </c>
      <c r="D300" t="s">
        <v>2331</v>
      </c>
      <c r="E300" t="s">
        <v>1935</v>
      </c>
      <c r="F300" t="s">
        <v>54</v>
      </c>
      <c r="G300" t="s">
        <v>1935</v>
      </c>
      <c r="H300" t="s">
        <v>1935</v>
      </c>
      <c r="I300" t="s">
        <v>1935</v>
      </c>
      <c r="J300" t="s">
        <v>1935</v>
      </c>
      <c r="K300" t="s">
        <v>1935</v>
      </c>
    </row>
    <row r="301" spans="1:11">
      <c r="A301" t="s">
        <v>19</v>
      </c>
      <c r="B301" t="s">
        <v>456</v>
      </c>
      <c r="C301" t="s">
        <v>2332</v>
      </c>
      <c r="D301" t="s">
        <v>503</v>
      </c>
      <c r="E301" t="s">
        <v>1935</v>
      </c>
      <c r="F301" t="s">
        <v>54</v>
      </c>
      <c r="G301" t="s">
        <v>1935</v>
      </c>
      <c r="H301" t="s">
        <v>1935</v>
      </c>
      <c r="I301" t="s">
        <v>1935</v>
      </c>
      <c r="J301" t="s">
        <v>1935</v>
      </c>
      <c r="K301" t="s">
        <v>1935</v>
      </c>
    </row>
    <row r="302" spans="1:11">
      <c r="A302" t="s">
        <v>19</v>
      </c>
      <c r="B302" t="s">
        <v>456</v>
      </c>
      <c r="C302" t="s">
        <v>2333</v>
      </c>
      <c r="D302" t="s">
        <v>498</v>
      </c>
      <c r="E302" t="s">
        <v>1935</v>
      </c>
      <c r="F302" t="s">
        <v>54</v>
      </c>
      <c r="G302" t="s">
        <v>1935</v>
      </c>
      <c r="H302" t="s">
        <v>1935</v>
      </c>
      <c r="I302" t="s">
        <v>1935</v>
      </c>
      <c r="J302" t="s">
        <v>1935</v>
      </c>
      <c r="K302" t="s">
        <v>1935</v>
      </c>
    </row>
    <row r="303" spans="1:11">
      <c r="A303" t="s">
        <v>19</v>
      </c>
      <c r="B303" t="s">
        <v>456</v>
      </c>
      <c r="C303" t="s">
        <v>2334</v>
      </c>
      <c r="D303" t="s">
        <v>486</v>
      </c>
      <c r="E303" t="s">
        <v>1935</v>
      </c>
      <c r="F303" t="s">
        <v>54</v>
      </c>
      <c r="G303" t="s">
        <v>1935</v>
      </c>
      <c r="H303" t="s">
        <v>1935</v>
      </c>
      <c r="I303" t="s">
        <v>1935</v>
      </c>
      <c r="J303" t="s">
        <v>1935</v>
      </c>
      <c r="K303" t="s">
        <v>1935</v>
      </c>
    </row>
    <row r="304" spans="1:11">
      <c r="A304" t="s">
        <v>19</v>
      </c>
      <c r="B304" t="s">
        <v>456</v>
      </c>
      <c r="C304" t="s">
        <v>2335</v>
      </c>
      <c r="D304" t="s">
        <v>527</v>
      </c>
      <c r="E304" t="s">
        <v>1935</v>
      </c>
      <c r="F304" t="s">
        <v>54</v>
      </c>
      <c r="G304" t="s">
        <v>1935</v>
      </c>
      <c r="H304" t="s">
        <v>1935</v>
      </c>
      <c r="I304" t="s">
        <v>1935</v>
      </c>
      <c r="J304" t="s">
        <v>1935</v>
      </c>
      <c r="K304" t="s">
        <v>1935</v>
      </c>
    </row>
    <row r="305" spans="1:11">
      <c r="A305" t="s">
        <v>19</v>
      </c>
      <c r="B305" t="s">
        <v>456</v>
      </c>
      <c r="C305" t="s">
        <v>2336</v>
      </c>
      <c r="D305" t="s">
        <v>541</v>
      </c>
      <c r="E305" t="s">
        <v>1935</v>
      </c>
      <c r="F305" t="s">
        <v>54</v>
      </c>
      <c r="G305" t="s">
        <v>1935</v>
      </c>
      <c r="H305" t="s">
        <v>1935</v>
      </c>
      <c r="I305" t="s">
        <v>1935</v>
      </c>
      <c r="J305" t="s">
        <v>1935</v>
      </c>
      <c r="K305" t="s">
        <v>1935</v>
      </c>
    </row>
    <row r="306" spans="1:11">
      <c r="A306" t="s">
        <v>19</v>
      </c>
      <c r="B306" t="s">
        <v>456</v>
      </c>
      <c r="C306" t="s">
        <v>2337</v>
      </c>
      <c r="D306" t="s">
        <v>551</v>
      </c>
      <c r="E306" t="s">
        <v>1935</v>
      </c>
      <c r="F306" t="s">
        <v>54</v>
      </c>
      <c r="G306" t="s">
        <v>1935</v>
      </c>
      <c r="H306" t="s">
        <v>1935</v>
      </c>
      <c r="I306" t="s">
        <v>1935</v>
      </c>
      <c r="J306" t="s">
        <v>1935</v>
      </c>
      <c r="K306" t="s">
        <v>1935</v>
      </c>
    </row>
    <row r="307" spans="1:11">
      <c r="A307" t="s">
        <v>19</v>
      </c>
      <c r="B307" t="s">
        <v>456</v>
      </c>
      <c r="C307" t="s">
        <v>2338</v>
      </c>
      <c r="D307" t="s">
        <v>559</v>
      </c>
      <c r="E307" t="s">
        <v>1935</v>
      </c>
      <c r="F307" t="s">
        <v>54</v>
      </c>
      <c r="G307" t="s">
        <v>1935</v>
      </c>
      <c r="H307" t="s">
        <v>1935</v>
      </c>
      <c r="I307" t="s">
        <v>1935</v>
      </c>
      <c r="J307" t="s">
        <v>1935</v>
      </c>
      <c r="K307" t="s">
        <v>1935</v>
      </c>
    </row>
    <row r="308" spans="1:11">
      <c r="A308" t="s">
        <v>19</v>
      </c>
      <c r="B308" t="s">
        <v>456</v>
      </c>
      <c r="C308" t="s">
        <v>2339</v>
      </c>
      <c r="D308" t="s">
        <v>555</v>
      </c>
      <c r="E308" t="s">
        <v>1935</v>
      </c>
      <c r="F308" t="s">
        <v>54</v>
      </c>
      <c r="G308" t="s">
        <v>1935</v>
      </c>
      <c r="H308" t="s">
        <v>1935</v>
      </c>
      <c r="I308" t="s">
        <v>1935</v>
      </c>
      <c r="J308" t="s">
        <v>1935</v>
      </c>
      <c r="K308" t="s">
        <v>1935</v>
      </c>
    </row>
    <row r="309" spans="1:11">
      <c r="A309" t="s">
        <v>19</v>
      </c>
      <c r="B309" t="s">
        <v>456</v>
      </c>
      <c r="C309" t="s">
        <v>2340</v>
      </c>
      <c r="D309" t="s">
        <v>2341</v>
      </c>
      <c r="E309" t="s">
        <v>1935</v>
      </c>
      <c r="F309" t="s">
        <v>54</v>
      </c>
      <c r="G309" t="s">
        <v>1935</v>
      </c>
      <c r="H309" t="s">
        <v>1935</v>
      </c>
      <c r="I309" t="s">
        <v>1935</v>
      </c>
      <c r="J309" t="s">
        <v>1935</v>
      </c>
      <c r="K309" t="s">
        <v>1935</v>
      </c>
    </row>
    <row r="310" spans="1:11">
      <c r="A310" t="s">
        <v>19</v>
      </c>
      <c r="B310" t="s">
        <v>456</v>
      </c>
      <c r="C310" t="s">
        <v>2342</v>
      </c>
      <c r="D310" t="s">
        <v>2343</v>
      </c>
      <c r="E310" t="s">
        <v>1935</v>
      </c>
      <c r="F310" t="s">
        <v>54</v>
      </c>
      <c r="G310" t="s">
        <v>1935</v>
      </c>
      <c r="H310" t="s">
        <v>1935</v>
      </c>
      <c r="I310" t="s">
        <v>1935</v>
      </c>
      <c r="J310" t="s">
        <v>1935</v>
      </c>
      <c r="K310" t="s">
        <v>1935</v>
      </c>
    </row>
    <row r="311" spans="1:11">
      <c r="A311" t="s">
        <v>15</v>
      </c>
      <c r="B311" t="s">
        <v>392</v>
      </c>
      <c r="C311" t="s">
        <v>2344</v>
      </c>
      <c r="D311" t="s">
        <v>2345</v>
      </c>
      <c r="E311" t="s">
        <v>1935</v>
      </c>
      <c r="F311" t="s">
        <v>54</v>
      </c>
      <c r="G311" t="s">
        <v>1935</v>
      </c>
      <c r="H311" t="s">
        <v>1935</v>
      </c>
      <c r="I311" t="s">
        <v>1935</v>
      </c>
      <c r="J311" t="s">
        <v>1935</v>
      </c>
      <c r="K311" t="s">
        <v>1935</v>
      </c>
    </row>
    <row r="312" spans="1:11">
      <c r="A312" t="s">
        <v>15</v>
      </c>
      <c r="B312" t="s">
        <v>392</v>
      </c>
      <c r="C312" t="s">
        <v>2346</v>
      </c>
      <c r="D312" t="s">
        <v>2347</v>
      </c>
      <c r="E312" t="s">
        <v>1935</v>
      </c>
      <c r="F312" t="s">
        <v>54</v>
      </c>
      <c r="G312" t="s">
        <v>1935</v>
      </c>
      <c r="H312" t="s">
        <v>1935</v>
      </c>
      <c r="I312" t="s">
        <v>1935</v>
      </c>
      <c r="J312" t="s">
        <v>1935</v>
      </c>
      <c r="K312" t="s">
        <v>1935</v>
      </c>
    </row>
    <row r="313" spans="1:11">
      <c r="A313" t="s">
        <v>15</v>
      </c>
      <c r="B313" t="s">
        <v>392</v>
      </c>
      <c r="C313" t="s">
        <v>2348</v>
      </c>
      <c r="D313" t="s">
        <v>2349</v>
      </c>
      <c r="E313" t="s">
        <v>1935</v>
      </c>
      <c r="F313" t="s">
        <v>54</v>
      </c>
      <c r="G313" t="s">
        <v>1935</v>
      </c>
      <c r="H313" t="s">
        <v>1935</v>
      </c>
      <c r="I313" t="s">
        <v>1935</v>
      </c>
      <c r="J313" t="s">
        <v>1935</v>
      </c>
      <c r="K313" t="s">
        <v>1935</v>
      </c>
    </row>
    <row r="314" spans="1:11">
      <c r="A314" t="s">
        <v>15</v>
      </c>
      <c r="B314" t="s">
        <v>392</v>
      </c>
      <c r="C314" t="s">
        <v>2350</v>
      </c>
      <c r="D314" t="s">
        <v>2351</v>
      </c>
      <c r="E314" t="s">
        <v>1935</v>
      </c>
      <c r="F314" t="s">
        <v>54</v>
      </c>
      <c r="G314" t="s">
        <v>1935</v>
      </c>
      <c r="H314" t="s">
        <v>1935</v>
      </c>
      <c r="I314" t="s">
        <v>1935</v>
      </c>
      <c r="J314" t="s">
        <v>1935</v>
      </c>
      <c r="K314" t="s">
        <v>1935</v>
      </c>
    </row>
    <row r="315" spans="1:11">
      <c r="A315" t="s">
        <v>15</v>
      </c>
      <c r="B315" t="s">
        <v>392</v>
      </c>
      <c r="C315" t="s">
        <v>2352</v>
      </c>
      <c r="D315" t="s">
        <v>2353</v>
      </c>
      <c r="E315" t="s">
        <v>1935</v>
      </c>
      <c r="F315" t="s">
        <v>54</v>
      </c>
      <c r="G315" t="s">
        <v>1935</v>
      </c>
      <c r="H315" t="s">
        <v>1935</v>
      </c>
      <c r="I315" t="s">
        <v>1935</v>
      </c>
      <c r="J315" t="s">
        <v>1935</v>
      </c>
      <c r="K315" t="s">
        <v>1935</v>
      </c>
    </row>
    <row r="316" spans="1:11">
      <c r="A316" t="s">
        <v>15</v>
      </c>
      <c r="B316" t="s">
        <v>392</v>
      </c>
      <c r="C316" t="s">
        <v>2354</v>
      </c>
      <c r="D316" t="s">
        <v>2355</v>
      </c>
      <c r="E316" t="s">
        <v>1935</v>
      </c>
      <c r="F316" t="s">
        <v>54</v>
      </c>
      <c r="G316" t="s">
        <v>1935</v>
      </c>
      <c r="H316" t="s">
        <v>1935</v>
      </c>
      <c r="I316" t="s">
        <v>1935</v>
      </c>
      <c r="J316" t="s">
        <v>1935</v>
      </c>
      <c r="K316" t="s">
        <v>1935</v>
      </c>
    </row>
    <row r="317" spans="1:11">
      <c r="A317" t="s">
        <v>15</v>
      </c>
      <c r="B317" t="s">
        <v>392</v>
      </c>
      <c r="C317" t="s">
        <v>2356</v>
      </c>
      <c r="D317" t="s">
        <v>2357</v>
      </c>
      <c r="E317" t="s">
        <v>1935</v>
      </c>
      <c r="F317" t="s">
        <v>54</v>
      </c>
      <c r="G317" t="s">
        <v>1935</v>
      </c>
      <c r="H317" t="s">
        <v>1935</v>
      </c>
      <c r="I317" t="s">
        <v>1935</v>
      </c>
      <c r="J317" t="s">
        <v>1935</v>
      </c>
      <c r="K317" t="s">
        <v>1935</v>
      </c>
    </row>
  </sheetData>
  <phoneticPr fontId="67" type="noConversion"/>
  <pageMargins left="0.75" right="0.75" top="1" bottom="1" header="0.5" footer="0.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254"/>
  <sheetViews>
    <sheetView workbookViewId="0">
      <selection activeCell="A26" sqref="A26:XFD26"/>
    </sheetView>
  </sheetViews>
  <sheetFormatPr defaultRowHeight="15.6"/>
  <cols>
    <col min="1" max="3" width="40.81640625" customWidth="1"/>
    <col min="4" max="4" width="12.81640625" customWidth="1"/>
    <col min="5" max="7" width="40.81640625" customWidth="1"/>
    <col min="8" max="8" width="4.81640625" customWidth="1"/>
  </cols>
  <sheetData>
    <row r="1" spans="1:8">
      <c r="A1" t="s">
        <v>2358</v>
      </c>
      <c r="B1" t="s">
        <v>2359</v>
      </c>
      <c r="C1" t="s">
        <v>2360</v>
      </c>
      <c r="D1" t="s">
        <v>2361</v>
      </c>
      <c r="E1" t="s">
        <v>2362</v>
      </c>
      <c r="F1" t="s">
        <v>2363</v>
      </c>
      <c r="G1" t="s">
        <v>2364</v>
      </c>
      <c r="H1" t="s">
        <v>2365</v>
      </c>
    </row>
    <row r="2" spans="1:8">
      <c r="A2" t="s">
        <v>1122</v>
      </c>
      <c r="B2" t="s">
        <v>2366</v>
      </c>
      <c r="C2" t="s">
        <v>38</v>
      </c>
      <c r="D2">
        <v>1</v>
      </c>
      <c r="E2" t="s">
        <v>2367</v>
      </c>
      <c r="F2" t="s">
        <v>1935</v>
      </c>
      <c r="G2" t="s">
        <v>1935</v>
      </c>
      <c r="H2" t="s">
        <v>1935</v>
      </c>
    </row>
    <row r="3" spans="1:8">
      <c r="A3" t="s">
        <v>1122</v>
      </c>
      <c r="B3" t="s">
        <v>2366</v>
      </c>
      <c r="C3" t="s">
        <v>38</v>
      </c>
      <c r="D3">
        <v>2</v>
      </c>
      <c r="E3" t="s">
        <v>2368</v>
      </c>
      <c r="F3" t="s">
        <v>1935</v>
      </c>
      <c r="G3" t="s">
        <v>1935</v>
      </c>
      <c r="H3" t="s">
        <v>1935</v>
      </c>
    </row>
    <row r="4" spans="1:8">
      <c r="A4" t="s">
        <v>1122</v>
      </c>
      <c r="B4" t="s">
        <v>2366</v>
      </c>
      <c r="C4" t="s">
        <v>38</v>
      </c>
      <c r="D4">
        <v>3</v>
      </c>
      <c r="E4" t="s">
        <v>2369</v>
      </c>
      <c r="F4" t="s">
        <v>1935</v>
      </c>
      <c r="G4" t="s">
        <v>1935</v>
      </c>
      <c r="H4" t="s">
        <v>1935</v>
      </c>
    </row>
    <row r="5" spans="1:8">
      <c r="A5" t="s">
        <v>1122</v>
      </c>
      <c r="B5" t="s">
        <v>2366</v>
      </c>
      <c r="C5" t="s">
        <v>38</v>
      </c>
      <c r="D5">
        <v>4</v>
      </c>
      <c r="E5" t="s">
        <v>2370</v>
      </c>
      <c r="F5" t="s">
        <v>1935</v>
      </c>
      <c r="G5" t="s">
        <v>1935</v>
      </c>
      <c r="H5" t="s">
        <v>1935</v>
      </c>
    </row>
    <row r="6" spans="1:8">
      <c r="A6" t="s">
        <v>1122</v>
      </c>
      <c r="B6" t="s">
        <v>2366</v>
      </c>
      <c r="C6" t="s">
        <v>38</v>
      </c>
      <c r="D6">
        <v>5</v>
      </c>
      <c r="E6" t="s">
        <v>2371</v>
      </c>
      <c r="F6" t="s">
        <v>1935</v>
      </c>
      <c r="G6" t="s">
        <v>1935</v>
      </c>
      <c r="H6" t="s">
        <v>1935</v>
      </c>
    </row>
    <row r="7" spans="1:8">
      <c r="A7" t="s">
        <v>114</v>
      </c>
      <c r="B7" t="s">
        <v>1073</v>
      </c>
      <c r="C7" t="s">
        <v>38</v>
      </c>
      <c r="D7">
        <v>1</v>
      </c>
      <c r="E7" t="s">
        <v>2372</v>
      </c>
      <c r="F7" t="s">
        <v>1935</v>
      </c>
      <c r="G7" t="s">
        <v>1935</v>
      </c>
      <c r="H7" t="s">
        <v>78</v>
      </c>
    </row>
    <row r="8" spans="1:8">
      <c r="A8" t="s">
        <v>114</v>
      </c>
      <c r="B8" t="s">
        <v>1073</v>
      </c>
      <c r="C8" t="s">
        <v>38</v>
      </c>
      <c r="D8">
        <v>2</v>
      </c>
      <c r="E8" t="s">
        <v>2373</v>
      </c>
      <c r="F8" t="s">
        <v>1935</v>
      </c>
      <c r="G8" t="s">
        <v>1935</v>
      </c>
      <c r="H8" t="s">
        <v>78</v>
      </c>
    </row>
    <row r="9" spans="1:8">
      <c r="A9" t="s">
        <v>114</v>
      </c>
      <c r="B9" t="s">
        <v>1073</v>
      </c>
      <c r="C9" t="s">
        <v>38</v>
      </c>
      <c r="D9">
        <v>3</v>
      </c>
      <c r="E9" t="s">
        <v>2374</v>
      </c>
      <c r="F9" t="s">
        <v>1935</v>
      </c>
      <c r="G9" t="s">
        <v>1935</v>
      </c>
      <c r="H9" t="s">
        <v>78</v>
      </c>
    </row>
    <row r="10" spans="1:8">
      <c r="A10" t="s">
        <v>114</v>
      </c>
      <c r="B10" t="s">
        <v>1073</v>
      </c>
      <c r="C10" t="s">
        <v>38</v>
      </c>
      <c r="D10">
        <v>4</v>
      </c>
      <c r="E10" t="s">
        <v>2375</v>
      </c>
      <c r="F10" t="s">
        <v>1935</v>
      </c>
      <c r="G10" t="s">
        <v>1935</v>
      </c>
      <c r="H10" t="s">
        <v>78</v>
      </c>
    </row>
    <row r="11" spans="1:8">
      <c r="A11" t="s">
        <v>114</v>
      </c>
      <c r="B11" t="s">
        <v>1073</v>
      </c>
      <c r="C11" t="s">
        <v>38</v>
      </c>
      <c r="D11">
        <v>5</v>
      </c>
      <c r="E11" t="s">
        <v>2376</v>
      </c>
      <c r="F11" t="s">
        <v>1935</v>
      </c>
      <c r="G11" t="s">
        <v>1935</v>
      </c>
      <c r="H11" t="s">
        <v>78</v>
      </c>
    </row>
    <row r="12" spans="1:8">
      <c r="A12" t="s">
        <v>114</v>
      </c>
      <c r="B12" t="s">
        <v>1073</v>
      </c>
      <c r="C12" t="s">
        <v>38</v>
      </c>
      <c r="D12">
        <v>6</v>
      </c>
      <c r="E12" t="s">
        <v>2377</v>
      </c>
      <c r="F12" t="s">
        <v>1935</v>
      </c>
      <c r="G12" t="s">
        <v>1935</v>
      </c>
      <c r="H12" t="s">
        <v>78</v>
      </c>
    </row>
    <row r="13" spans="1:8">
      <c r="A13" t="s">
        <v>114</v>
      </c>
      <c r="B13" t="s">
        <v>1073</v>
      </c>
      <c r="C13" t="s">
        <v>38</v>
      </c>
      <c r="D13">
        <v>7</v>
      </c>
      <c r="E13" t="s">
        <v>2378</v>
      </c>
      <c r="F13" t="s">
        <v>1935</v>
      </c>
      <c r="G13" t="s">
        <v>1935</v>
      </c>
      <c r="H13" t="s">
        <v>78</v>
      </c>
    </row>
    <row r="14" spans="1:8">
      <c r="A14" t="s">
        <v>114</v>
      </c>
      <c r="B14" t="s">
        <v>1073</v>
      </c>
      <c r="C14" t="s">
        <v>38</v>
      </c>
      <c r="D14">
        <v>8</v>
      </c>
      <c r="E14" t="s">
        <v>2379</v>
      </c>
      <c r="F14" t="s">
        <v>1935</v>
      </c>
      <c r="G14" t="s">
        <v>1935</v>
      </c>
      <c r="H14" t="s">
        <v>78</v>
      </c>
    </row>
    <row r="15" spans="1:8">
      <c r="A15" t="s">
        <v>114</v>
      </c>
      <c r="B15" t="s">
        <v>1073</v>
      </c>
      <c r="C15" t="s">
        <v>38</v>
      </c>
      <c r="D15">
        <v>9</v>
      </c>
      <c r="E15" t="s">
        <v>2380</v>
      </c>
      <c r="F15" t="s">
        <v>1935</v>
      </c>
      <c r="G15" t="s">
        <v>1935</v>
      </c>
      <c r="H15" t="s">
        <v>78</v>
      </c>
    </row>
    <row r="16" spans="1:8">
      <c r="A16" t="s">
        <v>112</v>
      </c>
      <c r="B16" t="s">
        <v>1072</v>
      </c>
      <c r="C16" t="s">
        <v>38</v>
      </c>
      <c r="D16">
        <v>1</v>
      </c>
      <c r="E16" t="s">
        <v>2381</v>
      </c>
      <c r="F16" t="s">
        <v>1935</v>
      </c>
      <c r="G16" t="s">
        <v>1935</v>
      </c>
      <c r="H16" t="s">
        <v>78</v>
      </c>
    </row>
    <row r="17" spans="1:8">
      <c r="A17" t="s">
        <v>112</v>
      </c>
      <c r="B17" t="s">
        <v>1072</v>
      </c>
      <c r="C17" t="s">
        <v>38</v>
      </c>
      <c r="D17">
        <v>2</v>
      </c>
      <c r="E17" t="s">
        <v>2382</v>
      </c>
      <c r="F17" t="s">
        <v>1935</v>
      </c>
      <c r="G17" t="s">
        <v>1935</v>
      </c>
      <c r="H17" t="s">
        <v>78</v>
      </c>
    </row>
    <row r="18" spans="1:8">
      <c r="A18" t="s">
        <v>112</v>
      </c>
      <c r="B18" t="s">
        <v>1072</v>
      </c>
      <c r="C18" t="s">
        <v>38</v>
      </c>
      <c r="D18">
        <v>3</v>
      </c>
      <c r="E18" t="s">
        <v>2383</v>
      </c>
      <c r="F18" t="s">
        <v>1935</v>
      </c>
      <c r="G18" t="s">
        <v>1935</v>
      </c>
      <c r="H18" t="s">
        <v>78</v>
      </c>
    </row>
    <row r="19" spans="1:8">
      <c r="A19" t="s">
        <v>112</v>
      </c>
      <c r="B19" t="s">
        <v>1072</v>
      </c>
      <c r="C19" t="s">
        <v>38</v>
      </c>
      <c r="D19">
        <v>4</v>
      </c>
      <c r="E19" t="s">
        <v>2384</v>
      </c>
      <c r="F19" t="s">
        <v>1935</v>
      </c>
      <c r="G19" t="s">
        <v>1935</v>
      </c>
      <c r="H19" t="s">
        <v>78</v>
      </c>
    </row>
    <row r="20" spans="1:8">
      <c r="A20" t="s">
        <v>112</v>
      </c>
      <c r="B20" t="s">
        <v>1072</v>
      </c>
      <c r="C20" t="s">
        <v>38</v>
      </c>
      <c r="D20">
        <v>5</v>
      </c>
      <c r="E20" t="s">
        <v>2385</v>
      </c>
      <c r="F20" t="s">
        <v>1935</v>
      </c>
      <c r="G20" t="s">
        <v>1935</v>
      </c>
      <c r="H20" t="s">
        <v>78</v>
      </c>
    </row>
    <row r="21" spans="1:8">
      <c r="A21" t="s">
        <v>112</v>
      </c>
      <c r="B21" t="s">
        <v>1072</v>
      </c>
      <c r="C21" t="s">
        <v>38</v>
      </c>
      <c r="D21">
        <v>6</v>
      </c>
      <c r="E21" t="s">
        <v>2386</v>
      </c>
      <c r="F21" t="s">
        <v>1935</v>
      </c>
      <c r="G21" t="s">
        <v>1935</v>
      </c>
      <c r="H21" t="s">
        <v>78</v>
      </c>
    </row>
    <row r="22" spans="1:8">
      <c r="A22" t="s">
        <v>112</v>
      </c>
      <c r="B22" t="s">
        <v>1072</v>
      </c>
      <c r="C22" t="s">
        <v>38</v>
      </c>
      <c r="D22">
        <v>7</v>
      </c>
      <c r="E22" t="s">
        <v>2387</v>
      </c>
      <c r="F22" t="s">
        <v>1935</v>
      </c>
      <c r="G22" t="s">
        <v>1935</v>
      </c>
      <c r="H22" t="s">
        <v>78</v>
      </c>
    </row>
    <row r="23" spans="1:8">
      <c r="A23" t="s">
        <v>112</v>
      </c>
      <c r="B23" t="s">
        <v>1072</v>
      </c>
      <c r="C23" t="s">
        <v>38</v>
      </c>
      <c r="D23">
        <v>8</v>
      </c>
      <c r="E23" t="s">
        <v>2388</v>
      </c>
      <c r="F23" t="s">
        <v>1935</v>
      </c>
      <c r="G23" t="s">
        <v>1935</v>
      </c>
      <c r="H23" t="s">
        <v>78</v>
      </c>
    </row>
    <row r="24" spans="1:8">
      <c r="A24" t="s">
        <v>112</v>
      </c>
      <c r="B24" t="s">
        <v>1072</v>
      </c>
      <c r="C24" t="s">
        <v>38</v>
      </c>
      <c r="D24">
        <v>9</v>
      </c>
      <c r="E24" t="s">
        <v>2389</v>
      </c>
      <c r="F24" t="s">
        <v>1935</v>
      </c>
      <c r="G24" t="s">
        <v>1935</v>
      </c>
      <c r="H24" t="s">
        <v>78</v>
      </c>
    </row>
    <row r="25" spans="1:8">
      <c r="A25" t="s">
        <v>97</v>
      </c>
      <c r="B25" t="s">
        <v>1068</v>
      </c>
      <c r="C25" t="s">
        <v>38</v>
      </c>
      <c r="D25">
        <v>1</v>
      </c>
      <c r="E25" t="s">
        <v>2390</v>
      </c>
      <c r="F25" t="s">
        <v>1935</v>
      </c>
      <c r="G25" t="s">
        <v>1935</v>
      </c>
      <c r="H25" t="s">
        <v>1935</v>
      </c>
    </row>
    <row r="26" spans="1:8">
      <c r="A26" t="s">
        <v>109</v>
      </c>
      <c r="B26" t="s">
        <v>1041</v>
      </c>
      <c r="C26" t="s">
        <v>38</v>
      </c>
      <c r="D26">
        <v>1</v>
      </c>
      <c r="E26" t="s">
        <v>1935</v>
      </c>
      <c r="F26" t="s">
        <v>1935</v>
      </c>
      <c r="G26" t="s">
        <v>1935</v>
      </c>
      <c r="H26" t="s">
        <v>78</v>
      </c>
    </row>
    <row r="27" spans="1:8">
      <c r="A27" t="s">
        <v>109</v>
      </c>
      <c r="B27" t="s">
        <v>1041</v>
      </c>
      <c r="C27" t="s">
        <v>38</v>
      </c>
      <c r="D27">
        <v>2</v>
      </c>
      <c r="E27" t="s">
        <v>2372</v>
      </c>
      <c r="F27" t="s">
        <v>1935</v>
      </c>
      <c r="G27" t="s">
        <v>1935</v>
      </c>
      <c r="H27" t="s">
        <v>78</v>
      </c>
    </row>
    <row r="28" spans="1:8">
      <c r="A28" t="s">
        <v>109</v>
      </c>
      <c r="B28" t="s">
        <v>1041</v>
      </c>
      <c r="C28" t="s">
        <v>38</v>
      </c>
      <c r="D28">
        <v>3</v>
      </c>
      <c r="E28" t="s">
        <v>2373</v>
      </c>
      <c r="F28" t="s">
        <v>1935</v>
      </c>
      <c r="G28" t="s">
        <v>1935</v>
      </c>
      <c r="H28" t="s">
        <v>78</v>
      </c>
    </row>
    <row r="29" spans="1:8">
      <c r="A29" t="s">
        <v>109</v>
      </c>
      <c r="B29" t="s">
        <v>1041</v>
      </c>
      <c r="C29" t="s">
        <v>38</v>
      </c>
      <c r="D29">
        <v>4</v>
      </c>
      <c r="E29" t="s">
        <v>2375</v>
      </c>
      <c r="F29" t="s">
        <v>1935</v>
      </c>
      <c r="G29" t="s">
        <v>1935</v>
      </c>
      <c r="H29" t="s">
        <v>78</v>
      </c>
    </row>
    <row r="30" spans="1:8">
      <c r="A30" t="s">
        <v>109</v>
      </c>
      <c r="B30" t="s">
        <v>1041</v>
      </c>
      <c r="C30" t="s">
        <v>38</v>
      </c>
      <c r="D30">
        <v>5</v>
      </c>
      <c r="E30" t="s">
        <v>2377</v>
      </c>
      <c r="F30" t="s">
        <v>1935</v>
      </c>
      <c r="G30" t="s">
        <v>1935</v>
      </c>
      <c r="H30" t="s">
        <v>78</v>
      </c>
    </row>
    <row r="31" spans="1:8">
      <c r="A31" t="s">
        <v>109</v>
      </c>
      <c r="B31" t="s">
        <v>1041</v>
      </c>
      <c r="C31" t="s">
        <v>38</v>
      </c>
      <c r="D31">
        <v>6</v>
      </c>
      <c r="E31" t="s">
        <v>2379</v>
      </c>
      <c r="F31" t="s">
        <v>1935</v>
      </c>
      <c r="G31" t="s">
        <v>1935</v>
      </c>
      <c r="H31" t="s">
        <v>78</v>
      </c>
    </row>
    <row r="32" spans="1:8">
      <c r="A32" t="s">
        <v>109</v>
      </c>
      <c r="B32" t="s">
        <v>1041</v>
      </c>
      <c r="C32" t="s">
        <v>38</v>
      </c>
      <c r="D32">
        <v>7</v>
      </c>
      <c r="E32" t="s">
        <v>2380</v>
      </c>
      <c r="F32" t="s">
        <v>1935</v>
      </c>
      <c r="G32" t="s">
        <v>1935</v>
      </c>
      <c r="H32" t="s">
        <v>78</v>
      </c>
    </row>
    <row r="33" spans="1:8">
      <c r="A33" t="s">
        <v>109</v>
      </c>
      <c r="B33" t="s">
        <v>1041</v>
      </c>
      <c r="C33" t="s">
        <v>38</v>
      </c>
      <c r="D33">
        <v>8</v>
      </c>
      <c r="E33" t="s">
        <v>2374</v>
      </c>
      <c r="F33" t="s">
        <v>1935</v>
      </c>
      <c r="G33" t="s">
        <v>1935</v>
      </c>
      <c r="H33" t="s">
        <v>78</v>
      </c>
    </row>
    <row r="34" spans="1:8">
      <c r="A34" t="s">
        <v>109</v>
      </c>
      <c r="B34" t="s">
        <v>1041</v>
      </c>
      <c r="C34" t="s">
        <v>38</v>
      </c>
      <c r="D34">
        <v>9</v>
      </c>
      <c r="E34" t="s">
        <v>2378</v>
      </c>
      <c r="F34" t="s">
        <v>1935</v>
      </c>
      <c r="G34" t="s">
        <v>1935</v>
      </c>
      <c r="H34" t="s">
        <v>78</v>
      </c>
    </row>
    <row r="35" spans="1:8">
      <c r="A35" t="s">
        <v>109</v>
      </c>
      <c r="B35" t="s">
        <v>1041</v>
      </c>
      <c r="C35" t="s">
        <v>38</v>
      </c>
      <c r="D35">
        <v>10</v>
      </c>
      <c r="E35" t="s">
        <v>2376</v>
      </c>
      <c r="F35" t="s">
        <v>1935</v>
      </c>
      <c r="G35" t="s">
        <v>1935</v>
      </c>
      <c r="H35" t="s">
        <v>78</v>
      </c>
    </row>
    <row r="36" spans="1:8">
      <c r="A36" t="s">
        <v>106</v>
      </c>
      <c r="B36" t="s">
        <v>1040</v>
      </c>
      <c r="C36" t="s">
        <v>38</v>
      </c>
      <c r="D36">
        <v>1</v>
      </c>
      <c r="E36" t="s">
        <v>1935</v>
      </c>
      <c r="F36" t="s">
        <v>1935</v>
      </c>
      <c r="G36" t="s">
        <v>1935</v>
      </c>
      <c r="H36" t="s">
        <v>78</v>
      </c>
    </row>
    <row r="37" spans="1:8">
      <c r="A37" t="s">
        <v>106</v>
      </c>
      <c r="B37" t="s">
        <v>1040</v>
      </c>
      <c r="C37" t="s">
        <v>38</v>
      </c>
      <c r="D37">
        <v>2</v>
      </c>
      <c r="E37" t="s">
        <v>2381</v>
      </c>
      <c r="F37" t="s">
        <v>2372</v>
      </c>
      <c r="G37" t="s">
        <v>1935</v>
      </c>
      <c r="H37" t="s">
        <v>78</v>
      </c>
    </row>
    <row r="38" spans="1:8">
      <c r="A38" t="s">
        <v>106</v>
      </c>
      <c r="B38" t="s">
        <v>1040</v>
      </c>
      <c r="C38" t="s">
        <v>38</v>
      </c>
      <c r="D38">
        <v>3</v>
      </c>
      <c r="E38" t="s">
        <v>2382</v>
      </c>
      <c r="F38" t="s">
        <v>2373</v>
      </c>
      <c r="G38" t="s">
        <v>1935</v>
      </c>
      <c r="H38" t="s">
        <v>78</v>
      </c>
    </row>
    <row r="39" spans="1:8">
      <c r="A39" t="s">
        <v>106</v>
      </c>
      <c r="B39" t="s">
        <v>1040</v>
      </c>
      <c r="C39" t="s">
        <v>38</v>
      </c>
      <c r="D39">
        <v>4</v>
      </c>
      <c r="E39" t="s">
        <v>2383</v>
      </c>
      <c r="F39" t="s">
        <v>2375</v>
      </c>
      <c r="G39" t="s">
        <v>1935</v>
      </c>
      <c r="H39" t="s">
        <v>78</v>
      </c>
    </row>
    <row r="40" spans="1:8">
      <c r="A40" t="s">
        <v>106</v>
      </c>
      <c r="B40" t="s">
        <v>1040</v>
      </c>
      <c r="C40" t="s">
        <v>38</v>
      </c>
      <c r="D40">
        <v>5</v>
      </c>
      <c r="E40" t="s">
        <v>2384</v>
      </c>
      <c r="F40" t="s">
        <v>2377</v>
      </c>
      <c r="G40" t="s">
        <v>1935</v>
      </c>
      <c r="H40" t="s">
        <v>78</v>
      </c>
    </row>
    <row r="41" spans="1:8">
      <c r="A41" t="s">
        <v>106</v>
      </c>
      <c r="B41" t="s">
        <v>1040</v>
      </c>
      <c r="C41" t="s">
        <v>38</v>
      </c>
      <c r="D41">
        <v>6</v>
      </c>
      <c r="E41" t="s">
        <v>2385</v>
      </c>
      <c r="F41" t="s">
        <v>2379</v>
      </c>
      <c r="G41" t="s">
        <v>1935</v>
      </c>
      <c r="H41" t="s">
        <v>78</v>
      </c>
    </row>
    <row r="42" spans="1:8">
      <c r="A42" t="s">
        <v>106</v>
      </c>
      <c r="B42" t="s">
        <v>1040</v>
      </c>
      <c r="C42" t="s">
        <v>38</v>
      </c>
      <c r="D42">
        <v>7</v>
      </c>
      <c r="E42" t="s">
        <v>2386</v>
      </c>
      <c r="F42" t="s">
        <v>2380</v>
      </c>
      <c r="G42" t="s">
        <v>1935</v>
      </c>
      <c r="H42" t="s">
        <v>78</v>
      </c>
    </row>
    <row r="43" spans="1:8">
      <c r="A43" t="s">
        <v>106</v>
      </c>
      <c r="B43" t="s">
        <v>1040</v>
      </c>
      <c r="C43" t="s">
        <v>38</v>
      </c>
      <c r="D43">
        <v>8</v>
      </c>
      <c r="E43" t="s">
        <v>2387</v>
      </c>
      <c r="F43" t="s">
        <v>2374</v>
      </c>
      <c r="G43" t="s">
        <v>1935</v>
      </c>
      <c r="H43" t="s">
        <v>78</v>
      </c>
    </row>
    <row r="44" spans="1:8">
      <c r="A44" t="s">
        <v>106</v>
      </c>
      <c r="B44" t="s">
        <v>1040</v>
      </c>
      <c r="C44" t="s">
        <v>38</v>
      </c>
      <c r="D44">
        <v>9</v>
      </c>
      <c r="E44" t="s">
        <v>2389</v>
      </c>
      <c r="F44" t="s">
        <v>2378</v>
      </c>
      <c r="G44" t="s">
        <v>1935</v>
      </c>
      <c r="H44" t="s">
        <v>78</v>
      </c>
    </row>
    <row r="45" spans="1:8">
      <c r="A45" t="s">
        <v>106</v>
      </c>
      <c r="B45" t="s">
        <v>1040</v>
      </c>
      <c r="C45" t="s">
        <v>38</v>
      </c>
      <c r="D45">
        <v>10</v>
      </c>
      <c r="E45" t="s">
        <v>2388</v>
      </c>
      <c r="F45" t="s">
        <v>2376</v>
      </c>
      <c r="G45" t="s">
        <v>1935</v>
      </c>
      <c r="H45" t="s">
        <v>78</v>
      </c>
    </row>
    <row r="46" spans="1:8">
      <c r="A46" t="s">
        <v>1142</v>
      </c>
      <c r="B46" t="s">
        <v>2391</v>
      </c>
      <c r="C46" t="s">
        <v>38</v>
      </c>
      <c r="D46">
        <v>1</v>
      </c>
      <c r="E46" t="s">
        <v>2392</v>
      </c>
      <c r="F46" t="s">
        <v>1935</v>
      </c>
      <c r="G46" t="s">
        <v>1935</v>
      </c>
      <c r="H46" t="s">
        <v>1935</v>
      </c>
    </row>
    <row r="47" spans="1:8">
      <c r="A47" t="s">
        <v>1142</v>
      </c>
      <c r="B47" t="s">
        <v>2391</v>
      </c>
      <c r="C47" t="s">
        <v>38</v>
      </c>
      <c r="D47">
        <v>2</v>
      </c>
      <c r="E47" t="s">
        <v>2393</v>
      </c>
      <c r="F47" t="s">
        <v>1935</v>
      </c>
      <c r="G47" t="s">
        <v>1935</v>
      </c>
      <c r="H47" t="s">
        <v>1935</v>
      </c>
    </row>
    <row r="48" spans="1:8">
      <c r="A48" t="s">
        <v>1142</v>
      </c>
      <c r="B48" t="s">
        <v>2391</v>
      </c>
      <c r="C48" t="s">
        <v>38</v>
      </c>
      <c r="D48">
        <v>3</v>
      </c>
      <c r="E48" t="s">
        <v>2394</v>
      </c>
      <c r="F48" t="s">
        <v>1935</v>
      </c>
      <c r="G48" t="s">
        <v>1935</v>
      </c>
      <c r="H48" t="s">
        <v>1935</v>
      </c>
    </row>
    <row r="49" spans="1:8">
      <c r="A49" t="s">
        <v>1142</v>
      </c>
      <c r="B49" t="s">
        <v>2391</v>
      </c>
      <c r="C49" t="s">
        <v>38</v>
      </c>
      <c r="D49">
        <v>4</v>
      </c>
      <c r="E49" t="s">
        <v>2395</v>
      </c>
      <c r="F49" t="s">
        <v>1935</v>
      </c>
      <c r="G49" t="s">
        <v>1935</v>
      </c>
      <c r="H49" t="s">
        <v>1935</v>
      </c>
    </row>
    <row r="50" spans="1:8">
      <c r="A50" t="s">
        <v>1142</v>
      </c>
      <c r="B50" t="s">
        <v>2391</v>
      </c>
      <c r="C50" t="s">
        <v>38</v>
      </c>
      <c r="D50">
        <v>5</v>
      </c>
      <c r="E50" t="s">
        <v>2396</v>
      </c>
      <c r="F50" t="s">
        <v>1935</v>
      </c>
      <c r="G50" t="s">
        <v>1935</v>
      </c>
      <c r="H50" t="s">
        <v>1935</v>
      </c>
    </row>
    <row r="51" spans="1:8">
      <c r="A51" t="s">
        <v>349</v>
      </c>
      <c r="B51" t="s">
        <v>1035</v>
      </c>
      <c r="C51" t="s">
        <v>38</v>
      </c>
      <c r="D51">
        <v>1</v>
      </c>
      <c r="E51" t="s">
        <v>2397</v>
      </c>
      <c r="F51" t="s">
        <v>1935</v>
      </c>
      <c r="G51" t="s">
        <v>1935</v>
      </c>
      <c r="H51" t="s">
        <v>1935</v>
      </c>
    </row>
    <row r="52" spans="1:8">
      <c r="A52" t="s">
        <v>349</v>
      </c>
      <c r="B52" t="s">
        <v>1035</v>
      </c>
      <c r="C52" t="s">
        <v>38</v>
      </c>
      <c r="D52">
        <v>2</v>
      </c>
      <c r="E52" t="s">
        <v>2398</v>
      </c>
      <c r="F52" t="s">
        <v>1935</v>
      </c>
      <c r="G52" t="s">
        <v>1935</v>
      </c>
      <c r="H52" t="s">
        <v>1935</v>
      </c>
    </row>
    <row r="53" spans="1:8">
      <c r="A53" t="s">
        <v>349</v>
      </c>
      <c r="B53" t="s">
        <v>1035</v>
      </c>
      <c r="C53" t="s">
        <v>38</v>
      </c>
      <c r="D53">
        <v>3</v>
      </c>
      <c r="E53" t="s">
        <v>2399</v>
      </c>
      <c r="F53" t="s">
        <v>1935</v>
      </c>
      <c r="G53" t="s">
        <v>1935</v>
      </c>
      <c r="H53" t="s">
        <v>1935</v>
      </c>
    </row>
    <row r="54" spans="1:8">
      <c r="A54" t="s">
        <v>349</v>
      </c>
      <c r="B54" t="s">
        <v>1035</v>
      </c>
      <c r="C54" t="s">
        <v>38</v>
      </c>
      <c r="D54">
        <v>4</v>
      </c>
      <c r="E54" t="s">
        <v>2400</v>
      </c>
      <c r="F54" t="s">
        <v>1935</v>
      </c>
      <c r="G54" t="s">
        <v>1935</v>
      </c>
      <c r="H54" t="s">
        <v>1935</v>
      </c>
    </row>
    <row r="55" spans="1:8">
      <c r="A55" t="s">
        <v>349</v>
      </c>
      <c r="B55" t="s">
        <v>1035</v>
      </c>
      <c r="C55" t="s">
        <v>38</v>
      </c>
      <c r="D55">
        <v>5</v>
      </c>
      <c r="E55" t="s">
        <v>2401</v>
      </c>
      <c r="F55" t="s">
        <v>1935</v>
      </c>
      <c r="G55" t="s">
        <v>1935</v>
      </c>
      <c r="H55" t="s">
        <v>1935</v>
      </c>
    </row>
    <row r="56" spans="1:8">
      <c r="A56" t="s">
        <v>349</v>
      </c>
      <c r="B56" t="s">
        <v>1035</v>
      </c>
      <c r="C56" t="s">
        <v>38</v>
      </c>
      <c r="D56">
        <v>6</v>
      </c>
      <c r="E56" t="s">
        <v>2402</v>
      </c>
      <c r="F56" t="s">
        <v>1935</v>
      </c>
      <c r="G56" t="s">
        <v>1935</v>
      </c>
      <c r="H56" t="s">
        <v>1935</v>
      </c>
    </row>
    <row r="57" spans="1:8">
      <c r="A57" t="s">
        <v>57</v>
      </c>
      <c r="B57" t="s">
        <v>1022</v>
      </c>
      <c r="C57" t="s">
        <v>38</v>
      </c>
      <c r="D57">
        <v>1</v>
      </c>
      <c r="E57" t="s">
        <v>11</v>
      </c>
      <c r="F57" t="s">
        <v>1935</v>
      </c>
      <c r="G57" t="s">
        <v>1935</v>
      </c>
      <c r="H57" t="s">
        <v>1935</v>
      </c>
    </row>
    <row r="58" spans="1:8">
      <c r="A58" t="s">
        <v>57</v>
      </c>
      <c r="B58" t="s">
        <v>1022</v>
      </c>
      <c r="C58" t="s">
        <v>38</v>
      </c>
      <c r="D58">
        <v>2</v>
      </c>
      <c r="E58" t="s">
        <v>8</v>
      </c>
      <c r="F58" t="s">
        <v>1935</v>
      </c>
      <c r="G58" t="s">
        <v>1935</v>
      </c>
      <c r="H58" t="s">
        <v>1935</v>
      </c>
    </row>
    <row r="59" spans="1:8">
      <c r="A59" t="s">
        <v>57</v>
      </c>
      <c r="B59" t="s">
        <v>1022</v>
      </c>
      <c r="C59" t="s">
        <v>38</v>
      </c>
      <c r="D59">
        <v>3</v>
      </c>
      <c r="E59" t="s">
        <v>5</v>
      </c>
      <c r="F59" t="s">
        <v>1935</v>
      </c>
      <c r="G59" t="s">
        <v>1935</v>
      </c>
      <c r="H59" t="s">
        <v>1935</v>
      </c>
    </row>
    <row r="60" spans="1:8">
      <c r="A60" t="s">
        <v>57</v>
      </c>
      <c r="B60" t="s">
        <v>1022</v>
      </c>
      <c r="C60" t="s">
        <v>38</v>
      </c>
      <c r="D60">
        <v>4</v>
      </c>
      <c r="E60" t="s">
        <v>12</v>
      </c>
      <c r="F60" t="s">
        <v>1935</v>
      </c>
      <c r="G60" t="s">
        <v>1935</v>
      </c>
      <c r="H60" t="s">
        <v>1935</v>
      </c>
    </row>
    <row r="61" spans="1:8">
      <c r="A61" t="s">
        <v>57</v>
      </c>
      <c r="B61" t="s">
        <v>1022</v>
      </c>
      <c r="C61" t="s">
        <v>38</v>
      </c>
      <c r="D61">
        <v>5</v>
      </c>
      <c r="E61" t="s">
        <v>13</v>
      </c>
      <c r="F61" t="s">
        <v>1935</v>
      </c>
      <c r="G61" t="s">
        <v>1935</v>
      </c>
      <c r="H61" t="s">
        <v>1935</v>
      </c>
    </row>
    <row r="62" spans="1:8">
      <c r="A62" t="s">
        <v>57</v>
      </c>
      <c r="B62" t="s">
        <v>1022</v>
      </c>
      <c r="C62" t="s">
        <v>38</v>
      </c>
      <c r="D62">
        <v>6</v>
      </c>
      <c r="E62" t="s">
        <v>2403</v>
      </c>
      <c r="F62" t="s">
        <v>1935</v>
      </c>
      <c r="G62" t="s">
        <v>1935</v>
      </c>
      <c r="H62" t="s">
        <v>1935</v>
      </c>
    </row>
    <row r="63" spans="1:8">
      <c r="A63" t="s">
        <v>57</v>
      </c>
      <c r="B63" t="s">
        <v>1022</v>
      </c>
      <c r="C63" t="s">
        <v>38</v>
      </c>
      <c r="D63">
        <v>7</v>
      </c>
      <c r="E63" t="s">
        <v>15</v>
      </c>
      <c r="F63" t="s">
        <v>1935</v>
      </c>
      <c r="G63" t="s">
        <v>1935</v>
      </c>
      <c r="H63" t="s">
        <v>1935</v>
      </c>
    </row>
    <row r="64" spans="1:8">
      <c r="A64" t="s">
        <v>57</v>
      </c>
      <c r="B64" t="s">
        <v>1022</v>
      </c>
      <c r="C64" t="s">
        <v>38</v>
      </c>
      <c r="D64">
        <v>8</v>
      </c>
      <c r="E64" t="s">
        <v>9</v>
      </c>
      <c r="F64" t="s">
        <v>1935</v>
      </c>
      <c r="G64" t="s">
        <v>1935</v>
      </c>
      <c r="H64" t="s">
        <v>1935</v>
      </c>
    </row>
    <row r="65" spans="1:8">
      <c r="A65" t="s">
        <v>57</v>
      </c>
      <c r="B65" t="s">
        <v>1022</v>
      </c>
      <c r="C65" t="s">
        <v>38</v>
      </c>
      <c r="D65">
        <v>9</v>
      </c>
      <c r="E65" t="s">
        <v>16</v>
      </c>
      <c r="F65" t="s">
        <v>1935</v>
      </c>
      <c r="G65" t="s">
        <v>1935</v>
      </c>
      <c r="H65" t="s">
        <v>1935</v>
      </c>
    </row>
    <row r="66" spans="1:8">
      <c r="A66" t="s">
        <v>57</v>
      </c>
      <c r="B66" t="s">
        <v>1022</v>
      </c>
      <c r="C66" t="s">
        <v>38</v>
      </c>
      <c r="D66">
        <v>10</v>
      </c>
      <c r="E66" t="s">
        <v>2404</v>
      </c>
      <c r="F66" t="s">
        <v>1935</v>
      </c>
      <c r="G66" t="s">
        <v>1935</v>
      </c>
      <c r="H66" t="s">
        <v>1935</v>
      </c>
    </row>
    <row r="67" spans="1:8">
      <c r="A67" t="s">
        <v>57</v>
      </c>
      <c r="B67" t="s">
        <v>1022</v>
      </c>
      <c r="C67" t="s">
        <v>38</v>
      </c>
      <c r="D67">
        <v>11</v>
      </c>
      <c r="E67" t="s">
        <v>17</v>
      </c>
      <c r="F67" t="s">
        <v>1935</v>
      </c>
      <c r="G67" t="s">
        <v>1935</v>
      </c>
      <c r="H67" t="s">
        <v>1935</v>
      </c>
    </row>
    <row r="68" spans="1:8">
      <c r="A68" t="s">
        <v>57</v>
      </c>
      <c r="B68" t="s">
        <v>1022</v>
      </c>
      <c r="C68" t="s">
        <v>38</v>
      </c>
      <c r="D68">
        <v>12</v>
      </c>
      <c r="E68" t="s">
        <v>14</v>
      </c>
      <c r="F68" t="s">
        <v>1935</v>
      </c>
      <c r="G68" t="s">
        <v>1935</v>
      </c>
      <c r="H68" t="s">
        <v>1935</v>
      </c>
    </row>
    <row r="69" spans="1:8">
      <c r="A69" t="s">
        <v>57</v>
      </c>
      <c r="B69" t="s">
        <v>1022</v>
      </c>
      <c r="C69" t="s">
        <v>38</v>
      </c>
      <c r="D69">
        <v>13</v>
      </c>
      <c r="E69" t="s">
        <v>2306</v>
      </c>
      <c r="F69" t="s">
        <v>1935</v>
      </c>
      <c r="G69" t="s">
        <v>1935</v>
      </c>
      <c r="H69" t="s">
        <v>1935</v>
      </c>
    </row>
    <row r="70" spans="1:8">
      <c r="A70" t="s">
        <v>57</v>
      </c>
      <c r="B70" t="s">
        <v>1022</v>
      </c>
      <c r="C70" t="s">
        <v>38</v>
      </c>
      <c r="D70">
        <v>14</v>
      </c>
      <c r="E70" t="s">
        <v>18</v>
      </c>
      <c r="F70" t="s">
        <v>1935</v>
      </c>
      <c r="G70" t="s">
        <v>1935</v>
      </c>
      <c r="H70" t="s">
        <v>1935</v>
      </c>
    </row>
    <row r="71" spans="1:8">
      <c r="A71" t="s">
        <v>57</v>
      </c>
      <c r="B71" t="s">
        <v>1022</v>
      </c>
      <c r="C71" t="s">
        <v>38</v>
      </c>
      <c r="D71">
        <v>15</v>
      </c>
      <c r="E71" t="s">
        <v>19</v>
      </c>
      <c r="F71" t="s">
        <v>1935</v>
      </c>
      <c r="G71" t="s">
        <v>1935</v>
      </c>
      <c r="H71" t="s">
        <v>1935</v>
      </c>
    </row>
    <row r="72" spans="1:8">
      <c r="A72" t="s">
        <v>57</v>
      </c>
      <c r="B72" t="s">
        <v>1022</v>
      </c>
      <c r="C72" t="s">
        <v>38</v>
      </c>
      <c r="D72">
        <v>16</v>
      </c>
      <c r="E72" t="s">
        <v>10</v>
      </c>
      <c r="F72" t="s">
        <v>1935</v>
      </c>
      <c r="G72" t="s">
        <v>1935</v>
      </c>
      <c r="H72" t="s">
        <v>1935</v>
      </c>
    </row>
    <row r="73" spans="1:8">
      <c r="A73" t="s">
        <v>57</v>
      </c>
      <c r="B73" t="s">
        <v>1022</v>
      </c>
      <c r="C73" t="s">
        <v>38</v>
      </c>
      <c r="D73">
        <v>17</v>
      </c>
      <c r="E73" t="s">
        <v>779</v>
      </c>
      <c r="F73" t="s">
        <v>1935</v>
      </c>
      <c r="G73" t="s">
        <v>1935</v>
      </c>
      <c r="H73" t="s">
        <v>1935</v>
      </c>
    </row>
    <row r="74" spans="1:8">
      <c r="A74" t="s">
        <v>57</v>
      </c>
      <c r="B74" t="s">
        <v>1022</v>
      </c>
      <c r="C74" t="s">
        <v>38</v>
      </c>
      <c r="D74">
        <v>18</v>
      </c>
      <c r="E74" t="s">
        <v>2405</v>
      </c>
      <c r="F74" t="s">
        <v>1935</v>
      </c>
      <c r="G74" t="s">
        <v>1935</v>
      </c>
      <c r="H74" t="s">
        <v>1935</v>
      </c>
    </row>
    <row r="75" spans="1:8">
      <c r="A75" t="s">
        <v>57</v>
      </c>
      <c r="B75" t="s">
        <v>1022</v>
      </c>
      <c r="C75" t="s">
        <v>38</v>
      </c>
      <c r="D75">
        <v>19</v>
      </c>
      <c r="E75" t="s">
        <v>6</v>
      </c>
      <c r="F75" t="s">
        <v>1935</v>
      </c>
      <c r="G75" t="s">
        <v>1935</v>
      </c>
      <c r="H75" t="s">
        <v>1935</v>
      </c>
    </row>
    <row r="76" spans="1:8">
      <c r="A76" t="s">
        <v>57</v>
      </c>
      <c r="B76" t="s">
        <v>1022</v>
      </c>
      <c r="C76" t="s">
        <v>38</v>
      </c>
      <c r="D76">
        <v>20</v>
      </c>
      <c r="E76" t="s">
        <v>2406</v>
      </c>
      <c r="F76" t="s">
        <v>1935</v>
      </c>
      <c r="G76" t="s">
        <v>1935</v>
      </c>
      <c r="H76" t="s">
        <v>1935</v>
      </c>
    </row>
    <row r="77" spans="1:8">
      <c r="A77" t="s">
        <v>57</v>
      </c>
      <c r="B77" t="s">
        <v>1022</v>
      </c>
      <c r="C77" t="s">
        <v>38</v>
      </c>
      <c r="D77">
        <v>21</v>
      </c>
      <c r="E77" t="s">
        <v>7</v>
      </c>
      <c r="F77" t="s">
        <v>1935</v>
      </c>
      <c r="G77" t="s">
        <v>1935</v>
      </c>
      <c r="H77" t="s">
        <v>1935</v>
      </c>
    </row>
    <row r="78" spans="1:8">
      <c r="A78" t="s">
        <v>57</v>
      </c>
      <c r="B78" t="s">
        <v>1022</v>
      </c>
      <c r="C78" t="s">
        <v>38</v>
      </c>
      <c r="D78">
        <v>22</v>
      </c>
      <c r="E78" t="s">
        <v>21</v>
      </c>
      <c r="F78" t="s">
        <v>1935</v>
      </c>
      <c r="G78" t="s">
        <v>1935</v>
      </c>
      <c r="H78" t="s">
        <v>1935</v>
      </c>
    </row>
    <row r="79" spans="1:8">
      <c r="A79" t="s">
        <v>57</v>
      </c>
      <c r="B79" t="s">
        <v>1022</v>
      </c>
      <c r="C79" t="s">
        <v>38</v>
      </c>
      <c r="D79">
        <v>23</v>
      </c>
      <c r="E79" t="s">
        <v>22</v>
      </c>
      <c r="F79" t="s">
        <v>1935</v>
      </c>
      <c r="G79" t="s">
        <v>1935</v>
      </c>
      <c r="H79" t="s">
        <v>1935</v>
      </c>
    </row>
    <row r="80" spans="1:8">
      <c r="A80" t="s">
        <v>57</v>
      </c>
      <c r="B80" t="s">
        <v>1022</v>
      </c>
      <c r="C80" t="s">
        <v>38</v>
      </c>
      <c r="D80">
        <v>24</v>
      </c>
      <c r="E80" t="s">
        <v>23</v>
      </c>
      <c r="F80" t="s">
        <v>1935</v>
      </c>
      <c r="G80" t="s">
        <v>1935</v>
      </c>
      <c r="H80" t="s">
        <v>1935</v>
      </c>
    </row>
    <row r="81" spans="1:8">
      <c r="A81" t="s">
        <v>57</v>
      </c>
      <c r="B81" t="s">
        <v>1022</v>
      </c>
      <c r="C81" t="s">
        <v>38</v>
      </c>
      <c r="D81">
        <v>25</v>
      </c>
      <c r="E81" t="s">
        <v>2407</v>
      </c>
      <c r="F81" t="s">
        <v>1935</v>
      </c>
      <c r="G81" t="s">
        <v>1935</v>
      </c>
      <c r="H81" t="s">
        <v>1935</v>
      </c>
    </row>
    <row r="82" spans="1:8">
      <c r="A82" t="s">
        <v>57</v>
      </c>
      <c r="B82" t="s">
        <v>1022</v>
      </c>
      <c r="C82" t="s">
        <v>38</v>
      </c>
      <c r="D82">
        <v>26</v>
      </c>
      <c r="E82" t="s">
        <v>24</v>
      </c>
      <c r="F82" t="s">
        <v>1935</v>
      </c>
      <c r="G82" t="s">
        <v>1935</v>
      </c>
      <c r="H82" t="s">
        <v>1935</v>
      </c>
    </row>
    <row r="83" spans="1:8">
      <c r="A83" t="s">
        <v>57</v>
      </c>
      <c r="B83" t="s">
        <v>1022</v>
      </c>
      <c r="C83" t="s">
        <v>38</v>
      </c>
      <c r="D83">
        <v>27</v>
      </c>
      <c r="E83" t="s">
        <v>2408</v>
      </c>
      <c r="F83" t="s">
        <v>1935</v>
      </c>
      <c r="G83" t="s">
        <v>1935</v>
      </c>
      <c r="H83" t="s">
        <v>1935</v>
      </c>
    </row>
    <row r="84" spans="1:8">
      <c r="A84" t="s">
        <v>57</v>
      </c>
      <c r="B84" t="s">
        <v>1022</v>
      </c>
      <c r="C84" t="s">
        <v>38</v>
      </c>
      <c r="D84">
        <v>28</v>
      </c>
      <c r="E84" t="s">
        <v>25</v>
      </c>
      <c r="F84" t="s">
        <v>1935</v>
      </c>
      <c r="G84" t="s">
        <v>1935</v>
      </c>
      <c r="H84" t="s">
        <v>1935</v>
      </c>
    </row>
    <row r="85" spans="1:8">
      <c r="A85" t="s">
        <v>57</v>
      </c>
      <c r="B85" t="s">
        <v>1022</v>
      </c>
      <c r="C85" t="s">
        <v>38</v>
      </c>
      <c r="D85">
        <v>29</v>
      </c>
      <c r="E85" t="s">
        <v>20</v>
      </c>
      <c r="F85" t="s">
        <v>1935</v>
      </c>
      <c r="G85" t="s">
        <v>1935</v>
      </c>
      <c r="H85" t="s">
        <v>1935</v>
      </c>
    </row>
    <row r="86" spans="1:8">
      <c r="A86" t="s">
        <v>412</v>
      </c>
      <c r="B86" t="s">
        <v>1035</v>
      </c>
      <c r="C86" t="s">
        <v>38</v>
      </c>
      <c r="D86">
        <v>1</v>
      </c>
      <c r="E86" t="s">
        <v>2409</v>
      </c>
      <c r="F86" t="s">
        <v>1935</v>
      </c>
      <c r="G86" t="s">
        <v>1935</v>
      </c>
      <c r="H86" t="s">
        <v>1935</v>
      </c>
    </row>
    <row r="87" spans="1:8">
      <c r="A87" t="s">
        <v>412</v>
      </c>
      <c r="B87" t="s">
        <v>1035</v>
      </c>
      <c r="C87" t="s">
        <v>38</v>
      </c>
      <c r="D87">
        <v>2</v>
      </c>
      <c r="E87" t="s">
        <v>2410</v>
      </c>
      <c r="F87" t="s">
        <v>1935</v>
      </c>
      <c r="G87" t="s">
        <v>1935</v>
      </c>
      <c r="H87" t="s">
        <v>1935</v>
      </c>
    </row>
    <row r="88" spans="1:8">
      <c r="A88" t="s">
        <v>201</v>
      </c>
      <c r="B88" t="s">
        <v>1120</v>
      </c>
      <c r="C88" t="s">
        <v>38</v>
      </c>
      <c r="D88">
        <v>1</v>
      </c>
      <c r="E88" t="s">
        <v>2411</v>
      </c>
      <c r="F88" t="s">
        <v>1935</v>
      </c>
      <c r="G88" t="s">
        <v>1935</v>
      </c>
      <c r="H88" t="s">
        <v>1935</v>
      </c>
    </row>
    <row r="89" spans="1:8">
      <c r="A89" t="s">
        <v>201</v>
      </c>
      <c r="B89" t="s">
        <v>1120</v>
      </c>
      <c r="C89" t="s">
        <v>38</v>
      </c>
      <c r="D89">
        <v>2</v>
      </c>
      <c r="E89" t="s">
        <v>2412</v>
      </c>
      <c r="F89" t="s">
        <v>1935</v>
      </c>
      <c r="G89" t="s">
        <v>1935</v>
      </c>
      <c r="H89" t="s">
        <v>1935</v>
      </c>
    </row>
    <row r="90" spans="1:8">
      <c r="A90" t="s">
        <v>201</v>
      </c>
      <c r="B90" t="s">
        <v>1120</v>
      </c>
      <c r="C90" t="s">
        <v>38</v>
      </c>
      <c r="D90">
        <v>3</v>
      </c>
      <c r="E90" t="s">
        <v>2413</v>
      </c>
      <c r="F90" t="s">
        <v>1935</v>
      </c>
      <c r="G90" t="s">
        <v>1935</v>
      </c>
      <c r="H90" t="s">
        <v>1935</v>
      </c>
    </row>
    <row r="91" spans="1:8">
      <c r="A91" t="s">
        <v>201</v>
      </c>
      <c r="B91" t="s">
        <v>1120</v>
      </c>
      <c r="C91" t="s">
        <v>38</v>
      </c>
      <c r="D91">
        <v>4</v>
      </c>
      <c r="E91" t="s">
        <v>2414</v>
      </c>
      <c r="F91" t="s">
        <v>1935</v>
      </c>
      <c r="G91" t="s">
        <v>1935</v>
      </c>
      <c r="H91" t="s">
        <v>1935</v>
      </c>
    </row>
    <row r="92" spans="1:8">
      <c r="A92" t="s">
        <v>201</v>
      </c>
      <c r="B92" t="s">
        <v>1120</v>
      </c>
      <c r="C92" t="s">
        <v>38</v>
      </c>
      <c r="D92">
        <v>5</v>
      </c>
      <c r="E92" t="s">
        <v>2415</v>
      </c>
      <c r="F92" t="s">
        <v>1935</v>
      </c>
      <c r="G92" t="s">
        <v>1935</v>
      </c>
      <c r="H92" t="s">
        <v>1935</v>
      </c>
    </row>
    <row r="93" spans="1:8">
      <c r="A93" t="s">
        <v>201</v>
      </c>
      <c r="B93" t="s">
        <v>1120</v>
      </c>
      <c r="C93" t="s">
        <v>38</v>
      </c>
      <c r="D93">
        <v>6</v>
      </c>
      <c r="E93" t="s">
        <v>2416</v>
      </c>
      <c r="F93" t="s">
        <v>1935</v>
      </c>
      <c r="G93" t="s">
        <v>1935</v>
      </c>
      <c r="H93" t="s">
        <v>1935</v>
      </c>
    </row>
    <row r="94" spans="1:8">
      <c r="A94" t="s">
        <v>201</v>
      </c>
      <c r="B94" t="s">
        <v>1120</v>
      </c>
      <c r="C94" t="s">
        <v>38</v>
      </c>
      <c r="D94">
        <v>7</v>
      </c>
      <c r="E94" t="s">
        <v>2417</v>
      </c>
      <c r="F94" t="s">
        <v>1935</v>
      </c>
      <c r="G94" t="s">
        <v>1935</v>
      </c>
      <c r="H94" t="s">
        <v>1935</v>
      </c>
    </row>
    <row r="95" spans="1:8">
      <c r="A95" t="s">
        <v>201</v>
      </c>
      <c r="B95" t="s">
        <v>1120</v>
      </c>
      <c r="C95" t="s">
        <v>38</v>
      </c>
      <c r="D95">
        <v>8</v>
      </c>
      <c r="E95" t="s">
        <v>2418</v>
      </c>
      <c r="F95" t="s">
        <v>1935</v>
      </c>
      <c r="G95" t="s">
        <v>1935</v>
      </c>
      <c r="H95" t="s">
        <v>1935</v>
      </c>
    </row>
    <row r="96" spans="1:8">
      <c r="A96" t="s">
        <v>201</v>
      </c>
      <c r="B96" t="s">
        <v>1120</v>
      </c>
      <c r="C96" t="s">
        <v>38</v>
      </c>
      <c r="D96">
        <v>9</v>
      </c>
      <c r="E96" t="s">
        <v>2419</v>
      </c>
      <c r="F96" t="s">
        <v>1935</v>
      </c>
      <c r="G96" t="s">
        <v>1935</v>
      </c>
      <c r="H96" t="s">
        <v>1935</v>
      </c>
    </row>
    <row r="97" spans="1:8">
      <c r="A97" t="s">
        <v>1004</v>
      </c>
      <c r="B97" t="s">
        <v>1035</v>
      </c>
      <c r="C97" t="s">
        <v>38</v>
      </c>
      <c r="D97">
        <v>1</v>
      </c>
      <c r="E97" t="s">
        <v>2420</v>
      </c>
      <c r="F97" t="s">
        <v>1935</v>
      </c>
      <c r="G97" t="s">
        <v>1935</v>
      </c>
      <c r="H97" t="s">
        <v>1935</v>
      </c>
    </row>
    <row r="98" spans="1:8">
      <c r="A98" t="s">
        <v>1004</v>
      </c>
      <c r="B98" t="s">
        <v>1035</v>
      </c>
      <c r="C98" t="s">
        <v>38</v>
      </c>
      <c r="D98">
        <v>2</v>
      </c>
      <c r="E98" t="s">
        <v>2421</v>
      </c>
      <c r="F98" t="s">
        <v>1935</v>
      </c>
      <c r="G98" t="s">
        <v>1935</v>
      </c>
      <c r="H98" t="s">
        <v>1935</v>
      </c>
    </row>
    <row r="99" spans="1:8">
      <c r="A99" t="s">
        <v>1004</v>
      </c>
      <c r="B99" t="s">
        <v>1035</v>
      </c>
      <c r="C99" t="s">
        <v>38</v>
      </c>
      <c r="D99">
        <v>3</v>
      </c>
      <c r="E99" t="s">
        <v>2422</v>
      </c>
      <c r="F99" t="s">
        <v>1935</v>
      </c>
      <c r="G99" t="s">
        <v>1935</v>
      </c>
      <c r="H99" t="s">
        <v>1935</v>
      </c>
    </row>
    <row r="100" spans="1:8">
      <c r="A100" t="s">
        <v>1004</v>
      </c>
      <c r="B100" t="s">
        <v>1035</v>
      </c>
      <c r="C100" t="s">
        <v>38</v>
      </c>
      <c r="D100">
        <v>4</v>
      </c>
      <c r="E100" t="s">
        <v>2423</v>
      </c>
      <c r="F100" t="s">
        <v>1935</v>
      </c>
      <c r="G100" t="s">
        <v>1935</v>
      </c>
      <c r="H100" t="s">
        <v>1935</v>
      </c>
    </row>
    <row r="101" spans="1:8">
      <c r="A101" t="s">
        <v>1004</v>
      </c>
      <c r="B101" t="s">
        <v>1035</v>
      </c>
      <c r="C101" t="s">
        <v>38</v>
      </c>
      <c r="D101">
        <v>5</v>
      </c>
      <c r="E101" t="s">
        <v>2424</v>
      </c>
      <c r="F101" t="s">
        <v>1935</v>
      </c>
      <c r="G101" t="s">
        <v>1935</v>
      </c>
      <c r="H101" t="s">
        <v>1935</v>
      </c>
    </row>
    <row r="102" spans="1:8">
      <c r="A102" t="s">
        <v>1005</v>
      </c>
      <c r="B102" t="s">
        <v>1036</v>
      </c>
      <c r="C102" t="s">
        <v>38</v>
      </c>
      <c r="D102">
        <v>1</v>
      </c>
      <c r="E102" t="s">
        <v>2987</v>
      </c>
      <c r="F102" t="s">
        <v>1935</v>
      </c>
      <c r="G102" t="s">
        <v>1935</v>
      </c>
      <c r="H102" t="s">
        <v>1935</v>
      </c>
    </row>
    <row r="103" spans="1:8">
      <c r="A103" t="s">
        <v>1005</v>
      </c>
      <c r="B103" t="s">
        <v>1036</v>
      </c>
      <c r="C103" t="s">
        <v>38</v>
      </c>
      <c r="D103">
        <v>2</v>
      </c>
      <c r="E103" t="s">
        <v>2425</v>
      </c>
      <c r="F103" t="s">
        <v>1935</v>
      </c>
      <c r="G103" t="s">
        <v>1935</v>
      </c>
      <c r="H103" t="s">
        <v>1935</v>
      </c>
    </row>
    <row r="104" spans="1:8">
      <c r="A104" t="s">
        <v>1005</v>
      </c>
      <c r="B104" t="s">
        <v>1036</v>
      </c>
      <c r="C104" t="s">
        <v>38</v>
      </c>
      <c r="D104">
        <v>3</v>
      </c>
      <c r="E104" t="s">
        <v>2426</v>
      </c>
      <c r="F104" t="s">
        <v>1935</v>
      </c>
      <c r="G104" t="s">
        <v>1935</v>
      </c>
      <c r="H104" t="s">
        <v>1935</v>
      </c>
    </row>
    <row r="105" spans="1:8">
      <c r="A105" t="s">
        <v>1005</v>
      </c>
      <c r="B105" t="s">
        <v>1036</v>
      </c>
      <c r="C105" t="s">
        <v>38</v>
      </c>
      <c r="D105">
        <v>4</v>
      </c>
      <c r="E105" t="s">
        <v>2427</v>
      </c>
      <c r="F105" t="s">
        <v>1935</v>
      </c>
      <c r="G105" t="s">
        <v>1935</v>
      </c>
      <c r="H105" t="s">
        <v>1935</v>
      </c>
    </row>
    <row r="106" spans="1:8">
      <c r="A106" t="s">
        <v>1005</v>
      </c>
      <c r="B106" t="s">
        <v>1036</v>
      </c>
      <c r="C106" t="s">
        <v>38</v>
      </c>
      <c r="D106">
        <v>5</v>
      </c>
      <c r="E106" t="s">
        <v>2428</v>
      </c>
      <c r="F106" t="s">
        <v>1935</v>
      </c>
      <c r="G106" t="s">
        <v>1935</v>
      </c>
      <c r="H106" t="s">
        <v>1935</v>
      </c>
    </row>
    <row r="107" spans="1:8">
      <c r="A107" t="s">
        <v>1005</v>
      </c>
      <c r="B107" t="s">
        <v>1036</v>
      </c>
      <c r="C107" t="s">
        <v>38</v>
      </c>
      <c r="D107">
        <v>6</v>
      </c>
      <c r="E107" t="s">
        <v>2429</v>
      </c>
      <c r="F107" t="s">
        <v>1935</v>
      </c>
      <c r="G107" t="s">
        <v>1935</v>
      </c>
      <c r="H107" t="s">
        <v>1935</v>
      </c>
    </row>
    <row r="108" spans="1:8">
      <c r="A108" t="s">
        <v>1005</v>
      </c>
      <c r="B108" t="s">
        <v>1036</v>
      </c>
      <c r="C108" t="s">
        <v>38</v>
      </c>
      <c r="D108">
        <v>7</v>
      </c>
      <c r="E108" t="s">
        <v>2430</v>
      </c>
      <c r="F108" t="s">
        <v>1935</v>
      </c>
      <c r="G108" t="s">
        <v>1935</v>
      </c>
      <c r="H108" t="s">
        <v>1935</v>
      </c>
    </row>
    <row r="109" spans="1:8">
      <c r="A109" t="s">
        <v>1005</v>
      </c>
      <c r="B109" t="s">
        <v>1036</v>
      </c>
      <c r="C109" t="s">
        <v>38</v>
      </c>
      <c r="D109">
        <v>8</v>
      </c>
      <c r="E109" t="s">
        <v>2431</v>
      </c>
      <c r="F109" t="s">
        <v>1935</v>
      </c>
      <c r="G109" t="s">
        <v>1935</v>
      </c>
      <c r="H109" t="s">
        <v>1935</v>
      </c>
    </row>
    <row r="110" spans="1:8">
      <c r="A110" t="s">
        <v>1005</v>
      </c>
      <c r="B110" t="s">
        <v>1036</v>
      </c>
      <c r="C110" t="s">
        <v>38</v>
      </c>
      <c r="D110">
        <v>9</v>
      </c>
      <c r="E110" t="s">
        <v>2432</v>
      </c>
      <c r="F110" t="s">
        <v>1935</v>
      </c>
      <c r="G110" t="s">
        <v>1935</v>
      </c>
      <c r="H110" t="s">
        <v>1935</v>
      </c>
    </row>
    <row r="111" spans="1:8">
      <c r="A111" t="s">
        <v>1005</v>
      </c>
      <c r="B111" t="s">
        <v>1036</v>
      </c>
      <c r="C111" t="s">
        <v>38</v>
      </c>
      <c r="D111">
        <v>10</v>
      </c>
      <c r="E111" t="s">
        <v>2433</v>
      </c>
      <c r="F111" t="s">
        <v>1935</v>
      </c>
      <c r="G111" t="s">
        <v>1935</v>
      </c>
      <c r="H111" t="s">
        <v>1935</v>
      </c>
    </row>
    <row r="112" spans="1:8">
      <c r="A112" t="s">
        <v>1005</v>
      </c>
      <c r="B112" t="s">
        <v>1036</v>
      </c>
      <c r="C112" t="s">
        <v>38</v>
      </c>
      <c r="D112">
        <v>11</v>
      </c>
      <c r="E112" t="s">
        <v>2434</v>
      </c>
      <c r="F112" t="s">
        <v>1935</v>
      </c>
      <c r="G112" t="s">
        <v>1935</v>
      </c>
      <c r="H112" t="s">
        <v>1935</v>
      </c>
    </row>
    <row r="113" spans="1:8">
      <c r="A113" t="s">
        <v>1005</v>
      </c>
      <c r="B113" t="s">
        <v>1036</v>
      </c>
      <c r="C113" t="s">
        <v>38</v>
      </c>
      <c r="D113">
        <v>12</v>
      </c>
      <c r="E113" t="s">
        <v>2435</v>
      </c>
      <c r="F113" t="s">
        <v>1935</v>
      </c>
      <c r="G113" t="s">
        <v>1935</v>
      </c>
      <c r="H113" t="s">
        <v>1935</v>
      </c>
    </row>
    <row r="114" spans="1:8">
      <c r="A114" t="s">
        <v>635</v>
      </c>
      <c r="B114" t="s">
        <v>2436</v>
      </c>
      <c r="C114" t="s">
        <v>38</v>
      </c>
      <c r="D114">
        <v>1</v>
      </c>
      <c r="E114" t="s">
        <v>2437</v>
      </c>
      <c r="F114" t="s">
        <v>1935</v>
      </c>
      <c r="G114" t="s">
        <v>1935</v>
      </c>
      <c r="H114" t="s">
        <v>1935</v>
      </c>
    </row>
    <row r="115" spans="1:8">
      <c r="A115" t="s">
        <v>635</v>
      </c>
      <c r="B115" t="s">
        <v>2436</v>
      </c>
      <c r="C115" t="s">
        <v>38</v>
      </c>
      <c r="D115">
        <v>2</v>
      </c>
      <c r="E115" t="s">
        <v>2438</v>
      </c>
      <c r="F115" t="s">
        <v>1935</v>
      </c>
      <c r="G115" t="s">
        <v>1935</v>
      </c>
      <c r="H115" t="s">
        <v>1935</v>
      </c>
    </row>
    <row r="116" spans="1:8">
      <c r="A116" t="s">
        <v>846</v>
      </c>
      <c r="B116" t="s">
        <v>1035</v>
      </c>
      <c r="C116" t="s">
        <v>38</v>
      </c>
      <c r="D116">
        <v>1</v>
      </c>
      <c r="E116" t="s">
        <v>2439</v>
      </c>
      <c r="F116" t="s">
        <v>1935</v>
      </c>
      <c r="G116" t="s">
        <v>1935</v>
      </c>
      <c r="H116" t="s">
        <v>1935</v>
      </c>
    </row>
    <row r="117" spans="1:8">
      <c r="A117" t="s">
        <v>390</v>
      </c>
      <c r="B117" t="s">
        <v>2440</v>
      </c>
      <c r="C117" t="s">
        <v>38</v>
      </c>
      <c r="D117">
        <v>1</v>
      </c>
      <c r="E117" t="s">
        <v>2345</v>
      </c>
      <c r="F117" t="s">
        <v>1935</v>
      </c>
      <c r="G117" t="s">
        <v>1935</v>
      </c>
      <c r="H117" t="s">
        <v>1935</v>
      </c>
    </row>
    <row r="118" spans="1:8">
      <c r="A118" t="s">
        <v>390</v>
      </c>
      <c r="B118" t="s">
        <v>2440</v>
      </c>
      <c r="C118" t="s">
        <v>38</v>
      </c>
      <c r="D118">
        <v>2</v>
      </c>
      <c r="E118" t="s">
        <v>2347</v>
      </c>
      <c r="F118" t="s">
        <v>1935</v>
      </c>
      <c r="G118" t="s">
        <v>1935</v>
      </c>
      <c r="H118" t="s">
        <v>1935</v>
      </c>
    </row>
    <row r="119" spans="1:8">
      <c r="A119" t="s">
        <v>390</v>
      </c>
      <c r="B119" t="s">
        <v>2440</v>
      </c>
      <c r="C119" t="s">
        <v>38</v>
      </c>
      <c r="D119">
        <v>3</v>
      </c>
      <c r="E119" t="s">
        <v>2349</v>
      </c>
      <c r="F119" t="s">
        <v>1935</v>
      </c>
      <c r="G119" t="s">
        <v>1935</v>
      </c>
      <c r="H119" t="s">
        <v>1935</v>
      </c>
    </row>
    <row r="120" spans="1:8">
      <c r="A120" t="s">
        <v>390</v>
      </c>
      <c r="B120" t="s">
        <v>2440</v>
      </c>
      <c r="C120" t="s">
        <v>38</v>
      </c>
      <c r="D120">
        <v>4</v>
      </c>
      <c r="E120" t="s">
        <v>2351</v>
      </c>
      <c r="F120" t="s">
        <v>1935</v>
      </c>
      <c r="G120" t="s">
        <v>1935</v>
      </c>
      <c r="H120" t="s">
        <v>1935</v>
      </c>
    </row>
    <row r="121" spans="1:8">
      <c r="A121" t="s">
        <v>390</v>
      </c>
      <c r="B121" t="s">
        <v>2440</v>
      </c>
      <c r="C121" t="s">
        <v>38</v>
      </c>
      <c r="D121">
        <v>5</v>
      </c>
      <c r="E121" t="s">
        <v>2353</v>
      </c>
      <c r="F121" t="s">
        <v>1935</v>
      </c>
      <c r="G121" t="s">
        <v>1935</v>
      </c>
      <c r="H121" t="s">
        <v>1935</v>
      </c>
    </row>
    <row r="122" spans="1:8">
      <c r="A122" t="s">
        <v>390</v>
      </c>
      <c r="B122" t="s">
        <v>2440</v>
      </c>
      <c r="C122" t="s">
        <v>38</v>
      </c>
      <c r="D122">
        <v>6</v>
      </c>
      <c r="E122" t="s">
        <v>2355</v>
      </c>
      <c r="F122" t="s">
        <v>1935</v>
      </c>
      <c r="G122" t="s">
        <v>1935</v>
      </c>
      <c r="H122" t="s">
        <v>1935</v>
      </c>
    </row>
    <row r="123" spans="1:8">
      <c r="A123" t="s">
        <v>390</v>
      </c>
      <c r="B123" t="s">
        <v>2440</v>
      </c>
      <c r="C123" t="s">
        <v>38</v>
      </c>
      <c r="D123">
        <v>7</v>
      </c>
      <c r="E123" t="s">
        <v>2357</v>
      </c>
      <c r="F123" t="s">
        <v>1935</v>
      </c>
      <c r="G123" t="s">
        <v>1935</v>
      </c>
      <c r="H123" t="s">
        <v>1935</v>
      </c>
    </row>
    <row r="124" spans="1:8">
      <c r="A124" t="s">
        <v>388</v>
      </c>
      <c r="B124" t="s">
        <v>2441</v>
      </c>
      <c r="C124" t="s">
        <v>38</v>
      </c>
      <c r="D124">
        <v>1</v>
      </c>
      <c r="E124" t="s">
        <v>2442</v>
      </c>
      <c r="F124" t="s">
        <v>2345</v>
      </c>
      <c r="G124" t="s">
        <v>1935</v>
      </c>
      <c r="H124" t="s">
        <v>1935</v>
      </c>
    </row>
    <row r="125" spans="1:8">
      <c r="A125" t="s">
        <v>388</v>
      </c>
      <c r="B125" t="s">
        <v>2441</v>
      </c>
      <c r="C125" t="s">
        <v>38</v>
      </c>
      <c r="D125">
        <v>2</v>
      </c>
      <c r="E125" t="s">
        <v>2443</v>
      </c>
      <c r="F125" t="s">
        <v>2347</v>
      </c>
      <c r="G125" t="s">
        <v>1935</v>
      </c>
      <c r="H125" t="s">
        <v>1935</v>
      </c>
    </row>
    <row r="126" spans="1:8">
      <c r="A126" t="s">
        <v>388</v>
      </c>
      <c r="B126" t="s">
        <v>2441</v>
      </c>
      <c r="C126" t="s">
        <v>38</v>
      </c>
      <c r="D126">
        <v>3</v>
      </c>
      <c r="E126" t="s">
        <v>2444</v>
      </c>
      <c r="F126" t="s">
        <v>2349</v>
      </c>
      <c r="G126" t="s">
        <v>1935</v>
      </c>
      <c r="H126" t="s">
        <v>1935</v>
      </c>
    </row>
    <row r="127" spans="1:8">
      <c r="A127" t="s">
        <v>388</v>
      </c>
      <c r="B127" t="s">
        <v>2441</v>
      </c>
      <c r="C127" t="s">
        <v>38</v>
      </c>
      <c r="D127">
        <v>4</v>
      </c>
      <c r="E127" t="s">
        <v>2445</v>
      </c>
      <c r="F127" t="s">
        <v>2351</v>
      </c>
      <c r="G127" t="s">
        <v>1935</v>
      </c>
      <c r="H127" t="s">
        <v>1935</v>
      </c>
    </row>
    <row r="128" spans="1:8">
      <c r="A128" t="s">
        <v>388</v>
      </c>
      <c r="B128" t="s">
        <v>2441</v>
      </c>
      <c r="C128" t="s">
        <v>38</v>
      </c>
      <c r="D128">
        <v>5</v>
      </c>
      <c r="E128" t="s">
        <v>2446</v>
      </c>
      <c r="F128" t="s">
        <v>2353</v>
      </c>
      <c r="G128" t="s">
        <v>1935</v>
      </c>
      <c r="H128" t="s">
        <v>1935</v>
      </c>
    </row>
    <row r="129" spans="1:8">
      <c r="A129" t="s">
        <v>388</v>
      </c>
      <c r="B129" t="s">
        <v>2441</v>
      </c>
      <c r="C129" t="s">
        <v>38</v>
      </c>
      <c r="D129">
        <v>6</v>
      </c>
      <c r="E129" t="s">
        <v>2447</v>
      </c>
      <c r="F129" t="s">
        <v>2355</v>
      </c>
      <c r="G129" t="s">
        <v>1935</v>
      </c>
      <c r="H129" t="s">
        <v>1935</v>
      </c>
    </row>
    <row r="130" spans="1:8">
      <c r="A130" t="s">
        <v>388</v>
      </c>
      <c r="B130" t="s">
        <v>2441</v>
      </c>
      <c r="C130" t="s">
        <v>38</v>
      </c>
      <c r="D130">
        <v>7</v>
      </c>
      <c r="E130" t="s">
        <v>2448</v>
      </c>
      <c r="F130" t="s">
        <v>2357</v>
      </c>
      <c r="G130" t="s">
        <v>1935</v>
      </c>
      <c r="H130" t="s">
        <v>1935</v>
      </c>
    </row>
    <row r="131" spans="1:8">
      <c r="A131" t="s">
        <v>253</v>
      </c>
      <c r="B131" t="s">
        <v>1039</v>
      </c>
      <c r="C131" t="s">
        <v>38</v>
      </c>
      <c r="D131">
        <v>1</v>
      </c>
      <c r="E131" t="s">
        <v>2449</v>
      </c>
      <c r="F131" t="s">
        <v>1935</v>
      </c>
      <c r="G131" t="s">
        <v>1935</v>
      </c>
      <c r="H131" t="s">
        <v>78</v>
      </c>
    </row>
    <row r="132" spans="1:8">
      <c r="A132" t="s">
        <v>253</v>
      </c>
      <c r="B132" t="s">
        <v>1039</v>
      </c>
      <c r="C132" t="s">
        <v>38</v>
      </c>
      <c r="D132">
        <v>2</v>
      </c>
      <c r="E132" t="s">
        <v>2450</v>
      </c>
      <c r="F132" t="s">
        <v>1935</v>
      </c>
      <c r="G132" t="s">
        <v>1935</v>
      </c>
      <c r="H132" t="s">
        <v>78</v>
      </c>
    </row>
    <row r="133" spans="1:8">
      <c r="A133" t="s">
        <v>253</v>
      </c>
      <c r="B133" t="s">
        <v>1039</v>
      </c>
      <c r="C133" t="s">
        <v>38</v>
      </c>
      <c r="D133">
        <v>3</v>
      </c>
      <c r="E133" t="s">
        <v>2451</v>
      </c>
      <c r="F133" t="s">
        <v>1935</v>
      </c>
      <c r="G133" t="s">
        <v>1935</v>
      </c>
      <c r="H133" t="s">
        <v>78</v>
      </c>
    </row>
    <row r="134" spans="1:8">
      <c r="A134" t="s">
        <v>253</v>
      </c>
      <c r="B134" t="s">
        <v>1039</v>
      </c>
      <c r="C134" t="s">
        <v>38</v>
      </c>
      <c r="D134">
        <v>4</v>
      </c>
      <c r="E134" t="s">
        <v>2452</v>
      </c>
      <c r="F134" t="s">
        <v>1935</v>
      </c>
      <c r="G134" t="s">
        <v>1935</v>
      </c>
      <c r="H134" t="s">
        <v>78</v>
      </c>
    </row>
    <row r="135" spans="1:8">
      <c r="A135" t="s">
        <v>253</v>
      </c>
      <c r="B135" t="s">
        <v>1039</v>
      </c>
      <c r="C135" t="s">
        <v>38</v>
      </c>
      <c r="D135">
        <v>5</v>
      </c>
      <c r="E135" t="s">
        <v>2453</v>
      </c>
      <c r="F135" t="s">
        <v>1935</v>
      </c>
      <c r="G135" t="s">
        <v>1935</v>
      </c>
      <c r="H135" t="s">
        <v>78</v>
      </c>
    </row>
    <row r="136" spans="1:8">
      <c r="A136" t="s">
        <v>253</v>
      </c>
      <c r="B136" t="s">
        <v>1039</v>
      </c>
      <c r="C136" t="s">
        <v>38</v>
      </c>
      <c r="D136">
        <v>6</v>
      </c>
      <c r="E136" t="s">
        <v>2454</v>
      </c>
      <c r="F136" t="s">
        <v>1935</v>
      </c>
      <c r="G136" t="s">
        <v>1935</v>
      </c>
      <c r="H136" t="s">
        <v>78</v>
      </c>
    </row>
    <row r="137" spans="1:8">
      <c r="A137" t="s">
        <v>253</v>
      </c>
      <c r="B137" t="s">
        <v>1039</v>
      </c>
      <c r="C137" t="s">
        <v>38</v>
      </c>
      <c r="D137">
        <v>7</v>
      </c>
      <c r="E137" t="s">
        <v>2455</v>
      </c>
      <c r="F137" t="s">
        <v>1935</v>
      </c>
      <c r="G137" t="s">
        <v>1935</v>
      </c>
      <c r="H137" t="s">
        <v>78</v>
      </c>
    </row>
    <row r="138" spans="1:8">
      <c r="A138" t="s">
        <v>253</v>
      </c>
      <c r="B138" t="s">
        <v>1039</v>
      </c>
      <c r="C138" t="s">
        <v>38</v>
      </c>
      <c r="D138">
        <v>8</v>
      </c>
      <c r="E138" t="s">
        <v>2456</v>
      </c>
      <c r="F138" t="s">
        <v>1935</v>
      </c>
      <c r="G138" t="s">
        <v>1935</v>
      </c>
      <c r="H138" t="s">
        <v>78</v>
      </c>
    </row>
    <row r="139" spans="1:8">
      <c r="A139" t="s">
        <v>253</v>
      </c>
      <c r="B139" t="s">
        <v>1039</v>
      </c>
      <c r="C139" t="s">
        <v>38</v>
      </c>
      <c r="D139">
        <v>9</v>
      </c>
      <c r="E139" t="s">
        <v>2457</v>
      </c>
      <c r="F139" t="s">
        <v>1935</v>
      </c>
      <c r="G139" t="s">
        <v>1935</v>
      </c>
      <c r="H139" t="s">
        <v>78</v>
      </c>
    </row>
    <row r="140" spans="1:8">
      <c r="A140" t="s">
        <v>253</v>
      </c>
      <c r="B140" t="s">
        <v>1039</v>
      </c>
      <c r="C140" t="s">
        <v>38</v>
      </c>
      <c r="D140">
        <v>10</v>
      </c>
      <c r="E140" t="s">
        <v>2458</v>
      </c>
      <c r="F140" t="s">
        <v>1935</v>
      </c>
      <c r="G140" t="s">
        <v>1935</v>
      </c>
      <c r="H140" t="s">
        <v>78</v>
      </c>
    </row>
    <row r="141" spans="1:8">
      <c r="A141" t="s">
        <v>260</v>
      </c>
      <c r="B141" t="s">
        <v>1044</v>
      </c>
      <c r="C141" t="s">
        <v>38</v>
      </c>
      <c r="D141">
        <v>1</v>
      </c>
      <c r="E141" t="s">
        <v>2459</v>
      </c>
      <c r="F141" t="s">
        <v>1935</v>
      </c>
      <c r="G141" t="s">
        <v>1935</v>
      </c>
      <c r="H141" t="s">
        <v>1935</v>
      </c>
    </row>
    <row r="142" spans="1:8">
      <c r="A142" t="s">
        <v>260</v>
      </c>
      <c r="B142" t="s">
        <v>1044</v>
      </c>
      <c r="C142" t="s">
        <v>38</v>
      </c>
      <c r="D142">
        <v>2</v>
      </c>
      <c r="E142" t="s">
        <v>2460</v>
      </c>
      <c r="F142" t="s">
        <v>1935</v>
      </c>
      <c r="G142" t="s">
        <v>1935</v>
      </c>
      <c r="H142" t="s">
        <v>1935</v>
      </c>
    </row>
    <row r="143" spans="1:8">
      <c r="A143" t="s">
        <v>260</v>
      </c>
      <c r="B143" t="s">
        <v>1044</v>
      </c>
      <c r="C143" t="s">
        <v>38</v>
      </c>
      <c r="D143">
        <v>3</v>
      </c>
      <c r="E143" t="s">
        <v>1992</v>
      </c>
      <c r="F143" t="s">
        <v>1935</v>
      </c>
      <c r="G143" t="s">
        <v>1935</v>
      </c>
      <c r="H143" t="s">
        <v>1935</v>
      </c>
    </row>
    <row r="144" spans="1:8">
      <c r="A144" t="s">
        <v>252</v>
      </c>
      <c r="B144" t="s">
        <v>1038</v>
      </c>
      <c r="C144" t="s">
        <v>38</v>
      </c>
      <c r="D144">
        <v>1</v>
      </c>
      <c r="E144" t="s">
        <v>2461</v>
      </c>
      <c r="F144" t="s">
        <v>2449</v>
      </c>
      <c r="G144" t="s">
        <v>1935</v>
      </c>
      <c r="H144" t="s">
        <v>78</v>
      </c>
    </row>
    <row r="145" spans="1:8">
      <c r="A145" t="s">
        <v>252</v>
      </c>
      <c r="B145" t="s">
        <v>1038</v>
      </c>
      <c r="C145" t="s">
        <v>38</v>
      </c>
      <c r="D145">
        <v>2</v>
      </c>
      <c r="E145" t="s">
        <v>2462</v>
      </c>
      <c r="F145" t="s">
        <v>2450</v>
      </c>
      <c r="G145" t="s">
        <v>1935</v>
      </c>
      <c r="H145" t="s">
        <v>78</v>
      </c>
    </row>
    <row r="146" spans="1:8">
      <c r="A146" t="s">
        <v>252</v>
      </c>
      <c r="B146" t="s">
        <v>1038</v>
      </c>
      <c r="C146" t="s">
        <v>38</v>
      </c>
      <c r="D146">
        <v>3</v>
      </c>
      <c r="E146" t="s">
        <v>2463</v>
      </c>
      <c r="F146" t="s">
        <v>2451</v>
      </c>
      <c r="G146" t="s">
        <v>1935</v>
      </c>
      <c r="H146" t="s">
        <v>78</v>
      </c>
    </row>
    <row r="147" spans="1:8">
      <c r="A147" t="s">
        <v>252</v>
      </c>
      <c r="B147" t="s">
        <v>1038</v>
      </c>
      <c r="C147" t="s">
        <v>38</v>
      </c>
      <c r="D147">
        <v>4</v>
      </c>
      <c r="E147" t="s">
        <v>2464</v>
      </c>
      <c r="F147" t="s">
        <v>2452</v>
      </c>
      <c r="G147" t="s">
        <v>1935</v>
      </c>
      <c r="H147" t="s">
        <v>78</v>
      </c>
    </row>
    <row r="148" spans="1:8">
      <c r="A148" t="s">
        <v>252</v>
      </c>
      <c r="B148" t="s">
        <v>1038</v>
      </c>
      <c r="C148" t="s">
        <v>38</v>
      </c>
      <c r="D148">
        <v>5</v>
      </c>
      <c r="E148" t="s">
        <v>2465</v>
      </c>
      <c r="F148" t="s">
        <v>2453</v>
      </c>
      <c r="G148" t="s">
        <v>1935</v>
      </c>
      <c r="H148" t="s">
        <v>78</v>
      </c>
    </row>
    <row r="149" spans="1:8">
      <c r="A149" t="s">
        <v>252</v>
      </c>
      <c r="B149" t="s">
        <v>1038</v>
      </c>
      <c r="C149" t="s">
        <v>38</v>
      </c>
      <c r="D149">
        <v>6</v>
      </c>
      <c r="E149" t="s">
        <v>2466</v>
      </c>
      <c r="F149" t="s">
        <v>2454</v>
      </c>
      <c r="G149" t="s">
        <v>1935</v>
      </c>
      <c r="H149" t="s">
        <v>78</v>
      </c>
    </row>
    <row r="150" spans="1:8">
      <c r="A150" t="s">
        <v>252</v>
      </c>
      <c r="B150" t="s">
        <v>1038</v>
      </c>
      <c r="C150" t="s">
        <v>38</v>
      </c>
      <c r="D150">
        <v>7</v>
      </c>
      <c r="E150" t="s">
        <v>2467</v>
      </c>
      <c r="F150" t="s">
        <v>2455</v>
      </c>
      <c r="G150" t="s">
        <v>1935</v>
      </c>
      <c r="H150" t="s">
        <v>78</v>
      </c>
    </row>
    <row r="151" spans="1:8">
      <c r="A151" t="s">
        <v>252</v>
      </c>
      <c r="B151" t="s">
        <v>1038</v>
      </c>
      <c r="C151" t="s">
        <v>38</v>
      </c>
      <c r="D151">
        <v>8</v>
      </c>
      <c r="E151" t="s">
        <v>2468</v>
      </c>
      <c r="F151" t="s">
        <v>2456</v>
      </c>
      <c r="G151" t="s">
        <v>1935</v>
      </c>
      <c r="H151" t="s">
        <v>78</v>
      </c>
    </row>
    <row r="152" spans="1:8">
      <c r="A152" t="s">
        <v>252</v>
      </c>
      <c r="B152" t="s">
        <v>1038</v>
      </c>
      <c r="C152" t="s">
        <v>38</v>
      </c>
      <c r="D152">
        <v>9</v>
      </c>
      <c r="E152" t="s">
        <v>2469</v>
      </c>
      <c r="F152" t="s">
        <v>2457</v>
      </c>
      <c r="G152" t="s">
        <v>1935</v>
      </c>
      <c r="H152" t="s">
        <v>78</v>
      </c>
    </row>
    <row r="153" spans="1:8">
      <c r="A153" t="s">
        <v>252</v>
      </c>
      <c r="B153" t="s">
        <v>1038</v>
      </c>
      <c r="C153" t="s">
        <v>38</v>
      </c>
      <c r="D153">
        <v>10</v>
      </c>
      <c r="E153" t="s">
        <v>2470</v>
      </c>
      <c r="F153" t="s">
        <v>2458</v>
      </c>
      <c r="G153" t="s">
        <v>1935</v>
      </c>
      <c r="H153" t="s">
        <v>78</v>
      </c>
    </row>
    <row r="154" spans="1:8">
      <c r="A154" t="s">
        <v>1093</v>
      </c>
      <c r="B154" t="s">
        <v>1071</v>
      </c>
      <c r="C154" t="s">
        <v>38</v>
      </c>
      <c r="D154">
        <v>1</v>
      </c>
      <c r="E154" t="s">
        <v>2471</v>
      </c>
      <c r="F154" t="s">
        <v>1935</v>
      </c>
      <c r="G154" t="s">
        <v>1935</v>
      </c>
      <c r="H154" t="s">
        <v>1935</v>
      </c>
    </row>
    <row r="155" spans="1:8">
      <c r="A155" t="s">
        <v>1093</v>
      </c>
      <c r="B155" t="s">
        <v>1071</v>
      </c>
      <c r="C155" t="s">
        <v>38</v>
      </c>
      <c r="D155">
        <v>2</v>
      </c>
      <c r="E155" t="s">
        <v>2421</v>
      </c>
      <c r="F155" t="s">
        <v>1935</v>
      </c>
      <c r="G155" t="s">
        <v>1935</v>
      </c>
      <c r="H155" t="s">
        <v>1935</v>
      </c>
    </row>
    <row r="156" spans="1:8">
      <c r="A156" t="s">
        <v>1378</v>
      </c>
      <c r="B156" t="s">
        <v>1033</v>
      </c>
      <c r="C156" t="s">
        <v>38</v>
      </c>
      <c r="D156">
        <v>1</v>
      </c>
      <c r="E156" t="s">
        <v>2472</v>
      </c>
      <c r="F156" t="s">
        <v>1935</v>
      </c>
      <c r="G156" t="s">
        <v>1935</v>
      </c>
      <c r="H156" t="s">
        <v>1935</v>
      </c>
    </row>
    <row r="157" spans="1:8">
      <c r="A157" t="s">
        <v>1140</v>
      </c>
      <c r="B157" t="s">
        <v>2473</v>
      </c>
      <c r="C157" t="s">
        <v>38</v>
      </c>
      <c r="D157">
        <v>1</v>
      </c>
      <c r="E157" t="s">
        <v>2474</v>
      </c>
      <c r="F157" t="s">
        <v>1935</v>
      </c>
      <c r="G157" t="s">
        <v>1935</v>
      </c>
      <c r="H157" t="s">
        <v>1935</v>
      </c>
    </row>
    <row r="158" spans="1:8">
      <c r="A158" t="s">
        <v>1140</v>
      </c>
      <c r="B158" t="s">
        <v>2473</v>
      </c>
      <c r="C158" t="s">
        <v>38</v>
      </c>
      <c r="D158">
        <v>2</v>
      </c>
      <c r="E158" t="s">
        <v>2475</v>
      </c>
      <c r="F158" t="s">
        <v>1935</v>
      </c>
      <c r="G158" t="s">
        <v>1935</v>
      </c>
      <c r="H158" t="s">
        <v>1935</v>
      </c>
    </row>
    <row r="159" spans="1:8">
      <c r="A159" t="s">
        <v>1140</v>
      </c>
      <c r="B159" t="s">
        <v>2473</v>
      </c>
      <c r="C159" t="s">
        <v>38</v>
      </c>
      <c r="D159">
        <v>3</v>
      </c>
      <c r="E159" t="s">
        <v>2476</v>
      </c>
      <c r="F159" t="s">
        <v>1935</v>
      </c>
      <c r="G159" t="s">
        <v>1935</v>
      </c>
      <c r="H159" t="s">
        <v>1935</v>
      </c>
    </row>
    <row r="160" spans="1:8">
      <c r="A160" t="s">
        <v>1140</v>
      </c>
      <c r="B160" t="s">
        <v>2473</v>
      </c>
      <c r="C160" t="s">
        <v>38</v>
      </c>
      <c r="D160">
        <v>4</v>
      </c>
      <c r="E160" t="s">
        <v>2477</v>
      </c>
      <c r="F160" t="s">
        <v>1935</v>
      </c>
      <c r="G160" t="s">
        <v>1935</v>
      </c>
      <c r="H160" t="s">
        <v>1935</v>
      </c>
    </row>
    <row r="161" spans="1:8">
      <c r="A161" t="s">
        <v>1140</v>
      </c>
      <c r="B161" t="s">
        <v>2473</v>
      </c>
      <c r="C161" t="s">
        <v>38</v>
      </c>
      <c r="D161">
        <v>5</v>
      </c>
      <c r="E161" t="s">
        <v>2478</v>
      </c>
      <c r="F161" t="s">
        <v>1935</v>
      </c>
      <c r="G161" t="s">
        <v>1935</v>
      </c>
      <c r="H161" t="s">
        <v>1935</v>
      </c>
    </row>
    <row r="162" spans="1:8">
      <c r="A162" t="s">
        <v>1140</v>
      </c>
      <c r="B162" t="s">
        <v>2473</v>
      </c>
      <c r="C162" t="s">
        <v>38</v>
      </c>
      <c r="D162">
        <v>6</v>
      </c>
      <c r="E162" t="s">
        <v>2479</v>
      </c>
      <c r="F162" t="s">
        <v>1935</v>
      </c>
      <c r="G162" t="s">
        <v>1935</v>
      </c>
      <c r="H162" t="s">
        <v>1935</v>
      </c>
    </row>
    <row r="163" spans="1:8">
      <c r="A163" t="s">
        <v>1140</v>
      </c>
      <c r="B163" t="s">
        <v>2473</v>
      </c>
      <c r="C163" t="s">
        <v>38</v>
      </c>
      <c r="D163">
        <v>7</v>
      </c>
      <c r="E163" t="s">
        <v>2480</v>
      </c>
      <c r="F163" t="s">
        <v>1935</v>
      </c>
      <c r="G163" t="s">
        <v>1935</v>
      </c>
      <c r="H163" t="s">
        <v>1935</v>
      </c>
    </row>
    <row r="164" spans="1:8">
      <c r="A164" t="s">
        <v>1140</v>
      </c>
      <c r="B164" t="s">
        <v>2473</v>
      </c>
      <c r="C164" t="s">
        <v>38</v>
      </c>
      <c r="D164">
        <v>8</v>
      </c>
      <c r="E164" t="s">
        <v>2481</v>
      </c>
      <c r="F164" t="s">
        <v>1935</v>
      </c>
      <c r="G164" t="s">
        <v>1935</v>
      </c>
      <c r="H164" t="s">
        <v>1935</v>
      </c>
    </row>
    <row r="165" spans="1:8">
      <c r="A165" t="s">
        <v>1140</v>
      </c>
      <c r="B165" t="s">
        <v>2473</v>
      </c>
      <c r="C165" t="s">
        <v>38</v>
      </c>
      <c r="D165">
        <v>9</v>
      </c>
      <c r="E165" t="s">
        <v>2482</v>
      </c>
      <c r="F165" t="s">
        <v>1935</v>
      </c>
      <c r="G165" t="s">
        <v>1935</v>
      </c>
      <c r="H165" t="s">
        <v>1935</v>
      </c>
    </row>
    <row r="166" spans="1:8">
      <c r="A166" t="s">
        <v>1140</v>
      </c>
      <c r="B166" t="s">
        <v>2473</v>
      </c>
      <c r="C166" t="s">
        <v>38</v>
      </c>
      <c r="D166">
        <v>10</v>
      </c>
      <c r="E166" t="s">
        <v>2483</v>
      </c>
      <c r="F166" t="s">
        <v>1935</v>
      </c>
      <c r="G166" t="s">
        <v>1935</v>
      </c>
      <c r="H166" t="s">
        <v>1935</v>
      </c>
    </row>
    <row r="167" spans="1:8">
      <c r="A167" t="s">
        <v>1140</v>
      </c>
      <c r="B167" t="s">
        <v>2473</v>
      </c>
      <c r="C167" t="s">
        <v>38</v>
      </c>
      <c r="D167">
        <v>11</v>
      </c>
      <c r="E167" t="s">
        <v>2484</v>
      </c>
      <c r="F167" t="s">
        <v>1935</v>
      </c>
      <c r="G167" t="s">
        <v>1935</v>
      </c>
      <c r="H167" t="s">
        <v>1935</v>
      </c>
    </row>
    <row r="168" spans="1:8">
      <c r="A168" t="s">
        <v>1140</v>
      </c>
      <c r="B168" t="s">
        <v>2473</v>
      </c>
      <c r="C168" t="s">
        <v>38</v>
      </c>
      <c r="D168">
        <v>12</v>
      </c>
      <c r="E168" t="s">
        <v>2485</v>
      </c>
      <c r="F168" t="s">
        <v>1935</v>
      </c>
      <c r="G168" t="s">
        <v>1935</v>
      </c>
      <c r="H168" t="s">
        <v>1935</v>
      </c>
    </row>
    <row r="169" spans="1:8">
      <c r="A169" t="s">
        <v>1140</v>
      </c>
      <c r="B169" t="s">
        <v>2473</v>
      </c>
      <c r="C169" t="s">
        <v>38</v>
      </c>
      <c r="D169">
        <v>13</v>
      </c>
      <c r="E169" t="s">
        <v>2486</v>
      </c>
      <c r="F169" t="s">
        <v>1935</v>
      </c>
      <c r="G169" t="s">
        <v>1935</v>
      </c>
      <c r="H169" t="s">
        <v>1935</v>
      </c>
    </row>
    <row r="170" spans="1:8">
      <c r="A170" t="s">
        <v>1140</v>
      </c>
      <c r="B170" t="s">
        <v>2473</v>
      </c>
      <c r="C170" t="s">
        <v>38</v>
      </c>
      <c r="D170">
        <v>14</v>
      </c>
      <c r="E170" t="s">
        <v>2487</v>
      </c>
      <c r="F170" t="s">
        <v>1935</v>
      </c>
      <c r="G170" t="s">
        <v>1935</v>
      </c>
      <c r="H170" t="s">
        <v>1935</v>
      </c>
    </row>
    <row r="171" spans="1:8">
      <c r="A171" t="s">
        <v>1140</v>
      </c>
      <c r="B171" t="s">
        <v>2473</v>
      </c>
      <c r="C171" t="s">
        <v>38</v>
      </c>
      <c r="D171">
        <v>15</v>
      </c>
      <c r="E171" t="s">
        <v>2488</v>
      </c>
      <c r="F171" t="s">
        <v>1935</v>
      </c>
      <c r="G171" t="s">
        <v>1935</v>
      </c>
      <c r="H171" t="s">
        <v>1935</v>
      </c>
    </row>
    <row r="172" spans="1:8">
      <c r="A172" t="s">
        <v>1140</v>
      </c>
      <c r="B172" t="s">
        <v>2473</v>
      </c>
      <c r="C172" t="s">
        <v>38</v>
      </c>
      <c r="D172">
        <v>16</v>
      </c>
      <c r="E172" t="s">
        <v>2489</v>
      </c>
      <c r="F172" t="s">
        <v>1935</v>
      </c>
      <c r="G172" t="s">
        <v>1935</v>
      </c>
      <c r="H172" t="s">
        <v>1935</v>
      </c>
    </row>
    <row r="173" spans="1:8">
      <c r="A173" t="s">
        <v>1140</v>
      </c>
      <c r="B173" t="s">
        <v>2473</v>
      </c>
      <c r="C173" t="s">
        <v>38</v>
      </c>
      <c r="D173">
        <v>17</v>
      </c>
      <c r="E173" t="s">
        <v>2490</v>
      </c>
      <c r="F173" t="s">
        <v>1935</v>
      </c>
      <c r="G173" t="s">
        <v>1935</v>
      </c>
      <c r="H173" t="s">
        <v>1935</v>
      </c>
    </row>
    <row r="174" spans="1:8">
      <c r="A174" t="s">
        <v>1140</v>
      </c>
      <c r="B174" t="s">
        <v>2473</v>
      </c>
      <c r="C174" t="s">
        <v>38</v>
      </c>
      <c r="D174">
        <v>18</v>
      </c>
      <c r="E174" t="s">
        <v>2491</v>
      </c>
      <c r="F174" t="s">
        <v>1935</v>
      </c>
      <c r="G174" t="s">
        <v>1935</v>
      </c>
      <c r="H174" t="s">
        <v>1935</v>
      </c>
    </row>
    <row r="175" spans="1:8">
      <c r="A175" t="s">
        <v>1140</v>
      </c>
      <c r="B175" t="s">
        <v>2473</v>
      </c>
      <c r="C175" t="s">
        <v>38</v>
      </c>
      <c r="D175">
        <v>19</v>
      </c>
      <c r="E175" t="s">
        <v>2492</v>
      </c>
      <c r="F175" t="s">
        <v>1935</v>
      </c>
      <c r="G175" t="s">
        <v>1935</v>
      </c>
      <c r="H175" t="s">
        <v>1935</v>
      </c>
    </row>
    <row r="176" spans="1:8">
      <c r="A176" t="s">
        <v>1140</v>
      </c>
      <c r="B176" t="s">
        <v>2473</v>
      </c>
      <c r="C176" t="s">
        <v>38</v>
      </c>
      <c r="D176">
        <v>20</v>
      </c>
      <c r="E176" t="s">
        <v>2493</v>
      </c>
      <c r="F176" t="s">
        <v>1935</v>
      </c>
      <c r="G176" t="s">
        <v>1935</v>
      </c>
      <c r="H176" t="s">
        <v>1935</v>
      </c>
    </row>
    <row r="177" spans="1:8">
      <c r="A177" t="s">
        <v>1140</v>
      </c>
      <c r="B177" t="s">
        <v>2473</v>
      </c>
      <c r="C177" t="s">
        <v>38</v>
      </c>
      <c r="D177">
        <v>21</v>
      </c>
      <c r="E177" t="s">
        <v>2494</v>
      </c>
      <c r="F177" t="s">
        <v>1935</v>
      </c>
      <c r="G177" t="s">
        <v>1935</v>
      </c>
      <c r="H177" t="s">
        <v>1935</v>
      </c>
    </row>
    <row r="178" spans="1:8">
      <c r="A178" t="s">
        <v>1140</v>
      </c>
      <c r="B178" t="s">
        <v>2473</v>
      </c>
      <c r="C178" t="s">
        <v>38</v>
      </c>
      <c r="D178">
        <v>22</v>
      </c>
      <c r="E178" t="s">
        <v>2421</v>
      </c>
      <c r="F178" t="s">
        <v>1935</v>
      </c>
      <c r="G178" t="s">
        <v>1935</v>
      </c>
      <c r="H178" t="s">
        <v>1935</v>
      </c>
    </row>
    <row r="179" spans="1:8">
      <c r="A179" t="s">
        <v>1106</v>
      </c>
      <c r="B179" t="s">
        <v>1098</v>
      </c>
      <c r="C179" t="s">
        <v>38</v>
      </c>
      <c r="D179">
        <v>1</v>
      </c>
      <c r="E179" t="s">
        <v>2019</v>
      </c>
      <c r="F179" t="s">
        <v>1935</v>
      </c>
      <c r="G179" t="s">
        <v>1935</v>
      </c>
      <c r="H179" t="s">
        <v>1935</v>
      </c>
    </row>
    <row r="180" spans="1:8">
      <c r="A180" t="s">
        <v>263</v>
      </c>
      <c r="B180" t="s">
        <v>1035</v>
      </c>
      <c r="C180" t="s">
        <v>38</v>
      </c>
      <c r="D180">
        <v>1</v>
      </c>
      <c r="E180" t="s">
        <v>2495</v>
      </c>
      <c r="F180" t="s">
        <v>1935</v>
      </c>
      <c r="G180" t="s">
        <v>1935</v>
      </c>
      <c r="H180" t="s">
        <v>1935</v>
      </c>
    </row>
    <row r="181" spans="1:8">
      <c r="A181" t="s">
        <v>263</v>
      </c>
      <c r="B181" t="s">
        <v>1035</v>
      </c>
      <c r="C181" t="s">
        <v>38</v>
      </c>
      <c r="D181">
        <v>2</v>
      </c>
      <c r="E181" t="s">
        <v>2496</v>
      </c>
      <c r="F181" t="s">
        <v>1935</v>
      </c>
      <c r="G181" t="s">
        <v>1935</v>
      </c>
      <c r="H181" t="s">
        <v>1935</v>
      </c>
    </row>
    <row r="182" spans="1:8">
      <c r="A182" t="s">
        <v>1055</v>
      </c>
      <c r="B182" t="s">
        <v>1117</v>
      </c>
      <c r="C182" t="s">
        <v>38</v>
      </c>
      <c r="D182">
        <v>1</v>
      </c>
      <c r="E182" t="s">
        <v>2497</v>
      </c>
      <c r="F182" t="s">
        <v>1935</v>
      </c>
      <c r="G182" t="s">
        <v>1935</v>
      </c>
      <c r="H182" t="s">
        <v>78</v>
      </c>
    </row>
    <row r="183" spans="1:8">
      <c r="A183" t="s">
        <v>1055</v>
      </c>
      <c r="B183" t="s">
        <v>1117</v>
      </c>
      <c r="C183" t="s">
        <v>38</v>
      </c>
      <c r="D183">
        <v>2</v>
      </c>
      <c r="E183" t="s">
        <v>2498</v>
      </c>
      <c r="F183" t="s">
        <v>1935</v>
      </c>
      <c r="G183" t="s">
        <v>1935</v>
      </c>
      <c r="H183" t="s">
        <v>78</v>
      </c>
    </row>
    <row r="184" spans="1:8">
      <c r="A184" t="s">
        <v>1055</v>
      </c>
      <c r="B184" t="s">
        <v>1117</v>
      </c>
      <c r="C184" t="s">
        <v>38</v>
      </c>
      <c r="D184">
        <v>3</v>
      </c>
      <c r="E184" t="s">
        <v>2499</v>
      </c>
      <c r="F184" t="s">
        <v>1935</v>
      </c>
      <c r="G184" t="s">
        <v>1935</v>
      </c>
      <c r="H184" t="s">
        <v>78</v>
      </c>
    </row>
    <row r="185" spans="1:8">
      <c r="A185" t="s">
        <v>1055</v>
      </c>
      <c r="B185" t="s">
        <v>1117</v>
      </c>
      <c r="C185" t="s">
        <v>38</v>
      </c>
      <c r="D185">
        <v>4</v>
      </c>
      <c r="E185" t="s">
        <v>2500</v>
      </c>
      <c r="F185" t="s">
        <v>1935</v>
      </c>
      <c r="G185" t="s">
        <v>1935</v>
      </c>
      <c r="H185" t="s">
        <v>78</v>
      </c>
    </row>
    <row r="186" spans="1:8">
      <c r="A186" t="s">
        <v>1055</v>
      </c>
      <c r="B186" t="s">
        <v>1117</v>
      </c>
      <c r="C186" t="s">
        <v>38</v>
      </c>
      <c r="D186">
        <v>5</v>
      </c>
      <c r="E186" t="s">
        <v>2501</v>
      </c>
      <c r="F186" t="s">
        <v>1935</v>
      </c>
      <c r="G186" t="s">
        <v>1935</v>
      </c>
      <c r="H186" t="s">
        <v>78</v>
      </c>
    </row>
    <row r="187" spans="1:8">
      <c r="A187" t="s">
        <v>1055</v>
      </c>
      <c r="B187" t="s">
        <v>1117</v>
      </c>
      <c r="C187" t="s">
        <v>38</v>
      </c>
      <c r="D187">
        <v>6</v>
      </c>
      <c r="E187" t="s">
        <v>2502</v>
      </c>
      <c r="F187" t="s">
        <v>1935</v>
      </c>
      <c r="G187" t="s">
        <v>1935</v>
      </c>
      <c r="H187" t="s">
        <v>78</v>
      </c>
    </row>
    <row r="188" spans="1:8">
      <c r="A188" t="s">
        <v>1055</v>
      </c>
      <c r="B188" t="s">
        <v>1117</v>
      </c>
      <c r="C188" t="s">
        <v>38</v>
      </c>
      <c r="D188">
        <v>7</v>
      </c>
      <c r="E188" t="s">
        <v>2503</v>
      </c>
      <c r="F188" t="s">
        <v>1935</v>
      </c>
      <c r="G188" t="s">
        <v>1935</v>
      </c>
      <c r="H188" t="s">
        <v>78</v>
      </c>
    </row>
    <row r="189" spans="1:8">
      <c r="A189" t="s">
        <v>1055</v>
      </c>
      <c r="B189" t="s">
        <v>1117</v>
      </c>
      <c r="C189" t="s">
        <v>38</v>
      </c>
      <c r="D189">
        <v>8</v>
      </c>
      <c r="E189" t="s">
        <v>2504</v>
      </c>
      <c r="F189" t="s">
        <v>1935</v>
      </c>
      <c r="G189" t="s">
        <v>1935</v>
      </c>
      <c r="H189" t="s">
        <v>78</v>
      </c>
    </row>
    <row r="190" spans="1:8">
      <c r="A190" t="s">
        <v>1055</v>
      </c>
      <c r="B190" t="s">
        <v>1117</v>
      </c>
      <c r="C190" t="s">
        <v>38</v>
      </c>
      <c r="D190">
        <v>9</v>
      </c>
      <c r="E190" t="s">
        <v>2505</v>
      </c>
      <c r="F190" t="s">
        <v>1935</v>
      </c>
      <c r="G190" t="s">
        <v>1935</v>
      </c>
      <c r="H190" t="s">
        <v>78</v>
      </c>
    </row>
    <row r="191" spans="1:8">
      <c r="A191" t="s">
        <v>1055</v>
      </c>
      <c r="B191" t="s">
        <v>1117</v>
      </c>
      <c r="C191" t="s">
        <v>38</v>
      </c>
      <c r="D191">
        <v>10</v>
      </c>
      <c r="E191" t="s">
        <v>2506</v>
      </c>
      <c r="F191" t="s">
        <v>1935</v>
      </c>
      <c r="G191" t="s">
        <v>1935</v>
      </c>
      <c r="H191" t="s">
        <v>78</v>
      </c>
    </row>
    <row r="192" spans="1:8">
      <c r="A192" t="s">
        <v>1055</v>
      </c>
      <c r="B192" t="s">
        <v>1117</v>
      </c>
      <c r="C192" t="s">
        <v>38</v>
      </c>
      <c r="D192">
        <v>11</v>
      </c>
      <c r="E192" t="s">
        <v>2507</v>
      </c>
      <c r="F192" t="s">
        <v>1935</v>
      </c>
      <c r="G192" t="s">
        <v>1935</v>
      </c>
      <c r="H192" t="s">
        <v>78</v>
      </c>
    </row>
    <row r="193" spans="1:8">
      <c r="A193" t="s">
        <v>1055</v>
      </c>
      <c r="B193" t="s">
        <v>1117</v>
      </c>
      <c r="C193" t="s">
        <v>38</v>
      </c>
      <c r="D193">
        <v>12</v>
      </c>
      <c r="E193" t="s">
        <v>2508</v>
      </c>
      <c r="F193" t="s">
        <v>1935</v>
      </c>
      <c r="G193" t="s">
        <v>1935</v>
      </c>
      <c r="H193" t="s">
        <v>78</v>
      </c>
    </row>
    <row r="194" spans="1:8">
      <c r="A194" t="s">
        <v>1055</v>
      </c>
      <c r="B194" t="s">
        <v>1117</v>
      </c>
      <c r="C194" t="s">
        <v>38</v>
      </c>
      <c r="D194">
        <v>13</v>
      </c>
      <c r="E194" t="s">
        <v>2509</v>
      </c>
      <c r="F194" t="s">
        <v>1935</v>
      </c>
      <c r="G194" t="s">
        <v>1935</v>
      </c>
      <c r="H194" t="s">
        <v>78</v>
      </c>
    </row>
    <row r="195" spans="1:8">
      <c r="A195" t="s">
        <v>1055</v>
      </c>
      <c r="B195" t="s">
        <v>1117</v>
      </c>
      <c r="C195" t="s">
        <v>38</v>
      </c>
      <c r="D195">
        <v>14</v>
      </c>
      <c r="E195" t="s">
        <v>2510</v>
      </c>
      <c r="F195" t="s">
        <v>1935</v>
      </c>
      <c r="G195" t="s">
        <v>1935</v>
      </c>
      <c r="H195" t="s">
        <v>78</v>
      </c>
    </row>
    <row r="196" spans="1:8">
      <c r="A196" t="s">
        <v>1055</v>
      </c>
      <c r="B196" t="s">
        <v>1117</v>
      </c>
      <c r="C196" t="s">
        <v>38</v>
      </c>
      <c r="D196">
        <v>15</v>
      </c>
      <c r="E196" t="s">
        <v>2511</v>
      </c>
      <c r="F196" t="s">
        <v>1935</v>
      </c>
      <c r="G196" t="s">
        <v>1935</v>
      </c>
      <c r="H196" t="s">
        <v>78</v>
      </c>
    </row>
    <row r="197" spans="1:8">
      <c r="A197" t="s">
        <v>1055</v>
      </c>
      <c r="B197" t="s">
        <v>1117</v>
      </c>
      <c r="C197" t="s">
        <v>38</v>
      </c>
      <c r="D197">
        <v>16</v>
      </c>
      <c r="E197" t="s">
        <v>2512</v>
      </c>
      <c r="F197" t="s">
        <v>1935</v>
      </c>
      <c r="G197" t="s">
        <v>1935</v>
      </c>
      <c r="H197" t="s">
        <v>78</v>
      </c>
    </row>
    <row r="198" spans="1:8">
      <c r="A198" t="s">
        <v>1055</v>
      </c>
      <c r="B198" t="s">
        <v>1117</v>
      </c>
      <c r="C198" t="s">
        <v>38</v>
      </c>
      <c r="D198">
        <v>17</v>
      </c>
      <c r="E198" t="s">
        <v>2513</v>
      </c>
      <c r="F198" t="s">
        <v>1935</v>
      </c>
      <c r="G198" t="s">
        <v>1935</v>
      </c>
      <c r="H198" t="s">
        <v>78</v>
      </c>
    </row>
    <row r="199" spans="1:8">
      <c r="A199" t="s">
        <v>1055</v>
      </c>
      <c r="B199" t="s">
        <v>1117</v>
      </c>
      <c r="C199" t="s">
        <v>38</v>
      </c>
      <c r="D199">
        <v>18</v>
      </c>
      <c r="E199" t="s">
        <v>2514</v>
      </c>
      <c r="F199" t="s">
        <v>1935</v>
      </c>
      <c r="G199" t="s">
        <v>1935</v>
      </c>
      <c r="H199" t="s">
        <v>78</v>
      </c>
    </row>
    <row r="200" spans="1:8">
      <c r="A200" t="s">
        <v>1055</v>
      </c>
      <c r="B200" t="s">
        <v>1117</v>
      </c>
      <c r="C200" t="s">
        <v>38</v>
      </c>
      <c r="D200">
        <v>19</v>
      </c>
      <c r="E200" t="s">
        <v>2515</v>
      </c>
      <c r="F200" t="s">
        <v>1935</v>
      </c>
      <c r="G200" t="s">
        <v>1935</v>
      </c>
      <c r="H200" t="s">
        <v>78</v>
      </c>
    </row>
    <row r="201" spans="1:8">
      <c r="A201" t="s">
        <v>1055</v>
      </c>
      <c r="B201" t="s">
        <v>1117</v>
      </c>
      <c r="C201" t="s">
        <v>38</v>
      </c>
      <c r="D201">
        <v>20</v>
      </c>
      <c r="E201" t="s">
        <v>2516</v>
      </c>
      <c r="F201" t="s">
        <v>1935</v>
      </c>
      <c r="G201" t="s">
        <v>1935</v>
      </c>
      <c r="H201" t="s">
        <v>78</v>
      </c>
    </row>
    <row r="202" spans="1:8">
      <c r="A202" t="s">
        <v>1055</v>
      </c>
      <c r="B202" t="s">
        <v>1117</v>
      </c>
      <c r="C202" t="s">
        <v>38</v>
      </c>
      <c r="D202">
        <v>21</v>
      </c>
      <c r="E202" t="s">
        <v>3928</v>
      </c>
      <c r="F202" t="s">
        <v>1935</v>
      </c>
      <c r="G202" t="s">
        <v>1935</v>
      </c>
      <c r="H202" t="s">
        <v>78</v>
      </c>
    </row>
    <row r="203" spans="1:8">
      <c r="A203" t="s">
        <v>1055</v>
      </c>
      <c r="B203" t="s">
        <v>1117</v>
      </c>
      <c r="C203" t="s">
        <v>38</v>
      </c>
      <c r="D203">
        <v>22</v>
      </c>
      <c r="E203" t="s">
        <v>2517</v>
      </c>
      <c r="F203" t="s">
        <v>1935</v>
      </c>
      <c r="G203" t="s">
        <v>1935</v>
      </c>
      <c r="H203" t="s">
        <v>78</v>
      </c>
    </row>
    <row r="204" spans="1:8">
      <c r="A204" t="s">
        <v>1055</v>
      </c>
      <c r="B204" t="s">
        <v>1117</v>
      </c>
      <c r="C204" t="s">
        <v>38</v>
      </c>
      <c r="D204">
        <v>23</v>
      </c>
      <c r="E204" t="s">
        <v>2518</v>
      </c>
      <c r="F204" t="s">
        <v>1935</v>
      </c>
      <c r="G204" t="s">
        <v>1935</v>
      </c>
      <c r="H204" t="s">
        <v>78</v>
      </c>
    </row>
    <row r="205" spans="1:8">
      <c r="A205" t="s">
        <v>1055</v>
      </c>
      <c r="B205" t="s">
        <v>1117</v>
      </c>
      <c r="C205" t="s">
        <v>38</v>
      </c>
      <c r="D205">
        <v>24</v>
      </c>
      <c r="E205" t="s">
        <v>2519</v>
      </c>
      <c r="F205" t="s">
        <v>1935</v>
      </c>
      <c r="G205" t="s">
        <v>1935</v>
      </c>
      <c r="H205" t="s">
        <v>78</v>
      </c>
    </row>
    <row r="206" spans="1:8">
      <c r="A206" t="s">
        <v>1055</v>
      </c>
      <c r="B206" t="s">
        <v>1117</v>
      </c>
      <c r="C206" t="s">
        <v>38</v>
      </c>
      <c r="D206">
        <v>25</v>
      </c>
      <c r="E206" t="s">
        <v>2520</v>
      </c>
      <c r="F206" t="s">
        <v>1935</v>
      </c>
      <c r="G206" t="s">
        <v>1935</v>
      </c>
      <c r="H206" t="s">
        <v>78</v>
      </c>
    </row>
    <row r="207" spans="1:8">
      <c r="A207" t="s">
        <v>1055</v>
      </c>
      <c r="B207" t="s">
        <v>1117</v>
      </c>
      <c r="C207" t="s">
        <v>38</v>
      </c>
      <c r="D207">
        <v>26</v>
      </c>
      <c r="E207" t="s">
        <v>2521</v>
      </c>
      <c r="F207" t="s">
        <v>1935</v>
      </c>
      <c r="G207" t="s">
        <v>1935</v>
      </c>
      <c r="H207" t="s">
        <v>78</v>
      </c>
    </row>
    <row r="208" spans="1:8">
      <c r="A208" t="s">
        <v>1055</v>
      </c>
      <c r="B208" t="s">
        <v>1117</v>
      </c>
      <c r="C208" t="s">
        <v>38</v>
      </c>
      <c r="D208">
        <v>27</v>
      </c>
      <c r="E208" t="s">
        <v>2522</v>
      </c>
      <c r="F208" t="s">
        <v>1935</v>
      </c>
      <c r="G208" t="s">
        <v>1935</v>
      </c>
      <c r="H208" t="s">
        <v>78</v>
      </c>
    </row>
    <row r="209" spans="1:8">
      <c r="A209" t="s">
        <v>1055</v>
      </c>
      <c r="B209" t="s">
        <v>1117</v>
      </c>
      <c r="C209" t="s">
        <v>38</v>
      </c>
      <c r="D209">
        <v>28</v>
      </c>
      <c r="E209" t="s">
        <v>2523</v>
      </c>
      <c r="F209" t="s">
        <v>1935</v>
      </c>
      <c r="G209" t="s">
        <v>1935</v>
      </c>
      <c r="H209" t="s">
        <v>78</v>
      </c>
    </row>
    <row r="210" spans="1:8">
      <c r="A210" t="s">
        <v>1055</v>
      </c>
      <c r="B210" t="s">
        <v>1117</v>
      </c>
      <c r="C210" t="s">
        <v>38</v>
      </c>
      <c r="D210">
        <v>29</v>
      </c>
      <c r="E210" t="s">
        <v>2524</v>
      </c>
      <c r="F210" t="s">
        <v>1935</v>
      </c>
      <c r="G210" t="s">
        <v>1935</v>
      </c>
      <c r="H210" t="s">
        <v>78</v>
      </c>
    </row>
    <row r="211" spans="1:8">
      <c r="A211" t="s">
        <v>1055</v>
      </c>
      <c r="B211" t="s">
        <v>1117</v>
      </c>
      <c r="C211" t="s">
        <v>38</v>
      </c>
      <c r="D211">
        <v>30</v>
      </c>
      <c r="E211" t="s">
        <v>2525</v>
      </c>
      <c r="F211" t="s">
        <v>1935</v>
      </c>
      <c r="G211" t="s">
        <v>1935</v>
      </c>
      <c r="H211" t="s">
        <v>78</v>
      </c>
    </row>
    <row r="212" spans="1:8">
      <c r="A212" t="s">
        <v>1055</v>
      </c>
      <c r="B212" t="s">
        <v>1117</v>
      </c>
      <c r="C212" t="s">
        <v>38</v>
      </c>
      <c r="D212">
        <v>31</v>
      </c>
      <c r="E212" t="s">
        <v>3929</v>
      </c>
      <c r="F212" t="s">
        <v>1935</v>
      </c>
      <c r="G212" t="s">
        <v>1935</v>
      </c>
      <c r="H212" t="s">
        <v>78</v>
      </c>
    </row>
    <row r="213" spans="1:8">
      <c r="A213" t="s">
        <v>1055</v>
      </c>
      <c r="B213" t="s">
        <v>1117</v>
      </c>
      <c r="C213" t="s">
        <v>38</v>
      </c>
      <c r="D213">
        <v>32</v>
      </c>
      <c r="E213" t="s">
        <v>2526</v>
      </c>
      <c r="F213" t="s">
        <v>1935</v>
      </c>
      <c r="G213" t="s">
        <v>1935</v>
      </c>
      <c r="H213" t="s">
        <v>78</v>
      </c>
    </row>
    <row r="214" spans="1:8">
      <c r="A214" t="s">
        <v>1055</v>
      </c>
      <c r="B214" t="s">
        <v>1117</v>
      </c>
      <c r="C214" t="s">
        <v>38</v>
      </c>
      <c r="D214">
        <v>33</v>
      </c>
      <c r="E214" t="s">
        <v>2527</v>
      </c>
      <c r="F214" t="s">
        <v>1935</v>
      </c>
      <c r="G214" t="s">
        <v>1935</v>
      </c>
      <c r="H214" t="s">
        <v>78</v>
      </c>
    </row>
    <row r="215" spans="1:8">
      <c r="A215" t="s">
        <v>1055</v>
      </c>
      <c r="B215" t="s">
        <v>1117</v>
      </c>
      <c r="C215" t="s">
        <v>38</v>
      </c>
      <c r="D215">
        <v>34</v>
      </c>
      <c r="E215" t="s">
        <v>3930</v>
      </c>
      <c r="F215" t="s">
        <v>1935</v>
      </c>
      <c r="G215" t="s">
        <v>1935</v>
      </c>
      <c r="H215" t="s">
        <v>78</v>
      </c>
    </row>
    <row r="216" spans="1:8">
      <c r="A216" t="s">
        <v>1055</v>
      </c>
      <c r="B216" t="s">
        <v>1117</v>
      </c>
      <c r="C216" t="s">
        <v>38</v>
      </c>
      <c r="D216">
        <v>35</v>
      </c>
      <c r="E216" t="s">
        <v>2528</v>
      </c>
      <c r="F216" t="s">
        <v>1935</v>
      </c>
      <c r="G216" t="s">
        <v>1935</v>
      </c>
      <c r="H216" t="s">
        <v>78</v>
      </c>
    </row>
    <row r="217" spans="1:8">
      <c r="A217" t="s">
        <v>1055</v>
      </c>
      <c r="B217" t="s">
        <v>1117</v>
      </c>
      <c r="C217" t="s">
        <v>38</v>
      </c>
      <c r="D217">
        <v>36</v>
      </c>
      <c r="E217" t="s">
        <v>3931</v>
      </c>
      <c r="F217" t="s">
        <v>1935</v>
      </c>
      <c r="G217" t="s">
        <v>1935</v>
      </c>
      <c r="H217" t="s">
        <v>78</v>
      </c>
    </row>
    <row r="218" spans="1:8">
      <c r="A218" t="s">
        <v>262</v>
      </c>
      <c r="B218" t="s">
        <v>1116</v>
      </c>
      <c r="C218" t="s">
        <v>38</v>
      </c>
      <c r="D218">
        <v>1</v>
      </c>
      <c r="E218" t="s">
        <v>2529</v>
      </c>
      <c r="F218" t="s">
        <v>1935</v>
      </c>
      <c r="G218" t="s">
        <v>1935</v>
      </c>
      <c r="H218" t="s">
        <v>78</v>
      </c>
    </row>
    <row r="219" spans="1:8">
      <c r="A219" t="s">
        <v>262</v>
      </c>
      <c r="B219" t="s">
        <v>1116</v>
      </c>
      <c r="C219" t="s">
        <v>38</v>
      </c>
      <c r="D219">
        <v>2</v>
      </c>
      <c r="E219" t="s">
        <v>2530</v>
      </c>
      <c r="F219" t="s">
        <v>1935</v>
      </c>
      <c r="G219" t="s">
        <v>1935</v>
      </c>
      <c r="H219" t="s">
        <v>78</v>
      </c>
    </row>
    <row r="220" spans="1:8">
      <c r="A220" t="s">
        <v>262</v>
      </c>
      <c r="B220" t="s">
        <v>1116</v>
      </c>
      <c r="C220" t="s">
        <v>38</v>
      </c>
      <c r="D220">
        <v>3</v>
      </c>
      <c r="E220" t="s">
        <v>2531</v>
      </c>
      <c r="F220" t="s">
        <v>1935</v>
      </c>
      <c r="G220" t="s">
        <v>1935</v>
      </c>
      <c r="H220" t="s">
        <v>78</v>
      </c>
    </row>
    <row r="221" spans="1:8">
      <c r="A221" t="s">
        <v>262</v>
      </c>
      <c r="B221" t="s">
        <v>1116</v>
      </c>
      <c r="C221" t="s">
        <v>38</v>
      </c>
      <c r="D221">
        <v>4</v>
      </c>
      <c r="E221" t="s">
        <v>2532</v>
      </c>
      <c r="F221" t="s">
        <v>1935</v>
      </c>
      <c r="G221" t="s">
        <v>1935</v>
      </c>
      <c r="H221" t="s">
        <v>78</v>
      </c>
    </row>
    <row r="222" spans="1:8">
      <c r="A222" t="s">
        <v>262</v>
      </c>
      <c r="B222" t="s">
        <v>1116</v>
      </c>
      <c r="C222" t="s">
        <v>38</v>
      </c>
      <c r="D222">
        <v>5</v>
      </c>
      <c r="E222" t="s">
        <v>2533</v>
      </c>
      <c r="F222" t="s">
        <v>1935</v>
      </c>
      <c r="G222" t="s">
        <v>1935</v>
      </c>
      <c r="H222" t="s">
        <v>78</v>
      </c>
    </row>
    <row r="223" spans="1:8">
      <c r="A223" t="s">
        <v>262</v>
      </c>
      <c r="B223" t="s">
        <v>1116</v>
      </c>
      <c r="C223" t="s">
        <v>38</v>
      </c>
      <c r="D223">
        <v>6</v>
      </c>
      <c r="E223" t="s">
        <v>2534</v>
      </c>
      <c r="F223" t="s">
        <v>1935</v>
      </c>
      <c r="G223" t="s">
        <v>1935</v>
      </c>
      <c r="H223" t="s">
        <v>78</v>
      </c>
    </row>
    <row r="224" spans="1:8">
      <c r="A224" t="s">
        <v>262</v>
      </c>
      <c r="B224" t="s">
        <v>1116</v>
      </c>
      <c r="C224" t="s">
        <v>38</v>
      </c>
      <c r="D224">
        <v>7</v>
      </c>
      <c r="E224" t="s">
        <v>2535</v>
      </c>
      <c r="F224" t="s">
        <v>1935</v>
      </c>
      <c r="G224" t="s">
        <v>1935</v>
      </c>
      <c r="H224" t="s">
        <v>78</v>
      </c>
    </row>
    <row r="225" spans="1:8">
      <c r="A225" t="s">
        <v>262</v>
      </c>
      <c r="B225" t="s">
        <v>1116</v>
      </c>
      <c r="C225" t="s">
        <v>38</v>
      </c>
      <c r="D225">
        <v>8</v>
      </c>
      <c r="E225" t="s">
        <v>2536</v>
      </c>
      <c r="F225" t="s">
        <v>1935</v>
      </c>
      <c r="G225" t="s">
        <v>1935</v>
      </c>
      <c r="H225" t="s">
        <v>78</v>
      </c>
    </row>
    <row r="226" spans="1:8">
      <c r="A226" t="s">
        <v>262</v>
      </c>
      <c r="B226" t="s">
        <v>1116</v>
      </c>
      <c r="C226" t="s">
        <v>38</v>
      </c>
      <c r="D226">
        <v>9</v>
      </c>
      <c r="E226" t="s">
        <v>2537</v>
      </c>
      <c r="F226" t="s">
        <v>1935</v>
      </c>
      <c r="G226" t="s">
        <v>1935</v>
      </c>
      <c r="H226" t="s">
        <v>78</v>
      </c>
    </row>
    <row r="227" spans="1:8">
      <c r="A227" t="s">
        <v>262</v>
      </c>
      <c r="B227" t="s">
        <v>1116</v>
      </c>
      <c r="C227" t="s">
        <v>38</v>
      </c>
      <c r="D227">
        <v>10</v>
      </c>
      <c r="E227" t="s">
        <v>2538</v>
      </c>
      <c r="F227" t="s">
        <v>1935</v>
      </c>
      <c r="G227" t="s">
        <v>1935</v>
      </c>
      <c r="H227" t="s">
        <v>78</v>
      </c>
    </row>
    <row r="228" spans="1:8">
      <c r="A228" t="s">
        <v>262</v>
      </c>
      <c r="B228" t="s">
        <v>1116</v>
      </c>
      <c r="C228" t="s">
        <v>38</v>
      </c>
      <c r="D228">
        <v>11</v>
      </c>
      <c r="E228" t="s">
        <v>2539</v>
      </c>
      <c r="F228" t="s">
        <v>1935</v>
      </c>
      <c r="G228" t="s">
        <v>1935</v>
      </c>
      <c r="H228" t="s">
        <v>78</v>
      </c>
    </row>
    <row r="229" spans="1:8">
      <c r="A229" t="s">
        <v>262</v>
      </c>
      <c r="B229" t="s">
        <v>1116</v>
      </c>
      <c r="C229" t="s">
        <v>38</v>
      </c>
      <c r="D229">
        <v>12</v>
      </c>
      <c r="E229" t="s">
        <v>2540</v>
      </c>
      <c r="F229" t="s">
        <v>1935</v>
      </c>
      <c r="G229" t="s">
        <v>1935</v>
      </c>
      <c r="H229" t="s">
        <v>78</v>
      </c>
    </row>
    <row r="230" spans="1:8">
      <c r="A230" t="s">
        <v>262</v>
      </c>
      <c r="B230" t="s">
        <v>1116</v>
      </c>
      <c r="C230" t="s">
        <v>38</v>
      </c>
      <c r="D230">
        <v>13</v>
      </c>
      <c r="E230" t="s">
        <v>2541</v>
      </c>
      <c r="F230" t="s">
        <v>1935</v>
      </c>
      <c r="G230" t="s">
        <v>1935</v>
      </c>
      <c r="H230" t="s">
        <v>78</v>
      </c>
    </row>
    <row r="231" spans="1:8">
      <c r="A231" t="s">
        <v>262</v>
      </c>
      <c r="B231" t="s">
        <v>1116</v>
      </c>
      <c r="C231" t="s">
        <v>38</v>
      </c>
      <c r="D231">
        <v>14</v>
      </c>
      <c r="E231" t="s">
        <v>2542</v>
      </c>
      <c r="F231" t="s">
        <v>1935</v>
      </c>
      <c r="G231" t="s">
        <v>1935</v>
      </c>
      <c r="H231" t="s">
        <v>78</v>
      </c>
    </row>
    <row r="232" spans="1:8">
      <c r="A232" t="s">
        <v>262</v>
      </c>
      <c r="B232" t="s">
        <v>1116</v>
      </c>
      <c r="C232" t="s">
        <v>38</v>
      </c>
      <c r="D232">
        <v>15</v>
      </c>
      <c r="E232" t="s">
        <v>2543</v>
      </c>
      <c r="F232" t="s">
        <v>1935</v>
      </c>
      <c r="G232" t="s">
        <v>1935</v>
      </c>
      <c r="H232" t="s">
        <v>78</v>
      </c>
    </row>
    <row r="233" spans="1:8">
      <c r="A233" t="s">
        <v>262</v>
      </c>
      <c r="B233" t="s">
        <v>1116</v>
      </c>
      <c r="C233" t="s">
        <v>38</v>
      </c>
      <c r="D233">
        <v>16</v>
      </c>
      <c r="E233" t="s">
        <v>2544</v>
      </c>
      <c r="F233" t="s">
        <v>1935</v>
      </c>
      <c r="G233" t="s">
        <v>1935</v>
      </c>
      <c r="H233" t="s">
        <v>78</v>
      </c>
    </row>
    <row r="234" spans="1:8">
      <c r="A234" t="s">
        <v>262</v>
      </c>
      <c r="B234" t="s">
        <v>1116</v>
      </c>
      <c r="C234" t="s">
        <v>38</v>
      </c>
      <c r="D234">
        <v>17</v>
      </c>
      <c r="E234" t="s">
        <v>2545</v>
      </c>
      <c r="F234" t="s">
        <v>1935</v>
      </c>
      <c r="G234" t="s">
        <v>1935</v>
      </c>
      <c r="H234" t="s">
        <v>78</v>
      </c>
    </row>
    <row r="235" spans="1:8">
      <c r="A235" t="s">
        <v>262</v>
      </c>
      <c r="B235" t="s">
        <v>1116</v>
      </c>
      <c r="C235" t="s">
        <v>38</v>
      </c>
      <c r="D235">
        <v>18</v>
      </c>
      <c r="E235" t="s">
        <v>2546</v>
      </c>
      <c r="F235" t="s">
        <v>1935</v>
      </c>
      <c r="G235" t="s">
        <v>1935</v>
      </c>
      <c r="H235" t="s">
        <v>78</v>
      </c>
    </row>
    <row r="236" spans="1:8">
      <c r="A236" t="s">
        <v>262</v>
      </c>
      <c r="B236" t="s">
        <v>1116</v>
      </c>
      <c r="C236" t="s">
        <v>38</v>
      </c>
      <c r="D236">
        <v>19</v>
      </c>
      <c r="E236" t="s">
        <v>2547</v>
      </c>
      <c r="F236" t="s">
        <v>1935</v>
      </c>
      <c r="G236" t="s">
        <v>1935</v>
      </c>
      <c r="H236" t="s">
        <v>78</v>
      </c>
    </row>
    <row r="237" spans="1:8">
      <c r="A237" t="s">
        <v>262</v>
      </c>
      <c r="B237" t="s">
        <v>1116</v>
      </c>
      <c r="C237" t="s">
        <v>38</v>
      </c>
      <c r="D237">
        <v>20</v>
      </c>
      <c r="E237" t="s">
        <v>2548</v>
      </c>
      <c r="F237" t="s">
        <v>1935</v>
      </c>
      <c r="G237" t="s">
        <v>1935</v>
      </c>
      <c r="H237" t="s">
        <v>78</v>
      </c>
    </row>
    <row r="238" spans="1:8">
      <c r="A238" t="s">
        <v>262</v>
      </c>
      <c r="B238" t="s">
        <v>1116</v>
      </c>
      <c r="C238" t="s">
        <v>38</v>
      </c>
      <c r="D238">
        <v>21</v>
      </c>
      <c r="E238" t="s">
        <v>2549</v>
      </c>
      <c r="F238" t="s">
        <v>1935</v>
      </c>
      <c r="G238" t="s">
        <v>1935</v>
      </c>
      <c r="H238" t="s">
        <v>78</v>
      </c>
    </row>
    <row r="239" spans="1:8">
      <c r="A239" t="s">
        <v>262</v>
      </c>
      <c r="B239" t="s">
        <v>1116</v>
      </c>
      <c r="C239" t="s">
        <v>38</v>
      </c>
      <c r="D239">
        <v>22</v>
      </c>
      <c r="E239" t="s">
        <v>2550</v>
      </c>
      <c r="F239" t="s">
        <v>1935</v>
      </c>
      <c r="G239" t="s">
        <v>1935</v>
      </c>
      <c r="H239" t="s">
        <v>78</v>
      </c>
    </row>
    <row r="240" spans="1:8">
      <c r="A240" t="s">
        <v>262</v>
      </c>
      <c r="B240" t="s">
        <v>1116</v>
      </c>
      <c r="C240" t="s">
        <v>38</v>
      </c>
      <c r="D240">
        <v>23</v>
      </c>
      <c r="E240" t="s">
        <v>2551</v>
      </c>
      <c r="F240" t="s">
        <v>1935</v>
      </c>
      <c r="G240" t="s">
        <v>1935</v>
      </c>
      <c r="H240" t="s">
        <v>78</v>
      </c>
    </row>
    <row r="241" spans="1:8">
      <c r="A241" t="s">
        <v>262</v>
      </c>
      <c r="B241" t="s">
        <v>1116</v>
      </c>
      <c r="C241" t="s">
        <v>38</v>
      </c>
      <c r="D241">
        <v>24</v>
      </c>
      <c r="E241" t="s">
        <v>2552</v>
      </c>
      <c r="F241" t="s">
        <v>1935</v>
      </c>
      <c r="G241" t="s">
        <v>1935</v>
      </c>
      <c r="H241" t="s">
        <v>78</v>
      </c>
    </row>
    <row r="242" spans="1:8">
      <c r="A242" t="s">
        <v>262</v>
      </c>
      <c r="B242" t="s">
        <v>1116</v>
      </c>
      <c r="C242" t="s">
        <v>38</v>
      </c>
      <c r="D242">
        <v>25</v>
      </c>
      <c r="E242" t="s">
        <v>2553</v>
      </c>
      <c r="F242" t="s">
        <v>1935</v>
      </c>
      <c r="G242" t="s">
        <v>1935</v>
      </c>
      <c r="H242" t="s">
        <v>78</v>
      </c>
    </row>
    <row r="243" spans="1:8">
      <c r="A243" t="s">
        <v>262</v>
      </c>
      <c r="B243" t="s">
        <v>1116</v>
      </c>
      <c r="C243" t="s">
        <v>38</v>
      </c>
      <c r="D243">
        <v>26</v>
      </c>
      <c r="E243" t="s">
        <v>2554</v>
      </c>
      <c r="F243" t="s">
        <v>1935</v>
      </c>
      <c r="G243" t="s">
        <v>1935</v>
      </c>
      <c r="H243" t="s">
        <v>78</v>
      </c>
    </row>
    <row r="244" spans="1:8">
      <c r="A244" t="s">
        <v>2555</v>
      </c>
      <c r="B244" t="s">
        <v>1035</v>
      </c>
      <c r="C244" t="s">
        <v>38</v>
      </c>
      <c r="D244">
        <v>1</v>
      </c>
      <c r="E244" t="s">
        <v>2556</v>
      </c>
      <c r="F244" t="s">
        <v>1935</v>
      </c>
      <c r="G244" t="s">
        <v>1935</v>
      </c>
      <c r="H244" t="s">
        <v>1935</v>
      </c>
    </row>
    <row r="245" spans="1:8">
      <c r="A245" t="s">
        <v>978</v>
      </c>
      <c r="B245" t="s">
        <v>1129</v>
      </c>
      <c r="C245" t="s">
        <v>38</v>
      </c>
      <c r="D245">
        <v>1</v>
      </c>
      <c r="E245" t="s">
        <v>2557</v>
      </c>
      <c r="F245" t="s">
        <v>1935</v>
      </c>
      <c r="G245" t="s">
        <v>1935</v>
      </c>
      <c r="H245" t="s">
        <v>1935</v>
      </c>
    </row>
    <row r="246" spans="1:8">
      <c r="A246" t="s">
        <v>978</v>
      </c>
      <c r="B246" t="s">
        <v>1129</v>
      </c>
      <c r="C246" t="s">
        <v>38</v>
      </c>
      <c r="D246">
        <v>2</v>
      </c>
      <c r="E246" t="s">
        <v>2558</v>
      </c>
      <c r="F246" t="s">
        <v>1935</v>
      </c>
      <c r="G246" t="s">
        <v>1935</v>
      </c>
      <c r="H246" t="s">
        <v>1935</v>
      </c>
    </row>
    <row r="247" spans="1:8">
      <c r="A247" t="s">
        <v>2559</v>
      </c>
      <c r="B247" t="s">
        <v>1128</v>
      </c>
      <c r="C247" t="s">
        <v>38</v>
      </c>
      <c r="D247">
        <v>1</v>
      </c>
      <c r="E247" t="s">
        <v>2560</v>
      </c>
      <c r="F247" t="s">
        <v>1935</v>
      </c>
      <c r="G247" t="s">
        <v>1935</v>
      </c>
      <c r="H247" t="s">
        <v>1935</v>
      </c>
    </row>
    <row r="248" spans="1:8">
      <c r="A248" t="s">
        <v>2559</v>
      </c>
      <c r="B248" t="s">
        <v>1128</v>
      </c>
      <c r="C248" t="s">
        <v>38</v>
      </c>
      <c r="D248">
        <v>2</v>
      </c>
      <c r="E248" t="s">
        <v>2561</v>
      </c>
      <c r="F248" t="s">
        <v>1935</v>
      </c>
      <c r="G248" t="s">
        <v>1935</v>
      </c>
      <c r="H248" t="s">
        <v>1935</v>
      </c>
    </row>
    <row r="249" spans="1:8">
      <c r="A249" t="s">
        <v>302</v>
      </c>
      <c r="B249" t="s">
        <v>1035</v>
      </c>
      <c r="C249" t="s">
        <v>38</v>
      </c>
      <c r="D249">
        <v>1</v>
      </c>
      <c r="E249" t="s">
        <v>1356</v>
      </c>
      <c r="F249" t="s">
        <v>1935</v>
      </c>
      <c r="G249" t="s">
        <v>1935</v>
      </c>
      <c r="H249" t="s">
        <v>1935</v>
      </c>
    </row>
    <row r="250" spans="1:8">
      <c r="A250" t="s">
        <v>302</v>
      </c>
      <c r="B250" t="s">
        <v>1035</v>
      </c>
      <c r="C250" t="s">
        <v>38</v>
      </c>
      <c r="D250">
        <v>2</v>
      </c>
      <c r="E250" t="s">
        <v>1332</v>
      </c>
      <c r="F250" t="s">
        <v>1935</v>
      </c>
      <c r="G250" t="s">
        <v>1935</v>
      </c>
      <c r="H250" t="s">
        <v>1935</v>
      </c>
    </row>
    <row r="251" spans="1:8">
      <c r="A251" t="s">
        <v>302</v>
      </c>
      <c r="B251" t="s">
        <v>1035</v>
      </c>
      <c r="C251" t="s">
        <v>38</v>
      </c>
      <c r="D251">
        <v>3</v>
      </c>
      <c r="E251" t="s">
        <v>1660</v>
      </c>
      <c r="F251" t="s">
        <v>1935</v>
      </c>
      <c r="G251" t="s">
        <v>1935</v>
      </c>
      <c r="H251" t="s">
        <v>1935</v>
      </c>
    </row>
    <row r="252" spans="1:8">
      <c r="A252" t="s">
        <v>302</v>
      </c>
      <c r="B252" t="s">
        <v>1035</v>
      </c>
      <c r="C252" t="s">
        <v>38</v>
      </c>
      <c r="D252">
        <v>4</v>
      </c>
      <c r="E252" t="s">
        <v>1663</v>
      </c>
      <c r="F252" t="s">
        <v>1935</v>
      </c>
      <c r="G252" t="s">
        <v>1935</v>
      </c>
      <c r="H252" t="s">
        <v>1935</v>
      </c>
    </row>
    <row r="253" spans="1:8">
      <c r="A253" t="s">
        <v>302</v>
      </c>
      <c r="B253" t="s">
        <v>1035</v>
      </c>
      <c r="C253" t="s">
        <v>38</v>
      </c>
      <c r="D253">
        <v>5</v>
      </c>
      <c r="E253" t="s">
        <v>1637</v>
      </c>
      <c r="F253" t="s">
        <v>1935</v>
      </c>
      <c r="G253" t="s">
        <v>1935</v>
      </c>
      <c r="H253" t="s">
        <v>1935</v>
      </c>
    </row>
    <row r="254" spans="1:8">
      <c r="A254" t="s">
        <v>302</v>
      </c>
      <c r="B254" t="s">
        <v>1035</v>
      </c>
      <c r="C254" t="s">
        <v>38</v>
      </c>
      <c r="D254">
        <v>6</v>
      </c>
      <c r="E254" t="s">
        <v>1916</v>
      </c>
      <c r="F254" t="s">
        <v>1935</v>
      </c>
      <c r="G254" t="s">
        <v>1935</v>
      </c>
      <c r="H254" t="s">
        <v>1935</v>
      </c>
    </row>
    <row r="255" spans="1:8">
      <c r="A255" t="s">
        <v>302</v>
      </c>
      <c r="B255" t="s">
        <v>1035</v>
      </c>
      <c r="C255" t="s">
        <v>38</v>
      </c>
      <c r="D255">
        <v>7</v>
      </c>
      <c r="E255" t="s">
        <v>1507</v>
      </c>
      <c r="F255" t="s">
        <v>1935</v>
      </c>
      <c r="G255" t="s">
        <v>1935</v>
      </c>
      <c r="H255" t="s">
        <v>1935</v>
      </c>
    </row>
    <row r="256" spans="1:8">
      <c r="A256" t="s">
        <v>302</v>
      </c>
      <c r="B256" t="s">
        <v>1035</v>
      </c>
      <c r="C256" t="s">
        <v>38</v>
      </c>
      <c r="D256">
        <v>8</v>
      </c>
      <c r="E256" t="s">
        <v>1483</v>
      </c>
      <c r="F256" t="s">
        <v>1935</v>
      </c>
      <c r="G256" t="s">
        <v>1935</v>
      </c>
      <c r="H256" t="s">
        <v>1935</v>
      </c>
    </row>
    <row r="257" spans="1:8">
      <c r="A257" t="s">
        <v>302</v>
      </c>
      <c r="B257" t="s">
        <v>1035</v>
      </c>
      <c r="C257" t="s">
        <v>38</v>
      </c>
      <c r="D257">
        <v>9</v>
      </c>
      <c r="E257" t="s">
        <v>1666</v>
      </c>
      <c r="F257" t="s">
        <v>1935</v>
      </c>
      <c r="G257" t="s">
        <v>1935</v>
      </c>
      <c r="H257" t="s">
        <v>1935</v>
      </c>
    </row>
    <row r="258" spans="1:8">
      <c r="A258" t="s">
        <v>302</v>
      </c>
      <c r="B258" t="s">
        <v>1035</v>
      </c>
      <c r="C258" t="s">
        <v>38</v>
      </c>
      <c r="D258">
        <v>10</v>
      </c>
      <c r="E258" t="s">
        <v>1890</v>
      </c>
      <c r="F258" t="s">
        <v>1935</v>
      </c>
      <c r="G258" t="s">
        <v>1935</v>
      </c>
      <c r="H258" t="s">
        <v>1935</v>
      </c>
    </row>
    <row r="259" spans="1:8">
      <c r="A259" t="s">
        <v>302</v>
      </c>
      <c r="B259" t="s">
        <v>1035</v>
      </c>
      <c r="C259" t="s">
        <v>38</v>
      </c>
      <c r="D259">
        <v>11</v>
      </c>
      <c r="E259" t="s">
        <v>1353</v>
      </c>
      <c r="F259" t="s">
        <v>1935</v>
      </c>
      <c r="G259" t="s">
        <v>1935</v>
      </c>
      <c r="H259" t="s">
        <v>1935</v>
      </c>
    </row>
    <row r="260" spans="1:8">
      <c r="A260" t="s">
        <v>302</v>
      </c>
      <c r="B260" t="s">
        <v>1035</v>
      </c>
      <c r="C260" t="s">
        <v>38</v>
      </c>
      <c r="D260">
        <v>12</v>
      </c>
      <c r="E260" t="s">
        <v>1679</v>
      </c>
      <c r="F260" t="s">
        <v>1935</v>
      </c>
      <c r="G260" t="s">
        <v>1935</v>
      </c>
      <c r="H260" t="s">
        <v>1935</v>
      </c>
    </row>
    <row r="261" spans="1:8">
      <c r="A261" t="s">
        <v>302</v>
      </c>
      <c r="B261" t="s">
        <v>1035</v>
      </c>
      <c r="C261" t="s">
        <v>38</v>
      </c>
      <c r="D261">
        <v>13</v>
      </c>
      <c r="E261" t="s">
        <v>1289</v>
      </c>
      <c r="F261" t="s">
        <v>1935</v>
      </c>
      <c r="G261" t="s">
        <v>1935</v>
      </c>
      <c r="H261" t="s">
        <v>1935</v>
      </c>
    </row>
    <row r="262" spans="1:8">
      <c r="A262" t="s">
        <v>302</v>
      </c>
      <c r="B262" t="s">
        <v>1035</v>
      </c>
      <c r="C262" t="s">
        <v>38</v>
      </c>
      <c r="D262">
        <v>14</v>
      </c>
      <c r="E262" t="s">
        <v>1920</v>
      </c>
      <c r="F262" t="s">
        <v>1935</v>
      </c>
      <c r="G262" t="s">
        <v>1935</v>
      </c>
      <c r="H262" t="s">
        <v>1935</v>
      </c>
    </row>
    <row r="263" spans="1:8">
      <c r="A263" t="s">
        <v>302</v>
      </c>
      <c r="B263" t="s">
        <v>1035</v>
      </c>
      <c r="C263" t="s">
        <v>38</v>
      </c>
      <c r="D263">
        <v>15</v>
      </c>
      <c r="E263" t="s">
        <v>1287</v>
      </c>
      <c r="F263" t="s">
        <v>1935</v>
      </c>
      <c r="G263" t="s">
        <v>1935</v>
      </c>
      <c r="H263" t="s">
        <v>1935</v>
      </c>
    </row>
    <row r="264" spans="1:8">
      <c r="A264" t="s">
        <v>302</v>
      </c>
      <c r="B264" t="s">
        <v>1035</v>
      </c>
      <c r="C264" t="s">
        <v>38</v>
      </c>
      <c r="D264">
        <v>16</v>
      </c>
      <c r="E264" t="s">
        <v>1045</v>
      </c>
      <c r="F264" t="s">
        <v>1935</v>
      </c>
      <c r="G264" t="s">
        <v>1935</v>
      </c>
      <c r="H264" t="s">
        <v>1935</v>
      </c>
    </row>
    <row r="265" spans="1:8">
      <c r="A265" t="s">
        <v>302</v>
      </c>
      <c r="B265" t="s">
        <v>1035</v>
      </c>
      <c r="C265" t="s">
        <v>38</v>
      </c>
      <c r="D265">
        <v>17</v>
      </c>
      <c r="E265" t="s">
        <v>1317</v>
      </c>
      <c r="F265" t="s">
        <v>1935</v>
      </c>
      <c r="G265" t="s">
        <v>1935</v>
      </c>
      <c r="H265" t="s">
        <v>1935</v>
      </c>
    </row>
    <row r="266" spans="1:8">
      <c r="A266" t="s">
        <v>302</v>
      </c>
      <c r="B266" t="s">
        <v>1035</v>
      </c>
      <c r="C266" t="s">
        <v>38</v>
      </c>
      <c r="D266">
        <v>18</v>
      </c>
      <c r="E266" t="s">
        <v>1792</v>
      </c>
      <c r="F266" t="s">
        <v>1935</v>
      </c>
      <c r="G266" t="s">
        <v>1935</v>
      </c>
      <c r="H266" t="s">
        <v>1935</v>
      </c>
    </row>
    <row r="267" spans="1:8">
      <c r="A267" t="s">
        <v>302</v>
      </c>
      <c r="B267" t="s">
        <v>1035</v>
      </c>
      <c r="C267" t="s">
        <v>38</v>
      </c>
      <c r="D267">
        <v>19</v>
      </c>
      <c r="E267" t="s">
        <v>1286</v>
      </c>
      <c r="F267" t="s">
        <v>1935</v>
      </c>
      <c r="G267" t="s">
        <v>1935</v>
      </c>
      <c r="H267" t="s">
        <v>1935</v>
      </c>
    </row>
    <row r="268" spans="1:8">
      <c r="A268" t="s">
        <v>302</v>
      </c>
      <c r="B268" t="s">
        <v>1035</v>
      </c>
      <c r="C268" t="s">
        <v>38</v>
      </c>
      <c r="D268">
        <v>20</v>
      </c>
      <c r="E268" t="s">
        <v>1508</v>
      </c>
      <c r="F268" t="s">
        <v>1935</v>
      </c>
      <c r="G268" t="s">
        <v>1935</v>
      </c>
      <c r="H268" t="s">
        <v>1935</v>
      </c>
    </row>
    <row r="269" spans="1:8">
      <c r="A269" t="s">
        <v>302</v>
      </c>
      <c r="B269" t="s">
        <v>1035</v>
      </c>
      <c r="C269" t="s">
        <v>38</v>
      </c>
      <c r="D269">
        <v>21</v>
      </c>
      <c r="E269" t="s">
        <v>1656</v>
      </c>
      <c r="F269" t="s">
        <v>1935</v>
      </c>
      <c r="G269" t="s">
        <v>1935</v>
      </c>
      <c r="H269" t="s">
        <v>1935</v>
      </c>
    </row>
    <row r="270" spans="1:8">
      <c r="A270" t="s">
        <v>302</v>
      </c>
      <c r="B270" t="s">
        <v>1035</v>
      </c>
      <c r="C270" t="s">
        <v>38</v>
      </c>
      <c r="D270">
        <v>22</v>
      </c>
      <c r="E270" t="s">
        <v>1357</v>
      </c>
      <c r="F270" t="s">
        <v>1935</v>
      </c>
      <c r="G270" t="s">
        <v>1935</v>
      </c>
      <c r="H270" t="s">
        <v>1935</v>
      </c>
    </row>
    <row r="271" spans="1:8">
      <c r="A271" t="s">
        <v>302</v>
      </c>
      <c r="B271" t="s">
        <v>1035</v>
      </c>
      <c r="C271" t="s">
        <v>38</v>
      </c>
      <c r="D271">
        <v>23</v>
      </c>
      <c r="E271" t="s">
        <v>1288</v>
      </c>
      <c r="F271" t="s">
        <v>1935</v>
      </c>
      <c r="G271" t="s">
        <v>1935</v>
      </c>
      <c r="H271" t="s">
        <v>1935</v>
      </c>
    </row>
    <row r="272" spans="1:8">
      <c r="A272" t="s">
        <v>302</v>
      </c>
      <c r="B272" t="s">
        <v>1035</v>
      </c>
      <c r="C272" t="s">
        <v>38</v>
      </c>
      <c r="D272">
        <v>24</v>
      </c>
      <c r="E272" t="s">
        <v>1285</v>
      </c>
      <c r="F272" t="s">
        <v>1935</v>
      </c>
      <c r="G272" t="s">
        <v>1935</v>
      </c>
      <c r="H272" t="s">
        <v>1935</v>
      </c>
    </row>
    <row r="273" spans="1:8">
      <c r="A273" t="s">
        <v>302</v>
      </c>
      <c r="B273" t="s">
        <v>1035</v>
      </c>
      <c r="C273" t="s">
        <v>38</v>
      </c>
      <c r="D273">
        <v>25</v>
      </c>
      <c r="E273" t="s">
        <v>1311</v>
      </c>
      <c r="F273" t="s">
        <v>1935</v>
      </c>
      <c r="G273" t="s">
        <v>1935</v>
      </c>
      <c r="H273" t="s">
        <v>1935</v>
      </c>
    </row>
    <row r="274" spans="1:8">
      <c r="A274" t="s">
        <v>302</v>
      </c>
      <c r="B274" t="s">
        <v>1035</v>
      </c>
      <c r="C274" t="s">
        <v>38</v>
      </c>
      <c r="D274">
        <v>26</v>
      </c>
      <c r="E274" t="s">
        <v>1497</v>
      </c>
      <c r="F274" t="s">
        <v>1935</v>
      </c>
      <c r="G274" t="s">
        <v>1935</v>
      </c>
      <c r="H274" t="s">
        <v>1935</v>
      </c>
    </row>
    <row r="275" spans="1:8">
      <c r="A275" t="s">
        <v>299</v>
      </c>
      <c r="B275" t="s">
        <v>2562</v>
      </c>
      <c r="C275" t="s">
        <v>38</v>
      </c>
      <c r="D275">
        <v>1</v>
      </c>
      <c r="E275" t="s">
        <v>1312</v>
      </c>
      <c r="F275" t="s">
        <v>1935</v>
      </c>
      <c r="G275" t="s">
        <v>1935</v>
      </c>
      <c r="H275" t="s">
        <v>1935</v>
      </c>
    </row>
    <row r="276" spans="1:8">
      <c r="A276" t="s">
        <v>299</v>
      </c>
      <c r="B276" t="s">
        <v>2562</v>
      </c>
      <c r="C276" t="s">
        <v>38</v>
      </c>
      <c r="D276">
        <v>2</v>
      </c>
      <c r="E276" t="s">
        <v>1313</v>
      </c>
      <c r="F276" t="s">
        <v>1935</v>
      </c>
      <c r="G276" t="s">
        <v>1935</v>
      </c>
      <c r="H276" t="s">
        <v>1935</v>
      </c>
    </row>
    <row r="277" spans="1:8">
      <c r="A277" t="s">
        <v>299</v>
      </c>
      <c r="B277" t="s">
        <v>2562</v>
      </c>
      <c r="C277" t="s">
        <v>38</v>
      </c>
      <c r="D277">
        <v>3</v>
      </c>
      <c r="E277" t="s">
        <v>1314</v>
      </c>
      <c r="F277" t="s">
        <v>1935</v>
      </c>
      <c r="G277" t="s">
        <v>1935</v>
      </c>
      <c r="H277" t="s">
        <v>1935</v>
      </c>
    </row>
    <row r="278" spans="1:8">
      <c r="A278" t="s">
        <v>299</v>
      </c>
      <c r="B278" t="s">
        <v>2562</v>
      </c>
      <c r="C278" t="s">
        <v>38</v>
      </c>
      <c r="D278">
        <v>4</v>
      </c>
      <c r="E278" t="s">
        <v>1315</v>
      </c>
      <c r="F278" t="s">
        <v>1935</v>
      </c>
      <c r="G278" t="s">
        <v>1935</v>
      </c>
      <c r="H278" t="s">
        <v>1935</v>
      </c>
    </row>
    <row r="279" spans="1:8">
      <c r="A279" t="s">
        <v>299</v>
      </c>
      <c r="B279" t="s">
        <v>2562</v>
      </c>
      <c r="C279" t="s">
        <v>38</v>
      </c>
      <c r="D279">
        <v>5</v>
      </c>
      <c r="E279" t="s">
        <v>2054</v>
      </c>
      <c r="F279" t="s">
        <v>1935</v>
      </c>
      <c r="G279" t="s">
        <v>1935</v>
      </c>
      <c r="H279" t="s">
        <v>1935</v>
      </c>
    </row>
    <row r="280" spans="1:8">
      <c r="A280" t="s">
        <v>299</v>
      </c>
      <c r="B280" t="s">
        <v>2562</v>
      </c>
      <c r="C280" t="s">
        <v>38</v>
      </c>
      <c r="D280">
        <v>6</v>
      </c>
      <c r="E280" t="s">
        <v>2056</v>
      </c>
      <c r="F280" t="s">
        <v>1935</v>
      </c>
      <c r="G280" t="s">
        <v>1935</v>
      </c>
      <c r="H280" t="s">
        <v>1935</v>
      </c>
    </row>
    <row r="281" spans="1:8">
      <c r="A281" t="s">
        <v>299</v>
      </c>
      <c r="B281" t="s">
        <v>2562</v>
      </c>
      <c r="C281" t="s">
        <v>38</v>
      </c>
      <c r="D281">
        <v>7</v>
      </c>
      <c r="E281" t="s">
        <v>2058</v>
      </c>
      <c r="F281" t="s">
        <v>1935</v>
      </c>
      <c r="G281" t="s">
        <v>1935</v>
      </c>
      <c r="H281" t="s">
        <v>1935</v>
      </c>
    </row>
    <row r="282" spans="1:8">
      <c r="A282" t="s">
        <v>299</v>
      </c>
      <c r="B282" t="s">
        <v>2562</v>
      </c>
      <c r="C282" t="s">
        <v>38</v>
      </c>
      <c r="D282">
        <v>8</v>
      </c>
      <c r="E282" t="s">
        <v>1316</v>
      </c>
      <c r="F282" t="s">
        <v>1935</v>
      </c>
      <c r="G282" t="s">
        <v>1935</v>
      </c>
      <c r="H282" t="s">
        <v>1935</v>
      </c>
    </row>
    <row r="283" spans="1:8">
      <c r="A283" t="s">
        <v>299</v>
      </c>
      <c r="B283" t="s">
        <v>2562</v>
      </c>
      <c r="C283" t="s">
        <v>38</v>
      </c>
      <c r="D283">
        <v>9</v>
      </c>
      <c r="E283" t="s">
        <v>2061</v>
      </c>
      <c r="F283" t="s">
        <v>1935</v>
      </c>
      <c r="G283" t="s">
        <v>1935</v>
      </c>
      <c r="H283" t="s">
        <v>1935</v>
      </c>
    </row>
    <row r="284" spans="1:8">
      <c r="A284" t="s">
        <v>299</v>
      </c>
      <c r="B284" t="s">
        <v>2562</v>
      </c>
      <c r="C284" t="s">
        <v>38</v>
      </c>
      <c r="D284">
        <v>10</v>
      </c>
      <c r="E284" t="s">
        <v>2063</v>
      </c>
      <c r="F284" t="s">
        <v>1935</v>
      </c>
      <c r="G284" t="s">
        <v>1935</v>
      </c>
      <c r="H284" t="s">
        <v>1935</v>
      </c>
    </row>
    <row r="285" spans="1:8">
      <c r="A285" t="s">
        <v>299</v>
      </c>
      <c r="B285" t="s">
        <v>2562</v>
      </c>
      <c r="C285" t="s">
        <v>38</v>
      </c>
      <c r="D285">
        <v>11</v>
      </c>
      <c r="E285" t="s">
        <v>1318</v>
      </c>
      <c r="F285" t="s">
        <v>1935</v>
      </c>
      <c r="G285" t="s">
        <v>1935</v>
      </c>
      <c r="H285" t="s">
        <v>1935</v>
      </c>
    </row>
    <row r="286" spans="1:8">
      <c r="A286" t="s">
        <v>299</v>
      </c>
      <c r="B286" t="s">
        <v>2562</v>
      </c>
      <c r="C286" t="s">
        <v>38</v>
      </c>
      <c r="D286">
        <v>12</v>
      </c>
      <c r="E286" t="s">
        <v>1319</v>
      </c>
      <c r="F286" t="s">
        <v>1935</v>
      </c>
      <c r="G286" t="s">
        <v>1935</v>
      </c>
      <c r="H286" t="s">
        <v>1935</v>
      </c>
    </row>
    <row r="287" spans="1:8">
      <c r="A287" t="s">
        <v>299</v>
      </c>
      <c r="B287" t="s">
        <v>2562</v>
      </c>
      <c r="C287" t="s">
        <v>38</v>
      </c>
      <c r="D287">
        <v>13</v>
      </c>
      <c r="E287" t="s">
        <v>1320</v>
      </c>
      <c r="F287" t="s">
        <v>1935</v>
      </c>
      <c r="G287" t="s">
        <v>1935</v>
      </c>
      <c r="H287" t="s">
        <v>1935</v>
      </c>
    </row>
    <row r="288" spans="1:8">
      <c r="A288" t="s">
        <v>299</v>
      </c>
      <c r="B288" t="s">
        <v>2562</v>
      </c>
      <c r="C288" t="s">
        <v>38</v>
      </c>
      <c r="D288">
        <v>14</v>
      </c>
      <c r="E288" t="s">
        <v>1469</v>
      </c>
      <c r="F288" t="s">
        <v>1935</v>
      </c>
      <c r="G288" t="s">
        <v>1935</v>
      </c>
      <c r="H288" t="s">
        <v>1935</v>
      </c>
    </row>
    <row r="289" spans="1:8">
      <c r="A289" t="s">
        <v>299</v>
      </c>
      <c r="B289" t="s">
        <v>2562</v>
      </c>
      <c r="C289" t="s">
        <v>38</v>
      </c>
      <c r="D289">
        <v>15</v>
      </c>
      <c r="E289" t="s">
        <v>1321</v>
      </c>
      <c r="F289" t="s">
        <v>1935</v>
      </c>
      <c r="G289" t="s">
        <v>1935</v>
      </c>
      <c r="H289" t="s">
        <v>1935</v>
      </c>
    </row>
    <row r="290" spans="1:8">
      <c r="A290" t="s">
        <v>299</v>
      </c>
      <c r="B290" t="s">
        <v>2562</v>
      </c>
      <c r="C290" t="s">
        <v>38</v>
      </c>
      <c r="D290">
        <v>16</v>
      </c>
      <c r="E290" t="s">
        <v>1322</v>
      </c>
      <c r="F290" t="s">
        <v>1935</v>
      </c>
      <c r="G290" t="s">
        <v>1935</v>
      </c>
      <c r="H290" t="s">
        <v>1935</v>
      </c>
    </row>
    <row r="291" spans="1:8">
      <c r="A291" t="s">
        <v>299</v>
      </c>
      <c r="B291" t="s">
        <v>2562</v>
      </c>
      <c r="C291" t="s">
        <v>38</v>
      </c>
      <c r="D291">
        <v>17</v>
      </c>
      <c r="E291" t="s">
        <v>1323</v>
      </c>
      <c r="F291" t="s">
        <v>1935</v>
      </c>
      <c r="G291" t="s">
        <v>1935</v>
      </c>
      <c r="H291" t="s">
        <v>1935</v>
      </c>
    </row>
    <row r="292" spans="1:8">
      <c r="A292" t="s">
        <v>299</v>
      </c>
      <c r="B292" t="s">
        <v>2562</v>
      </c>
      <c r="C292" t="s">
        <v>38</v>
      </c>
      <c r="D292">
        <v>18</v>
      </c>
      <c r="E292" t="s">
        <v>2072</v>
      </c>
      <c r="F292" t="s">
        <v>1935</v>
      </c>
      <c r="G292" t="s">
        <v>1935</v>
      </c>
      <c r="H292" t="s">
        <v>1935</v>
      </c>
    </row>
    <row r="293" spans="1:8">
      <c r="A293" t="s">
        <v>299</v>
      </c>
      <c r="B293" t="s">
        <v>2562</v>
      </c>
      <c r="C293" t="s">
        <v>38</v>
      </c>
      <c r="D293">
        <v>19</v>
      </c>
      <c r="E293" t="s">
        <v>1324</v>
      </c>
      <c r="F293" t="s">
        <v>1935</v>
      </c>
      <c r="G293" t="s">
        <v>1935</v>
      </c>
      <c r="H293" t="s">
        <v>1935</v>
      </c>
    </row>
    <row r="294" spans="1:8">
      <c r="A294" t="s">
        <v>299</v>
      </c>
      <c r="B294" t="s">
        <v>2562</v>
      </c>
      <c r="C294" t="s">
        <v>38</v>
      </c>
      <c r="D294">
        <v>20</v>
      </c>
      <c r="E294" t="s">
        <v>2075</v>
      </c>
      <c r="F294" t="s">
        <v>1935</v>
      </c>
      <c r="G294" t="s">
        <v>1935</v>
      </c>
      <c r="H294" t="s">
        <v>1935</v>
      </c>
    </row>
    <row r="295" spans="1:8">
      <c r="A295" t="s">
        <v>299</v>
      </c>
      <c r="B295" t="s">
        <v>2562</v>
      </c>
      <c r="C295" t="s">
        <v>38</v>
      </c>
      <c r="D295">
        <v>21</v>
      </c>
      <c r="E295" t="s">
        <v>2077</v>
      </c>
      <c r="F295" t="s">
        <v>1935</v>
      </c>
      <c r="G295" t="s">
        <v>1935</v>
      </c>
      <c r="H295" t="s">
        <v>1935</v>
      </c>
    </row>
    <row r="296" spans="1:8">
      <c r="A296" t="s">
        <v>299</v>
      </c>
      <c r="B296" t="s">
        <v>2562</v>
      </c>
      <c r="C296" t="s">
        <v>38</v>
      </c>
      <c r="D296">
        <v>22</v>
      </c>
      <c r="E296" t="s">
        <v>1325</v>
      </c>
      <c r="F296" t="s">
        <v>1935</v>
      </c>
      <c r="G296" t="s">
        <v>1935</v>
      </c>
      <c r="H296" t="s">
        <v>1935</v>
      </c>
    </row>
    <row r="297" spans="1:8">
      <c r="A297" t="s">
        <v>299</v>
      </c>
      <c r="B297" t="s">
        <v>2562</v>
      </c>
      <c r="C297" t="s">
        <v>38</v>
      </c>
      <c r="D297">
        <v>23</v>
      </c>
      <c r="E297" t="s">
        <v>1326</v>
      </c>
      <c r="F297" t="s">
        <v>1935</v>
      </c>
      <c r="G297" t="s">
        <v>1935</v>
      </c>
      <c r="H297" t="s">
        <v>1935</v>
      </c>
    </row>
    <row r="298" spans="1:8">
      <c r="A298" t="s">
        <v>299</v>
      </c>
      <c r="B298" t="s">
        <v>2562</v>
      </c>
      <c r="C298" t="s">
        <v>38</v>
      </c>
      <c r="D298">
        <v>24</v>
      </c>
      <c r="E298" t="s">
        <v>2081</v>
      </c>
      <c r="F298" t="s">
        <v>1935</v>
      </c>
      <c r="G298" t="s">
        <v>1935</v>
      </c>
      <c r="H298" t="s">
        <v>1935</v>
      </c>
    </row>
    <row r="299" spans="1:8">
      <c r="A299" t="s">
        <v>299</v>
      </c>
      <c r="B299" t="s">
        <v>2562</v>
      </c>
      <c r="C299" t="s">
        <v>38</v>
      </c>
      <c r="D299">
        <v>25</v>
      </c>
      <c r="E299" t="s">
        <v>1327</v>
      </c>
      <c r="F299" t="s">
        <v>1935</v>
      </c>
      <c r="G299" t="s">
        <v>1935</v>
      </c>
      <c r="H299" t="s">
        <v>1935</v>
      </c>
    </row>
    <row r="300" spans="1:8">
      <c r="A300" t="s">
        <v>299</v>
      </c>
      <c r="B300" t="s">
        <v>2562</v>
      </c>
      <c r="C300" t="s">
        <v>38</v>
      </c>
      <c r="D300">
        <v>26</v>
      </c>
      <c r="E300" t="s">
        <v>2084</v>
      </c>
      <c r="F300" t="s">
        <v>1935</v>
      </c>
      <c r="G300" t="s">
        <v>1935</v>
      </c>
      <c r="H300" t="s">
        <v>1935</v>
      </c>
    </row>
    <row r="301" spans="1:8">
      <c r="A301" t="s">
        <v>299</v>
      </c>
      <c r="B301" t="s">
        <v>2562</v>
      </c>
      <c r="C301" t="s">
        <v>38</v>
      </c>
      <c r="D301">
        <v>27</v>
      </c>
      <c r="E301" t="s">
        <v>1328</v>
      </c>
      <c r="F301" t="s">
        <v>1935</v>
      </c>
      <c r="G301" t="s">
        <v>1935</v>
      </c>
      <c r="H301" t="s">
        <v>1935</v>
      </c>
    </row>
    <row r="302" spans="1:8">
      <c r="A302" t="s">
        <v>299</v>
      </c>
      <c r="B302" t="s">
        <v>2562</v>
      </c>
      <c r="C302" t="s">
        <v>38</v>
      </c>
      <c r="D302">
        <v>28</v>
      </c>
      <c r="E302" t="s">
        <v>2087</v>
      </c>
      <c r="F302" t="s">
        <v>1935</v>
      </c>
      <c r="G302" t="s">
        <v>1935</v>
      </c>
      <c r="H302" t="s">
        <v>1935</v>
      </c>
    </row>
    <row r="303" spans="1:8">
      <c r="A303" t="s">
        <v>299</v>
      </c>
      <c r="B303" t="s">
        <v>2562</v>
      </c>
      <c r="C303" t="s">
        <v>38</v>
      </c>
      <c r="D303">
        <v>29</v>
      </c>
      <c r="E303" t="s">
        <v>1329</v>
      </c>
      <c r="F303" t="s">
        <v>1935</v>
      </c>
      <c r="G303" t="s">
        <v>1935</v>
      </c>
      <c r="H303" t="s">
        <v>1935</v>
      </c>
    </row>
    <row r="304" spans="1:8">
      <c r="A304" t="s">
        <v>299</v>
      </c>
      <c r="B304" t="s">
        <v>2562</v>
      </c>
      <c r="C304" t="s">
        <v>38</v>
      </c>
      <c r="D304">
        <v>30</v>
      </c>
      <c r="E304" t="s">
        <v>1330</v>
      </c>
      <c r="F304" t="s">
        <v>1935</v>
      </c>
      <c r="G304" t="s">
        <v>1935</v>
      </c>
      <c r="H304" t="s">
        <v>1935</v>
      </c>
    </row>
    <row r="305" spans="1:8">
      <c r="A305" t="s">
        <v>299</v>
      </c>
      <c r="B305" t="s">
        <v>2562</v>
      </c>
      <c r="C305" t="s">
        <v>38</v>
      </c>
      <c r="D305">
        <v>31</v>
      </c>
      <c r="E305" t="s">
        <v>1333</v>
      </c>
      <c r="F305" t="s">
        <v>1935</v>
      </c>
      <c r="G305" t="s">
        <v>1935</v>
      </c>
      <c r="H305" t="s">
        <v>1935</v>
      </c>
    </row>
    <row r="306" spans="1:8">
      <c r="A306" t="s">
        <v>299</v>
      </c>
      <c r="B306" t="s">
        <v>2562</v>
      </c>
      <c r="C306" t="s">
        <v>38</v>
      </c>
      <c r="D306">
        <v>32</v>
      </c>
      <c r="E306" t="s">
        <v>1474</v>
      </c>
      <c r="F306" t="s">
        <v>1935</v>
      </c>
      <c r="G306" t="s">
        <v>1935</v>
      </c>
      <c r="H306" t="s">
        <v>1935</v>
      </c>
    </row>
    <row r="307" spans="1:8">
      <c r="A307" t="s">
        <v>299</v>
      </c>
      <c r="B307" t="s">
        <v>2562</v>
      </c>
      <c r="C307" t="s">
        <v>38</v>
      </c>
      <c r="D307">
        <v>33</v>
      </c>
      <c r="E307" t="s">
        <v>2093</v>
      </c>
      <c r="F307" t="s">
        <v>1935</v>
      </c>
      <c r="G307" t="s">
        <v>1935</v>
      </c>
      <c r="H307" t="s">
        <v>1935</v>
      </c>
    </row>
    <row r="308" spans="1:8">
      <c r="A308" t="s">
        <v>299</v>
      </c>
      <c r="B308" t="s">
        <v>2562</v>
      </c>
      <c r="C308" t="s">
        <v>38</v>
      </c>
      <c r="D308">
        <v>34</v>
      </c>
      <c r="E308" t="s">
        <v>1334</v>
      </c>
      <c r="F308" t="s">
        <v>1935</v>
      </c>
      <c r="G308" t="s">
        <v>1935</v>
      </c>
      <c r="H308" t="s">
        <v>1935</v>
      </c>
    </row>
    <row r="309" spans="1:8">
      <c r="A309" t="s">
        <v>299</v>
      </c>
      <c r="B309" t="s">
        <v>2562</v>
      </c>
      <c r="C309" t="s">
        <v>38</v>
      </c>
      <c r="D309">
        <v>35</v>
      </c>
      <c r="E309" t="s">
        <v>1335</v>
      </c>
      <c r="F309" t="s">
        <v>1935</v>
      </c>
      <c r="G309" t="s">
        <v>1935</v>
      </c>
      <c r="H309" t="s">
        <v>1935</v>
      </c>
    </row>
    <row r="310" spans="1:8">
      <c r="A310" t="s">
        <v>299</v>
      </c>
      <c r="B310" t="s">
        <v>2562</v>
      </c>
      <c r="C310" t="s">
        <v>38</v>
      </c>
      <c r="D310">
        <v>36</v>
      </c>
      <c r="E310" t="s">
        <v>1336</v>
      </c>
      <c r="F310" t="s">
        <v>1935</v>
      </c>
      <c r="G310" t="s">
        <v>1935</v>
      </c>
      <c r="H310" t="s">
        <v>1935</v>
      </c>
    </row>
    <row r="311" spans="1:8">
      <c r="A311" t="s">
        <v>299</v>
      </c>
      <c r="B311" t="s">
        <v>2562</v>
      </c>
      <c r="C311" t="s">
        <v>38</v>
      </c>
      <c r="D311">
        <v>37</v>
      </c>
      <c r="E311" t="s">
        <v>2098</v>
      </c>
      <c r="F311" t="s">
        <v>1935</v>
      </c>
      <c r="G311" t="s">
        <v>1935</v>
      </c>
      <c r="H311" t="s">
        <v>1935</v>
      </c>
    </row>
    <row r="312" spans="1:8">
      <c r="A312" t="s">
        <v>299</v>
      </c>
      <c r="B312" t="s">
        <v>2562</v>
      </c>
      <c r="C312" t="s">
        <v>38</v>
      </c>
      <c r="D312">
        <v>38</v>
      </c>
      <c r="E312" t="s">
        <v>1337</v>
      </c>
      <c r="F312" t="s">
        <v>1935</v>
      </c>
      <c r="G312" t="s">
        <v>1935</v>
      </c>
      <c r="H312" t="s">
        <v>1935</v>
      </c>
    </row>
    <row r="313" spans="1:8">
      <c r="A313" t="s">
        <v>299</v>
      </c>
      <c r="B313" t="s">
        <v>2562</v>
      </c>
      <c r="C313" t="s">
        <v>38</v>
      </c>
      <c r="D313">
        <v>39</v>
      </c>
      <c r="E313" t="s">
        <v>1338</v>
      </c>
      <c r="F313" t="s">
        <v>1935</v>
      </c>
      <c r="G313" t="s">
        <v>1935</v>
      </c>
      <c r="H313" t="s">
        <v>1935</v>
      </c>
    </row>
    <row r="314" spans="1:8">
      <c r="A314" t="s">
        <v>299</v>
      </c>
      <c r="B314" t="s">
        <v>2562</v>
      </c>
      <c r="C314" t="s">
        <v>38</v>
      </c>
      <c r="D314">
        <v>40</v>
      </c>
      <c r="E314" t="s">
        <v>1339</v>
      </c>
      <c r="F314" t="s">
        <v>1935</v>
      </c>
      <c r="G314" t="s">
        <v>1935</v>
      </c>
      <c r="H314" t="s">
        <v>1935</v>
      </c>
    </row>
    <row r="315" spans="1:8">
      <c r="A315" t="s">
        <v>299</v>
      </c>
      <c r="B315" t="s">
        <v>2562</v>
      </c>
      <c r="C315" t="s">
        <v>38</v>
      </c>
      <c r="D315">
        <v>41</v>
      </c>
      <c r="E315" t="s">
        <v>1340</v>
      </c>
      <c r="F315" t="s">
        <v>1935</v>
      </c>
      <c r="G315" t="s">
        <v>1935</v>
      </c>
      <c r="H315" t="s">
        <v>1935</v>
      </c>
    </row>
    <row r="316" spans="1:8">
      <c r="A316" t="s">
        <v>299</v>
      </c>
      <c r="B316" t="s">
        <v>2562</v>
      </c>
      <c r="C316" t="s">
        <v>38</v>
      </c>
      <c r="D316">
        <v>42</v>
      </c>
      <c r="E316" t="s">
        <v>2104</v>
      </c>
      <c r="F316" t="s">
        <v>1935</v>
      </c>
      <c r="G316" t="s">
        <v>1935</v>
      </c>
      <c r="H316" t="s">
        <v>1935</v>
      </c>
    </row>
    <row r="317" spans="1:8">
      <c r="A317" t="s">
        <v>299</v>
      </c>
      <c r="B317" t="s">
        <v>2562</v>
      </c>
      <c r="C317" t="s">
        <v>38</v>
      </c>
      <c r="D317">
        <v>43</v>
      </c>
      <c r="E317" t="s">
        <v>1341</v>
      </c>
      <c r="F317" t="s">
        <v>1935</v>
      </c>
      <c r="G317" t="s">
        <v>1935</v>
      </c>
      <c r="H317" t="s">
        <v>1935</v>
      </c>
    </row>
    <row r="318" spans="1:8">
      <c r="A318" t="s">
        <v>299</v>
      </c>
      <c r="B318" t="s">
        <v>2562</v>
      </c>
      <c r="C318" t="s">
        <v>38</v>
      </c>
      <c r="D318">
        <v>44</v>
      </c>
      <c r="E318" t="s">
        <v>1342</v>
      </c>
      <c r="F318" t="s">
        <v>1935</v>
      </c>
      <c r="G318" t="s">
        <v>1935</v>
      </c>
      <c r="H318" t="s">
        <v>1935</v>
      </c>
    </row>
    <row r="319" spans="1:8">
      <c r="A319" t="s">
        <v>299</v>
      </c>
      <c r="B319" t="s">
        <v>2562</v>
      </c>
      <c r="C319" t="s">
        <v>38</v>
      </c>
      <c r="D319">
        <v>45</v>
      </c>
      <c r="E319" t="s">
        <v>1343</v>
      </c>
      <c r="F319" t="s">
        <v>1935</v>
      </c>
      <c r="G319" t="s">
        <v>1935</v>
      </c>
      <c r="H319" t="s">
        <v>1935</v>
      </c>
    </row>
    <row r="320" spans="1:8">
      <c r="A320" t="s">
        <v>299</v>
      </c>
      <c r="B320" t="s">
        <v>2562</v>
      </c>
      <c r="C320" t="s">
        <v>38</v>
      </c>
      <c r="D320">
        <v>46</v>
      </c>
      <c r="E320" t="s">
        <v>1344</v>
      </c>
      <c r="F320" t="s">
        <v>1935</v>
      </c>
      <c r="G320" t="s">
        <v>1935</v>
      </c>
      <c r="H320" t="s">
        <v>1935</v>
      </c>
    </row>
    <row r="321" spans="1:8">
      <c r="A321" t="s">
        <v>299</v>
      </c>
      <c r="B321" t="s">
        <v>2562</v>
      </c>
      <c r="C321" t="s">
        <v>38</v>
      </c>
      <c r="D321">
        <v>47</v>
      </c>
      <c r="E321" t="s">
        <v>1345</v>
      </c>
      <c r="F321" t="s">
        <v>1935</v>
      </c>
      <c r="G321" t="s">
        <v>1935</v>
      </c>
      <c r="H321" t="s">
        <v>1935</v>
      </c>
    </row>
    <row r="322" spans="1:8">
      <c r="A322" t="s">
        <v>299</v>
      </c>
      <c r="B322" t="s">
        <v>2562</v>
      </c>
      <c r="C322" t="s">
        <v>38</v>
      </c>
      <c r="D322">
        <v>48</v>
      </c>
      <c r="E322" t="s">
        <v>1346</v>
      </c>
      <c r="F322" t="s">
        <v>1935</v>
      </c>
      <c r="G322" t="s">
        <v>1935</v>
      </c>
      <c r="H322" t="s">
        <v>1935</v>
      </c>
    </row>
    <row r="323" spans="1:8">
      <c r="A323" t="s">
        <v>299</v>
      </c>
      <c r="B323" t="s">
        <v>2562</v>
      </c>
      <c r="C323" t="s">
        <v>38</v>
      </c>
      <c r="D323">
        <v>49</v>
      </c>
      <c r="E323" t="s">
        <v>1394</v>
      </c>
      <c r="F323" t="s">
        <v>1935</v>
      </c>
      <c r="G323" t="s">
        <v>1935</v>
      </c>
      <c r="H323" t="s">
        <v>1935</v>
      </c>
    </row>
    <row r="324" spans="1:8">
      <c r="A324" t="s">
        <v>299</v>
      </c>
      <c r="B324" t="s">
        <v>2562</v>
      </c>
      <c r="C324" t="s">
        <v>38</v>
      </c>
      <c r="D324">
        <v>50</v>
      </c>
      <c r="E324" t="s">
        <v>1395</v>
      </c>
      <c r="F324" t="s">
        <v>1935</v>
      </c>
      <c r="G324" t="s">
        <v>1935</v>
      </c>
      <c r="H324" t="s">
        <v>1935</v>
      </c>
    </row>
    <row r="325" spans="1:8">
      <c r="A325" t="s">
        <v>299</v>
      </c>
      <c r="B325" t="s">
        <v>2562</v>
      </c>
      <c r="C325" t="s">
        <v>38</v>
      </c>
      <c r="D325">
        <v>51</v>
      </c>
      <c r="E325" t="s">
        <v>1396</v>
      </c>
      <c r="F325" t="s">
        <v>1935</v>
      </c>
      <c r="G325" t="s">
        <v>1935</v>
      </c>
      <c r="H325" t="s">
        <v>1935</v>
      </c>
    </row>
    <row r="326" spans="1:8">
      <c r="A326" t="s">
        <v>299</v>
      </c>
      <c r="B326" t="s">
        <v>2562</v>
      </c>
      <c r="C326" t="s">
        <v>38</v>
      </c>
      <c r="D326">
        <v>52</v>
      </c>
      <c r="E326" t="s">
        <v>1397</v>
      </c>
      <c r="F326" t="s">
        <v>1935</v>
      </c>
      <c r="G326" t="s">
        <v>1935</v>
      </c>
      <c r="H326" t="s">
        <v>1935</v>
      </c>
    </row>
    <row r="327" spans="1:8">
      <c r="A327" t="s">
        <v>299</v>
      </c>
      <c r="B327" t="s">
        <v>2562</v>
      </c>
      <c r="C327" t="s">
        <v>38</v>
      </c>
      <c r="D327">
        <v>53</v>
      </c>
      <c r="E327" t="s">
        <v>1347</v>
      </c>
      <c r="F327" t="s">
        <v>1935</v>
      </c>
      <c r="G327" t="s">
        <v>1935</v>
      </c>
      <c r="H327" t="s">
        <v>1935</v>
      </c>
    </row>
    <row r="328" spans="1:8">
      <c r="A328" t="s">
        <v>299</v>
      </c>
      <c r="B328" t="s">
        <v>2562</v>
      </c>
      <c r="C328" t="s">
        <v>38</v>
      </c>
      <c r="D328">
        <v>54</v>
      </c>
      <c r="E328" t="s">
        <v>1348</v>
      </c>
      <c r="F328" t="s">
        <v>1935</v>
      </c>
      <c r="G328" t="s">
        <v>1935</v>
      </c>
      <c r="H328" t="s">
        <v>1935</v>
      </c>
    </row>
    <row r="329" spans="1:8">
      <c r="A329" t="s">
        <v>299</v>
      </c>
      <c r="B329" t="s">
        <v>2562</v>
      </c>
      <c r="C329" t="s">
        <v>38</v>
      </c>
      <c r="D329">
        <v>55</v>
      </c>
      <c r="E329" t="s">
        <v>2118</v>
      </c>
      <c r="F329" t="s">
        <v>1935</v>
      </c>
      <c r="G329" t="s">
        <v>1935</v>
      </c>
      <c r="H329" t="s">
        <v>1935</v>
      </c>
    </row>
    <row r="330" spans="1:8">
      <c r="A330" t="s">
        <v>299</v>
      </c>
      <c r="B330" t="s">
        <v>2562</v>
      </c>
      <c r="C330" t="s">
        <v>38</v>
      </c>
      <c r="D330">
        <v>56</v>
      </c>
      <c r="E330" t="s">
        <v>1349</v>
      </c>
      <c r="F330" t="s">
        <v>1935</v>
      </c>
      <c r="G330" t="s">
        <v>1935</v>
      </c>
      <c r="H330" t="s">
        <v>1935</v>
      </c>
    </row>
    <row r="331" spans="1:8">
      <c r="A331" t="s">
        <v>299</v>
      </c>
      <c r="B331" t="s">
        <v>2562</v>
      </c>
      <c r="C331" t="s">
        <v>38</v>
      </c>
      <c r="D331">
        <v>57</v>
      </c>
      <c r="E331" t="s">
        <v>1350</v>
      </c>
      <c r="F331" t="s">
        <v>1935</v>
      </c>
      <c r="G331" t="s">
        <v>1935</v>
      </c>
      <c r="H331" t="s">
        <v>1935</v>
      </c>
    </row>
    <row r="332" spans="1:8">
      <c r="A332" t="s">
        <v>299</v>
      </c>
      <c r="B332" t="s">
        <v>2562</v>
      </c>
      <c r="C332" t="s">
        <v>38</v>
      </c>
      <c r="D332">
        <v>58</v>
      </c>
      <c r="E332" t="s">
        <v>1351</v>
      </c>
      <c r="F332" t="s">
        <v>1935</v>
      </c>
      <c r="G332" t="s">
        <v>1935</v>
      </c>
      <c r="H332" t="s">
        <v>1935</v>
      </c>
    </row>
    <row r="333" spans="1:8">
      <c r="A333" t="s">
        <v>299</v>
      </c>
      <c r="B333" t="s">
        <v>2562</v>
      </c>
      <c r="C333" t="s">
        <v>38</v>
      </c>
      <c r="D333">
        <v>59</v>
      </c>
      <c r="E333" t="s">
        <v>2123</v>
      </c>
      <c r="F333" t="s">
        <v>1935</v>
      </c>
      <c r="G333" t="s">
        <v>1935</v>
      </c>
      <c r="H333" t="s">
        <v>1935</v>
      </c>
    </row>
    <row r="334" spans="1:8">
      <c r="A334" t="s">
        <v>299</v>
      </c>
      <c r="B334" t="s">
        <v>2562</v>
      </c>
      <c r="C334" t="s">
        <v>38</v>
      </c>
      <c r="D334">
        <v>60</v>
      </c>
      <c r="E334" t="s">
        <v>2125</v>
      </c>
      <c r="F334" t="s">
        <v>1935</v>
      </c>
      <c r="G334" t="s">
        <v>1935</v>
      </c>
      <c r="H334" t="s">
        <v>1935</v>
      </c>
    </row>
    <row r="335" spans="1:8">
      <c r="A335" t="s">
        <v>299</v>
      </c>
      <c r="B335" t="s">
        <v>2562</v>
      </c>
      <c r="C335" t="s">
        <v>38</v>
      </c>
      <c r="D335">
        <v>61</v>
      </c>
      <c r="E335" t="s">
        <v>2127</v>
      </c>
      <c r="F335" t="s">
        <v>1935</v>
      </c>
      <c r="G335" t="s">
        <v>1935</v>
      </c>
      <c r="H335" t="s">
        <v>1935</v>
      </c>
    </row>
    <row r="336" spans="1:8">
      <c r="A336" t="s">
        <v>299</v>
      </c>
      <c r="B336" t="s">
        <v>2562</v>
      </c>
      <c r="C336" t="s">
        <v>38</v>
      </c>
      <c r="D336">
        <v>62</v>
      </c>
      <c r="E336" t="s">
        <v>1352</v>
      </c>
      <c r="F336" t="s">
        <v>1935</v>
      </c>
      <c r="G336" t="s">
        <v>1935</v>
      </c>
      <c r="H336" t="s">
        <v>1935</v>
      </c>
    </row>
    <row r="337" spans="1:8">
      <c r="A337" t="s">
        <v>299</v>
      </c>
      <c r="B337" t="s">
        <v>2562</v>
      </c>
      <c r="C337" t="s">
        <v>38</v>
      </c>
      <c r="D337">
        <v>63</v>
      </c>
      <c r="E337" t="s">
        <v>1658</v>
      </c>
      <c r="F337" t="s">
        <v>1935</v>
      </c>
      <c r="G337" t="s">
        <v>1935</v>
      </c>
      <c r="H337" t="s">
        <v>1935</v>
      </c>
    </row>
    <row r="338" spans="1:8">
      <c r="A338" t="s">
        <v>299</v>
      </c>
      <c r="B338" t="s">
        <v>2562</v>
      </c>
      <c r="C338" t="s">
        <v>38</v>
      </c>
      <c r="D338">
        <v>64</v>
      </c>
      <c r="E338" t="s">
        <v>1354</v>
      </c>
      <c r="F338" t="s">
        <v>1935</v>
      </c>
      <c r="G338" t="s">
        <v>1935</v>
      </c>
      <c r="H338" t="s">
        <v>1935</v>
      </c>
    </row>
    <row r="339" spans="1:8">
      <c r="A339" t="s">
        <v>299</v>
      </c>
      <c r="B339" t="s">
        <v>2562</v>
      </c>
      <c r="C339" t="s">
        <v>38</v>
      </c>
      <c r="D339">
        <v>65</v>
      </c>
      <c r="E339" t="s">
        <v>1355</v>
      </c>
      <c r="F339" t="s">
        <v>1935</v>
      </c>
      <c r="G339" t="s">
        <v>1935</v>
      </c>
      <c r="H339" t="s">
        <v>1935</v>
      </c>
    </row>
    <row r="340" spans="1:8">
      <c r="A340" t="s">
        <v>299</v>
      </c>
      <c r="B340" t="s">
        <v>2562</v>
      </c>
      <c r="C340" t="s">
        <v>38</v>
      </c>
      <c r="D340">
        <v>66</v>
      </c>
      <c r="E340" t="s">
        <v>2133</v>
      </c>
      <c r="F340" t="s">
        <v>1935</v>
      </c>
      <c r="G340" t="s">
        <v>1935</v>
      </c>
      <c r="H340" t="s">
        <v>1935</v>
      </c>
    </row>
    <row r="341" spans="1:8">
      <c r="A341" t="s">
        <v>299</v>
      </c>
      <c r="B341" t="s">
        <v>2562</v>
      </c>
      <c r="C341" t="s">
        <v>38</v>
      </c>
      <c r="D341">
        <v>67</v>
      </c>
      <c r="E341" t="s">
        <v>839</v>
      </c>
      <c r="F341" t="s">
        <v>1935</v>
      </c>
      <c r="G341" t="s">
        <v>1935</v>
      </c>
      <c r="H341" t="s">
        <v>1935</v>
      </c>
    </row>
    <row r="342" spans="1:8">
      <c r="A342" t="s">
        <v>299</v>
      </c>
      <c r="B342" t="s">
        <v>2562</v>
      </c>
      <c r="C342" t="s">
        <v>38</v>
      </c>
      <c r="D342">
        <v>68</v>
      </c>
      <c r="E342" t="s">
        <v>840</v>
      </c>
      <c r="F342" t="s">
        <v>1935</v>
      </c>
      <c r="G342" t="s">
        <v>1935</v>
      </c>
      <c r="H342" t="s">
        <v>1935</v>
      </c>
    </row>
    <row r="343" spans="1:8">
      <c r="A343" t="s">
        <v>299</v>
      </c>
      <c r="B343" t="s">
        <v>2562</v>
      </c>
      <c r="C343" t="s">
        <v>38</v>
      </c>
      <c r="D343">
        <v>69</v>
      </c>
      <c r="E343" t="s">
        <v>841</v>
      </c>
      <c r="F343" t="s">
        <v>1935</v>
      </c>
      <c r="G343" t="s">
        <v>1935</v>
      </c>
      <c r="H343" t="s">
        <v>1935</v>
      </c>
    </row>
    <row r="344" spans="1:8">
      <c r="A344" t="s">
        <v>299</v>
      </c>
      <c r="B344" t="s">
        <v>2562</v>
      </c>
      <c r="C344" t="s">
        <v>38</v>
      </c>
      <c r="D344">
        <v>70</v>
      </c>
      <c r="E344" t="s">
        <v>1357</v>
      </c>
      <c r="F344" t="s">
        <v>1935</v>
      </c>
      <c r="G344" t="s">
        <v>1935</v>
      </c>
      <c r="H344" t="s">
        <v>1935</v>
      </c>
    </row>
    <row r="345" spans="1:8">
      <c r="A345" t="s">
        <v>299</v>
      </c>
      <c r="B345" t="s">
        <v>2562</v>
      </c>
      <c r="C345" t="s">
        <v>38</v>
      </c>
      <c r="D345">
        <v>71</v>
      </c>
      <c r="E345" t="s">
        <v>1732</v>
      </c>
      <c r="F345" t="s">
        <v>1935</v>
      </c>
      <c r="G345" t="s">
        <v>1935</v>
      </c>
      <c r="H345" t="s">
        <v>1935</v>
      </c>
    </row>
    <row r="346" spans="1:8">
      <c r="A346" t="s">
        <v>299</v>
      </c>
      <c r="B346" t="s">
        <v>2562</v>
      </c>
      <c r="C346" t="s">
        <v>38</v>
      </c>
      <c r="D346">
        <v>72</v>
      </c>
      <c r="E346" t="s">
        <v>1684</v>
      </c>
      <c r="F346" t="s">
        <v>1935</v>
      </c>
      <c r="G346" t="s">
        <v>1935</v>
      </c>
      <c r="H346" t="s">
        <v>1935</v>
      </c>
    </row>
    <row r="347" spans="1:8">
      <c r="A347" t="s">
        <v>299</v>
      </c>
      <c r="B347" t="s">
        <v>2562</v>
      </c>
      <c r="C347" t="s">
        <v>38</v>
      </c>
      <c r="D347">
        <v>73</v>
      </c>
      <c r="E347" t="s">
        <v>1686</v>
      </c>
      <c r="F347" t="s">
        <v>1935</v>
      </c>
      <c r="G347" t="s">
        <v>1935</v>
      </c>
      <c r="H347" t="s">
        <v>1935</v>
      </c>
    </row>
    <row r="348" spans="1:8">
      <c r="A348" t="s">
        <v>299</v>
      </c>
      <c r="B348" t="s">
        <v>2562</v>
      </c>
      <c r="C348" t="s">
        <v>38</v>
      </c>
      <c r="D348">
        <v>74</v>
      </c>
      <c r="E348" t="s">
        <v>1695</v>
      </c>
      <c r="F348" t="s">
        <v>1935</v>
      </c>
      <c r="G348" t="s">
        <v>1935</v>
      </c>
      <c r="H348" t="s">
        <v>1935</v>
      </c>
    </row>
    <row r="349" spans="1:8">
      <c r="A349" t="s">
        <v>299</v>
      </c>
      <c r="B349" t="s">
        <v>2562</v>
      </c>
      <c r="C349" t="s">
        <v>38</v>
      </c>
      <c r="D349">
        <v>75</v>
      </c>
      <c r="E349" t="s">
        <v>1756</v>
      </c>
      <c r="F349" t="s">
        <v>1935</v>
      </c>
      <c r="G349" t="s">
        <v>1935</v>
      </c>
      <c r="H349" t="s">
        <v>1935</v>
      </c>
    </row>
    <row r="350" spans="1:8">
      <c r="A350" t="s">
        <v>299</v>
      </c>
      <c r="B350" t="s">
        <v>2562</v>
      </c>
      <c r="C350" t="s">
        <v>38</v>
      </c>
      <c r="D350">
        <v>76</v>
      </c>
      <c r="E350" t="s">
        <v>1780</v>
      </c>
      <c r="F350" t="s">
        <v>1935</v>
      </c>
      <c r="G350" t="s">
        <v>1935</v>
      </c>
      <c r="H350" t="s">
        <v>1935</v>
      </c>
    </row>
    <row r="351" spans="1:8">
      <c r="A351" t="s">
        <v>299</v>
      </c>
      <c r="B351" t="s">
        <v>2562</v>
      </c>
      <c r="C351" t="s">
        <v>38</v>
      </c>
      <c r="D351">
        <v>77</v>
      </c>
      <c r="E351" t="s">
        <v>2145</v>
      </c>
      <c r="F351" t="s">
        <v>1935</v>
      </c>
      <c r="G351" t="s">
        <v>1935</v>
      </c>
      <c r="H351" t="s">
        <v>1935</v>
      </c>
    </row>
    <row r="352" spans="1:8">
      <c r="A352" t="s">
        <v>299</v>
      </c>
      <c r="B352" t="s">
        <v>2562</v>
      </c>
      <c r="C352" t="s">
        <v>38</v>
      </c>
      <c r="D352">
        <v>78</v>
      </c>
      <c r="E352" t="s">
        <v>2147</v>
      </c>
      <c r="F352" t="s">
        <v>1935</v>
      </c>
      <c r="G352" t="s">
        <v>1935</v>
      </c>
      <c r="H352" t="s">
        <v>1935</v>
      </c>
    </row>
    <row r="353" spans="1:8">
      <c r="A353" t="s">
        <v>299</v>
      </c>
      <c r="B353" t="s">
        <v>2562</v>
      </c>
      <c r="C353" t="s">
        <v>38</v>
      </c>
      <c r="D353">
        <v>79</v>
      </c>
      <c r="E353" t="s">
        <v>2149</v>
      </c>
      <c r="F353" t="s">
        <v>1935</v>
      </c>
      <c r="G353" t="s">
        <v>1935</v>
      </c>
      <c r="H353" t="s">
        <v>1935</v>
      </c>
    </row>
    <row r="354" spans="1:8">
      <c r="A354" t="s">
        <v>299</v>
      </c>
      <c r="B354" t="s">
        <v>2562</v>
      </c>
      <c r="C354" t="s">
        <v>38</v>
      </c>
      <c r="D354">
        <v>80</v>
      </c>
      <c r="E354" t="s">
        <v>1483</v>
      </c>
      <c r="F354" t="s">
        <v>1935</v>
      </c>
      <c r="G354" t="s">
        <v>1935</v>
      </c>
      <c r="H354" t="s">
        <v>1935</v>
      </c>
    </row>
    <row r="355" spans="1:8">
      <c r="A355" t="s">
        <v>299</v>
      </c>
      <c r="B355" t="s">
        <v>2562</v>
      </c>
      <c r="C355" t="s">
        <v>38</v>
      </c>
      <c r="D355">
        <v>81</v>
      </c>
      <c r="E355" t="s">
        <v>1489</v>
      </c>
      <c r="F355" t="s">
        <v>1935</v>
      </c>
      <c r="G355" t="s">
        <v>1935</v>
      </c>
      <c r="H355" t="s">
        <v>1935</v>
      </c>
    </row>
    <row r="356" spans="1:8">
      <c r="A356" t="s">
        <v>299</v>
      </c>
      <c r="B356" t="s">
        <v>2562</v>
      </c>
      <c r="C356" t="s">
        <v>38</v>
      </c>
      <c r="D356">
        <v>82</v>
      </c>
      <c r="E356" t="s">
        <v>1635</v>
      </c>
      <c r="F356" t="s">
        <v>1935</v>
      </c>
      <c r="G356" t="s">
        <v>1935</v>
      </c>
      <c r="H356" t="s">
        <v>1935</v>
      </c>
    </row>
    <row r="357" spans="1:8">
      <c r="A357" t="s">
        <v>299</v>
      </c>
      <c r="B357" t="s">
        <v>2562</v>
      </c>
      <c r="C357" t="s">
        <v>38</v>
      </c>
      <c r="D357">
        <v>83</v>
      </c>
      <c r="E357" t="s">
        <v>1490</v>
      </c>
      <c r="F357" t="s">
        <v>1935</v>
      </c>
      <c r="G357" t="s">
        <v>1935</v>
      </c>
      <c r="H357" t="s">
        <v>1935</v>
      </c>
    </row>
    <row r="358" spans="1:8">
      <c r="A358" t="s">
        <v>299</v>
      </c>
      <c r="B358" t="s">
        <v>2562</v>
      </c>
      <c r="C358" t="s">
        <v>38</v>
      </c>
      <c r="D358">
        <v>84</v>
      </c>
      <c r="E358" t="s">
        <v>1495</v>
      </c>
      <c r="F358" t="s">
        <v>1935</v>
      </c>
      <c r="G358" t="s">
        <v>1935</v>
      </c>
      <c r="H358" t="s">
        <v>1935</v>
      </c>
    </row>
    <row r="359" spans="1:8">
      <c r="A359" t="s">
        <v>299</v>
      </c>
      <c r="B359" t="s">
        <v>2562</v>
      </c>
      <c r="C359" t="s">
        <v>38</v>
      </c>
      <c r="D359">
        <v>85</v>
      </c>
      <c r="E359" t="s">
        <v>1496</v>
      </c>
      <c r="F359" t="s">
        <v>1935</v>
      </c>
      <c r="G359" t="s">
        <v>1935</v>
      </c>
      <c r="H359" t="s">
        <v>1935</v>
      </c>
    </row>
    <row r="360" spans="1:8">
      <c r="A360" t="s">
        <v>299</v>
      </c>
      <c r="B360" t="s">
        <v>2562</v>
      </c>
      <c r="C360" t="s">
        <v>38</v>
      </c>
      <c r="D360">
        <v>86</v>
      </c>
      <c r="E360" t="s">
        <v>1891</v>
      </c>
      <c r="F360" t="s">
        <v>1935</v>
      </c>
      <c r="G360" t="s">
        <v>1935</v>
      </c>
      <c r="H360" t="s">
        <v>1935</v>
      </c>
    </row>
    <row r="361" spans="1:8">
      <c r="A361" t="s">
        <v>299</v>
      </c>
      <c r="B361" t="s">
        <v>2562</v>
      </c>
      <c r="C361" t="s">
        <v>38</v>
      </c>
      <c r="D361">
        <v>87</v>
      </c>
      <c r="E361" t="s">
        <v>1664</v>
      </c>
      <c r="F361" t="s">
        <v>1935</v>
      </c>
      <c r="G361" t="s">
        <v>1935</v>
      </c>
      <c r="H361" t="s">
        <v>1935</v>
      </c>
    </row>
    <row r="362" spans="1:8">
      <c r="A362" t="s">
        <v>299</v>
      </c>
      <c r="B362" t="s">
        <v>2562</v>
      </c>
      <c r="C362" t="s">
        <v>38</v>
      </c>
      <c r="D362">
        <v>88</v>
      </c>
      <c r="E362" t="s">
        <v>1665</v>
      </c>
      <c r="F362" t="s">
        <v>1935</v>
      </c>
      <c r="G362" t="s">
        <v>1935</v>
      </c>
      <c r="H362" t="s">
        <v>1935</v>
      </c>
    </row>
    <row r="363" spans="1:8">
      <c r="A363" t="s">
        <v>299</v>
      </c>
      <c r="B363" t="s">
        <v>2562</v>
      </c>
      <c r="C363" t="s">
        <v>38</v>
      </c>
      <c r="D363">
        <v>89</v>
      </c>
      <c r="E363" t="s">
        <v>1752</v>
      </c>
      <c r="F363" t="s">
        <v>1935</v>
      </c>
      <c r="G363" t="s">
        <v>1935</v>
      </c>
      <c r="H363" t="s">
        <v>1935</v>
      </c>
    </row>
    <row r="364" spans="1:8">
      <c r="A364" t="s">
        <v>299</v>
      </c>
      <c r="B364" t="s">
        <v>2562</v>
      </c>
      <c r="C364" t="s">
        <v>38</v>
      </c>
      <c r="D364">
        <v>90</v>
      </c>
      <c r="E364" t="s">
        <v>2161</v>
      </c>
      <c r="F364" t="s">
        <v>1935</v>
      </c>
      <c r="G364" t="s">
        <v>1935</v>
      </c>
      <c r="H364" t="s">
        <v>1935</v>
      </c>
    </row>
    <row r="365" spans="1:8">
      <c r="A365" t="s">
        <v>299</v>
      </c>
      <c r="B365" t="s">
        <v>2562</v>
      </c>
      <c r="C365" t="s">
        <v>38</v>
      </c>
      <c r="D365">
        <v>91</v>
      </c>
      <c r="E365" t="s">
        <v>2163</v>
      </c>
      <c r="F365" t="s">
        <v>1935</v>
      </c>
      <c r="G365" t="s">
        <v>1935</v>
      </c>
      <c r="H365" t="s">
        <v>1935</v>
      </c>
    </row>
    <row r="366" spans="1:8">
      <c r="A366" t="s">
        <v>299</v>
      </c>
      <c r="B366" t="s">
        <v>2562</v>
      </c>
      <c r="C366" t="s">
        <v>38</v>
      </c>
      <c r="D366">
        <v>92</v>
      </c>
      <c r="E366" t="s">
        <v>1796</v>
      </c>
      <c r="F366" t="s">
        <v>1935</v>
      </c>
      <c r="G366" t="s">
        <v>1935</v>
      </c>
      <c r="H366" t="s">
        <v>1935</v>
      </c>
    </row>
    <row r="367" spans="1:8">
      <c r="A367" t="s">
        <v>299</v>
      </c>
      <c r="B367" t="s">
        <v>2562</v>
      </c>
      <c r="C367" t="s">
        <v>38</v>
      </c>
      <c r="D367">
        <v>93</v>
      </c>
      <c r="E367" t="s">
        <v>2166</v>
      </c>
      <c r="F367" t="s">
        <v>1935</v>
      </c>
      <c r="G367" t="s">
        <v>1935</v>
      </c>
      <c r="H367" t="s">
        <v>1935</v>
      </c>
    </row>
    <row r="368" spans="1:8">
      <c r="A368" t="s">
        <v>299</v>
      </c>
      <c r="B368" t="s">
        <v>2562</v>
      </c>
      <c r="C368" t="s">
        <v>38</v>
      </c>
      <c r="D368">
        <v>94</v>
      </c>
      <c r="E368" t="s">
        <v>1667</v>
      </c>
      <c r="F368" t="s">
        <v>1935</v>
      </c>
      <c r="G368" t="s">
        <v>1935</v>
      </c>
      <c r="H368" t="s">
        <v>1935</v>
      </c>
    </row>
    <row r="369" spans="1:8">
      <c r="A369" t="s">
        <v>299</v>
      </c>
      <c r="B369" t="s">
        <v>2562</v>
      </c>
      <c r="C369" t="s">
        <v>38</v>
      </c>
      <c r="D369">
        <v>95</v>
      </c>
      <c r="E369" t="s">
        <v>1669</v>
      </c>
      <c r="F369" t="s">
        <v>1935</v>
      </c>
      <c r="G369" t="s">
        <v>1935</v>
      </c>
      <c r="H369" t="s">
        <v>1935</v>
      </c>
    </row>
    <row r="370" spans="1:8">
      <c r="A370" t="s">
        <v>299</v>
      </c>
      <c r="B370" t="s">
        <v>2562</v>
      </c>
      <c r="C370" t="s">
        <v>38</v>
      </c>
      <c r="D370">
        <v>96</v>
      </c>
      <c r="E370" t="s">
        <v>2170</v>
      </c>
      <c r="F370" t="s">
        <v>1935</v>
      </c>
      <c r="G370" t="s">
        <v>1935</v>
      </c>
      <c r="H370" t="s">
        <v>1935</v>
      </c>
    </row>
    <row r="371" spans="1:8">
      <c r="A371" t="s">
        <v>299</v>
      </c>
      <c r="B371" t="s">
        <v>2562</v>
      </c>
      <c r="C371" t="s">
        <v>38</v>
      </c>
      <c r="D371">
        <v>97</v>
      </c>
      <c r="E371" t="s">
        <v>1671</v>
      </c>
      <c r="F371" t="s">
        <v>1935</v>
      </c>
      <c r="G371" t="s">
        <v>1935</v>
      </c>
      <c r="H371" t="s">
        <v>1935</v>
      </c>
    </row>
    <row r="372" spans="1:8">
      <c r="A372" t="s">
        <v>299</v>
      </c>
      <c r="B372" t="s">
        <v>2562</v>
      </c>
      <c r="C372" t="s">
        <v>38</v>
      </c>
      <c r="D372">
        <v>98</v>
      </c>
      <c r="E372" t="s">
        <v>2173</v>
      </c>
      <c r="F372" t="s">
        <v>1935</v>
      </c>
      <c r="G372" t="s">
        <v>1935</v>
      </c>
      <c r="H372" t="s">
        <v>1935</v>
      </c>
    </row>
    <row r="373" spans="1:8">
      <c r="A373" t="s">
        <v>299</v>
      </c>
      <c r="B373" t="s">
        <v>2562</v>
      </c>
      <c r="C373" t="s">
        <v>38</v>
      </c>
      <c r="D373">
        <v>99</v>
      </c>
      <c r="E373" t="s">
        <v>1673</v>
      </c>
      <c r="F373" t="s">
        <v>1935</v>
      </c>
      <c r="G373" t="s">
        <v>1935</v>
      </c>
      <c r="H373" t="s">
        <v>1935</v>
      </c>
    </row>
    <row r="374" spans="1:8">
      <c r="A374" t="s">
        <v>299</v>
      </c>
      <c r="B374" t="s">
        <v>2562</v>
      </c>
      <c r="C374" t="s">
        <v>38</v>
      </c>
      <c r="D374">
        <v>100</v>
      </c>
      <c r="E374" t="s">
        <v>2176</v>
      </c>
      <c r="F374" t="s">
        <v>1935</v>
      </c>
      <c r="G374" t="s">
        <v>1935</v>
      </c>
      <c r="H374" t="s">
        <v>1935</v>
      </c>
    </row>
    <row r="375" spans="1:8">
      <c r="A375" t="s">
        <v>299</v>
      </c>
      <c r="B375" t="s">
        <v>2562</v>
      </c>
      <c r="C375" t="s">
        <v>38</v>
      </c>
      <c r="D375">
        <v>101</v>
      </c>
      <c r="E375" t="s">
        <v>1674</v>
      </c>
      <c r="F375" t="s">
        <v>1935</v>
      </c>
      <c r="G375" t="s">
        <v>1935</v>
      </c>
      <c r="H375" t="s">
        <v>1935</v>
      </c>
    </row>
    <row r="376" spans="1:8">
      <c r="A376" t="s">
        <v>299</v>
      </c>
      <c r="B376" t="s">
        <v>2562</v>
      </c>
      <c r="C376" t="s">
        <v>38</v>
      </c>
      <c r="D376">
        <v>102</v>
      </c>
      <c r="E376" t="s">
        <v>2179</v>
      </c>
      <c r="F376" t="s">
        <v>1935</v>
      </c>
      <c r="G376" t="s">
        <v>1935</v>
      </c>
      <c r="H376" t="s">
        <v>1935</v>
      </c>
    </row>
    <row r="377" spans="1:8">
      <c r="A377" t="s">
        <v>299</v>
      </c>
      <c r="B377" t="s">
        <v>2562</v>
      </c>
      <c r="C377" t="s">
        <v>38</v>
      </c>
      <c r="D377">
        <v>103</v>
      </c>
      <c r="E377" t="s">
        <v>1675</v>
      </c>
      <c r="F377" t="s">
        <v>1935</v>
      </c>
      <c r="G377" t="s">
        <v>1935</v>
      </c>
      <c r="H377" t="s">
        <v>1935</v>
      </c>
    </row>
    <row r="378" spans="1:8">
      <c r="A378" t="s">
        <v>299</v>
      </c>
      <c r="B378" t="s">
        <v>2562</v>
      </c>
      <c r="C378" t="s">
        <v>38</v>
      </c>
      <c r="D378">
        <v>104</v>
      </c>
      <c r="E378" t="s">
        <v>2182</v>
      </c>
      <c r="F378" t="s">
        <v>1935</v>
      </c>
      <c r="G378" t="s">
        <v>1935</v>
      </c>
      <c r="H378" t="s">
        <v>1935</v>
      </c>
    </row>
    <row r="379" spans="1:8">
      <c r="A379" t="s">
        <v>299</v>
      </c>
      <c r="B379" t="s">
        <v>2562</v>
      </c>
      <c r="C379" t="s">
        <v>38</v>
      </c>
      <c r="D379">
        <v>105</v>
      </c>
      <c r="E379" t="s">
        <v>1676</v>
      </c>
      <c r="F379" t="s">
        <v>1935</v>
      </c>
      <c r="G379" t="s">
        <v>1935</v>
      </c>
      <c r="H379" t="s">
        <v>1935</v>
      </c>
    </row>
    <row r="380" spans="1:8">
      <c r="A380" t="s">
        <v>299</v>
      </c>
      <c r="B380" t="s">
        <v>2562</v>
      </c>
      <c r="C380" t="s">
        <v>38</v>
      </c>
      <c r="D380">
        <v>106</v>
      </c>
      <c r="E380" t="s">
        <v>1705</v>
      </c>
      <c r="F380" t="s">
        <v>1935</v>
      </c>
      <c r="G380" t="s">
        <v>1935</v>
      </c>
      <c r="H380" t="s">
        <v>1935</v>
      </c>
    </row>
    <row r="381" spans="1:8">
      <c r="A381" t="s">
        <v>299</v>
      </c>
      <c r="B381" t="s">
        <v>2562</v>
      </c>
      <c r="C381" t="s">
        <v>38</v>
      </c>
      <c r="D381">
        <v>107</v>
      </c>
      <c r="E381" t="s">
        <v>1688</v>
      </c>
      <c r="F381" t="s">
        <v>1935</v>
      </c>
      <c r="G381" t="s">
        <v>1935</v>
      </c>
      <c r="H381" t="s">
        <v>1935</v>
      </c>
    </row>
    <row r="382" spans="1:8">
      <c r="A382" t="s">
        <v>299</v>
      </c>
      <c r="B382" t="s">
        <v>2562</v>
      </c>
      <c r="C382" t="s">
        <v>38</v>
      </c>
      <c r="D382">
        <v>108</v>
      </c>
      <c r="E382" t="s">
        <v>1707</v>
      </c>
      <c r="F382" t="s">
        <v>1935</v>
      </c>
      <c r="G382" t="s">
        <v>1935</v>
      </c>
      <c r="H382" t="s">
        <v>1935</v>
      </c>
    </row>
    <row r="383" spans="1:8">
      <c r="A383" t="s">
        <v>299</v>
      </c>
      <c r="B383" t="s">
        <v>2562</v>
      </c>
      <c r="C383" t="s">
        <v>38</v>
      </c>
      <c r="D383">
        <v>109</v>
      </c>
      <c r="E383" t="s">
        <v>1709</v>
      </c>
      <c r="F383" t="s">
        <v>1935</v>
      </c>
      <c r="G383" t="s">
        <v>1935</v>
      </c>
      <c r="H383" t="s">
        <v>1935</v>
      </c>
    </row>
    <row r="384" spans="1:8">
      <c r="A384" t="s">
        <v>299</v>
      </c>
      <c r="B384" t="s">
        <v>2562</v>
      </c>
      <c r="C384" t="s">
        <v>38</v>
      </c>
      <c r="D384">
        <v>110</v>
      </c>
      <c r="E384" t="s">
        <v>1711</v>
      </c>
      <c r="F384" t="s">
        <v>1935</v>
      </c>
      <c r="G384" t="s">
        <v>1935</v>
      </c>
      <c r="H384" t="s">
        <v>1935</v>
      </c>
    </row>
    <row r="385" spans="1:8">
      <c r="A385" t="s">
        <v>299</v>
      </c>
      <c r="B385" t="s">
        <v>2562</v>
      </c>
      <c r="C385" t="s">
        <v>38</v>
      </c>
      <c r="D385">
        <v>111</v>
      </c>
      <c r="E385" t="s">
        <v>1697</v>
      </c>
      <c r="F385" t="s">
        <v>1935</v>
      </c>
      <c r="G385" t="s">
        <v>1935</v>
      </c>
      <c r="H385" t="s">
        <v>1935</v>
      </c>
    </row>
    <row r="386" spans="1:8">
      <c r="A386" t="s">
        <v>299</v>
      </c>
      <c r="B386" t="s">
        <v>2562</v>
      </c>
      <c r="C386" t="s">
        <v>38</v>
      </c>
      <c r="D386">
        <v>112</v>
      </c>
      <c r="E386" t="s">
        <v>1713</v>
      </c>
      <c r="F386" t="s">
        <v>1935</v>
      </c>
      <c r="G386" t="s">
        <v>1935</v>
      </c>
      <c r="H386" t="s">
        <v>1935</v>
      </c>
    </row>
    <row r="387" spans="1:8">
      <c r="A387" t="s">
        <v>299</v>
      </c>
      <c r="B387" t="s">
        <v>2562</v>
      </c>
      <c r="C387" t="s">
        <v>38</v>
      </c>
      <c r="D387">
        <v>113</v>
      </c>
      <c r="E387" t="s">
        <v>1699</v>
      </c>
      <c r="F387" t="s">
        <v>1935</v>
      </c>
      <c r="G387" t="s">
        <v>1935</v>
      </c>
      <c r="H387" t="s">
        <v>1935</v>
      </c>
    </row>
    <row r="388" spans="1:8">
      <c r="A388" t="s">
        <v>299</v>
      </c>
      <c r="B388" t="s">
        <v>2562</v>
      </c>
      <c r="C388" t="s">
        <v>38</v>
      </c>
      <c r="D388">
        <v>114</v>
      </c>
      <c r="E388" t="s">
        <v>1715</v>
      </c>
      <c r="F388" t="s">
        <v>1935</v>
      </c>
      <c r="G388" t="s">
        <v>1935</v>
      </c>
      <c r="H388" t="s">
        <v>1935</v>
      </c>
    </row>
    <row r="389" spans="1:8">
      <c r="A389" t="s">
        <v>299</v>
      </c>
      <c r="B389" t="s">
        <v>2562</v>
      </c>
      <c r="C389" t="s">
        <v>38</v>
      </c>
      <c r="D389">
        <v>115</v>
      </c>
      <c r="E389" t="s">
        <v>1701</v>
      </c>
      <c r="F389" t="s">
        <v>1935</v>
      </c>
      <c r="G389" t="s">
        <v>1935</v>
      </c>
      <c r="H389" t="s">
        <v>1935</v>
      </c>
    </row>
    <row r="390" spans="1:8">
      <c r="A390" t="s">
        <v>299</v>
      </c>
      <c r="B390" t="s">
        <v>2562</v>
      </c>
      <c r="C390" t="s">
        <v>38</v>
      </c>
      <c r="D390">
        <v>116</v>
      </c>
      <c r="E390" t="s">
        <v>1717</v>
      </c>
      <c r="F390" t="s">
        <v>1935</v>
      </c>
      <c r="G390" t="s">
        <v>1935</v>
      </c>
      <c r="H390" t="s">
        <v>1935</v>
      </c>
    </row>
    <row r="391" spans="1:8">
      <c r="A391" t="s">
        <v>299</v>
      </c>
      <c r="B391" t="s">
        <v>2562</v>
      </c>
      <c r="C391" t="s">
        <v>38</v>
      </c>
      <c r="D391">
        <v>117</v>
      </c>
      <c r="E391" t="s">
        <v>1703</v>
      </c>
      <c r="F391" t="s">
        <v>1935</v>
      </c>
      <c r="G391" t="s">
        <v>1935</v>
      </c>
      <c r="H391" t="s">
        <v>1935</v>
      </c>
    </row>
    <row r="392" spans="1:8">
      <c r="A392" t="s">
        <v>299</v>
      </c>
      <c r="B392" t="s">
        <v>2562</v>
      </c>
      <c r="C392" t="s">
        <v>38</v>
      </c>
      <c r="D392">
        <v>118</v>
      </c>
      <c r="E392" t="s">
        <v>1719</v>
      </c>
      <c r="F392" t="s">
        <v>1935</v>
      </c>
      <c r="G392" t="s">
        <v>1935</v>
      </c>
      <c r="H392" t="s">
        <v>1935</v>
      </c>
    </row>
    <row r="393" spans="1:8">
      <c r="A393" t="s">
        <v>299</v>
      </c>
      <c r="B393" t="s">
        <v>2562</v>
      </c>
      <c r="C393" t="s">
        <v>38</v>
      </c>
      <c r="D393">
        <v>119</v>
      </c>
      <c r="E393" t="s">
        <v>1745</v>
      </c>
      <c r="F393" t="s">
        <v>1935</v>
      </c>
      <c r="G393" t="s">
        <v>1935</v>
      </c>
      <c r="H393" t="s">
        <v>1935</v>
      </c>
    </row>
    <row r="394" spans="1:8">
      <c r="A394" t="s">
        <v>299</v>
      </c>
      <c r="B394" t="s">
        <v>2562</v>
      </c>
      <c r="C394" t="s">
        <v>38</v>
      </c>
      <c r="D394">
        <v>120</v>
      </c>
      <c r="E394" t="s">
        <v>1721</v>
      </c>
      <c r="F394" t="s">
        <v>1935</v>
      </c>
      <c r="G394" t="s">
        <v>1935</v>
      </c>
      <c r="H394" t="s">
        <v>1935</v>
      </c>
    </row>
    <row r="395" spans="1:8">
      <c r="A395" t="s">
        <v>299</v>
      </c>
      <c r="B395" t="s">
        <v>2562</v>
      </c>
      <c r="C395" t="s">
        <v>38</v>
      </c>
      <c r="D395">
        <v>121</v>
      </c>
      <c r="E395" t="s">
        <v>1754</v>
      </c>
      <c r="F395" t="s">
        <v>1935</v>
      </c>
      <c r="G395" t="s">
        <v>1935</v>
      </c>
      <c r="H395" t="s">
        <v>1935</v>
      </c>
    </row>
    <row r="396" spans="1:8">
      <c r="A396" t="s">
        <v>299</v>
      </c>
      <c r="B396" t="s">
        <v>2562</v>
      </c>
      <c r="C396" t="s">
        <v>38</v>
      </c>
      <c r="D396">
        <v>122</v>
      </c>
      <c r="E396" t="s">
        <v>1723</v>
      </c>
      <c r="F396" t="s">
        <v>1935</v>
      </c>
      <c r="G396" t="s">
        <v>1935</v>
      </c>
      <c r="H396" t="s">
        <v>1935</v>
      </c>
    </row>
    <row r="397" spans="1:8">
      <c r="A397" t="s">
        <v>299</v>
      </c>
      <c r="B397" t="s">
        <v>2562</v>
      </c>
      <c r="C397" t="s">
        <v>38</v>
      </c>
      <c r="D397">
        <v>123</v>
      </c>
      <c r="E397" t="s">
        <v>1818</v>
      </c>
      <c r="F397" t="s">
        <v>1935</v>
      </c>
      <c r="G397" t="s">
        <v>1935</v>
      </c>
      <c r="H397" t="s">
        <v>1935</v>
      </c>
    </row>
    <row r="398" spans="1:8">
      <c r="A398" t="s">
        <v>299</v>
      </c>
      <c r="B398" t="s">
        <v>2562</v>
      </c>
      <c r="C398" t="s">
        <v>38</v>
      </c>
      <c r="D398">
        <v>124</v>
      </c>
      <c r="E398" t="s">
        <v>1725</v>
      </c>
      <c r="F398" t="s">
        <v>1935</v>
      </c>
      <c r="G398" t="s">
        <v>1935</v>
      </c>
      <c r="H398" t="s">
        <v>1935</v>
      </c>
    </row>
    <row r="399" spans="1:8">
      <c r="A399" t="s">
        <v>299</v>
      </c>
      <c r="B399" t="s">
        <v>2562</v>
      </c>
      <c r="C399" t="s">
        <v>38</v>
      </c>
      <c r="D399">
        <v>125</v>
      </c>
      <c r="E399" t="s">
        <v>1783</v>
      </c>
      <c r="F399" t="s">
        <v>1935</v>
      </c>
      <c r="G399" t="s">
        <v>1935</v>
      </c>
      <c r="H399" t="s">
        <v>1935</v>
      </c>
    </row>
    <row r="400" spans="1:8">
      <c r="A400" t="s">
        <v>299</v>
      </c>
      <c r="B400" t="s">
        <v>2562</v>
      </c>
      <c r="C400" t="s">
        <v>38</v>
      </c>
      <c r="D400">
        <v>126</v>
      </c>
      <c r="E400" t="s">
        <v>1727</v>
      </c>
      <c r="F400" t="s">
        <v>1935</v>
      </c>
      <c r="G400" t="s">
        <v>1935</v>
      </c>
      <c r="H400" t="s">
        <v>1935</v>
      </c>
    </row>
    <row r="401" spans="1:8">
      <c r="A401" t="s">
        <v>299</v>
      </c>
      <c r="B401" t="s">
        <v>2562</v>
      </c>
      <c r="C401" t="s">
        <v>38</v>
      </c>
      <c r="D401">
        <v>127</v>
      </c>
      <c r="E401" t="s">
        <v>1729</v>
      </c>
      <c r="F401" t="s">
        <v>1935</v>
      </c>
      <c r="G401" t="s">
        <v>1935</v>
      </c>
      <c r="H401" t="s">
        <v>1935</v>
      </c>
    </row>
    <row r="402" spans="1:8">
      <c r="A402" t="s">
        <v>299</v>
      </c>
      <c r="B402" t="s">
        <v>2562</v>
      </c>
      <c r="C402" t="s">
        <v>38</v>
      </c>
      <c r="D402">
        <v>128</v>
      </c>
      <c r="E402" t="s">
        <v>1736</v>
      </c>
      <c r="F402" t="s">
        <v>1935</v>
      </c>
      <c r="G402" t="s">
        <v>1935</v>
      </c>
      <c r="H402" t="s">
        <v>1935</v>
      </c>
    </row>
    <row r="403" spans="1:8">
      <c r="A403" t="s">
        <v>299</v>
      </c>
      <c r="B403" t="s">
        <v>2562</v>
      </c>
      <c r="C403" t="s">
        <v>38</v>
      </c>
      <c r="D403">
        <v>129</v>
      </c>
      <c r="E403" t="s">
        <v>1810</v>
      </c>
      <c r="F403" t="s">
        <v>1935</v>
      </c>
      <c r="G403" t="s">
        <v>1935</v>
      </c>
      <c r="H403" t="s">
        <v>1935</v>
      </c>
    </row>
    <row r="404" spans="1:8">
      <c r="A404" t="s">
        <v>299</v>
      </c>
      <c r="B404" t="s">
        <v>2562</v>
      </c>
      <c r="C404" t="s">
        <v>38</v>
      </c>
      <c r="D404">
        <v>130</v>
      </c>
      <c r="E404" t="s">
        <v>1743</v>
      </c>
      <c r="F404" t="s">
        <v>1935</v>
      </c>
      <c r="G404" t="s">
        <v>1935</v>
      </c>
      <c r="H404" t="s">
        <v>1935</v>
      </c>
    </row>
    <row r="405" spans="1:8">
      <c r="A405" t="s">
        <v>299</v>
      </c>
      <c r="B405" t="s">
        <v>2562</v>
      </c>
      <c r="C405" t="s">
        <v>38</v>
      </c>
      <c r="D405">
        <v>131</v>
      </c>
      <c r="E405" t="s">
        <v>1811</v>
      </c>
      <c r="F405" t="s">
        <v>1935</v>
      </c>
      <c r="G405" t="s">
        <v>1935</v>
      </c>
      <c r="H405" t="s">
        <v>1935</v>
      </c>
    </row>
    <row r="406" spans="1:8">
      <c r="A406" t="s">
        <v>299</v>
      </c>
      <c r="B406" t="s">
        <v>2562</v>
      </c>
      <c r="C406" t="s">
        <v>38</v>
      </c>
      <c r="D406">
        <v>132</v>
      </c>
      <c r="E406" t="s">
        <v>1690</v>
      </c>
      <c r="F406" t="s">
        <v>1935</v>
      </c>
      <c r="G406" t="s">
        <v>1935</v>
      </c>
      <c r="H406" t="s">
        <v>1935</v>
      </c>
    </row>
    <row r="407" spans="1:8">
      <c r="A407" t="s">
        <v>299</v>
      </c>
      <c r="B407" t="s">
        <v>2562</v>
      </c>
      <c r="C407" t="s">
        <v>38</v>
      </c>
      <c r="D407">
        <v>133</v>
      </c>
      <c r="E407" t="s">
        <v>1692</v>
      </c>
      <c r="F407" t="s">
        <v>1935</v>
      </c>
      <c r="G407" t="s">
        <v>1935</v>
      </c>
      <c r="H407" t="s">
        <v>1935</v>
      </c>
    </row>
    <row r="408" spans="1:8">
      <c r="A408" t="s">
        <v>299</v>
      </c>
      <c r="B408" t="s">
        <v>2562</v>
      </c>
      <c r="C408" t="s">
        <v>38</v>
      </c>
      <c r="D408">
        <v>134</v>
      </c>
      <c r="E408" t="s">
        <v>1734</v>
      </c>
      <c r="F408" t="s">
        <v>1935</v>
      </c>
      <c r="G408" t="s">
        <v>1935</v>
      </c>
      <c r="H408" t="s">
        <v>1935</v>
      </c>
    </row>
    <row r="409" spans="1:8">
      <c r="A409" t="s">
        <v>299</v>
      </c>
      <c r="B409" t="s">
        <v>2562</v>
      </c>
      <c r="C409" t="s">
        <v>38</v>
      </c>
      <c r="D409">
        <v>135</v>
      </c>
      <c r="E409" t="s">
        <v>2214</v>
      </c>
      <c r="F409" t="s">
        <v>1935</v>
      </c>
      <c r="G409" t="s">
        <v>1935</v>
      </c>
      <c r="H409" t="s">
        <v>1935</v>
      </c>
    </row>
    <row r="410" spans="1:8">
      <c r="A410" t="s">
        <v>299</v>
      </c>
      <c r="B410" t="s">
        <v>2562</v>
      </c>
      <c r="C410" t="s">
        <v>38</v>
      </c>
      <c r="D410">
        <v>136</v>
      </c>
      <c r="E410" t="s">
        <v>1741</v>
      </c>
      <c r="F410" t="s">
        <v>1935</v>
      </c>
      <c r="G410" t="s">
        <v>1935</v>
      </c>
      <c r="H410" t="s">
        <v>1935</v>
      </c>
    </row>
    <row r="411" spans="1:8">
      <c r="A411" t="s">
        <v>299</v>
      </c>
      <c r="B411" t="s">
        <v>2562</v>
      </c>
      <c r="C411" t="s">
        <v>38</v>
      </c>
      <c r="D411">
        <v>137</v>
      </c>
      <c r="E411" t="s">
        <v>1510</v>
      </c>
      <c r="F411" t="s">
        <v>1935</v>
      </c>
      <c r="G411" t="s">
        <v>1935</v>
      </c>
      <c r="H411" t="s">
        <v>1935</v>
      </c>
    </row>
    <row r="412" spans="1:8">
      <c r="A412" t="s">
        <v>299</v>
      </c>
      <c r="B412" t="s">
        <v>2562</v>
      </c>
      <c r="C412" t="s">
        <v>38</v>
      </c>
      <c r="D412">
        <v>138</v>
      </c>
      <c r="E412" t="s">
        <v>1765</v>
      </c>
      <c r="F412" t="s">
        <v>1935</v>
      </c>
      <c r="G412" t="s">
        <v>1935</v>
      </c>
      <c r="H412" t="s">
        <v>1935</v>
      </c>
    </row>
    <row r="413" spans="1:8">
      <c r="A413" t="s">
        <v>299</v>
      </c>
      <c r="B413" t="s">
        <v>2562</v>
      </c>
      <c r="C413" t="s">
        <v>38</v>
      </c>
      <c r="D413">
        <v>139</v>
      </c>
      <c r="E413" t="s">
        <v>1770</v>
      </c>
      <c r="F413" t="s">
        <v>1935</v>
      </c>
      <c r="G413" t="s">
        <v>1935</v>
      </c>
      <c r="H413" t="s">
        <v>1935</v>
      </c>
    </row>
    <row r="414" spans="1:8">
      <c r="A414" t="s">
        <v>299</v>
      </c>
      <c r="B414" t="s">
        <v>2562</v>
      </c>
      <c r="C414" t="s">
        <v>38</v>
      </c>
      <c r="D414">
        <v>140</v>
      </c>
      <c r="E414" t="s">
        <v>1773</v>
      </c>
      <c r="F414" t="s">
        <v>1935</v>
      </c>
      <c r="G414" t="s">
        <v>1935</v>
      </c>
      <c r="H414" t="s">
        <v>1935</v>
      </c>
    </row>
    <row r="415" spans="1:8">
      <c r="A415" t="s">
        <v>299</v>
      </c>
      <c r="B415" t="s">
        <v>2562</v>
      </c>
      <c r="C415" t="s">
        <v>38</v>
      </c>
      <c r="D415">
        <v>141</v>
      </c>
      <c r="E415" t="s">
        <v>1775</v>
      </c>
      <c r="F415" t="s">
        <v>1935</v>
      </c>
      <c r="G415" t="s">
        <v>1935</v>
      </c>
      <c r="H415" t="s">
        <v>1935</v>
      </c>
    </row>
    <row r="416" spans="1:8">
      <c r="A416" t="s">
        <v>299</v>
      </c>
      <c r="B416" t="s">
        <v>2562</v>
      </c>
      <c r="C416" t="s">
        <v>38</v>
      </c>
      <c r="D416">
        <v>142</v>
      </c>
      <c r="E416" t="s">
        <v>1777</v>
      </c>
      <c r="F416" t="s">
        <v>1935</v>
      </c>
      <c r="G416" t="s">
        <v>1935</v>
      </c>
      <c r="H416" t="s">
        <v>1935</v>
      </c>
    </row>
    <row r="417" spans="1:8">
      <c r="A417" t="s">
        <v>299</v>
      </c>
      <c r="B417" t="s">
        <v>2562</v>
      </c>
      <c r="C417" t="s">
        <v>38</v>
      </c>
      <c r="D417">
        <v>143</v>
      </c>
      <c r="E417" t="s">
        <v>1785</v>
      </c>
      <c r="F417" t="s">
        <v>1935</v>
      </c>
      <c r="G417" t="s">
        <v>1935</v>
      </c>
      <c r="H417" t="s">
        <v>1935</v>
      </c>
    </row>
    <row r="418" spans="1:8">
      <c r="A418" t="s">
        <v>299</v>
      </c>
      <c r="B418" t="s">
        <v>2562</v>
      </c>
      <c r="C418" t="s">
        <v>38</v>
      </c>
      <c r="D418">
        <v>144</v>
      </c>
      <c r="E418" t="s">
        <v>1787</v>
      </c>
      <c r="F418" t="s">
        <v>1935</v>
      </c>
      <c r="G418" t="s">
        <v>1935</v>
      </c>
      <c r="H418" t="s">
        <v>1935</v>
      </c>
    </row>
    <row r="419" spans="1:8">
      <c r="A419" t="s">
        <v>299</v>
      </c>
      <c r="B419" t="s">
        <v>2562</v>
      </c>
      <c r="C419" t="s">
        <v>38</v>
      </c>
      <c r="D419">
        <v>145</v>
      </c>
      <c r="E419" t="s">
        <v>1682</v>
      </c>
      <c r="F419" t="s">
        <v>1935</v>
      </c>
      <c r="G419" t="s">
        <v>1935</v>
      </c>
      <c r="H419" t="s">
        <v>1935</v>
      </c>
    </row>
    <row r="420" spans="1:8">
      <c r="A420" t="s">
        <v>299</v>
      </c>
      <c r="B420" t="s">
        <v>2562</v>
      </c>
      <c r="C420" t="s">
        <v>38</v>
      </c>
      <c r="D420">
        <v>146</v>
      </c>
      <c r="E420" t="s">
        <v>1749</v>
      </c>
      <c r="F420" t="s">
        <v>1935</v>
      </c>
      <c r="G420" t="s">
        <v>1935</v>
      </c>
      <c r="H420" t="s">
        <v>1935</v>
      </c>
    </row>
    <row r="421" spans="1:8">
      <c r="A421" t="s">
        <v>299</v>
      </c>
      <c r="B421" t="s">
        <v>2562</v>
      </c>
      <c r="C421" t="s">
        <v>38</v>
      </c>
      <c r="D421">
        <v>147</v>
      </c>
      <c r="E421" t="s">
        <v>1488</v>
      </c>
      <c r="F421" t="s">
        <v>1935</v>
      </c>
      <c r="G421" t="s">
        <v>1935</v>
      </c>
      <c r="H421" t="s">
        <v>1935</v>
      </c>
    </row>
    <row r="422" spans="1:8">
      <c r="A422" t="s">
        <v>299</v>
      </c>
      <c r="B422" t="s">
        <v>2562</v>
      </c>
      <c r="C422" t="s">
        <v>38</v>
      </c>
      <c r="D422">
        <v>148</v>
      </c>
      <c r="E422" t="s">
        <v>1507</v>
      </c>
      <c r="F422" t="s">
        <v>1935</v>
      </c>
      <c r="G422" t="s">
        <v>1935</v>
      </c>
      <c r="H422" t="s">
        <v>1935</v>
      </c>
    </row>
    <row r="423" spans="1:8">
      <c r="A423" t="s">
        <v>299</v>
      </c>
      <c r="B423" t="s">
        <v>2562</v>
      </c>
      <c r="C423" t="s">
        <v>38</v>
      </c>
      <c r="D423">
        <v>149</v>
      </c>
      <c r="E423" t="s">
        <v>1508</v>
      </c>
      <c r="F423" t="s">
        <v>1935</v>
      </c>
      <c r="G423" t="s">
        <v>1935</v>
      </c>
      <c r="H423" t="s">
        <v>1935</v>
      </c>
    </row>
    <row r="424" spans="1:8">
      <c r="A424" t="s">
        <v>299</v>
      </c>
      <c r="B424" t="s">
        <v>2562</v>
      </c>
      <c r="C424" t="s">
        <v>38</v>
      </c>
      <c r="D424">
        <v>150</v>
      </c>
      <c r="E424" t="s">
        <v>1879</v>
      </c>
      <c r="F424" t="s">
        <v>1935</v>
      </c>
      <c r="G424" t="s">
        <v>1935</v>
      </c>
      <c r="H424" t="s">
        <v>1935</v>
      </c>
    </row>
    <row r="425" spans="1:8">
      <c r="A425" t="s">
        <v>299</v>
      </c>
      <c r="B425" t="s">
        <v>2562</v>
      </c>
      <c r="C425" t="s">
        <v>38</v>
      </c>
      <c r="D425">
        <v>151</v>
      </c>
      <c r="E425" t="s">
        <v>1880</v>
      </c>
      <c r="F425" t="s">
        <v>1935</v>
      </c>
      <c r="G425" t="s">
        <v>1935</v>
      </c>
      <c r="H425" t="s">
        <v>1935</v>
      </c>
    </row>
    <row r="426" spans="1:8">
      <c r="A426" t="s">
        <v>299</v>
      </c>
      <c r="B426" t="s">
        <v>2562</v>
      </c>
      <c r="C426" t="s">
        <v>38</v>
      </c>
      <c r="D426">
        <v>152</v>
      </c>
      <c r="E426" t="s">
        <v>1793</v>
      </c>
      <c r="F426" t="s">
        <v>1935</v>
      </c>
      <c r="G426" t="s">
        <v>1935</v>
      </c>
      <c r="H426" t="s">
        <v>1935</v>
      </c>
    </row>
    <row r="427" spans="1:8">
      <c r="A427" t="s">
        <v>299</v>
      </c>
      <c r="B427" t="s">
        <v>2562</v>
      </c>
      <c r="C427" t="s">
        <v>38</v>
      </c>
      <c r="D427">
        <v>153</v>
      </c>
      <c r="E427" t="s">
        <v>1881</v>
      </c>
      <c r="F427" t="s">
        <v>1935</v>
      </c>
      <c r="G427" t="s">
        <v>1935</v>
      </c>
      <c r="H427" t="s">
        <v>1935</v>
      </c>
    </row>
    <row r="428" spans="1:8">
      <c r="A428" t="s">
        <v>299</v>
      </c>
      <c r="B428" t="s">
        <v>2562</v>
      </c>
      <c r="C428" t="s">
        <v>38</v>
      </c>
      <c r="D428">
        <v>154</v>
      </c>
      <c r="E428" t="s">
        <v>1661</v>
      </c>
      <c r="F428" t="s">
        <v>1935</v>
      </c>
      <c r="G428" t="s">
        <v>1935</v>
      </c>
      <c r="H428" t="s">
        <v>1935</v>
      </c>
    </row>
    <row r="429" spans="1:8">
      <c r="A429" t="s">
        <v>299</v>
      </c>
      <c r="B429" t="s">
        <v>2562</v>
      </c>
      <c r="C429" t="s">
        <v>38</v>
      </c>
      <c r="D429">
        <v>155</v>
      </c>
      <c r="E429" t="s">
        <v>1797</v>
      </c>
      <c r="F429" t="s">
        <v>1935</v>
      </c>
      <c r="G429" t="s">
        <v>1935</v>
      </c>
      <c r="H429" t="s">
        <v>1935</v>
      </c>
    </row>
    <row r="430" spans="1:8">
      <c r="A430" t="s">
        <v>299</v>
      </c>
      <c r="B430" t="s">
        <v>2562</v>
      </c>
      <c r="C430" t="s">
        <v>38</v>
      </c>
      <c r="D430">
        <v>156</v>
      </c>
      <c r="E430" t="s">
        <v>1739</v>
      </c>
      <c r="F430" t="s">
        <v>1935</v>
      </c>
      <c r="G430" t="s">
        <v>1935</v>
      </c>
      <c r="H430" t="s">
        <v>1935</v>
      </c>
    </row>
    <row r="431" spans="1:8">
      <c r="A431" t="s">
        <v>299</v>
      </c>
      <c r="B431" t="s">
        <v>2562</v>
      </c>
      <c r="C431" t="s">
        <v>38</v>
      </c>
      <c r="D431">
        <v>157</v>
      </c>
      <c r="E431" t="s">
        <v>1694</v>
      </c>
      <c r="F431" t="s">
        <v>1935</v>
      </c>
      <c r="G431" t="s">
        <v>1935</v>
      </c>
      <c r="H431" t="s">
        <v>1935</v>
      </c>
    </row>
    <row r="432" spans="1:8">
      <c r="A432" t="s">
        <v>299</v>
      </c>
      <c r="B432" t="s">
        <v>2562</v>
      </c>
      <c r="C432" t="s">
        <v>38</v>
      </c>
      <c r="D432">
        <v>158</v>
      </c>
      <c r="E432" t="s">
        <v>1817</v>
      </c>
      <c r="F432" t="s">
        <v>1935</v>
      </c>
      <c r="G432" t="s">
        <v>1935</v>
      </c>
      <c r="H432" t="s">
        <v>1935</v>
      </c>
    </row>
    <row r="433" spans="1:8">
      <c r="A433" t="s">
        <v>299</v>
      </c>
      <c r="B433" t="s">
        <v>2562</v>
      </c>
      <c r="C433" t="s">
        <v>38</v>
      </c>
      <c r="D433">
        <v>159</v>
      </c>
      <c r="E433" t="s">
        <v>1882</v>
      </c>
      <c r="F433" t="s">
        <v>1935</v>
      </c>
      <c r="G433" t="s">
        <v>1935</v>
      </c>
      <c r="H433" t="s">
        <v>1935</v>
      </c>
    </row>
    <row r="434" spans="1:8">
      <c r="A434" t="s">
        <v>299</v>
      </c>
      <c r="B434" t="s">
        <v>2562</v>
      </c>
      <c r="C434" t="s">
        <v>38</v>
      </c>
      <c r="D434">
        <v>160</v>
      </c>
      <c r="E434" t="s">
        <v>1747</v>
      </c>
      <c r="F434" t="s">
        <v>1935</v>
      </c>
      <c r="G434" t="s">
        <v>1935</v>
      </c>
      <c r="H434" t="s">
        <v>1935</v>
      </c>
    </row>
    <row r="435" spans="1:8">
      <c r="A435" t="s">
        <v>299</v>
      </c>
      <c r="B435" t="s">
        <v>2562</v>
      </c>
      <c r="C435" t="s">
        <v>38</v>
      </c>
      <c r="D435">
        <v>161</v>
      </c>
      <c r="E435" t="s">
        <v>1491</v>
      </c>
      <c r="F435" t="s">
        <v>1935</v>
      </c>
      <c r="G435" t="s">
        <v>1935</v>
      </c>
      <c r="H435" t="s">
        <v>1935</v>
      </c>
    </row>
    <row r="436" spans="1:8">
      <c r="A436" t="s">
        <v>299</v>
      </c>
      <c r="B436" t="s">
        <v>2562</v>
      </c>
      <c r="C436" t="s">
        <v>38</v>
      </c>
      <c r="D436">
        <v>162</v>
      </c>
      <c r="E436" t="s">
        <v>1883</v>
      </c>
      <c r="F436" t="s">
        <v>1935</v>
      </c>
      <c r="G436" t="s">
        <v>1935</v>
      </c>
      <c r="H436" t="s">
        <v>1935</v>
      </c>
    </row>
    <row r="437" spans="1:8">
      <c r="A437" t="s">
        <v>299</v>
      </c>
      <c r="B437" t="s">
        <v>2562</v>
      </c>
      <c r="C437" t="s">
        <v>38</v>
      </c>
      <c r="D437">
        <v>163</v>
      </c>
      <c r="E437" t="s">
        <v>1823</v>
      </c>
      <c r="F437" t="s">
        <v>1935</v>
      </c>
      <c r="G437" t="s">
        <v>1935</v>
      </c>
      <c r="H437" t="s">
        <v>1935</v>
      </c>
    </row>
    <row r="438" spans="1:8">
      <c r="A438" t="s">
        <v>299</v>
      </c>
      <c r="B438" t="s">
        <v>2562</v>
      </c>
      <c r="C438" t="s">
        <v>38</v>
      </c>
      <c r="D438">
        <v>164</v>
      </c>
      <c r="E438" t="s">
        <v>1763</v>
      </c>
      <c r="F438" t="s">
        <v>1935</v>
      </c>
      <c r="G438" t="s">
        <v>1935</v>
      </c>
      <c r="H438" t="s">
        <v>1935</v>
      </c>
    </row>
    <row r="439" spans="1:8">
      <c r="A439" t="s">
        <v>299</v>
      </c>
      <c r="B439" t="s">
        <v>2562</v>
      </c>
      <c r="C439" t="s">
        <v>38</v>
      </c>
      <c r="D439">
        <v>165</v>
      </c>
      <c r="E439" t="s">
        <v>1492</v>
      </c>
      <c r="F439" t="s">
        <v>1935</v>
      </c>
      <c r="G439" t="s">
        <v>1935</v>
      </c>
      <c r="H439" t="s">
        <v>1935</v>
      </c>
    </row>
    <row r="440" spans="1:8">
      <c r="A440" t="s">
        <v>299</v>
      </c>
      <c r="B440" t="s">
        <v>2562</v>
      </c>
      <c r="C440" t="s">
        <v>38</v>
      </c>
      <c r="D440">
        <v>166</v>
      </c>
      <c r="E440" t="s">
        <v>1638</v>
      </c>
      <c r="F440" t="s">
        <v>1935</v>
      </c>
      <c r="G440" t="s">
        <v>1935</v>
      </c>
      <c r="H440" t="s">
        <v>1935</v>
      </c>
    </row>
    <row r="441" spans="1:8">
      <c r="A441" t="s">
        <v>299</v>
      </c>
      <c r="B441" t="s">
        <v>2562</v>
      </c>
      <c r="C441" t="s">
        <v>38</v>
      </c>
      <c r="D441">
        <v>167</v>
      </c>
      <c r="E441" t="s">
        <v>2247</v>
      </c>
      <c r="F441" t="s">
        <v>1935</v>
      </c>
      <c r="G441" t="s">
        <v>1935</v>
      </c>
      <c r="H441" t="s">
        <v>1935</v>
      </c>
    </row>
    <row r="442" spans="1:8">
      <c r="A442" t="s">
        <v>299</v>
      </c>
      <c r="B442" t="s">
        <v>2562</v>
      </c>
      <c r="C442" t="s">
        <v>38</v>
      </c>
      <c r="D442">
        <v>168</v>
      </c>
      <c r="E442" t="s">
        <v>2249</v>
      </c>
      <c r="F442" t="s">
        <v>1935</v>
      </c>
      <c r="G442" t="s">
        <v>1935</v>
      </c>
      <c r="H442" t="s">
        <v>1935</v>
      </c>
    </row>
    <row r="443" spans="1:8">
      <c r="A443" t="s">
        <v>299</v>
      </c>
      <c r="B443" t="s">
        <v>2562</v>
      </c>
      <c r="C443" t="s">
        <v>38</v>
      </c>
      <c r="D443">
        <v>169</v>
      </c>
      <c r="E443" t="s">
        <v>1820</v>
      </c>
      <c r="F443" t="s">
        <v>1935</v>
      </c>
      <c r="G443" t="s">
        <v>1935</v>
      </c>
      <c r="H443" t="s">
        <v>1935</v>
      </c>
    </row>
    <row r="444" spans="1:8">
      <c r="A444" t="s">
        <v>299</v>
      </c>
      <c r="B444" t="s">
        <v>2562</v>
      </c>
      <c r="C444" t="s">
        <v>38</v>
      </c>
      <c r="D444">
        <v>170</v>
      </c>
      <c r="E444" t="s">
        <v>1779</v>
      </c>
      <c r="F444" t="s">
        <v>1935</v>
      </c>
      <c r="G444" t="s">
        <v>1935</v>
      </c>
      <c r="H444" t="s">
        <v>1935</v>
      </c>
    </row>
    <row r="445" spans="1:8">
      <c r="A445" t="s">
        <v>299</v>
      </c>
      <c r="B445" t="s">
        <v>2562</v>
      </c>
      <c r="C445" t="s">
        <v>38</v>
      </c>
      <c r="D445">
        <v>171</v>
      </c>
      <c r="E445" t="s">
        <v>1837</v>
      </c>
      <c r="F445" t="s">
        <v>1935</v>
      </c>
      <c r="G445" t="s">
        <v>1935</v>
      </c>
      <c r="H445" t="s">
        <v>1935</v>
      </c>
    </row>
    <row r="446" spans="1:8">
      <c r="A446" t="s">
        <v>299</v>
      </c>
      <c r="B446" t="s">
        <v>2562</v>
      </c>
      <c r="C446" t="s">
        <v>38</v>
      </c>
      <c r="D446">
        <v>172</v>
      </c>
      <c r="E446" t="s">
        <v>1493</v>
      </c>
      <c r="F446" t="s">
        <v>1935</v>
      </c>
      <c r="G446" t="s">
        <v>1935</v>
      </c>
      <c r="H446" t="s">
        <v>1935</v>
      </c>
    </row>
    <row r="447" spans="1:8">
      <c r="A447" t="s">
        <v>299</v>
      </c>
      <c r="B447" t="s">
        <v>2562</v>
      </c>
      <c r="C447" t="s">
        <v>38</v>
      </c>
      <c r="D447">
        <v>173</v>
      </c>
      <c r="E447" t="s">
        <v>1494</v>
      </c>
      <c r="F447" t="s">
        <v>1935</v>
      </c>
      <c r="G447" t="s">
        <v>1935</v>
      </c>
      <c r="H447" t="s">
        <v>1935</v>
      </c>
    </row>
    <row r="448" spans="1:8">
      <c r="A448" t="s">
        <v>299</v>
      </c>
      <c r="B448" t="s">
        <v>2562</v>
      </c>
      <c r="C448" t="s">
        <v>38</v>
      </c>
      <c r="D448">
        <v>174</v>
      </c>
      <c r="E448" t="s">
        <v>2256</v>
      </c>
      <c r="F448" t="s">
        <v>1935</v>
      </c>
      <c r="G448" t="s">
        <v>1935</v>
      </c>
      <c r="H448" t="s">
        <v>1935</v>
      </c>
    </row>
    <row r="449" spans="1:8">
      <c r="A449" t="s">
        <v>299</v>
      </c>
      <c r="B449" t="s">
        <v>2562</v>
      </c>
      <c r="C449" t="s">
        <v>38</v>
      </c>
      <c r="D449">
        <v>175</v>
      </c>
      <c r="E449" t="s">
        <v>2258</v>
      </c>
      <c r="F449" t="s">
        <v>1935</v>
      </c>
      <c r="G449" t="s">
        <v>1935</v>
      </c>
      <c r="H449" t="s">
        <v>1935</v>
      </c>
    </row>
    <row r="450" spans="1:8">
      <c r="A450" t="s">
        <v>299</v>
      </c>
      <c r="B450" t="s">
        <v>2562</v>
      </c>
      <c r="C450" t="s">
        <v>38</v>
      </c>
      <c r="D450">
        <v>176</v>
      </c>
      <c r="E450" t="s">
        <v>2260</v>
      </c>
      <c r="F450" t="s">
        <v>1935</v>
      </c>
      <c r="G450" t="s">
        <v>1935</v>
      </c>
      <c r="H450" t="s">
        <v>1935</v>
      </c>
    </row>
    <row r="451" spans="1:8">
      <c r="A451" t="s">
        <v>299</v>
      </c>
      <c r="B451" t="s">
        <v>2562</v>
      </c>
      <c r="C451" t="s">
        <v>38</v>
      </c>
      <c r="D451">
        <v>177</v>
      </c>
      <c r="E451" t="s">
        <v>2262</v>
      </c>
      <c r="F451" t="s">
        <v>1935</v>
      </c>
      <c r="G451" t="s">
        <v>1935</v>
      </c>
      <c r="H451" t="s">
        <v>1935</v>
      </c>
    </row>
    <row r="452" spans="1:8">
      <c r="A452" t="s">
        <v>299</v>
      </c>
      <c r="B452" t="s">
        <v>2562</v>
      </c>
      <c r="C452" t="s">
        <v>38</v>
      </c>
      <c r="D452">
        <v>178</v>
      </c>
      <c r="E452" t="s">
        <v>2264</v>
      </c>
      <c r="F452" t="s">
        <v>1935</v>
      </c>
      <c r="G452" t="s">
        <v>1935</v>
      </c>
      <c r="H452" t="s">
        <v>1935</v>
      </c>
    </row>
    <row r="453" spans="1:8">
      <c r="A453" t="s">
        <v>299</v>
      </c>
      <c r="B453" t="s">
        <v>2562</v>
      </c>
      <c r="C453" t="s">
        <v>38</v>
      </c>
      <c r="D453">
        <v>179</v>
      </c>
      <c r="E453" t="s">
        <v>1511</v>
      </c>
      <c r="F453" t="s">
        <v>1935</v>
      </c>
      <c r="G453" t="s">
        <v>1935</v>
      </c>
      <c r="H453" t="s">
        <v>1935</v>
      </c>
    </row>
    <row r="454" spans="1:8">
      <c r="A454" t="s">
        <v>299</v>
      </c>
      <c r="B454" t="s">
        <v>2562</v>
      </c>
      <c r="C454" t="s">
        <v>38</v>
      </c>
      <c r="D454">
        <v>180</v>
      </c>
      <c r="E454" t="s">
        <v>1760</v>
      </c>
      <c r="F454" t="s">
        <v>1935</v>
      </c>
      <c r="G454" t="s">
        <v>1935</v>
      </c>
      <c r="H454" t="s">
        <v>1935</v>
      </c>
    </row>
    <row r="455" spans="1:8">
      <c r="A455" t="s">
        <v>299</v>
      </c>
      <c r="B455" t="s">
        <v>2562</v>
      </c>
      <c r="C455" t="s">
        <v>38</v>
      </c>
      <c r="D455">
        <v>181</v>
      </c>
      <c r="E455" t="s">
        <v>1814</v>
      </c>
      <c r="F455" t="s">
        <v>1935</v>
      </c>
      <c r="G455" t="s">
        <v>1935</v>
      </c>
      <c r="H455" t="s">
        <v>1935</v>
      </c>
    </row>
    <row r="456" spans="1:8">
      <c r="A456" t="s">
        <v>299</v>
      </c>
      <c r="B456" t="s">
        <v>2562</v>
      </c>
      <c r="C456" t="s">
        <v>38</v>
      </c>
      <c r="D456">
        <v>182</v>
      </c>
      <c r="E456" t="s">
        <v>1819</v>
      </c>
      <c r="F456" t="s">
        <v>1935</v>
      </c>
      <c r="G456" t="s">
        <v>1935</v>
      </c>
      <c r="H456" t="s">
        <v>1935</v>
      </c>
    </row>
    <row r="457" spans="1:8">
      <c r="A457" t="s">
        <v>299</v>
      </c>
      <c r="B457" t="s">
        <v>2562</v>
      </c>
      <c r="C457" t="s">
        <v>38</v>
      </c>
      <c r="D457">
        <v>183</v>
      </c>
      <c r="E457" t="s">
        <v>1825</v>
      </c>
      <c r="F457" t="s">
        <v>1935</v>
      </c>
      <c r="G457" t="s">
        <v>1935</v>
      </c>
      <c r="H457" t="s">
        <v>1935</v>
      </c>
    </row>
    <row r="458" spans="1:8">
      <c r="A458" t="s">
        <v>299</v>
      </c>
      <c r="B458" t="s">
        <v>2562</v>
      </c>
      <c r="C458" t="s">
        <v>38</v>
      </c>
      <c r="D458">
        <v>184</v>
      </c>
      <c r="E458" t="s">
        <v>1768</v>
      </c>
      <c r="F458" t="s">
        <v>1935</v>
      </c>
      <c r="G458" t="s">
        <v>1935</v>
      </c>
      <c r="H458" t="s">
        <v>1935</v>
      </c>
    </row>
    <row r="459" spans="1:8">
      <c r="A459" t="s">
        <v>299</v>
      </c>
      <c r="B459" t="s">
        <v>2562</v>
      </c>
      <c r="C459" t="s">
        <v>38</v>
      </c>
      <c r="D459">
        <v>185</v>
      </c>
      <c r="E459" t="s">
        <v>1827</v>
      </c>
      <c r="F459" t="s">
        <v>1935</v>
      </c>
      <c r="G459" t="s">
        <v>1935</v>
      </c>
      <c r="H459" t="s">
        <v>1935</v>
      </c>
    </row>
    <row r="460" spans="1:8">
      <c r="A460" t="s">
        <v>299</v>
      </c>
      <c r="B460" t="s">
        <v>2562</v>
      </c>
      <c r="C460" t="s">
        <v>38</v>
      </c>
      <c r="D460">
        <v>186</v>
      </c>
      <c r="E460" t="s">
        <v>1789</v>
      </c>
      <c r="F460" t="s">
        <v>1935</v>
      </c>
      <c r="G460" t="s">
        <v>1935</v>
      </c>
      <c r="H460" t="s">
        <v>1935</v>
      </c>
    </row>
    <row r="461" spans="1:8">
      <c r="A461" t="s">
        <v>299</v>
      </c>
      <c r="B461" t="s">
        <v>2562</v>
      </c>
      <c r="C461" t="s">
        <v>38</v>
      </c>
      <c r="D461">
        <v>187</v>
      </c>
      <c r="E461" t="s">
        <v>1680</v>
      </c>
      <c r="F461" t="s">
        <v>1935</v>
      </c>
      <c r="G461" t="s">
        <v>1935</v>
      </c>
      <c r="H461" t="s">
        <v>1935</v>
      </c>
    </row>
    <row r="462" spans="1:8">
      <c r="A462" t="s">
        <v>299</v>
      </c>
      <c r="B462" t="s">
        <v>2562</v>
      </c>
      <c r="C462" t="s">
        <v>38</v>
      </c>
      <c r="D462">
        <v>188</v>
      </c>
      <c r="E462" t="s">
        <v>1681</v>
      </c>
      <c r="F462" t="s">
        <v>1935</v>
      </c>
      <c r="G462" t="s">
        <v>1935</v>
      </c>
      <c r="H462" t="s">
        <v>1935</v>
      </c>
    </row>
    <row r="463" spans="1:8">
      <c r="A463" t="s">
        <v>297</v>
      </c>
      <c r="B463" t="s">
        <v>2563</v>
      </c>
      <c r="C463" t="s">
        <v>38</v>
      </c>
      <c r="D463">
        <v>1</v>
      </c>
      <c r="E463" t="s">
        <v>2564</v>
      </c>
      <c r="F463" t="s">
        <v>1312</v>
      </c>
      <c r="G463" t="s">
        <v>1935</v>
      </c>
      <c r="H463" t="s">
        <v>1935</v>
      </c>
    </row>
    <row r="464" spans="1:8">
      <c r="A464" t="s">
        <v>297</v>
      </c>
      <c r="B464" t="s">
        <v>2563</v>
      </c>
      <c r="C464" t="s">
        <v>38</v>
      </c>
      <c r="D464">
        <v>2</v>
      </c>
      <c r="E464" t="s">
        <v>811</v>
      </c>
      <c r="F464" t="s">
        <v>1313</v>
      </c>
      <c r="G464" t="s">
        <v>1935</v>
      </c>
      <c r="H464" t="s">
        <v>1935</v>
      </c>
    </row>
    <row r="465" spans="1:8">
      <c r="A465" t="s">
        <v>297</v>
      </c>
      <c r="B465" t="s">
        <v>2563</v>
      </c>
      <c r="C465" t="s">
        <v>38</v>
      </c>
      <c r="D465">
        <v>3</v>
      </c>
      <c r="E465" t="s">
        <v>812</v>
      </c>
      <c r="F465" t="s">
        <v>1314</v>
      </c>
      <c r="G465" t="s">
        <v>1935</v>
      </c>
      <c r="H465" t="s">
        <v>1935</v>
      </c>
    </row>
    <row r="466" spans="1:8">
      <c r="A466" t="s">
        <v>297</v>
      </c>
      <c r="B466" t="s">
        <v>2563</v>
      </c>
      <c r="C466" t="s">
        <v>38</v>
      </c>
      <c r="D466">
        <v>4</v>
      </c>
      <c r="E466" t="s">
        <v>18</v>
      </c>
      <c r="F466" t="s">
        <v>1315</v>
      </c>
      <c r="G466" t="s">
        <v>1935</v>
      </c>
      <c r="H466" t="s">
        <v>1935</v>
      </c>
    </row>
    <row r="467" spans="1:8">
      <c r="A467" t="s">
        <v>297</v>
      </c>
      <c r="B467" t="s">
        <v>2563</v>
      </c>
      <c r="C467" t="s">
        <v>38</v>
      </c>
      <c r="D467">
        <v>5</v>
      </c>
      <c r="E467" t="s">
        <v>346</v>
      </c>
      <c r="F467" t="s">
        <v>2054</v>
      </c>
      <c r="G467" t="s">
        <v>1935</v>
      </c>
      <c r="H467" t="s">
        <v>1935</v>
      </c>
    </row>
    <row r="468" spans="1:8">
      <c r="A468" t="s">
        <v>297</v>
      </c>
      <c r="B468" t="s">
        <v>2563</v>
      </c>
      <c r="C468" t="s">
        <v>38</v>
      </c>
      <c r="D468">
        <v>6</v>
      </c>
      <c r="E468" t="s">
        <v>198</v>
      </c>
      <c r="F468" t="s">
        <v>2056</v>
      </c>
      <c r="G468" t="s">
        <v>1935</v>
      </c>
      <c r="H468" t="s">
        <v>1935</v>
      </c>
    </row>
    <row r="469" spans="1:8">
      <c r="A469" t="s">
        <v>297</v>
      </c>
      <c r="B469" t="s">
        <v>2563</v>
      </c>
      <c r="C469" t="s">
        <v>38</v>
      </c>
      <c r="D469">
        <v>7</v>
      </c>
      <c r="E469" t="s">
        <v>814</v>
      </c>
      <c r="F469" t="s">
        <v>2058</v>
      </c>
      <c r="G469" t="s">
        <v>1935</v>
      </c>
      <c r="H469" t="s">
        <v>1935</v>
      </c>
    </row>
    <row r="470" spans="1:8">
      <c r="A470" t="s">
        <v>297</v>
      </c>
      <c r="B470" t="s">
        <v>2563</v>
      </c>
      <c r="C470" t="s">
        <v>38</v>
      </c>
      <c r="D470">
        <v>8</v>
      </c>
      <c r="E470" t="s">
        <v>813</v>
      </c>
      <c r="F470" t="s">
        <v>1316</v>
      </c>
      <c r="G470" t="s">
        <v>1935</v>
      </c>
      <c r="H470" t="s">
        <v>1935</v>
      </c>
    </row>
    <row r="471" spans="1:8">
      <c r="A471" t="s">
        <v>297</v>
      </c>
      <c r="B471" t="s">
        <v>2563</v>
      </c>
      <c r="C471" t="s">
        <v>38</v>
      </c>
      <c r="D471">
        <v>9</v>
      </c>
      <c r="E471" t="s">
        <v>199</v>
      </c>
      <c r="F471" t="s">
        <v>2061</v>
      </c>
      <c r="G471" t="s">
        <v>1935</v>
      </c>
      <c r="H471" t="s">
        <v>1935</v>
      </c>
    </row>
    <row r="472" spans="1:8">
      <c r="A472" t="s">
        <v>297</v>
      </c>
      <c r="B472" t="s">
        <v>2563</v>
      </c>
      <c r="C472" t="s">
        <v>38</v>
      </c>
      <c r="D472">
        <v>10</v>
      </c>
      <c r="E472" t="s">
        <v>196</v>
      </c>
      <c r="F472" t="s">
        <v>2063</v>
      </c>
      <c r="G472" t="s">
        <v>1935</v>
      </c>
      <c r="H472" t="s">
        <v>1935</v>
      </c>
    </row>
    <row r="473" spans="1:8">
      <c r="A473" t="s">
        <v>297</v>
      </c>
      <c r="B473" t="s">
        <v>2563</v>
      </c>
      <c r="C473" t="s">
        <v>38</v>
      </c>
      <c r="D473">
        <v>11</v>
      </c>
      <c r="E473" t="s">
        <v>197</v>
      </c>
      <c r="F473" t="s">
        <v>1318</v>
      </c>
      <c r="G473" t="s">
        <v>1935</v>
      </c>
      <c r="H473" t="s">
        <v>1935</v>
      </c>
    </row>
    <row r="474" spans="1:8">
      <c r="A474" t="s">
        <v>297</v>
      </c>
      <c r="B474" t="s">
        <v>2563</v>
      </c>
      <c r="C474" t="s">
        <v>38</v>
      </c>
      <c r="D474">
        <v>12</v>
      </c>
      <c r="E474" t="s">
        <v>325</v>
      </c>
      <c r="F474" t="s">
        <v>1319</v>
      </c>
      <c r="G474" t="s">
        <v>1935</v>
      </c>
      <c r="H474" t="s">
        <v>1935</v>
      </c>
    </row>
    <row r="475" spans="1:8">
      <c r="A475" t="s">
        <v>297</v>
      </c>
      <c r="B475" t="s">
        <v>2563</v>
      </c>
      <c r="C475" t="s">
        <v>38</v>
      </c>
      <c r="D475">
        <v>13</v>
      </c>
      <c r="E475" t="s">
        <v>326</v>
      </c>
      <c r="F475" t="s">
        <v>1320</v>
      </c>
      <c r="G475" t="s">
        <v>1935</v>
      </c>
      <c r="H475" t="s">
        <v>1935</v>
      </c>
    </row>
    <row r="476" spans="1:8">
      <c r="A476" t="s">
        <v>297</v>
      </c>
      <c r="B476" t="s">
        <v>2563</v>
      </c>
      <c r="C476" t="s">
        <v>38</v>
      </c>
      <c r="D476">
        <v>14</v>
      </c>
      <c r="E476" t="s">
        <v>1469</v>
      </c>
      <c r="F476" t="s">
        <v>1469</v>
      </c>
      <c r="G476" t="s">
        <v>1935</v>
      </c>
      <c r="H476" t="s">
        <v>1935</v>
      </c>
    </row>
    <row r="477" spans="1:8">
      <c r="A477" t="s">
        <v>297</v>
      </c>
      <c r="B477" t="s">
        <v>2563</v>
      </c>
      <c r="C477" t="s">
        <v>38</v>
      </c>
      <c r="D477">
        <v>15</v>
      </c>
      <c r="E477" t="s">
        <v>327</v>
      </c>
      <c r="F477" t="s">
        <v>1321</v>
      </c>
      <c r="G477" t="s">
        <v>1935</v>
      </c>
      <c r="H477" t="s">
        <v>1935</v>
      </c>
    </row>
    <row r="478" spans="1:8">
      <c r="A478" t="s">
        <v>297</v>
      </c>
      <c r="B478" t="s">
        <v>2563</v>
      </c>
      <c r="C478" t="s">
        <v>38</v>
      </c>
      <c r="D478">
        <v>16</v>
      </c>
      <c r="E478" t="s">
        <v>321</v>
      </c>
      <c r="F478" t="s">
        <v>1322</v>
      </c>
      <c r="G478" t="s">
        <v>1935</v>
      </c>
      <c r="H478" t="s">
        <v>1935</v>
      </c>
    </row>
    <row r="479" spans="1:8">
      <c r="A479" t="s">
        <v>297</v>
      </c>
      <c r="B479" t="s">
        <v>2563</v>
      </c>
      <c r="C479" t="s">
        <v>38</v>
      </c>
      <c r="D479">
        <v>17</v>
      </c>
      <c r="E479" t="s">
        <v>815</v>
      </c>
      <c r="F479" t="s">
        <v>1323</v>
      </c>
      <c r="G479" t="s">
        <v>1935</v>
      </c>
      <c r="H479" t="s">
        <v>1935</v>
      </c>
    </row>
    <row r="480" spans="1:8">
      <c r="A480" t="s">
        <v>297</v>
      </c>
      <c r="B480" t="s">
        <v>2563</v>
      </c>
      <c r="C480" t="s">
        <v>38</v>
      </c>
      <c r="D480">
        <v>18</v>
      </c>
      <c r="E480" t="s">
        <v>2565</v>
      </c>
      <c r="F480" t="s">
        <v>2072</v>
      </c>
      <c r="G480" t="s">
        <v>1935</v>
      </c>
      <c r="H480" t="s">
        <v>1935</v>
      </c>
    </row>
    <row r="481" spans="1:8">
      <c r="A481" t="s">
        <v>297</v>
      </c>
      <c r="B481" t="s">
        <v>2563</v>
      </c>
      <c r="C481" t="s">
        <v>38</v>
      </c>
      <c r="D481">
        <v>19</v>
      </c>
      <c r="E481" t="s">
        <v>2566</v>
      </c>
      <c r="F481" t="s">
        <v>1324</v>
      </c>
      <c r="G481" t="s">
        <v>1935</v>
      </c>
      <c r="H481" t="s">
        <v>1935</v>
      </c>
    </row>
    <row r="482" spans="1:8">
      <c r="A482" t="s">
        <v>297</v>
      </c>
      <c r="B482" t="s">
        <v>2563</v>
      </c>
      <c r="C482" t="s">
        <v>38</v>
      </c>
      <c r="D482">
        <v>20</v>
      </c>
      <c r="E482" t="s">
        <v>2567</v>
      </c>
      <c r="F482" t="s">
        <v>2075</v>
      </c>
      <c r="G482" t="s">
        <v>1935</v>
      </c>
      <c r="H482" t="s">
        <v>1935</v>
      </c>
    </row>
    <row r="483" spans="1:8">
      <c r="A483" t="s">
        <v>297</v>
      </c>
      <c r="B483" t="s">
        <v>2563</v>
      </c>
      <c r="C483" t="s">
        <v>38</v>
      </c>
      <c r="D483">
        <v>21</v>
      </c>
      <c r="E483" t="s">
        <v>2568</v>
      </c>
      <c r="F483" t="s">
        <v>2077</v>
      </c>
      <c r="G483" t="s">
        <v>1935</v>
      </c>
      <c r="H483" t="s">
        <v>1935</v>
      </c>
    </row>
    <row r="484" spans="1:8">
      <c r="A484" t="s">
        <v>297</v>
      </c>
      <c r="B484" t="s">
        <v>2563</v>
      </c>
      <c r="C484" t="s">
        <v>38</v>
      </c>
      <c r="D484">
        <v>22</v>
      </c>
      <c r="E484" t="s">
        <v>324</v>
      </c>
      <c r="F484" t="s">
        <v>1325</v>
      </c>
      <c r="G484" t="s">
        <v>1935</v>
      </c>
      <c r="H484" t="s">
        <v>1935</v>
      </c>
    </row>
    <row r="485" spans="1:8">
      <c r="A485" t="s">
        <v>297</v>
      </c>
      <c r="B485" t="s">
        <v>2563</v>
      </c>
      <c r="C485" t="s">
        <v>38</v>
      </c>
      <c r="D485">
        <v>23</v>
      </c>
      <c r="E485" t="s">
        <v>323</v>
      </c>
      <c r="F485" t="s">
        <v>1326</v>
      </c>
      <c r="G485" t="s">
        <v>1935</v>
      </c>
      <c r="H485" t="s">
        <v>1935</v>
      </c>
    </row>
    <row r="486" spans="1:8">
      <c r="A486" t="s">
        <v>297</v>
      </c>
      <c r="B486" t="s">
        <v>2563</v>
      </c>
      <c r="C486" t="s">
        <v>38</v>
      </c>
      <c r="D486">
        <v>24</v>
      </c>
      <c r="E486" t="s">
        <v>332</v>
      </c>
      <c r="F486" t="s">
        <v>2081</v>
      </c>
      <c r="G486" t="s">
        <v>1935</v>
      </c>
      <c r="H486" t="s">
        <v>1935</v>
      </c>
    </row>
    <row r="487" spans="1:8">
      <c r="A487" t="s">
        <v>297</v>
      </c>
      <c r="B487" t="s">
        <v>2563</v>
      </c>
      <c r="C487" t="s">
        <v>38</v>
      </c>
      <c r="D487">
        <v>25</v>
      </c>
      <c r="E487" t="s">
        <v>603</v>
      </c>
      <c r="F487" t="s">
        <v>1327</v>
      </c>
      <c r="G487" t="s">
        <v>1935</v>
      </c>
      <c r="H487" t="s">
        <v>1935</v>
      </c>
    </row>
    <row r="488" spans="1:8">
      <c r="A488" t="s">
        <v>297</v>
      </c>
      <c r="B488" t="s">
        <v>2563</v>
      </c>
      <c r="C488" t="s">
        <v>38</v>
      </c>
      <c r="D488">
        <v>26</v>
      </c>
      <c r="E488" t="s">
        <v>2569</v>
      </c>
      <c r="F488" t="s">
        <v>2084</v>
      </c>
      <c r="G488" t="s">
        <v>1935</v>
      </c>
      <c r="H488" t="s">
        <v>1935</v>
      </c>
    </row>
    <row r="489" spans="1:8">
      <c r="A489" t="s">
        <v>297</v>
      </c>
      <c r="B489" t="s">
        <v>2563</v>
      </c>
      <c r="C489" t="s">
        <v>38</v>
      </c>
      <c r="D489">
        <v>27</v>
      </c>
      <c r="E489" t="s">
        <v>333</v>
      </c>
      <c r="F489" t="s">
        <v>1328</v>
      </c>
      <c r="G489" t="s">
        <v>1935</v>
      </c>
      <c r="H489" t="s">
        <v>1935</v>
      </c>
    </row>
    <row r="490" spans="1:8">
      <c r="A490" t="s">
        <v>297</v>
      </c>
      <c r="B490" t="s">
        <v>2563</v>
      </c>
      <c r="C490" t="s">
        <v>38</v>
      </c>
      <c r="D490">
        <v>28</v>
      </c>
      <c r="E490" t="s">
        <v>2570</v>
      </c>
      <c r="F490" t="s">
        <v>2087</v>
      </c>
      <c r="G490" t="s">
        <v>1935</v>
      </c>
      <c r="H490" t="s">
        <v>1935</v>
      </c>
    </row>
    <row r="491" spans="1:8">
      <c r="A491" t="s">
        <v>297</v>
      </c>
      <c r="B491" t="s">
        <v>2563</v>
      </c>
      <c r="C491" t="s">
        <v>38</v>
      </c>
      <c r="D491">
        <v>29</v>
      </c>
      <c r="E491" t="s">
        <v>334</v>
      </c>
      <c r="F491" t="s">
        <v>1329</v>
      </c>
      <c r="G491" t="s">
        <v>1935</v>
      </c>
      <c r="H491" t="s">
        <v>1935</v>
      </c>
    </row>
    <row r="492" spans="1:8">
      <c r="A492" t="s">
        <v>297</v>
      </c>
      <c r="B492" t="s">
        <v>2563</v>
      </c>
      <c r="C492" t="s">
        <v>38</v>
      </c>
      <c r="D492">
        <v>30</v>
      </c>
      <c r="E492" t="s">
        <v>2571</v>
      </c>
      <c r="F492" t="s">
        <v>1330</v>
      </c>
      <c r="G492" t="s">
        <v>1935</v>
      </c>
      <c r="H492" t="s">
        <v>1935</v>
      </c>
    </row>
    <row r="493" spans="1:8">
      <c r="A493" t="s">
        <v>297</v>
      </c>
      <c r="B493" t="s">
        <v>2563</v>
      </c>
      <c r="C493" t="s">
        <v>38</v>
      </c>
      <c r="D493">
        <v>31</v>
      </c>
      <c r="E493" t="s">
        <v>2572</v>
      </c>
      <c r="F493" t="s">
        <v>1333</v>
      </c>
      <c r="G493" t="s">
        <v>1935</v>
      </c>
      <c r="H493" t="s">
        <v>1935</v>
      </c>
    </row>
    <row r="494" spans="1:8">
      <c r="A494" t="s">
        <v>297</v>
      </c>
      <c r="B494" t="s">
        <v>2563</v>
      </c>
      <c r="C494" t="s">
        <v>38</v>
      </c>
      <c r="D494">
        <v>32</v>
      </c>
      <c r="E494" t="s">
        <v>819</v>
      </c>
      <c r="F494" t="s">
        <v>1474</v>
      </c>
      <c r="G494" t="s">
        <v>1935</v>
      </c>
      <c r="H494" t="s">
        <v>1935</v>
      </c>
    </row>
    <row r="495" spans="1:8">
      <c r="A495" t="s">
        <v>297</v>
      </c>
      <c r="B495" t="s">
        <v>2563</v>
      </c>
      <c r="C495" t="s">
        <v>38</v>
      </c>
      <c r="D495">
        <v>33</v>
      </c>
      <c r="E495" t="s">
        <v>337</v>
      </c>
      <c r="F495" t="s">
        <v>2093</v>
      </c>
      <c r="G495" t="s">
        <v>1935</v>
      </c>
      <c r="H495" t="s">
        <v>1935</v>
      </c>
    </row>
    <row r="496" spans="1:8">
      <c r="A496" t="s">
        <v>297</v>
      </c>
      <c r="B496" t="s">
        <v>2563</v>
      </c>
      <c r="C496" t="s">
        <v>38</v>
      </c>
      <c r="D496">
        <v>34</v>
      </c>
      <c r="E496" t="s">
        <v>340</v>
      </c>
      <c r="F496" t="s">
        <v>1334</v>
      </c>
      <c r="G496" t="s">
        <v>1935</v>
      </c>
      <c r="H496" t="s">
        <v>1935</v>
      </c>
    </row>
    <row r="497" spans="1:8">
      <c r="A497" t="s">
        <v>297</v>
      </c>
      <c r="B497" t="s">
        <v>2563</v>
      </c>
      <c r="C497" t="s">
        <v>38</v>
      </c>
      <c r="D497">
        <v>35</v>
      </c>
      <c r="E497" t="s">
        <v>820</v>
      </c>
      <c r="F497" t="s">
        <v>1335</v>
      </c>
      <c r="G497" t="s">
        <v>1935</v>
      </c>
      <c r="H497" t="s">
        <v>1935</v>
      </c>
    </row>
    <row r="498" spans="1:8">
      <c r="A498" t="s">
        <v>297</v>
      </c>
      <c r="B498" t="s">
        <v>2563</v>
      </c>
      <c r="C498" t="s">
        <v>38</v>
      </c>
      <c r="D498">
        <v>36</v>
      </c>
      <c r="E498" t="s">
        <v>335</v>
      </c>
      <c r="F498" t="s">
        <v>1336</v>
      </c>
      <c r="G498" t="s">
        <v>1935</v>
      </c>
      <c r="H498" t="s">
        <v>1935</v>
      </c>
    </row>
    <row r="499" spans="1:8">
      <c r="A499" t="s">
        <v>297</v>
      </c>
      <c r="B499" t="s">
        <v>2563</v>
      </c>
      <c r="C499" t="s">
        <v>38</v>
      </c>
      <c r="D499">
        <v>37</v>
      </c>
      <c r="E499" t="s">
        <v>329</v>
      </c>
      <c r="F499" t="s">
        <v>2098</v>
      </c>
      <c r="G499" t="s">
        <v>1935</v>
      </c>
      <c r="H499" t="s">
        <v>1935</v>
      </c>
    </row>
    <row r="500" spans="1:8">
      <c r="A500" t="s">
        <v>297</v>
      </c>
      <c r="B500" t="s">
        <v>2563</v>
      </c>
      <c r="C500" t="s">
        <v>38</v>
      </c>
      <c r="D500">
        <v>38</v>
      </c>
      <c r="E500" t="s">
        <v>2573</v>
      </c>
      <c r="F500" t="s">
        <v>1337</v>
      </c>
      <c r="G500" t="s">
        <v>1935</v>
      </c>
      <c r="H500" t="s">
        <v>1935</v>
      </c>
    </row>
    <row r="501" spans="1:8">
      <c r="A501" t="s">
        <v>297</v>
      </c>
      <c r="B501" t="s">
        <v>2563</v>
      </c>
      <c r="C501" t="s">
        <v>38</v>
      </c>
      <c r="D501">
        <v>39</v>
      </c>
      <c r="E501" t="s">
        <v>2574</v>
      </c>
      <c r="F501" t="s">
        <v>1338</v>
      </c>
      <c r="G501" t="s">
        <v>1935</v>
      </c>
      <c r="H501" t="s">
        <v>1935</v>
      </c>
    </row>
    <row r="502" spans="1:8">
      <c r="A502" t="s">
        <v>297</v>
      </c>
      <c r="B502" t="s">
        <v>2563</v>
      </c>
      <c r="C502" t="s">
        <v>38</v>
      </c>
      <c r="D502">
        <v>40</v>
      </c>
      <c r="E502" t="s">
        <v>341</v>
      </c>
      <c r="F502" t="s">
        <v>1339</v>
      </c>
      <c r="G502" t="s">
        <v>1935</v>
      </c>
      <c r="H502" t="s">
        <v>1935</v>
      </c>
    </row>
    <row r="503" spans="1:8">
      <c r="A503" t="s">
        <v>297</v>
      </c>
      <c r="B503" t="s">
        <v>2563</v>
      </c>
      <c r="C503" t="s">
        <v>38</v>
      </c>
      <c r="D503">
        <v>41</v>
      </c>
      <c r="E503" t="s">
        <v>824</v>
      </c>
      <c r="F503" t="s">
        <v>1340</v>
      </c>
      <c r="G503" t="s">
        <v>1935</v>
      </c>
      <c r="H503" t="s">
        <v>1935</v>
      </c>
    </row>
    <row r="504" spans="1:8">
      <c r="A504" t="s">
        <v>297</v>
      </c>
      <c r="B504" t="s">
        <v>2563</v>
      </c>
      <c r="C504" t="s">
        <v>38</v>
      </c>
      <c r="D504">
        <v>42</v>
      </c>
      <c r="E504" t="s">
        <v>344</v>
      </c>
      <c r="F504" t="s">
        <v>2104</v>
      </c>
      <c r="G504" t="s">
        <v>1935</v>
      </c>
      <c r="H504" t="s">
        <v>1935</v>
      </c>
    </row>
    <row r="505" spans="1:8">
      <c r="A505" t="s">
        <v>297</v>
      </c>
      <c r="B505" t="s">
        <v>2563</v>
      </c>
      <c r="C505" t="s">
        <v>38</v>
      </c>
      <c r="D505">
        <v>43</v>
      </c>
      <c r="E505" t="s">
        <v>331</v>
      </c>
      <c r="F505" t="s">
        <v>1341</v>
      </c>
      <c r="G505" t="s">
        <v>1935</v>
      </c>
      <c r="H505" t="s">
        <v>1935</v>
      </c>
    </row>
    <row r="506" spans="1:8">
      <c r="A506" t="s">
        <v>297</v>
      </c>
      <c r="B506" t="s">
        <v>2563</v>
      </c>
      <c r="C506" t="s">
        <v>38</v>
      </c>
      <c r="D506">
        <v>44</v>
      </c>
      <c r="E506" t="s">
        <v>343</v>
      </c>
      <c r="F506" t="s">
        <v>1342</v>
      </c>
      <c r="G506" t="s">
        <v>1935</v>
      </c>
      <c r="H506" t="s">
        <v>1935</v>
      </c>
    </row>
    <row r="507" spans="1:8">
      <c r="A507" t="s">
        <v>297</v>
      </c>
      <c r="B507" t="s">
        <v>2563</v>
      </c>
      <c r="C507" t="s">
        <v>38</v>
      </c>
      <c r="D507">
        <v>45</v>
      </c>
      <c r="E507" t="s">
        <v>825</v>
      </c>
      <c r="F507" t="s">
        <v>1343</v>
      </c>
      <c r="G507" t="s">
        <v>1935</v>
      </c>
      <c r="H507" t="s">
        <v>1935</v>
      </c>
    </row>
    <row r="508" spans="1:8">
      <c r="A508" t="s">
        <v>297</v>
      </c>
      <c r="B508" t="s">
        <v>2563</v>
      </c>
      <c r="C508" t="s">
        <v>38</v>
      </c>
      <c r="D508">
        <v>46</v>
      </c>
      <c r="E508" t="s">
        <v>826</v>
      </c>
      <c r="F508" t="s">
        <v>1344</v>
      </c>
      <c r="G508" t="s">
        <v>1935</v>
      </c>
      <c r="H508" t="s">
        <v>1935</v>
      </c>
    </row>
    <row r="509" spans="1:8">
      <c r="A509" t="s">
        <v>297</v>
      </c>
      <c r="B509" t="s">
        <v>2563</v>
      </c>
      <c r="C509" t="s">
        <v>38</v>
      </c>
      <c r="D509">
        <v>47</v>
      </c>
      <c r="E509" t="s">
        <v>827</v>
      </c>
      <c r="F509" t="s">
        <v>1345</v>
      </c>
      <c r="G509" t="s">
        <v>1935</v>
      </c>
      <c r="H509" t="s">
        <v>1935</v>
      </c>
    </row>
    <row r="510" spans="1:8">
      <c r="A510" t="s">
        <v>297</v>
      </c>
      <c r="B510" t="s">
        <v>2563</v>
      </c>
      <c r="C510" t="s">
        <v>38</v>
      </c>
      <c r="D510">
        <v>48</v>
      </c>
      <c r="E510" t="s">
        <v>828</v>
      </c>
      <c r="F510" t="s">
        <v>1346</v>
      </c>
      <c r="G510" t="s">
        <v>1935</v>
      </c>
      <c r="H510" t="s">
        <v>1935</v>
      </c>
    </row>
    <row r="511" spans="1:8">
      <c r="A511" t="s">
        <v>297</v>
      </c>
      <c r="B511" t="s">
        <v>2563</v>
      </c>
      <c r="C511" t="s">
        <v>38</v>
      </c>
      <c r="D511">
        <v>49</v>
      </c>
      <c r="E511" t="s">
        <v>829</v>
      </c>
      <c r="F511" t="s">
        <v>1394</v>
      </c>
      <c r="G511" t="s">
        <v>1935</v>
      </c>
      <c r="H511" t="s">
        <v>1935</v>
      </c>
    </row>
    <row r="512" spans="1:8">
      <c r="A512" t="s">
        <v>297</v>
      </c>
      <c r="B512" t="s">
        <v>2563</v>
      </c>
      <c r="C512" t="s">
        <v>38</v>
      </c>
      <c r="D512">
        <v>50</v>
      </c>
      <c r="E512" t="s">
        <v>345</v>
      </c>
      <c r="F512" t="s">
        <v>1395</v>
      </c>
      <c r="G512" t="s">
        <v>1935</v>
      </c>
      <c r="H512" t="s">
        <v>1935</v>
      </c>
    </row>
    <row r="513" spans="1:8">
      <c r="A513" t="s">
        <v>297</v>
      </c>
      <c r="B513" t="s">
        <v>2563</v>
      </c>
      <c r="C513" t="s">
        <v>38</v>
      </c>
      <c r="D513">
        <v>51</v>
      </c>
      <c r="E513" t="s">
        <v>830</v>
      </c>
      <c r="F513" t="s">
        <v>1396</v>
      </c>
      <c r="G513" t="s">
        <v>1935</v>
      </c>
      <c r="H513" t="s">
        <v>1935</v>
      </c>
    </row>
    <row r="514" spans="1:8">
      <c r="A514" t="s">
        <v>297</v>
      </c>
      <c r="B514" t="s">
        <v>2563</v>
      </c>
      <c r="C514" t="s">
        <v>38</v>
      </c>
      <c r="D514">
        <v>52</v>
      </c>
      <c r="E514" t="s">
        <v>342</v>
      </c>
      <c r="F514" t="s">
        <v>1397</v>
      </c>
      <c r="G514" t="s">
        <v>1935</v>
      </c>
      <c r="H514" t="s">
        <v>1935</v>
      </c>
    </row>
    <row r="515" spans="1:8">
      <c r="A515" t="s">
        <v>297</v>
      </c>
      <c r="B515" t="s">
        <v>2563</v>
      </c>
      <c r="C515" t="s">
        <v>38</v>
      </c>
      <c r="D515">
        <v>53</v>
      </c>
      <c r="E515" t="s">
        <v>831</v>
      </c>
      <c r="F515" t="s">
        <v>1347</v>
      </c>
      <c r="G515" t="s">
        <v>1935</v>
      </c>
      <c r="H515" t="s">
        <v>1935</v>
      </c>
    </row>
    <row r="516" spans="1:8">
      <c r="A516" t="s">
        <v>297</v>
      </c>
      <c r="B516" t="s">
        <v>2563</v>
      </c>
      <c r="C516" t="s">
        <v>38</v>
      </c>
      <c r="D516">
        <v>54</v>
      </c>
      <c r="E516" t="s">
        <v>338</v>
      </c>
      <c r="F516" t="s">
        <v>1348</v>
      </c>
      <c r="G516" t="s">
        <v>1935</v>
      </c>
      <c r="H516" t="s">
        <v>1935</v>
      </c>
    </row>
    <row r="517" spans="1:8">
      <c r="A517" t="s">
        <v>297</v>
      </c>
      <c r="B517" t="s">
        <v>2563</v>
      </c>
      <c r="C517" t="s">
        <v>38</v>
      </c>
      <c r="D517">
        <v>55</v>
      </c>
      <c r="E517" t="s">
        <v>600</v>
      </c>
      <c r="F517" t="s">
        <v>2118</v>
      </c>
      <c r="G517" t="s">
        <v>1935</v>
      </c>
      <c r="H517" t="s">
        <v>1935</v>
      </c>
    </row>
    <row r="518" spans="1:8">
      <c r="A518" t="s">
        <v>297</v>
      </c>
      <c r="B518" t="s">
        <v>2563</v>
      </c>
      <c r="C518" t="s">
        <v>38</v>
      </c>
      <c r="D518">
        <v>56</v>
      </c>
      <c r="E518" t="s">
        <v>832</v>
      </c>
      <c r="F518" t="s">
        <v>1349</v>
      </c>
      <c r="G518" t="s">
        <v>1935</v>
      </c>
      <c r="H518" t="s">
        <v>1935</v>
      </c>
    </row>
    <row r="519" spans="1:8">
      <c r="A519" t="s">
        <v>297</v>
      </c>
      <c r="B519" t="s">
        <v>2563</v>
      </c>
      <c r="C519" t="s">
        <v>38</v>
      </c>
      <c r="D519">
        <v>57</v>
      </c>
      <c r="E519" t="s">
        <v>833</v>
      </c>
      <c r="F519" t="s">
        <v>1350</v>
      </c>
      <c r="G519" t="s">
        <v>1935</v>
      </c>
      <c r="H519" t="s">
        <v>1935</v>
      </c>
    </row>
    <row r="520" spans="1:8">
      <c r="A520" t="s">
        <v>297</v>
      </c>
      <c r="B520" t="s">
        <v>2563</v>
      </c>
      <c r="C520" t="s">
        <v>38</v>
      </c>
      <c r="D520">
        <v>58</v>
      </c>
      <c r="E520" t="s">
        <v>834</v>
      </c>
      <c r="F520" t="s">
        <v>1351</v>
      </c>
      <c r="G520" t="s">
        <v>1935</v>
      </c>
      <c r="H520" t="s">
        <v>1935</v>
      </c>
    </row>
    <row r="521" spans="1:8">
      <c r="A521" t="s">
        <v>297</v>
      </c>
      <c r="B521" t="s">
        <v>2563</v>
      </c>
      <c r="C521" t="s">
        <v>38</v>
      </c>
      <c r="D521">
        <v>59</v>
      </c>
      <c r="E521" t="s">
        <v>835</v>
      </c>
      <c r="F521" t="s">
        <v>2123</v>
      </c>
      <c r="G521" t="s">
        <v>1935</v>
      </c>
      <c r="H521" t="s">
        <v>1935</v>
      </c>
    </row>
    <row r="522" spans="1:8">
      <c r="A522" t="s">
        <v>297</v>
      </c>
      <c r="B522" t="s">
        <v>2563</v>
      </c>
      <c r="C522" t="s">
        <v>38</v>
      </c>
      <c r="D522">
        <v>60</v>
      </c>
      <c r="E522" t="s">
        <v>2575</v>
      </c>
      <c r="F522" t="s">
        <v>2125</v>
      </c>
      <c r="G522" t="s">
        <v>1935</v>
      </c>
      <c r="H522" t="s">
        <v>1935</v>
      </c>
    </row>
    <row r="523" spans="1:8">
      <c r="A523" t="s">
        <v>297</v>
      </c>
      <c r="B523" t="s">
        <v>2563</v>
      </c>
      <c r="C523" t="s">
        <v>38</v>
      </c>
      <c r="D523">
        <v>61</v>
      </c>
      <c r="E523" t="s">
        <v>599</v>
      </c>
      <c r="F523" t="s">
        <v>2127</v>
      </c>
      <c r="G523" t="s">
        <v>1935</v>
      </c>
      <c r="H523" t="s">
        <v>1935</v>
      </c>
    </row>
    <row r="524" spans="1:8">
      <c r="A524" t="s">
        <v>297</v>
      </c>
      <c r="B524" t="s">
        <v>2563</v>
      </c>
      <c r="C524" t="s">
        <v>38</v>
      </c>
      <c r="D524">
        <v>62</v>
      </c>
      <c r="E524" t="s">
        <v>1657</v>
      </c>
      <c r="F524" t="s">
        <v>1352</v>
      </c>
      <c r="G524" t="s">
        <v>1935</v>
      </c>
      <c r="H524" t="s">
        <v>1935</v>
      </c>
    </row>
    <row r="525" spans="1:8">
      <c r="A525" t="s">
        <v>297</v>
      </c>
      <c r="B525" t="s">
        <v>2563</v>
      </c>
      <c r="C525" t="s">
        <v>38</v>
      </c>
      <c r="D525">
        <v>63</v>
      </c>
      <c r="E525" t="s">
        <v>23</v>
      </c>
      <c r="F525" t="s">
        <v>1658</v>
      </c>
      <c r="G525" t="s">
        <v>1935</v>
      </c>
      <c r="H525" t="s">
        <v>1935</v>
      </c>
    </row>
    <row r="526" spans="1:8">
      <c r="A526" t="s">
        <v>297</v>
      </c>
      <c r="B526" t="s">
        <v>2563</v>
      </c>
      <c r="C526" t="s">
        <v>38</v>
      </c>
      <c r="D526">
        <v>64</v>
      </c>
      <c r="E526" t="s">
        <v>836</v>
      </c>
      <c r="F526" t="s">
        <v>1354</v>
      </c>
      <c r="G526" t="s">
        <v>1935</v>
      </c>
      <c r="H526" t="s">
        <v>1935</v>
      </c>
    </row>
    <row r="527" spans="1:8">
      <c r="A527" t="s">
        <v>297</v>
      </c>
      <c r="B527" t="s">
        <v>2563</v>
      </c>
      <c r="C527" t="s">
        <v>38</v>
      </c>
      <c r="D527">
        <v>65</v>
      </c>
      <c r="E527" t="s">
        <v>837</v>
      </c>
      <c r="F527" t="s">
        <v>1355</v>
      </c>
      <c r="G527" t="s">
        <v>1935</v>
      </c>
      <c r="H527" t="s">
        <v>1935</v>
      </c>
    </row>
    <row r="528" spans="1:8">
      <c r="A528" t="s">
        <v>297</v>
      </c>
      <c r="B528" t="s">
        <v>2563</v>
      </c>
      <c r="C528" t="s">
        <v>38</v>
      </c>
      <c r="D528">
        <v>66</v>
      </c>
      <c r="E528" t="s">
        <v>838</v>
      </c>
      <c r="F528" t="s">
        <v>2133</v>
      </c>
      <c r="G528" t="s">
        <v>1935</v>
      </c>
      <c r="H528" t="s">
        <v>1935</v>
      </c>
    </row>
    <row r="529" spans="1:8">
      <c r="A529" t="s">
        <v>297</v>
      </c>
      <c r="B529" t="s">
        <v>2563</v>
      </c>
      <c r="C529" t="s">
        <v>38</v>
      </c>
      <c r="D529">
        <v>67</v>
      </c>
      <c r="E529" t="s">
        <v>839</v>
      </c>
      <c r="F529" t="s">
        <v>839</v>
      </c>
      <c r="G529" t="s">
        <v>1935</v>
      </c>
      <c r="H529" t="s">
        <v>1935</v>
      </c>
    </row>
    <row r="530" spans="1:8">
      <c r="A530" t="s">
        <v>297</v>
      </c>
      <c r="B530" t="s">
        <v>2563</v>
      </c>
      <c r="C530" t="s">
        <v>38</v>
      </c>
      <c r="D530">
        <v>68</v>
      </c>
      <c r="E530" t="s">
        <v>840</v>
      </c>
      <c r="F530" t="s">
        <v>840</v>
      </c>
      <c r="G530" t="s">
        <v>1935</v>
      </c>
      <c r="H530" t="s">
        <v>1935</v>
      </c>
    </row>
    <row r="531" spans="1:8">
      <c r="A531" t="s">
        <v>297</v>
      </c>
      <c r="B531" t="s">
        <v>2563</v>
      </c>
      <c r="C531" t="s">
        <v>38</v>
      </c>
      <c r="D531">
        <v>69</v>
      </c>
      <c r="E531" t="s">
        <v>842</v>
      </c>
      <c r="F531" t="s">
        <v>841</v>
      </c>
      <c r="G531" t="s">
        <v>1935</v>
      </c>
      <c r="H531" t="s">
        <v>1935</v>
      </c>
    </row>
    <row r="532" spans="1:8">
      <c r="A532" t="s">
        <v>297</v>
      </c>
      <c r="B532" t="s">
        <v>2563</v>
      </c>
      <c r="C532" t="s">
        <v>38</v>
      </c>
      <c r="D532">
        <v>70</v>
      </c>
      <c r="E532" t="s">
        <v>347</v>
      </c>
      <c r="F532" t="s">
        <v>1357</v>
      </c>
      <c r="G532" t="s">
        <v>1935</v>
      </c>
      <c r="H532" t="s">
        <v>1935</v>
      </c>
    </row>
    <row r="533" spans="1:8">
      <c r="A533" t="s">
        <v>297</v>
      </c>
      <c r="B533" t="s">
        <v>2563</v>
      </c>
      <c r="C533" t="s">
        <v>38</v>
      </c>
      <c r="D533">
        <v>71</v>
      </c>
      <c r="E533" t="s">
        <v>1733</v>
      </c>
      <c r="F533" t="s">
        <v>1732</v>
      </c>
      <c r="G533" t="s">
        <v>1935</v>
      </c>
      <c r="H533" t="s">
        <v>1935</v>
      </c>
    </row>
    <row r="534" spans="1:8">
      <c r="A534" t="s">
        <v>297</v>
      </c>
      <c r="B534" t="s">
        <v>2563</v>
      </c>
      <c r="C534" t="s">
        <v>38</v>
      </c>
      <c r="D534">
        <v>72</v>
      </c>
      <c r="E534" t="s">
        <v>1685</v>
      </c>
      <c r="F534" t="s">
        <v>1684</v>
      </c>
      <c r="G534" t="s">
        <v>1935</v>
      </c>
      <c r="H534" t="s">
        <v>1935</v>
      </c>
    </row>
    <row r="535" spans="1:8">
      <c r="A535" t="s">
        <v>297</v>
      </c>
      <c r="B535" t="s">
        <v>2563</v>
      </c>
      <c r="C535" t="s">
        <v>38</v>
      </c>
      <c r="D535">
        <v>73</v>
      </c>
      <c r="E535" t="s">
        <v>1687</v>
      </c>
      <c r="F535" t="s">
        <v>1686</v>
      </c>
      <c r="G535" t="s">
        <v>1935</v>
      </c>
      <c r="H535" t="s">
        <v>1935</v>
      </c>
    </row>
    <row r="536" spans="1:8">
      <c r="A536" t="s">
        <v>297</v>
      </c>
      <c r="B536" t="s">
        <v>2563</v>
      </c>
      <c r="C536" t="s">
        <v>38</v>
      </c>
      <c r="D536">
        <v>74</v>
      </c>
      <c r="E536" t="s">
        <v>1696</v>
      </c>
      <c r="F536" t="s">
        <v>1695</v>
      </c>
      <c r="G536" t="s">
        <v>1935</v>
      </c>
      <c r="H536" t="s">
        <v>1935</v>
      </c>
    </row>
    <row r="537" spans="1:8">
      <c r="A537" t="s">
        <v>297</v>
      </c>
      <c r="B537" t="s">
        <v>2563</v>
      </c>
      <c r="C537" t="s">
        <v>38</v>
      </c>
      <c r="D537">
        <v>75</v>
      </c>
      <c r="E537" t="s">
        <v>1757</v>
      </c>
      <c r="F537" t="s">
        <v>1756</v>
      </c>
      <c r="G537" t="s">
        <v>1935</v>
      </c>
      <c r="H537" t="s">
        <v>1935</v>
      </c>
    </row>
    <row r="538" spans="1:8">
      <c r="A538" t="s">
        <v>297</v>
      </c>
      <c r="B538" t="s">
        <v>2563</v>
      </c>
      <c r="C538" t="s">
        <v>38</v>
      </c>
      <c r="D538">
        <v>76</v>
      </c>
      <c r="E538" t="s">
        <v>1781</v>
      </c>
      <c r="F538" t="s">
        <v>1780</v>
      </c>
      <c r="G538" t="s">
        <v>1935</v>
      </c>
      <c r="H538" t="s">
        <v>1935</v>
      </c>
    </row>
    <row r="539" spans="1:8">
      <c r="A539" t="s">
        <v>297</v>
      </c>
      <c r="B539" t="s">
        <v>2563</v>
      </c>
      <c r="C539" t="s">
        <v>38</v>
      </c>
      <c r="D539">
        <v>77</v>
      </c>
      <c r="E539" t="s">
        <v>2576</v>
      </c>
      <c r="F539" t="s">
        <v>2145</v>
      </c>
      <c r="G539" t="s">
        <v>1935</v>
      </c>
      <c r="H539" t="s">
        <v>1935</v>
      </c>
    </row>
    <row r="540" spans="1:8">
      <c r="A540" t="s">
        <v>297</v>
      </c>
      <c r="B540" t="s">
        <v>2563</v>
      </c>
      <c r="C540" t="s">
        <v>38</v>
      </c>
      <c r="D540">
        <v>78</v>
      </c>
      <c r="E540" t="s">
        <v>2577</v>
      </c>
      <c r="F540" t="s">
        <v>2147</v>
      </c>
      <c r="G540" t="s">
        <v>1935</v>
      </c>
      <c r="H540" t="s">
        <v>1935</v>
      </c>
    </row>
    <row r="541" spans="1:8">
      <c r="A541" t="s">
        <v>297</v>
      </c>
      <c r="B541" t="s">
        <v>2563</v>
      </c>
      <c r="C541" t="s">
        <v>38</v>
      </c>
      <c r="D541">
        <v>79</v>
      </c>
      <c r="E541" t="s">
        <v>2578</v>
      </c>
      <c r="F541" t="s">
        <v>2149</v>
      </c>
      <c r="G541" t="s">
        <v>1935</v>
      </c>
      <c r="H541" t="s">
        <v>1935</v>
      </c>
    </row>
    <row r="542" spans="1:8">
      <c r="A542" t="s">
        <v>297</v>
      </c>
      <c r="B542" t="s">
        <v>2563</v>
      </c>
      <c r="C542" t="s">
        <v>38</v>
      </c>
      <c r="D542">
        <v>80</v>
      </c>
      <c r="E542" t="s">
        <v>2579</v>
      </c>
      <c r="F542" t="s">
        <v>1483</v>
      </c>
      <c r="G542" t="s">
        <v>1935</v>
      </c>
      <c r="H542" t="s">
        <v>1935</v>
      </c>
    </row>
    <row r="543" spans="1:8">
      <c r="A543" t="s">
        <v>297</v>
      </c>
      <c r="B543" t="s">
        <v>2563</v>
      </c>
      <c r="C543" t="s">
        <v>38</v>
      </c>
      <c r="D543">
        <v>81</v>
      </c>
      <c r="E543" t="s">
        <v>1499</v>
      </c>
      <c r="F543" t="s">
        <v>1489</v>
      </c>
      <c r="G543" t="s">
        <v>1935</v>
      </c>
      <c r="H543" t="s">
        <v>1935</v>
      </c>
    </row>
    <row r="544" spans="1:8">
      <c r="A544" t="s">
        <v>297</v>
      </c>
      <c r="B544" t="s">
        <v>2563</v>
      </c>
      <c r="C544" t="s">
        <v>38</v>
      </c>
      <c r="D544">
        <v>82</v>
      </c>
      <c r="E544" t="s">
        <v>1505</v>
      </c>
      <c r="F544" t="s">
        <v>1635</v>
      </c>
      <c r="G544" t="s">
        <v>1935</v>
      </c>
      <c r="H544" t="s">
        <v>1935</v>
      </c>
    </row>
    <row r="545" spans="1:8">
      <c r="A545" t="s">
        <v>297</v>
      </c>
      <c r="B545" t="s">
        <v>2563</v>
      </c>
      <c r="C545" t="s">
        <v>38</v>
      </c>
      <c r="D545">
        <v>83</v>
      </c>
      <c r="E545" t="s">
        <v>1500</v>
      </c>
      <c r="F545" t="s">
        <v>1490</v>
      </c>
      <c r="G545" t="s">
        <v>1935</v>
      </c>
      <c r="H545" t="s">
        <v>1935</v>
      </c>
    </row>
    <row r="546" spans="1:8">
      <c r="A546" t="s">
        <v>297</v>
      </c>
      <c r="B546" t="s">
        <v>2563</v>
      </c>
      <c r="C546" t="s">
        <v>38</v>
      </c>
      <c r="D546">
        <v>84</v>
      </c>
      <c r="E546" t="s">
        <v>1506</v>
      </c>
      <c r="F546" t="s">
        <v>1495</v>
      </c>
      <c r="G546" t="s">
        <v>1935</v>
      </c>
      <c r="H546" t="s">
        <v>1935</v>
      </c>
    </row>
    <row r="547" spans="1:8">
      <c r="A547" t="s">
        <v>297</v>
      </c>
      <c r="B547" t="s">
        <v>2563</v>
      </c>
      <c r="C547" t="s">
        <v>38</v>
      </c>
      <c r="D547">
        <v>85</v>
      </c>
      <c r="E547" t="s">
        <v>1839</v>
      </c>
      <c r="F547" t="s">
        <v>1496</v>
      </c>
      <c r="G547" t="s">
        <v>1935</v>
      </c>
      <c r="H547" t="s">
        <v>1935</v>
      </c>
    </row>
    <row r="548" spans="1:8">
      <c r="A548" t="s">
        <v>297</v>
      </c>
      <c r="B548" t="s">
        <v>2563</v>
      </c>
      <c r="C548" t="s">
        <v>38</v>
      </c>
      <c r="D548">
        <v>86</v>
      </c>
      <c r="E548" t="s">
        <v>2580</v>
      </c>
      <c r="F548" t="s">
        <v>1891</v>
      </c>
      <c r="G548" t="s">
        <v>1935</v>
      </c>
      <c r="H548" t="s">
        <v>1935</v>
      </c>
    </row>
    <row r="549" spans="1:8">
      <c r="A549" t="s">
        <v>297</v>
      </c>
      <c r="B549" t="s">
        <v>2563</v>
      </c>
      <c r="C549" t="s">
        <v>38</v>
      </c>
      <c r="D549">
        <v>87</v>
      </c>
      <c r="E549" t="s">
        <v>1799</v>
      </c>
      <c r="F549" t="s">
        <v>1664</v>
      </c>
      <c r="G549" t="s">
        <v>1935</v>
      </c>
      <c r="H549" t="s">
        <v>1935</v>
      </c>
    </row>
    <row r="550" spans="1:8">
      <c r="A550" t="s">
        <v>297</v>
      </c>
      <c r="B550" t="s">
        <v>2563</v>
      </c>
      <c r="C550" t="s">
        <v>38</v>
      </c>
      <c r="D550">
        <v>88</v>
      </c>
      <c r="E550" t="s">
        <v>1800</v>
      </c>
      <c r="F550" t="s">
        <v>1665</v>
      </c>
      <c r="G550" t="s">
        <v>1935</v>
      </c>
      <c r="H550" t="s">
        <v>1935</v>
      </c>
    </row>
    <row r="551" spans="1:8">
      <c r="A551" t="s">
        <v>297</v>
      </c>
      <c r="B551" t="s">
        <v>2563</v>
      </c>
      <c r="C551" t="s">
        <v>38</v>
      </c>
      <c r="D551">
        <v>89</v>
      </c>
      <c r="E551" t="s">
        <v>1753</v>
      </c>
      <c r="F551" t="s">
        <v>1752</v>
      </c>
      <c r="G551" t="s">
        <v>1935</v>
      </c>
      <c r="H551" t="s">
        <v>1935</v>
      </c>
    </row>
    <row r="552" spans="1:8">
      <c r="A552" t="s">
        <v>297</v>
      </c>
      <c r="B552" t="s">
        <v>2563</v>
      </c>
      <c r="C552" t="s">
        <v>38</v>
      </c>
      <c r="D552">
        <v>90</v>
      </c>
      <c r="E552" t="s">
        <v>2581</v>
      </c>
      <c r="F552" t="s">
        <v>2161</v>
      </c>
      <c r="G552" t="s">
        <v>1935</v>
      </c>
      <c r="H552" t="s">
        <v>1935</v>
      </c>
    </row>
    <row r="553" spans="1:8">
      <c r="A553" t="s">
        <v>297</v>
      </c>
      <c r="B553" t="s">
        <v>2563</v>
      </c>
      <c r="C553" t="s">
        <v>38</v>
      </c>
      <c r="D553">
        <v>91</v>
      </c>
      <c r="E553" t="s">
        <v>2582</v>
      </c>
      <c r="F553" t="s">
        <v>2163</v>
      </c>
      <c r="G553" t="s">
        <v>1935</v>
      </c>
      <c r="H553" t="s">
        <v>1935</v>
      </c>
    </row>
    <row r="554" spans="1:8">
      <c r="A554" t="s">
        <v>297</v>
      </c>
      <c r="B554" t="s">
        <v>2563</v>
      </c>
      <c r="C554" t="s">
        <v>38</v>
      </c>
      <c r="D554">
        <v>92</v>
      </c>
      <c r="E554" t="s">
        <v>1662</v>
      </c>
      <c r="F554" t="s">
        <v>1796</v>
      </c>
      <c r="G554" t="s">
        <v>1935</v>
      </c>
      <c r="H554" t="s">
        <v>1935</v>
      </c>
    </row>
    <row r="555" spans="1:8">
      <c r="A555" t="s">
        <v>297</v>
      </c>
      <c r="B555" t="s">
        <v>2563</v>
      </c>
      <c r="C555" t="s">
        <v>38</v>
      </c>
      <c r="D555">
        <v>93</v>
      </c>
      <c r="E555" t="s">
        <v>2583</v>
      </c>
      <c r="F555" t="s">
        <v>2166</v>
      </c>
      <c r="G555" t="s">
        <v>1935</v>
      </c>
      <c r="H555" t="s">
        <v>1935</v>
      </c>
    </row>
    <row r="556" spans="1:8">
      <c r="A556" t="s">
        <v>297</v>
      </c>
      <c r="B556" t="s">
        <v>2563</v>
      </c>
      <c r="C556" t="s">
        <v>38</v>
      </c>
      <c r="D556">
        <v>94</v>
      </c>
      <c r="E556" t="s">
        <v>1803</v>
      </c>
      <c r="F556" t="s">
        <v>1667</v>
      </c>
      <c r="G556" t="s">
        <v>1935</v>
      </c>
      <c r="H556" t="s">
        <v>1935</v>
      </c>
    </row>
    <row r="557" spans="1:8">
      <c r="A557" t="s">
        <v>297</v>
      </c>
      <c r="B557" t="s">
        <v>2563</v>
      </c>
      <c r="C557" t="s">
        <v>38</v>
      </c>
      <c r="D557">
        <v>95</v>
      </c>
      <c r="E557" t="s">
        <v>1804</v>
      </c>
      <c r="F557" t="s">
        <v>1669</v>
      </c>
      <c r="G557" t="s">
        <v>1935</v>
      </c>
      <c r="H557" t="s">
        <v>1935</v>
      </c>
    </row>
    <row r="558" spans="1:8">
      <c r="A558" t="s">
        <v>297</v>
      </c>
      <c r="B558" t="s">
        <v>2563</v>
      </c>
      <c r="C558" t="s">
        <v>38</v>
      </c>
      <c r="D558">
        <v>96</v>
      </c>
      <c r="E558" t="s">
        <v>2584</v>
      </c>
      <c r="F558" t="s">
        <v>2170</v>
      </c>
      <c r="G558" t="s">
        <v>1935</v>
      </c>
      <c r="H558" t="s">
        <v>1935</v>
      </c>
    </row>
    <row r="559" spans="1:8">
      <c r="A559" t="s">
        <v>297</v>
      </c>
      <c r="B559" t="s">
        <v>2563</v>
      </c>
      <c r="C559" t="s">
        <v>38</v>
      </c>
      <c r="D559">
        <v>97</v>
      </c>
      <c r="E559" t="s">
        <v>1805</v>
      </c>
      <c r="F559" t="s">
        <v>1671</v>
      </c>
      <c r="G559" t="s">
        <v>1935</v>
      </c>
      <c r="H559" t="s">
        <v>1935</v>
      </c>
    </row>
    <row r="560" spans="1:8">
      <c r="A560" t="s">
        <v>297</v>
      </c>
      <c r="B560" t="s">
        <v>2563</v>
      </c>
      <c r="C560" t="s">
        <v>38</v>
      </c>
      <c r="D560">
        <v>98</v>
      </c>
      <c r="E560" t="s">
        <v>2585</v>
      </c>
      <c r="F560" t="s">
        <v>2173</v>
      </c>
      <c r="G560" t="s">
        <v>1935</v>
      </c>
      <c r="H560" t="s">
        <v>1935</v>
      </c>
    </row>
    <row r="561" spans="1:8">
      <c r="A561" t="s">
        <v>297</v>
      </c>
      <c r="B561" t="s">
        <v>2563</v>
      </c>
      <c r="C561" t="s">
        <v>38</v>
      </c>
      <c r="D561">
        <v>99</v>
      </c>
      <c r="E561" t="s">
        <v>1806</v>
      </c>
      <c r="F561" t="s">
        <v>1673</v>
      </c>
      <c r="G561" t="s">
        <v>1935</v>
      </c>
      <c r="H561" t="s">
        <v>1935</v>
      </c>
    </row>
    <row r="562" spans="1:8">
      <c r="A562" t="s">
        <v>297</v>
      </c>
      <c r="B562" t="s">
        <v>2563</v>
      </c>
      <c r="C562" t="s">
        <v>38</v>
      </c>
      <c r="D562">
        <v>100</v>
      </c>
      <c r="E562" t="s">
        <v>2586</v>
      </c>
      <c r="F562" t="s">
        <v>2176</v>
      </c>
      <c r="G562" t="s">
        <v>1935</v>
      </c>
      <c r="H562" t="s">
        <v>1935</v>
      </c>
    </row>
    <row r="563" spans="1:8">
      <c r="A563" t="s">
        <v>297</v>
      </c>
      <c r="B563" t="s">
        <v>2563</v>
      </c>
      <c r="C563" t="s">
        <v>38</v>
      </c>
      <c r="D563">
        <v>101</v>
      </c>
      <c r="E563" t="s">
        <v>1807</v>
      </c>
      <c r="F563" t="s">
        <v>1674</v>
      </c>
      <c r="G563" t="s">
        <v>1935</v>
      </c>
      <c r="H563" t="s">
        <v>1935</v>
      </c>
    </row>
    <row r="564" spans="1:8">
      <c r="A564" t="s">
        <v>297</v>
      </c>
      <c r="B564" t="s">
        <v>2563</v>
      </c>
      <c r="C564" t="s">
        <v>38</v>
      </c>
      <c r="D564">
        <v>102</v>
      </c>
      <c r="E564" t="s">
        <v>2587</v>
      </c>
      <c r="F564" t="s">
        <v>2179</v>
      </c>
      <c r="G564" t="s">
        <v>1935</v>
      </c>
      <c r="H564" t="s">
        <v>1935</v>
      </c>
    </row>
    <row r="565" spans="1:8">
      <c r="A565" t="s">
        <v>297</v>
      </c>
      <c r="B565" t="s">
        <v>2563</v>
      </c>
      <c r="C565" t="s">
        <v>38</v>
      </c>
      <c r="D565">
        <v>103</v>
      </c>
      <c r="E565" t="s">
        <v>1808</v>
      </c>
      <c r="F565" t="s">
        <v>1675</v>
      </c>
      <c r="G565" t="s">
        <v>1935</v>
      </c>
      <c r="H565" t="s">
        <v>1935</v>
      </c>
    </row>
    <row r="566" spans="1:8">
      <c r="A566" t="s">
        <v>297</v>
      </c>
      <c r="B566" t="s">
        <v>2563</v>
      </c>
      <c r="C566" t="s">
        <v>38</v>
      </c>
      <c r="D566">
        <v>104</v>
      </c>
      <c r="E566" t="s">
        <v>2588</v>
      </c>
      <c r="F566" t="s">
        <v>2182</v>
      </c>
      <c r="G566" t="s">
        <v>1935</v>
      </c>
      <c r="H566" t="s">
        <v>1935</v>
      </c>
    </row>
    <row r="567" spans="1:8">
      <c r="A567" t="s">
        <v>297</v>
      </c>
      <c r="B567" t="s">
        <v>2563</v>
      </c>
      <c r="C567" t="s">
        <v>38</v>
      </c>
      <c r="D567">
        <v>105</v>
      </c>
      <c r="E567" t="s">
        <v>1809</v>
      </c>
      <c r="F567" t="s">
        <v>1676</v>
      </c>
      <c r="G567" t="s">
        <v>1935</v>
      </c>
      <c r="H567" t="s">
        <v>1935</v>
      </c>
    </row>
    <row r="568" spans="1:8">
      <c r="A568" t="s">
        <v>297</v>
      </c>
      <c r="B568" t="s">
        <v>2563</v>
      </c>
      <c r="C568" t="s">
        <v>38</v>
      </c>
      <c r="D568">
        <v>106</v>
      </c>
      <c r="E568" t="s">
        <v>1706</v>
      </c>
      <c r="F568" t="s">
        <v>1705</v>
      </c>
      <c r="G568" t="s">
        <v>1935</v>
      </c>
      <c r="H568" t="s">
        <v>1935</v>
      </c>
    </row>
    <row r="569" spans="1:8">
      <c r="A569" t="s">
        <v>297</v>
      </c>
      <c r="B569" t="s">
        <v>2563</v>
      </c>
      <c r="C569" t="s">
        <v>38</v>
      </c>
      <c r="D569">
        <v>107</v>
      </c>
      <c r="E569" t="s">
        <v>1689</v>
      </c>
      <c r="F569" t="s">
        <v>1688</v>
      </c>
      <c r="G569" t="s">
        <v>1935</v>
      </c>
      <c r="H569" t="s">
        <v>1935</v>
      </c>
    </row>
    <row r="570" spans="1:8">
      <c r="A570" t="s">
        <v>297</v>
      </c>
      <c r="B570" t="s">
        <v>2563</v>
      </c>
      <c r="C570" t="s">
        <v>38</v>
      </c>
      <c r="D570">
        <v>108</v>
      </c>
      <c r="E570" t="s">
        <v>1708</v>
      </c>
      <c r="F570" t="s">
        <v>1707</v>
      </c>
      <c r="G570" t="s">
        <v>1935</v>
      </c>
      <c r="H570" t="s">
        <v>1935</v>
      </c>
    </row>
    <row r="571" spans="1:8">
      <c r="A571" t="s">
        <v>297</v>
      </c>
      <c r="B571" t="s">
        <v>2563</v>
      </c>
      <c r="C571" t="s">
        <v>38</v>
      </c>
      <c r="D571">
        <v>109</v>
      </c>
      <c r="E571" t="s">
        <v>1710</v>
      </c>
      <c r="F571" t="s">
        <v>1709</v>
      </c>
      <c r="G571" t="s">
        <v>1935</v>
      </c>
      <c r="H571" t="s">
        <v>1935</v>
      </c>
    </row>
    <row r="572" spans="1:8">
      <c r="A572" t="s">
        <v>297</v>
      </c>
      <c r="B572" t="s">
        <v>2563</v>
      </c>
      <c r="C572" t="s">
        <v>38</v>
      </c>
      <c r="D572">
        <v>110</v>
      </c>
      <c r="E572" t="s">
        <v>1712</v>
      </c>
      <c r="F572" t="s">
        <v>1711</v>
      </c>
      <c r="G572" t="s">
        <v>1935</v>
      </c>
      <c r="H572" t="s">
        <v>1935</v>
      </c>
    </row>
    <row r="573" spans="1:8">
      <c r="A573" t="s">
        <v>297</v>
      </c>
      <c r="B573" t="s">
        <v>2563</v>
      </c>
      <c r="C573" t="s">
        <v>38</v>
      </c>
      <c r="D573">
        <v>111</v>
      </c>
      <c r="E573" t="s">
        <v>1698</v>
      </c>
      <c r="F573" t="s">
        <v>1697</v>
      </c>
      <c r="G573" t="s">
        <v>1935</v>
      </c>
      <c r="H573" t="s">
        <v>1935</v>
      </c>
    </row>
    <row r="574" spans="1:8">
      <c r="A574" t="s">
        <v>297</v>
      </c>
      <c r="B574" t="s">
        <v>2563</v>
      </c>
      <c r="C574" t="s">
        <v>38</v>
      </c>
      <c r="D574">
        <v>112</v>
      </c>
      <c r="E574" t="s">
        <v>1714</v>
      </c>
      <c r="F574" t="s">
        <v>1713</v>
      </c>
      <c r="G574" t="s">
        <v>1935</v>
      </c>
      <c r="H574" t="s">
        <v>1935</v>
      </c>
    </row>
    <row r="575" spans="1:8">
      <c r="A575" t="s">
        <v>297</v>
      </c>
      <c r="B575" t="s">
        <v>2563</v>
      </c>
      <c r="C575" t="s">
        <v>38</v>
      </c>
      <c r="D575">
        <v>113</v>
      </c>
      <c r="E575" t="s">
        <v>1700</v>
      </c>
      <c r="F575" t="s">
        <v>1699</v>
      </c>
      <c r="G575" t="s">
        <v>1935</v>
      </c>
      <c r="H575" t="s">
        <v>1935</v>
      </c>
    </row>
    <row r="576" spans="1:8">
      <c r="A576" t="s">
        <v>297</v>
      </c>
      <c r="B576" t="s">
        <v>2563</v>
      </c>
      <c r="C576" t="s">
        <v>38</v>
      </c>
      <c r="D576">
        <v>114</v>
      </c>
      <c r="E576" t="s">
        <v>1716</v>
      </c>
      <c r="F576" t="s">
        <v>1715</v>
      </c>
      <c r="G576" t="s">
        <v>1935</v>
      </c>
      <c r="H576" t="s">
        <v>1935</v>
      </c>
    </row>
    <row r="577" spans="1:8">
      <c r="A577" t="s">
        <v>297</v>
      </c>
      <c r="B577" t="s">
        <v>2563</v>
      </c>
      <c r="C577" t="s">
        <v>38</v>
      </c>
      <c r="D577">
        <v>115</v>
      </c>
      <c r="E577" t="s">
        <v>1702</v>
      </c>
      <c r="F577" t="s">
        <v>1701</v>
      </c>
      <c r="G577" t="s">
        <v>1935</v>
      </c>
      <c r="H577" t="s">
        <v>1935</v>
      </c>
    </row>
    <row r="578" spans="1:8">
      <c r="A578" t="s">
        <v>297</v>
      </c>
      <c r="B578" t="s">
        <v>2563</v>
      </c>
      <c r="C578" t="s">
        <v>38</v>
      </c>
      <c r="D578">
        <v>116</v>
      </c>
      <c r="E578" t="s">
        <v>1718</v>
      </c>
      <c r="F578" t="s">
        <v>1717</v>
      </c>
      <c r="G578" t="s">
        <v>1935</v>
      </c>
      <c r="H578" t="s">
        <v>1935</v>
      </c>
    </row>
    <row r="579" spans="1:8">
      <c r="A579" t="s">
        <v>297</v>
      </c>
      <c r="B579" t="s">
        <v>2563</v>
      </c>
      <c r="C579" t="s">
        <v>38</v>
      </c>
      <c r="D579">
        <v>117</v>
      </c>
      <c r="E579" t="s">
        <v>1704</v>
      </c>
      <c r="F579" t="s">
        <v>1703</v>
      </c>
      <c r="G579" t="s">
        <v>1935</v>
      </c>
      <c r="H579" t="s">
        <v>1935</v>
      </c>
    </row>
    <row r="580" spans="1:8">
      <c r="A580" t="s">
        <v>297</v>
      </c>
      <c r="B580" t="s">
        <v>2563</v>
      </c>
      <c r="C580" t="s">
        <v>38</v>
      </c>
      <c r="D580">
        <v>118</v>
      </c>
      <c r="E580" t="s">
        <v>1720</v>
      </c>
      <c r="F580" t="s">
        <v>1719</v>
      </c>
      <c r="G580" t="s">
        <v>1935</v>
      </c>
      <c r="H580" t="s">
        <v>1935</v>
      </c>
    </row>
    <row r="581" spans="1:8">
      <c r="A581" t="s">
        <v>297</v>
      </c>
      <c r="B581" t="s">
        <v>2563</v>
      </c>
      <c r="C581" t="s">
        <v>38</v>
      </c>
      <c r="D581">
        <v>119</v>
      </c>
      <c r="E581" t="s">
        <v>1746</v>
      </c>
      <c r="F581" t="s">
        <v>1745</v>
      </c>
      <c r="G581" t="s">
        <v>1935</v>
      </c>
      <c r="H581" t="s">
        <v>1935</v>
      </c>
    </row>
    <row r="582" spans="1:8">
      <c r="A582" t="s">
        <v>297</v>
      </c>
      <c r="B582" t="s">
        <v>2563</v>
      </c>
      <c r="C582" t="s">
        <v>38</v>
      </c>
      <c r="D582">
        <v>120</v>
      </c>
      <c r="E582" t="s">
        <v>1722</v>
      </c>
      <c r="F582" t="s">
        <v>1721</v>
      </c>
      <c r="G582" t="s">
        <v>1935</v>
      </c>
      <c r="H582" t="s">
        <v>1935</v>
      </c>
    </row>
    <row r="583" spans="1:8">
      <c r="A583" t="s">
        <v>297</v>
      </c>
      <c r="B583" t="s">
        <v>2563</v>
      </c>
      <c r="C583" t="s">
        <v>38</v>
      </c>
      <c r="D583">
        <v>121</v>
      </c>
      <c r="E583" t="s">
        <v>2589</v>
      </c>
      <c r="F583" t="s">
        <v>1754</v>
      </c>
      <c r="G583" t="s">
        <v>1935</v>
      </c>
      <c r="H583" t="s">
        <v>1935</v>
      </c>
    </row>
    <row r="584" spans="1:8">
      <c r="A584" t="s">
        <v>297</v>
      </c>
      <c r="B584" t="s">
        <v>2563</v>
      </c>
      <c r="C584" t="s">
        <v>38</v>
      </c>
      <c r="D584">
        <v>122</v>
      </c>
      <c r="E584" t="s">
        <v>1724</v>
      </c>
      <c r="F584" t="s">
        <v>1723</v>
      </c>
      <c r="G584" t="s">
        <v>1935</v>
      </c>
      <c r="H584" t="s">
        <v>1935</v>
      </c>
    </row>
    <row r="585" spans="1:8">
      <c r="A585" t="s">
        <v>297</v>
      </c>
      <c r="B585" t="s">
        <v>2563</v>
      </c>
      <c r="C585" t="s">
        <v>38</v>
      </c>
      <c r="D585">
        <v>123</v>
      </c>
      <c r="E585" t="s">
        <v>1758</v>
      </c>
      <c r="F585" t="s">
        <v>1818</v>
      </c>
      <c r="G585" t="s">
        <v>1935</v>
      </c>
      <c r="H585" t="s">
        <v>1935</v>
      </c>
    </row>
    <row r="586" spans="1:8">
      <c r="A586" t="s">
        <v>297</v>
      </c>
      <c r="B586" t="s">
        <v>2563</v>
      </c>
      <c r="C586" t="s">
        <v>38</v>
      </c>
      <c r="D586">
        <v>124</v>
      </c>
      <c r="E586" t="s">
        <v>1726</v>
      </c>
      <c r="F586" t="s">
        <v>1725</v>
      </c>
      <c r="G586" t="s">
        <v>1935</v>
      </c>
      <c r="H586" t="s">
        <v>1935</v>
      </c>
    </row>
    <row r="587" spans="1:8">
      <c r="A587" t="s">
        <v>297</v>
      </c>
      <c r="B587" t="s">
        <v>2563</v>
      </c>
      <c r="C587" t="s">
        <v>38</v>
      </c>
      <c r="D587">
        <v>125</v>
      </c>
      <c r="E587" t="s">
        <v>1784</v>
      </c>
      <c r="F587" t="s">
        <v>1783</v>
      </c>
      <c r="G587" t="s">
        <v>1935</v>
      </c>
      <c r="H587" t="s">
        <v>1935</v>
      </c>
    </row>
    <row r="588" spans="1:8">
      <c r="A588" t="s">
        <v>297</v>
      </c>
      <c r="B588" t="s">
        <v>2563</v>
      </c>
      <c r="C588" t="s">
        <v>38</v>
      </c>
      <c r="D588">
        <v>126</v>
      </c>
      <c r="E588" t="s">
        <v>1728</v>
      </c>
      <c r="F588" t="s">
        <v>1727</v>
      </c>
      <c r="G588" t="s">
        <v>1935</v>
      </c>
      <c r="H588" t="s">
        <v>1935</v>
      </c>
    </row>
    <row r="589" spans="1:8">
      <c r="A589" t="s">
        <v>297</v>
      </c>
      <c r="B589" t="s">
        <v>2563</v>
      </c>
      <c r="C589" t="s">
        <v>38</v>
      </c>
      <c r="D589">
        <v>127</v>
      </c>
      <c r="E589" t="s">
        <v>1730</v>
      </c>
      <c r="F589" t="s">
        <v>1729</v>
      </c>
      <c r="G589" t="s">
        <v>1935</v>
      </c>
      <c r="H589" t="s">
        <v>1935</v>
      </c>
    </row>
    <row r="590" spans="1:8">
      <c r="A590" t="s">
        <v>297</v>
      </c>
      <c r="B590" t="s">
        <v>2563</v>
      </c>
      <c r="C590" t="s">
        <v>38</v>
      </c>
      <c r="D590">
        <v>128</v>
      </c>
      <c r="E590" t="s">
        <v>1737</v>
      </c>
      <c r="F590" t="s">
        <v>1736</v>
      </c>
      <c r="G590" t="s">
        <v>1935</v>
      </c>
      <c r="H590" t="s">
        <v>1935</v>
      </c>
    </row>
    <row r="591" spans="1:8">
      <c r="A591" t="s">
        <v>297</v>
      </c>
      <c r="B591" t="s">
        <v>2563</v>
      </c>
      <c r="C591" t="s">
        <v>38</v>
      </c>
      <c r="D591">
        <v>129</v>
      </c>
      <c r="E591" t="s">
        <v>1677</v>
      </c>
      <c r="F591" t="s">
        <v>1810</v>
      </c>
      <c r="G591" t="s">
        <v>1935</v>
      </c>
      <c r="H591" t="s">
        <v>1935</v>
      </c>
    </row>
    <row r="592" spans="1:8">
      <c r="A592" t="s">
        <v>297</v>
      </c>
      <c r="B592" t="s">
        <v>2563</v>
      </c>
      <c r="C592" t="s">
        <v>38</v>
      </c>
      <c r="D592">
        <v>130</v>
      </c>
      <c r="E592" t="s">
        <v>1744</v>
      </c>
      <c r="F592" t="s">
        <v>1743</v>
      </c>
      <c r="G592" t="s">
        <v>1935</v>
      </c>
      <c r="H592" t="s">
        <v>1935</v>
      </c>
    </row>
    <row r="593" spans="1:8">
      <c r="A593" t="s">
        <v>297</v>
      </c>
      <c r="B593" t="s">
        <v>2563</v>
      </c>
      <c r="C593" t="s">
        <v>38</v>
      </c>
      <c r="D593">
        <v>131</v>
      </c>
      <c r="E593" t="s">
        <v>1678</v>
      </c>
      <c r="F593" t="s">
        <v>1811</v>
      </c>
      <c r="G593" t="s">
        <v>1935</v>
      </c>
      <c r="H593" t="s">
        <v>1935</v>
      </c>
    </row>
    <row r="594" spans="1:8">
      <c r="A594" t="s">
        <v>297</v>
      </c>
      <c r="B594" t="s">
        <v>2563</v>
      </c>
      <c r="C594" t="s">
        <v>38</v>
      </c>
      <c r="D594">
        <v>132</v>
      </c>
      <c r="E594" t="s">
        <v>1691</v>
      </c>
      <c r="F594" t="s">
        <v>1690</v>
      </c>
      <c r="G594" t="s">
        <v>1935</v>
      </c>
      <c r="H594" t="s">
        <v>1935</v>
      </c>
    </row>
    <row r="595" spans="1:8">
      <c r="A595" t="s">
        <v>297</v>
      </c>
      <c r="B595" t="s">
        <v>2563</v>
      </c>
      <c r="C595" t="s">
        <v>38</v>
      </c>
      <c r="D595">
        <v>133</v>
      </c>
      <c r="E595" t="s">
        <v>1693</v>
      </c>
      <c r="F595" t="s">
        <v>1692</v>
      </c>
      <c r="G595" t="s">
        <v>1935</v>
      </c>
      <c r="H595" t="s">
        <v>1935</v>
      </c>
    </row>
    <row r="596" spans="1:8">
      <c r="A596" t="s">
        <v>297</v>
      </c>
      <c r="B596" t="s">
        <v>2563</v>
      </c>
      <c r="C596" t="s">
        <v>38</v>
      </c>
      <c r="D596">
        <v>134</v>
      </c>
      <c r="E596" t="s">
        <v>1735</v>
      </c>
      <c r="F596" t="s">
        <v>1734</v>
      </c>
      <c r="G596" t="s">
        <v>1935</v>
      </c>
      <c r="H596" t="s">
        <v>1935</v>
      </c>
    </row>
    <row r="597" spans="1:8">
      <c r="A597" t="s">
        <v>297</v>
      </c>
      <c r="B597" t="s">
        <v>2563</v>
      </c>
      <c r="C597" t="s">
        <v>38</v>
      </c>
      <c r="D597">
        <v>135</v>
      </c>
      <c r="E597" t="s">
        <v>1740</v>
      </c>
      <c r="F597" t="s">
        <v>2214</v>
      </c>
      <c r="G597" t="s">
        <v>1935</v>
      </c>
      <c r="H597" t="s">
        <v>1935</v>
      </c>
    </row>
    <row r="598" spans="1:8">
      <c r="A598" t="s">
        <v>297</v>
      </c>
      <c r="B598" t="s">
        <v>2563</v>
      </c>
      <c r="C598" t="s">
        <v>38</v>
      </c>
      <c r="D598">
        <v>136</v>
      </c>
      <c r="E598" t="s">
        <v>1742</v>
      </c>
      <c r="F598" t="s">
        <v>1741</v>
      </c>
      <c r="G598" t="s">
        <v>1935</v>
      </c>
      <c r="H598" t="s">
        <v>1935</v>
      </c>
    </row>
    <row r="599" spans="1:8">
      <c r="A599" t="s">
        <v>297</v>
      </c>
      <c r="B599" t="s">
        <v>2563</v>
      </c>
      <c r="C599" t="s">
        <v>38</v>
      </c>
      <c r="D599">
        <v>137</v>
      </c>
      <c r="E599" t="s">
        <v>1759</v>
      </c>
      <c r="F599" t="s">
        <v>1510</v>
      </c>
      <c r="G599" t="s">
        <v>1935</v>
      </c>
      <c r="H599" t="s">
        <v>1935</v>
      </c>
    </row>
    <row r="600" spans="1:8">
      <c r="A600" t="s">
        <v>297</v>
      </c>
      <c r="B600" t="s">
        <v>2563</v>
      </c>
      <c r="C600" t="s">
        <v>38</v>
      </c>
      <c r="D600">
        <v>138</v>
      </c>
      <c r="E600" t="s">
        <v>1766</v>
      </c>
      <c r="F600" t="s">
        <v>1765</v>
      </c>
      <c r="G600" t="s">
        <v>1935</v>
      </c>
      <c r="H600" t="s">
        <v>1935</v>
      </c>
    </row>
    <row r="601" spans="1:8">
      <c r="A601" t="s">
        <v>297</v>
      </c>
      <c r="B601" t="s">
        <v>2563</v>
      </c>
      <c r="C601" t="s">
        <v>38</v>
      </c>
      <c r="D601">
        <v>139</v>
      </c>
      <c r="E601" t="s">
        <v>1771</v>
      </c>
      <c r="F601" t="s">
        <v>1770</v>
      </c>
      <c r="G601" t="s">
        <v>1935</v>
      </c>
      <c r="H601" t="s">
        <v>1935</v>
      </c>
    </row>
    <row r="602" spans="1:8">
      <c r="A602" t="s">
        <v>297</v>
      </c>
      <c r="B602" t="s">
        <v>2563</v>
      </c>
      <c r="C602" t="s">
        <v>38</v>
      </c>
      <c r="D602">
        <v>140</v>
      </c>
      <c r="E602" t="s">
        <v>1774</v>
      </c>
      <c r="F602" t="s">
        <v>1773</v>
      </c>
      <c r="G602" t="s">
        <v>1935</v>
      </c>
      <c r="H602" t="s">
        <v>1935</v>
      </c>
    </row>
    <row r="603" spans="1:8">
      <c r="A603" t="s">
        <v>297</v>
      </c>
      <c r="B603" t="s">
        <v>2563</v>
      </c>
      <c r="C603" t="s">
        <v>38</v>
      </c>
      <c r="D603">
        <v>141</v>
      </c>
      <c r="E603" t="s">
        <v>1776</v>
      </c>
      <c r="F603" t="s">
        <v>1775</v>
      </c>
      <c r="G603" t="s">
        <v>1935</v>
      </c>
      <c r="H603" t="s">
        <v>1935</v>
      </c>
    </row>
    <row r="604" spans="1:8">
      <c r="A604" t="s">
        <v>297</v>
      </c>
      <c r="B604" t="s">
        <v>2563</v>
      </c>
      <c r="C604" t="s">
        <v>38</v>
      </c>
      <c r="D604">
        <v>142</v>
      </c>
      <c r="E604" t="s">
        <v>1778</v>
      </c>
      <c r="F604" t="s">
        <v>1777</v>
      </c>
      <c r="G604" t="s">
        <v>1935</v>
      </c>
      <c r="H604" t="s">
        <v>1935</v>
      </c>
    </row>
    <row r="605" spans="1:8">
      <c r="A605" t="s">
        <v>297</v>
      </c>
      <c r="B605" t="s">
        <v>2563</v>
      </c>
      <c r="C605" t="s">
        <v>38</v>
      </c>
      <c r="D605">
        <v>143</v>
      </c>
      <c r="E605" t="s">
        <v>1786</v>
      </c>
      <c r="F605" t="s">
        <v>1785</v>
      </c>
      <c r="G605" t="s">
        <v>1935</v>
      </c>
      <c r="H605" t="s">
        <v>1935</v>
      </c>
    </row>
    <row r="606" spans="1:8">
      <c r="A606" t="s">
        <v>297</v>
      </c>
      <c r="B606" t="s">
        <v>2563</v>
      </c>
      <c r="C606" t="s">
        <v>38</v>
      </c>
      <c r="D606">
        <v>144</v>
      </c>
      <c r="E606" t="s">
        <v>1788</v>
      </c>
      <c r="F606" t="s">
        <v>1787</v>
      </c>
      <c r="G606" t="s">
        <v>1935</v>
      </c>
      <c r="H606" t="s">
        <v>1935</v>
      </c>
    </row>
    <row r="607" spans="1:8">
      <c r="A607" t="s">
        <v>297</v>
      </c>
      <c r="B607" t="s">
        <v>2563</v>
      </c>
      <c r="C607" t="s">
        <v>38</v>
      </c>
      <c r="D607">
        <v>145</v>
      </c>
      <c r="E607" t="s">
        <v>1683</v>
      </c>
      <c r="F607" t="s">
        <v>1682</v>
      </c>
      <c r="G607" t="s">
        <v>1935</v>
      </c>
      <c r="H607" t="s">
        <v>1935</v>
      </c>
    </row>
    <row r="608" spans="1:8">
      <c r="A608" t="s">
        <v>297</v>
      </c>
      <c r="B608" t="s">
        <v>2563</v>
      </c>
      <c r="C608" t="s">
        <v>38</v>
      </c>
      <c r="D608">
        <v>146</v>
      </c>
      <c r="E608" t="s">
        <v>1750</v>
      </c>
      <c r="F608" t="s">
        <v>1749</v>
      </c>
      <c r="G608" t="s">
        <v>1935</v>
      </c>
      <c r="H608" t="s">
        <v>1935</v>
      </c>
    </row>
    <row r="609" spans="1:8">
      <c r="A609" t="s">
        <v>297</v>
      </c>
      <c r="B609" t="s">
        <v>2563</v>
      </c>
      <c r="C609" t="s">
        <v>38</v>
      </c>
      <c r="D609">
        <v>147</v>
      </c>
      <c r="E609" t="s">
        <v>2590</v>
      </c>
      <c r="F609" t="s">
        <v>1488</v>
      </c>
      <c r="G609" t="s">
        <v>1935</v>
      </c>
      <c r="H609" t="s">
        <v>1935</v>
      </c>
    </row>
    <row r="610" spans="1:8">
      <c r="A610" t="s">
        <v>297</v>
      </c>
      <c r="B610" t="s">
        <v>2563</v>
      </c>
      <c r="C610" t="s">
        <v>38</v>
      </c>
      <c r="D610">
        <v>148</v>
      </c>
      <c r="E610" t="s">
        <v>1802</v>
      </c>
      <c r="F610" t="s">
        <v>1507</v>
      </c>
      <c r="G610" t="s">
        <v>1935</v>
      </c>
      <c r="H610" t="s">
        <v>1935</v>
      </c>
    </row>
    <row r="611" spans="1:8">
      <c r="A611" t="s">
        <v>297</v>
      </c>
      <c r="B611" t="s">
        <v>2563</v>
      </c>
      <c r="C611" t="s">
        <v>38</v>
      </c>
      <c r="D611">
        <v>149</v>
      </c>
      <c r="E611" t="s">
        <v>1816</v>
      </c>
      <c r="F611" t="s">
        <v>1508</v>
      </c>
      <c r="G611" t="s">
        <v>1935</v>
      </c>
      <c r="H611" t="s">
        <v>1935</v>
      </c>
    </row>
    <row r="612" spans="1:8">
      <c r="A612" t="s">
        <v>297</v>
      </c>
      <c r="B612" t="s">
        <v>2563</v>
      </c>
      <c r="C612" t="s">
        <v>38</v>
      </c>
      <c r="D612">
        <v>150</v>
      </c>
      <c r="E612" t="s">
        <v>1884</v>
      </c>
      <c r="F612" t="s">
        <v>1879</v>
      </c>
      <c r="G612" t="s">
        <v>1935</v>
      </c>
      <c r="H612" t="s">
        <v>1935</v>
      </c>
    </row>
    <row r="613" spans="1:8">
      <c r="A613" t="s">
        <v>297</v>
      </c>
      <c r="B613" t="s">
        <v>2563</v>
      </c>
      <c r="C613" t="s">
        <v>38</v>
      </c>
      <c r="D613">
        <v>151</v>
      </c>
      <c r="E613" t="s">
        <v>1885</v>
      </c>
      <c r="F613" t="s">
        <v>1880</v>
      </c>
      <c r="G613" t="s">
        <v>1935</v>
      </c>
      <c r="H613" t="s">
        <v>1935</v>
      </c>
    </row>
    <row r="614" spans="1:8">
      <c r="A614" t="s">
        <v>297</v>
      </c>
      <c r="B614" t="s">
        <v>2563</v>
      </c>
      <c r="C614" t="s">
        <v>38</v>
      </c>
      <c r="D614">
        <v>152</v>
      </c>
      <c r="E614" t="s">
        <v>1794</v>
      </c>
      <c r="F614" t="s">
        <v>1793</v>
      </c>
      <c r="G614" t="s">
        <v>1935</v>
      </c>
      <c r="H614" t="s">
        <v>1935</v>
      </c>
    </row>
    <row r="615" spans="1:8">
      <c r="A615" t="s">
        <v>297</v>
      </c>
      <c r="B615" t="s">
        <v>2563</v>
      </c>
      <c r="C615" t="s">
        <v>38</v>
      </c>
      <c r="D615">
        <v>153</v>
      </c>
      <c r="E615" t="s">
        <v>1886</v>
      </c>
      <c r="F615" t="s">
        <v>1881</v>
      </c>
      <c r="G615" t="s">
        <v>1935</v>
      </c>
      <c r="H615" t="s">
        <v>1935</v>
      </c>
    </row>
    <row r="616" spans="1:8">
      <c r="A616" t="s">
        <v>297</v>
      </c>
      <c r="B616" t="s">
        <v>2563</v>
      </c>
      <c r="C616" t="s">
        <v>38</v>
      </c>
      <c r="D616">
        <v>154</v>
      </c>
      <c r="E616" t="s">
        <v>1795</v>
      </c>
      <c r="F616" t="s">
        <v>1661</v>
      </c>
      <c r="G616" t="s">
        <v>1935</v>
      </c>
      <c r="H616" t="s">
        <v>1935</v>
      </c>
    </row>
    <row r="617" spans="1:8">
      <c r="A617" t="s">
        <v>297</v>
      </c>
      <c r="B617" t="s">
        <v>2563</v>
      </c>
      <c r="C617" t="s">
        <v>38</v>
      </c>
      <c r="D617">
        <v>155</v>
      </c>
      <c r="E617" t="s">
        <v>1798</v>
      </c>
      <c r="F617" t="s">
        <v>1797</v>
      </c>
      <c r="G617" t="s">
        <v>1935</v>
      </c>
      <c r="H617" t="s">
        <v>1935</v>
      </c>
    </row>
    <row r="618" spans="1:8">
      <c r="A618" t="s">
        <v>297</v>
      </c>
      <c r="B618" t="s">
        <v>2563</v>
      </c>
      <c r="C618" t="s">
        <v>38</v>
      </c>
      <c r="D618">
        <v>156</v>
      </c>
      <c r="E618" t="s">
        <v>1887</v>
      </c>
      <c r="F618" t="s">
        <v>1739</v>
      </c>
      <c r="G618" t="s">
        <v>1935</v>
      </c>
      <c r="H618" t="s">
        <v>1935</v>
      </c>
    </row>
    <row r="619" spans="1:8">
      <c r="A619" t="s">
        <v>297</v>
      </c>
      <c r="B619" t="s">
        <v>2563</v>
      </c>
      <c r="C619" t="s">
        <v>38</v>
      </c>
      <c r="D619">
        <v>157</v>
      </c>
      <c r="E619" t="s">
        <v>1813</v>
      </c>
      <c r="F619" t="s">
        <v>1694</v>
      </c>
      <c r="G619" t="s">
        <v>1935</v>
      </c>
      <c r="H619" t="s">
        <v>1935</v>
      </c>
    </row>
    <row r="620" spans="1:8">
      <c r="A620" t="s">
        <v>297</v>
      </c>
      <c r="B620" t="s">
        <v>2563</v>
      </c>
      <c r="C620" t="s">
        <v>38</v>
      </c>
      <c r="D620">
        <v>158</v>
      </c>
      <c r="E620" t="s">
        <v>1751</v>
      </c>
      <c r="F620" t="s">
        <v>1817</v>
      </c>
      <c r="G620" t="s">
        <v>1935</v>
      </c>
      <c r="H620" t="s">
        <v>1935</v>
      </c>
    </row>
    <row r="621" spans="1:8">
      <c r="A621" t="s">
        <v>297</v>
      </c>
      <c r="B621" t="s">
        <v>2563</v>
      </c>
      <c r="C621" t="s">
        <v>38</v>
      </c>
      <c r="D621">
        <v>159</v>
      </c>
      <c r="E621" t="s">
        <v>1888</v>
      </c>
      <c r="F621" t="s">
        <v>1882</v>
      </c>
      <c r="G621" t="s">
        <v>1935</v>
      </c>
      <c r="H621" t="s">
        <v>1935</v>
      </c>
    </row>
    <row r="622" spans="1:8">
      <c r="A622" t="s">
        <v>297</v>
      </c>
      <c r="B622" t="s">
        <v>2563</v>
      </c>
      <c r="C622" t="s">
        <v>38</v>
      </c>
      <c r="D622">
        <v>160</v>
      </c>
      <c r="E622" t="s">
        <v>1748</v>
      </c>
      <c r="F622" t="s">
        <v>1747</v>
      </c>
      <c r="G622" t="s">
        <v>1935</v>
      </c>
      <c r="H622" t="s">
        <v>1935</v>
      </c>
    </row>
    <row r="623" spans="1:8">
      <c r="A623" t="s">
        <v>297</v>
      </c>
      <c r="B623" t="s">
        <v>2563</v>
      </c>
      <c r="C623" t="s">
        <v>38</v>
      </c>
      <c r="D623">
        <v>161</v>
      </c>
      <c r="E623" t="s">
        <v>1501</v>
      </c>
      <c r="F623" t="s">
        <v>1491</v>
      </c>
      <c r="G623" t="s">
        <v>1935</v>
      </c>
      <c r="H623" t="s">
        <v>1935</v>
      </c>
    </row>
    <row r="624" spans="1:8">
      <c r="A624" t="s">
        <v>297</v>
      </c>
      <c r="B624" t="s">
        <v>2563</v>
      </c>
      <c r="C624" t="s">
        <v>38</v>
      </c>
      <c r="D624">
        <v>162</v>
      </c>
      <c r="E624" t="s">
        <v>1889</v>
      </c>
      <c r="F624" t="s">
        <v>1883</v>
      </c>
      <c r="G624" t="s">
        <v>1935</v>
      </c>
      <c r="H624" t="s">
        <v>1935</v>
      </c>
    </row>
    <row r="625" spans="1:8">
      <c r="A625" t="s">
        <v>297</v>
      </c>
      <c r="B625" t="s">
        <v>2563</v>
      </c>
      <c r="C625" t="s">
        <v>38</v>
      </c>
      <c r="D625">
        <v>163</v>
      </c>
      <c r="E625" t="s">
        <v>1824</v>
      </c>
      <c r="F625" t="s">
        <v>1823</v>
      </c>
      <c r="G625" t="s">
        <v>1935</v>
      </c>
      <c r="H625" t="s">
        <v>1935</v>
      </c>
    </row>
    <row r="626" spans="1:8">
      <c r="A626" t="s">
        <v>297</v>
      </c>
      <c r="B626" t="s">
        <v>2563</v>
      </c>
      <c r="C626" t="s">
        <v>38</v>
      </c>
      <c r="D626">
        <v>164</v>
      </c>
      <c r="E626" t="s">
        <v>1764</v>
      </c>
      <c r="F626" t="s">
        <v>1763</v>
      </c>
      <c r="G626" t="s">
        <v>1935</v>
      </c>
      <c r="H626" t="s">
        <v>1935</v>
      </c>
    </row>
    <row r="627" spans="1:8">
      <c r="A627" t="s">
        <v>297</v>
      </c>
      <c r="B627" t="s">
        <v>2563</v>
      </c>
      <c r="C627" t="s">
        <v>38</v>
      </c>
      <c r="D627">
        <v>165</v>
      </c>
      <c r="E627" t="s">
        <v>1502</v>
      </c>
      <c r="F627" t="s">
        <v>1492</v>
      </c>
      <c r="G627" t="s">
        <v>1935</v>
      </c>
      <c r="H627" t="s">
        <v>1935</v>
      </c>
    </row>
    <row r="628" spans="1:8">
      <c r="A628" t="s">
        <v>297</v>
      </c>
      <c r="B628" t="s">
        <v>2563</v>
      </c>
      <c r="C628" t="s">
        <v>38</v>
      </c>
      <c r="D628">
        <v>166</v>
      </c>
      <c r="E628" t="s">
        <v>1801</v>
      </c>
      <c r="F628" t="s">
        <v>1638</v>
      </c>
      <c r="G628" t="s">
        <v>1935</v>
      </c>
      <c r="H628" t="s">
        <v>1935</v>
      </c>
    </row>
    <row r="629" spans="1:8">
      <c r="A629" t="s">
        <v>297</v>
      </c>
      <c r="B629" t="s">
        <v>2563</v>
      </c>
      <c r="C629" t="s">
        <v>38</v>
      </c>
      <c r="D629">
        <v>167</v>
      </c>
      <c r="E629" t="s">
        <v>2591</v>
      </c>
      <c r="F629" t="s">
        <v>2247</v>
      </c>
      <c r="G629" t="s">
        <v>1935</v>
      </c>
      <c r="H629" t="s">
        <v>1935</v>
      </c>
    </row>
    <row r="630" spans="1:8">
      <c r="A630" t="s">
        <v>297</v>
      </c>
      <c r="B630" t="s">
        <v>2563</v>
      </c>
      <c r="C630" t="s">
        <v>38</v>
      </c>
      <c r="D630">
        <v>168</v>
      </c>
      <c r="E630" t="s">
        <v>1767</v>
      </c>
      <c r="F630" t="s">
        <v>2249</v>
      </c>
      <c r="G630" t="s">
        <v>1935</v>
      </c>
      <c r="H630" t="s">
        <v>1935</v>
      </c>
    </row>
    <row r="631" spans="1:8">
      <c r="A631" t="s">
        <v>297</v>
      </c>
      <c r="B631" t="s">
        <v>2563</v>
      </c>
      <c r="C631" t="s">
        <v>38</v>
      </c>
      <c r="D631">
        <v>169</v>
      </c>
      <c r="E631" t="s">
        <v>1821</v>
      </c>
      <c r="F631" t="s">
        <v>1820</v>
      </c>
      <c r="G631" t="s">
        <v>1935</v>
      </c>
      <c r="H631" t="s">
        <v>1935</v>
      </c>
    </row>
    <row r="632" spans="1:8">
      <c r="A632" t="s">
        <v>297</v>
      </c>
      <c r="B632" t="s">
        <v>2563</v>
      </c>
      <c r="C632" t="s">
        <v>38</v>
      </c>
      <c r="D632">
        <v>170</v>
      </c>
      <c r="E632" t="s">
        <v>1829</v>
      </c>
      <c r="F632" t="s">
        <v>1779</v>
      </c>
      <c r="G632" t="s">
        <v>1935</v>
      </c>
      <c r="H632" t="s">
        <v>1935</v>
      </c>
    </row>
    <row r="633" spans="1:8">
      <c r="A633" t="s">
        <v>297</v>
      </c>
      <c r="B633" t="s">
        <v>2563</v>
      </c>
      <c r="C633" t="s">
        <v>38</v>
      </c>
      <c r="D633">
        <v>171</v>
      </c>
      <c r="E633" t="s">
        <v>2592</v>
      </c>
      <c r="F633" t="s">
        <v>1837</v>
      </c>
      <c r="G633" t="s">
        <v>1935</v>
      </c>
      <c r="H633" t="s">
        <v>1935</v>
      </c>
    </row>
    <row r="634" spans="1:8">
      <c r="A634" t="s">
        <v>297</v>
      </c>
      <c r="B634" t="s">
        <v>2563</v>
      </c>
      <c r="C634" t="s">
        <v>38</v>
      </c>
      <c r="D634">
        <v>172</v>
      </c>
      <c r="E634" t="s">
        <v>1503</v>
      </c>
      <c r="F634" t="s">
        <v>1493</v>
      </c>
      <c r="G634" t="s">
        <v>1935</v>
      </c>
      <c r="H634" t="s">
        <v>1935</v>
      </c>
    </row>
    <row r="635" spans="1:8">
      <c r="A635" t="s">
        <v>297</v>
      </c>
      <c r="B635" t="s">
        <v>2563</v>
      </c>
      <c r="C635" t="s">
        <v>38</v>
      </c>
      <c r="D635">
        <v>173</v>
      </c>
      <c r="E635" t="s">
        <v>1504</v>
      </c>
      <c r="F635" t="s">
        <v>1494</v>
      </c>
      <c r="G635" t="s">
        <v>1935</v>
      </c>
      <c r="H635" t="s">
        <v>1935</v>
      </c>
    </row>
    <row r="636" spans="1:8">
      <c r="A636" t="s">
        <v>297</v>
      </c>
      <c r="B636" t="s">
        <v>2563</v>
      </c>
      <c r="C636" t="s">
        <v>38</v>
      </c>
      <c r="D636">
        <v>174</v>
      </c>
      <c r="E636" t="s">
        <v>2593</v>
      </c>
      <c r="F636" t="s">
        <v>2256</v>
      </c>
      <c r="G636" t="s">
        <v>1935</v>
      </c>
      <c r="H636" t="s">
        <v>1935</v>
      </c>
    </row>
    <row r="637" spans="1:8">
      <c r="A637" t="s">
        <v>297</v>
      </c>
      <c r="B637" t="s">
        <v>2563</v>
      </c>
      <c r="C637" t="s">
        <v>38</v>
      </c>
      <c r="D637">
        <v>175</v>
      </c>
      <c r="E637" t="s">
        <v>2594</v>
      </c>
      <c r="F637" t="s">
        <v>2258</v>
      </c>
      <c r="G637" t="s">
        <v>1935</v>
      </c>
      <c r="H637" t="s">
        <v>1935</v>
      </c>
    </row>
    <row r="638" spans="1:8">
      <c r="A638" t="s">
        <v>297</v>
      </c>
      <c r="B638" t="s">
        <v>2563</v>
      </c>
      <c r="C638" t="s">
        <v>38</v>
      </c>
      <c r="D638">
        <v>176</v>
      </c>
      <c r="E638" t="s">
        <v>2595</v>
      </c>
      <c r="F638" t="s">
        <v>2260</v>
      </c>
      <c r="G638" t="s">
        <v>1935</v>
      </c>
      <c r="H638" t="s">
        <v>1935</v>
      </c>
    </row>
    <row r="639" spans="1:8">
      <c r="A639" t="s">
        <v>297</v>
      </c>
      <c r="B639" t="s">
        <v>2563</v>
      </c>
      <c r="C639" t="s">
        <v>38</v>
      </c>
      <c r="D639">
        <v>177</v>
      </c>
      <c r="E639" t="s">
        <v>2596</v>
      </c>
      <c r="F639" t="s">
        <v>2262</v>
      </c>
      <c r="G639" t="s">
        <v>1935</v>
      </c>
      <c r="H639" t="s">
        <v>1935</v>
      </c>
    </row>
    <row r="640" spans="1:8">
      <c r="A640" t="s">
        <v>297</v>
      </c>
      <c r="B640" t="s">
        <v>2563</v>
      </c>
      <c r="C640" t="s">
        <v>38</v>
      </c>
      <c r="D640">
        <v>178</v>
      </c>
      <c r="E640" t="s">
        <v>2597</v>
      </c>
      <c r="F640" t="s">
        <v>2264</v>
      </c>
      <c r="G640" t="s">
        <v>1935</v>
      </c>
      <c r="H640" t="s">
        <v>1935</v>
      </c>
    </row>
    <row r="641" spans="1:8">
      <c r="A641" t="s">
        <v>297</v>
      </c>
      <c r="B641" t="s">
        <v>2563</v>
      </c>
      <c r="C641" t="s">
        <v>38</v>
      </c>
      <c r="D641">
        <v>179</v>
      </c>
      <c r="E641" t="s">
        <v>1822</v>
      </c>
      <c r="F641" t="s">
        <v>1511</v>
      </c>
      <c r="G641" t="s">
        <v>1935</v>
      </c>
      <c r="H641" t="s">
        <v>1935</v>
      </c>
    </row>
    <row r="642" spans="1:8">
      <c r="A642" t="s">
        <v>297</v>
      </c>
      <c r="B642" t="s">
        <v>2563</v>
      </c>
      <c r="C642" t="s">
        <v>38</v>
      </c>
      <c r="D642">
        <v>180</v>
      </c>
      <c r="E642" t="s">
        <v>1761</v>
      </c>
      <c r="F642" t="s">
        <v>1760</v>
      </c>
      <c r="G642" t="s">
        <v>1935</v>
      </c>
      <c r="H642" t="s">
        <v>1935</v>
      </c>
    </row>
    <row r="643" spans="1:8">
      <c r="A643" t="s">
        <v>297</v>
      </c>
      <c r="B643" t="s">
        <v>2563</v>
      </c>
      <c r="C643" t="s">
        <v>38</v>
      </c>
      <c r="D643">
        <v>181</v>
      </c>
      <c r="E643" t="s">
        <v>1815</v>
      </c>
      <c r="F643" t="s">
        <v>1814</v>
      </c>
      <c r="G643" t="s">
        <v>1935</v>
      </c>
      <c r="H643" t="s">
        <v>1935</v>
      </c>
    </row>
    <row r="644" spans="1:8">
      <c r="A644" t="s">
        <v>297</v>
      </c>
      <c r="B644" t="s">
        <v>2563</v>
      </c>
      <c r="C644" t="s">
        <v>38</v>
      </c>
      <c r="D644">
        <v>182</v>
      </c>
      <c r="E644" t="s">
        <v>1512</v>
      </c>
      <c r="F644" t="s">
        <v>1819</v>
      </c>
      <c r="G644" t="s">
        <v>1935</v>
      </c>
      <c r="H644" t="s">
        <v>1935</v>
      </c>
    </row>
    <row r="645" spans="1:8">
      <c r="A645" t="s">
        <v>297</v>
      </c>
      <c r="B645" t="s">
        <v>2563</v>
      </c>
      <c r="C645" t="s">
        <v>38</v>
      </c>
      <c r="D645">
        <v>183</v>
      </c>
      <c r="E645" t="s">
        <v>1826</v>
      </c>
      <c r="F645" t="s">
        <v>1825</v>
      </c>
      <c r="G645" t="s">
        <v>1935</v>
      </c>
      <c r="H645" t="s">
        <v>1935</v>
      </c>
    </row>
    <row r="646" spans="1:8">
      <c r="A646" t="s">
        <v>297</v>
      </c>
      <c r="B646" t="s">
        <v>2563</v>
      </c>
      <c r="C646" t="s">
        <v>38</v>
      </c>
      <c r="D646">
        <v>184</v>
      </c>
      <c r="E646" t="s">
        <v>1769</v>
      </c>
      <c r="F646" t="s">
        <v>1768</v>
      </c>
      <c r="G646" t="s">
        <v>1935</v>
      </c>
      <c r="H646" t="s">
        <v>1935</v>
      </c>
    </row>
    <row r="647" spans="1:8">
      <c r="A647" t="s">
        <v>297</v>
      </c>
      <c r="B647" t="s">
        <v>2563</v>
      </c>
      <c r="C647" t="s">
        <v>38</v>
      </c>
      <c r="D647">
        <v>185</v>
      </c>
      <c r="E647" t="s">
        <v>1828</v>
      </c>
      <c r="F647" t="s">
        <v>1827</v>
      </c>
      <c r="G647" t="s">
        <v>1935</v>
      </c>
      <c r="H647" t="s">
        <v>1935</v>
      </c>
    </row>
    <row r="648" spans="1:8">
      <c r="A648" t="s">
        <v>297</v>
      </c>
      <c r="B648" t="s">
        <v>2563</v>
      </c>
      <c r="C648" t="s">
        <v>38</v>
      </c>
      <c r="D648">
        <v>186</v>
      </c>
      <c r="E648" t="s">
        <v>1790</v>
      </c>
      <c r="F648" t="s">
        <v>1789</v>
      </c>
      <c r="G648" t="s">
        <v>1935</v>
      </c>
      <c r="H648" t="s">
        <v>1935</v>
      </c>
    </row>
    <row r="649" spans="1:8">
      <c r="A649" t="s">
        <v>297</v>
      </c>
      <c r="B649" t="s">
        <v>2563</v>
      </c>
      <c r="C649" t="s">
        <v>38</v>
      </c>
      <c r="D649">
        <v>187</v>
      </c>
      <c r="E649" t="s">
        <v>1495</v>
      </c>
      <c r="F649" t="s">
        <v>1680</v>
      </c>
      <c r="G649" t="s">
        <v>1935</v>
      </c>
      <c r="H649" t="s">
        <v>1935</v>
      </c>
    </row>
    <row r="650" spans="1:8">
      <c r="A650" t="s">
        <v>297</v>
      </c>
      <c r="B650" t="s">
        <v>2563</v>
      </c>
      <c r="C650" t="s">
        <v>38</v>
      </c>
      <c r="D650">
        <v>188</v>
      </c>
      <c r="E650" t="s">
        <v>1812</v>
      </c>
      <c r="F650" t="s">
        <v>1681</v>
      </c>
      <c r="G650" t="s">
        <v>1935</v>
      </c>
      <c r="H650" t="s">
        <v>1935</v>
      </c>
    </row>
    <row r="651" spans="1:8">
      <c r="A651" t="s">
        <v>1168</v>
      </c>
      <c r="B651" t="s">
        <v>1164</v>
      </c>
      <c r="C651" t="s">
        <v>38</v>
      </c>
      <c r="D651">
        <v>1</v>
      </c>
      <c r="E651" t="s">
        <v>2598</v>
      </c>
      <c r="F651" t="s">
        <v>1935</v>
      </c>
      <c r="G651" t="s">
        <v>1935</v>
      </c>
      <c r="H651" t="s">
        <v>1935</v>
      </c>
    </row>
    <row r="652" spans="1:8">
      <c r="A652" t="s">
        <v>1168</v>
      </c>
      <c r="B652" t="s">
        <v>1164</v>
      </c>
      <c r="C652" t="s">
        <v>38</v>
      </c>
      <c r="D652">
        <v>2</v>
      </c>
      <c r="E652" t="s">
        <v>1793</v>
      </c>
      <c r="F652" t="s">
        <v>1935</v>
      </c>
      <c r="G652" t="s">
        <v>1935</v>
      </c>
      <c r="H652" t="s">
        <v>1935</v>
      </c>
    </row>
    <row r="653" spans="1:8">
      <c r="A653" t="s">
        <v>1168</v>
      </c>
      <c r="B653" t="s">
        <v>1164</v>
      </c>
      <c r="C653" t="s">
        <v>38</v>
      </c>
      <c r="D653">
        <v>3</v>
      </c>
      <c r="E653" t="s">
        <v>2599</v>
      </c>
      <c r="F653" t="s">
        <v>1935</v>
      </c>
      <c r="G653" t="s">
        <v>1935</v>
      </c>
      <c r="H653" t="s">
        <v>1935</v>
      </c>
    </row>
    <row r="654" spans="1:8">
      <c r="A654" t="s">
        <v>1168</v>
      </c>
      <c r="B654" t="s">
        <v>1164</v>
      </c>
      <c r="C654" t="s">
        <v>38</v>
      </c>
      <c r="D654">
        <v>4</v>
      </c>
      <c r="E654" t="s">
        <v>2600</v>
      </c>
      <c r="F654" t="s">
        <v>1935</v>
      </c>
      <c r="G654" t="s">
        <v>1935</v>
      </c>
      <c r="H654" t="s">
        <v>1935</v>
      </c>
    </row>
    <row r="655" spans="1:8">
      <c r="A655" t="s">
        <v>1168</v>
      </c>
      <c r="B655" t="s">
        <v>1164</v>
      </c>
      <c r="C655" t="s">
        <v>38</v>
      </c>
      <c r="D655">
        <v>5</v>
      </c>
      <c r="E655" t="s">
        <v>2601</v>
      </c>
      <c r="F655" t="s">
        <v>1935</v>
      </c>
      <c r="G655" t="s">
        <v>1935</v>
      </c>
      <c r="H655" t="s">
        <v>1935</v>
      </c>
    </row>
    <row r="656" spans="1:8">
      <c r="A656" t="s">
        <v>1168</v>
      </c>
      <c r="B656" t="s">
        <v>1164</v>
      </c>
      <c r="C656" t="s">
        <v>38</v>
      </c>
      <c r="D656">
        <v>6</v>
      </c>
      <c r="E656" t="s">
        <v>2602</v>
      </c>
      <c r="F656" t="s">
        <v>1935</v>
      </c>
      <c r="G656" t="s">
        <v>1935</v>
      </c>
      <c r="H656" t="s">
        <v>1935</v>
      </c>
    </row>
    <row r="657" spans="1:8">
      <c r="A657" t="s">
        <v>1168</v>
      </c>
      <c r="B657" t="s">
        <v>1164</v>
      </c>
      <c r="C657" t="s">
        <v>38</v>
      </c>
      <c r="D657">
        <v>7</v>
      </c>
      <c r="E657" t="s">
        <v>2603</v>
      </c>
      <c r="F657" t="s">
        <v>1935</v>
      </c>
      <c r="G657" t="s">
        <v>1935</v>
      </c>
      <c r="H657" t="s">
        <v>1935</v>
      </c>
    </row>
    <row r="658" spans="1:8">
      <c r="A658" t="s">
        <v>1168</v>
      </c>
      <c r="B658" t="s">
        <v>1164</v>
      </c>
      <c r="C658" t="s">
        <v>38</v>
      </c>
      <c r="D658">
        <v>8</v>
      </c>
      <c r="E658" t="s">
        <v>2604</v>
      </c>
      <c r="F658" t="s">
        <v>1935</v>
      </c>
      <c r="G658" t="s">
        <v>1935</v>
      </c>
      <c r="H658" t="s">
        <v>1935</v>
      </c>
    </row>
    <row r="659" spans="1:8">
      <c r="A659" t="s">
        <v>1168</v>
      </c>
      <c r="B659" t="s">
        <v>1164</v>
      </c>
      <c r="C659" t="s">
        <v>38</v>
      </c>
      <c r="D659">
        <v>9</v>
      </c>
      <c r="E659" t="s">
        <v>2605</v>
      </c>
      <c r="F659" t="s">
        <v>1935</v>
      </c>
      <c r="G659" t="s">
        <v>1935</v>
      </c>
      <c r="H659" t="s">
        <v>1935</v>
      </c>
    </row>
    <row r="660" spans="1:8">
      <c r="A660" t="s">
        <v>1168</v>
      </c>
      <c r="B660" t="s">
        <v>1164</v>
      </c>
      <c r="C660" t="s">
        <v>38</v>
      </c>
      <c r="D660">
        <v>10</v>
      </c>
      <c r="E660" t="s">
        <v>2606</v>
      </c>
      <c r="F660" t="s">
        <v>1935</v>
      </c>
      <c r="G660" t="s">
        <v>1935</v>
      </c>
      <c r="H660" t="s">
        <v>1935</v>
      </c>
    </row>
    <row r="661" spans="1:8">
      <c r="A661" t="s">
        <v>1168</v>
      </c>
      <c r="B661" t="s">
        <v>1164</v>
      </c>
      <c r="C661" t="s">
        <v>38</v>
      </c>
      <c r="D661">
        <v>11</v>
      </c>
      <c r="E661" t="s">
        <v>2607</v>
      </c>
      <c r="F661" t="s">
        <v>1935</v>
      </c>
      <c r="G661" t="s">
        <v>1935</v>
      </c>
      <c r="H661" t="s">
        <v>1935</v>
      </c>
    </row>
    <row r="662" spans="1:8">
      <c r="A662" t="s">
        <v>1168</v>
      </c>
      <c r="B662" t="s">
        <v>1164</v>
      </c>
      <c r="C662" t="s">
        <v>38</v>
      </c>
      <c r="D662">
        <v>12</v>
      </c>
      <c r="E662" t="s">
        <v>2608</v>
      </c>
      <c r="F662" t="s">
        <v>1935</v>
      </c>
      <c r="G662" t="s">
        <v>1935</v>
      </c>
      <c r="H662" t="s">
        <v>1935</v>
      </c>
    </row>
    <row r="663" spans="1:8">
      <c r="A663" t="s">
        <v>1168</v>
      </c>
      <c r="B663" t="s">
        <v>1164</v>
      </c>
      <c r="C663" t="s">
        <v>38</v>
      </c>
      <c r="D663">
        <v>13</v>
      </c>
      <c r="E663" t="s">
        <v>2609</v>
      </c>
      <c r="F663" t="s">
        <v>1935</v>
      </c>
      <c r="G663" t="s">
        <v>1935</v>
      </c>
      <c r="H663" t="s">
        <v>1935</v>
      </c>
    </row>
    <row r="664" spans="1:8">
      <c r="A664" t="s">
        <v>1168</v>
      </c>
      <c r="B664" t="s">
        <v>1164</v>
      </c>
      <c r="C664" t="s">
        <v>38</v>
      </c>
      <c r="D664">
        <v>14</v>
      </c>
      <c r="E664" t="s">
        <v>2610</v>
      </c>
      <c r="F664" t="s">
        <v>1935</v>
      </c>
      <c r="G664" t="s">
        <v>1935</v>
      </c>
      <c r="H664" t="s">
        <v>1935</v>
      </c>
    </row>
    <row r="665" spans="1:8">
      <c r="A665" t="s">
        <v>1168</v>
      </c>
      <c r="B665" t="s">
        <v>1164</v>
      </c>
      <c r="C665" t="s">
        <v>38</v>
      </c>
      <c r="D665">
        <v>15</v>
      </c>
      <c r="E665" t="s">
        <v>2611</v>
      </c>
      <c r="F665" t="s">
        <v>1935</v>
      </c>
      <c r="G665" t="s">
        <v>1935</v>
      </c>
      <c r="H665" t="s">
        <v>1935</v>
      </c>
    </row>
    <row r="666" spans="1:8">
      <c r="A666" t="s">
        <v>1168</v>
      </c>
      <c r="B666" t="s">
        <v>1164</v>
      </c>
      <c r="C666" t="s">
        <v>38</v>
      </c>
      <c r="D666">
        <v>16</v>
      </c>
      <c r="E666" t="s">
        <v>2612</v>
      </c>
      <c r="F666" t="s">
        <v>1935</v>
      </c>
      <c r="G666" t="s">
        <v>1935</v>
      </c>
      <c r="H666" t="s">
        <v>1935</v>
      </c>
    </row>
    <row r="667" spans="1:8">
      <c r="A667" t="s">
        <v>1168</v>
      </c>
      <c r="B667" t="s">
        <v>1164</v>
      </c>
      <c r="C667" t="s">
        <v>38</v>
      </c>
      <c r="D667">
        <v>17</v>
      </c>
      <c r="E667" t="s">
        <v>2613</v>
      </c>
      <c r="F667" t="s">
        <v>1935</v>
      </c>
      <c r="G667" t="s">
        <v>1935</v>
      </c>
      <c r="H667" t="s">
        <v>1935</v>
      </c>
    </row>
    <row r="668" spans="1:8">
      <c r="A668" t="s">
        <v>1168</v>
      </c>
      <c r="B668" t="s">
        <v>1164</v>
      </c>
      <c r="C668" t="s">
        <v>38</v>
      </c>
      <c r="D668">
        <v>18</v>
      </c>
      <c r="E668" t="s">
        <v>2614</v>
      </c>
      <c r="F668" t="s">
        <v>1935</v>
      </c>
      <c r="G668" t="s">
        <v>1935</v>
      </c>
      <c r="H668" t="s">
        <v>1935</v>
      </c>
    </row>
    <row r="669" spans="1:8">
      <c r="A669" t="s">
        <v>1168</v>
      </c>
      <c r="B669" t="s">
        <v>1164</v>
      </c>
      <c r="C669" t="s">
        <v>38</v>
      </c>
      <c r="D669">
        <v>19</v>
      </c>
      <c r="E669" t="s">
        <v>2615</v>
      </c>
      <c r="F669" t="s">
        <v>1935</v>
      </c>
      <c r="G669" t="s">
        <v>1935</v>
      </c>
      <c r="H669" t="s">
        <v>1935</v>
      </c>
    </row>
    <row r="670" spans="1:8">
      <c r="A670" t="s">
        <v>1168</v>
      </c>
      <c r="B670" t="s">
        <v>1164</v>
      </c>
      <c r="C670" t="s">
        <v>38</v>
      </c>
      <c r="D670">
        <v>20</v>
      </c>
      <c r="E670" t="s">
        <v>2616</v>
      </c>
      <c r="F670" t="s">
        <v>1935</v>
      </c>
      <c r="G670" t="s">
        <v>1935</v>
      </c>
      <c r="H670" t="s">
        <v>1935</v>
      </c>
    </row>
    <row r="671" spans="1:8">
      <c r="A671" t="s">
        <v>1168</v>
      </c>
      <c r="B671" t="s">
        <v>1164</v>
      </c>
      <c r="C671" t="s">
        <v>38</v>
      </c>
      <c r="D671">
        <v>21</v>
      </c>
      <c r="E671" t="s">
        <v>2617</v>
      </c>
      <c r="F671" t="s">
        <v>1935</v>
      </c>
      <c r="G671" t="s">
        <v>1935</v>
      </c>
      <c r="H671" t="s">
        <v>1935</v>
      </c>
    </row>
    <row r="672" spans="1:8">
      <c r="A672" t="s">
        <v>1168</v>
      </c>
      <c r="B672" t="s">
        <v>1164</v>
      </c>
      <c r="C672" t="s">
        <v>38</v>
      </c>
      <c r="D672">
        <v>22</v>
      </c>
      <c r="E672" t="s">
        <v>2618</v>
      </c>
      <c r="F672" t="s">
        <v>1935</v>
      </c>
      <c r="G672" t="s">
        <v>1935</v>
      </c>
      <c r="H672" t="s">
        <v>1935</v>
      </c>
    </row>
    <row r="673" spans="1:8">
      <c r="A673" t="s">
        <v>1168</v>
      </c>
      <c r="B673" t="s">
        <v>1164</v>
      </c>
      <c r="C673" t="s">
        <v>38</v>
      </c>
      <c r="D673">
        <v>23</v>
      </c>
      <c r="E673" t="s">
        <v>2619</v>
      </c>
      <c r="F673" t="s">
        <v>1935</v>
      </c>
      <c r="G673" t="s">
        <v>1935</v>
      </c>
      <c r="H673" t="s">
        <v>1935</v>
      </c>
    </row>
    <row r="674" spans="1:8">
      <c r="A674" t="s">
        <v>1168</v>
      </c>
      <c r="B674" t="s">
        <v>1164</v>
      </c>
      <c r="C674" t="s">
        <v>38</v>
      </c>
      <c r="D674">
        <v>24</v>
      </c>
      <c r="E674" t="s">
        <v>2620</v>
      </c>
      <c r="F674" t="s">
        <v>1935</v>
      </c>
      <c r="G674" t="s">
        <v>1935</v>
      </c>
      <c r="H674" t="s">
        <v>1935</v>
      </c>
    </row>
    <row r="675" spans="1:8">
      <c r="A675" t="s">
        <v>1168</v>
      </c>
      <c r="B675" t="s">
        <v>1164</v>
      </c>
      <c r="C675" t="s">
        <v>38</v>
      </c>
      <c r="D675">
        <v>25</v>
      </c>
      <c r="E675" t="s">
        <v>2621</v>
      </c>
      <c r="F675" t="s">
        <v>1935</v>
      </c>
      <c r="G675" t="s">
        <v>1935</v>
      </c>
      <c r="H675" t="s">
        <v>1935</v>
      </c>
    </row>
    <row r="676" spans="1:8">
      <c r="A676" t="s">
        <v>1143</v>
      </c>
      <c r="B676" t="s">
        <v>1165</v>
      </c>
      <c r="C676" t="s">
        <v>38</v>
      </c>
      <c r="D676">
        <v>1</v>
      </c>
      <c r="E676" t="s">
        <v>2622</v>
      </c>
      <c r="F676" t="s">
        <v>1935</v>
      </c>
      <c r="G676" t="s">
        <v>1935</v>
      </c>
      <c r="H676" t="s">
        <v>1935</v>
      </c>
    </row>
    <row r="677" spans="1:8">
      <c r="A677" t="s">
        <v>1143</v>
      </c>
      <c r="B677" t="s">
        <v>1146</v>
      </c>
      <c r="C677" t="s">
        <v>38</v>
      </c>
      <c r="D677">
        <v>2</v>
      </c>
      <c r="E677" t="s">
        <v>2623</v>
      </c>
      <c r="F677" t="s">
        <v>1935</v>
      </c>
      <c r="G677" t="s">
        <v>1935</v>
      </c>
      <c r="H677" t="s">
        <v>1935</v>
      </c>
    </row>
    <row r="678" spans="1:8">
      <c r="A678" t="s">
        <v>1143</v>
      </c>
      <c r="B678" t="s">
        <v>1146</v>
      </c>
      <c r="C678" t="s">
        <v>38</v>
      </c>
      <c r="D678">
        <v>3</v>
      </c>
      <c r="E678" t="s">
        <v>2624</v>
      </c>
      <c r="F678" t="s">
        <v>1935</v>
      </c>
      <c r="G678" t="s">
        <v>1935</v>
      </c>
      <c r="H678" t="s">
        <v>1935</v>
      </c>
    </row>
    <row r="679" spans="1:8">
      <c r="A679" t="s">
        <v>1143</v>
      </c>
      <c r="B679" t="s">
        <v>1146</v>
      </c>
      <c r="C679" t="s">
        <v>38</v>
      </c>
      <c r="D679">
        <v>4</v>
      </c>
      <c r="E679" t="s">
        <v>2625</v>
      </c>
      <c r="F679" t="s">
        <v>1935</v>
      </c>
      <c r="G679" t="s">
        <v>1935</v>
      </c>
      <c r="H679" t="s">
        <v>1935</v>
      </c>
    </row>
    <row r="680" spans="1:8">
      <c r="A680" t="s">
        <v>418</v>
      </c>
      <c r="B680" t="s">
        <v>1035</v>
      </c>
      <c r="C680" t="s">
        <v>38</v>
      </c>
      <c r="D680">
        <v>1</v>
      </c>
      <c r="E680" t="s">
        <v>2626</v>
      </c>
      <c r="F680" t="s">
        <v>1935</v>
      </c>
      <c r="G680" t="s">
        <v>1935</v>
      </c>
      <c r="H680" t="s">
        <v>1935</v>
      </c>
    </row>
    <row r="681" spans="1:8">
      <c r="A681" t="s">
        <v>418</v>
      </c>
      <c r="B681" t="s">
        <v>1035</v>
      </c>
      <c r="C681" t="s">
        <v>38</v>
      </c>
      <c r="D681">
        <v>2</v>
      </c>
      <c r="E681" t="s">
        <v>2627</v>
      </c>
      <c r="F681" t="s">
        <v>1935</v>
      </c>
      <c r="G681" t="s">
        <v>1935</v>
      </c>
      <c r="H681" t="s">
        <v>1935</v>
      </c>
    </row>
    <row r="682" spans="1:8">
      <c r="A682" t="s">
        <v>1127</v>
      </c>
      <c r="B682" t="s">
        <v>1126</v>
      </c>
      <c r="C682" t="s">
        <v>38</v>
      </c>
      <c r="D682">
        <v>1</v>
      </c>
      <c r="E682" t="s">
        <v>2628</v>
      </c>
      <c r="F682" t="s">
        <v>1935</v>
      </c>
      <c r="G682" t="s">
        <v>1935</v>
      </c>
      <c r="H682" t="s">
        <v>1935</v>
      </c>
    </row>
    <row r="683" spans="1:8">
      <c r="A683" t="s">
        <v>1141</v>
      </c>
      <c r="B683" t="s">
        <v>1865</v>
      </c>
      <c r="C683" t="s">
        <v>38</v>
      </c>
      <c r="D683">
        <v>1</v>
      </c>
      <c r="E683" t="s">
        <v>2629</v>
      </c>
      <c r="F683" t="s">
        <v>1935</v>
      </c>
      <c r="G683" t="s">
        <v>1935</v>
      </c>
      <c r="H683" t="s">
        <v>1935</v>
      </c>
    </row>
    <row r="684" spans="1:8">
      <c r="A684" t="s">
        <v>1141</v>
      </c>
      <c r="B684" t="s">
        <v>1865</v>
      </c>
      <c r="C684" t="s">
        <v>38</v>
      </c>
      <c r="D684">
        <v>2</v>
      </c>
      <c r="E684" t="s">
        <v>2630</v>
      </c>
      <c r="F684" t="s">
        <v>1935</v>
      </c>
      <c r="G684" t="s">
        <v>1935</v>
      </c>
      <c r="H684" t="s">
        <v>1935</v>
      </c>
    </row>
    <row r="685" spans="1:8">
      <c r="A685" t="s">
        <v>1141</v>
      </c>
      <c r="B685" t="s">
        <v>1865</v>
      </c>
      <c r="C685" t="s">
        <v>38</v>
      </c>
      <c r="D685">
        <v>3</v>
      </c>
      <c r="E685" t="s">
        <v>2631</v>
      </c>
      <c r="F685" t="s">
        <v>1935</v>
      </c>
      <c r="G685" t="s">
        <v>1935</v>
      </c>
      <c r="H685" t="s">
        <v>1935</v>
      </c>
    </row>
    <row r="686" spans="1:8">
      <c r="A686" t="s">
        <v>1053</v>
      </c>
      <c r="B686" t="s">
        <v>2632</v>
      </c>
      <c r="C686" t="s">
        <v>38</v>
      </c>
      <c r="D686">
        <v>1</v>
      </c>
      <c r="E686" t="s">
        <v>1478</v>
      </c>
      <c r="F686" t="s">
        <v>1935</v>
      </c>
      <c r="G686" t="s">
        <v>1935</v>
      </c>
      <c r="H686" t="s">
        <v>1935</v>
      </c>
    </row>
    <row r="687" spans="1:8">
      <c r="A687" t="s">
        <v>1053</v>
      </c>
      <c r="B687" t="s">
        <v>2633</v>
      </c>
      <c r="C687" t="s">
        <v>38</v>
      </c>
      <c r="D687">
        <v>2</v>
      </c>
      <c r="E687" t="s">
        <v>78</v>
      </c>
      <c r="F687" t="s">
        <v>1935</v>
      </c>
      <c r="G687" t="s">
        <v>1935</v>
      </c>
      <c r="H687" t="s">
        <v>1935</v>
      </c>
    </row>
    <row r="688" spans="1:8">
      <c r="A688" t="s">
        <v>1053</v>
      </c>
      <c r="B688" t="s">
        <v>2634</v>
      </c>
      <c r="C688" t="s">
        <v>38</v>
      </c>
      <c r="D688">
        <v>3</v>
      </c>
      <c r="E688" t="s">
        <v>2635</v>
      </c>
      <c r="F688" t="s">
        <v>1935</v>
      </c>
      <c r="G688" t="s">
        <v>1935</v>
      </c>
      <c r="H688" t="s">
        <v>1935</v>
      </c>
    </row>
    <row r="689" spans="1:8">
      <c r="A689" t="s">
        <v>1053</v>
      </c>
      <c r="B689" t="s">
        <v>2634</v>
      </c>
      <c r="C689" t="s">
        <v>38</v>
      </c>
      <c r="D689">
        <v>4</v>
      </c>
      <c r="E689" t="s">
        <v>2636</v>
      </c>
      <c r="F689" t="s">
        <v>1935</v>
      </c>
      <c r="G689" t="s">
        <v>1935</v>
      </c>
      <c r="H689" t="s">
        <v>1935</v>
      </c>
    </row>
    <row r="690" spans="1:8">
      <c r="A690" t="s">
        <v>1161</v>
      </c>
      <c r="B690" t="s">
        <v>1035</v>
      </c>
      <c r="C690" t="s">
        <v>38</v>
      </c>
      <c r="D690">
        <v>1</v>
      </c>
      <c r="E690" t="s">
        <v>2637</v>
      </c>
      <c r="F690" t="s">
        <v>1935</v>
      </c>
      <c r="G690" t="s">
        <v>1935</v>
      </c>
      <c r="H690" t="s">
        <v>1935</v>
      </c>
    </row>
    <row r="691" spans="1:8">
      <c r="A691" t="s">
        <v>1161</v>
      </c>
      <c r="B691" t="s">
        <v>1035</v>
      </c>
      <c r="C691" t="s">
        <v>38</v>
      </c>
      <c r="D691">
        <v>2</v>
      </c>
      <c r="E691" t="s">
        <v>2638</v>
      </c>
      <c r="F691" t="s">
        <v>1935</v>
      </c>
      <c r="G691" t="s">
        <v>1935</v>
      </c>
      <c r="H691" t="s">
        <v>1935</v>
      </c>
    </row>
    <row r="692" spans="1:8">
      <c r="A692" t="s">
        <v>1160</v>
      </c>
      <c r="B692" t="s">
        <v>1163</v>
      </c>
      <c r="C692" t="s">
        <v>38</v>
      </c>
      <c r="D692">
        <v>1</v>
      </c>
      <c r="E692" t="s">
        <v>2639</v>
      </c>
      <c r="F692" t="s">
        <v>1935</v>
      </c>
      <c r="G692" t="s">
        <v>1935</v>
      </c>
      <c r="H692" t="s">
        <v>1935</v>
      </c>
    </row>
    <row r="693" spans="1:8">
      <c r="A693" t="s">
        <v>1160</v>
      </c>
      <c r="B693" t="s">
        <v>1163</v>
      </c>
      <c r="C693" t="s">
        <v>38</v>
      </c>
      <c r="D693">
        <v>2</v>
      </c>
      <c r="E693" t="s">
        <v>2640</v>
      </c>
      <c r="F693" t="s">
        <v>1935</v>
      </c>
      <c r="G693" t="s">
        <v>1935</v>
      </c>
      <c r="H693" t="s">
        <v>1935</v>
      </c>
    </row>
    <row r="694" spans="1:8">
      <c r="A694" t="s">
        <v>1160</v>
      </c>
      <c r="B694" t="s">
        <v>1163</v>
      </c>
      <c r="C694" t="s">
        <v>38</v>
      </c>
      <c r="D694">
        <v>3</v>
      </c>
      <c r="E694" t="s">
        <v>2641</v>
      </c>
      <c r="F694" t="s">
        <v>1935</v>
      </c>
      <c r="G694" t="s">
        <v>1935</v>
      </c>
      <c r="H694" t="s">
        <v>1935</v>
      </c>
    </row>
    <row r="695" spans="1:8">
      <c r="A695" t="s">
        <v>1160</v>
      </c>
      <c r="B695" t="s">
        <v>1163</v>
      </c>
      <c r="C695" t="s">
        <v>38</v>
      </c>
      <c r="D695">
        <v>4</v>
      </c>
      <c r="E695" t="s">
        <v>2642</v>
      </c>
      <c r="F695" t="s">
        <v>1935</v>
      </c>
      <c r="G695" t="s">
        <v>1935</v>
      </c>
      <c r="H695" t="s">
        <v>1935</v>
      </c>
    </row>
    <row r="696" spans="1:8">
      <c r="A696" t="s">
        <v>1159</v>
      </c>
      <c r="B696" t="s">
        <v>1162</v>
      </c>
      <c r="C696" t="s">
        <v>38</v>
      </c>
      <c r="D696">
        <v>1</v>
      </c>
      <c r="E696" t="s">
        <v>2643</v>
      </c>
      <c r="F696" t="s">
        <v>1935</v>
      </c>
      <c r="G696" t="s">
        <v>1935</v>
      </c>
      <c r="H696" t="s">
        <v>1935</v>
      </c>
    </row>
    <row r="697" spans="1:8">
      <c r="A697" t="s">
        <v>1159</v>
      </c>
      <c r="B697" t="s">
        <v>1162</v>
      </c>
      <c r="C697" t="s">
        <v>38</v>
      </c>
      <c r="D697">
        <v>2</v>
      </c>
      <c r="E697" t="s">
        <v>2644</v>
      </c>
      <c r="F697" t="s">
        <v>1935</v>
      </c>
      <c r="G697" t="s">
        <v>1935</v>
      </c>
      <c r="H697" t="s">
        <v>1935</v>
      </c>
    </row>
    <row r="698" spans="1:8">
      <c r="A698" t="s">
        <v>1159</v>
      </c>
      <c r="B698" t="s">
        <v>1162</v>
      </c>
      <c r="C698" t="s">
        <v>38</v>
      </c>
      <c r="D698">
        <v>3</v>
      </c>
      <c r="E698" t="s">
        <v>2645</v>
      </c>
      <c r="F698" t="s">
        <v>1935</v>
      </c>
      <c r="G698" t="s">
        <v>1935</v>
      </c>
      <c r="H698" t="s">
        <v>1935</v>
      </c>
    </row>
    <row r="699" spans="1:8">
      <c r="A699" t="s">
        <v>1159</v>
      </c>
      <c r="B699" t="s">
        <v>1162</v>
      </c>
      <c r="C699" t="s">
        <v>38</v>
      </c>
      <c r="D699">
        <v>4</v>
      </c>
      <c r="E699" t="s">
        <v>2646</v>
      </c>
      <c r="F699" t="s">
        <v>1935</v>
      </c>
      <c r="G699" t="s">
        <v>1935</v>
      </c>
      <c r="H699" t="s">
        <v>1935</v>
      </c>
    </row>
    <row r="700" spans="1:8">
      <c r="A700" t="s">
        <v>1123</v>
      </c>
      <c r="B700" t="s">
        <v>2647</v>
      </c>
      <c r="C700" t="s">
        <v>38</v>
      </c>
      <c r="D700">
        <v>1</v>
      </c>
      <c r="E700" t="s">
        <v>2648</v>
      </c>
      <c r="F700" t="s">
        <v>1935</v>
      </c>
      <c r="G700" t="s">
        <v>1935</v>
      </c>
      <c r="H700" t="s">
        <v>1935</v>
      </c>
    </row>
    <row r="701" spans="1:8">
      <c r="A701" t="s">
        <v>1123</v>
      </c>
      <c r="B701" t="s">
        <v>2647</v>
      </c>
      <c r="C701" t="s">
        <v>38</v>
      </c>
      <c r="D701">
        <v>2</v>
      </c>
      <c r="E701" t="s">
        <v>2649</v>
      </c>
      <c r="F701" t="s">
        <v>1935</v>
      </c>
      <c r="G701" t="s">
        <v>1935</v>
      </c>
      <c r="H701" t="s">
        <v>1935</v>
      </c>
    </row>
    <row r="702" spans="1:8">
      <c r="A702" t="s">
        <v>1123</v>
      </c>
      <c r="B702" t="s">
        <v>2647</v>
      </c>
      <c r="C702" t="s">
        <v>38</v>
      </c>
      <c r="D702">
        <v>3</v>
      </c>
      <c r="E702" t="s">
        <v>2650</v>
      </c>
      <c r="F702" t="s">
        <v>1935</v>
      </c>
      <c r="G702" t="s">
        <v>1935</v>
      </c>
      <c r="H702" t="s">
        <v>1935</v>
      </c>
    </row>
    <row r="703" spans="1:8">
      <c r="A703" t="s">
        <v>1123</v>
      </c>
      <c r="B703" t="s">
        <v>2647</v>
      </c>
      <c r="C703" t="s">
        <v>38</v>
      </c>
      <c r="D703">
        <v>4</v>
      </c>
      <c r="E703" t="s">
        <v>2414</v>
      </c>
      <c r="F703" t="s">
        <v>1935</v>
      </c>
      <c r="G703" t="s">
        <v>1935</v>
      </c>
      <c r="H703" t="s">
        <v>1935</v>
      </c>
    </row>
    <row r="704" spans="1:8">
      <c r="A704" t="s">
        <v>1123</v>
      </c>
      <c r="B704" t="s">
        <v>2647</v>
      </c>
      <c r="C704" t="s">
        <v>38</v>
      </c>
      <c r="D704">
        <v>5</v>
      </c>
      <c r="E704" t="s">
        <v>2651</v>
      </c>
      <c r="F704" t="s">
        <v>1935</v>
      </c>
      <c r="G704" t="s">
        <v>1935</v>
      </c>
      <c r="H704" t="s">
        <v>1935</v>
      </c>
    </row>
    <row r="705" spans="1:8">
      <c r="A705" t="s">
        <v>1135</v>
      </c>
      <c r="B705" t="s">
        <v>1035</v>
      </c>
      <c r="C705" t="s">
        <v>38</v>
      </c>
      <c r="D705">
        <v>1</v>
      </c>
      <c r="E705" t="s">
        <v>2556</v>
      </c>
      <c r="F705" t="s">
        <v>1935</v>
      </c>
      <c r="G705" t="s">
        <v>1935</v>
      </c>
      <c r="H705" t="s">
        <v>1935</v>
      </c>
    </row>
    <row r="706" spans="1:8">
      <c r="A706" t="s">
        <v>1134</v>
      </c>
      <c r="B706" t="s">
        <v>2652</v>
      </c>
      <c r="C706" t="s">
        <v>38</v>
      </c>
      <c r="D706">
        <v>1</v>
      </c>
      <c r="E706" t="s">
        <v>2309</v>
      </c>
      <c r="F706" t="s">
        <v>1935</v>
      </c>
      <c r="G706" t="s">
        <v>1935</v>
      </c>
      <c r="H706" t="s">
        <v>78</v>
      </c>
    </row>
    <row r="707" spans="1:8">
      <c r="A707" t="s">
        <v>1134</v>
      </c>
      <c r="B707" t="s">
        <v>2652</v>
      </c>
      <c r="C707" t="s">
        <v>38</v>
      </c>
      <c r="D707">
        <v>2</v>
      </c>
      <c r="E707" t="s">
        <v>2311</v>
      </c>
      <c r="F707" t="s">
        <v>1935</v>
      </c>
      <c r="G707" t="s">
        <v>1935</v>
      </c>
      <c r="H707" t="s">
        <v>78</v>
      </c>
    </row>
    <row r="708" spans="1:8">
      <c r="A708" t="s">
        <v>1134</v>
      </c>
      <c r="B708" t="s">
        <v>2652</v>
      </c>
      <c r="C708" t="s">
        <v>38</v>
      </c>
      <c r="D708">
        <v>3</v>
      </c>
      <c r="E708" t="s">
        <v>2313</v>
      </c>
      <c r="F708" t="s">
        <v>1935</v>
      </c>
      <c r="G708" t="s">
        <v>1935</v>
      </c>
      <c r="H708" t="s">
        <v>78</v>
      </c>
    </row>
    <row r="709" spans="1:8">
      <c r="A709" t="s">
        <v>1134</v>
      </c>
      <c r="B709" t="s">
        <v>2652</v>
      </c>
      <c r="C709" t="s">
        <v>38</v>
      </c>
      <c r="D709">
        <v>4</v>
      </c>
      <c r="E709" t="s">
        <v>2315</v>
      </c>
      <c r="F709" t="s">
        <v>1935</v>
      </c>
      <c r="G709" t="s">
        <v>1935</v>
      </c>
      <c r="H709" t="s">
        <v>78</v>
      </c>
    </row>
    <row r="710" spans="1:8">
      <c r="A710" t="s">
        <v>1134</v>
      </c>
      <c r="B710" t="s">
        <v>2652</v>
      </c>
      <c r="C710" t="s">
        <v>38</v>
      </c>
      <c r="D710">
        <v>5</v>
      </c>
      <c r="E710" t="s">
        <v>2317</v>
      </c>
      <c r="F710" t="s">
        <v>1935</v>
      </c>
      <c r="G710" t="s">
        <v>1935</v>
      </c>
      <c r="H710" t="s">
        <v>78</v>
      </c>
    </row>
    <row r="711" spans="1:8">
      <c r="A711" t="s">
        <v>1134</v>
      </c>
      <c r="B711" t="s">
        <v>2652</v>
      </c>
      <c r="C711" t="s">
        <v>38</v>
      </c>
      <c r="D711">
        <v>6</v>
      </c>
      <c r="E711" t="s">
        <v>2319</v>
      </c>
      <c r="F711" t="s">
        <v>1935</v>
      </c>
      <c r="G711" t="s">
        <v>1935</v>
      </c>
      <c r="H711" t="s">
        <v>78</v>
      </c>
    </row>
    <row r="712" spans="1:8">
      <c r="A712" t="s">
        <v>1134</v>
      </c>
      <c r="B712" t="s">
        <v>2652</v>
      </c>
      <c r="C712" t="s">
        <v>38</v>
      </c>
      <c r="D712">
        <v>7</v>
      </c>
      <c r="E712" t="s">
        <v>2321</v>
      </c>
      <c r="F712" t="s">
        <v>1935</v>
      </c>
      <c r="G712" t="s">
        <v>1935</v>
      </c>
      <c r="H712" t="s">
        <v>78</v>
      </c>
    </row>
    <row r="713" spans="1:8">
      <c r="A713" t="s">
        <v>1134</v>
      </c>
      <c r="B713" t="s">
        <v>2652</v>
      </c>
      <c r="C713" t="s">
        <v>38</v>
      </c>
      <c r="D713">
        <v>8</v>
      </c>
      <c r="E713" t="s">
        <v>2323</v>
      </c>
      <c r="F713" t="s">
        <v>1935</v>
      </c>
      <c r="G713" t="s">
        <v>1935</v>
      </c>
      <c r="H713" t="s">
        <v>78</v>
      </c>
    </row>
    <row r="714" spans="1:8">
      <c r="A714" t="s">
        <v>1134</v>
      </c>
      <c r="B714" t="s">
        <v>2652</v>
      </c>
      <c r="C714" t="s">
        <v>38</v>
      </c>
      <c r="D714">
        <v>9</v>
      </c>
      <c r="E714" t="s">
        <v>2325</v>
      </c>
      <c r="F714" t="s">
        <v>1935</v>
      </c>
      <c r="G714" t="s">
        <v>1935</v>
      </c>
      <c r="H714" t="s">
        <v>78</v>
      </c>
    </row>
    <row r="715" spans="1:8">
      <c r="A715" t="s">
        <v>1134</v>
      </c>
      <c r="B715" t="s">
        <v>2652</v>
      </c>
      <c r="C715" t="s">
        <v>38</v>
      </c>
      <c r="D715">
        <v>10</v>
      </c>
      <c r="E715" t="s">
        <v>2327</v>
      </c>
      <c r="F715" t="s">
        <v>1935</v>
      </c>
      <c r="G715" t="s">
        <v>1935</v>
      </c>
      <c r="H715" t="s">
        <v>78</v>
      </c>
    </row>
    <row r="716" spans="1:8">
      <c r="A716" t="s">
        <v>1134</v>
      </c>
      <c r="B716" t="s">
        <v>2652</v>
      </c>
      <c r="C716" t="s">
        <v>38</v>
      </c>
      <c r="D716">
        <v>11</v>
      </c>
      <c r="E716" t="s">
        <v>2329</v>
      </c>
      <c r="F716" t="s">
        <v>1935</v>
      </c>
      <c r="G716" t="s">
        <v>1935</v>
      </c>
      <c r="H716" t="s">
        <v>78</v>
      </c>
    </row>
    <row r="717" spans="1:8">
      <c r="A717" t="s">
        <v>1134</v>
      </c>
      <c r="B717" t="s">
        <v>2652</v>
      </c>
      <c r="C717" t="s">
        <v>38</v>
      </c>
      <c r="D717">
        <v>12</v>
      </c>
      <c r="E717" t="s">
        <v>2331</v>
      </c>
      <c r="F717" t="s">
        <v>1935</v>
      </c>
      <c r="G717" t="s">
        <v>1935</v>
      </c>
      <c r="H717" t="s">
        <v>78</v>
      </c>
    </row>
    <row r="718" spans="1:8">
      <c r="A718" t="s">
        <v>1133</v>
      </c>
      <c r="B718" t="s">
        <v>2653</v>
      </c>
      <c r="C718" t="s">
        <v>38</v>
      </c>
      <c r="D718">
        <v>1</v>
      </c>
      <c r="E718" t="s">
        <v>2309</v>
      </c>
      <c r="F718" t="s">
        <v>2309</v>
      </c>
      <c r="G718" t="s">
        <v>1935</v>
      </c>
      <c r="H718" t="s">
        <v>78</v>
      </c>
    </row>
    <row r="719" spans="1:8">
      <c r="A719" t="s">
        <v>1133</v>
      </c>
      <c r="B719" t="s">
        <v>2653</v>
      </c>
      <c r="C719" t="s">
        <v>38</v>
      </c>
      <c r="D719">
        <v>2</v>
      </c>
      <c r="E719" t="s">
        <v>2654</v>
      </c>
      <c r="F719" t="s">
        <v>2311</v>
      </c>
      <c r="G719" t="s">
        <v>1935</v>
      </c>
      <c r="H719" t="s">
        <v>78</v>
      </c>
    </row>
    <row r="720" spans="1:8">
      <c r="A720" t="s">
        <v>1133</v>
      </c>
      <c r="B720" t="s">
        <v>2653</v>
      </c>
      <c r="C720" t="s">
        <v>38</v>
      </c>
      <c r="D720">
        <v>3</v>
      </c>
      <c r="E720" t="s">
        <v>2655</v>
      </c>
      <c r="F720" t="s">
        <v>2313</v>
      </c>
      <c r="G720" t="s">
        <v>1935</v>
      </c>
      <c r="H720" t="s">
        <v>78</v>
      </c>
    </row>
    <row r="721" spans="1:8">
      <c r="A721" t="s">
        <v>1133</v>
      </c>
      <c r="B721" t="s">
        <v>2653</v>
      </c>
      <c r="C721" t="s">
        <v>38</v>
      </c>
      <c r="D721">
        <v>4</v>
      </c>
      <c r="E721" t="s">
        <v>2656</v>
      </c>
      <c r="F721" t="s">
        <v>2315</v>
      </c>
      <c r="G721" t="s">
        <v>1935</v>
      </c>
      <c r="H721" t="s">
        <v>78</v>
      </c>
    </row>
    <row r="722" spans="1:8">
      <c r="A722" t="s">
        <v>1133</v>
      </c>
      <c r="B722" t="s">
        <v>2653</v>
      </c>
      <c r="C722" t="s">
        <v>38</v>
      </c>
      <c r="D722">
        <v>5</v>
      </c>
      <c r="E722" t="s">
        <v>839</v>
      </c>
      <c r="F722" t="s">
        <v>2317</v>
      </c>
      <c r="G722" t="s">
        <v>1935</v>
      </c>
      <c r="H722" t="s">
        <v>78</v>
      </c>
    </row>
    <row r="723" spans="1:8">
      <c r="A723" t="s">
        <v>1133</v>
      </c>
      <c r="B723" t="s">
        <v>2653</v>
      </c>
      <c r="C723" t="s">
        <v>38</v>
      </c>
      <c r="D723">
        <v>6</v>
      </c>
      <c r="E723" t="s">
        <v>840</v>
      </c>
      <c r="F723" t="s">
        <v>2319</v>
      </c>
      <c r="G723" t="s">
        <v>1935</v>
      </c>
      <c r="H723" t="s">
        <v>78</v>
      </c>
    </row>
    <row r="724" spans="1:8">
      <c r="A724" t="s">
        <v>1133</v>
      </c>
      <c r="B724" t="s">
        <v>2653</v>
      </c>
      <c r="C724" t="s">
        <v>38</v>
      </c>
      <c r="D724">
        <v>7</v>
      </c>
      <c r="E724" t="s">
        <v>841</v>
      </c>
      <c r="F724" t="s">
        <v>2321</v>
      </c>
      <c r="G724" t="s">
        <v>1935</v>
      </c>
      <c r="H724" t="s">
        <v>78</v>
      </c>
    </row>
    <row r="725" spans="1:8">
      <c r="A725" t="s">
        <v>1133</v>
      </c>
      <c r="B725" t="s">
        <v>2653</v>
      </c>
      <c r="C725" t="s">
        <v>38</v>
      </c>
      <c r="D725">
        <v>8</v>
      </c>
      <c r="E725" t="s">
        <v>2657</v>
      </c>
      <c r="F725" t="s">
        <v>2323</v>
      </c>
      <c r="G725" t="s">
        <v>1935</v>
      </c>
      <c r="H725" t="s">
        <v>78</v>
      </c>
    </row>
    <row r="726" spans="1:8">
      <c r="A726" t="s">
        <v>1133</v>
      </c>
      <c r="B726" t="s">
        <v>2653</v>
      </c>
      <c r="C726" t="s">
        <v>38</v>
      </c>
      <c r="D726">
        <v>9</v>
      </c>
      <c r="E726" t="s">
        <v>2658</v>
      </c>
      <c r="F726" t="s">
        <v>2325</v>
      </c>
      <c r="G726" t="s">
        <v>1935</v>
      </c>
      <c r="H726" t="s">
        <v>78</v>
      </c>
    </row>
    <row r="727" spans="1:8">
      <c r="A727" t="s">
        <v>1133</v>
      </c>
      <c r="B727" t="s">
        <v>2653</v>
      </c>
      <c r="C727" t="s">
        <v>38</v>
      </c>
      <c r="D727">
        <v>10</v>
      </c>
      <c r="E727" t="s">
        <v>2659</v>
      </c>
      <c r="F727" t="s">
        <v>2327</v>
      </c>
      <c r="G727" t="s">
        <v>1935</v>
      </c>
      <c r="H727" t="s">
        <v>78</v>
      </c>
    </row>
    <row r="728" spans="1:8">
      <c r="A728" t="s">
        <v>1133</v>
      </c>
      <c r="B728" t="s">
        <v>2653</v>
      </c>
      <c r="C728" t="s">
        <v>38</v>
      </c>
      <c r="D728">
        <v>11</v>
      </c>
      <c r="E728" t="s">
        <v>2660</v>
      </c>
      <c r="F728" t="s">
        <v>2329</v>
      </c>
      <c r="G728" t="s">
        <v>1935</v>
      </c>
      <c r="H728" t="s">
        <v>78</v>
      </c>
    </row>
    <row r="729" spans="1:8">
      <c r="A729" t="s">
        <v>1133</v>
      </c>
      <c r="B729" t="s">
        <v>2653</v>
      </c>
      <c r="C729" t="s">
        <v>38</v>
      </c>
      <c r="D729">
        <v>12</v>
      </c>
      <c r="E729" t="s">
        <v>2661</v>
      </c>
      <c r="F729" t="s">
        <v>2331</v>
      </c>
      <c r="G729" t="s">
        <v>1935</v>
      </c>
      <c r="H729" t="s">
        <v>78</v>
      </c>
    </row>
    <row r="730" spans="1:8">
      <c r="A730" t="s">
        <v>2662</v>
      </c>
      <c r="B730" t="s">
        <v>1131</v>
      </c>
      <c r="C730" t="s">
        <v>38</v>
      </c>
      <c r="D730">
        <v>1</v>
      </c>
      <c r="E730" t="s">
        <v>2663</v>
      </c>
      <c r="F730" t="s">
        <v>1935</v>
      </c>
      <c r="G730" t="s">
        <v>1935</v>
      </c>
      <c r="H730" t="s">
        <v>1935</v>
      </c>
    </row>
    <row r="731" spans="1:8">
      <c r="A731" t="s">
        <v>2662</v>
      </c>
      <c r="B731" t="s">
        <v>1131</v>
      </c>
      <c r="C731" t="s">
        <v>38</v>
      </c>
      <c r="D731">
        <v>2</v>
      </c>
      <c r="E731" t="s">
        <v>2664</v>
      </c>
      <c r="F731" t="s">
        <v>1935</v>
      </c>
      <c r="G731" t="s">
        <v>1935</v>
      </c>
      <c r="H731" t="s">
        <v>1935</v>
      </c>
    </row>
    <row r="732" spans="1:8">
      <c r="A732" t="s">
        <v>2662</v>
      </c>
      <c r="B732" t="s">
        <v>1131</v>
      </c>
      <c r="C732" t="s">
        <v>38</v>
      </c>
      <c r="D732">
        <v>3</v>
      </c>
      <c r="E732" t="s">
        <v>2665</v>
      </c>
      <c r="F732" t="s">
        <v>1935</v>
      </c>
      <c r="G732" t="s">
        <v>1935</v>
      </c>
      <c r="H732" t="s">
        <v>1935</v>
      </c>
    </row>
    <row r="733" spans="1:8">
      <c r="A733" t="s">
        <v>2662</v>
      </c>
      <c r="B733" t="s">
        <v>1131</v>
      </c>
      <c r="C733" t="s">
        <v>38</v>
      </c>
      <c r="D733">
        <v>4</v>
      </c>
      <c r="E733" t="s">
        <v>2666</v>
      </c>
      <c r="F733" t="s">
        <v>1935</v>
      </c>
      <c r="G733" t="s">
        <v>1935</v>
      </c>
      <c r="H733" t="s">
        <v>1935</v>
      </c>
    </row>
    <row r="734" spans="1:8">
      <c r="A734" t="s">
        <v>2662</v>
      </c>
      <c r="B734" t="s">
        <v>1131</v>
      </c>
      <c r="C734" t="s">
        <v>38</v>
      </c>
      <c r="D734">
        <v>5</v>
      </c>
      <c r="E734" t="s">
        <v>2667</v>
      </c>
      <c r="F734" t="s">
        <v>1935</v>
      </c>
      <c r="G734" t="s">
        <v>1935</v>
      </c>
      <c r="H734" t="s">
        <v>1935</v>
      </c>
    </row>
    <row r="735" spans="1:8">
      <c r="A735" t="s">
        <v>2662</v>
      </c>
      <c r="B735" t="s">
        <v>1131</v>
      </c>
      <c r="C735" t="s">
        <v>38</v>
      </c>
      <c r="D735">
        <v>6</v>
      </c>
      <c r="E735" t="s">
        <v>2668</v>
      </c>
      <c r="F735" t="s">
        <v>1935</v>
      </c>
      <c r="G735" t="s">
        <v>1935</v>
      </c>
      <c r="H735" t="s">
        <v>1935</v>
      </c>
    </row>
    <row r="736" spans="1:8">
      <c r="A736" t="s">
        <v>2662</v>
      </c>
      <c r="B736" t="s">
        <v>1131</v>
      </c>
      <c r="C736" t="s">
        <v>38</v>
      </c>
      <c r="D736">
        <v>7</v>
      </c>
      <c r="E736" t="s">
        <v>2669</v>
      </c>
      <c r="F736" t="s">
        <v>1935</v>
      </c>
      <c r="G736" t="s">
        <v>1935</v>
      </c>
      <c r="H736" t="s">
        <v>1935</v>
      </c>
    </row>
    <row r="737" spans="1:8">
      <c r="A737" t="s">
        <v>2662</v>
      </c>
      <c r="B737" t="s">
        <v>1131</v>
      </c>
      <c r="C737" t="s">
        <v>38</v>
      </c>
      <c r="D737">
        <v>8</v>
      </c>
      <c r="E737" t="s">
        <v>2670</v>
      </c>
      <c r="F737" t="s">
        <v>1935</v>
      </c>
      <c r="G737" t="s">
        <v>1935</v>
      </c>
      <c r="H737" t="s">
        <v>1935</v>
      </c>
    </row>
    <row r="738" spans="1:8">
      <c r="A738" t="s">
        <v>2662</v>
      </c>
      <c r="B738" t="s">
        <v>1131</v>
      </c>
      <c r="C738" t="s">
        <v>38</v>
      </c>
      <c r="D738">
        <v>9</v>
      </c>
      <c r="E738" t="s">
        <v>2671</v>
      </c>
      <c r="F738" t="s">
        <v>1935</v>
      </c>
      <c r="G738" t="s">
        <v>1935</v>
      </c>
      <c r="H738" t="s">
        <v>1935</v>
      </c>
    </row>
    <row r="739" spans="1:8">
      <c r="A739" t="s">
        <v>2662</v>
      </c>
      <c r="B739" t="s">
        <v>1131</v>
      </c>
      <c r="C739" t="s">
        <v>38</v>
      </c>
      <c r="D739">
        <v>10</v>
      </c>
      <c r="E739" t="s">
        <v>2672</v>
      </c>
      <c r="F739" t="s">
        <v>1935</v>
      </c>
      <c r="G739" t="s">
        <v>1935</v>
      </c>
      <c r="H739" t="s">
        <v>1935</v>
      </c>
    </row>
    <row r="740" spans="1:8">
      <c r="A740" t="s">
        <v>2662</v>
      </c>
      <c r="B740" t="s">
        <v>1131</v>
      </c>
      <c r="C740" t="s">
        <v>38</v>
      </c>
      <c r="D740">
        <v>11</v>
      </c>
      <c r="E740" t="s">
        <v>2673</v>
      </c>
      <c r="F740" t="s">
        <v>1935</v>
      </c>
      <c r="G740" t="s">
        <v>1935</v>
      </c>
      <c r="H740" t="s">
        <v>1935</v>
      </c>
    </row>
    <row r="741" spans="1:8">
      <c r="A741" t="s">
        <v>2662</v>
      </c>
      <c r="B741" t="s">
        <v>1131</v>
      </c>
      <c r="C741" t="s">
        <v>38</v>
      </c>
      <c r="D741">
        <v>12</v>
      </c>
      <c r="E741" t="s">
        <v>2674</v>
      </c>
      <c r="F741" t="s">
        <v>1935</v>
      </c>
      <c r="G741" t="s">
        <v>1935</v>
      </c>
      <c r="H741" t="s">
        <v>1935</v>
      </c>
    </row>
    <row r="742" spans="1:8">
      <c r="A742" t="s">
        <v>2662</v>
      </c>
      <c r="B742" t="s">
        <v>1131</v>
      </c>
      <c r="C742" t="s">
        <v>38</v>
      </c>
      <c r="D742">
        <v>13</v>
      </c>
      <c r="E742" t="s">
        <v>2675</v>
      </c>
      <c r="F742" t="s">
        <v>1935</v>
      </c>
      <c r="G742" t="s">
        <v>1935</v>
      </c>
      <c r="H742" t="s">
        <v>1935</v>
      </c>
    </row>
    <row r="743" spans="1:8">
      <c r="A743" t="s">
        <v>2662</v>
      </c>
      <c r="B743" t="s">
        <v>1131</v>
      </c>
      <c r="C743" t="s">
        <v>38</v>
      </c>
      <c r="D743">
        <v>14</v>
      </c>
      <c r="E743" t="s">
        <v>2676</v>
      </c>
      <c r="F743" t="s">
        <v>1935</v>
      </c>
      <c r="G743" t="s">
        <v>1935</v>
      </c>
      <c r="H743" t="s">
        <v>1935</v>
      </c>
    </row>
    <row r="744" spans="1:8">
      <c r="A744" t="s">
        <v>2677</v>
      </c>
      <c r="B744" t="s">
        <v>1132</v>
      </c>
      <c r="C744" t="s">
        <v>242</v>
      </c>
      <c r="D744">
        <v>1</v>
      </c>
      <c r="E744" t="s">
        <v>2678</v>
      </c>
      <c r="F744" t="s">
        <v>1935</v>
      </c>
      <c r="G744" t="s">
        <v>1935</v>
      </c>
      <c r="H744" t="s">
        <v>1935</v>
      </c>
    </row>
    <row r="745" spans="1:8">
      <c r="A745" t="s">
        <v>2677</v>
      </c>
      <c r="B745" t="s">
        <v>1132</v>
      </c>
      <c r="C745" t="s">
        <v>242</v>
      </c>
      <c r="D745">
        <v>2</v>
      </c>
      <c r="E745" t="s">
        <v>2679</v>
      </c>
      <c r="F745" t="s">
        <v>1935</v>
      </c>
      <c r="G745" t="s">
        <v>1935</v>
      </c>
      <c r="H745" t="s">
        <v>1935</v>
      </c>
    </row>
    <row r="746" spans="1:8">
      <c r="A746" t="s">
        <v>2677</v>
      </c>
      <c r="B746" t="s">
        <v>1132</v>
      </c>
      <c r="C746" t="s">
        <v>242</v>
      </c>
      <c r="D746">
        <v>3</v>
      </c>
      <c r="E746" t="s">
        <v>2680</v>
      </c>
      <c r="F746" t="s">
        <v>1935</v>
      </c>
      <c r="G746" t="s">
        <v>1935</v>
      </c>
      <c r="H746" t="s">
        <v>1935</v>
      </c>
    </row>
    <row r="747" spans="1:8">
      <c r="A747" t="s">
        <v>2677</v>
      </c>
      <c r="B747" t="s">
        <v>1132</v>
      </c>
      <c r="C747" t="s">
        <v>242</v>
      </c>
      <c r="D747">
        <v>4</v>
      </c>
      <c r="E747" t="s">
        <v>2681</v>
      </c>
      <c r="F747" t="s">
        <v>1935</v>
      </c>
      <c r="G747" t="s">
        <v>1935</v>
      </c>
      <c r="H747" t="s">
        <v>1935</v>
      </c>
    </row>
    <row r="748" spans="1:8">
      <c r="A748" t="s">
        <v>2677</v>
      </c>
      <c r="B748" t="s">
        <v>1132</v>
      </c>
      <c r="C748" t="s">
        <v>242</v>
      </c>
      <c r="D748">
        <v>5</v>
      </c>
      <c r="E748" t="s">
        <v>1471</v>
      </c>
      <c r="F748" t="s">
        <v>1935</v>
      </c>
      <c r="G748" t="s">
        <v>1935</v>
      </c>
      <c r="H748" t="s">
        <v>1935</v>
      </c>
    </row>
    <row r="749" spans="1:8">
      <c r="A749" t="s">
        <v>2677</v>
      </c>
      <c r="B749" t="s">
        <v>1132</v>
      </c>
      <c r="C749" t="s">
        <v>242</v>
      </c>
      <c r="D749">
        <v>6</v>
      </c>
      <c r="E749" t="s">
        <v>2682</v>
      </c>
      <c r="F749" t="s">
        <v>1935</v>
      </c>
      <c r="G749" t="s">
        <v>1935</v>
      </c>
      <c r="H749" t="s">
        <v>1935</v>
      </c>
    </row>
    <row r="750" spans="1:8">
      <c r="A750" t="s">
        <v>2677</v>
      </c>
      <c r="B750" t="s">
        <v>1132</v>
      </c>
      <c r="C750" t="s">
        <v>242</v>
      </c>
      <c r="D750">
        <v>7</v>
      </c>
      <c r="E750" t="s">
        <v>2683</v>
      </c>
      <c r="F750" t="s">
        <v>1935</v>
      </c>
      <c r="G750" t="s">
        <v>1935</v>
      </c>
      <c r="H750" t="s">
        <v>1935</v>
      </c>
    </row>
    <row r="751" spans="1:8">
      <c r="A751" t="s">
        <v>2677</v>
      </c>
      <c r="B751" t="s">
        <v>1132</v>
      </c>
      <c r="C751" t="s">
        <v>242</v>
      </c>
      <c r="D751">
        <v>8</v>
      </c>
      <c r="E751" t="s">
        <v>2684</v>
      </c>
      <c r="F751" t="s">
        <v>1935</v>
      </c>
      <c r="G751" t="s">
        <v>1935</v>
      </c>
      <c r="H751" t="s">
        <v>1935</v>
      </c>
    </row>
    <row r="752" spans="1:8">
      <c r="A752" t="s">
        <v>2677</v>
      </c>
      <c r="B752" t="s">
        <v>1132</v>
      </c>
      <c r="C752" t="s">
        <v>242</v>
      </c>
      <c r="D752">
        <v>9</v>
      </c>
      <c r="E752" t="s">
        <v>2685</v>
      </c>
      <c r="F752" t="s">
        <v>1935</v>
      </c>
      <c r="G752" t="s">
        <v>1935</v>
      </c>
      <c r="H752" t="s">
        <v>1935</v>
      </c>
    </row>
    <row r="753" spans="1:8">
      <c r="A753" t="s">
        <v>2677</v>
      </c>
      <c r="B753" t="s">
        <v>1132</v>
      </c>
      <c r="C753" t="s">
        <v>242</v>
      </c>
      <c r="D753">
        <v>10</v>
      </c>
      <c r="E753" t="s">
        <v>2686</v>
      </c>
      <c r="F753" t="s">
        <v>1935</v>
      </c>
      <c r="G753" t="s">
        <v>1935</v>
      </c>
      <c r="H753" t="s">
        <v>1935</v>
      </c>
    </row>
    <row r="754" spans="1:8">
      <c r="A754" t="s">
        <v>2677</v>
      </c>
      <c r="B754" t="s">
        <v>1132</v>
      </c>
      <c r="C754" t="s">
        <v>242</v>
      </c>
      <c r="D754">
        <v>11</v>
      </c>
      <c r="E754" t="s">
        <v>2687</v>
      </c>
      <c r="F754" t="s">
        <v>1935</v>
      </c>
      <c r="G754" t="s">
        <v>1935</v>
      </c>
      <c r="H754" t="s">
        <v>1935</v>
      </c>
    </row>
    <row r="755" spans="1:8">
      <c r="A755" t="s">
        <v>2677</v>
      </c>
      <c r="B755" t="s">
        <v>1132</v>
      </c>
      <c r="C755" t="s">
        <v>242</v>
      </c>
      <c r="D755">
        <v>12</v>
      </c>
      <c r="E755" t="s">
        <v>2688</v>
      </c>
      <c r="F755" t="s">
        <v>1935</v>
      </c>
      <c r="G755" t="s">
        <v>1935</v>
      </c>
      <c r="H755" t="s">
        <v>1935</v>
      </c>
    </row>
    <row r="756" spans="1:8">
      <c r="A756" t="s">
        <v>2677</v>
      </c>
      <c r="B756" t="s">
        <v>1132</v>
      </c>
      <c r="C756" t="s">
        <v>242</v>
      </c>
      <c r="D756">
        <v>13</v>
      </c>
      <c r="E756" t="s">
        <v>2689</v>
      </c>
      <c r="F756" t="s">
        <v>1935</v>
      </c>
      <c r="G756" t="s">
        <v>1935</v>
      </c>
      <c r="H756" t="s">
        <v>1935</v>
      </c>
    </row>
    <row r="757" spans="1:8">
      <c r="A757" t="s">
        <v>2677</v>
      </c>
      <c r="B757" t="s">
        <v>1132</v>
      </c>
      <c r="C757" t="s">
        <v>242</v>
      </c>
      <c r="D757">
        <v>14</v>
      </c>
      <c r="E757" t="s">
        <v>2690</v>
      </c>
      <c r="F757" t="s">
        <v>1935</v>
      </c>
      <c r="G757" t="s">
        <v>1935</v>
      </c>
      <c r="H757" t="s">
        <v>1935</v>
      </c>
    </row>
    <row r="758" spans="1:8">
      <c r="A758" t="s">
        <v>401</v>
      </c>
      <c r="B758" t="s">
        <v>1035</v>
      </c>
      <c r="C758" t="s">
        <v>38</v>
      </c>
      <c r="D758">
        <v>1</v>
      </c>
      <c r="E758" t="s">
        <v>2691</v>
      </c>
      <c r="F758" t="s">
        <v>1935</v>
      </c>
      <c r="G758" t="s">
        <v>1935</v>
      </c>
      <c r="H758" t="s">
        <v>1935</v>
      </c>
    </row>
    <row r="759" spans="1:8">
      <c r="A759" t="s">
        <v>1139</v>
      </c>
      <c r="B759" t="s">
        <v>2692</v>
      </c>
      <c r="C759" t="s">
        <v>38</v>
      </c>
      <c r="D759">
        <v>1</v>
      </c>
      <c r="E759" t="s">
        <v>2292</v>
      </c>
      <c r="F759" t="s">
        <v>1935</v>
      </c>
      <c r="G759" t="s">
        <v>1935</v>
      </c>
      <c r="H759" t="s">
        <v>1935</v>
      </c>
    </row>
    <row r="760" spans="1:8">
      <c r="A760" t="s">
        <v>1139</v>
      </c>
      <c r="B760" t="s">
        <v>2692</v>
      </c>
      <c r="C760" t="s">
        <v>38</v>
      </c>
      <c r="D760">
        <v>2</v>
      </c>
      <c r="E760" t="s">
        <v>2294</v>
      </c>
      <c r="F760" t="s">
        <v>1935</v>
      </c>
      <c r="G760" t="s">
        <v>1935</v>
      </c>
      <c r="H760" t="s">
        <v>1935</v>
      </c>
    </row>
    <row r="761" spans="1:8">
      <c r="A761" t="s">
        <v>1139</v>
      </c>
      <c r="B761" t="s">
        <v>2692</v>
      </c>
      <c r="C761" t="s">
        <v>38</v>
      </c>
      <c r="D761">
        <v>3</v>
      </c>
      <c r="E761" t="s">
        <v>2296</v>
      </c>
      <c r="F761" t="s">
        <v>1935</v>
      </c>
      <c r="G761" t="s">
        <v>1935</v>
      </c>
      <c r="H761" t="s">
        <v>1935</v>
      </c>
    </row>
    <row r="762" spans="1:8">
      <c r="A762" t="s">
        <v>1139</v>
      </c>
      <c r="B762" t="s">
        <v>2692</v>
      </c>
      <c r="C762" t="s">
        <v>38</v>
      </c>
      <c r="D762">
        <v>4</v>
      </c>
      <c r="E762" t="s">
        <v>2298</v>
      </c>
      <c r="F762" t="s">
        <v>1935</v>
      </c>
      <c r="G762" t="s">
        <v>1935</v>
      </c>
      <c r="H762" t="s">
        <v>1935</v>
      </c>
    </row>
    <row r="763" spans="1:8">
      <c r="A763" t="s">
        <v>1139</v>
      </c>
      <c r="B763" t="s">
        <v>2692</v>
      </c>
      <c r="C763" t="s">
        <v>38</v>
      </c>
      <c r="D763">
        <v>5</v>
      </c>
      <c r="E763" t="s">
        <v>1312</v>
      </c>
      <c r="F763" t="s">
        <v>1935</v>
      </c>
      <c r="G763" t="s">
        <v>1935</v>
      </c>
      <c r="H763" t="s">
        <v>1935</v>
      </c>
    </row>
    <row r="764" spans="1:8">
      <c r="A764" t="s">
        <v>1139</v>
      </c>
      <c r="B764" t="s">
        <v>2692</v>
      </c>
      <c r="C764" t="s">
        <v>38</v>
      </c>
      <c r="D764">
        <v>6</v>
      </c>
      <c r="E764" t="s">
        <v>1313</v>
      </c>
      <c r="F764" t="s">
        <v>1935</v>
      </c>
      <c r="G764" t="s">
        <v>1935</v>
      </c>
      <c r="H764" t="s">
        <v>1935</v>
      </c>
    </row>
    <row r="765" spans="1:8">
      <c r="A765" t="s">
        <v>1139</v>
      </c>
      <c r="B765" t="s">
        <v>2692</v>
      </c>
      <c r="C765" t="s">
        <v>38</v>
      </c>
      <c r="D765">
        <v>7</v>
      </c>
      <c r="E765" t="s">
        <v>1314</v>
      </c>
      <c r="F765" t="s">
        <v>1935</v>
      </c>
      <c r="G765" t="s">
        <v>1935</v>
      </c>
      <c r="H765" t="s">
        <v>1935</v>
      </c>
    </row>
    <row r="766" spans="1:8">
      <c r="A766" t="s">
        <v>1139</v>
      </c>
      <c r="B766" t="s">
        <v>2692</v>
      </c>
      <c r="C766" t="s">
        <v>38</v>
      </c>
      <c r="D766">
        <v>8</v>
      </c>
      <c r="E766" t="s">
        <v>2303</v>
      </c>
      <c r="F766" t="s">
        <v>1935</v>
      </c>
      <c r="G766" t="s">
        <v>1935</v>
      </c>
      <c r="H766" t="s">
        <v>1935</v>
      </c>
    </row>
    <row r="767" spans="1:8">
      <c r="A767" t="s">
        <v>1139</v>
      </c>
      <c r="B767" t="s">
        <v>2692</v>
      </c>
      <c r="C767" t="s">
        <v>38</v>
      </c>
      <c r="D767">
        <v>9</v>
      </c>
      <c r="E767" t="s">
        <v>2305</v>
      </c>
      <c r="F767" t="s">
        <v>1935</v>
      </c>
      <c r="G767" t="s">
        <v>1935</v>
      </c>
      <c r="H767" t="s">
        <v>1935</v>
      </c>
    </row>
    <row r="768" spans="1:8">
      <c r="A768" t="s">
        <v>2693</v>
      </c>
      <c r="B768" t="s">
        <v>2694</v>
      </c>
      <c r="C768" t="s">
        <v>38</v>
      </c>
      <c r="D768">
        <v>1</v>
      </c>
      <c r="E768" t="s">
        <v>2695</v>
      </c>
      <c r="F768" t="s">
        <v>2292</v>
      </c>
      <c r="G768" t="s">
        <v>1935</v>
      </c>
      <c r="H768" t="s">
        <v>1935</v>
      </c>
    </row>
    <row r="769" spans="1:8">
      <c r="A769" t="s">
        <v>2693</v>
      </c>
      <c r="B769" t="s">
        <v>2694</v>
      </c>
      <c r="C769" t="s">
        <v>38</v>
      </c>
      <c r="D769">
        <v>2</v>
      </c>
      <c r="E769" t="s">
        <v>2696</v>
      </c>
      <c r="F769" t="s">
        <v>2294</v>
      </c>
      <c r="G769" t="s">
        <v>1935</v>
      </c>
      <c r="H769" t="s">
        <v>1935</v>
      </c>
    </row>
    <row r="770" spans="1:8">
      <c r="A770" t="s">
        <v>2693</v>
      </c>
      <c r="B770" t="s">
        <v>2694</v>
      </c>
      <c r="C770" t="s">
        <v>38</v>
      </c>
      <c r="D770">
        <v>3</v>
      </c>
      <c r="E770" t="s">
        <v>2697</v>
      </c>
      <c r="F770" t="s">
        <v>2296</v>
      </c>
      <c r="G770" t="s">
        <v>1935</v>
      </c>
      <c r="H770" t="s">
        <v>1935</v>
      </c>
    </row>
    <row r="771" spans="1:8">
      <c r="A771" t="s">
        <v>2693</v>
      </c>
      <c r="B771" t="s">
        <v>2694</v>
      </c>
      <c r="C771" t="s">
        <v>38</v>
      </c>
      <c r="D771">
        <v>4</v>
      </c>
      <c r="E771" t="s">
        <v>2698</v>
      </c>
      <c r="F771" t="s">
        <v>2298</v>
      </c>
      <c r="G771" t="s">
        <v>1935</v>
      </c>
      <c r="H771" t="s">
        <v>1935</v>
      </c>
    </row>
    <row r="772" spans="1:8">
      <c r="A772" t="s">
        <v>2693</v>
      </c>
      <c r="B772" t="s">
        <v>2694</v>
      </c>
      <c r="C772" t="s">
        <v>38</v>
      </c>
      <c r="D772">
        <v>5</v>
      </c>
      <c r="E772" t="s">
        <v>2699</v>
      </c>
      <c r="F772" t="s">
        <v>1312</v>
      </c>
      <c r="G772" t="s">
        <v>1935</v>
      </c>
      <c r="H772" t="s">
        <v>1935</v>
      </c>
    </row>
    <row r="773" spans="1:8">
      <c r="A773" t="s">
        <v>2693</v>
      </c>
      <c r="B773" t="s">
        <v>2694</v>
      </c>
      <c r="C773" t="s">
        <v>38</v>
      </c>
      <c r="D773">
        <v>6</v>
      </c>
      <c r="E773" t="s">
        <v>2700</v>
      </c>
      <c r="F773" t="s">
        <v>1313</v>
      </c>
      <c r="G773" t="s">
        <v>1935</v>
      </c>
      <c r="H773" t="s">
        <v>1935</v>
      </c>
    </row>
    <row r="774" spans="1:8">
      <c r="A774" t="s">
        <v>2693</v>
      </c>
      <c r="B774" t="s">
        <v>2694</v>
      </c>
      <c r="C774" t="s">
        <v>38</v>
      </c>
      <c r="D774">
        <v>7</v>
      </c>
      <c r="E774" t="s">
        <v>2701</v>
      </c>
      <c r="F774" t="s">
        <v>1314</v>
      </c>
      <c r="G774" t="s">
        <v>1935</v>
      </c>
      <c r="H774" t="s">
        <v>1935</v>
      </c>
    </row>
    <row r="775" spans="1:8">
      <c r="A775" t="s">
        <v>2693</v>
      </c>
      <c r="B775" t="s">
        <v>2694</v>
      </c>
      <c r="C775" t="s">
        <v>38</v>
      </c>
      <c r="D775">
        <v>8</v>
      </c>
      <c r="E775" t="s">
        <v>2702</v>
      </c>
      <c r="F775" t="s">
        <v>2303</v>
      </c>
      <c r="G775" t="s">
        <v>1935</v>
      </c>
      <c r="H775" t="s">
        <v>1935</v>
      </c>
    </row>
    <row r="776" spans="1:8">
      <c r="A776" t="s">
        <v>2693</v>
      </c>
      <c r="B776" t="s">
        <v>2694</v>
      </c>
      <c r="C776" t="s">
        <v>38</v>
      </c>
      <c r="D776">
        <v>9</v>
      </c>
      <c r="E776" t="s">
        <v>2703</v>
      </c>
      <c r="F776" t="s">
        <v>2305</v>
      </c>
      <c r="G776" t="s">
        <v>1935</v>
      </c>
      <c r="H776" t="s">
        <v>1935</v>
      </c>
    </row>
    <row r="777" spans="1:8">
      <c r="A777" t="s">
        <v>1153</v>
      </c>
      <c r="B777" t="s">
        <v>2704</v>
      </c>
      <c r="C777" t="s">
        <v>38</v>
      </c>
      <c r="D777">
        <v>1</v>
      </c>
      <c r="E777" t="s">
        <v>503</v>
      </c>
      <c r="F777" t="s">
        <v>1935</v>
      </c>
      <c r="G777" t="s">
        <v>1935</v>
      </c>
      <c r="H777" t="s">
        <v>78</v>
      </c>
    </row>
    <row r="778" spans="1:8">
      <c r="A778" t="s">
        <v>1153</v>
      </c>
      <c r="B778" t="s">
        <v>2704</v>
      </c>
      <c r="C778" t="s">
        <v>38</v>
      </c>
      <c r="D778">
        <v>2</v>
      </c>
      <c r="E778" t="s">
        <v>498</v>
      </c>
      <c r="F778" t="s">
        <v>1935</v>
      </c>
      <c r="G778" t="s">
        <v>1935</v>
      </c>
      <c r="H778" t="s">
        <v>78</v>
      </c>
    </row>
    <row r="779" spans="1:8">
      <c r="A779" t="s">
        <v>1153</v>
      </c>
      <c r="B779" t="s">
        <v>2704</v>
      </c>
      <c r="C779" t="s">
        <v>38</v>
      </c>
      <c r="D779">
        <v>3</v>
      </c>
      <c r="E779" t="s">
        <v>486</v>
      </c>
      <c r="F779" t="s">
        <v>1935</v>
      </c>
      <c r="G779" t="s">
        <v>1935</v>
      </c>
      <c r="H779" t="s">
        <v>78</v>
      </c>
    </row>
    <row r="780" spans="1:8">
      <c r="A780" t="s">
        <v>1153</v>
      </c>
      <c r="B780" t="s">
        <v>2704</v>
      </c>
      <c r="C780" t="s">
        <v>38</v>
      </c>
      <c r="D780">
        <v>4</v>
      </c>
      <c r="E780" t="s">
        <v>527</v>
      </c>
      <c r="F780" t="s">
        <v>1935</v>
      </c>
      <c r="G780" t="s">
        <v>1935</v>
      </c>
      <c r="H780" t="s">
        <v>78</v>
      </c>
    </row>
    <row r="781" spans="1:8">
      <c r="A781" t="s">
        <v>1153</v>
      </c>
      <c r="B781" t="s">
        <v>2704</v>
      </c>
      <c r="C781" t="s">
        <v>38</v>
      </c>
      <c r="D781">
        <v>5</v>
      </c>
      <c r="E781" t="s">
        <v>541</v>
      </c>
      <c r="F781" t="s">
        <v>1935</v>
      </c>
      <c r="G781" t="s">
        <v>1935</v>
      </c>
      <c r="H781" t="s">
        <v>78</v>
      </c>
    </row>
    <row r="782" spans="1:8">
      <c r="A782" t="s">
        <v>1153</v>
      </c>
      <c r="B782" t="s">
        <v>2704</v>
      </c>
      <c r="C782" t="s">
        <v>38</v>
      </c>
      <c r="D782">
        <v>6</v>
      </c>
      <c r="E782" t="s">
        <v>551</v>
      </c>
      <c r="F782" t="s">
        <v>1935</v>
      </c>
      <c r="G782" t="s">
        <v>1935</v>
      </c>
      <c r="H782" t="s">
        <v>78</v>
      </c>
    </row>
    <row r="783" spans="1:8">
      <c r="A783" t="s">
        <v>1153</v>
      </c>
      <c r="B783" t="s">
        <v>2704</v>
      </c>
      <c r="C783" t="s">
        <v>38</v>
      </c>
      <c r="D783">
        <v>7</v>
      </c>
      <c r="E783" t="s">
        <v>559</v>
      </c>
      <c r="F783" t="s">
        <v>1935</v>
      </c>
      <c r="G783" t="s">
        <v>1935</v>
      </c>
      <c r="H783" t="s">
        <v>78</v>
      </c>
    </row>
    <row r="784" spans="1:8">
      <c r="A784" t="s">
        <v>1153</v>
      </c>
      <c r="B784" t="s">
        <v>2704</v>
      </c>
      <c r="C784" t="s">
        <v>38</v>
      </c>
      <c r="D784">
        <v>8</v>
      </c>
      <c r="E784" t="s">
        <v>555</v>
      </c>
      <c r="F784" t="s">
        <v>1935</v>
      </c>
      <c r="G784" t="s">
        <v>1935</v>
      </c>
      <c r="H784" t="s">
        <v>78</v>
      </c>
    </row>
    <row r="785" spans="1:8">
      <c r="A785" t="s">
        <v>1153</v>
      </c>
      <c r="B785" t="s">
        <v>2704</v>
      </c>
      <c r="C785" t="s">
        <v>38</v>
      </c>
      <c r="D785">
        <v>9</v>
      </c>
      <c r="E785" t="s">
        <v>2341</v>
      </c>
      <c r="F785" t="s">
        <v>1935</v>
      </c>
      <c r="G785" t="s">
        <v>1935</v>
      </c>
      <c r="H785" t="s">
        <v>78</v>
      </c>
    </row>
    <row r="786" spans="1:8">
      <c r="A786" t="s">
        <v>1153</v>
      </c>
      <c r="B786" t="s">
        <v>2704</v>
      </c>
      <c r="C786" t="s">
        <v>38</v>
      </c>
      <c r="D786">
        <v>10</v>
      </c>
      <c r="E786" t="s">
        <v>2343</v>
      </c>
      <c r="F786" t="s">
        <v>1935</v>
      </c>
      <c r="G786" t="s">
        <v>1935</v>
      </c>
      <c r="H786" t="s">
        <v>78</v>
      </c>
    </row>
    <row r="787" spans="1:8">
      <c r="A787" t="s">
        <v>1152</v>
      </c>
      <c r="B787" t="s">
        <v>2705</v>
      </c>
      <c r="C787" t="s">
        <v>38</v>
      </c>
      <c r="D787">
        <v>1</v>
      </c>
      <c r="E787" t="s">
        <v>502</v>
      </c>
      <c r="F787" t="s">
        <v>503</v>
      </c>
      <c r="G787" t="s">
        <v>1935</v>
      </c>
      <c r="H787" t="s">
        <v>78</v>
      </c>
    </row>
    <row r="788" spans="1:8">
      <c r="A788" t="s">
        <v>1152</v>
      </c>
      <c r="B788" t="s">
        <v>2705</v>
      </c>
      <c r="C788" t="s">
        <v>38</v>
      </c>
      <c r="D788">
        <v>2</v>
      </c>
      <c r="E788" t="s">
        <v>497</v>
      </c>
      <c r="F788" t="s">
        <v>498</v>
      </c>
      <c r="G788" t="s">
        <v>1935</v>
      </c>
      <c r="H788" t="s">
        <v>78</v>
      </c>
    </row>
    <row r="789" spans="1:8">
      <c r="A789" t="s">
        <v>1152</v>
      </c>
      <c r="B789" t="s">
        <v>2705</v>
      </c>
      <c r="C789" t="s">
        <v>38</v>
      </c>
      <c r="D789">
        <v>3</v>
      </c>
      <c r="E789" t="s">
        <v>485</v>
      </c>
      <c r="F789" t="s">
        <v>486</v>
      </c>
      <c r="G789" t="s">
        <v>1935</v>
      </c>
      <c r="H789" t="s">
        <v>78</v>
      </c>
    </row>
    <row r="790" spans="1:8">
      <c r="A790" t="s">
        <v>1152</v>
      </c>
      <c r="B790" t="s">
        <v>2705</v>
      </c>
      <c r="C790" t="s">
        <v>38</v>
      </c>
      <c r="D790">
        <v>4</v>
      </c>
      <c r="E790" t="s">
        <v>526</v>
      </c>
      <c r="F790" t="s">
        <v>527</v>
      </c>
      <c r="G790" t="s">
        <v>1935</v>
      </c>
      <c r="H790" t="s">
        <v>78</v>
      </c>
    </row>
    <row r="791" spans="1:8">
      <c r="A791" t="s">
        <v>1152</v>
      </c>
      <c r="B791" t="s">
        <v>2705</v>
      </c>
      <c r="C791" t="s">
        <v>38</v>
      </c>
      <c r="D791">
        <v>5</v>
      </c>
      <c r="E791" t="s">
        <v>540</v>
      </c>
      <c r="F791" t="s">
        <v>541</v>
      </c>
      <c r="G791" t="s">
        <v>1935</v>
      </c>
      <c r="H791" t="s">
        <v>78</v>
      </c>
    </row>
    <row r="792" spans="1:8">
      <c r="A792" t="s">
        <v>1152</v>
      </c>
      <c r="B792" t="s">
        <v>2705</v>
      </c>
      <c r="C792" t="s">
        <v>38</v>
      </c>
      <c r="D792">
        <v>6</v>
      </c>
      <c r="E792" t="s">
        <v>550</v>
      </c>
      <c r="F792" t="s">
        <v>551</v>
      </c>
      <c r="G792" t="s">
        <v>1935</v>
      </c>
      <c r="H792" t="s">
        <v>78</v>
      </c>
    </row>
    <row r="793" spans="1:8">
      <c r="A793" t="s">
        <v>1152</v>
      </c>
      <c r="B793" t="s">
        <v>2705</v>
      </c>
      <c r="C793" t="s">
        <v>38</v>
      </c>
      <c r="D793">
        <v>7</v>
      </c>
      <c r="E793" t="s">
        <v>558</v>
      </c>
      <c r="F793" t="s">
        <v>559</v>
      </c>
      <c r="G793" t="s">
        <v>1935</v>
      </c>
      <c r="H793" t="s">
        <v>78</v>
      </c>
    </row>
    <row r="794" spans="1:8">
      <c r="A794" t="s">
        <v>1152</v>
      </c>
      <c r="B794" t="s">
        <v>2705</v>
      </c>
      <c r="C794" t="s">
        <v>38</v>
      </c>
      <c r="D794">
        <v>8</v>
      </c>
      <c r="E794" t="s">
        <v>554</v>
      </c>
      <c r="F794" t="s">
        <v>555</v>
      </c>
      <c r="G794" t="s">
        <v>1935</v>
      </c>
      <c r="H794" t="s">
        <v>78</v>
      </c>
    </row>
    <row r="795" spans="1:8">
      <c r="A795" t="s">
        <v>1152</v>
      </c>
      <c r="B795" t="s">
        <v>2705</v>
      </c>
      <c r="C795" t="s">
        <v>38</v>
      </c>
      <c r="D795">
        <v>9</v>
      </c>
      <c r="E795" t="s">
        <v>2706</v>
      </c>
      <c r="F795" t="s">
        <v>2341</v>
      </c>
      <c r="G795" t="s">
        <v>1935</v>
      </c>
      <c r="H795" t="s">
        <v>78</v>
      </c>
    </row>
    <row r="796" spans="1:8">
      <c r="A796" t="s">
        <v>1152</v>
      </c>
      <c r="B796" t="s">
        <v>2705</v>
      </c>
      <c r="C796" t="s">
        <v>38</v>
      </c>
      <c r="D796">
        <v>10</v>
      </c>
      <c r="E796" t="s">
        <v>2707</v>
      </c>
      <c r="F796" t="s">
        <v>2343</v>
      </c>
      <c r="G796" t="s">
        <v>1935</v>
      </c>
      <c r="H796" t="s">
        <v>78</v>
      </c>
    </row>
    <row r="797" spans="1:8">
      <c r="A797" t="s">
        <v>1136</v>
      </c>
      <c r="B797" t="s">
        <v>1124</v>
      </c>
      <c r="C797" t="s">
        <v>38</v>
      </c>
      <c r="D797">
        <v>1</v>
      </c>
      <c r="E797" t="s">
        <v>601</v>
      </c>
      <c r="F797" t="s">
        <v>1935</v>
      </c>
      <c r="G797" t="s">
        <v>1935</v>
      </c>
      <c r="H797" t="s">
        <v>1935</v>
      </c>
    </row>
    <row r="798" spans="1:8">
      <c r="A798" t="s">
        <v>1136</v>
      </c>
      <c r="B798" t="s">
        <v>1124</v>
      </c>
      <c r="C798" t="s">
        <v>38</v>
      </c>
      <c r="D798">
        <v>2</v>
      </c>
      <c r="E798" t="s">
        <v>2708</v>
      </c>
      <c r="F798" t="s">
        <v>1935</v>
      </c>
      <c r="G798" t="s">
        <v>1935</v>
      </c>
      <c r="H798" t="s">
        <v>1935</v>
      </c>
    </row>
    <row r="799" spans="1:8">
      <c r="A799" t="s">
        <v>1136</v>
      </c>
      <c r="B799" t="s">
        <v>1124</v>
      </c>
      <c r="C799" t="s">
        <v>38</v>
      </c>
      <c r="D799">
        <v>3</v>
      </c>
      <c r="E799" t="s">
        <v>2709</v>
      </c>
      <c r="F799" t="s">
        <v>1935</v>
      </c>
      <c r="G799" t="s">
        <v>1935</v>
      </c>
      <c r="H799" t="s">
        <v>1935</v>
      </c>
    </row>
    <row r="800" spans="1:8">
      <c r="A800" t="s">
        <v>1136</v>
      </c>
      <c r="B800" t="s">
        <v>1124</v>
      </c>
      <c r="C800" t="s">
        <v>38</v>
      </c>
      <c r="D800">
        <v>4</v>
      </c>
      <c r="E800" t="s">
        <v>2710</v>
      </c>
      <c r="F800" t="s">
        <v>1935</v>
      </c>
      <c r="G800" t="s">
        <v>1935</v>
      </c>
      <c r="H800" t="s">
        <v>1935</v>
      </c>
    </row>
    <row r="801" spans="1:8">
      <c r="A801" t="s">
        <v>1136</v>
      </c>
      <c r="B801" t="s">
        <v>1124</v>
      </c>
      <c r="C801" t="s">
        <v>38</v>
      </c>
      <c r="D801">
        <v>5</v>
      </c>
      <c r="E801" t="s">
        <v>2711</v>
      </c>
      <c r="F801" t="s">
        <v>1935</v>
      </c>
      <c r="G801" t="s">
        <v>1935</v>
      </c>
      <c r="H801" t="s">
        <v>1935</v>
      </c>
    </row>
    <row r="802" spans="1:8">
      <c r="A802" t="s">
        <v>1136</v>
      </c>
      <c r="B802" t="s">
        <v>1124</v>
      </c>
      <c r="C802" t="s">
        <v>38</v>
      </c>
      <c r="D802">
        <v>6</v>
      </c>
      <c r="E802" t="s">
        <v>2712</v>
      </c>
      <c r="F802" t="s">
        <v>1935</v>
      </c>
      <c r="G802" t="s">
        <v>1935</v>
      </c>
      <c r="H802" t="s">
        <v>1935</v>
      </c>
    </row>
    <row r="803" spans="1:8">
      <c r="A803" t="s">
        <v>1136</v>
      </c>
      <c r="B803" t="s">
        <v>1124</v>
      </c>
      <c r="C803" t="s">
        <v>38</v>
      </c>
      <c r="D803">
        <v>7</v>
      </c>
      <c r="E803" t="s">
        <v>1670</v>
      </c>
      <c r="F803" t="s">
        <v>1935</v>
      </c>
      <c r="G803" t="s">
        <v>1935</v>
      </c>
      <c r="H803" t="s">
        <v>1935</v>
      </c>
    </row>
    <row r="804" spans="1:8">
      <c r="A804" t="s">
        <v>1136</v>
      </c>
      <c r="B804" t="s">
        <v>1124</v>
      </c>
      <c r="C804" t="s">
        <v>38</v>
      </c>
      <c r="D804">
        <v>8</v>
      </c>
      <c r="E804" t="s">
        <v>1672</v>
      </c>
      <c r="F804" t="s">
        <v>1935</v>
      </c>
      <c r="G804" t="s">
        <v>1935</v>
      </c>
      <c r="H804" t="s">
        <v>1935</v>
      </c>
    </row>
    <row r="805" spans="1:8">
      <c r="A805" t="s">
        <v>1136</v>
      </c>
      <c r="B805" t="s">
        <v>1124</v>
      </c>
      <c r="C805" t="s">
        <v>38</v>
      </c>
      <c r="D805">
        <v>9</v>
      </c>
      <c r="E805" t="s">
        <v>1482</v>
      </c>
      <c r="F805" t="s">
        <v>1935</v>
      </c>
      <c r="G805" t="s">
        <v>1935</v>
      </c>
      <c r="H805" t="s">
        <v>1935</v>
      </c>
    </row>
    <row r="806" spans="1:8">
      <c r="A806" t="s">
        <v>455</v>
      </c>
      <c r="B806" t="s">
        <v>1035</v>
      </c>
      <c r="C806" t="s">
        <v>38</v>
      </c>
      <c r="D806">
        <v>1</v>
      </c>
      <c r="E806" t="s">
        <v>2713</v>
      </c>
      <c r="F806" t="s">
        <v>1935</v>
      </c>
      <c r="G806" t="s">
        <v>1935</v>
      </c>
      <c r="H806" t="s">
        <v>1935</v>
      </c>
    </row>
    <row r="807" spans="1:8">
      <c r="A807" t="s">
        <v>455</v>
      </c>
      <c r="B807" t="s">
        <v>1035</v>
      </c>
      <c r="C807" t="s">
        <v>38</v>
      </c>
      <c r="D807">
        <v>2</v>
      </c>
      <c r="E807" t="s">
        <v>2714</v>
      </c>
      <c r="F807" t="s">
        <v>1935</v>
      </c>
      <c r="G807" t="s">
        <v>1935</v>
      </c>
      <c r="H807" t="s">
        <v>1935</v>
      </c>
    </row>
    <row r="808" spans="1:8">
      <c r="A808" t="s">
        <v>421</v>
      </c>
      <c r="B808" t="s">
        <v>1035</v>
      </c>
      <c r="C808" t="s">
        <v>38</v>
      </c>
      <c r="D808">
        <v>1</v>
      </c>
      <c r="E808" t="s">
        <v>2715</v>
      </c>
      <c r="F808" t="s">
        <v>1935</v>
      </c>
      <c r="G808" t="s">
        <v>1935</v>
      </c>
      <c r="H808" t="s">
        <v>1935</v>
      </c>
    </row>
    <row r="809" spans="1:8">
      <c r="A809" t="s">
        <v>421</v>
      </c>
      <c r="B809" t="s">
        <v>1035</v>
      </c>
      <c r="C809" t="s">
        <v>38</v>
      </c>
      <c r="D809">
        <v>2</v>
      </c>
      <c r="E809" t="s">
        <v>2399</v>
      </c>
      <c r="F809" t="s">
        <v>1935</v>
      </c>
      <c r="G809" t="s">
        <v>1935</v>
      </c>
      <c r="H809" t="s">
        <v>1935</v>
      </c>
    </row>
    <row r="810" spans="1:8">
      <c r="A810" t="s">
        <v>421</v>
      </c>
      <c r="B810" t="s">
        <v>1035</v>
      </c>
      <c r="C810" t="s">
        <v>38</v>
      </c>
      <c r="D810">
        <v>3</v>
      </c>
      <c r="E810" t="s">
        <v>2716</v>
      </c>
      <c r="F810" t="s">
        <v>1935</v>
      </c>
      <c r="G810" t="s">
        <v>1935</v>
      </c>
      <c r="H810" t="s">
        <v>1935</v>
      </c>
    </row>
    <row r="811" spans="1:8">
      <c r="A811" t="s">
        <v>421</v>
      </c>
      <c r="B811" t="s">
        <v>1035</v>
      </c>
      <c r="C811" t="s">
        <v>38</v>
      </c>
      <c r="D811">
        <v>4</v>
      </c>
      <c r="E811" t="s">
        <v>2717</v>
      </c>
      <c r="F811" t="s">
        <v>1935</v>
      </c>
      <c r="G811" t="s">
        <v>1935</v>
      </c>
      <c r="H811" t="s">
        <v>1935</v>
      </c>
    </row>
    <row r="812" spans="1:8">
      <c r="A812" t="s">
        <v>783</v>
      </c>
      <c r="B812" t="s">
        <v>1035</v>
      </c>
      <c r="C812" t="s">
        <v>38</v>
      </c>
      <c r="D812">
        <v>1</v>
      </c>
      <c r="E812" t="s">
        <v>2718</v>
      </c>
      <c r="F812" t="s">
        <v>1935</v>
      </c>
      <c r="G812" t="s">
        <v>1935</v>
      </c>
      <c r="H812" t="s">
        <v>1935</v>
      </c>
    </row>
    <row r="813" spans="1:8">
      <c r="A813" t="s">
        <v>657</v>
      </c>
      <c r="B813" t="s">
        <v>1070</v>
      </c>
      <c r="C813" t="s">
        <v>38</v>
      </c>
      <c r="D813">
        <v>1</v>
      </c>
      <c r="E813" t="s">
        <v>2719</v>
      </c>
      <c r="F813" t="s">
        <v>1935</v>
      </c>
      <c r="G813" t="s">
        <v>1935</v>
      </c>
      <c r="H813" t="s">
        <v>1935</v>
      </c>
    </row>
    <row r="814" spans="1:8">
      <c r="A814" t="s">
        <v>1107</v>
      </c>
      <c r="B814" t="s">
        <v>1099</v>
      </c>
      <c r="C814" t="s">
        <v>38</v>
      </c>
      <c r="D814">
        <v>1</v>
      </c>
      <c r="E814" t="s">
        <v>2025</v>
      </c>
      <c r="F814" t="s">
        <v>1935</v>
      </c>
      <c r="G814" t="s">
        <v>1935</v>
      </c>
      <c r="H814" t="s">
        <v>1935</v>
      </c>
    </row>
    <row r="815" spans="1:8">
      <c r="A815" t="s">
        <v>1107</v>
      </c>
      <c r="B815" t="s">
        <v>2720</v>
      </c>
      <c r="C815" t="s">
        <v>38</v>
      </c>
      <c r="D815">
        <v>2</v>
      </c>
      <c r="E815" t="s">
        <v>2721</v>
      </c>
      <c r="F815" t="s">
        <v>1935</v>
      </c>
      <c r="G815" t="s">
        <v>1935</v>
      </c>
      <c r="H815" t="s">
        <v>1935</v>
      </c>
    </row>
    <row r="816" spans="1:8">
      <c r="A816" t="s">
        <v>1107</v>
      </c>
      <c r="B816" t="s">
        <v>2720</v>
      </c>
      <c r="C816" t="s">
        <v>38</v>
      </c>
      <c r="D816">
        <v>3</v>
      </c>
      <c r="E816" t="s">
        <v>2722</v>
      </c>
      <c r="F816" t="s">
        <v>1935</v>
      </c>
      <c r="G816" t="s">
        <v>1935</v>
      </c>
      <c r="H816" t="s">
        <v>1935</v>
      </c>
    </row>
    <row r="817" spans="1:8">
      <c r="A817" t="s">
        <v>1107</v>
      </c>
      <c r="B817" t="s">
        <v>2720</v>
      </c>
      <c r="C817" t="s">
        <v>38</v>
      </c>
      <c r="D817">
        <v>4</v>
      </c>
      <c r="E817" t="s">
        <v>2723</v>
      </c>
      <c r="F817" t="s">
        <v>1935</v>
      </c>
      <c r="G817" t="s">
        <v>1935</v>
      </c>
      <c r="H817" t="s">
        <v>1935</v>
      </c>
    </row>
    <row r="818" spans="1:8">
      <c r="A818" t="s">
        <v>1107</v>
      </c>
      <c r="B818" t="s">
        <v>2720</v>
      </c>
      <c r="C818" t="s">
        <v>38</v>
      </c>
      <c r="D818">
        <v>5</v>
      </c>
      <c r="E818" t="s">
        <v>2724</v>
      </c>
      <c r="F818" t="s">
        <v>1935</v>
      </c>
      <c r="G818" t="s">
        <v>1935</v>
      </c>
      <c r="H818" t="s">
        <v>1935</v>
      </c>
    </row>
    <row r="819" spans="1:8">
      <c r="A819" t="s">
        <v>1107</v>
      </c>
      <c r="B819" t="s">
        <v>2720</v>
      </c>
      <c r="C819" t="s">
        <v>38</v>
      </c>
      <c r="D819">
        <v>6</v>
      </c>
      <c r="E819" t="s">
        <v>2725</v>
      </c>
      <c r="F819" t="s">
        <v>1935</v>
      </c>
      <c r="G819" t="s">
        <v>1935</v>
      </c>
      <c r="H819" t="s">
        <v>1935</v>
      </c>
    </row>
    <row r="820" spans="1:8">
      <c r="A820" t="s">
        <v>1107</v>
      </c>
      <c r="B820" t="s">
        <v>2720</v>
      </c>
      <c r="C820" t="s">
        <v>38</v>
      </c>
      <c r="D820">
        <v>7</v>
      </c>
      <c r="E820" t="s">
        <v>2726</v>
      </c>
      <c r="F820" t="s">
        <v>1935</v>
      </c>
      <c r="G820" t="s">
        <v>1935</v>
      </c>
      <c r="H820" t="s">
        <v>1935</v>
      </c>
    </row>
    <row r="821" spans="1:8">
      <c r="A821" t="s">
        <v>1107</v>
      </c>
      <c r="B821" t="s">
        <v>1099</v>
      </c>
      <c r="C821" t="s">
        <v>38</v>
      </c>
      <c r="D821">
        <v>8</v>
      </c>
      <c r="E821" t="s">
        <v>2727</v>
      </c>
      <c r="F821" t="s">
        <v>1935</v>
      </c>
      <c r="G821" t="s">
        <v>1935</v>
      </c>
      <c r="H821" t="s">
        <v>1935</v>
      </c>
    </row>
    <row r="822" spans="1:8">
      <c r="A822" t="s">
        <v>1107</v>
      </c>
      <c r="B822" t="s">
        <v>2720</v>
      </c>
      <c r="C822" t="s">
        <v>38</v>
      </c>
      <c r="D822">
        <v>9</v>
      </c>
      <c r="E822" t="s">
        <v>2728</v>
      </c>
      <c r="F822" t="s">
        <v>1935</v>
      </c>
      <c r="G822" t="s">
        <v>1935</v>
      </c>
      <c r="H822" t="s">
        <v>1935</v>
      </c>
    </row>
    <row r="823" spans="1:8">
      <c r="A823" t="s">
        <v>1107</v>
      </c>
      <c r="B823" t="s">
        <v>2720</v>
      </c>
      <c r="C823" t="s">
        <v>38</v>
      </c>
      <c r="D823">
        <v>10</v>
      </c>
      <c r="E823" t="s">
        <v>2729</v>
      </c>
      <c r="F823" t="s">
        <v>1935</v>
      </c>
      <c r="G823" t="s">
        <v>1935</v>
      </c>
      <c r="H823" t="s">
        <v>1935</v>
      </c>
    </row>
    <row r="824" spans="1:8">
      <c r="A824" t="s">
        <v>1107</v>
      </c>
      <c r="B824" t="s">
        <v>2720</v>
      </c>
      <c r="C824" t="s">
        <v>38</v>
      </c>
      <c r="D824">
        <v>11</v>
      </c>
      <c r="E824" t="s">
        <v>2730</v>
      </c>
      <c r="F824" t="s">
        <v>1935</v>
      </c>
      <c r="G824" t="s">
        <v>1935</v>
      </c>
      <c r="H824" t="s">
        <v>1935</v>
      </c>
    </row>
    <row r="825" spans="1:8">
      <c r="A825" t="s">
        <v>1107</v>
      </c>
      <c r="B825" t="s">
        <v>2720</v>
      </c>
      <c r="C825" t="s">
        <v>38</v>
      </c>
      <c r="D825">
        <v>12</v>
      </c>
      <c r="E825" t="s">
        <v>2731</v>
      </c>
      <c r="F825" t="s">
        <v>1935</v>
      </c>
      <c r="G825" t="s">
        <v>1935</v>
      </c>
      <c r="H825" t="s">
        <v>1935</v>
      </c>
    </row>
    <row r="826" spans="1:8">
      <c r="A826" t="s">
        <v>1107</v>
      </c>
      <c r="B826" t="s">
        <v>1099</v>
      </c>
      <c r="C826" t="s">
        <v>38</v>
      </c>
      <c r="D826">
        <v>13</v>
      </c>
      <c r="E826" t="s">
        <v>2732</v>
      </c>
      <c r="F826" t="s">
        <v>1935</v>
      </c>
      <c r="G826" t="s">
        <v>1935</v>
      </c>
      <c r="H826" t="s">
        <v>1935</v>
      </c>
    </row>
    <row r="827" spans="1:8">
      <c r="A827" t="s">
        <v>1107</v>
      </c>
      <c r="B827" t="s">
        <v>1099</v>
      </c>
      <c r="C827" t="s">
        <v>38</v>
      </c>
      <c r="D827">
        <v>14</v>
      </c>
      <c r="E827" t="s">
        <v>2733</v>
      </c>
      <c r="F827" t="s">
        <v>1935</v>
      </c>
      <c r="G827" t="s">
        <v>1935</v>
      </c>
      <c r="H827" t="s">
        <v>1935</v>
      </c>
    </row>
    <row r="828" spans="1:8">
      <c r="A828" t="s">
        <v>1107</v>
      </c>
      <c r="B828" t="s">
        <v>2720</v>
      </c>
      <c r="C828" t="s">
        <v>38</v>
      </c>
      <c r="D828">
        <v>15</v>
      </c>
      <c r="E828" t="s">
        <v>2734</v>
      </c>
      <c r="F828" t="s">
        <v>1935</v>
      </c>
      <c r="G828" t="s">
        <v>1935</v>
      </c>
      <c r="H828" t="s">
        <v>1935</v>
      </c>
    </row>
    <row r="829" spans="1:8">
      <c r="A829" t="s">
        <v>1107</v>
      </c>
      <c r="B829" t="s">
        <v>1099</v>
      </c>
      <c r="C829" t="s">
        <v>38</v>
      </c>
      <c r="D829">
        <v>16</v>
      </c>
      <c r="E829" t="s">
        <v>2735</v>
      </c>
      <c r="F829" t="s">
        <v>1935</v>
      </c>
      <c r="G829" t="s">
        <v>1935</v>
      </c>
      <c r="H829" t="s">
        <v>1935</v>
      </c>
    </row>
    <row r="830" spans="1:8">
      <c r="A830" t="s">
        <v>1107</v>
      </c>
      <c r="B830" t="s">
        <v>2720</v>
      </c>
      <c r="C830" t="s">
        <v>38</v>
      </c>
      <c r="D830">
        <v>17</v>
      </c>
      <c r="E830" t="s">
        <v>2736</v>
      </c>
      <c r="F830" t="s">
        <v>1935</v>
      </c>
      <c r="G830" t="s">
        <v>1935</v>
      </c>
      <c r="H830" t="s">
        <v>1935</v>
      </c>
    </row>
    <row r="831" spans="1:8">
      <c r="A831" t="s">
        <v>1107</v>
      </c>
      <c r="B831" t="s">
        <v>2720</v>
      </c>
      <c r="C831" t="s">
        <v>38</v>
      </c>
      <c r="D831">
        <v>18</v>
      </c>
      <c r="E831" t="s">
        <v>2737</v>
      </c>
      <c r="F831" t="s">
        <v>1935</v>
      </c>
      <c r="G831" t="s">
        <v>1935</v>
      </c>
      <c r="H831" t="s">
        <v>1935</v>
      </c>
    </row>
    <row r="832" spans="1:8">
      <c r="A832" t="s">
        <v>1107</v>
      </c>
      <c r="B832" t="s">
        <v>2720</v>
      </c>
      <c r="C832" t="s">
        <v>38</v>
      </c>
      <c r="D832">
        <v>19</v>
      </c>
      <c r="E832" t="s">
        <v>2738</v>
      </c>
      <c r="F832" t="s">
        <v>1935</v>
      </c>
      <c r="G832" t="s">
        <v>1935</v>
      </c>
      <c r="H832" t="s">
        <v>1935</v>
      </c>
    </row>
    <row r="833" spans="1:8">
      <c r="A833" t="s">
        <v>1107</v>
      </c>
      <c r="B833" t="s">
        <v>1099</v>
      </c>
      <c r="C833" t="s">
        <v>38</v>
      </c>
      <c r="D833">
        <v>20</v>
      </c>
      <c r="E833" t="s">
        <v>2739</v>
      </c>
      <c r="F833" t="s">
        <v>1935</v>
      </c>
      <c r="G833" t="s">
        <v>1935</v>
      </c>
      <c r="H833" t="s">
        <v>1935</v>
      </c>
    </row>
    <row r="834" spans="1:8">
      <c r="A834" t="s">
        <v>1107</v>
      </c>
      <c r="B834" t="s">
        <v>2720</v>
      </c>
      <c r="C834" t="s">
        <v>38</v>
      </c>
      <c r="D834">
        <v>21</v>
      </c>
      <c r="E834" t="s">
        <v>2740</v>
      </c>
      <c r="F834" t="s">
        <v>1935</v>
      </c>
      <c r="G834" t="s">
        <v>1935</v>
      </c>
      <c r="H834" t="s">
        <v>1935</v>
      </c>
    </row>
    <row r="835" spans="1:8">
      <c r="A835" t="s">
        <v>1107</v>
      </c>
      <c r="B835" t="s">
        <v>1099</v>
      </c>
      <c r="C835" t="s">
        <v>38</v>
      </c>
      <c r="D835">
        <v>22</v>
      </c>
      <c r="E835" t="s">
        <v>2741</v>
      </c>
      <c r="F835" t="s">
        <v>1935</v>
      </c>
      <c r="G835" t="s">
        <v>1935</v>
      </c>
      <c r="H835" t="s">
        <v>1935</v>
      </c>
    </row>
    <row r="836" spans="1:8">
      <c r="A836" t="s">
        <v>1107</v>
      </c>
      <c r="B836" t="s">
        <v>2720</v>
      </c>
      <c r="C836" t="s">
        <v>38</v>
      </c>
      <c r="D836">
        <v>23</v>
      </c>
      <c r="E836" t="s">
        <v>2742</v>
      </c>
      <c r="F836" t="s">
        <v>1935</v>
      </c>
      <c r="G836" t="s">
        <v>1935</v>
      </c>
      <c r="H836" t="s">
        <v>1935</v>
      </c>
    </row>
    <row r="837" spans="1:8">
      <c r="A837" t="s">
        <v>1107</v>
      </c>
      <c r="B837" t="s">
        <v>1099</v>
      </c>
      <c r="C837" t="s">
        <v>38</v>
      </c>
      <c r="D837">
        <v>24</v>
      </c>
      <c r="E837" t="s">
        <v>2743</v>
      </c>
      <c r="F837" t="s">
        <v>1935</v>
      </c>
      <c r="G837" t="s">
        <v>1935</v>
      </c>
      <c r="H837" t="s">
        <v>1935</v>
      </c>
    </row>
    <row r="838" spans="1:8">
      <c r="A838" t="s">
        <v>1107</v>
      </c>
      <c r="B838" t="s">
        <v>1099</v>
      </c>
      <c r="C838" t="s">
        <v>38</v>
      </c>
      <c r="D838">
        <v>25</v>
      </c>
      <c r="E838" t="s">
        <v>2421</v>
      </c>
      <c r="F838" t="s">
        <v>1935</v>
      </c>
      <c r="G838" t="s">
        <v>1935</v>
      </c>
      <c r="H838" t="s">
        <v>1935</v>
      </c>
    </row>
    <row r="839" spans="1:8">
      <c r="A839" t="s">
        <v>1107</v>
      </c>
      <c r="B839" t="s">
        <v>2720</v>
      </c>
      <c r="C839" t="s">
        <v>38</v>
      </c>
      <c r="D839">
        <v>26</v>
      </c>
      <c r="E839" t="s">
        <v>2744</v>
      </c>
      <c r="F839" t="s">
        <v>1935</v>
      </c>
      <c r="G839" t="s">
        <v>1935</v>
      </c>
      <c r="H839" t="s">
        <v>1935</v>
      </c>
    </row>
    <row r="840" spans="1:8">
      <c r="A840" t="s">
        <v>1107</v>
      </c>
      <c r="B840" t="s">
        <v>2720</v>
      </c>
      <c r="C840" t="s">
        <v>38</v>
      </c>
      <c r="D840">
        <v>27</v>
      </c>
      <c r="E840" t="s">
        <v>2745</v>
      </c>
      <c r="F840" t="s">
        <v>1935</v>
      </c>
      <c r="G840" t="s">
        <v>1935</v>
      </c>
      <c r="H840" t="s">
        <v>1935</v>
      </c>
    </row>
    <row r="841" spans="1:8">
      <c r="A841" t="s">
        <v>1107</v>
      </c>
      <c r="B841" t="s">
        <v>2720</v>
      </c>
      <c r="C841" t="s">
        <v>38</v>
      </c>
      <c r="D841">
        <v>28</v>
      </c>
      <c r="E841" t="s">
        <v>2746</v>
      </c>
      <c r="F841" t="s">
        <v>1935</v>
      </c>
      <c r="G841" t="s">
        <v>1935</v>
      </c>
      <c r="H841" t="s">
        <v>1935</v>
      </c>
    </row>
    <row r="842" spans="1:8">
      <c r="A842" t="s">
        <v>1107</v>
      </c>
      <c r="B842" t="s">
        <v>2720</v>
      </c>
      <c r="C842" t="s">
        <v>38</v>
      </c>
      <c r="D842">
        <v>29</v>
      </c>
      <c r="E842" t="s">
        <v>2747</v>
      </c>
      <c r="F842" t="s">
        <v>1935</v>
      </c>
      <c r="G842" t="s">
        <v>1935</v>
      </c>
      <c r="H842" t="s">
        <v>1935</v>
      </c>
    </row>
    <row r="843" spans="1:8">
      <c r="A843" t="s">
        <v>1107</v>
      </c>
      <c r="B843" t="s">
        <v>1099</v>
      </c>
      <c r="C843" t="s">
        <v>38</v>
      </c>
      <c r="D843">
        <v>30</v>
      </c>
      <c r="E843" t="s">
        <v>2748</v>
      </c>
      <c r="F843" t="s">
        <v>1935</v>
      </c>
      <c r="G843" t="s">
        <v>1935</v>
      </c>
      <c r="H843" t="s">
        <v>1935</v>
      </c>
    </row>
    <row r="844" spans="1:8">
      <c r="A844" t="s">
        <v>1107</v>
      </c>
      <c r="B844" t="s">
        <v>2720</v>
      </c>
      <c r="C844" t="s">
        <v>38</v>
      </c>
      <c r="D844">
        <v>31</v>
      </c>
      <c r="E844" t="s">
        <v>2749</v>
      </c>
      <c r="F844" t="s">
        <v>1935</v>
      </c>
      <c r="G844" t="s">
        <v>1935</v>
      </c>
      <c r="H844" t="s">
        <v>1935</v>
      </c>
    </row>
    <row r="845" spans="1:8">
      <c r="A845" t="s">
        <v>1107</v>
      </c>
      <c r="B845" t="s">
        <v>2720</v>
      </c>
      <c r="C845" t="s">
        <v>38</v>
      </c>
      <c r="D845">
        <v>32</v>
      </c>
      <c r="E845" t="s">
        <v>2750</v>
      </c>
      <c r="F845" t="s">
        <v>1935</v>
      </c>
      <c r="G845" t="s">
        <v>1935</v>
      </c>
      <c r="H845" t="s">
        <v>1935</v>
      </c>
    </row>
    <row r="846" spans="1:8">
      <c r="A846" t="s">
        <v>1107</v>
      </c>
      <c r="B846" t="s">
        <v>2720</v>
      </c>
      <c r="C846" t="s">
        <v>38</v>
      </c>
      <c r="D846">
        <v>33</v>
      </c>
      <c r="E846" t="s">
        <v>2751</v>
      </c>
      <c r="F846" t="s">
        <v>1935</v>
      </c>
      <c r="G846" t="s">
        <v>1935</v>
      </c>
      <c r="H846" t="s">
        <v>1935</v>
      </c>
    </row>
    <row r="847" spans="1:8">
      <c r="A847" t="s">
        <v>1107</v>
      </c>
      <c r="B847" t="s">
        <v>2720</v>
      </c>
      <c r="C847" t="s">
        <v>38</v>
      </c>
      <c r="D847">
        <v>34</v>
      </c>
      <c r="E847" t="s">
        <v>2752</v>
      </c>
      <c r="F847" t="s">
        <v>1935</v>
      </c>
      <c r="G847" t="s">
        <v>1935</v>
      </c>
      <c r="H847" t="s">
        <v>1935</v>
      </c>
    </row>
    <row r="848" spans="1:8">
      <c r="A848" t="s">
        <v>1107</v>
      </c>
      <c r="B848" t="s">
        <v>1099</v>
      </c>
      <c r="C848" t="s">
        <v>38</v>
      </c>
      <c r="D848">
        <v>35</v>
      </c>
      <c r="E848" t="s">
        <v>2753</v>
      </c>
      <c r="F848" t="s">
        <v>1935</v>
      </c>
      <c r="G848" t="s">
        <v>1935</v>
      </c>
      <c r="H848" t="s">
        <v>1935</v>
      </c>
    </row>
    <row r="849" spans="1:8">
      <c r="A849" t="s">
        <v>101</v>
      </c>
      <c r="B849" t="s">
        <v>1069</v>
      </c>
      <c r="C849" t="s">
        <v>38</v>
      </c>
      <c r="D849">
        <v>1</v>
      </c>
      <c r="E849" t="s">
        <v>2754</v>
      </c>
      <c r="F849" t="s">
        <v>1935</v>
      </c>
      <c r="G849" t="s">
        <v>1935</v>
      </c>
      <c r="H849" t="s">
        <v>1935</v>
      </c>
    </row>
    <row r="850" spans="1:8">
      <c r="A850" t="s">
        <v>101</v>
      </c>
      <c r="B850" t="s">
        <v>1069</v>
      </c>
      <c r="C850" t="s">
        <v>38</v>
      </c>
      <c r="D850">
        <v>2</v>
      </c>
      <c r="E850" t="s">
        <v>2755</v>
      </c>
      <c r="F850" t="s">
        <v>1935</v>
      </c>
      <c r="G850" t="s">
        <v>1935</v>
      </c>
      <c r="H850" t="s">
        <v>1935</v>
      </c>
    </row>
    <row r="851" spans="1:8">
      <c r="A851" t="s">
        <v>1137</v>
      </c>
      <c r="B851" t="s">
        <v>1130</v>
      </c>
      <c r="C851" t="s">
        <v>38</v>
      </c>
      <c r="D851">
        <v>1</v>
      </c>
      <c r="E851" t="s">
        <v>2756</v>
      </c>
      <c r="F851" t="s">
        <v>1935</v>
      </c>
      <c r="G851" t="s">
        <v>1935</v>
      </c>
      <c r="H851" t="s">
        <v>1935</v>
      </c>
    </row>
    <row r="852" spans="1:8">
      <c r="A852" t="s">
        <v>1137</v>
      </c>
      <c r="B852" t="s">
        <v>1130</v>
      </c>
      <c r="C852" t="s">
        <v>38</v>
      </c>
      <c r="D852">
        <v>2</v>
      </c>
      <c r="E852" t="s">
        <v>2757</v>
      </c>
      <c r="F852" t="s">
        <v>1935</v>
      </c>
      <c r="G852" t="s">
        <v>1935</v>
      </c>
      <c r="H852" t="s">
        <v>1935</v>
      </c>
    </row>
    <row r="853" spans="1:8">
      <c r="A853" t="s">
        <v>1137</v>
      </c>
      <c r="B853" t="s">
        <v>1130</v>
      </c>
      <c r="C853" t="s">
        <v>38</v>
      </c>
      <c r="D853">
        <v>3</v>
      </c>
      <c r="E853" t="s">
        <v>2758</v>
      </c>
      <c r="F853" t="s">
        <v>1935</v>
      </c>
      <c r="G853" t="s">
        <v>1935</v>
      </c>
      <c r="H853" t="s">
        <v>1935</v>
      </c>
    </row>
    <row r="854" spans="1:8">
      <c r="A854" t="s">
        <v>1115</v>
      </c>
      <c r="B854" t="s">
        <v>1112</v>
      </c>
      <c r="C854" t="s">
        <v>38</v>
      </c>
      <c r="D854">
        <v>1</v>
      </c>
      <c r="E854" t="s">
        <v>2759</v>
      </c>
      <c r="F854" t="s">
        <v>1935</v>
      </c>
      <c r="G854" t="s">
        <v>1935</v>
      </c>
      <c r="H854" t="s">
        <v>1935</v>
      </c>
    </row>
    <row r="855" spans="1:8">
      <c r="A855" t="s">
        <v>1115</v>
      </c>
      <c r="B855" t="s">
        <v>1112</v>
      </c>
      <c r="C855" t="s">
        <v>38</v>
      </c>
      <c r="D855">
        <v>2</v>
      </c>
      <c r="E855" t="s">
        <v>2414</v>
      </c>
      <c r="F855" t="s">
        <v>1935</v>
      </c>
      <c r="G855" t="s">
        <v>1935</v>
      </c>
      <c r="H855" t="s">
        <v>1935</v>
      </c>
    </row>
    <row r="856" spans="1:8">
      <c r="A856" t="s">
        <v>1114</v>
      </c>
      <c r="B856" t="s">
        <v>1111</v>
      </c>
      <c r="C856" t="s">
        <v>38</v>
      </c>
      <c r="D856">
        <v>1</v>
      </c>
      <c r="E856" t="s">
        <v>2760</v>
      </c>
      <c r="F856" t="s">
        <v>1935</v>
      </c>
      <c r="G856" t="s">
        <v>1935</v>
      </c>
      <c r="H856" t="s">
        <v>1935</v>
      </c>
    </row>
    <row r="857" spans="1:8">
      <c r="A857" t="s">
        <v>1113</v>
      </c>
      <c r="B857" t="s">
        <v>1110</v>
      </c>
      <c r="C857" t="s">
        <v>38</v>
      </c>
      <c r="D857">
        <v>1</v>
      </c>
      <c r="E857" t="s">
        <v>2761</v>
      </c>
      <c r="F857" t="s">
        <v>1935</v>
      </c>
      <c r="G857" t="s">
        <v>1935</v>
      </c>
      <c r="H857" t="s">
        <v>1935</v>
      </c>
    </row>
    <row r="858" spans="1:8">
      <c r="A858" t="s">
        <v>2762</v>
      </c>
      <c r="B858" t="s">
        <v>2763</v>
      </c>
      <c r="C858" t="s">
        <v>38</v>
      </c>
      <c r="D858">
        <v>1</v>
      </c>
      <c r="E858" t="s">
        <v>2764</v>
      </c>
      <c r="F858" t="s">
        <v>1935</v>
      </c>
      <c r="G858" t="s">
        <v>1935</v>
      </c>
      <c r="H858" t="s">
        <v>1935</v>
      </c>
    </row>
    <row r="859" spans="1:8">
      <c r="A859" t="s">
        <v>2762</v>
      </c>
      <c r="B859" t="s">
        <v>2763</v>
      </c>
      <c r="C859" t="s">
        <v>38</v>
      </c>
      <c r="D859">
        <v>2</v>
      </c>
      <c r="E859" t="s">
        <v>2765</v>
      </c>
      <c r="F859" t="s">
        <v>1935</v>
      </c>
      <c r="G859" t="s">
        <v>1935</v>
      </c>
      <c r="H859" t="s">
        <v>1935</v>
      </c>
    </row>
    <row r="860" spans="1:8">
      <c r="A860" t="s">
        <v>2762</v>
      </c>
      <c r="B860" t="s">
        <v>2763</v>
      </c>
      <c r="C860" t="s">
        <v>38</v>
      </c>
      <c r="D860">
        <v>3</v>
      </c>
      <c r="E860" t="s">
        <v>2766</v>
      </c>
      <c r="F860" t="s">
        <v>1935</v>
      </c>
      <c r="G860" t="s">
        <v>1935</v>
      </c>
      <c r="H860" t="s">
        <v>1935</v>
      </c>
    </row>
    <row r="861" spans="1:8">
      <c r="A861" t="s">
        <v>2762</v>
      </c>
      <c r="B861" t="s">
        <v>2763</v>
      </c>
      <c r="C861" t="s">
        <v>38</v>
      </c>
      <c r="D861">
        <v>4</v>
      </c>
      <c r="E861" t="s">
        <v>2767</v>
      </c>
      <c r="F861" t="s">
        <v>1935</v>
      </c>
      <c r="G861" t="s">
        <v>1935</v>
      </c>
      <c r="H861" t="s">
        <v>1935</v>
      </c>
    </row>
    <row r="862" spans="1:8">
      <c r="A862" t="s">
        <v>2762</v>
      </c>
      <c r="B862" t="s">
        <v>2763</v>
      </c>
      <c r="C862" t="s">
        <v>38</v>
      </c>
      <c r="D862">
        <v>5</v>
      </c>
      <c r="E862" t="s">
        <v>2768</v>
      </c>
      <c r="F862" t="s">
        <v>1935</v>
      </c>
      <c r="G862" t="s">
        <v>1935</v>
      </c>
      <c r="H862" t="s">
        <v>1935</v>
      </c>
    </row>
    <row r="863" spans="1:8">
      <c r="A863" t="s">
        <v>1532</v>
      </c>
      <c r="B863" t="s">
        <v>2769</v>
      </c>
      <c r="C863" t="s">
        <v>38</v>
      </c>
      <c r="D863">
        <v>1</v>
      </c>
      <c r="E863" t="s">
        <v>2770</v>
      </c>
      <c r="F863" t="s">
        <v>1935</v>
      </c>
      <c r="G863" t="s">
        <v>1935</v>
      </c>
      <c r="H863" t="s">
        <v>1935</v>
      </c>
    </row>
    <row r="864" spans="1:8">
      <c r="A864" t="s">
        <v>1532</v>
      </c>
      <c r="B864" t="s">
        <v>2769</v>
      </c>
      <c r="C864" t="s">
        <v>38</v>
      </c>
      <c r="D864">
        <v>2</v>
      </c>
      <c r="E864" t="s">
        <v>2771</v>
      </c>
      <c r="F864" t="s">
        <v>1935</v>
      </c>
      <c r="G864" t="s">
        <v>1935</v>
      </c>
      <c r="H864" t="s">
        <v>1935</v>
      </c>
    </row>
    <row r="865" spans="1:8">
      <c r="A865" t="s">
        <v>1532</v>
      </c>
      <c r="B865" t="s">
        <v>2772</v>
      </c>
      <c r="C865" t="s">
        <v>38</v>
      </c>
      <c r="D865">
        <v>3</v>
      </c>
      <c r="E865" t="s">
        <v>2773</v>
      </c>
      <c r="F865" t="s">
        <v>1935</v>
      </c>
      <c r="G865" t="s">
        <v>1935</v>
      </c>
      <c r="H865" t="s">
        <v>1935</v>
      </c>
    </row>
    <row r="866" spans="1:8">
      <c r="A866" t="s">
        <v>1532</v>
      </c>
      <c r="B866" t="s">
        <v>2774</v>
      </c>
      <c r="C866" t="s">
        <v>38</v>
      </c>
      <c r="D866">
        <v>4</v>
      </c>
      <c r="E866" t="s">
        <v>2775</v>
      </c>
      <c r="F866" t="s">
        <v>1935</v>
      </c>
      <c r="G866" t="s">
        <v>1935</v>
      </c>
      <c r="H866" t="s">
        <v>1935</v>
      </c>
    </row>
    <row r="867" spans="1:8">
      <c r="A867" t="s">
        <v>1532</v>
      </c>
      <c r="B867" t="s">
        <v>2777</v>
      </c>
      <c r="C867" t="s">
        <v>38</v>
      </c>
      <c r="D867">
        <v>5</v>
      </c>
      <c r="E867" t="s">
        <v>2776</v>
      </c>
      <c r="F867" t="s">
        <v>1935</v>
      </c>
      <c r="G867" t="s">
        <v>1935</v>
      </c>
      <c r="H867" t="s">
        <v>1935</v>
      </c>
    </row>
    <row r="868" spans="1:8">
      <c r="A868" t="s">
        <v>1532</v>
      </c>
      <c r="B868" t="s">
        <v>2777</v>
      </c>
      <c r="C868" t="s">
        <v>38</v>
      </c>
      <c r="D868">
        <v>6</v>
      </c>
      <c r="E868" t="s">
        <v>2778</v>
      </c>
      <c r="F868" t="s">
        <v>1935</v>
      </c>
      <c r="G868" t="s">
        <v>1935</v>
      </c>
      <c r="H868" t="s">
        <v>1935</v>
      </c>
    </row>
    <row r="869" spans="1:8">
      <c r="A869" t="s">
        <v>1532</v>
      </c>
      <c r="B869" t="s">
        <v>2774</v>
      </c>
      <c r="C869" t="s">
        <v>38</v>
      </c>
      <c r="D869">
        <v>7</v>
      </c>
      <c r="E869" t="s">
        <v>2779</v>
      </c>
      <c r="F869" t="s">
        <v>1935</v>
      </c>
      <c r="G869" t="s">
        <v>1935</v>
      </c>
      <c r="H869" t="s">
        <v>1935</v>
      </c>
    </row>
    <row r="870" spans="1:8">
      <c r="A870" t="s">
        <v>1532</v>
      </c>
      <c r="B870" t="s">
        <v>2777</v>
      </c>
      <c r="C870" t="s">
        <v>38</v>
      </c>
      <c r="D870">
        <v>8</v>
      </c>
      <c r="E870" t="s">
        <v>2780</v>
      </c>
      <c r="F870" t="s">
        <v>1935</v>
      </c>
      <c r="G870" t="s">
        <v>1935</v>
      </c>
      <c r="H870" t="s">
        <v>1935</v>
      </c>
    </row>
    <row r="871" spans="1:8">
      <c r="A871" t="s">
        <v>1170</v>
      </c>
      <c r="B871" t="s">
        <v>1147</v>
      </c>
      <c r="C871" t="s">
        <v>38</v>
      </c>
      <c r="D871">
        <v>1</v>
      </c>
      <c r="E871" t="s">
        <v>2781</v>
      </c>
      <c r="F871" t="s">
        <v>1935</v>
      </c>
      <c r="G871" t="s">
        <v>1935</v>
      </c>
      <c r="H871" t="s">
        <v>1935</v>
      </c>
    </row>
    <row r="872" spans="1:8">
      <c r="A872" t="s">
        <v>1170</v>
      </c>
      <c r="B872" t="s">
        <v>1147</v>
      </c>
      <c r="C872" t="s">
        <v>38</v>
      </c>
      <c r="D872">
        <v>2</v>
      </c>
      <c r="E872" t="s">
        <v>2782</v>
      </c>
      <c r="F872" t="s">
        <v>1935</v>
      </c>
      <c r="G872" t="s">
        <v>1935</v>
      </c>
      <c r="H872" t="s">
        <v>1935</v>
      </c>
    </row>
    <row r="873" spans="1:8">
      <c r="A873" t="s">
        <v>1169</v>
      </c>
      <c r="B873" t="s">
        <v>1138</v>
      </c>
      <c r="C873" t="s">
        <v>38</v>
      </c>
      <c r="D873">
        <v>1</v>
      </c>
      <c r="E873" t="s">
        <v>2783</v>
      </c>
      <c r="F873" t="s">
        <v>1935</v>
      </c>
      <c r="G873" t="s">
        <v>1935</v>
      </c>
      <c r="H873" t="s">
        <v>1935</v>
      </c>
    </row>
    <row r="874" spans="1:8">
      <c r="A874" t="s">
        <v>1169</v>
      </c>
      <c r="B874" t="s">
        <v>1138</v>
      </c>
      <c r="C874" t="s">
        <v>38</v>
      </c>
      <c r="D874">
        <v>2</v>
      </c>
      <c r="E874" t="s">
        <v>2784</v>
      </c>
      <c r="F874" t="s">
        <v>1935</v>
      </c>
      <c r="G874" t="s">
        <v>1935</v>
      </c>
      <c r="H874" t="s">
        <v>1935</v>
      </c>
    </row>
    <row r="875" spans="1:8">
      <c r="A875" t="s">
        <v>246</v>
      </c>
      <c r="B875" t="s">
        <v>2785</v>
      </c>
      <c r="C875" t="s">
        <v>38</v>
      </c>
      <c r="D875">
        <v>1</v>
      </c>
      <c r="E875" t="s">
        <v>1934</v>
      </c>
      <c r="F875" t="s">
        <v>1935</v>
      </c>
      <c r="G875" t="s">
        <v>1935</v>
      </c>
      <c r="H875" t="s">
        <v>1935</v>
      </c>
    </row>
    <row r="876" spans="1:8">
      <c r="A876" t="s">
        <v>246</v>
      </c>
      <c r="B876" t="s">
        <v>2785</v>
      </c>
      <c r="C876" t="s">
        <v>38</v>
      </c>
      <c r="D876">
        <v>2</v>
      </c>
      <c r="E876" t="s">
        <v>1934</v>
      </c>
      <c r="F876" t="s">
        <v>1935</v>
      </c>
      <c r="G876" t="s">
        <v>1935</v>
      </c>
      <c r="H876" t="s">
        <v>1935</v>
      </c>
    </row>
    <row r="877" spans="1:8">
      <c r="A877" t="s">
        <v>246</v>
      </c>
      <c r="B877" t="s">
        <v>2785</v>
      </c>
      <c r="C877" t="s">
        <v>38</v>
      </c>
      <c r="D877">
        <v>3</v>
      </c>
      <c r="E877" t="s">
        <v>1938</v>
      </c>
      <c r="F877" t="s">
        <v>1935</v>
      </c>
      <c r="G877" t="s">
        <v>1935</v>
      </c>
      <c r="H877" t="s">
        <v>1935</v>
      </c>
    </row>
    <row r="878" spans="1:8">
      <c r="A878" t="s">
        <v>246</v>
      </c>
      <c r="B878" t="s">
        <v>2785</v>
      </c>
      <c r="C878" t="s">
        <v>38</v>
      </c>
      <c r="D878">
        <v>4</v>
      </c>
      <c r="E878" t="s">
        <v>1938</v>
      </c>
      <c r="F878" t="s">
        <v>1935</v>
      </c>
      <c r="G878" t="s">
        <v>1935</v>
      </c>
      <c r="H878" t="s">
        <v>1935</v>
      </c>
    </row>
    <row r="879" spans="1:8">
      <c r="A879" t="s">
        <v>246</v>
      </c>
      <c r="B879" t="s">
        <v>2785</v>
      </c>
      <c r="C879" t="s">
        <v>38</v>
      </c>
      <c r="D879">
        <v>5</v>
      </c>
      <c r="E879" t="s">
        <v>1941</v>
      </c>
      <c r="F879" t="s">
        <v>1935</v>
      </c>
      <c r="G879" t="s">
        <v>1935</v>
      </c>
      <c r="H879" t="s">
        <v>1935</v>
      </c>
    </row>
    <row r="880" spans="1:8">
      <c r="A880" t="s">
        <v>246</v>
      </c>
      <c r="B880" t="s">
        <v>2785</v>
      </c>
      <c r="C880" t="s">
        <v>38</v>
      </c>
      <c r="D880">
        <v>6</v>
      </c>
      <c r="E880" t="s">
        <v>1941</v>
      </c>
      <c r="F880" t="s">
        <v>1935</v>
      </c>
      <c r="G880" t="s">
        <v>1935</v>
      </c>
      <c r="H880" t="s">
        <v>1935</v>
      </c>
    </row>
    <row r="881" spans="1:8">
      <c r="A881" t="s">
        <v>246</v>
      </c>
      <c r="B881" t="s">
        <v>2785</v>
      </c>
      <c r="C881" t="s">
        <v>38</v>
      </c>
      <c r="D881">
        <v>7</v>
      </c>
      <c r="E881" t="s">
        <v>1943</v>
      </c>
      <c r="F881" t="s">
        <v>1935</v>
      </c>
      <c r="G881" t="s">
        <v>1935</v>
      </c>
      <c r="H881" t="s">
        <v>1935</v>
      </c>
    </row>
    <row r="882" spans="1:8">
      <c r="A882" t="s">
        <v>246</v>
      </c>
      <c r="B882" t="s">
        <v>2785</v>
      </c>
      <c r="C882" t="s">
        <v>38</v>
      </c>
      <c r="D882">
        <v>8</v>
      </c>
      <c r="E882" t="s">
        <v>1943</v>
      </c>
      <c r="F882" t="s">
        <v>1935</v>
      </c>
      <c r="G882" t="s">
        <v>1935</v>
      </c>
      <c r="H882" t="s">
        <v>1935</v>
      </c>
    </row>
    <row r="883" spans="1:8">
      <c r="A883" t="s">
        <v>246</v>
      </c>
      <c r="B883" t="s">
        <v>2785</v>
      </c>
      <c r="C883" t="s">
        <v>38</v>
      </c>
      <c r="D883">
        <v>9</v>
      </c>
      <c r="E883" t="s">
        <v>1946</v>
      </c>
      <c r="F883" t="s">
        <v>1935</v>
      </c>
      <c r="G883" t="s">
        <v>1935</v>
      </c>
      <c r="H883" t="s">
        <v>1935</v>
      </c>
    </row>
    <row r="884" spans="1:8">
      <c r="A884" t="s">
        <v>246</v>
      </c>
      <c r="B884" t="s">
        <v>2785</v>
      </c>
      <c r="C884" t="s">
        <v>38</v>
      </c>
      <c r="D884">
        <v>10</v>
      </c>
      <c r="E884" t="s">
        <v>1946</v>
      </c>
      <c r="F884" t="s">
        <v>1935</v>
      </c>
      <c r="G884" t="s">
        <v>1935</v>
      </c>
      <c r="H884" t="s">
        <v>1935</v>
      </c>
    </row>
    <row r="885" spans="1:8">
      <c r="A885" t="s">
        <v>246</v>
      </c>
      <c r="B885" t="s">
        <v>2785</v>
      </c>
      <c r="C885" t="s">
        <v>38</v>
      </c>
      <c r="D885">
        <v>11</v>
      </c>
      <c r="E885" t="s">
        <v>1949</v>
      </c>
      <c r="F885" t="s">
        <v>1935</v>
      </c>
      <c r="G885" t="s">
        <v>1935</v>
      </c>
      <c r="H885" t="s">
        <v>1935</v>
      </c>
    </row>
    <row r="886" spans="1:8">
      <c r="A886" t="s">
        <v>246</v>
      </c>
      <c r="B886" t="s">
        <v>2785</v>
      </c>
      <c r="C886" t="s">
        <v>38</v>
      </c>
      <c r="D886">
        <v>12</v>
      </c>
      <c r="E886" t="s">
        <v>1949</v>
      </c>
      <c r="F886" t="s">
        <v>1935</v>
      </c>
      <c r="G886" t="s">
        <v>1935</v>
      </c>
      <c r="H886" t="s">
        <v>1935</v>
      </c>
    </row>
    <row r="887" spans="1:8">
      <c r="A887" t="s">
        <v>246</v>
      </c>
      <c r="B887" t="s">
        <v>2785</v>
      </c>
      <c r="C887" t="s">
        <v>38</v>
      </c>
      <c r="D887">
        <v>13</v>
      </c>
      <c r="E887" t="s">
        <v>1952</v>
      </c>
      <c r="F887" t="s">
        <v>1935</v>
      </c>
      <c r="G887" t="s">
        <v>1935</v>
      </c>
      <c r="H887" t="s">
        <v>1935</v>
      </c>
    </row>
    <row r="888" spans="1:8">
      <c r="A888" t="s">
        <v>246</v>
      </c>
      <c r="B888" t="s">
        <v>2785</v>
      </c>
      <c r="C888" t="s">
        <v>38</v>
      </c>
      <c r="D888">
        <v>14</v>
      </c>
      <c r="E888" t="s">
        <v>1952</v>
      </c>
      <c r="F888" t="s">
        <v>1935</v>
      </c>
      <c r="G888" t="s">
        <v>1935</v>
      </c>
      <c r="H888" t="s">
        <v>1935</v>
      </c>
    </row>
    <row r="889" spans="1:8">
      <c r="A889" t="s">
        <v>246</v>
      </c>
      <c r="B889" t="s">
        <v>2785</v>
      </c>
      <c r="C889" t="s">
        <v>38</v>
      </c>
      <c r="D889">
        <v>15</v>
      </c>
      <c r="E889" t="s">
        <v>1955</v>
      </c>
      <c r="F889" t="s">
        <v>1935</v>
      </c>
      <c r="G889" t="s">
        <v>1935</v>
      </c>
      <c r="H889" t="s">
        <v>1935</v>
      </c>
    </row>
    <row r="890" spans="1:8">
      <c r="A890" t="s">
        <v>246</v>
      </c>
      <c r="B890" t="s">
        <v>2785</v>
      </c>
      <c r="C890" t="s">
        <v>38</v>
      </c>
      <c r="D890">
        <v>16</v>
      </c>
      <c r="E890" t="s">
        <v>1955</v>
      </c>
      <c r="F890" t="s">
        <v>1935</v>
      </c>
      <c r="G890" t="s">
        <v>1935</v>
      </c>
      <c r="H890" t="s">
        <v>1935</v>
      </c>
    </row>
    <row r="891" spans="1:8">
      <c r="A891" t="s">
        <v>246</v>
      </c>
      <c r="B891" t="s">
        <v>2785</v>
      </c>
      <c r="C891" t="s">
        <v>38</v>
      </c>
      <c r="D891">
        <v>17</v>
      </c>
      <c r="E891" t="s">
        <v>1958</v>
      </c>
      <c r="F891" t="s">
        <v>1935</v>
      </c>
      <c r="G891" t="s">
        <v>1935</v>
      </c>
      <c r="H891" t="s">
        <v>1935</v>
      </c>
    </row>
    <row r="892" spans="1:8">
      <c r="A892" t="s">
        <v>246</v>
      </c>
      <c r="B892" t="s">
        <v>2785</v>
      </c>
      <c r="C892" t="s">
        <v>38</v>
      </c>
      <c r="D892">
        <v>18</v>
      </c>
      <c r="E892" t="s">
        <v>1958</v>
      </c>
      <c r="F892" t="s">
        <v>1935</v>
      </c>
      <c r="G892" t="s">
        <v>1935</v>
      </c>
      <c r="H892" t="s">
        <v>1935</v>
      </c>
    </row>
    <row r="893" spans="1:8">
      <c r="A893" t="s">
        <v>246</v>
      </c>
      <c r="B893" t="s">
        <v>2785</v>
      </c>
      <c r="C893" t="s">
        <v>38</v>
      </c>
      <c r="D893">
        <v>19</v>
      </c>
      <c r="E893" t="s">
        <v>1961</v>
      </c>
      <c r="F893" t="s">
        <v>1935</v>
      </c>
      <c r="G893" t="s">
        <v>1935</v>
      </c>
      <c r="H893" t="s">
        <v>1935</v>
      </c>
    </row>
    <row r="894" spans="1:8">
      <c r="A894" t="s">
        <v>246</v>
      </c>
      <c r="B894" t="s">
        <v>2785</v>
      </c>
      <c r="C894" t="s">
        <v>38</v>
      </c>
      <c r="D894">
        <v>20</v>
      </c>
      <c r="E894" t="s">
        <v>1961</v>
      </c>
      <c r="F894" t="s">
        <v>1935</v>
      </c>
      <c r="G894" t="s">
        <v>1935</v>
      </c>
      <c r="H894" t="s">
        <v>1935</v>
      </c>
    </row>
    <row r="895" spans="1:8">
      <c r="A895" t="s">
        <v>246</v>
      </c>
      <c r="B895" t="s">
        <v>2785</v>
      </c>
      <c r="C895" t="s">
        <v>38</v>
      </c>
      <c r="D895">
        <v>21</v>
      </c>
      <c r="E895" t="s">
        <v>1964</v>
      </c>
      <c r="F895" t="s">
        <v>1935</v>
      </c>
      <c r="G895" t="s">
        <v>1935</v>
      </c>
      <c r="H895" t="s">
        <v>1935</v>
      </c>
    </row>
    <row r="896" spans="1:8">
      <c r="A896" t="s">
        <v>246</v>
      </c>
      <c r="B896" t="s">
        <v>2785</v>
      </c>
      <c r="C896" t="s">
        <v>38</v>
      </c>
      <c r="D896">
        <v>22</v>
      </c>
      <c r="E896" t="s">
        <v>1964</v>
      </c>
      <c r="F896" t="s">
        <v>1935</v>
      </c>
      <c r="G896" t="s">
        <v>1935</v>
      </c>
      <c r="H896" t="s">
        <v>1935</v>
      </c>
    </row>
    <row r="897" spans="1:8">
      <c r="A897" t="s">
        <v>246</v>
      </c>
      <c r="B897" t="s">
        <v>2785</v>
      </c>
      <c r="C897" t="s">
        <v>38</v>
      </c>
      <c r="D897">
        <v>23</v>
      </c>
      <c r="E897" t="s">
        <v>1967</v>
      </c>
      <c r="F897" t="s">
        <v>1935</v>
      </c>
      <c r="G897" t="s">
        <v>1935</v>
      </c>
      <c r="H897" t="s">
        <v>1935</v>
      </c>
    </row>
    <row r="898" spans="1:8">
      <c r="A898" t="s">
        <v>246</v>
      </c>
      <c r="B898" t="s">
        <v>2785</v>
      </c>
      <c r="C898" t="s">
        <v>38</v>
      </c>
      <c r="D898">
        <v>24</v>
      </c>
      <c r="E898" t="s">
        <v>1967</v>
      </c>
      <c r="F898" t="s">
        <v>1935</v>
      </c>
      <c r="G898" t="s">
        <v>1935</v>
      </c>
      <c r="H898" t="s">
        <v>1935</v>
      </c>
    </row>
    <row r="899" spans="1:8">
      <c r="A899" t="s">
        <v>246</v>
      </c>
      <c r="B899" t="s">
        <v>2785</v>
      </c>
      <c r="C899" t="s">
        <v>38</v>
      </c>
      <c r="D899">
        <v>25</v>
      </c>
      <c r="E899" t="s">
        <v>1970</v>
      </c>
      <c r="F899" t="s">
        <v>1935</v>
      </c>
      <c r="G899" t="s">
        <v>1935</v>
      </c>
      <c r="H899" t="s">
        <v>1935</v>
      </c>
    </row>
    <row r="900" spans="1:8">
      <c r="A900" t="s">
        <v>246</v>
      </c>
      <c r="B900" t="s">
        <v>2785</v>
      </c>
      <c r="C900" t="s">
        <v>38</v>
      </c>
      <c r="D900">
        <v>26</v>
      </c>
      <c r="E900" t="s">
        <v>1970</v>
      </c>
      <c r="F900" t="s">
        <v>1935</v>
      </c>
      <c r="G900" t="s">
        <v>1935</v>
      </c>
      <c r="H900" t="s">
        <v>1935</v>
      </c>
    </row>
    <row r="901" spans="1:8">
      <c r="A901" t="s">
        <v>246</v>
      </c>
      <c r="B901" t="s">
        <v>2785</v>
      </c>
      <c r="C901" t="s">
        <v>38</v>
      </c>
      <c r="D901">
        <v>27</v>
      </c>
      <c r="E901" t="s">
        <v>1973</v>
      </c>
      <c r="F901" t="s">
        <v>1935</v>
      </c>
      <c r="G901" t="s">
        <v>1935</v>
      </c>
      <c r="H901" t="s">
        <v>1935</v>
      </c>
    </row>
    <row r="902" spans="1:8">
      <c r="A902" t="s">
        <v>246</v>
      </c>
      <c r="B902" t="s">
        <v>2785</v>
      </c>
      <c r="C902" t="s">
        <v>38</v>
      </c>
      <c r="D902">
        <v>28</v>
      </c>
      <c r="E902" t="s">
        <v>1973</v>
      </c>
      <c r="F902" t="s">
        <v>1935</v>
      </c>
      <c r="G902" t="s">
        <v>1935</v>
      </c>
      <c r="H902" t="s">
        <v>1935</v>
      </c>
    </row>
    <row r="903" spans="1:8">
      <c r="A903" t="s">
        <v>246</v>
      </c>
      <c r="B903" t="s">
        <v>2785</v>
      </c>
      <c r="C903" t="s">
        <v>38</v>
      </c>
      <c r="D903">
        <v>29</v>
      </c>
      <c r="E903" t="s">
        <v>1976</v>
      </c>
      <c r="F903" t="s">
        <v>1935</v>
      </c>
      <c r="G903" t="s">
        <v>1935</v>
      </c>
      <c r="H903" t="s">
        <v>1935</v>
      </c>
    </row>
    <row r="904" spans="1:8">
      <c r="A904" t="s">
        <v>246</v>
      </c>
      <c r="B904" t="s">
        <v>2785</v>
      </c>
      <c r="C904" t="s">
        <v>38</v>
      </c>
      <c r="D904">
        <v>30</v>
      </c>
      <c r="E904" t="s">
        <v>1976</v>
      </c>
      <c r="F904" t="s">
        <v>1935</v>
      </c>
      <c r="G904" t="s">
        <v>1935</v>
      </c>
      <c r="H904" t="s">
        <v>1935</v>
      </c>
    </row>
    <row r="905" spans="1:8">
      <c r="A905" t="s">
        <v>246</v>
      </c>
      <c r="B905" t="s">
        <v>2785</v>
      </c>
      <c r="C905" t="s">
        <v>38</v>
      </c>
      <c r="D905">
        <v>31</v>
      </c>
      <c r="E905" t="s">
        <v>1978</v>
      </c>
      <c r="F905" t="s">
        <v>1935</v>
      </c>
      <c r="G905" t="s">
        <v>1935</v>
      </c>
      <c r="H905" t="s">
        <v>1935</v>
      </c>
    </row>
    <row r="906" spans="1:8">
      <c r="A906" t="s">
        <v>246</v>
      </c>
      <c r="B906" t="s">
        <v>2785</v>
      </c>
      <c r="C906" t="s">
        <v>38</v>
      </c>
      <c r="D906">
        <v>32</v>
      </c>
      <c r="E906" t="s">
        <v>1978</v>
      </c>
      <c r="F906" t="s">
        <v>1935</v>
      </c>
      <c r="G906" t="s">
        <v>1935</v>
      </c>
      <c r="H906" t="s">
        <v>1935</v>
      </c>
    </row>
    <row r="907" spans="1:8">
      <c r="A907" t="s">
        <v>246</v>
      </c>
      <c r="B907" t="s">
        <v>2785</v>
      </c>
      <c r="C907" t="s">
        <v>38</v>
      </c>
      <c r="D907">
        <v>33</v>
      </c>
      <c r="E907" t="s">
        <v>1980</v>
      </c>
      <c r="F907" t="s">
        <v>1935</v>
      </c>
      <c r="G907" t="s">
        <v>1935</v>
      </c>
      <c r="H907" t="s">
        <v>1935</v>
      </c>
    </row>
    <row r="908" spans="1:8">
      <c r="A908" t="s">
        <v>246</v>
      </c>
      <c r="B908" t="s">
        <v>2785</v>
      </c>
      <c r="C908" t="s">
        <v>38</v>
      </c>
      <c r="D908">
        <v>34</v>
      </c>
      <c r="E908" t="s">
        <v>1980</v>
      </c>
      <c r="F908" t="s">
        <v>1935</v>
      </c>
      <c r="G908" t="s">
        <v>1935</v>
      </c>
      <c r="H908" t="s">
        <v>1935</v>
      </c>
    </row>
    <row r="909" spans="1:8">
      <c r="A909" t="s">
        <v>246</v>
      </c>
      <c r="B909" t="s">
        <v>2785</v>
      </c>
      <c r="C909" t="s">
        <v>38</v>
      </c>
      <c r="D909">
        <v>35</v>
      </c>
      <c r="E909" t="s">
        <v>1983</v>
      </c>
      <c r="F909" t="s">
        <v>1935</v>
      </c>
      <c r="G909" t="s">
        <v>1935</v>
      </c>
      <c r="H909" t="s">
        <v>1935</v>
      </c>
    </row>
    <row r="910" spans="1:8">
      <c r="A910" t="s">
        <v>246</v>
      </c>
      <c r="B910" t="s">
        <v>2785</v>
      </c>
      <c r="C910" t="s">
        <v>38</v>
      </c>
      <c r="D910">
        <v>36</v>
      </c>
      <c r="E910" t="s">
        <v>1983</v>
      </c>
      <c r="F910" t="s">
        <v>1935</v>
      </c>
      <c r="G910" t="s">
        <v>1935</v>
      </c>
      <c r="H910" t="s">
        <v>1935</v>
      </c>
    </row>
    <row r="911" spans="1:8">
      <c r="A911" t="s">
        <v>246</v>
      </c>
      <c r="B911" t="s">
        <v>2785</v>
      </c>
      <c r="C911" t="s">
        <v>38</v>
      </c>
      <c r="D911">
        <v>37</v>
      </c>
      <c r="E911" t="s">
        <v>1986</v>
      </c>
      <c r="F911" t="s">
        <v>1935</v>
      </c>
      <c r="G911" t="s">
        <v>1935</v>
      </c>
      <c r="H911" t="s">
        <v>1935</v>
      </c>
    </row>
    <row r="912" spans="1:8">
      <c r="A912" t="s">
        <v>246</v>
      </c>
      <c r="B912" t="s">
        <v>2785</v>
      </c>
      <c r="C912" t="s">
        <v>38</v>
      </c>
      <c r="D912">
        <v>38</v>
      </c>
      <c r="E912" t="s">
        <v>1986</v>
      </c>
      <c r="F912" t="s">
        <v>1935</v>
      </c>
      <c r="G912" t="s">
        <v>1935</v>
      </c>
      <c r="H912" t="s">
        <v>1935</v>
      </c>
    </row>
    <row r="913" spans="1:8">
      <c r="A913" t="s">
        <v>246</v>
      </c>
      <c r="B913" t="s">
        <v>2785</v>
      </c>
      <c r="C913" t="s">
        <v>38</v>
      </c>
      <c r="D913">
        <v>39</v>
      </c>
      <c r="E913" t="s">
        <v>1989</v>
      </c>
      <c r="F913" t="s">
        <v>1935</v>
      </c>
      <c r="G913" t="s">
        <v>1935</v>
      </c>
      <c r="H913" t="s">
        <v>1935</v>
      </c>
    </row>
    <row r="914" spans="1:8">
      <c r="A914" t="s">
        <v>246</v>
      </c>
      <c r="B914" t="s">
        <v>2785</v>
      </c>
      <c r="C914" t="s">
        <v>38</v>
      </c>
      <c r="D914">
        <v>40</v>
      </c>
      <c r="E914" t="s">
        <v>1989</v>
      </c>
      <c r="F914" t="s">
        <v>1935</v>
      </c>
      <c r="G914" t="s">
        <v>1935</v>
      </c>
      <c r="H914" t="s">
        <v>1935</v>
      </c>
    </row>
    <row r="915" spans="1:8">
      <c r="A915" t="s">
        <v>246</v>
      </c>
      <c r="B915" t="s">
        <v>2785</v>
      </c>
      <c r="C915" t="s">
        <v>38</v>
      </c>
      <c r="D915">
        <v>41</v>
      </c>
      <c r="E915" t="s">
        <v>1991</v>
      </c>
      <c r="F915" t="s">
        <v>1935</v>
      </c>
      <c r="G915" t="s">
        <v>1935</v>
      </c>
      <c r="H915" t="s">
        <v>1935</v>
      </c>
    </row>
    <row r="916" spans="1:8">
      <c r="A916" t="s">
        <v>246</v>
      </c>
      <c r="B916" t="s">
        <v>2785</v>
      </c>
      <c r="C916" t="s">
        <v>38</v>
      </c>
      <c r="D916">
        <v>42</v>
      </c>
      <c r="E916" t="s">
        <v>1991</v>
      </c>
      <c r="F916" t="s">
        <v>1935</v>
      </c>
      <c r="G916" t="s">
        <v>1935</v>
      </c>
      <c r="H916" t="s">
        <v>1935</v>
      </c>
    </row>
    <row r="917" spans="1:8">
      <c r="A917" t="s">
        <v>246</v>
      </c>
      <c r="B917" t="s">
        <v>2785</v>
      </c>
      <c r="C917" t="s">
        <v>38</v>
      </c>
      <c r="D917">
        <v>43</v>
      </c>
      <c r="E917" t="s">
        <v>1994</v>
      </c>
      <c r="F917" t="s">
        <v>1935</v>
      </c>
      <c r="G917" t="s">
        <v>1935</v>
      </c>
      <c r="H917" t="s">
        <v>1935</v>
      </c>
    </row>
    <row r="918" spans="1:8">
      <c r="A918" t="s">
        <v>246</v>
      </c>
      <c r="B918" t="s">
        <v>2785</v>
      </c>
      <c r="C918" t="s">
        <v>38</v>
      </c>
      <c r="D918">
        <v>44</v>
      </c>
      <c r="E918" t="s">
        <v>1994</v>
      </c>
      <c r="F918" t="s">
        <v>1935</v>
      </c>
      <c r="G918" t="s">
        <v>1935</v>
      </c>
      <c r="H918" t="s">
        <v>1935</v>
      </c>
    </row>
    <row r="919" spans="1:8">
      <c r="A919" t="s">
        <v>246</v>
      </c>
      <c r="B919" t="s">
        <v>2785</v>
      </c>
      <c r="C919" t="s">
        <v>38</v>
      </c>
      <c r="D919">
        <v>45</v>
      </c>
      <c r="E919" t="s">
        <v>1997</v>
      </c>
      <c r="F919" t="s">
        <v>1935</v>
      </c>
      <c r="G919" t="s">
        <v>1935</v>
      </c>
      <c r="H919" t="s">
        <v>1935</v>
      </c>
    </row>
    <row r="920" spans="1:8">
      <c r="A920" t="s">
        <v>246</v>
      </c>
      <c r="B920" t="s">
        <v>2785</v>
      </c>
      <c r="C920" t="s">
        <v>38</v>
      </c>
      <c r="D920">
        <v>46</v>
      </c>
      <c r="E920" t="s">
        <v>1997</v>
      </c>
      <c r="F920" t="s">
        <v>1935</v>
      </c>
      <c r="G920" t="s">
        <v>1935</v>
      </c>
      <c r="H920" t="s">
        <v>1935</v>
      </c>
    </row>
    <row r="921" spans="1:8">
      <c r="A921" t="s">
        <v>246</v>
      </c>
      <c r="B921" t="s">
        <v>2785</v>
      </c>
      <c r="C921" t="s">
        <v>38</v>
      </c>
      <c r="D921">
        <v>47</v>
      </c>
      <c r="E921" t="s">
        <v>2000</v>
      </c>
      <c r="F921" t="s">
        <v>1935</v>
      </c>
      <c r="G921" t="s">
        <v>1935</v>
      </c>
      <c r="H921" t="s">
        <v>1935</v>
      </c>
    </row>
    <row r="922" spans="1:8">
      <c r="A922" t="s">
        <v>246</v>
      </c>
      <c r="B922" t="s">
        <v>2785</v>
      </c>
      <c r="C922" t="s">
        <v>38</v>
      </c>
      <c r="D922">
        <v>48</v>
      </c>
      <c r="E922" t="s">
        <v>2000</v>
      </c>
      <c r="F922" t="s">
        <v>1935</v>
      </c>
      <c r="G922" t="s">
        <v>1935</v>
      </c>
      <c r="H922" t="s">
        <v>1935</v>
      </c>
    </row>
    <row r="923" spans="1:8">
      <c r="A923" t="s">
        <v>246</v>
      </c>
      <c r="B923" t="s">
        <v>2785</v>
      </c>
      <c r="C923" t="s">
        <v>38</v>
      </c>
      <c r="D923">
        <v>49</v>
      </c>
      <c r="E923" t="s">
        <v>2003</v>
      </c>
      <c r="F923" t="s">
        <v>1935</v>
      </c>
      <c r="G923" t="s">
        <v>1935</v>
      </c>
      <c r="H923" t="s">
        <v>1935</v>
      </c>
    </row>
    <row r="924" spans="1:8">
      <c r="A924" t="s">
        <v>246</v>
      </c>
      <c r="B924" t="s">
        <v>2785</v>
      </c>
      <c r="C924" t="s">
        <v>38</v>
      </c>
      <c r="D924">
        <v>50</v>
      </c>
      <c r="E924" t="s">
        <v>2003</v>
      </c>
      <c r="F924" t="s">
        <v>1935</v>
      </c>
      <c r="G924" t="s">
        <v>1935</v>
      </c>
      <c r="H924" t="s">
        <v>1935</v>
      </c>
    </row>
    <row r="925" spans="1:8">
      <c r="A925" t="s">
        <v>246</v>
      </c>
      <c r="B925" t="s">
        <v>2785</v>
      </c>
      <c r="C925" t="s">
        <v>38</v>
      </c>
      <c r="D925">
        <v>51</v>
      </c>
      <c r="E925" t="s">
        <v>2006</v>
      </c>
      <c r="F925" t="s">
        <v>1935</v>
      </c>
      <c r="G925" t="s">
        <v>1935</v>
      </c>
      <c r="H925" t="s">
        <v>1935</v>
      </c>
    </row>
    <row r="926" spans="1:8">
      <c r="A926" t="s">
        <v>246</v>
      </c>
      <c r="B926" t="s">
        <v>2785</v>
      </c>
      <c r="C926" t="s">
        <v>38</v>
      </c>
      <c r="D926">
        <v>52</v>
      </c>
      <c r="E926" t="s">
        <v>2006</v>
      </c>
      <c r="F926" t="s">
        <v>1935</v>
      </c>
      <c r="G926" t="s">
        <v>1935</v>
      </c>
      <c r="H926" t="s">
        <v>1935</v>
      </c>
    </row>
    <row r="927" spans="1:8">
      <c r="A927" t="s">
        <v>246</v>
      </c>
      <c r="B927" t="s">
        <v>2785</v>
      </c>
      <c r="C927" t="s">
        <v>38</v>
      </c>
      <c r="D927">
        <v>53</v>
      </c>
      <c r="E927" t="s">
        <v>2009</v>
      </c>
      <c r="F927" t="s">
        <v>1935</v>
      </c>
      <c r="G927" t="s">
        <v>1935</v>
      </c>
      <c r="H927" t="s">
        <v>1935</v>
      </c>
    </row>
    <row r="928" spans="1:8">
      <c r="A928" t="s">
        <v>246</v>
      </c>
      <c r="B928" t="s">
        <v>2785</v>
      </c>
      <c r="C928" t="s">
        <v>38</v>
      </c>
      <c r="D928">
        <v>54</v>
      </c>
      <c r="E928" t="s">
        <v>2009</v>
      </c>
      <c r="F928" t="s">
        <v>1935</v>
      </c>
      <c r="G928" t="s">
        <v>1935</v>
      </c>
      <c r="H928" t="s">
        <v>1935</v>
      </c>
    </row>
    <row r="929" spans="1:8">
      <c r="A929" t="s">
        <v>246</v>
      </c>
      <c r="B929" t="s">
        <v>2785</v>
      </c>
      <c r="C929" t="s">
        <v>38</v>
      </c>
      <c r="D929">
        <v>55</v>
      </c>
      <c r="E929" t="s">
        <v>2012</v>
      </c>
      <c r="F929" t="s">
        <v>1935</v>
      </c>
      <c r="G929" t="s">
        <v>1935</v>
      </c>
      <c r="H929" t="s">
        <v>1935</v>
      </c>
    </row>
    <row r="930" spans="1:8">
      <c r="A930" t="s">
        <v>246</v>
      </c>
      <c r="B930" t="s">
        <v>2785</v>
      </c>
      <c r="C930" t="s">
        <v>38</v>
      </c>
      <c r="D930">
        <v>56</v>
      </c>
      <c r="E930" t="s">
        <v>2012</v>
      </c>
      <c r="F930" t="s">
        <v>1935</v>
      </c>
      <c r="G930" t="s">
        <v>1935</v>
      </c>
      <c r="H930" t="s">
        <v>1935</v>
      </c>
    </row>
    <row r="931" spans="1:8">
      <c r="A931" t="s">
        <v>246</v>
      </c>
      <c r="B931" t="s">
        <v>2785</v>
      </c>
      <c r="C931" t="s">
        <v>38</v>
      </c>
      <c r="D931">
        <v>57</v>
      </c>
      <c r="E931" t="s">
        <v>2015</v>
      </c>
      <c r="F931" t="s">
        <v>1935</v>
      </c>
      <c r="G931" t="s">
        <v>1935</v>
      </c>
      <c r="H931" t="s">
        <v>1935</v>
      </c>
    </row>
    <row r="932" spans="1:8">
      <c r="A932" t="s">
        <v>246</v>
      </c>
      <c r="B932" t="s">
        <v>2785</v>
      </c>
      <c r="C932" t="s">
        <v>38</v>
      </c>
      <c r="D932">
        <v>58</v>
      </c>
      <c r="E932" t="s">
        <v>2015</v>
      </c>
      <c r="F932" t="s">
        <v>1935</v>
      </c>
      <c r="G932" t="s">
        <v>1935</v>
      </c>
      <c r="H932" t="s">
        <v>1935</v>
      </c>
    </row>
    <row r="933" spans="1:8">
      <c r="A933" t="s">
        <v>246</v>
      </c>
      <c r="B933" t="s">
        <v>2785</v>
      </c>
      <c r="C933" t="s">
        <v>38</v>
      </c>
      <c r="D933">
        <v>59</v>
      </c>
      <c r="E933" t="s">
        <v>2018</v>
      </c>
      <c r="F933" t="s">
        <v>1935</v>
      </c>
      <c r="G933" t="s">
        <v>1935</v>
      </c>
      <c r="H933" t="s">
        <v>1935</v>
      </c>
    </row>
    <row r="934" spans="1:8">
      <c r="A934" t="s">
        <v>246</v>
      </c>
      <c r="B934" t="s">
        <v>2785</v>
      </c>
      <c r="C934" t="s">
        <v>38</v>
      </c>
      <c r="D934">
        <v>60</v>
      </c>
      <c r="E934" t="s">
        <v>2018</v>
      </c>
      <c r="F934" t="s">
        <v>1935</v>
      </c>
      <c r="G934" t="s">
        <v>1935</v>
      </c>
      <c r="H934" t="s">
        <v>1935</v>
      </c>
    </row>
    <row r="935" spans="1:8">
      <c r="A935" t="s">
        <v>246</v>
      </c>
      <c r="B935" t="s">
        <v>2785</v>
      </c>
      <c r="C935" t="s">
        <v>38</v>
      </c>
      <c r="D935">
        <v>61</v>
      </c>
      <c r="E935" t="s">
        <v>2021</v>
      </c>
      <c r="F935" t="s">
        <v>1935</v>
      </c>
      <c r="G935" t="s">
        <v>1935</v>
      </c>
      <c r="H935" t="s">
        <v>1935</v>
      </c>
    </row>
    <row r="936" spans="1:8">
      <c r="A936" t="s">
        <v>246</v>
      </c>
      <c r="B936" t="s">
        <v>2785</v>
      </c>
      <c r="C936" t="s">
        <v>38</v>
      </c>
      <c r="D936">
        <v>62</v>
      </c>
      <c r="E936" t="s">
        <v>2021</v>
      </c>
      <c r="F936" t="s">
        <v>1935</v>
      </c>
      <c r="G936" t="s">
        <v>1935</v>
      </c>
      <c r="H936" t="s">
        <v>1935</v>
      </c>
    </row>
    <row r="937" spans="1:8">
      <c r="A937" t="s">
        <v>246</v>
      </c>
      <c r="B937" t="s">
        <v>2785</v>
      </c>
      <c r="C937" t="s">
        <v>38</v>
      </c>
      <c r="D937">
        <v>63</v>
      </c>
      <c r="E937" t="s">
        <v>2024</v>
      </c>
      <c r="F937" t="s">
        <v>1935</v>
      </c>
      <c r="G937" t="s">
        <v>1935</v>
      </c>
      <c r="H937" t="s">
        <v>1935</v>
      </c>
    </row>
    <row r="938" spans="1:8">
      <c r="A938" t="s">
        <v>246</v>
      </c>
      <c r="B938" t="s">
        <v>2785</v>
      </c>
      <c r="C938" t="s">
        <v>38</v>
      </c>
      <c r="D938">
        <v>64</v>
      </c>
      <c r="E938" t="s">
        <v>2024</v>
      </c>
      <c r="F938" t="s">
        <v>1935</v>
      </c>
      <c r="G938" t="s">
        <v>1935</v>
      </c>
      <c r="H938" t="s">
        <v>1935</v>
      </c>
    </row>
    <row r="939" spans="1:8">
      <c r="A939" t="s">
        <v>246</v>
      </c>
      <c r="B939" t="s">
        <v>2785</v>
      </c>
      <c r="C939" t="s">
        <v>38</v>
      </c>
      <c r="D939">
        <v>65</v>
      </c>
      <c r="E939" t="s">
        <v>2027</v>
      </c>
      <c r="F939" t="s">
        <v>1935</v>
      </c>
      <c r="G939" t="s">
        <v>1935</v>
      </c>
      <c r="H939" t="s">
        <v>1935</v>
      </c>
    </row>
    <row r="940" spans="1:8">
      <c r="A940" t="s">
        <v>246</v>
      </c>
      <c r="B940" t="s">
        <v>2785</v>
      </c>
      <c r="C940" t="s">
        <v>38</v>
      </c>
      <c r="D940">
        <v>66</v>
      </c>
      <c r="E940" t="s">
        <v>2027</v>
      </c>
      <c r="F940" t="s">
        <v>1935</v>
      </c>
      <c r="G940" t="s">
        <v>1935</v>
      </c>
      <c r="H940" t="s">
        <v>1935</v>
      </c>
    </row>
    <row r="941" spans="1:8">
      <c r="A941" t="s">
        <v>246</v>
      </c>
      <c r="B941" t="s">
        <v>2785</v>
      </c>
      <c r="C941" t="s">
        <v>38</v>
      </c>
      <c r="D941">
        <v>67</v>
      </c>
      <c r="E941" t="s">
        <v>2030</v>
      </c>
      <c r="F941" t="s">
        <v>1935</v>
      </c>
      <c r="G941" t="s">
        <v>1935</v>
      </c>
      <c r="H941" t="s">
        <v>1935</v>
      </c>
    </row>
    <row r="942" spans="1:8">
      <c r="A942" t="s">
        <v>246</v>
      </c>
      <c r="B942" t="s">
        <v>2785</v>
      </c>
      <c r="C942" t="s">
        <v>38</v>
      </c>
      <c r="D942">
        <v>68</v>
      </c>
      <c r="E942" t="s">
        <v>2030</v>
      </c>
      <c r="F942" t="s">
        <v>1935</v>
      </c>
      <c r="G942" t="s">
        <v>1935</v>
      </c>
      <c r="H942" t="s">
        <v>1935</v>
      </c>
    </row>
    <row r="943" spans="1:8">
      <c r="A943" t="s">
        <v>246</v>
      </c>
      <c r="B943" t="s">
        <v>2785</v>
      </c>
      <c r="C943" t="s">
        <v>38</v>
      </c>
      <c r="D943">
        <v>69</v>
      </c>
      <c r="E943" t="s">
        <v>2032</v>
      </c>
      <c r="F943" t="s">
        <v>1935</v>
      </c>
      <c r="G943" t="s">
        <v>1935</v>
      </c>
      <c r="H943" t="s">
        <v>1935</v>
      </c>
    </row>
    <row r="944" spans="1:8">
      <c r="A944" t="s">
        <v>246</v>
      </c>
      <c r="B944" t="s">
        <v>2785</v>
      </c>
      <c r="C944" t="s">
        <v>38</v>
      </c>
      <c r="D944">
        <v>70</v>
      </c>
      <c r="E944" t="s">
        <v>2032</v>
      </c>
      <c r="F944" t="s">
        <v>1935</v>
      </c>
      <c r="G944" t="s">
        <v>1935</v>
      </c>
      <c r="H944" t="s">
        <v>1935</v>
      </c>
    </row>
    <row r="945" spans="1:8">
      <c r="A945" t="s">
        <v>246</v>
      </c>
      <c r="B945" t="s">
        <v>2785</v>
      </c>
      <c r="C945" t="s">
        <v>38</v>
      </c>
      <c r="D945">
        <v>71</v>
      </c>
      <c r="E945" t="s">
        <v>2034</v>
      </c>
      <c r="F945" t="s">
        <v>1935</v>
      </c>
      <c r="G945" t="s">
        <v>1935</v>
      </c>
      <c r="H945" t="s">
        <v>1935</v>
      </c>
    </row>
    <row r="946" spans="1:8">
      <c r="A946" t="s">
        <v>246</v>
      </c>
      <c r="B946" t="s">
        <v>2785</v>
      </c>
      <c r="C946" t="s">
        <v>38</v>
      </c>
      <c r="D946">
        <v>72</v>
      </c>
      <c r="E946" t="s">
        <v>2034</v>
      </c>
      <c r="F946" t="s">
        <v>1935</v>
      </c>
      <c r="G946" t="s">
        <v>1935</v>
      </c>
      <c r="H946" t="s">
        <v>1935</v>
      </c>
    </row>
    <row r="947" spans="1:8">
      <c r="A947" t="s">
        <v>246</v>
      </c>
      <c r="B947" t="s">
        <v>2785</v>
      </c>
      <c r="C947" t="s">
        <v>38</v>
      </c>
      <c r="D947">
        <v>73</v>
      </c>
      <c r="E947" t="s">
        <v>2037</v>
      </c>
      <c r="F947" t="s">
        <v>1935</v>
      </c>
      <c r="G947" t="s">
        <v>1935</v>
      </c>
      <c r="H947" t="s">
        <v>1935</v>
      </c>
    </row>
    <row r="948" spans="1:8">
      <c r="A948" t="s">
        <v>246</v>
      </c>
      <c r="B948" t="s">
        <v>2785</v>
      </c>
      <c r="C948" t="s">
        <v>38</v>
      </c>
      <c r="D948">
        <v>74</v>
      </c>
      <c r="E948" t="s">
        <v>2037</v>
      </c>
      <c r="F948" t="s">
        <v>1935</v>
      </c>
      <c r="G948" t="s">
        <v>1935</v>
      </c>
      <c r="H948" t="s">
        <v>1935</v>
      </c>
    </row>
    <row r="949" spans="1:8">
      <c r="A949" t="s">
        <v>246</v>
      </c>
      <c r="B949" t="s">
        <v>2785</v>
      </c>
      <c r="C949" t="s">
        <v>38</v>
      </c>
      <c r="D949">
        <v>75</v>
      </c>
      <c r="E949" t="s">
        <v>2040</v>
      </c>
      <c r="F949" t="s">
        <v>1935</v>
      </c>
      <c r="G949" t="s">
        <v>1935</v>
      </c>
      <c r="H949" t="s">
        <v>1935</v>
      </c>
    </row>
    <row r="950" spans="1:8">
      <c r="A950" t="s">
        <v>246</v>
      </c>
      <c r="B950" t="s">
        <v>2785</v>
      </c>
      <c r="C950" t="s">
        <v>38</v>
      </c>
      <c r="D950">
        <v>76</v>
      </c>
      <c r="E950" t="s">
        <v>2040</v>
      </c>
      <c r="F950" t="s">
        <v>1935</v>
      </c>
      <c r="G950" t="s">
        <v>1935</v>
      </c>
      <c r="H950" t="s">
        <v>1935</v>
      </c>
    </row>
    <row r="951" spans="1:8">
      <c r="A951" t="s">
        <v>246</v>
      </c>
      <c r="B951" t="s">
        <v>2785</v>
      </c>
      <c r="C951" t="s">
        <v>38</v>
      </c>
      <c r="D951">
        <v>77</v>
      </c>
      <c r="E951" t="s">
        <v>2042</v>
      </c>
      <c r="F951" t="s">
        <v>1935</v>
      </c>
      <c r="G951" t="s">
        <v>1935</v>
      </c>
      <c r="H951" t="s">
        <v>1935</v>
      </c>
    </row>
    <row r="952" spans="1:8">
      <c r="A952" t="s">
        <v>246</v>
      </c>
      <c r="B952" t="s">
        <v>2785</v>
      </c>
      <c r="C952" t="s">
        <v>38</v>
      </c>
      <c r="D952">
        <v>78</v>
      </c>
      <c r="E952" t="s">
        <v>2042</v>
      </c>
      <c r="F952" t="s">
        <v>1935</v>
      </c>
      <c r="G952" t="s">
        <v>1935</v>
      </c>
      <c r="H952" t="s">
        <v>1935</v>
      </c>
    </row>
    <row r="953" spans="1:8">
      <c r="A953" t="s">
        <v>246</v>
      </c>
      <c r="B953" t="s">
        <v>2785</v>
      </c>
      <c r="C953" t="s">
        <v>38</v>
      </c>
      <c r="D953">
        <v>79</v>
      </c>
      <c r="E953" t="s">
        <v>2045</v>
      </c>
      <c r="F953" t="s">
        <v>1935</v>
      </c>
      <c r="G953" t="s">
        <v>1935</v>
      </c>
      <c r="H953" t="s">
        <v>1935</v>
      </c>
    </row>
    <row r="954" spans="1:8">
      <c r="A954" t="s">
        <v>246</v>
      </c>
      <c r="B954" t="s">
        <v>2785</v>
      </c>
      <c r="C954" t="s">
        <v>38</v>
      </c>
      <c r="D954">
        <v>80</v>
      </c>
      <c r="E954" t="s">
        <v>2045</v>
      </c>
      <c r="F954" t="s">
        <v>1935</v>
      </c>
      <c r="G954" t="s">
        <v>1935</v>
      </c>
      <c r="H954" t="s">
        <v>1935</v>
      </c>
    </row>
    <row r="955" spans="1:8">
      <c r="A955" t="s">
        <v>246</v>
      </c>
      <c r="B955" t="s">
        <v>2785</v>
      </c>
      <c r="C955" t="s">
        <v>38</v>
      </c>
      <c r="D955">
        <v>81</v>
      </c>
      <c r="E955" t="s">
        <v>2048</v>
      </c>
      <c r="F955" t="s">
        <v>1935</v>
      </c>
      <c r="G955" t="s">
        <v>1935</v>
      </c>
      <c r="H955" t="s">
        <v>1935</v>
      </c>
    </row>
    <row r="956" spans="1:8">
      <c r="A956" t="s">
        <v>246</v>
      </c>
      <c r="B956" t="s">
        <v>2785</v>
      </c>
      <c r="C956" t="s">
        <v>38</v>
      </c>
      <c r="D956">
        <v>82</v>
      </c>
      <c r="E956" t="s">
        <v>2048</v>
      </c>
      <c r="F956" t="s">
        <v>1935</v>
      </c>
      <c r="G956" t="s">
        <v>1935</v>
      </c>
      <c r="H956" t="s">
        <v>1935</v>
      </c>
    </row>
    <row r="957" spans="1:8">
      <c r="A957" t="s">
        <v>244</v>
      </c>
      <c r="B957" t="s">
        <v>2786</v>
      </c>
      <c r="C957" t="s">
        <v>38</v>
      </c>
      <c r="D957">
        <v>1</v>
      </c>
      <c r="E957" t="s">
        <v>2787</v>
      </c>
      <c r="F957" t="s">
        <v>1934</v>
      </c>
      <c r="G957" t="s">
        <v>1935</v>
      </c>
      <c r="H957" t="s">
        <v>1935</v>
      </c>
    </row>
    <row r="958" spans="1:8">
      <c r="A958" t="s">
        <v>244</v>
      </c>
      <c r="B958" t="s">
        <v>2786</v>
      </c>
      <c r="C958" t="s">
        <v>38</v>
      </c>
      <c r="D958">
        <v>2</v>
      </c>
      <c r="E958" t="s">
        <v>2787</v>
      </c>
      <c r="F958" t="s">
        <v>1934</v>
      </c>
      <c r="G958" t="s">
        <v>1935</v>
      </c>
      <c r="H958" t="s">
        <v>1935</v>
      </c>
    </row>
    <row r="959" spans="1:8">
      <c r="A959" t="s">
        <v>244</v>
      </c>
      <c r="B959" t="s">
        <v>2786</v>
      </c>
      <c r="C959" t="s">
        <v>38</v>
      </c>
      <c r="D959">
        <v>3</v>
      </c>
      <c r="E959" t="s">
        <v>2788</v>
      </c>
      <c r="F959" t="s">
        <v>1938</v>
      </c>
      <c r="G959" t="s">
        <v>1935</v>
      </c>
      <c r="H959" t="s">
        <v>1935</v>
      </c>
    </row>
    <row r="960" spans="1:8">
      <c r="A960" t="s">
        <v>244</v>
      </c>
      <c r="B960" t="s">
        <v>2786</v>
      </c>
      <c r="C960" t="s">
        <v>38</v>
      </c>
      <c r="D960">
        <v>4</v>
      </c>
      <c r="E960" t="s">
        <v>2788</v>
      </c>
      <c r="F960" t="s">
        <v>1938</v>
      </c>
      <c r="G960" t="s">
        <v>1935</v>
      </c>
      <c r="H960" t="s">
        <v>1935</v>
      </c>
    </row>
    <row r="961" spans="1:8">
      <c r="A961" t="s">
        <v>244</v>
      </c>
      <c r="B961" t="s">
        <v>2786</v>
      </c>
      <c r="C961" t="s">
        <v>38</v>
      </c>
      <c r="D961">
        <v>5</v>
      </c>
      <c r="E961" t="s">
        <v>2789</v>
      </c>
      <c r="F961" t="s">
        <v>1941</v>
      </c>
      <c r="G961" t="s">
        <v>1935</v>
      </c>
      <c r="H961" t="s">
        <v>1935</v>
      </c>
    </row>
    <row r="962" spans="1:8">
      <c r="A962" t="s">
        <v>244</v>
      </c>
      <c r="B962" t="s">
        <v>2786</v>
      </c>
      <c r="C962" t="s">
        <v>38</v>
      </c>
      <c r="D962">
        <v>6</v>
      </c>
      <c r="E962" t="s">
        <v>2789</v>
      </c>
      <c r="F962" t="s">
        <v>1941</v>
      </c>
      <c r="G962" t="s">
        <v>1935</v>
      </c>
      <c r="H962" t="s">
        <v>1935</v>
      </c>
    </row>
    <row r="963" spans="1:8">
      <c r="A963" t="s">
        <v>244</v>
      </c>
      <c r="B963" t="s">
        <v>2786</v>
      </c>
      <c r="C963" t="s">
        <v>38</v>
      </c>
      <c r="D963">
        <v>7</v>
      </c>
      <c r="E963" t="s">
        <v>2790</v>
      </c>
      <c r="F963" t="s">
        <v>1943</v>
      </c>
      <c r="G963" t="s">
        <v>1935</v>
      </c>
      <c r="H963" t="s">
        <v>1935</v>
      </c>
    </row>
    <row r="964" spans="1:8">
      <c r="A964" t="s">
        <v>244</v>
      </c>
      <c r="B964" t="s">
        <v>2786</v>
      </c>
      <c r="C964" t="s">
        <v>38</v>
      </c>
      <c r="D964">
        <v>8</v>
      </c>
      <c r="E964" t="s">
        <v>2790</v>
      </c>
      <c r="F964" t="s">
        <v>1943</v>
      </c>
      <c r="G964" t="s">
        <v>1935</v>
      </c>
      <c r="H964" t="s">
        <v>1935</v>
      </c>
    </row>
    <row r="965" spans="1:8">
      <c r="A965" t="s">
        <v>244</v>
      </c>
      <c r="B965" t="s">
        <v>2786</v>
      </c>
      <c r="C965" t="s">
        <v>38</v>
      </c>
      <c r="D965">
        <v>9</v>
      </c>
      <c r="E965" t="s">
        <v>2791</v>
      </c>
      <c r="F965" t="s">
        <v>1946</v>
      </c>
      <c r="G965" t="s">
        <v>1935</v>
      </c>
      <c r="H965" t="s">
        <v>1935</v>
      </c>
    </row>
    <row r="966" spans="1:8">
      <c r="A966" t="s">
        <v>244</v>
      </c>
      <c r="B966" t="s">
        <v>2786</v>
      </c>
      <c r="C966" t="s">
        <v>38</v>
      </c>
      <c r="D966">
        <v>10</v>
      </c>
      <c r="E966" t="s">
        <v>2791</v>
      </c>
      <c r="F966" t="s">
        <v>1946</v>
      </c>
      <c r="G966" t="s">
        <v>1935</v>
      </c>
      <c r="H966" t="s">
        <v>1935</v>
      </c>
    </row>
    <row r="967" spans="1:8">
      <c r="A967" t="s">
        <v>244</v>
      </c>
      <c r="B967" t="s">
        <v>2786</v>
      </c>
      <c r="C967" t="s">
        <v>38</v>
      </c>
      <c r="D967">
        <v>11</v>
      </c>
      <c r="E967" t="s">
        <v>2792</v>
      </c>
      <c r="F967" t="s">
        <v>1949</v>
      </c>
      <c r="G967" t="s">
        <v>1935</v>
      </c>
      <c r="H967" t="s">
        <v>1935</v>
      </c>
    </row>
    <row r="968" spans="1:8">
      <c r="A968" t="s">
        <v>244</v>
      </c>
      <c r="B968" t="s">
        <v>2786</v>
      </c>
      <c r="C968" t="s">
        <v>38</v>
      </c>
      <c r="D968">
        <v>12</v>
      </c>
      <c r="E968" t="s">
        <v>2792</v>
      </c>
      <c r="F968" t="s">
        <v>1949</v>
      </c>
      <c r="G968" t="s">
        <v>1935</v>
      </c>
      <c r="H968" t="s">
        <v>1935</v>
      </c>
    </row>
    <row r="969" spans="1:8">
      <c r="A969" t="s">
        <v>244</v>
      </c>
      <c r="B969" t="s">
        <v>2786</v>
      </c>
      <c r="C969" t="s">
        <v>38</v>
      </c>
      <c r="D969">
        <v>13</v>
      </c>
      <c r="E969" t="s">
        <v>2793</v>
      </c>
      <c r="F969" t="s">
        <v>1952</v>
      </c>
      <c r="G969" t="s">
        <v>1935</v>
      </c>
      <c r="H969" t="s">
        <v>1935</v>
      </c>
    </row>
    <row r="970" spans="1:8">
      <c r="A970" t="s">
        <v>244</v>
      </c>
      <c r="B970" t="s">
        <v>2786</v>
      </c>
      <c r="C970" t="s">
        <v>38</v>
      </c>
      <c r="D970">
        <v>14</v>
      </c>
      <c r="E970" t="s">
        <v>2793</v>
      </c>
      <c r="F970" t="s">
        <v>1952</v>
      </c>
      <c r="G970" t="s">
        <v>1935</v>
      </c>
      <c r="H970" t="s">
        <v>1935</v>
      </c>
    </row>
    <row r="971" spans="1:8">
      <c r="A971" t="s">
        <v>244</v>
      </c>
      <c r="B971" t="s">
        <v>2786</v>
      </c>
      <c r="C971" t="s">
        <v>38</v>
      </c>
      <c r="D971">
        <v>15</v>
      </c>
      <c r="E971" t="s">
        <v>2794</v>
      </c>
      <c r="F971" t="s">
        <v>1955</v>
      </c>
      <c r="G971" t="s">
        <v>1935</v>
      </c>
      <c r="H971" t="s">
        <v>1935</v>
      </c>
    </row>
    <row r="972" spans="1:8">
      <c r="A972" t="s">
        <v>244</v>
      </c>
      <c r="B972" t="s">
        <v>2786</v>
      </c>
      <c r="C972" t="s">
        <v>38</v>
      </c>
      <c r="D972">
        <v>16</v>
      </c>
      <c r="E972" t="s">
        <v>2794</v>
      </c>
      <c r="F972" t="s">
        <v>1955</v>
      </c>
      <c r="G972" t="s">
        <v>1935</v>
      </c>
      <c r="H972" t="s">
        <v>1935</v>
      </c>
    </row>
    <row r="973" spans="1:8">
      <c r="A973" t="s">
        <v>244</v>
      </c>
      <c r="B973" t="s">
        <v>2786</v>
      </c>
      <c r="C973" t="s">
        <v>38</v>
      </c>
      <c r="D973">
        <v>17</v>
      </c>
      <c r="E973" t="s">
        <v>2795</v>
      </c>
      <c r="F973" t="s">
        <v>1958</v>
      </c>
      <c r="G973" t="s">
        <v>1935</v>
      </c>
      <c r="H973" t="s">
        <v>1935</v>
      </c>
    </row>
    <row r="974" spans="1:8">
      <c r="A974" t="s">
        <v>244</v>
      </c>
      <c r="B974" t="s">
        <v>2786</v>
      </c>
      <c r="C974" t="s">
        <v>38</v>
      </c>
      <c r="D974">
        <v>18</v>
      </c>
      <c r="E974" t="s">
        <v>2795</v>
      </c>
      <c r="F974" t="s">
        <v>1958</v>
      </c>
      <c r="G974" t="s">
        <v>1935</v>
      </c>
      <c r="H974" t="s">
        <v>1935</v>
      </c>
    </row>
    <row r="975" spans="1:8">
      <c r="A975" t="s">
        <v>244</v>
      </c>
      <c r="B975" t="s">
        <v>2786</v>
      </c>
      <c r="C975" t="s">
        <v>38</v>
      </c>
      <c r="D975">
        <v>19</v>
      </c>
      <c r="E975" t="s">
        <v>2796</v>
      </c>
      <c r="F975" t="s">
        <v>1961</v>
      </c>
      <c r="G975" t="s">
        <v>1935</v>
      </c>
      <c r="H975" t="s">
        <v>1935</v>
      </c>
    </row>
    <row r="976" spans="1:8">
      <c r="A976" t="s">
        <v>244</v>
      </c>
      <c r="B976" t="s">
        <v>2786</v>
      </c>
      <c r="C976" t="s">
        <v>38</v>
      </c>
      <c r="D976">
        <v>20</v>
      </c>
      <c r="E976" t="s">
        <v>2796</v>
      </c>
      <c r="F976" t="s">
        <v>1961</v>
      </c>
      <c r="G976" t="s">
        <v>1935</v>
      </c>
      <c r="H976" t="s">
        <v>1935</v>
      </c>
    </row>
    <row r="977" spans="1:8">
      <c r="A977" t="s">
        <v>244</v>
      </c>
      <c r="B977" t="s">
        <v>2786</v>
      </c>
      <c r="C977" t="s">
        <v>38</v>
      </c>
      <c r="D977">
        <v>21</v>
      </c>
      <c r="E977" t="s">
        <v>2797</v>
      </c>
      <c r="F977" t="s">
        <v>1964</v>
      </c>
      <c r="G977" t="s">
        <v>1935</v>
      </c>
      <c r="H977" t="s">
        <v>1935</v>
      </c>
    </row>
    <row r="978" spans="1:8">
      <c r="A978" t="s">
        <v>244</v>
      </c>
      <c r="B978" t="s">
        <v>2786</v>
      </c>
      <c r="C978" t="s">
        <v>38</v>
      </c>
      <c r="D978">
        <v>22</v>
      </c>
      <c r="E978" t="s">
        <v>2797</v>
      </c>
      <c r="F978" t="s">
        <v>1964</v>
      </c>
      <c r="G978" t="s">
        <v>1935</v>
      </c>
      <c r="H978" t="s">
        <v>1935</v>
      </c>
    </row>
    <row r="979" spans="1:8">
      <c r="A979" t="s">
        <v>244</v>
      </c>
      <c r="B979" t="s">
        <v>2786</v>
      </c>
      <c r="C979" t="s">
        <v>38</v>
      </c>
      <c r="D979">
        <v>23</v>
      </c>
      <c r="E979" t="s">
        <v>2798</v>
      </c>
      <c r="F979" t="s">
        <v>1967</v>
      </c>
      <c r="G979" t="s">
        <v>1935</v>
      </c>
      <c r="H979" t="s">
        <v>1935</v>
      </c>
    </row>
    <row r="980" spans="1:8">
      <c r="A980" t="s">
        <v>244</v>
      </c>
      <c r="B980" t="s">
        <v>2786</v>
      </c>
      <c r="C980" t="s">
        <v>38</v>
      </c>
      <c r="D980">
        <v>24</v>
      </c>
      <c r="E980" t="s">
        <v>2798</v>
      </c>
      <c r="F980" t="s">
        <v>1967</v>
      </c>
      <c r="G980" t="s">
        <v>1935</v>
      </c>
      <c r="H980" t="s">
        <v>1935</v>
      </c>
    </row>
    <row r="981" spans="1:8">
      <c r="A981" t="s">
        <v>244</v>
      </c>
      <c r="B981" t="s">
        <v>2786</v>
      </c>
      <c r="C981" t="s">
        <v>38</v>
      </c>
      <c r="D981">
        <v>25</v>
      </c>
      <c r="E981" t="s">
        <v>2799</v>
      </c>
      <c r="F981" t="s">
        <v>1970</v>
      </c>
      <c r="G981" t="s">
        <v>1935</v>
      </c>
      <c r="H981" t="s">
        <v>1935</v>
      </c>
    </row>
    <row r="982" spans="1:8">
      <c r="A982" t="s">
        <v>244</v>
      </c>
      <c r="B982" t="s">
        <v>2786</v>
      </c>
      <c r="C982" t="s">
        <v>38</v>
      </c>
      <c r="D982">
        <v>26</v>
      </c>
      <c r="E982" t="s">
        <v>2799</v>
      </c>
      <c r="F982" t="s">
        <v>1970</v>
      </c>
      <c r="G982" t="s">
        <v>1935</v>
      </c>
      <c r="H982" t="s">
        <v>1935</v>
      </c>
    </row>
    <row r="983" spans="1:8">
      <c r="A983" t="s">
        <v>244</v>
      </c>
      <c r="B983" t="s">
        <v>2786</v>
      </c>
      <c r="C983" t="s">
        <v>38</v>
      </c>
      <c r="D983">
        <v>27</v>
      </c>
      <c r="E983" t="s">
        <v>2800</v>
      </c>
      <c r="F983" t="s">
        <v>1973</v>
      </c>
      <c r="G983" t="s">
        <v>1935</v>
      </c>
      <c r="H983" t="s">
        <v>1935</v>
      </c>
    </row>
    <row r="984" spans="1:8">
      <c r="A984" t="s">
        <v>244</v>
      </c>
      <c r="B984" t="s">
        <v>2786</v>
      </c>
      <c r="C984" t="s">
        <v>38</v>
      </c>
      <c r="D984">
        <v>28</v>
      </c>
      <c r="E984" t="s">
        <v>2800</v>
      </c>
      <c r="F984" t="s">
        <v>1973</v>
      </c>
      <c r="G984" t="s">
        <v>1935</v>
      </c>
      <c r="H984" t="s">
        <v>1935</v>
      </c>
    </row>
    <row r="985" spans="1:8">
      <c r="A985" t="s">
        <v>244</v>
      </c>
      <c r="B985" t="s">
        <v>2786</v>
      </c>
      <c r="C985" t="s">
        <v>38</v>
      </c>
      <c r="D985">
        <v>29</v>
      </c>
      <c r="E985" t="s">
        <v>2801</v>
      </c>
      <c r="F985" t="s">
        <v>1976</v>
      </c>
      <c r="G985" t="s">
        <v>1935</v>
      </c>
      <c r="H985" t="s">
        <v>1935</v>
      </c>
    </row>
    <row r="986" spans="1:8">
      <c r="A986" t="s">
        <v>244</v>
      </c>
      <c r="B986" t="s">
        <v>2786</v>
      </c>
      <c r="C986" t="s">
        <v>38</v>
      </c>
      <c r="D986">
        <v>30</v>
      </c>
      <c r="E986" t="s">
        <v>2801</v>
      </c>
      <c r="F986" t="s">
        <v>1976</v>
      </c>
      <c r="G986" t="s">
        <v>1935</v>
      </c>
      <c r="H986" t="s">
        <v>1935</v>
      </c>
    </row>
    <row r="987" spans="1:8">
      <c r="A987" t="s">
        <v>244</v>
      </c>
      <c r="B987" t="s">
        <v>2786</v>
      </c>
      <c r="C987" t="s">
        <v>38</v>
      </c>
      <c r="D987">
        <v>31</v>
      </c>
      <c r="E987" t="s">
        <v>2802</v>
      </c>
      <c r="F987" t="s">
        <v>1978</v>
      </c>
      <c r="G987" t="s">
        <v>1935</v>
      </c>
      <c r="H987" t="s">
        <v>1935</v>
      </c>
    </row>
    <row r="988" spans="1:8">
      <c r="A988" t="s">
        <v>244</v>
      </c>
      <c r="B988" t="s">
        <v>2786</v>
      </c>
      <c r="C988" t="s">
        <v>38</v>
      </c>
      <c r="D988">
        <v>32</v>
      </c>
      <c r="E988" t="s">
        <v>2802</v>
      </c>
      <c r="F988" t="s">
        <v>1978</v>
      </c>
      <c r="G988" t="s">
        <v>1935</v>
      </c>
      <c r="H988" t="s">
        <v>1935</v>
      </c>
    </row>
    <row r="989" spans="1:8">
      <c r="A989" t="s">
        <v>244</v>
      </c>
      <c r="B989" t="s">
        <v>2786</v>
      </c>
      <c r="C989" t="s">
        <v>38</v>
      </c>
      <c r="D989">
        <v>33</v>
      </c>
      <c r="E989" t="s">
        <v>2803</v>
      </c>
      <c r="F989" t="s">
        <v>1980</v>
      </c>
      <c r="G989" t="s">
        <v>1935</v>
      </c>
      <c r="H989" t="s">
        <v>1935</v>
      </c>
    </row>
    <row r="990" spans="1:8">
      <c r="A990" t="s">
        <v>244</v>
      </c>
      <c r="B990" t="s">
        <v>2786</v>
      </c>
      <c r="C990" t="s">
        <v>38</v>
      </c>
      <c r="D990">
        <v>34</v>
      </c>
      <c r="E990" t="s">
        <v>2803</v>
      </c>
      <c r="F990" t="s">
        <v>1980</v>
      </c>
      <c r="G990" t="s">
        <v>1935</v>
      </c>
      <c r="H990" t="s">
        <v>1935</v>
      </c>
    </row>
    <row r="991" spans="1:8">
      <c r="A991" t="s">
        <v>244</v>
      </c>
      <c r="B991" t="s">
        <v>2786</v>
      </c>
      <c r="C991" t="s">
        <v>38</v>
      </c>
      <c r="D991">
        <v>35</v>
      </c>
      <c r="E991" t="s">
        <v>2804</v>
      </c>
      <c r="F991" t="s">
        <v>1983</v>
      </c>
      <c r="G991" t="s">
        <v>1935</v>
      </c>
      <c r="H991" t="s">
        <v>1935</v>
      </c>
    </row>
    <row r="992" spans="1:8">
      <c r="A992" t="s">
        <v>244</v>
      </c>
      <c r="B992" t="s">
        <v>2786</v>
      </c>
      <c r="C992" t="s">
        <v>38</v>
      </c>
      <c r="D992">
        <v>36</v>
      </c>
      <c r="E992" t="s">
        <v>2804</v>
      </c>
      <c r="F992" t="s">
        <v>1983</v>
      </c>
      <c r="G992" t="s">
        <v>1935</v>
      </c>
      <c r="H992" t="s">
        <v>1935</v>
      </c>
    </row>
    <row r="993" spans="1:8">
      <c r="A993" t="s">
        <v>244</v>
      </c>
      <c r="B993" t="s">
        <v>2786</v>
      </c>
      <c r="C993" t="s">
        <v>38</v>
      </c>
      <c r="D993">
        <v>37</v>
      </c>
      <c r="E993" t="s">
        <v>2805</v>
      </c>
      <c r="F993" t="s">
        <v>1986</v>
      </c>
      <c r="G993" t="s">
        <v>1935</v>
      </c>
      <c r="H993" t="s">
        <v>1935</v>
      </c>
    </row>
    <row r="994" spans="1:8">
      <c r="A994" t="s">
        <v>244</v>
      </c>
      <c r="B994" t="s">
        <v>2786</v>
      </c>
      <c r="C994" t="s">
        <v>38</v>
      </c>
      <c r="D994">
        <v>38</v>
      </c>
      <c r="E994" t="s">
        <v>2805</v>
      </c>
      <c r="F994" t="s">
        <v>1986</v>
      </c>
      <c r="G994" t="s">
        <v>1935</v>
      </c>
      <c r="H994" t="s">
        <v>1935</v>
      </c>
    </row>
    <row r="995" spans="1:8">
      <c r="A995" t="s">
        <v>244</v>
      </c>
      <c r="B995" t="s">
        <v>2786</v>
      </c>
      <c r="C995" t="s">
        <v>38</v>
      </c>
      <c r="D995">
        <v>39</v>
      </c>
      <c r="E995" t="s">
        <v>2806</v>
      </c>
      <c r="F995" t="s">
        <v>1989</v>
      </c>
      <c r="G995" t="s">
        <v>1935</v>
      </c>
      <c r="H995" t="s">
        <v>1935</v>
      </c>
    </row>
    <row r="996" spans="1:8">
      <c r="A996" t="s">
        <v>244</v>
      </c>
      <c r="B996" t="s">
        <v>2786</v>
      </c>
      <c r="C996" t="s">
        <v>38</v>
      </c>
      <c r="D996">
        <v>40</v>
      </c>
      <c r="E996" t="s">
        <v>2806</v>
      </c>
      <c r="F996" t="s">
        <v>1989</v>
      </c>
      <c r="G996" t="s">
        <v>1935</v>
      </c>
      <c r="H996" t="s">
        <v>1935</v>
      </c>
    </row>
    <row r="997" spans="1:8">
      <c r="A997" t="s">
        <v>244</v>
      </c>
      <c r="B997" t="s">
        <v>2786</v>
      </c>
      <c r="C997" t="s">
        <v>38</v>
      </c>
      <c r="D997">
        <v>41</v>
      </c>
      <c r="E997" t="s">
        <v>2807</v>
      </c>
      <c r="F997" t="s">
        <v>1991</v>
      </c>
      <c r="G997" t="s">
        <v>1935</v>
      </c>
      <c r="H997" t="s">
        <v>1935</v>
      </c>
    </row>
    <row r="998" spans="1:8">
      <c r="A998" t="s">
        <v>244</v>
      </c>
      <c r="B998" t="s">
        <v>2786</v>
      </c>
      <c r="C998" t="s">
        <v>38</v>
      </c>
      <c r="D998">
        <v>42</v>
      </c>
      <c r="E998" t="s">
        <v>2807</v>
      </c>
      <c r="F998" t="s">
        <v>1991</v>
      </c>
      <c r="G998" t="s">
        <v>1935</v>
      </c>
      <c r="H998" t="s">
        <v>1935</v>
      </c>
    </row>
    <row r="999" spans="1:8">
      <c r="A999" t="s">
        <v>244</v>
      </c>
      <c r="B999" t="s">
        <v>2786</v>
      </c>
      <c r="C999" t="s">
        <v>38</v>
      </c>
      <c r="D999">
        <v>43</v>
      </c>
      <c r="E999" t="s">
        <v>2808</v>
      </c>
      <c r="F999" t="s">
        <v>1994</v>
      </c>
      <c r="G999" t="s">
        <v>1935</v>
      </c>
      <c r="H999" t="s">
        <v>1935</v>
      </c>
    </row>
    <row r="1000" spans="1:8">
      <c r="A1000" t="s">
        <v>244</v>
      </c>
      <c r="B1000" t="s">
        <v>2786</v>
      </c>
      <c r="C1000" t="s">
        <v>38</v>
      </c>
      <c r="D1000">
        <v>44</v>
      </c>
      <c r="E1000" t="s">
        <v>2808</v>
      </c>
      <c r="F1000" t="s">
        <v>1994</v>
      </c>
      <c r="G1000" t="s">
        <v>1935</v>
      </c>
      <c r="H1000" t="s">
        <v>1935</v>
      </c>
    </row>
    <row r="1001" spans="1:8">
      <c r="A1001" t="s">
        <v>244</v>
      </c>
      <c r="B1001" t="s">
        <v>2786</v>
      </c>
      <c r="C1001" t="s">
        <v>38</v>
      </c>
      <c r="D1001">
        <v>45</v>
      </c>
      <c r="E1001" t="s">
        <v>2809</v>
      </c>
      <c r="F1001" t="s">
        <v>1997</v>
      </c>
      <c r="G1001" t="s">
        <v>1935</v>
      </c>
      <c r="H1001" t="s">
        <v>1935</v>
      </c>
    </row>
    <row r="1002" spans="1:8">
      <c r="A1002" t="s">
        <v>244</v>
      </c>
      <c r="B1002" t="s">
        <v>2786</v>
      </c>
      <c r="C1002" t="s">
        <v>38</v>
      </c>
      <c r="D1002">
        <v>46</v>
      </c>
      <c r="E1002" t="s">
        <v>2809</v>
      </c>
      <c r="F1002" t="s">
        <v>1997</v>
      </c>
      <c r="G1002" t="s">
        <v>1935</v>
      </c>
      <c r="H1002" t="s">
        <v>1935</v>
      </c>
    </row>
    <row r="1003" spans="1:8">
      <c r="A1003" t="s">
        <v>244</v>
      </c>
      <c r="B1003" t="s">
        <v>2786</v>
      </c>
      <c r="C1003" t="s">
        <v>38</v>
      </c>
      <c r="D1003">
        <v>47</v>
      </c>
      <c r="E1003" t="s">
        <v>2810</v>
      </c>
      <c r="F1003" t="s">
        <v>2000</v>
      </c>
      <c r="G1003" t="s">
        <v>1935</v>
      </c>
      <c r="H1003" t="s">
        <v>1935</v>
      </c>
    </row>
    <row r="1004" spans="1:8">
      <c r="A1004" t="s">
        <v>244</v>
      </c>
      <c r="B1004" t="s">
        <v>2786</v>
      </c>
      <c r="C1004" t="s">
        <v>38</v>
      </c>
      <c r="D1004">
        <v>48</v>
      </c>
      <c r="E1004" t="s">
        <v>2810</v>
      </c>
      <c r="F1004" t="s">
        <v>2000</v>
      </c>
      <c r="G1004" t="s">
        <v>1935</v>
      </c>
      <c r="H1004" t="s">
        <v>1935</v>
      </c>
    </row>
    <row r="1005" spans="1:8">
      <c r="A1005" t="s">
        <v>244</v>
      </c>
      <c r="B1005" t="s">
        <v>2786</v>
      </c>
      <c r="C1005" t="s">
        <v>38</v>
      </c>
      <c r="D1005">
        <v>49</v>
      </c>
      <c r="E1005" t="s">
        <v>2811</v>
      </c>
      <c r="F1005" t="s">
        <v>2003</v>
      </c>
      <c r="G1005" t="s">
        <v>1935</v>
      </c>
      <c r="H1005" t="s">
        <v>1935</v>
      </c>
    </row>
    <row r="1006" spans="1:8">
      <c r="A1006" t="s">
        <v>244</v>
      </c>
      <c r="B1006" t="s">
        <v>2786</v>
      </c>
      <c r="C1006" t="s">
        <v>38</v>
      </c>
      <c r="D1006">
        <v>50</v>
      </c>
      <c r="E1006" t="s">
        <v>2811</v>
      </c>
      <c r="F1006" t="s">
        <v>2003</v>
      </c>
      <c r="G1006" t="s">
        <v>1935</v>
      </c>
      <c r="H1006" t="s">
        <v>1935</v>
      </c>
    </row>
    <row r="1007" spans="1:8">
      <c r="A1007" t="s">
        <v>244</v>
      </c>
      <c r="B1007" t="s">
        <v>2786</v>
      </c>
      <c r="C1007" t="s">
        <v>38</v>
      </c>
      <c r="D1007">
        <v>51</v>
      </c>
      <c r="E1007" t="s">
        <v>2812</v>
      </c>
      <c r="F1007" t="s">
        <v>2006</v>
      </c>
      <c r="G1007" t="s">
        <v>1935</v>
      </c>
      <c r="H1007" t="s">
        <v>1935</v>
      </c>
    </row>
    <row r="1008" spans="1:8">
      <c r="A1008" t="s">
        <v>244</v>
      </c>
      <c r="B1008" t="s">
        <v>2786</v>
      </c>
      <c r="C1008" t="s">
        <v>38</v>
      </c>
      <c r="D1008">
        <v>52</v>
      </c>
      <c r="E1008" t="s">
        <v>2812</v>
      </c>
      <c r="F1008" t="s">
        <v>2006</v>
      </c>
      <c r="G1008" t="s">
        <v>1935</v>
      </c>
      <c r="H1008" t="s">
        <v>1935</v>
      </c>
    </row>
    <row r="1009" spans="1:8">
      <c r="A1009" t="s">
        <v>244</v>
      </c>
      <c r="B1009" t="s">
        <v>2786</v>
      </c>
      <c r="C1009" t="s">
        <v>38</v>
      </c>
      <c r="D1009">
        <v>53</v>
      </c>
      <c r="E1009" t="s">
        <v>2813</v>
      </c>
      <c r="F1009" t="s">
        <v>2009</v>
      </c>
      <c r="G1009" t="s">
        <v>1935</v>
      </c>
      <c r="H1009" t="s">
        <v>1935</v>
      </c>
    </row>
    <row r="1010" spans="1:8">
      <c r="A1010" t="s">
        <v>244</v>
      </c>
      <c r="B1010" t="s">
        <v>2786</v>
      </c>
      <c r="C1010" t="s">
        <v>38</v>
      </c>
      <c r="D1010">
        <v>54</v>
      </c>
      <c r="E1010" t="s">
        <v>2813</v>
      </c>
      <c r="F1010" t="s">
        <v>2009</v>
      </c>
      <c r="G1010" t="s">
        <v>1935</v>
      </c>
      <c r="H1010" t="s">
        <v>1935</v>
      </c>
    </row>
    <row r="1011" spans="1:8">
      <c r="A1011" t="s">
        <v>244</v>
      </c>
      <c r="B1011" t="s">
        <v>2786</v>
      </c>
      <c r="C1011" t="s">
        <v>38</v>
      </c>
      <c r="D1011">
        <v>55</v>
      </c>
      <c r="E1011" t="s">
        <v>2814</v>
      </c>
      <c r="F1011" t="s">
        <v>2012</v>
      </c>
      <c r="G1011" t="s">
        <v>1935</v>
      </c>
      <c r="H1011" t="s">
        <v>1935</v>
      </c>
    </row>
    <row r="1012" spans="1:8">
      <c r="A1012" t="s">
        <v>244</v>
      </c>
      <c r="B1012" t="s">
        <v>2786</v>
      </c>
      <c r="C1012" t="s">
        <v>38</v>
      </c>
      <c r="D1012">
        <v>56</v>
      </c>
      <c r="E1012" t="s">
        <v>2814</v>
      </c>
      <c r="F1012" t="s">
        <v>2012</v>
      </c>
      <c r="G1012" t="s">
        <v>1935</v>
      </c>
      <c r="H1012" t="s">
        <v>1935</v>
      </c>
    </row>
    <row r="1013" spans="1:8">
      <c r="A1013" t="s">
        <v>244</v>
      </c>
      <c r="B1013" t="s">
        <v>2786</v>
      </c>
      <c r="C1013" t="s">
        <v>38</v>
      </c>
      <c r="D1013">
        <v>57</v>
      </c>
      <c r="E1013" t="s">
        <v>2815</v>
      </c>
      <c r="F1013" t="s">
        <v>2015</v>
      </c>
      <c r="G1013" t="s">
        <v>1935</v>
      </c>
      <c r="H1013" t="s">
        <v>1935</v>
      </c>
    </row>
    <row r="1014" spans="1:8">
      <c r="A1014" t="s">
        <v>244</v>
      </c>
      <c r="B1014" t="s">
        <v>2786</v>
      </c>
      <c r="C1014" t="s">
        <v>38</v>
      </c>
      <c r="D1014">
        <v>58</v>
      </c>
      <c r="E1014" t="s">
        <v>2815</v>
      </c>
      <c r="F1014" t="s">
        <v>2015</v>
      </c>
      <c r="G1014" t="s">
        <v>1935</v>
      </c>
      <c r="H1014" t="s">
        <v>1935</v>
      </c>
    </row>
    <row r="1015" spans="1:8">
      <c r="A1015" t="s">
        <v>244</v>
      </c>
      <c r="B1015" t="s">
        <v>2786</v>
      </c>
      <c r="C1015" t="s">
        <v>38</v>
      </c>
      <c r="D1015">
        <v>59</v>
      </c>
      <c r="E1015" t="s">
        <v>2816</v>
      </c>
      <c r="F1015" t="s">
        <v>2018</v>
      </c>
      <c r="G1015" t="s">
        <v>1935</v>
      </c>
      <c r="H1015" t="s">
        <v>1935</v>
      </c>
    </row>
    <row r="1016" spans="1:8">
      <c r="A1016" t="s">
        <v>244</v>
      </c>
      <c r="B1016" t="s">
        <v>2786</v>
      </c>
      <c r="C1016" t="s">
        <v>38</v>
      </c>
      <c r="D1016">
        <v>60</v>
      </c>
      <c r="E1016" t="s">
        <v>2816</v>
      </c>
      <c r="F1016" t="s">
        <v>2018</v>
      </c>
      <c r="G1016" t="s">
        <v>1935</v>
      </c>
      <c r="H1016" t="s">
        <v>1935</v>
      </c>
    </row>
    <row r="1017" spans="1:8">
      <c r="A1017" t="s">
        <v>244</v>
      </c>
      <c r="B1017" t="s">
        <v>2786</v>
      </c>
      <c r="C1017" t="s">
        <v>38</v>
      </c>
      <c r="D1017">
        <v>61</v>
      </c>
      <c r="E1017" t="s">
        <v>2817</v>
      </c>
      <c r="F1017" t="s">
        <v>2021</v>
      </c>
      <c r="G1017" t="s">
        <v>1935</v>
      </c>
      <c r="H1017" t="s">
        <v>1935</v>
      </c>
    </row>
    <row r="1018" spans="1:8">
      <c r="A1018" t="s">
        <v>244</v>
      </c>
      <c r="B1018" t="s">
        <v>2786</v>
      </c>
      <c r="C1018" t="s">
        <v>38</v>
      </c>
      <c r="D1018">
        <v>62</v>
      </c>
      <c r="E1018" t="s">
        <v>2817</v>
      </c>
      <c r="F1018" t="s">
        <v>2021</v>
      </c>
      <c r="G1018" t="s">
        <v>1935</v>
      </c>
      <c r="H1018" t="s">
        <v>1935</v>
      </c>
    </row>
    <row r="1019" spans="1:8">
      <c r="A1019" t="s">
        <v>244</v>
      </c>
      <c r="B1019" t="s">
        <v>2786</v>
      </c>
      <c r="C1019" t="s">
        <v>38</v>
      </c>
      <c r="D1019">
        <v>63</v>
      </c>
      <c r="E1019" t="s">
        <v>1107</v>
      </c>
      <c r="F1019" t="s">
        <v>2024</v>
      </c>
      <c r="G1019" t="s">
        <v>1935</v>
      </c>
      <c r="H1019" t="s">
        <v>1935</v>
      </c>
    </row>
    <row r="1020" spans="1:8">
      <c r="A1020" t="s">
        <v>244</v>
      </c>
      <c r="B1020" t="s">
        <v>2786</v>
      </c>
      <c r="C1020" t="s">
        <v>38</v>
      </c>
      <c r="D1020">
        <v>64</v>
      </c>
      <c r="E1020" t="s">
        <v>1107</v>
      </c>
      <c r="F1020" t="s">
        <v>2024</v>
      </c>
      <c r="G1020" t="s">
        <v>1935</v>
      </c>
      <c r="H1020" t="s">
        <v>1935</v>
      </c>
    </row>
    <row r="1021" spans="1:8">
      <c r="A1021" t="s">
        <v>244</v>
      </c>
      <c r="B1021" t="s">
        <v>2786</v>
      </c>
      <c r="C1021" t="s">
        <v>38</v>
      </c>
      <c r="D1021">
        <v>65</v>
      </c>
      <c r="E1021" t="s">
        <v>2818</v>
      </c>
      <c r="F1021" t="s">
        <v>2027</v>
      </c>
      <c r="G1021" t="s">
        <v>1935</v>
      </c>
      <c r="H1021" t="s">
        <v>1935</v>
      </c>
    </row>
    <row r="1022" spans="1:8">
      <c r="A1022" t="s">
        <v>244</v>
      </c>
      <c r="B1022" t="s">
        <v>2786</v>
      </c>
      <c r="C1022" t="s">
        <v>38</v>
      </c>
      <c r="D1022">
        <v>66</v>
      </c>
      <c r="E1022" t="s">
        <v>2818</v>
      </c>
      <c r="F1022" t="s">
        <v>2027</v>
      </c>
      <c r="G1022" t="s">
        <v>1935</v>
      </c>
      <c r="H1022" t="s">
        <v>1935</v>
      </c>
    </row>
    <row r="1023" spans="1:8">
      <c r="A1023" t="s">
        <v>244</v>
      </c>
      <c r="B1023" t="s">
        <v>2786</v>
      </c>
      <c r="C1023" t="s">
        <v>38</v>
      </c>
      <c r="D1023">
        <v>67</v>
      </c>
      <c r="E1023" t="s">
        <v>2819</v>
      </c>
      <c r="F1023" t="s">
        <v>2030</v>
      </c>
      <c r="G1023" t="s">
        <v>1935</v>
      </c>
      <c r="H1023" t="s">
        <v>1935</v>
      </c>
    </row>
    <row r="1024" spans="1:8">
      <c r="A1024" t="s">
        <v>244</v>
      </c>
      <c r="B1024" t="s">
        <v>2786</v>
      </c>
      <c r="C1024" t="s">
        <v>38</v>
      </c>
      <c r="D1024">
        <v>68</v>
      </c>
      <c r="E1024" t="s">
        <v>2819</v>
      </c>
      <c r="F1024" t="s">
        <v>2030</v>
      </c>
      <c r="G1024" t="s">
        <v>1935</v>
      </c>
      <c r="H1024" t="s">
        <v>1935</v>
      </c>
    </row>
    <row r="1025" spans="1:8">
      <c r="A1025" t="s">
        <v>244</v>
      </c>
      <c r="B1025" t="s">
        <v>2786</v>
      </c>
      <c r="C1025" t="s">
        <v>38</v>
      </c>
      <c r="D1025">
        <v>69</v>
      </c>
      <c r="E1025" t="s">
        <v>2820</v>
      </c>
      <c r="F1025" t="s">
        <v>2032</v>
      </c>
      <c r="G1025" t="s">
        <v>1935</v>
      </c>
      <c r="H1025" t="s">
        <v>1935</v>
      </c>
    </row>
    <row r="1026" spans="1:8">
      <c r="A1026" t="s">
        <v>244</v>
      </c>
      <c r="B1026" t="s">
        <v>2786</v>
      </c>
      <c r="C1026" t="s">
        <v>38</v>
      </c>
      <c r="D1026">
        <v>70</v>
      </c>
      <c r="E1026" t="s">
        <v>2820</v>
      </c>
      <c r="F1026" t="s">
        <v>2032</v>
      </c>
      <c r="G1026" t="s">
        <v>1935</v>
      </c>
      <c r="H1026" t="s">
        <v>1935</v>
      </c>
    </row>
    <row r="1027" spans="1:8">
      <c r="A1027" t="s">
        <v>244</v>
      </c>
      <c r="B1027" t="s">
        <v>2786</v>
      </c>
      <c r="C1027" t="s">
        <v>38</v>
      </c>
      <c r="D1027">
        <v>71</v>
      </c>
      <c r="E1027" t="s">
        <v>2821</v>
      </c>
      <c r="F1027" t="s">
        <v>2034</v>
      </c>
      <c r="G1027" t="s">
        <v>1935</v>
      </c>
      <c r="H1027" t="s">
        <v>1935</v>
      </c>
    </row>
    <row r="1028" spans="1:8">
      <c r="A1028" t="s">
        <v>244</v>
      </c>
      <c r="B1028" t="s">
        <v>2786</v>
      </c>
      <c r="C1028" t="s">
        <v>38</v>
      </c>
      <c r="D1028">
        <v>72</v>
      </c>
      <c r="E1028" t="s">
        <v>2821</v>
      </c>
      <c r="F1028" t="s">
        <v>2034</v>
      </c>
      <c r="G1028" t="s">
        <v>1935</v>
      </c>
      <c r="H1028" t="s">
        <v>1935</v>
      </c>
    </row>
    <row r="1029" spans="1:8">
      <c r="A1029" t="s">
        <v>244</v>
      </c>
      <c r="B1029" t="s">
        <v>2786</v>
      </c>
      <c r="C1029" t="s">
        <v>38</v>
      </c>
      <c r="D1029">
        <v>73</v>
      </c>
      <c r="E1029" t="s">
        <v>2822</v>
      </c>
      <c r="F1029" t="s">
        <v>2037</v>
      </c>
      <c r="G1029" t="s">
        <v>1935</v>
      </c>
      <c r="H1029" t="s">
        <v>1935</v>
      </c>
    </row>
    <row r="1030" spans="1:8">
      <c r="A1030" t="s">
        <v>244</v>
      </c>
      <c r="B1030" t="s">
        <v>2786</v>
      </c>
      <c r="C1030" t="s">
        <v>38</v>
      </c>
      <c r="D1030">
        <v>74</v>
      </c>
      <c r="E1030" t="s">
        <v>2822</v>
      </c>
      <c r="F1030" t="s">
        <v>2037</v>
      </c>
      <c r="G1030" t="s">
        <v>1935</v>
      </c>
      <c r="H1030" t="s">
        <v>1935</v>
      </c>
    </row>
    <row r="1031" spans="1:8">
      <c r="A1031" t="s">
        <v>244</v>
      </c>
      <c r="B1031" t="s">
        <v>2786</v>
      </c>
      <c r="C1031" t="s">
        <v>38</v>
      </c>
      <c r="D1031">
        <v>75</v>
      </c>
      <c r="E1031" t="s">
        <v>2823</v>
      </c>
      <c r="F1031" t="s">
        <v>2040</v>
      </c>
      <c r="G1031" t="s">
        <v>1935</v>
      </c>
      <c r="H1031" t="s">
        <v>1935</v>
      </c>
    </row>
    <row r="1032" spans="1:8">
      <c r="A1032" t="s">
        <v>244</v>
      </c>
      <c r="B1032" t="s">
        <v>2786</v>
      </c>
      <c r="C1032" t="s">
        <v>38</v>
      </c>
      <c r="D1032">
        <v>76</v>
      </c>
      <c r="E1032" t="s">
        <v>2823</v>
      </c>
      <c r="F1032" t="s">
        <v>2040</v>
      </c>
      <c r="G1032" t="s">
        <v>1935</v>
      </c>
      <c r="H1032" t="s">
        <v>1935</v>
      </c>
    </row>
    <row r="1033" spans="1:8">
      <c r="A1033" t="s">
        <v>244</v>
      </c>
      <c r="B1033" t="s">
        <v>2786</v>
      </c>
      <c r="C1033" t="s">
        <v>38</v>
      </c>
      <c r="D1033">
        <v>77</v>
      </c>
      <c r="E1033" t="s">
        <v>2824</v>
      </c>
      <c r="F1033" t="s">
        <v>2042</v>
      </c>
      <c r="G1033" t="s">
        <v>1935</v>
      </c>
      <c r="H1033" t="s">
        <v>1935</v>
      </c>
    </row>
    <row r="1034" spans="1:8">
      <c r="A1034" t="s">
        <v>244</v>
      </c>
      <c r="B1034" t="s">
        <v>2786</v>
      </c>
      <c r="C1034" t="s">
        <v>38</v>
      </c>
      <c r="D1034">
        <v>78</v>
      </c>
      <c r="E1034" t="s">
        <v>2824</v>
      </c>
      <c r="F1034" t="s">
        <v>2042</v>
      </c>
      <c r="G1034" t="s">
        <v>1935</v>
      </c>
      <c r="H1034" t="s">
        <v>1935</v>
      </c>
    </row>
    <row r="1035" spans="1:8">
      <c r="A1035" t="s">
        <v>244</v>
      </c>
      <c r="B1035" t="s">
        <v>2786</v>
      </c>
      <c r="C1035" t="s">
        <v>38</v>
      </c>
      <c r="D1035">
        <v>79</v>
      </c>
      <c r="E1035" t="s">
        <v>2825</v>
      </c>
      <c r="F1035" t="s">
        <v>2045</v>
      </c>
      <c r="G1035" t="s">
        <v>1935</v>
      </c>
      <c r="H1035" t="s">
        <v>1935</v>
      </c>
    </row>
    <row r="1036" spans="1:8">
      <c r="A1036" t="s">
        <v>244</v>
      </c>
      <c r="B1036" t="s">
        <v>2786</v>
      </c>
      <c r="C1036" t="s">
        <v>38</v>
      </c>
      <c r="D1036">
        <v>80</v>
      </c>
      <c r="E1036" t="s">
        <v>2825</v>
      </c>
      <c r="F1036" t="s">
        <v>2045</v>
      </c>
      <c r="G1036" t="s">
        <v>1935</v>
      </c>
      <c r="H1036" t="s">
        <v>1935</v>
      </c>
    </row>
    <row r="1037" spans="1:8">
      <c r="A1037" t="s">
        <v>244</v>
      </c>
      <c r="B1037" t="s">
        <v>2786</v>
      </c>
      <c r="C1037" t="s">
        <v>38</v>
      </c>
      <c r="D1037">
        <v>81</v>
      </c>
      <c r="E1037" t="s">
        <v>2826</v>
      </c>
      <c r="F1037" t="s">
        <v>2048</v>
      </c>
      <c r="G1037" t="s">
        <v>1935</v>
      </c>
      <c r="H1037" t="s">
        <v>1935</v>
      </c>
    </row>
    <row r="1038" spans="1:8">
      <c r="A1038" t="s">
        <v>244</v>
      </c>
      <c r="B1038" t="s">
        <v>2786</v>
      </c>
      <c r="C1038" t="s">
        <v>38</v>
      </c>
      <c r="D1038">
        <v>82</v>
      </c>
      <c r="E1038" t="s">
        <v>2826</v>
      </c>
      <c r="F1038" t="s">
        <v>2048</v>
      </c>
      <c r="G1038" t="s">
        <v>1935</v>
      </c>
      <c r="H1038" t="s">
        <v>1935</v>
      </c>
    </row>
    <row r="1039" spans="1:8">
      <c r="A1039" t="s">
        <v>1167</v>
      </c>
      <c r="B1039" t="s">
        <v>1147</v>
      </c>
      <c r="C1039" t="s">
        <v>38</v>
      </c>
      <c r="D1039">
        <v>1</v>
      </c>
      <c r="E1039" t="s">
        <v>2827</v>
      </c>
      <c r="F1039" t="s">
        <v>1935</v>
      </c>
      <c r="G1039" t="s">
        <v>1935</v>
      </c>
      <c r="H1039" t="s">
        <v>1935</v>
      </c>
    </row>
    <row r="1040" spans="1:8">
      <c r="A1040" t="s">
        <v>1166</v>
      </c>
      <c r="B1040" t="s">
        <v>1138</v>
      </c>
      <c r="C1040" t="s">
        <v>38</v>
      </c>
      <c r="D1040">
        <v>1</v>
      </c>
      <c r="E1040" t="s">
        <v>2828</v>
      </c>
      <c r="F1040" t="s">
        <v>1935</v>
      </c>
      <c r="G1040" t="s">
        <v>1935</v>
      </c>
      <c r="H1040" t="s">
        <v>1935</v>
      </c>
    </row>
    <row r="1041" spans="1:8">
      <c r="A1041" t="s">
        <v>1105</v>
      </c>
      <c r="B1041" t="s">
        <v>1124</v>
      </c>
      <c r="C1041" t="s">
        <v>38</v>
      </c>
      <c r="D1041">
        <v>1</v>
      </c>
      <c r="E1041" t="s">
        <v>2829</v>
      </c>
      <c r="F1041" t="s">
        <v>1935</v>
      </c>
      <c r="G1041" t="s">
        <v>1935</v>
      </c>
      <c r="H1041" t="s">
        <v>1935</v>
      </c>
    </row>
    <row r="1042" spans="1:8">
      <c r="A1042" t="s">
        <v>1105</v>
      </c>
      <c r="B1042" t="s">
        <v>1124</v>
      </c>
      <c r="C1042" t="s">
        <v>38</v>
      </c>
      <c r="D1042">
        <v>2</v>
      </c>
      <c r="E1042" t="s">
        <v>2830</v>
      </c>
      <c r="F1042" t="s">
        <v>1935</v>
      </c>
      <c r="G1042" t="s">
        <v>1935</v>
      </c>
      <c r="H1042" t="s">
        <v>1935</v>
      </c>
    </row>
    <row r="1043" spans="1:8">
      <c r="A1043" t="s">
        <v>1105</v>
      </c>
      <c r="B1043" t="s">
        <v>1124</v>
      </c>
      <c r="C1043" t="s">
        <v>38</v>
      </c>
      <c r="D1043">
        <v>3</v>
      </c>
      <c r="E1043" t="s">
        <v>601</v>
      </c>
      <c r="F1043" t="s">
        <v>1935</v>
      </c>
      <c r="G1043" t="s">
        <v>1935</v>
      </c>
      <c r="H1043" t="s">
        <v>1935</v>
      </c>
    </row>
    <row r="1044" spans="1:8">
      <c r="A1044" t="s">
        <v>1105</v>
      </c>
      <c r="B1044" t="s">
        <v>1124</v>
      </c>
      <c r="C1044" t="s">
        <v>38</v>
      </c>
      <c r="D1044">
        <v>4</v>
      </c>
      <c r="E1044" t="s">
        <v>2831</v>
      </c>
      <c r="F1044" t="s">
        <v>1935</v>
      </c>
      <c r="G1044" t="s">
        <v>1935</v>
      </c>
      <c r="H1044" t="s">
        <v>1935</v>
      </c>
    </row>
    <row r="1045" spans="1:8">
      <c r="A1045" t="s">
        <v>1105</v>
      </c>
      <c r="B1045" t="s">
        <v>1125</v>
      </c>
      <c r="C1045" t="s">
        <v>38</v>
      </c>
      <c r="D1045">
        <v>5</v>
      </c>
      <c r="E1045" t="s">
        <v>1755</v>
      </c>
      <c r="F1045" t="s">
        <v>1935</v>
      </c>
      <c r="G1045" t="s">
        <v>1935</v>
      </c>
      <c r="H1045" t="s">
        <v>1935</v>
      </c>
    </row>
    <row r="1046" spans="1:8">
      <c r="A1046" t="s">
        <v>1105</v>
      </c>
      <c r="B1046" t="s">
        <v>1124</v>
      </c>
      <c r="C1046" t="s">
        <v>38</v>
      </c>
      <c r="D1046">
        <v>6</v>
      </c>
      <c r="E1046" t="s">
        <v>322</v>
      </c>
      <c r="F1046" t="s">
        <v>1935</v>
      </c>
      <c r="G1046" t="s">
        <v>1935</v>
      </c>
      <c r="H1046" t="s">
        <v>1935</v>
      </c>
    </row>
    <row r="1047" spans="1:8">
      <c r="A1047" t="s">
        <v>1105</v>
      </c>
      <c r="B1047" t="s">
        <v>1124</v>
      </c>
      <c r="C1047" t="s">
        <v>38</v>
      </c>
      <c r="D1047">
        <v>7</v>
      </c>
      <c r="E1047" t="s">
        <v>2832</v>
      </c>
      <c r="F1047" t="s">
        <v>1935</v>
      </c>
      <c r="G1047" t="s">
        <v>1935</v>
      </c>
      <c r="H1047" t="s">
        <v>1935</v>
      </c>
    </row>
    <row r="1048" spans="1:8">
      <c r="A1048" t="s">
        <v>1105</v>
      </c>
      <c r="B1048" t="s">
        <v>1124</v>
      </c>
      <c r="C1048" t="s">
        <v>38</v>
      </c>
      <c r="D1048">
        <v>8</v>
      </c>
      <c r="E1048" t="s">
        <v>2833</v>
      </c>
      <c r="F1048" t="s">
        <v>1935</v>
      </c>
      <c r="G1048" t="s">
        <v>1935</v>
      </c>
      <c r="H1048" t="s">
        <v>1935</v>
      </c>
    </row>
    <row r="1049" spans="1:8">
      <c r="A1049" t="s">
        <v>1105</v>
      </c>
      <c r="B1049" t="s">
        <v>1124</v>
      </c>
      <c r="C1049" t="s">
        <v>38</v>
      </c>
      <c r="D1049">
        <v>9</v>
      </c>
      <c r="E1049" t="s">
        <v>1921</v>
      </c>
      <c r="F1049" t="s">
        <v>1935</v>
      </c>
      <c r="G1049" t="s">
        <v>1935</v>
      </c>
      <c r="H1049" t="s">
        <v>1935</v>
      </c>
    </row>
    <row r="1050" spans="1:8">
      <c r="A1050" t="s">
        <v>1105</v>
      </c>
      <c r="B1050" t="s">
        <v>1124</v>
      </c>
      <c r="C1050" t="s">
        <v>38</v>
      </c>
      <c r="D1050">
        <v>10</v>
      </c>
      <c r="E1050" t="s">
        <v>2834</v>
      </c>
      <c r="F1050" t="s">
        <v>1935</v>
      </c>
      <c r="G1050" t="s">
        <v>1935</v>
      </c>
      <c r="H1050" t="s">
        <v>1935</v>
      </c>
    </row>
    <row r="1051" spans="1:8">
      <c r="A1051" t="s">
        <v>1105</v>
      </c>
      <c r="B1051" t="s">
        <v>1124</v>
      </c>
      <c r="C1051" t="s">
        <v>38</v>
      </c>
      <c r="D1051">
        <v>11</v>
      </c>
      <c r="E1051" t="s">
        <v>2835</v>
      </c>
      <c r="F1051" t="s">
        <v>1935</v>
      </c>
      <c r="G1051" t="s">
        <v>1935</v>
      </c>
      <c r="H1051" t="s">
        <v>1935</v>
      </c>
    </row>
    <row r="1052" spans="1:8">
      <c r="A1052" t="s">
        <v>1105</v>
      </c>
      <c r="B1052" t="s">
        <v>1097</v>
      </c>
      <c r="C1052" t="s">
        <v>38</v>
      </c>
      <c r="D1052">
        <v>12</v>
      </c>
      <c r="E1052" t="s">
        <v>2836</v>
      </c>
      <c r="F1052" t="s">
        <v>1935</v>
      </c>
      <c r="G1052" t="s">
        <v>1935</v>
      </c>
      <c r="H1052" t="s">
        <v>1935</v>
      </c>
    </row>
    <row r="1053" spans="1:8">
      <c r="A1053" t="s">
        <v>1105</v>
      </c>
      <c r="B1053" t="s">
        <v>1124</v>
      </c>
      <c r="C1053" t="s">
        <v>38</v>
      </c>
      <c r="D1053">
        <v>13</v>
      </c>
      <c r="E1053" t="s">
        <v>328</v>
      </c>
      <c r="F1053" t="s">
        <v>1935</v>
      </c>
      <c r="G1053" t="s">
        <v>1935</v>
      </c>
      <c r="H1053" t="s">
        <v>1935</v>
      </c>
    </row>
    <row r="1054" spans="1:8">
      <c r="A1054" t="s">
        <v>1105</v>
      </c>
      <c r="B1054" t="s">
        <v>1124</v>
      </c>
      <c r="C1054" t="s">
        <v>38</v>
      </c>
      <c r="D1054">
        <v>14</v>
      </c>
      <c r="E1054" t="s">
        <v>328</v>
      </c>
      <c r="F1054" t="s">
        <v>1935</v>
      </c>
      <c r="G1054" t="s">
        <v>1935</v>
      </c>
      <c r="H1054" t="s">
        <v>1935</v>
      </c>
    </row>
    <row r="1055" spans="1:8">
      <c r="A1055" t="s">
        <v>1105</v>
      </c>
      <c r="B1055" t="s">
        <v>1097</v>
      </c>
      <c r="C1055" t="s">
        <v>38</v>
      </c>
      <c r="D1055">
        <v>15</v>
      </c>
      <c r="E1055" t="s">
        <v>2837</v>
      </c>
      <c r="F1055" t="s">
        <v>1935</v>
      </c>
      <c r="G1055" t="s">
        <v>1935</v>
      </c>
      <c r="H1055" t="s">
        <v>1935</v>
      </c>
    </row>
    <row r="1056" spans="1:8">
      <c r="A1056" t="s">
        <v>1105</v>
      </c>
      <c r="B1056" t="s">
        <v>1097</v>
      </c>
      <c r="C1056" t="s">
        <v>38</v>
      </c>
      <c r="D1056">
        <v>16</v>
      </c>
      <c r="E1056" t="s">
        <v>2838</v>
      </c>
      <c r="F1056" t="s">
        <v>1935</v>
      </c>
      <c r="G1056" t="s">
        <v>1935</v>
      </c>
      <c r="H1056" t="s">
        <v>1935</v>
      </c>
    </row>
    <row r="1057" spans="1:8">
      <c r="A1057" t="s">
        <v>1105</v>
      </c>
      <c r="B1057" t="s">
        <v>1124</v>
      </c>
      <c r="C1057" t="s">
        <v>38</v>
      </c>
      <c r="D1057">
        <v>17</v>
      </c>
      <c r="E1057" t="s">
        <v>835</v>
      </c>
      <c r="F1057" t="s">
        <v>1935</v>
      </c>
      <c r="G1057" t="s">
        <v>1935</v>
      </c>
      <c r="H1057" t="s">
        <v>1935</v>
      </c>
    </row>
    <row r="1058" spans="1:8">
      <c r="A1058" t="s">
        <v>1105</v>
      </c>
      <c r="B1058" t="s">
        <v>1097</v>
      </c>
      <c r="C1058" t="s">
        <v>38</v>
      </c>
      <c r="D1058">
        <v>18</v>
      </c>
      <c r="E1058" t="s">
        <v>2839</v>
      </c>
      <c r="F1058" t="s">
        <v>1935</v>
      </c>
      <c r="G1058" t="s">
        <v>1935</v>
      </c>
      <c r="H1058" t="s">
        <v>1935</v>
      </c>
    </row>
    <row r="1059" spans="1:8">
      <c r="A1059" t="s">
        <v>1105</v>
      </c>
      <c r="B1059" t="s">
        <v>1097</v>
      </c>
      <c r="C1059" t="s">
        <v>38</v>
      </c>
      <c r="D1059">
        <v>19</v>
      </c>
      <c r="E1059" t="s">
        <v>2840</v>
      </c>
      <c r="F1059" t="s">
        <v>1935</v>
      </c>
      <c r="G1059" t="s">
        <v>1935</v>
      </c>
      <c r="H1059" t="s">
        <v>1935</v>
      </c>
    </row>
    <row r="1060" spans="1:8">
      <c r="A1060" t="s">
        <v>1105</v>
      </c>
      <c r="B1060" t="s">
        <v>1124</v>
      </c>
      <c r="C1060" t="s">
        <v>38</v>
      </c>
      <c r="D1060">
        <v>20</v>
      </c>
      <c r="E1060" t="s">
        <v>2841</v>
      </c>
      <c r="F1060" t="s">
        <v>1935</v>
      </c>
      <c r="G1060" t="s">
        <v>1935</v>
      </c>
      <c r="H1060" t="s">
        <v>1935</v>
      </c>
    </row>
    <row r="1061" spans="1:8">
      <c r="A1061" t="s">
        <v>1105</v>
      </c>
      <c r="B1061" t="s">
        <v>1124</v>
      </c>
      <c r="C1061" t="s">
        <v>38</v>
      </c>
      <c r="D1061">
        <v>21</v>
      </c>
      <c r="E1061" t="s">
        <v>1655</v>
      </c>
      <c r="F1061" t="s">
        <v>1935</v>
      </c>
      <c r="G1061" t="s">
        <v>1935</v>
      </c>
      <c r="H1061" t="s">
        <v>1935</v>
      </c>
    </row>
    <row r="1062" spans="1:8">
      <c r="A1062" t="s">
        <v>1105</v>
      </c>
      <c r="B1062" t="s">
        <v>1124</v>
      </c>
      <c r="C1062" t="s">
        <v>38</v>
      </c>
      <c r="D1062">
        <v>22</v>
      </c>
      <c r="E1062" t="s">
        <v>2842</v>
      </c>
      <c r="F1062" t="s">
        <v>1935</v>
      </c>
      <c r="G1062" t="s">
        <v>1935</v>
      </c>
      <c r="H1062" t="s">
        <v>1935</v>
      </c>
    </row>
    <row r="1063" spans="1:8">
      <c r="A1063" t="s">
        <v>1105</v>
      </c>
      <c r="B1063" t="s">
        <v>1124</v>
      </c>
      <c r="C1063" t="s">
        <v>38</v>
      </c>
      <c r="D1063">
        <v>23</v>
      </c>
      <c r="E1063" t="s">
        <v>1636</v>
      </c>
      <c r="F1063" t="s">
        <v>1935</v>
      </c>
      <c r="G1063" t="s">
        <v>1935</v>
      </c>
      <c r="H1063" t="s">
        <v>1935</v>
      </c>
    </row>
    <row r="1064" spans="1:8">
      <c r="A1064" t="s">
        <v>1105</v>
      </c>
      <c r="B1064" t="s">
        <v>1124</v>
      </c>
      <c r="C1064" t="s">
        <v>38</v>
      </c>
      <c r="D1064">
        <v>24</v>
      </c>
      <c r="E1064" t="s">
        <v>1636</v>
      </c>
      <c r="F1064" t="s">
        <v>1935</v>
      </c>
      <c r="G1064" t="s">
        <v>1935</v>
      </c>
      <c r="H1064" t="s">
        <v>1935</v>
      </c>
    </row>
    <row r="1065" spans="1:8">
      <c r="A1065" t="s">
        <v>1105</v>
      </c>
      <c r="B1065" t="s">
        <v>1097</v>
      </c>
      <c r="C1065" t="s">
        <v>38</v>
      </c>
      <c r="D1065">
        <v>25</v>
      </c>
      <c r="E1065" t="s">
        <v>2843</v>
      </c>
      <c r="F1065" t="s">
        <v>1935</v>
      </c>
      <c r="G1065" t="s">
        <v>1935</v>
      </c>
      <c r="H1065" t="s">
        <v>1935</v>
      </c>
    </row>
    <row r="1066" spans="1:8">
      <c r="A1066" t="s">
        <v>1105</v>
      </c>
      <c r="B1066" t="s">
        <v>1124</v>
      </c>
      <c r="C1066" t="s">
        <v>38</v>
      </c>
      <c r="D1066">
        <v>26</v>
      </c>
      <c r="E1066" t="s">
        <v>1762</v>
      </c>
      <c r="F1066" t="s">
        <v>1935</v>
      </c>
      <c r="G1066" t="s">
        <v>1935</v>
      </c>
      <c r="H1066" t="s">
        <v>1935</v>
      </c>
    </row>
    <row r="1067" spans="1:8">
      <c r="A1067" t="s">
        <v>1105</v>
      </c>
      <c r="B1067" t="s">
        <v>1124</v>
      </c>
      <c r="C1067" t="s">
        <v>38</v>
      </c>
      <c r="D1067">
        <v>27</v>
      </c>
      <c r="E1067" t="s">
        <v>1509</v>
      </c>
      <c r="F1067" t="s">
        <v>1935</v>
      </c>
      <c r="G1067" t="s">
        <v>1935</v>
      </c>
      <c r="H1067" t="s">
        <v>1935</v>
      </c>
    </row>
    <row r="1068" spans="1:8">
      <c r="A1068" t="s">
        <v>1105</v>
      </c>
      <c r="B1068" t="s">
        <v>1097</v>
      </c>
      <c r="C1068" t="s">
        <v>38</v>
      </c>
      <c r="D1068">
        <v>28</v>
      </c>
      <c r="E1068" t="s">
        <v>2844</v>
      </c>
      <c r="F1068" t="s">
        <v>1935</v>
      </c>
      <c r="G1068" t="s">
        <v>1935</v>
      </c>
      <c r="H1068" t="s">
        <v>1935</v>
      </c>
    </row>
    <row r="1069" spans="1:8">
      <c r="A1069" t="s">
        <v>1105</v>
      </c>
      <c r="B1069" t="s">
        <v>1124</v>
      </c>
      <c r="C1069" t="s">
        <v>38</v>
      </c>
      <c r="D1069">
        <v>29</v>
      </c>
      <c r="E1069" t="s">
        <v>2845</v>
      </c>
      <c r="F1069" t="s">
        <v>1935</v>
      </c>
      <c r="G1069" t="s">
        <v>1935</v>
      </c>
      <c r="H1069" t="s">
        <v>1935</v>
      </c>
    </row>
    <row r="1070" spans="1:8">
      <c r="A1070" t="s">
        <v>1105</v>
      </c>
      <c r="B1070" t="s">
        <v>1124</v>
      </c>
      <c r="C1070" t="s">
        <v>38</v>
      </c>
      <c r="D1070">
        <v>30</v>
      </c>
      <c r="E1070" t="s">
        <v>2846</v>
      </c>
      <c r="F1070" t="s">
        <v>1935</v>
      </c>
      <c r="G1070" t="s">
        <v>1935</v>
      </c>
      <c r="H1070" t="s">
        <v>1935</v>
      </c>
    </row>
    <row r="1071" spans="1:8">
      <c r="A1071" t="s">
        <v>1105</v>
      </c>
      <c r="B1071" t="s">
        <v>1124</v>
      </c>
      <c r="C1071" t="s">
        <v>38</v>
      </c>
      <c r="D1071">
        <v>31</v>
      </c>
      <c r="E1071" t="s">
        <v>2847</v>
      </c>
      <c r="F1071" t="s">
        <v>1935</v>
      </c>
      <c r="G1071" t="s">
        <v>1935</v>
      </c>
      <c r="H1071" t="s">
        <v>1935</v>
      </c>
    </row>
    <row r="1072" spans="1:8">
      <c r="A1072" t="s">
        <v>1105</v>
      </c>
      <c r="B1072" t="s">
        <v>1124</v>
      </c>
      <c r="C1072" t="s">
        <v>38</v>
      </c>
      <c r="D1072">
        <v>32</v>
      </c>
      <c r="E1072" t="s">
        <v>1668</v>
      </c>
      <c r="F1072" t="s">
        <v>1935</v>
      </c>
      <c r="G1072" t="s">
        <v>1935</v>
      </c>
      <c r="H1072" t="s">
        <v>1935</v>
      </c>
    </row>
    <row r="1073" spans="1:8">
      <c r="A1073" t="s">
        <v>1105</v>
      </c>
      <c r="B1073" t="s">
        <v>1097</v>
      </c>
      <c r="C1073" t="s">
        <v>38</v>
      </c>
      <c r="D1073">
        <v>33</v>
      </c>
      <c r="E1073" t="s">
        <v>2848</v>
      </c>
      <c r="F1073" t="s">
        <v>1935</v>
      </c>
      <c r="G1073" t="s">
        <v>1935</v>
      </c>
      <c r="H1073" t="s">
        <v>1935</v>
      </c>
    </row>
    <row r="1074" spans="1:8">
      <c r="A1074" t="s">
        <v>1105</v>
      </c>
      <c r="B1074" t="s">
        <v>1097</v>
      </c>
      <c r="C1074" t="s">
        <v>38</v>
      </c>
      <c r="D1074">
        <v>34</v>
      </c>
      <c r="E1074" t="s">
        <v>2711</v>
      </c>
      <c r="F1074" t="s">
        <v>1935</v>
      </c>
      <c r="G1074" t="s">
        <v>1935</v>
      </c>
      <c r="H1074" t="s">
        <v>1935</v>
      </c>
    </row>
    <row r="1075" spans="1:8">
      <c r="A1075" t="s">
        <v>1105</v>
      </c>
      <c r="B1075" t="s">
        <v>1097</v>
      </c>
      <c r="C1075" t="s">
        <v>38</v>
      </c>
      <c r="D1075">
        <v>35</v>
      </c>
      <c r="E1075" t="s">
        <v>2849</v>
      </c>
      <c r="F1075" t="s">
        <v>1935</v>
      </c>
      <c r="G1075" t="s">
        <v>1935</v>
      </c>
      <c r="H1075" t="s">
        <v>1935</v>
      </c>
    </row>
    <row r="1076" spans="1:8">
      <c r="A1076" t="s">
        <v>1105</v>
      </c>
      <c r="B1076" t="s">
        <v>1124</v>
      </c>
      <c r="C1076" t="s">
        <v>38</v>
      </c>
      <c r="D1076">
        <v>36</v>
      </c>
      <c r="E1076" t="s">
        <v>1487</v>
      </c>
      <c r="F1076" t="s">
        <v>1935</v>
      </c>
      <c r="G1076" t="s">
        <v>1935</v>
      </c>
      <c r="H1076" t="s">
        <v>1935</v>
      </c>
    </row>
    <row r="1077" spans="1:8">
      <c r="A1077" t="s">
        <v>1105</v>
      </c>
      <c r="B1077" t="s">
        <v>1124</v>
      </c>
      <c r="C1077" t="s">
        <v>38</v>
      </c>
      <c r="D1077">
        <v>37</v>
      </c>
      <c r="E1077" t="s">
        <v>2850</v>
      </c>
      <c r="F1077" t="s">
        <v>1935</v>
      </c>
      <c r="G1077" t="s">
        <v>1935</v>
      </c>
      <c r="H1077" t="s">
        <v>1935</v>
      </c>
    </row>
    <row r="1078" spans="1:8">
      <c r="A1078" t="s">
        <v>1105</v>
      </c>
      <c r="B1078" t="s">
        <v>1124</v>
      </c>
      <c r="C1078" t="s">
        <v>38</v>
      </c>
      <c r="D1078">
        <v>38</v>
      </c>
      <c r="E1078" t="s">
        <v>1782</v>
      </c>
      <c r="F1078" t="s">
        <v>1935</v>
      </c>
      <c r="G1078" t="s">
        <v>1935</v>
      </c>
      <c r="H1078" t="s">
        <v>1935</v>
      </c>
    </row>
    <row r="1079" spans="1:8">
      <c r="A1079" t="s">
        <v>1105</v>
      </c>
      <c r="B1079" t="s">
        <v>1124</v>
      </c>
      <c r="C1079" t="s">
        <v>38</v>
      </c>
      <c r="D1079">
        <v>39</v>
      </c>
      <c r="E1079" t="s">
        <v>339</v>
      </c>
      <c r="F1079" t="s">
        <v>1935</v>
      </c>
      <c r="G1079" t="s">
        <v>1935</v>
      </c>
      <c r="H1079" t="s">
        <v>1935</v>
      </c>
    </row>
    <row r="1080" spans="1:8">
      <c r="A1080" t="s">
        <v>1105</v>
      </c>
      <c r="B1080" t="s">
        <v>1124</v>
      </c>
      <c r="C1080" t="s">
        <v>38</v>
      </c>
      <c r="D1080">
        <v>40</v>
      </c>
      <c r="E1080" t="s">
        <v>2851</v>
      </c>
      <c r="F1080" t="s">
        <v>1935</v>
      </c>
      <c r="G1080" t="s">
        <v>1935</v>
      </c>
      <c r="H1080" t="s">
        <v>1935</v>
      </c>
    </row>
    <row r="1081" spans="1:8">
      <c r="A1081" t="s">
        <v>1105</v>
      </c>
      <c r="B1081" t="s">
        <v>1097</v>
      </c>
      <c r="C1081" t="s">
        <v>38</v>
      </c>
      <c r="D1081">
        <v>41</v>
      </c>
      <c r="E1081" t="s">
        <v>829</v>
      </c>
      <c r="F1081" t="s">
        <v>1935</v>
      </c>
      <c r="G1081" t="s">
        <v>1935</v>
      </c>
      <c r="H1081" t="s">
        <v>1935</v>
      </c>
    </row>
    <row r="1082" spans="1:8">
      <c r="A1082" t="s">
        <v>1105</v>
      </c>
      <c r="B1082" t="s">
        <v>1124</v>
      </c>
      <c r="C1082" t="s">
        <v>38</v>
      </c>
      <c r="D1082">
        <v>42</v>
      </c>
      <c r="E1082" t="s">
        <v>2852</v>
      </c>
      <c r="F1082" t="s">
        <v>1935</v>
      </c>
      <c r="G1082" t="s">
        <v>1935</v>
      </c>
      <c r="H1082" t="s">
        <v>1935</v>
      </c>
    </row>
    <row r="1083" spans="1:8">
      <c r="A1083" t="s">
        <v>1105</v>
      </c>
      <c r="B1083" t="s">
        <v>1124</v>
      </c>
      <c r="C1083" t="s">
        <v>38</v>
      </c>
      <c r="D1083">
        <v>43</v>
      </c>
      <c r="E1083" t="s">
        <v>1639</v>
      </c>
      <c r="F1083" t="s">
        <v>1935</v>
      </c>
      <c r="G1083" t="s">
        <v>1935</v>
      </c>
      <c r="H1083" t="s">
        <v>1935</v>
      </c>
    </row>
    <row r="1084" spans="1:8">
      <c r="A1084" t="s">
        <v>1105</v>
      </c>
      <c r="B1084" t="s">
        <v>1124</v>
      </c>
      <c r="C1084" t="s">
        <v>38</v>
      </c>
      <c r="D1084">
        <v>44</v>
      </c>
      <c r="E1084" t="s">
        <v>2853</v>
      </c>
      <c r="F1084" t="s">
        <v>1935</v>
      </c>
      <c r="G1084" t="s">
        <v>1935</v>
      </c>
      <c r="H1084" t="s">
        <v>1935</v>
      </c>
    </row>
    <row r="1085" spans="1:8">
      <c r="A1085" t="s">
        <v>1105</v>
      </c>
      <c r="B1085" t="s">
        <v>1124</v>
      </c>
      <c r="C1085" t="s">
        <v>38</v>
      </c>
      <c r="D1085">
        <v>45</v>
      </c>
      <c r="E1085" t="s">
        <v>1670</v>
      </c>
      <c r="F1085" t="s">
        <v>1935</v>
      </c>
      <c r="G1085" t="s">
        <v>1935</v>
      </c>
      <c r="H1085" t="s">
        <v>1935</v>
      </c>
    </row>
    <row r="1086" spans="1:8">
      <c r="A1086" t="s">
        <v>1105</v>
      </c>
      <c r="B1086" t="s">
        <v>1124</v>
      </c>
      <c r="C1086" t="s">
        <v>38</v>
      </c>
      <c r="D1086">
        <v>46</v>
      </c>
      <c r="E1086" t="s">
        <v>2854</v>
      </c>
      <c r="F1086" t="s">
        <v>1935</v>
      </c>
      <c r="G1086" t="s">
        <v>1935</v>
      </c>
      <c r="H1086" t="s">
        <v>1935</v>
      </c>
    </row>
    <row r="1087" spans="1:8">
      <c r="A1087" t="s">
        <v>1105</v>
      </c>
      <c r="B1087" t="s">
        <v>1124</v>
      </c>
      <c r="C1087" t="s">
        <v>38</v>
      </c>
      <c r="D1087">
        <v>47</v>
      </c>
      <c r="E1087" t="s">
        <v>2855</v>
      </c>
      <c r="F1087" t="s">
        <v>1935</v>
      </c>
      <c r="G1087" t="s">
        <v>1935</v>
      </c>
      <c r="H1087" t="s">
        <v>1935</v>
      </c>
    </row>
    <row r="1088" spans="1:8">
      <c r="A1088" t="s">
        <v>1105</v>
      </c>
      <c r="B1088" t="s">
        <v>1124</v>
      </c>
      <c r="C1088" t="s">
        <v>38</v>
      </c>
      <c r="D1088">
        <v>48</v>
      </c>
      <c r="E1088" t="s">
        <v>2856</v>
      </c>
      <c r="F1088" t="s">
        <v>1935</v>
      </c>
      <c r="G1088" t="s">
        <v>1935</v>
      </c>
      <c r="H1088" t="s">
        <v>1935</v>
      </c>
    </row>
    <row r="1089" spans="1:8">
      <c r="A1089" t="s">
        <v>1105</v>
      </c>
      <c r="B1089" t="s">
        <v>1124</v>
      </c>
      <c r="C1089" t="s">
        <v>38</v>
      </c>
      <c r="D1089">
        <v>49</v>
      </c>
      <c r="E1089" t="s">
        <v>1830</v>
      </c>
      <c r="F1089" t="s">
        <v>1935</v>
      </c>
      <c r="G1089" t="s">
        <v>1935</v>
      </c>
      <c r="H1089" t="s">
        <v>1935</v>
      </c>
    </row>
    <row r="1090" spans="1:8">
      <c r="A1090" t="s">
        <v>1105</v>
      </c>
      <c r="B1090" t="s">
        <v>1124</v>
      </c>
      <c r="C1090" t="s">
        <v>38</v>
      </c>
      <c r="D1090">
        <v>50</v>
      </c>
      <c r="E1090" t="s">
        <v>2857</v>
      </c>
      <c r="F1090" t="s">
        <v>1935</v>
      </c>
      <c r="G1090" t="s">
        <v>1935</v>
      </c>
      <c r="H1090" t="s">
        <v>1935</v>
      </c>
    </row>
    <row r="1091" spans="1:8">
      <c r="A1091" t="s">
        <v>1105</v>
      </c>
      <c r="B1091" t="s">
        <v>1124</v>
      </c>
      <c r="C1091" t="s">
        <v>38</v>
      </c>
      <c r="D1091">
        <v>51</v>
      </c>
      <c r="E1091" t="s">
        <v>1902</v>
      </c>
      <c r="F1091" t="s">
        <v>1935</v>
      </c>
      <c r="G1091" t="s">
        <v>1935</v>
      </c>
      <c r="H1091" t="s">
        <v>1935</v>
      </c>
    </row>
    <row r="1092" spans="1:8">
      <c r="A1092" t="s">
        <v>1105</v>
      </c>
      <c r="B1092" t="s">
        <v>1124</v>
      </c>
      <c r="C1092" t="s">
        <v>38</v>
      </c>
      <c r="D1092">
        <v>52</v>
      </c>
      <c r="E1092" t="s">
        <v>2858</v>
      </c>
      <c r="F1092" t="s">
        <v>1935</v>
      </c>
      <c r="G1092" t="s">
        <v>1935</v>
      </c>
      <c r="H1092" t="s">
        <v>1935</v>
      </c>
    </row>
    <row r="1093" spans="1:8">
      <c r="A1093" t="s">
        <v>1105</v>
      </c>
      <c r="B1093" t="s">
        <v>1124</v>
      </c>
      <c r="C1093" t="s">
        <v>38</v>
      </c>
      <c r="D1093">
        <v>53</v>
      </c>
      <c r="E1093" t="s">
        <v>2859</v>
      </c>
      <c r="F1093" t="s">
        <v>1935</v>
      </c>
      <c r="G1093" t="s">
        <v>1935</v>
      </c>
      <c r="H1093" t="s">
        <v>1935</v>
      </c>
    </row>
    <row r="1094" spans="1:8">
      <c r="A1094" t="s">
        <v>1105</v>
      </c>
      <c r="B1094" t="s">
        <v>1124</v>
      </c>
      <c r="C1094" t="s">
        <v>38</v>
      </c>
      <c r="D1094">
        <v>54</v>
      </c>
      <c r="E1094" t="s">
        <v>2860</v>
      </c>
      <c r="F1094" t="s">
        <v>1935</v>
      </c>
      <c r="G1094" t="s">
        <v>1935</v>
      </c>
      <c r="H1094" t="s">
        <v>1935</v>
      </c>
    </row>
    <row r="1095" spans="1:8">
      <c r="A1095" t="s">
        <v>1105</v>
      </c>
      <c r="B1095" t="s">
        <v>1124</v>
      </c>
      <c r="C1095" t="s">
        <v>38</v>
      </c>
      <c r="D1095">
        <v>55</v>
      </c>
      <c r="E1095" t="s">
        <v>1672</v>
      </c>
      <c r="F1095" t="s">
        <v>1935</v>
      </c>
      <c r="G1095" t="s">
        <v>1935</v>
      </c>
      <c r="H1095" t="s">
        <v>1935</v>
      </c>
    </row>
    <row r="1096" spans="1:8">
      <c r="A1096" t="s">
        <v>1105</v>
      </c>
      <c r="B1096" t="s">
        <v>1124</v>
      </c>
      <c r="C1096" t="s">
        <v>38</v>
      </c>
      <c r="D1096">
        <v>56</v>
      </c>
      <c r="E1096" t="s">
        <v>1900</v>
      </c>
      <c r="F1096" t="s">
        <v>1935</v>
      </c>
      <c r="G1096" t="s">
        <v>1935</v>
      </c>
      <c r="H1096" t="s">
        <v>1935</v>
      </c>
    </row>
    <row r="1097" spans="1:8">
      <c r="A1097" t="s">
        <v>1105</v>
      </c>
      <c r="B1097" t="s">
        <v>1124</v>
      </c>
      <c r="C1097" t="s">
        <v>38</v>
      </c>
      <c r="D1097">
        <v>57</v>
      </c>
      <c r="E1097" t="s">
        <v>1482</v>
      </c>
      <c r="F1097" t="s">
        <v>1935</v>
      </c>
      <c r="G1097" t="s">
        <v>1935</v>
      </c>
      <c r="H1097" t="s">
        <v>1935</v>
      </c>
    </row>
    <row r="1098" spans="1:8">
      <c r="A1098" t="s">
        <v>1105</v>
      </c>
      <c r="B1098" t="s">
        <v>1124</v>
      </c>
      <c r="C1098" t="s">
        <v>38</v>
      </c>
      <c r="D1098">
        <v>58</v>
      </c>
      <c r="E1098" t="s">
        <v>2861</v>
      </c>
      <c r="F1098" t="s">
        <v>1935</v>
      </c>
      <c r="G1098" t="s">
        <v>1935</v>
      </c>
      <c r="H1098" t="s">
        <v>1935</v>
      </c>
    </row>
    <row r="1099" spans="1:8">
      <c r="A1099" t="s">
        <v>1105</v>
      </c>
      <c r="B1099" t="s">
        <v>1124</v>
      </c>
      <c r="C1099" t="s">
        <v>38</v>
      </c>
      <c r="D1099">
        <v>59</v>
      </c>
      <c r="E1099" t="s">
        <v>2862</v>
      </c>
      <c r="F1099" t="s">
        <v>1935</v>
      </c>
      <c r="G1099" t="s">
        <v>1935</v>
      </c>
      <c r="H1099" t="s">
        <v>1935</v>
      </c>
    </row>
    <row r="1100" spans="1:8">
      <c r="A1100" t="s">
        <v>1105</v>
      </c>
      <c r="B1100" t="s">
        <v>1124</v>
      </c>
      <c r="C1100" t="s">
        <v>38</v>
      </c>
      <c r="D1100">
        <v>60</v>
      </c>
      <c r="E1100" t="s">
        <v>2863</v>
      </c>
      <c r="F1100" t="s">
        <v>1935</v>
      </c>
      <c r="G1100" t="s">
        <v>1935</v>
      </c>
      <c r="H1100" t="s">
        <v>1935</v>
      </c>
    </row>
    <row r="1101" spans="1:8">
      <c r="A1101" t="s">
        <v>1105</v>
      </c>
      <c r="B1101" t="s">
        <v>1124</v>
      </c>
      <c r="C1101" t="s">
        <v>38</v>
      </c>
      <c r="D1101">
        <v>61</v>
      </c>
      <c r="E1101" t="s">
        <v>2864</v>
      </c>
      <c r="F1101" t="s">
        <v>1935</v>
      </c>
      <c r="G1101" t="s">
        <v>1935</v>
      </c>
      <c r="H1101" t="s">
        <v>1935</v>
      </c>
    </row>
    <row r="1102" spans="1:8">
      <c r="A1102" t="s">
        <v>1105</v>
      </c>
      <c r="B1102" t="s">
        <v>1124</v>
      </c>
      <c r="C1102" t="s">
        <v>38</v>
      </c>
      <c r="D1102">
        <v>62</v>
      </c>
      <c r="E1102" t="s">
        <v>336</v>
      </c>
      <c r="F1102" t="s">
        <v>1935</v>
      </c>
      <c r="G1102" t="s">
        <v>1935</v>
      </c>
      <c r="H1102" t="s">
        <v>1935</v>
      </c>
    </row>
    <row r="1103" spans="1:8">
      <c r="A1103" t="s">
        <v>1105</v>
      </c>
      <c r="B1103" t="s">
        <v>1124</v>
      </c>
      <c r="C1103" t="s">
        <v>38</v>
      </c>
      <c r="D1103">
        <v>63</v>
      </c>
      <c r="E1103" t="s">
        <v>2865</v>
      </c>
      <c r="F1103" t="s">
        <v>1935</v>
      </c>
      <c r="G1103" t="s">
        <v>1935</v>
      </c>
      <c r="H1103" t="s">
        <v>1935</v>
      </c>
    </row>
    <row r="1104" spans="1:8">
      <c r="A1104" t="s">
        <v>1105</v>
      </c>
      <c r="B1104" t="s">
        <v>1124</v>
      </c>
      <c r="C1104" t="s">
        <v>38</v>
      </c>
      <c r="D1104">
        <v>64</v>
      </c>
      <c r="E1104" t="s">
        <v>1633</v>
      </c>
      <c r="F1104" t="s">
        <v>1935</v>
      </c>
      <c r="G1104" t="s">
        <v>1935</v>
      </c>
      <c r="H1104" t="s">
        <v>1935</v>
      </c>
    </row>
    <row r="1105" spans="1:8">
      <c r="A1105" t="s">
        <v>1105</v>
      </c>
      <c r="B1105" t="s">
        <v>1097</v>
      </c>
      <c r="C1105" t="s">
        <v>38</v>
      </c>
      <c r="D1105">
        <v>65</v>
      </c>
      <c r="E1105" t="s">
        <v>2866</v>
      </c>
      <c r="F1105" t="s">
        <v>1935</v>
      </c>
      <c r="G1105" t="s">
        <v>1935</v>
      </c>
      <c r="H1105" t="s">
        <v>1935</v>
      </c>
    </row>
    <row r="1106" spans="1:8">
      <c r="A1106" t="s">
        <v>1105</v>
      </c>
      <c r="B1106" t="s">
        <v>1124</v>
      </c>
      <c r="C1106" t="s">
        <v>38</v>
      </c>
      <c r="D1106">
        <v>66</v>
      </c>
      <c r="E1106" t="s">
        <v>1634</v>
      </c>
      <c r="F1106" t="s">
        <v>1935</v>
      </c>
      <c r="G1106" t="s">
        <v>1935</v>
      </c>
      <c r="H1106" t="s">
        <v>1935</v>
      </c>
    </row>
    <row r="1107" spans="1:8">
      <c r="A1107" t="s">
        <v>1105</v>
      </c>
      <c r="B1107" t="s">
        <v>1124</v>
      </c>
      <c r="C1107" t="s">
        <v>38</v>
      </c>
      <c r="D1107">
        <v>67</v>
      </c>
      <c r="E1107" t="s">
        <v>1901</v>
      </c>
      <c r="F1107" t="s">
        <v>1935</v>
      </c>
      <c r="G1107" t="s">
        <v>1935</v>
      </c>
      <c r="H1107" t="s">
        <v>1935</v>
      </c>
    </row>
    <row r="1108" spans="1:8">
      <c r="A1108" t="s">
        <v>1105</v>
      </c>
      <c r="B1108" t="s">
        <v>1097</v>
      </c>
      <c r="C1108" t="s">
        <v>38</v>
      </c>
      <c r="D1108">
        <v>68</v>
      </c>
      <c r="E1108" t="s">
        <v>2867</v>
      </c>
      <c r="F1108" t="s">
        <v>1935</v>
      </c>
      <c r="G1108" t="s">
        <v>1935</v>
      </c>
      <c r="H1108" t="s">
        <v>1935</v>
      </c>
    </row>
    <row r="1109" spans="1:8">
      <c r="A1109" t="s">
        <v>1105</v>
      </c>
      <c r="B1109" t="s">
        <v>1097</v>
      </c>
      <c r="C1109" t="s">
        <v>38</v>
      </c>
      <c r="D1109">
        <v>69</v>
      </c>
      <c r="E1109" t="s">
        <v>2726</v>
      </c>
      <c r="F1109" t="s">
        <v>1935</v>
      </c>
      <c r="G1109" t="s">
        <v>1935</v>
      </c>
      <c r="H1109" t="s">
        <v>1935</v>
      </c>
    </row>
    <row r="1110" spans="1:8">
      <c r="A1110" t="s">
        <v>1105</v>
      </c>
      <c r="B1110" t="s">
        <v>1097</v>
      </c>
      <c r="C1110" t="s">
        <v>38</v>
      </c>
      <c r="D1110">
        <v>70</v>
      </c>
      <c r="E1110" t="s">
        <v>2868</v>
      </c>
      <c r="F1110" t="s">
        <v>1935</v>
      </c>
      <c r="G1110" t="s">
        <v>1935</v>
      </c>
      <c r="H1110" t="s">
        <v>1935</v>
      </c>
    </row>
    <row r="1111" spans="1:8">
      <c r="A1111" t="s">
        <v>1105</v>
      </c>
      <c r="B1111" t="s">
        <v>1124</v>
      </c>
      <c r="C1111" t="s">
        <v>38</v>
      </c>
      <c r="D1111">
        <v>71</v>
      </c>
      <c r="E1111" t="s">
        <v>1772</v>
      </c>
      <c r="F1111" t="s">
        <v>1935</v>
      </c>
      <c r="G1111" t="s">
        <v>1935</v>
      </c>
      <c r="H1111" t="s">
        <v>1935</v>
      </c>
    </row>
    <row r="1112" spans="1:8">
      <c r="A1112" t="s">
        <v>1105</v>
      </c>
      <c r="B1112" t="s">
        <v>1124</v>
      </c>
      <c r="C1112" t="s">
        <v>38</v>
      </c>
      <c r="D1112">
        <v>72</v>
      </c>
      <c r="E1112" t="s">
        <v>1731</v>
      </c>
      <c r="F1112" t="s">
        <v>1935</v>
      </c>
      <c r="G1112" t="s">
        <v>1935</v>
      </c>
      <c r="H1112" t="s">
        <v>1935</v>
      </c>
    </row>
    <row r="1113" spans="1:8">
      <c r="A1113" t="s">
        <v>1105</v>
      </c>
      <c r="B1113" t="s">
        <v>1124</v>
      </c>
      <c r="C1113" t="s">
        <v>38</v>
      </c>
      <c r="D1113">
        <v>73</v>
      </c>
      <c r="E1113" t="s">
        <v>1738</v>
      </c>
      <c r="F1113" t="s">
        <v>1935</v>
      </c>
      <c r="G1113" t="s">
        <v>1935</v>
      </c>
      <c r="H1113" t="s">
        <v>1935</v>
      </c>
    </row>
    <row r="1114" spans="1:8">
      <c r="A1114" t="s">
        <v>1105</v>
      </c>
      <c r="B1114" t="s">
        <v>1124</v>
      </c>
      <c r="C1114" t="s">
        <v>38</v>
      </c>
      <c r="D1114">
        <v>74</v>
      </c>
      <c r="E1114" t="s">
        <v>2869</v>
      </c>
      <c r="F1114" t="s">
        <v>1935</v>
      </c>
      <c r="G1114" t="s">
        <v>1935</v>
      </c>
      <c r="H1114" t="s">
        <v>1935</v>
      </c>
    </row>
    <row r="1115" spans="1:8">
      <c r="A1115" t="s">
        <v>1105</v>
      </c>
      <c r="B1115" t="s">
        <v>1124</v>
      </c>
      <c r="C1115" t="s">
        <v>38</v>
      </c>
      <c r="D1115">
        <v>75</v>
      </c>
      <c r="E1115" t="s">
        <v>2870</v>
      </c>
      <c r="F1115" t="s">
        <v>1935</v>
      </c>
      <c r="G1115" t="s">
        <v>1935</v>
      </c>
      <c r="H1115" t="s">
        <v>1935</v>
      </c>
    </row>
    <row r="1116" spans="1:8">
      <c r="A1116" t="s">
        <v>1105</v>
      </c>
      <c r="B1116" t="s">
        <v>1124</v>
      </c>
      <c r="C1116" t="s">
        <v>38</v>
      </c>
      <c r="D1116">
        <v>76</v>
      </c>
      <c r="E1116" t="s">
        <v>2871</v>
      </c>
      <c r="F1116" t="s">
        <v>1935</v>
      </c>
      <c r="G1116" t="s">
        <v>1935</v>
      </c>
      <c r="H1116" t="s">
        <v>1935</v>
      </c>
    </row>
    <row r="1117" spans="1:8">
      <c r="A1117" t="s">
        <v>1105</v>
      </c>
      <c r="B1117" t="s">
        <v>1097</v>
      </c>
      <c r="C1117" t="s">
        <v>38</v>
      </c>
      <c r="D1117">
        <v>77</v>
      </c>
      <c r="E1117" t="s">
        <v>2648</v>
      </c>
      <c r="F1117" t="s">
        <v>1935</v>
      </c>
      <c r="G1117" t="s">
        <v>1935</v>
      </c>
      <c r="H1117" t="s">
        <v>1935</v>
      </c>
    </row>
    <row r="1118" spans="1:8">
      <c r="A1118" t="s">
        <v>1105</v>
      </c>
      <c r="B1118" t="s">
        <v>1124</v>
      </c>
      <c r="C1118" t="s">
        <v>38</v>
      </c>
      <c r="D1118">
        <v>78</v>
      </c>
      <c r="E1118" t="s">
        <v>2872</v>
      </c>
      <c r="F1118" t="s">
        <v>1935</v>
      </c>
      <c r="G1118" t="s">
        <v>1935</v>
      </c>
      <c r="H1118" t="s">
        <v>1935</v>
      </c>
    </row>
    <row r="1119" spans="1:8">
      <c r="A1119" t="s">
        <v>1105</v>
      </c>
      <c r="B1119" t="s">
        <v>1097</v>
      </c>
      <c r="C1119" t="s">
        <v>38</v>
      </c>
      <c r="D1119">
        <v>79</v>
      </c>
      <c r="E1119" t="s">
        <v>2873</v>
      </c>
      <c r="F1119" t="s">
        <v>1935</v>
      </c>
      <c r="G1119" t="s">
        <v>1935</v>
      </c>
      <c r="H1119" t="s">
        <v>1935</v>
      </c>
    </row>
    <row r="1120" spans="1:8">
      <c r="A1120" t="s">
        <v>1105</v>
      </c>
      <c r="B1120" t="s">
        <v>1124</v>
      </c>
      <c r="C1120" t="s">
        <v>38</v>
      </c>
      <c r="D1120">
        <v>80</v>
      </c>
      <c r="E1120" t="s">
        <v>2874</v>
      </c>
      <c r="F1120" t="s">
        <v>1935</v>
      </c>
      <c r="G1120" t="s">
        <v>1935</v>
      </c>
      <c r="H1120" t="s">
        <v>1935</v>
      </c>
    </row>
    <row r="1121" spans="1:8">
      <c r="A1121" t="s">
        <v>1105</v>
      </c>
      <c r="B1121" t="s">
        <v>1124</v>
      </c>
      <c r="C1121" t="s">
        <v>38</v>
      </c>
      <c r="D1121">
        <v>81</v>
      </c>
      <c r="E1121" t="s">
        <v>2875</v>
      </c>
      <c r="F1121" t="s">
        <v>1935</v>
      </c>
      <c r="G1121" t="s">
        <v>1935</v>
      </c>
      <c r="H1121" t="s">
        <v>1935</v>
      </c>
    </row>
    <row r="1122" spans="1:8">
      <c r="A1122" t="s">
        <v>1105</v>
      </c>
      <c r="B1122" t="s">
        <v>1124</v>
      </c>
      <c r="C1122" t="s">
        <v>38</v>
      </c>
      <c r="D1122">
        <v>82</v>
      </c>
      <c r="E1122" t="s">
        <v>2876</v>
      </c>
      <c r="F1122" t="s">
        <v>1935</v>
      </c>
      <c r="G1122" t="s">
        <v>1935</v>
      </c>
      <c r="H1122" t="s">
        <v>1935</v>
      </c>
    </row>
    <row r="1123" spans="1:8">
      <c r="A1123" t="s">
        <v>1105</v>
      </c>
      <c r="B1123" t="s">
        <v>1124</v>
      </c>
      <c r="C1123" t="s">
        <v>38</v>
      </c>
      <c r="D1123">
        <v>83</v>
      </c>
      <c r="E1123" t="s">
        <v>1659</v>
      </c>
      <c r="F1123" t="s">
        <v>1935</v>
      </c>
      <c r="G1123" t="s">
        <v>1935</v>
      </c>
      <c r="H1123" t="s">
        <v>1935</v>
      </c>
    </row>
    <row r="1124" spans="1:8">
      <c r="A1124" t="s">
        <v>1105</v>
      </c>
      <c r="B1124" t="s">
        <v>1124</v>
      </c>
      <c r="C1124" t="s">
        <v>38</v>
      </c>
      <c r="D1124">
        <v>84</v>
      </c>
      <c r="E1124" t="s">
        <v>2877</v>
      </c>
      <c r="F1124" t="s">
        <v>1935</v>
      </c>
      <c r="G1124" t="s">
        <v>1935</v>
      </c>
      <c r="H1124" t="s">
        <v>1935</v>
      </c>
    </row>
    <row r="1125" spans="1:8">
      <c r="A1125" t="s">
        <v>1105</v>
      </c>
      <c r="B1125" t="s">
        <v>1097</v>
      </c>
      <c r="C1125" t="s">
        <v>38</v>
      </c>
      <c r="D1125">
        <v>85</v>
      </c>
      <c r="E1125" t="s">
        <v>2878</v>
      </c>
      <c r="F1125" t="s">
        <v>1935</v>
      </c>
      <c r="G1125" t="s">
        <v>1935</v>
      </c>
      <c r="H1125" t="s">
        <v>1935</v>
      </c>
    </row>
    <row r="1126" spans="1:8">
      <c r="A1126" t="s">
        <v>1105</v>
      </c>
      <c r="B1126" t="s">
        <v>1124</v>
      </c>
      <c r="C1126" t="s">
        <v>38</v>
      </c>
      <c r="D1126">
        <v>86</v>
      </c>
      <c r="E1126" t="s">
        <v>2879</v>
      </c>
      <c r="F1126" t="s">
        <v>1935</v>
      </c>
      <c r="G1126" t="s">
        <v>1935</v>
      </c>
      <c r="H1126" t="s">
        <v>1935</v>
      </c>
    </row>
    <row r="1127" spans="1:8">
      <c r="A1127" t="s">
        <v>1105</v>
      </c>
      <c r="B1127" t="s">
        <v>1097</v>
      </c>
      <c r="C1127" t="s">
        <v>38</v>
      </c>
      <c r="D1127">
        <v>87</v>
      </c>
      <c r="E1127" t="s">
        <v>2880</v>
      </c>
      <c r="F1127" t="s">
        <v>1935</v>
      </c>
      <c r="G1127" t="s">
        <v>1935</v>
      </c>
      <c r="H1127" t="s">
        <v>1935</v>
      </c>
    </row>
    <row r="1128" spans="1:8">
      <c r="A1128" t="s">
        <v>1105</v>
      </c>
      <c r="B1128" t="s">
        <v>1097</v>
      </c>
      <c r="C1128" t="s">
        <v>38</v>
      </c>
      <c r="D1128">
        <v>88</v>
      </c>
      <c r="E1128" t="s">
        <v>2421</v>
      </c>
      <c r="F1128" t="s">
        <v>1935</v>
      </c>
      <c r="G1128" t="s">
        <v>1935</v>
      </c>
      <c r="H1128" t="s">
        <v>1935</v>
      </c>
    </row>
    <row r="1129" spans="1:8">
      <c r="A1129" t="s">
        <v>267</v>
      </c>
      <c r="B1129" t="s">
        <v>1025</v>
      </c>
      <c r="C1129" t="s">
        <v>38</v>
      </c>
      <c r="D1129">
        <v>1</v>
      </c>
      <c r="E1129" t="s">
        <v>2904</v>
      </c>
      <c r="F1129" t="s">
        <v>1935</v>
      </c>
      <c r="G1129" t="s">
        <v>1935</v>
      </c>
      <c r="H1129" t="s">
        <v>78</v>
      </c>
    </row>
    <row r="1130" spans="1:8">
      <c r="A1130" t="s">
        <v>267</v>
      </c>
      <c r="B1130" t="s">
        <v>1025</v>
      </c>
      <c r="C1130" t="s">
        <v>38</v>
      </c>
      <c r="D1130">
        <v>2</v>
      </c>
      <c r="E1130" t="s">
        <v>2882</v>
      </c>
      <c r="F1130" t="s">
        <v>1935</v>
      </c>
      <c r="G1130" t="s">
        <v>1935</v>
      </c>
      <c r="H1130" t="s">
        <v>78</v>
      </c>
    </row>
    <row r="1131" spans="1:8">
      <c r="A1131" t="s">
        <v>267</v>
      </c>
      <c r="B1131" t="s">
        <v>1025</v>
      </c>
      <c r="C1131" t="s">
        <v>38</v>
      </c>
      <c r="D1131">
        <v>3</v>
      </c>
      <c r="E1131" t="s">
        <v>2883</v>
      </c>
      <c r="F1131" t="s">
        <v>1935</v>
      </c>
      <c r="G1131" t="s">
        <v>1935</v>
      </c>
      <c r="H1131" t="s">
        <v>78</v>
      </c>
    </row>
    <row r="1132" spans="1:8">
      <c r="A1132" t="s">
        <v>267</v>
      </c>
      <c r="B1132" t="s">
        <v>1025</v>
      </c>
      <c r="C1132" t="s">
        <v>38</v>
      </c>
      <c r="D1132">
        <v>4</v>
      </c>
      <c r="E1132" t="s">
        <v>2884</v>
      </c>
      <c r="F1132" t="s">
        <v>1935</v>
      </c>
      <c r="G1132" t="s">
        <v>1935</v>
      </c>
      <c r="H1132" t="s">
        <v>78</v>
      </c>
    </row>
    <row r="1133" spans="1:8">
      <c r="A1133" t="s">
        <v>267</v>
      </c>
      <c r="B1133" t="s">
        <v>1025</v>
      </c>
      <c r="C1133" t="s">
        <v>38</v>
      </c>
      <c r="D1133">
        <v>5</v>
      </c>
      <c r="E1133" t="s">
        <v>2885</v>
      </c>
      <c r="F1133" t="s">
        <v>1935</v>
      </c>
      <c r="G1133" t="s">
        <v>1935</v>
      </c>
      <c r="H1133" t="s">
        <v>78</v>
      </c>
    </row>
    <row r="1134" spans="1:8">
      <c r="A1134" t="s">
        <v>267</v>
      </c>
      <c r="B1134" t="s">
        <v>1025</v>
      </c>
      <c r="C1134" t="s">
        <v>38</v>
      </c>
      <c r="D1134">
        <v>6</v>
      </c>
      <c r="E1134" t="s">
        <v>2886</v>
      </c>
      <c r="F1134" t="s">
        <v>1935</v>
      </c>
      <c r="G1134" t="s">
        <v>1935</v>
      </c>
      <c r="H1134" t="s">
        <v>78</v>
      </c>
    </row>
    <row r="1135" spans="1:8">
      <c r="A1135" t="s">
        <v>267</v>
      </c>
      <c r="B1135" t="s">
        <v>1025</v>
      </c>
      <c r="C1135" t="s">
        <v>38</v>
      </c>
      <c r="D1135">
        <v>7</v>
      </c>
      <c r="E1135" t="s">
        <v>2905</v>
      </c>
      <c r="F1135" t="s">
        <v>1935</v>
      </c>
      <c r="G1135" t="s">
        <v>1935</v>
      </c>
      <c r="H1135" t="s">
        <v>78</v>
      </c>
    </row>
    <row r="1136" spans="1:8">
      <c r="A1136" t="s">
        <v>267</v>
      </c>
      <c r="B1136" t="s">
        <v>1025</v>
      </c>
      <c r="C1136" t="s">
        <v>38</v>
      </c>
      <c r="D1136">
        <v>8</v>
      </c>
      <c r="E1136" t="s">
        <v>2891</v>
      </c>
      <c r="F1136" t="s">
        <v>1935</v>
      </c>
      <c r="G1136" t="s">
        <v>1935</v>
      </c>
      <c r="H1136" t="s">
        <v>78</v>
      </c>
    </row>
    <row r="1137" spans="1:8">
      <c r="A1137" t="s">
        <v>267</v>
      </c>
      <c r="B1137" t="s">
        <v>1025</v>
      </c>
      <c r="C1137" t="s">
        <v>38</v>
      </c>
      <c r="D1137">
        <v>9</v>
      </c>
      <c r="E1137" t="s">
        <v>2906</v>
      </c>
      <c r="F1137" t="s">
        <v>1935</v>
      </c>
      <c r="G1137" t="s">
        <v>1935</v>
      </c>
      <c r="H1137" t="s">
        <v>78</v>
      </c>
    </row>
    <row r="1138" spans="1:8">
      <c r="A1138" t="s">
        <v>267</v>
      </c>
      <c r="B1138" t="s">
        <v>1025</v>
      </c>
      <c r="C1138" t="s">
        <v>38</v>
      </c>
      <c r="D1138">
        <v>10</v>
      </c>
      <c r="E1138" t="s">
        <v>2892</v>
      </c>
      <c r="F1138" t="s">
        <v>1935</v>
      </c>
      <c r="G1138" t="s">
        <v>1935</v>
      </c>
      <c r="H1138" t="s">
        <v>78</v>
      </c>
    </row>
    <row r="1139" spans="1:8">
      <c r="A1139" t="s">
        <v>267</v>
      </c>
      <c r="B1139" t="s">
        <v>1025</v>
      </c>
      <c r="C1139" t="s">
        <v>38</v>
      </c>
      <c r="D1139">
        <v>11</v>
      </c>
      <c r="E1139" t="s">
        <v>2893</v>
      </c>
      <c r="F1139" t="s">
        <v>1935</v>
      </c>
      <c r="G1139" t="s">
        <v>1935</v>
      </c>
      <c r="H1139" t="s">
        <v>78</v>
      </c>
    </row>
    <row r="1140" spans="1:8">
      <c r="A1140" t="s">
        <v>267</v>
      </c>
      <c r="B1140" t="s">
        <v>1025</v>
      </c>
      <c r="C1140" t="s">
        <v>38</v>
      </c>
      <c r="D1140">
        <v>12</v>
      </c>
      <c r="E1140" t="s">
        <v>2894</v>
      </c>
      <c r="F1140" t="s">
        <v>1935</v>
      </c>
      <c r="G1140" t="s">
        <v>1935</v>
      </c>
      <c r="H1140" t="s">
        <v>78</v>
      </c>
    </row>
    <row r="1141" spans="1:8">
      <c r="A1141" t="s">
        <v>267</v>
      </c>
      <c r="B1141" t="s">
        <v>1025</v>
      </c>
      <c r="C1141" t="s">
        <v>38</v>
      </c>
      <c r="D1141">
        <v>13</v>
      </c>
      <c r="E1141" t="s">
        <v>2895</v>
      </c>
      <c r="F1141" t="s">
        <v>1935</v>
      </c>
      <c r="G1141" t="s">
        <v>1935</v>
      </c>
      <c r="H1141" t="s">
        <v>78</v>
      </c>
    </row>
    <row r="1142" spans="1:8">
      <c r="A1142" t="s">
        <v>267</v>
      </c>
      <c r="B1142" t="s">
        <v>1025</v>
      </c>
      <c r="C1142" t="s">
        <v>38</v>
      </c>
      <c r="D1142">
        <v>14</v>
      </c>
      <c r="E1142" t="s">
        <v>2907</v>
      </c>
      <c r="F1142" t="s">
        <v>1935</v>
      </c>
      <c r="G1142" t="s">
        <v>1935</v>
      </c>
      <c r="H1142" t="s">
        <v>78</v>
      </c>
    </row>
    <row r="1143" spans="1:8">
      <c r="A1143" t="s">
        <v>267</v>
      </c>
      <c r="B1143" t="s">
        <v>1025</v>
      </c>
      <c r="C1143" t="s">
        <v>38</v>
      </c>
      <c r="D1143">
        <v>15</v>
      </c>
      <c r="E1143" t="s">
        <v>2896</v>
      </c>
      <c r="F1143" t="s">
        <v>1935</v>
      </c>
      <c r="G1143" t="s">
        <v>1935</v>
      </c>
      <c r="H1143" t="s">
        <v>78</v>
      </c>
    </row>
    <row r="1144" spans="1:8">
      <c r="A1144" t="s">
        <v>267</v>
      </c>
      <c r="B1144" t="s">
        <v>1025</v>
      </c>
      <c r="C1144" t="s">
        <v>38</v>
      </c>
      <c r="D1144">
        <v>16</v>
      </c>
      <c r="E1144" t="s">
        <v>2908</v>
      </c>
      <c r="F1144" t="s">
        <v>1935</v>
      </c>
      <c r="G1144" t="s">
        <v>1935</v>
      </c>
      <c r="H1144" t="s">
        <v>78</v>
      </c>
    </row>
    <row r="1145" spans="1:8">
      <c r="A1145" t="s">
        <v>267</v>
      </c>
      <c r="B1145" t="s">
        <v>1025</v>
      </c>
      <c r="C1145" t="s">
        <v>38</v>
      </c>
      <c r="D1145">
        <v>17</v>
      </c>
      <c r="E1145" t="s">
        <v>2897</v>
      </c>
      <c r="F1145" t="s">
        <v>1935</v>
      </c>
      <c r="G1145" t="s">
        <v>1935</v>
      </c>
      <c r="H1145" t="s">
        <v>78</v>
      </c>
    </row>
    <row r="1146" spans="1:8">
      <c r="A1146" t="s">
        <v>267</v>
      </c>
      <c r="B1146" t="s">
        <v>1025</v>
      </c>
      <c r="C1146" t="s">
        <v>38</v>
      </c>
      <c r="D1146">
        <v>18</v>
      </c>
      <c r="E1146" t="s">
        <v>2898</v>
      </c>
      <c r="F1146" t="s">
        <v>1935</v>
      </c>
      <c r="G1146" t="s">
        <v>1935</v>
      </c>
      <c r="H1146" t="s">
        <v>78</v>
      </c>
    </row>
    <row r="1147" spans="1:8">
      <c r="A1147" t="s">
        <v>267</v>
      </c>
      <c r="B1147" t="s">
        <v>1025</v>
      </c>
      <c r="C1147" t="s">
        <v>38</v>
      </c>
      <c r="D1147">
        <v>19</v>
      </c>
      <c r="E1147" t="s">
        <v>2928</v>
      </c>
      <c r="F1147" t="s">
        <v>1935</v>
      </c>
      <c r="G1147" t="s">
        <v>1935</v>
      </c>
      <c r="H1147" t="s">
        <v>78</v>
      </c>
    </row>
    <row r="1148" spans="1:8">
      <c r="A1148" t="s">
        <v>267</v>
      </c>
      <c r="B1148" t="s">
        <v>1025</v>
      </c>
      <c r="C1148" t="s">
        <v>38</v>
      </c>
      <c r="D1148">
        <v>20</v>
      </c>
      <c r="E1148" t="s">
        <v>2899</v>
      </c>
      <c r="F1148" t="s">
        <v>1935</v>
      </c>
      <c r="G1148" t="s">
        <v>1935</v>
      </c>
      <c r="H1148" t="s">
        <v>78</v>
      </c>
    </row>
    <row r="1149" spans="1:8">
      <c r="A1149" t="s">
        <v>267</v>
      </c>
      <c r="B1149" t="s">
        <v>1025</v>
      </c>
      <c r="C1149" t="s">
        <v>38</v>
      </c>
      <c r="D1149">
        <v>21</v>
      </c>
      <c r="E1149" t="s">
        <v>2909</v>
      </c>
      <c r="F1149" t="s">
        <v>1935</v>
      </c>
      <c r="G1149" t="s">
        <v>1935</v>
      </c>
      <c r="H1149" t="s">
        <v>78</v>
      </c>
    </row>
    <row r="1150" spans="1:8">
      <c r="A1150" t="s">
        <v>267</v>
      </c>
      <c r="B1150" t="s">
        <v>1025</v>
      </c>
      <c r="C1150" t="s">
        <v>38</v>
      </c>
      <c r="D1150">
        <v>22</v>
      </c>
      <c r="E1150" t="s">
        <v>2900</v>
      </c>
      <c r="F1150" t="s">
        <v>1935</v>
      </c>
      <c r="G1150" t="s">
        <v>1935</v>
      </c>
      <c r="H1150" t="s">
        <v>78</v>
      </c>
    </row>
    <row r="1151" spans="1:8">
      <c r="A1151" t="s">
        <v>267</v>
      </c>
      <c r="B1151" t="s">
        <v>1025</v>
      </c>
      <c r="C1151" t="s">
        <v>38</v>
      </c>
      <c r="D1151">
        <v>23</v>
      </c>
      <c r="E1151" t="s">
        <v>2910</v>
      </c>
      <c r="F1151" t="s">
        <v>1935</v>
      </c>
      <c r="G1151" t="s">
        <v>1935</v>
      </c>
      <c r="H1151" t="s">
        <v>78</v>
      </c>
    </row>
    <row r="1152" spans="1:8">
      <c r="A1152" t="s">
        <v>267</v>
      </c>
      <c r="B1152" t="s">
        <v>1025</v>
      </c>
      <c r="C1152" t="s">
        <v>38</v>
      </c>
      <c r="D1152">
        <v>24</v>
      </c>
      <c r="E1152" t="s">
        <v>2901</v>
      </c>
      <c r="F1152" t="s">
        <v>1935</v>
      </c>
      <c r="G1152" t="s">
        <v>1935</v>
      </c>
      <c r="H1152" t="s">
        <v>78</v>
      </c>
    </row>
    <row r="1153" spans="1:8">
      <c r="A1153" t="s">
        <v>267</v>
      </c>
      <c r="B1153" t="s">
        <v>1025</v>
      </c>
      <c r="C1153" t="s">
        <v>38</v>
      </c>
      <c r="D1153">
        <v>25</v>
      </c>
      <c r="E1153" t="s">
        <v>2902</v>
      </c>
      <c r="F1153" t="s">
        <v>1935</v>
      </c>
      <c r="G1153" t="s">
        <v>1935</v>
      </c>
      <c r="H1153" t="s">
        <v>78</v>
      </c>
    </row>
    <row r="1154" spans="1:8">
      <c r="A1154" t="s">
        <v>267</v>
      </c>
      <c r="B1154" t="s">
        <v>1025</v>
      </c>
      <c r="C1154" t="s">
        <v>38</v>
      </c>
      <c r="D1154">
        <v>26</v>
      </c>
      <c r="E1154" t="s">
        <v>2911</v>
      </c>
      <c r="F1154" t="s">
        <v>1935</v>
      </c>
      <c r="G1154" t="s">
        <v>1935</v>
      </c>
      <c r="H1154" t="s">
        <v>78</v>
      </c>
    </row>
    <row r="1155" spans="1:8">
      <c r="A1155" t="s">
        <v>267</v>
      </c>
      <c r="B1155" t="s">
        <v>1025</v>
      </c>
      <c r="C1155" t="s">
        <v>38</v>
      </c>
      <c r="D1155">
        <v>27</v>
      </c>
      <c r="E1155" t="s">
        <v>2988</v>
      </c>
      <c r="F1155" t="s">
        <v>1935</v>
      </c>
      <c r="G1155" t="s">
        <v>1935</v>
      </c>
      <c r="H1155" t="s">
        <v>78</v>
      </c>
    </row>
    <row r="1156" spans="1:8">
      <c r="A1156" t="s">
        <v>267</v>
      </c>
      <c r="B1156" t="s">
        <v>1025</v>
      </c>
      <c r="C1156" t="s">
        <v>38</v>
      </c>
      <c r="D1156">
        <v>28</v>
      </c>
      <c r="E1156" t="s">
        <v>2912</v>
      </c>
      <c r="F1156" t="s">
        <v>1935</v>
      </c>
      <c r="G1156" t="s">
        <v>1935</v>
      </c>
      <c r="H1156" t="s">
        <v>78</v>
      </c>
    </row>
    <row r="1157" spans="1:8">
      <c r="A1157" t="s">
        <v>267</v>
      </c>
      <c r="B1157" t="s">
        <v>1025</v>
      </c>
      <c r="C1157" t="s">
        <v>38</v>
      </c>
      <c r="D1157">
        <v>29</v>
      </c>
      <c r="E1157" t="s">
        <v>2913</v>
      </c>
      <c r="F1157" t="s">
        <v>1935</v>
      </c>
      <c r="G1157" t="s">
        <v>1935</v>
      </c>
      <c r="H1157" t="s">
        <v>78</v>
      </c>
    </row>
    <row r="1158" spans="1:8">
      <c r="A1158" t="s">
        <v>267</v>
      </c>
      <c r="B1158" t="s">
        <v>1025</v>
      </c>
      <c r="C1158" t="s">
        <v>38</v>
      </c>
      <c r="D1158">
        <v>30</v>
      </c>
      <c r="E1158" t="s">
        <v>2989</v>
      </c>
      <c r="F1158" t="s">
        <v>1935</v>
      </c>
      <c r="G1158" t="s">
        <v>1935</v>
      </c>
      <c r="H1158" t="s">
        <v>78</v>
      </c>
    </row>
    <row r="1159" spans="1:8">
      <c r="A1159" t="s">
        <v>267</v>
      </c>
      <c r="B1159" t="s">
        <v>1025</v>
      </c>
      <c r="C1159" t="s">
        <v>38</v>
      </c>
      <c r="D1159">
        <v>31</v>
      </c>
      <c r="E1159" t="s">
        <v>2914</v>
      </c>
      <c r="F1159" t="s">
        <v>1935</v>
      </c>
      <c r="G1159" t="s">
        <v>1935</v>
      </c>
      <c r="H1159" t="s">
        <v>78</v>
      </c>
    </row>
    <row r="1160" spans="1:8">
      <c r="A1160" t="s">
        <v>267</v>
      </c>
      <c r="B1160" t="s">
        <v>1025</v>
      </c>
      <c r="C1160" t="s">
        <v>38</v>
      </c>
      <c r="D1160">
        <v>32</v>
      </c>
      <c r="E1160" t="s">
        <v>2915</v>
      </c>
      <c r="F1160" t="s">
        <v>1935</v>
      </c>
      <c r="G1160" t="s">
        <v>1935</v>
      </c>
      <c r="H1160" t="s">
        <v>78</v>
      </c>
    </row>
    <row r="1161" spans="1:8">
      <c r="A1161" t="s">
        <v>267</v>
      </c>
      <c r="B1161" t="s">
        <v>1025</v>
      </c>
      <c r="C1161" t="s">
        <v>38</v>
      </c>
      <c r="D1161">
        <v>33</v>
      </c>
      <c r="E1161" t="s">
        <v>2990</v>
      </c>
      <c r="F1161" t="s">
        <v>1935</v>
      </c>
      <c r="G1161" t="s">
        <v>1935</v>
      </c>
      <c r="H1161" t="s">
        <v>78</v>
      </c>
    </row>
    <row r="1162" spans="1:8">
      <c r="A1162" t="s">
        <v>267</v>
      </c>
      <c r="B1162" t="s">
        <v>1025</v>
      </c>
      <c r="C1162" t="s">
        <v>38</v>
      </c>
      <c r="D1162">
        <v>34</v>
      </c>
      <c r="E1162" t="s">
        <v>2916</v>
      </c>
      <c r="F1162" t="s">
        <v>1935</v>
      </c>
      <c r="G1162" t="s">
        <v>1935</v>
      </c>
      <c r="H1162" t="s">
        <v>78</v>
      </c>
    </row>
    <row r="1163" spans="1:8">
      <c r="A1163" t="s">
        <v>267</v>
      </c>
      <c r="B1163" t="s">
        <v>1025</v>
      </c>
      <c r="C1163" t="s">
        <v>38</v>
      </c>
      <c r="D1163">
        <v>35</v>
      </c>
      <c r="E1163" t="s">
        <v>2917</v>
      </c>
      <c r="F1163" t="s">
        <v>1935</v>
      </c>
      <c r="G1163" t="s">
        <v>1935</v>
      </c>
      <c r="H1163" t="s">
        <v>78</v>
      </c>
    </row>
    <row r="1164" spans="1:8">
      <c r="A1164" t="s">
        <v>267</v>
      </c>
      <c r="B1164" t="s">
        <v>1025</v>
      </c>
      <c r="C1164" t="s">
        <v>38</v>
      </c>
      <c r="D1164">
        <v>36</v>
      </c>
      <c r="E1164" t="s">
        <v>2991</v>
      </c>
      <c r="F1164" t="s">
        <v>1935</v>
      </c>
      <c r="G1164" t="s">
        <v>1935</v>
      </c>
      <c r="H1164" t="s">
        <v>78</v>
      </c>
    </row>
    <row r="1165" spans="1:8">
      <c r="A1165" t="s">
        <v>267</v>
      </c>
      <c r="B1165" t="s">
        <v>1025</v>
      </c>
      <c r="C1165" t="s">
        <v>38</v>
      </c>
      <c r="D1165">
        <v>37</v>
      </c>
      <c r="E1165" t="s">
        <v>2918</v>
      </c>
      <c r="F1165" t="s">
        <v>1935</v>
      </c>
      <c r="G1165" t="s">
        <v>1935</v>
      </c>
      <c r="H1165" t="s">
        <v>78</v>
      </c>
    </row>
    <row r="1166" spans="1:8">
      <c r="A1166" t="s">
        <v>267</v>
      </c>
      <c r="B1166" t="s">
        <v>1025</v>
      </c>
      <c r="C1166" t="s">
        <v>38</v>
      </c>
      <c r="D1166">
        <v>38</v>
      </c>
      <c r="E1166" t="s">
        <v>2919</v>
      </c>
      <c r="F1166" t="s">
        <v>1935</v>
      </c>
      <c r="G1166" t="s">
        <v>1935</v>
      </c>
      <c r="H1166" t="s">
        <v>78</v>
      </c>
    </row>
    <row r="1167" spans="1:8">
      <c r="A1167" t="s">
        <v>267</v>
      </c>
      <c r="B1167" t="s">
        <v>1025</v>
      </c>
      <c r="C1167" t="s">
        <v>38</v>
      </c>
      <c r="D1167">
        <v>39</v>
      </c>
      <c r="E1167" t="s">
        <v>2920</v>
      </c>
      <c r="F1167" t="s">
        <v>1935</v>
      </c>
      <c r="G1167" t="s">
        <v>1935</v>
      </c>
      <c r="H1167" t="s">
        <v>78</v>
      </c>
    </row>
    <row r="1168" spans="1:8">
      <c r="A1168" t="s">
        <v>267</v>
      </c>
      <c r="B1168" t="s">
        <v>1025</v>
      </c>
      <c r="C1168" t="s">
        <v>38</v>
      </c>
      <c r="D1168">
        <v>40</v>
      </c>
      <c r="E1168" t="s">
        <v>2921</v>
      </c>
      <c r="F1168" t="s">
        <v>1935</v>
      </c>
      <c r="G1168" t="s">
        <v>1935</v>
      </c>
      <c r="H1168" t="s">
        <v>78</v>
      </c>
    </row>
    <row r="1169" spans="1:8">
      <c r="A1169" t="s">
        <v>267</v>
      </c>
      <c r="B1169" t="s">
        <v>1025</v>
      </c>
      <c r="C1169" t="s">
        <v>38</v>
      </c>
      <c r="D1169">
        <v>41</v>
      </c>
      <c r="E1169" t="s">
        <v>2922</v>
      </c>
      <c r="F1169" t="s">
        <v>1935</v>
      </c>
      <c r="G1169" t="s">
        <v>1935</v>
      </c>
      <c r="H1169" t="s">
        <v>78</v>
      </c>
    </row>
    <row r="1170" spans="1:8">
      <c r="A1170" t="s">
        <v>267</v>
      </c>
      <c r="B1170" t="s">
        <v>1025</v>
      </c>
      <c r="C1170" t="s">
        <v>38</v>
      </c>
      <c r="D1170">
        <v>42</v>
      </c>
      <c r="E1170" t="s">
        <v>2992</v>
      </c>
      <c r="F1170" t="s">
        <v>1935</v>
      </c>
      <c r="G1170" t="s">
        <v>1935</v>
      </c>
      <c r="H1170" t="s">
        <v>78</v>
      </c>
    </row>
    <row r="1171" spans="1:8">
      <c r="A1171" t="s">
        <v>267</v>
      </c>
      <c r="B1171" t="s">
        <v>1025</v>
      </c>
      <c r="C1171" t="s">
        <v>38</v>
      </c>
      <c r="D1171">
        <v>43</v>
      </c>
      <c r="E1171" t="s">
        <v>2923</v>
      </c>
      <c r="F1171" t="s">
        <v>1935</v>
      </c>
      <c r="G1171" t="s">
        <v>1935</v>
      </c>
      <c r="H1171" t="s">
        <v>78</v>
      </c>
    </row>
    <row r="1172" spans="1:8">
      <c r="A1172" t="s">
        <v>267</v>
      </c>
      <c r="B1172" t="s">
        <v>1025</v>
      </c>
      <c r="C1172" t="s">
        <v>38</v>
      </c>
      <c r="D1172">
        <v>44</v>
      </c>
      <c r="E1172" t="s">
        <v>2924</v>
      </c>
      <c r="F1172" t="s">
        <v>1935</v>
      </c>
      <c r="G1172" t="s">
        <v>1935</v>
      </c>
      <c r="H1172" t="s">
        <v>78</v>
      </c>
    </row>
    <row r="1173" spans="1:8">
      <c r="A1173" t="s">
        <v>267</v>
      </c>
      <c r="B1173" t="s">
        <v>1025</v>
      </c>
      <c r="C1173" t="s">
        <v>38</v>
      </c>
      <c r="D1173">
        <v>45</v>
      </c>
      <c r="E1173" t="s">
        <v>2993</v>
      </c>
      <c r="F1173" t="s">
        <v>1935</v>
      </c>
      <c r="G1173" t="s">
        <v>1935</v>
      </c>
      <c r="H1173" t="s">
        <v>78</v>
      </c>
    </row>
    <row r="1174" spans="1:8">
      <c r="A1174" t="s">
        <v>267</v>
      </c>
      <c r="B1174" t="s">
        <v>1025</v>
      </c>
      <c r="C1174" t="s">
        <v>38</v>
      </c>
      <c r="D1174">
        <v>46</v>
      </c>
      <c r="E1174" t="s">
        <v>2925</v>
      </c>
      <c r="F1174" t="s">
        <v>1935</v>
      </c>
      <c r="G1174" t="s">
        <v>1935</v>
      </c>
      <c r="H1174" t="s">
        <v>78</v>
      </c>
    </row>
    <row r="1175" spans="1:8">
      <c r="A1175" t="s">
        <v>267</v>
      </c>
      <c r="B1175" t="s">
        <v>1025</v>
      </c>
      <c r="C1175" t="s">
        <v>38</v>
      </c>
      <c r="D1175">
        <v>47</v>
      </c>
      <c r="E1175" t="s">
        <v>2926</v>
      </c>
      <c r="F1175" t="s">
        <v>1935</v>
      </c>
      <c r="G1175" t="s">
        <v>1935</v>
      </c>
      <c r="H1175" t="s">
        <v>78</v>
      </c>
    </row>
    <row r="1176" spans="1:8">
      <c r="A1176" t="s">
        <v>267</v>
      </c>
      <c r="B1176" t="s">
        <v>1025</v>
      </c>
      <c r="C1176" t="s">
        <v>38</v>
      </c>
      <c r="D1176">
        <v>48</v>
      </c>
      <c r="E1176" t="s">
        <v>2994</v>
      </c>
      <c r="F1176" t="s">
        <v>1935</v>
      </c>
      <c r="G1176" t="s">
        <v>1935</v>
      </c>
      <c r="H1176" t="s">
        <v>78</v>
      </c>
    </row>
    <row r="1177" spans="1:8">
      <c r="A1177" t="s">
        <v>267</v>
      </c>
      <c r="B1177" t="s">
        <v>1025</v>
      </c>
      <c r="C1177" t="s">
        <v>38</v>
      </c>
      <c r="D1177">
        <v>49</v>
      </c>
      <c r="E1177" t="s">
        <v>2927</v>
      </c>
      <c r="F1177" t="s">
        <v>1935</v>
      </c>
      <c r="G1177" t="s">
        <v>1935</v>
      </c>
      <c r="H1177" t="s">
        <v>78</v>
      </c>
    </row>
    <row r="1178" spans="1:8">
      <c r="A1178" t="s">
        <v>267</v>
      </c>
      <c r="B1178" t="s">
        <v>1025</v>
      </c>
      <c r="C1178" t="s">
        <v>38</v>
      </c>
      <c r="D1178">
        <v>50</v>
      </c>
      <c r="E1178" t="s">
        <v>2888</v>
      </c>
      <c r="F1178" t="s">
        <v>1935</v>
      </c>
      <c r="G1178" t="s">
        <v>1935</v>
      </c>
      <c r="H1178" t="s">
        <v>78</v>
      </c>
    </row>
    <row r="1179" spans="1:8">
      <c r="A1179" t="s">
        <v>267</v>
      </c>
      <c r="B1179" t="s">
        <v>1025</v>
      </c>
      <c r="C1179" t="s">
        <v>38</v>
      </c>
      <c r="D1179">
        <v>51</v>
      </c>
      <c r="E1179" t="s">
        <v>2881</v>
      </c>
      <c r="F1179" t="s">
        <v>1935</v>
      </c>
      <c r="G1179" t="s">
        <v>1935</v>
      </c>
      <c r="H1179" t="s">
        <v>78</v>
      </c>
    </row>
    <row r="1180" spans="1:8">
      <c r="A1180" t="s">
        <v>267</v>
      </c>
      <c r="B1180" t="s">
        <v>1025</v>
      </c>
      <c r="C1180" t="s">
        <v>38</v>
      </c>
      <c r="D1180">
        <v>52</v>
      </c>
      <c r="E1180" t="s">
        <v>2903</v>
      </c>
      <c r="F1180" t="s">
        <v>1935</v>
      </c>
      <c r="G1180" t="s">
        <v>1935</v>
      </c>
      <c r="H1180" t="s">
        <v>78</v>
      </c>
    </row>
    <row r="1181" spans="1:8">
      <c r="A1181" t="s">
        <v>267</v>
      </c>
      <c r="B1181" t="s">
        <v>1025</v>
      </c>
      <c r="C1181" t="s">
        <v>38</v>
      </c>
      <c r="D1181">
        <v>53</v>
      </c>
      <c r="E1181" t="s">
        <v>2890</v>
      </c>
      <c r="F1181" t="s">
        <v>1935</v>
      </c>
      <c r="G1181" t="s">
        <v>1935</v>
      </c>
      <c r="H1181" t="s">
        <v>78</v>
      </c>
    </row>
    <row r="1182" spans="1:8">
      <c r="A1182" t="s">
        <v>267</v>
      </c>
      <c r="B1182" t="s">
        <v>1025</v>
      </c>
      <c r="C1182" t="s">
        <v>38</v>
      </c>
      <c r="D1182">
        <v>54</v>
      </c>
      <c r="E1182" t="s">
        <v>2889</v>
      </c>
      <c r="F1182" t="s">
        <v>1935</v>
      </c>
      <c r="G1182" t="s">
        <v>1935</v>
      </c>
      <c r="H1182" t="s">
        <v>78</v>
      </c>
    </row>
    <row r="1183" spans="1:8">
      <c r="A1183" t="s">
        <v>267</v>
      </c>
      <c r="B1183" t="s">
        <v>1025</v>
      </c>
      <c r="C1183" t="s">
        <v>38</v>
      </c>
      <c r="D1183">
        <v>55</v>
      </c>
      <c r="E1183" t="s">
        <v>2887</v>
      </c>
      <c r="F1183" t="s">
        <v>1935</v>
      </c>
      <c r="G1183" t="s">
        <v>1935</v>
      </c>
      <c r="H1183" t="s">
        <v>78</v>
      </c>
    </row>
    <row r="1184" spans="1:8">
      <c r="A1184" t="s">
        <v>266</v>
      </c>
      <c r="B1184" t="s">
        <v>1024</v>
      </c>
      <c r="C1184" t="s">
        <v>242</v>
      </c>
      <c r="D1184">
        <v>1</v>
      </c>
      <c r="E1184" t="s">
        <v>2680</v>
      </c>
      <c r="F1184" t="s">
        <v>1935</v>
      </c>
      <c r="G1184" t="s">
        <v>1935</v>
      </c>
      <c r="H1184" t="s">
        <v>78</v>
      </c>
    </row>
    <row r="1185" spans="1:8">
      <c r="A1185" t="s">
        <v>266</v>
      </c>
      <c r="B1185" t="s">
        <v>1024</v>
      </c>
      <c r="C1185" t="s">
        <v>242</v>
      </c>
      <c r="D1185">
        <v>2</v>
      </c>
      <c r="E1185" t="s">
        <v>2681</v>
      </c>
      <c r="F1185" t="s">
        <v>1935</v>
      </c>
      <c r="G1185" t="s">
        <v>1935</v>
      </c>
      <c r="H1185" t="s">
        <v>78</v>
      </c>
    </row>
    <row r="1186" spans="1:8">
      <c r="A1186" t="s">
        <v>266</v>
      </c>
      <c r="B1186" t="s">
        <v>1024</v>
      </c>
      <c r="C1186" t="s">
        <v>242</v>
      </c>
      <c r="D1186">
        <v>3</v>
      </c>
      <c r="E1186" t="s">
        <v>1379</v>
      </c>
      <c r="F1186" t="s">
        <v>1935</v>
      </c>
      <c r="G1186" t="s">
        <v>1935</v>
      </c>
      <c r="H1186" t="s">
        <v>78</v>
      </c>
    </row>
    <row r="1187" spans="1:8">
      <c r="A1187" t="s">
        <v>266</v>
      </c>
      <c r="B1187" t="s">
        <v>1024</v>
      </c>
      <c r="C1187" t="s">
        <v>242</v>
      </c>
      <c r="D1187">
        <v>4</v>
      </c>
      <c r="E1187" t="s">
        <v>1471</v>
      </c>
      <c r="F1187" t="s">
        <v>1935</v>
      </c>
      <c r="G1187" t="s">
        <v>1935</v>
      </c>
      <c r="H1187" t="s">
        <v>78</v>
      </c>
    </row>
    <row r="1188" spans="1:8">
      <c r="A1188" t="s">
        <v>266</v>
      </c>
      <c r="B1188" t="s">
        <v>1024</v>
      </c>
      <c r="C1188" t="s">
        <v>242</v>
      </c>
      <c r="D1188">
        <v>5</v>
      </c>
      <c r="E1188" t="s">
        <v>2929</v>
      </c>
      <c r="F1188" t="s">
        <v>1935</v>
      </c>
      <c r="G1188" t="s">
        <v>1935</v>
      </c>
      <c r="H1188" t="s">
        <v>78</v>
      </c>
    </row>
    <row r="1189" spans="1:8">
      <c r="A1189" t="s">
        <v>266</v>
      </c>
      <c r="B1189" t="s">
        <v>1024</v>
      </c>
      <c r="C1189" t="s">
        <v>242</v>
      </c>
      <c r="D1189">
        <v>6</v>
      </c>
      <c r="E1189" t="s">
        <v>2930</v>
      </c>
      <c r="F1189" t="s">
        <v>1935</v>
      </c>
      <c r="G1189" t="s">
        <v>1935</v>
      </c>
      <c r="H1189" t="s">
        <v>78</v>
      </c>
    </row>
    <row r="1190" spans="1:8">
      <c r="A1190" t="s">
        <v>266</v>
      </c>
      <c r="B1190" t="s">
        <v>1024</v>
      </c>
      <c r="C1190" t="s">
        <v>242</v>
      </c>
      <c r="D1190">
        <v>7</v>
      </c>
      <c r="E1190" t="s">
        <v>2931</v>
      </c>
      <c r="F1190" t="s">
        <v>1935</v>
      </c>
      <c r="G1190" t="s">
        <v>1935</v>
      </c>
      <c r="H1190" t="s">
        <v>78</v>
      </c>
    </row>
    <row r="1191" spans="1:8">
      <c r="A1191" t="s">
        <v>266</v>
      </c>
      <c r="B1191" t="s">
        <v>1024</v>
      </c>
      <c r="C1191" t="s">
        <v>242</v>
      </c>
      <c r="D1191">
        <v>8</v>
      </c>
      <c r="E1191" t="s">
        <v>2682</v>
      </c>
      <c r="F1191" t="s">
        <v>1935</v>
      </c>
      <c r="G1191" t="s">
        <v>1935</v>
      </c>
      <c r="H1191" t="s">
        <v>78</v>
      </c>
    </row>
    <row r="1192" spans="1:8">
      <c r="A1192" t="s">
        <v>266</v>
      </c>
      <c r="B1192" t="s">
        <v>1024</v>
      </c>
      <c r="C1192" t="s">
        <v>242</v>
      </c>
      <c r="D1192">
        <v>9</v>
      </c>
      <c r="E1192" t="s">
        <v>2038</v>
      </c>
      <c r="F1192" t="s">
        <v>1935</v>
      </c>
      <c r="G1192" t="s">
        <v>1935</v>
      </c>
      <c r="H1192" t="s">
        <v>78</v>
      </c>
    </row>
    <row r="1193" spans="1:8">
      <c r="A1193" t="s">
        <v>266</v>
      </c>
      <c r="B1193" t="s">
        <v>1024</v>
      </c>
      <c r="C1193" t="s">
        <v>242</v>
      </c>
      <c r="D1193">
        <v>10</v>
      </c>
      <c r="E1193" t="s">
        <v>2932</v>
      </c>
      <c r="F1193" t="s">
        <v>1935</v>
      </c>
      <c r="G1193" t="s">
        <v>1935</v>
      </c>
      <c r="H1193" t="s">
        <v>78</v>
      </c>
    </row>
    <row r="1194" spans="1:8">
      <c r="A1194" t="s">
        <v>266</v>
      </c>
      <c r="B1194" t="s">
        <v>1024</v>
      </c>
      <c r="C1194" t="s">
        <v>242</v>
      </c>
      <c r="D1194">
        <v>11</v>
      </c>
      <c r="E1194" t="s">
        <v>2933</v>
      </c>
      <c r="F1194" t="s">
        <v>1935</v>
      </c>
      <c r="G1194" t="s">
        <v>1935</v>
      </c>
      <c r="H1194" t="s">
        <v>78</v>
      </c>
    </row>
    <row r="1195" spans="1:8">
      <c r="A1195" t="s">
        <v>266</v>
      </c>
      <c r="B1195" t="s">
        <v>1024</v>
      </c>
      <c r="C1195" t="s">
        <v>242</v>
      </c>
      <c r="D1195">
        <v>12</v>
      </c>
      <c r="E1195" t="s">
        <v>2934</v>
      </c>
      <c r="F1195" t="s">
        <v>1935</v>
      </c>
      <c r="G1195" t="s">
        <v>1935</v>
      </c>
      <c r="H1195" t="s">
        <v>78</v>
      </c>
    </row>
    <row r="1196" spans="1:8">
      <c r="A1196" t="s">
        <v>266</v>
      </c>
      <c r="B1196" t="s">
        <v>1024</v>
      </c>
      <c r="C1196" t="s">
        <v>242</v>
      </c>
      <c r="D1196">
        <v>13</v>
      </c>
      <c r="E1196" t="s">
        <v>2935</v>
      </c>
      <c r="F1196" t="s">
        <v>1935</v>
      </c>
      <c r="G1196" t="s">
        <v>1935</v>
      </c>
      <c r="H1196" t="s">
        <v>78</v>
      </c>
    </row>
    <row r="1197" spans="1:8">
      <c r="A1197" t="s">
        <v>266</v>
      </c>
      <c r="B1197" t="s">
        <v>1024</v>
      </c>
      <c r="C1197" t="s">
        <v>242</v>
      </c>
      <c r="D1197">
        <v>14</v>
      </c>
      <c r="E1197" t="s">
        <v>2936</v>
      </c>
      <c r="F1197" t="s">
        <v>1935</v>
      </c>
      <c r="G1197" t="s">
        <v>1935</v>
      </c>
      <c r="H1197" t="s">
        <v>78</v>
      </c>
    </row>
    <row r="1198" spans="1:8">
      <c r="A1198" t="s">
        <v>266</v>
      </c>
      <c r="B1198" t="s">
        <v>1024</v>
      </c>
      <c r="C1198" t="s">
        <v>242</v>
      </c>
      <c r="D1198">
        <v>15</v>
      </c>
      <c r="E1198" t="s">
        <v>2937</v>
      </c>
      <c r="F1198" t="s">
        <v>1935</v>
      </c>
      <c r="G1198" t="s">
        <v>1935</v>
      </c>
      <c r="H1198" t="s">
        <v>78</v>
      </c>
    </row>
    <row r="1199" spans="1:8">
      <c r="A1199" t="s">
        <v>266</v>
      </c>
      <c r="B1199" t="s">
        <v>1024</v>
      </c>
      <c r="C1199" t="s">
        <v>242</v>
      </c>
      <c r="D1199">
        <v>16</v>
      </c>
      <c r="E1199" t="s">
        <v>2938</v>
      </c>
      <c r="F1199" t="s">
        <v>1935</v>
      </c>
      <c r="G1199" t="s">
        <v>1935</v>
      </c>
      <c r="H1199" t="s">
        <v>78</v>
      </c>
    </row>
    <row r="1200" spans="1:8">
      <c r="A1200" t="s">
        <v>266</v>
      </c>
      <c r="B1200" t="s">
        <v>1024</v>
      </c>
      <c r="C1200" t="s">
        <v>242</v>
      </c>
      <c r="D1200">
        <v>17</v>
      </c>
      <c r="E1200" t="s">
        <v>2939</v>
      </c>
      <c r="F1200" t="s">
        <v>1935</v>
      </c>
      <c r="G1200" t="s">
        <v>1935</v>
      </c>
      <c r="H1200" t="s">
        <v>78</v>
      </c>
    </row>
    <row r="1201" spans="1:8">
      <c r="A1201" t="s">
        <v>266</v>
      </c>
      <c r="B1201" t="s">
        <v>1024</v>
      </c>
      <c r="C1201" t="s">
        <v>242</v>
      </c>
      <c r="D1201">
        <v>18</v>
      </c>
      <c r="E1201" t="s">
        <v>2940</v>
      </c>
      <c r="F1201" t="s">
        <v>1935</v>
      </c>
      <c r="G1201" t="s">
        <v>1935</v>
      </c>
      <c r="H1201" t="s">
        <v>78</v>
      </c>
    </row>
    <row r="1202" spans="1:8">
      <c r="A1202" t="s">
        <v>266</v>
      </c>
      <c r="B1202" t="s">
        <v>1024</v>
      </c>
      <c r="C1202" t="s">
        <v>242</v>
      </c>
      <c r="D1202">
        <v>19</v>
      </c>
      <c r="E1202" t="s">
        <v>2941</v>
      </c>
      <c r="F1202" t="s">
        <v>1935</v>
      </c>
      <c r="G1202" t="s">
        <v>1935</v>
      </c>
      <c r="H1202" t="s">
        <v>78</v>
      </c>
    </row>
    <row r="1203" spans="1:8">
      <c r="A1203" t="s">
        <v>266</v>
      </c>
      <c r="B1203" t="s">
        <v>1024</v>
      </c>
      <c r="C1203" t="s">
        <v>242</v>
      </c>
      <c r="D1203">
        <v>20</v>
      </c>
      <c r="E1203" t="s">
        <v>2942</v>
      </c>
      <c r="F1203" t="s">
        <v>1935</v>
      </c>
      <c r="G1203" t="s">
        <v>1935</v>
      </c>
      <c r="H1203" t="s">
        <v>78</v>
      </c>
    </row>
    <row r="1204" spans="1:8">
      <c r="A1204" t="s">
        <v>266</v>
      </c>
      <c r="B1204" t="s">
        <v>1024</v>
      </c>
      <c r="C1204" t="s">
        <v>242</v>
      </c>
      <c r="D1204">
        <v>21</v>
      </c>
      <c r="E1204" t="s">
        <v>2943</v>
      </c>
      <c r="F1204" t="s">
        <v>1935</v>
      </c>
      <c r="G1204" t="s">
        <v>1935</v>
      </c>
      <c r="H1204" t="s">
        <v>78</v>
      </c>
    </row>
    <row r="1205" spans="1:8">
      <c r="A1205" t="s">
        <v>266</v>
      </c>
      <c r="B1205" t="s">
        <v>1024</v>
      </c>
      <c r="C1205" t="s">
        <v>242</v>
      </c>
      <c r="D1205">
        <v>22</v>
      </c>
      <c r="E1205" t="s">
        <v>1971</v>
      </c>
      <c r="F1205" t="s">
        <v>1935</v>
      </c>
      <c r="G1205" t="s">
        <v>1935</v>
      </c>
      <c r="H1205" t="s">
        <v>78</v>
      </c>
    </row>
    <row r="1206" spans="1:8">
      <c r="A1206" t="s">
        <v>266</v>
      </c>
      <c r="B1206" t="s">
        <v>1024</v>
      </c>
      <c r="C1206" t="s">
        <v>242</v>
      </c>
      <c r="D1206">
        <v>23</v>
      </c>
      <c r="E1206" t="s">
        <v>2944</v>
      </c>
      <c r="F1206" t="s">
        <v>1935</v>
      </c>
      <c r="G1206" t="s">
        <v>1935</v>
      </c>
      <c r="H1206" t="s">
        <v>78</v>
      </c>
    </row>
    <row r="1207" spans="1:8">
      <c r="A1207" t="s">
        <v>266</v>
      </c>
      <c r="B1207" t="s">
        <v>1024</v>
      </c>
      <c r="C1207" t="s">
        <v>242</v>
      </c>
      <c r="D1207">
        <v>24</v>
      </c>
      <c r="E1207" t="s">
        <v>2683</v>
      </c>
      <c r="F1207" t="s">
        <v>1935</v>
      </c>
      <c r="G1207" t="s">
        <v>1935</v>
      </c>
      <c r="H1207" t="s">
        <v>78</v>
      </c>
    </row>
    <row r="1208" spans="1:8">
      <c r="A1208" t="s">
        <v>266</v>
      </c>
      <c r="B1208" t="s">
        <v>1024</v>
      </c>
      <c r="C1208" t="s">
        <v>242</v>
      </c>
      <c r="D1208">
        <v>25</v>
      </c>
      <c r="E1208" t="s">
        <v>2945</v>
      </c>
      <c r="F1208" t="s">
        <v>1935</v>
      </c>
      <c r="G1208" t="s">
        <v>1935</v>
      </c>
      <c r="H1208" t="s">
        <v>78</v>
      </c>
    </row>
    <row r="1209" spans="1:8">
      <c r="A1209" t="s">
        <v>266</v>
      </c>
      <c r="B1209" t="s">
        <v>1024</v>
      </c>
      <c r="C1209" t="s">
        <v>242</v>
      </c>
      <c r="D1209">
        <v>26</v>
      </c>
      <c r="E1209" t="s">
        <v>2946</v>
      </c>
      <c r="F1209" t="s">
        <v>1935</v>
      </c>
      <c r="G1209" t="s">
        <v>1935</v>
      </c>
      <c r="H1209" t="s">
        <v>78</v>
      </c>
    </row>
    <row r="1210" spans="1:8">
      <c r="A1210" t="s">
        <v>266</v>
      </c>
      <c r="B1210" t="s">
        <v>1024</v>
      </c>
      <c r="C1210" t="s">
        <v>242</v>
      </c>
      <c r="D1210">
        <v>27</v>
      </c>
      <c r="E1210" t="s">
        <v>2947</v>
      </c>
      <c r="F1210" t="s">
        <v>1935</v>
      </c>
      <c r="G1210" t="s">
        <v>1935</v>
      </c>
      <c r="H1210" t="s">
        <v>78</v>
      </c>
    </row>
    <row r="1211" spans="1:8">
      <c r="A1211" t="s">
        <v>266</v>
      </c>
      <c r="B1211" t="s">
        <v>1024</v>
      </c>
      <c r="C1211" t="s">
        <v>242</v>
      </c>
      <c r="D1211">
        <v>28</v>
      </c>
      <c r="E1211" t="s">
        <v>2948</v>
      </c>
      <c r="F1211" t="s">
        <v>1935</v>
      </c>
      <c r="G1211" t="s">
        <v>1935</v>
      </c>
      <c r="H1211" t="s">
        <v>78</v>
      </c>
    </row>
    <row r="1212" spans="1:8">
      <c r="A1212" t="s">
        <v>266</v>
      </c>
      <c r="B1212" t="s">
        <v>1024</v>
      </c>
      <c r="C1212" t="s">
        <v>242</v>
      </c>
      <c r="D1212">
        <v>29</v>
      </c>
      <c r="E1212" t="s">
        <v>2949</v>
      </c>
      <c r="F1212" t="s">
        <v>1935</v>
      </c>
      <c r="G1212" t="s">
        <v>1935</v>
      </c>
      <c r="H1212" t="s">
        <v>78</v>
      </c>
    </row>
    <row r="1213" spans="1:8">
      <c r="A1213" t="s">
        <v>266</v>
      </c>
      <c r="B1213" t="s">
        <v>1024</v>
      </c>
      <c r="C1213" t="s">
        <v>242</v>
      </c>
      <c r="D1213">
        <v>30</v>
      </c>
      <c r="E1213" t="s">
        <v>2950</v>
      </c>
      <c r="F1213" t="s">
        <v>1935</v>
      </c>
      <c r="G1213" t="s">
        <v>1935</v>
      </c>
      <c r="H1213" t="s">
        <v>78</v>
      </c>
    </row>
    <row r="1214" spans="1:8">
      <c r="A1214" t="s">
        <v>266</v>
      </c>
      <c r="B1214" t="s">
        <v>1024</v>
      </c>
      <c r="C1214" t="s">
        <v>242</v>
      </c>
      <c r="D1214">
        <v>31</v>
      </c>
      <c r="E1214" t="s">
        <v>2951</v>
      </c>
      <c r="F1214" t="s">
        <v>1935</v>
      </c>
      <c r="G1214" t="s">
        <v>1935</v>
      </c>
      <c r="H1214" t="s">
        <v>78</v>
      </c>
    </row>
    <row r="1215" spans="1:8">
      <c r="A1215" t="s">
        <v>266</v>
      </c>
      <c r="B1215" t="s">
        <v>1024</v>
      </c>
      <c r="C1215" t="s">
        <v>242</v>
      </c>
      <c r="D1215">
        <v>32</v>
      </c>
      <c r="E1215" t="s">
        <v>2952</v>
      </c>
      <c r="F1215" t="s">
        <v>1935</v>
      </c>
      <c r="G1215" t="s">
        <v>1935</v>
      </c>
      <c r="H1215" t="s">
        <v>78</v>
      </c>
    </row>
    <row r="1216" spans="1:8">
      <c r="A1216" t="s">
        <v>266</v>
      </c>
      <c r="B1216" t="s">
        <v>1024</v>
      </c>
      <c r="C1216" t="s">
        <v>242</v>
      </c>
      <c r="D1216">
        <v>33</v>
      </c>
      <c r="E1216" t="s">
        <v>2953</v>
      </c>
      <c r="F1216" t="s">
        <v>1935</v>
      </c>
      <c r="G1216" t="s">
        <v>1935</v>
      </c>
      <c r="H1216" t="s">
        <v>78</v>
      </c>
    </row>
    <row r="1217" spans="1:8">
      <c r="A1217" t="s">
        <v>266</v>
      </c>
      <c r="B1217" t="s">
        <v>1024</v>
      </c>
      <c r="C1217" t="s">
        <v>242</v>
      </c>
      <c r="D1217">
        <v>34</v>
      </c>
      <c r="E1217" t="s">
        <v>2954</v>
      </c>
      <c r="F1217" t="s">
        <v>1935</v>
      </c>
      <c r="G1217" t="s">
        <v>1935</v>
      </c>
      <c r="H1217" t="s">
        <v>78</v>
      </c>
    </row>
    <row r="1218" spans="1:8">
      <c r="A1218" t="s">
        <v>266</v>
      </c>
      <c r="B1218" t="s">
        <v>1024</v>
      </c>
      <c r="C1218" t="s">
        <v>242</v>
      </c>
      <c r="D1218">
        <v>35</v>
      </c>
      <c r="E1218" t="s">
        <v>2955</v>
      </c>
      <c r="F1218" t="s">
        <v>1935</v>
      </c>
      <c r="G1218" t="s">
        <v>1935</v>
      </c>
      <c r="H1218" t="s">
        <v>78</v>
      </c>
    </row>
    <row r="1219" spans="1:8">
      <c r="A1219" t="s">
        <v>266</v>
      </c>
      <c r="B1219" t="s">
        <v>1024</v>
      </c>
      <c r="C1219" t="s">
        <v>242</v>
      </c>
      <c r="D1219">
        <v>36</v>
      </c>
      <c r="E1219" t="s">
        <v>1380</v>
      </c>
      <c r="F1219" t="s">
        <v>1935</v>
      </c>
      <c r="G1219" t="s">
        <v>1935</v>
      </c>
      <c r="H1219" t="s">
        <v>78</v>
      </c>
    </row>
    <row r="1220" spans="1:8">
      <c r="A1220" t="s">
        <v>266</v>
      </c>
      <c r="B1220" t="s">
        <v>1024</v>
      </c>
      <c r="C1220" t="s">
        <v>242</v>
      </c>
      <c r="D1220">
        <v>37</v>
      </c>
      <c r="E1220" t="s">
        <v>2956</v>
      </c>
      <c r="F1220" t="s">
        <v>1935</v>
      </c>
      <c r="G1220" t="s">
        <v>1935</v>
      </c>
      <c r="H1220" t="s">
        <v>78</v>
      </c>
    </row>
    <row r="1221" spans="1:8">
      <c r="A1221" t="s">
        <v>266</v>
      </c>
      <c r="B1221" t="s">
        <v>1024</v>
      </c>
      <c r="C1221" t="s">
        <v>242</v>
      </c>
      <c r="D1221">
        <v>38</v>
      </c>
      <c r="E1221" t="s">
        <v>2957</v>
      </c>
      <c r="F1221" t="s">
        <v>1935</v>
      </c>
      <c r="G1221" t="s">
        <v>1935</v>
      </c>
      <c r="H1221" t="s">
        <v>78</v>
      </c>
    </row>
    <row r="1222" spans="1:8">
      <c r="A1222" t="s">
        <v>266</v>
      </c>
      <c r="B1222" t="s">
        <v>1024</v>
      </c>
      <c r="C1222" t="s">
        <v>242</v>
      </c>
      <c r="D1222">
        <v>39</v>
      </c>
      <c r="E1222" t="s">
        <v>2958</v>
      </c>
      <c r="F1222" t="s">
        <v>1935</v>
      </c>
      <c r="G1222" t="s">
        <v>1935</v>
      </c>
      <c r="H1222" t="s">
        <v>78</v>
      </c>
    </row>
    <row r="1223" spans="1:8">
      <c r="A1223" t="s">
        <v>266</v>
      </c>
      <c r="B1223" t="s">
        <v>1024</v>
      </c>
      <c r="C1223" t="s">
        <v>242</v>
      </c>
      <c r="D1223">
        <v>40</v>
      </c>
      <c r="E1223" t="s">
        <v>2959</v>
      </c>
      <c r="F1223" t="s">
        <v>1935</v>
      </c>
      <c r="G1223" t="s">
        <v>1935</v>
      </c>
      <c r="H1223" t="s">
        <v>78</v>
      </c>
    </row>
    <row r="1224" spans="1:8">
      <c r="A1224" t="s">
        <v>266</v>
      </c>
      <c r="B1224" t="s">
        <v>1024</v>
      </c>
      <c r="C1224" t="s">
        <v>242</v>
      </c>
      <c r="D1224">
        <v>41</v>
      </c>
      <c r="E1224" t="s">
        <v>2960</v>
      </c>
      <c r="F1224" t="s">
        <v>1935</v>
      </c>
      <c r="G1224" t="s">
        <v>1935</v>
      </c>
      <c r="H1224" t="s">
        <v>78</v>
      </c>
    </row>
    <row r="1225" spans="1:8">
      <c r="A1225" t="s">
        <v>266</v>
      </c>
      <c r="B1225" t="s">
        <v>1024</v>
      </c>
      <c r="C1225" t="s">
        <v>242</v>
      </c>
      <c r="D1225">
        <v>42</v>
      </c>
      <c r="E1225" t="s">
        <v>2961</v>
      </c>
      <c r="F1225" t="s">
        <v>1935</v>
      </c>
      <c r="G1225" t="s">
        <v>1935</v>
      </c>
      <c r="H1225" t="s">
        <v>78</v>
      </c>
    </row>
    <row r="1226" spans="1:8">
      <c r="A1226" t="s">
        <v>266</v>
      </c>
      <c r="B1226" t="s">
        <v>1024</v>
      </c>
      <c r="C1226" t="s">
        <v>242</v>
      </c>
      <c r="D1226">
        <v>43</v>
      </c>
      <c r="E1226" t="s">
        <v>2962</v>
      </c>
      <c r="F1226" t="s">
        <v>1935</v>
      </c>
      <c r="G1226" t="s">
        <v>1935</v>
      </c>
      <c r="H1226" t="s">
        <v>78</v>
      </c>
    </row>
    <row r="1227" spans="1:8">
      <c r="A1227" t="s">
        <v>266</v>
      </c>
      <c r="B1227" t="s">
        <v>1024</v>
      </c>
      <c r="C1227" t="s">
        <v>242</v>
      </c>
      <c r="D1227">
        <v>44</v>
      </c>
      <c r="E1227" t="s">
        <v>2963</v>
      </c>
      <c r="F1227" t="s">
        <v>1935</v>
      </c>
      <c r="G1227" t="s">
        <v>1935</v>
      </c>
      <c r="H1227" t="s">
        <v>78</v>
      </c>
    </row>
    <row r="1228" spans="1:8">
      <c r="A1228" t="s">
        <v>266</v>
      </c>
      <c r="B1228" t="s">
        <v>1024</v>
      </c>
      <c r="C1228" t="s">
        <v>242</v>
      </c>
      <c r="D1228">
        <v>45</v>
      </c>
      <c r="E1228" t="s">
        <v>2964</v>
      </c>
      <c r="F1228" t="s">
        <v>1935</v>
      </c>
      <c r="G1228" t="s">
        <v>1935</v>
      </c>
      <c r="H1228" t="s">
        <v>78</v>
      </c>
    </row>
    <row r="1229" spans="1:8">
      <c r="A1229" t="s">
        <v>266</v>
      </c>
      <c r="B1229" t="s">
        <v>1024</v>
      </c>
      <c r="C1229" t="s">
        <v>242</v>
      </c>
      <c r="D1229">
        <v>46</v>
      </c>
      <c r="E1229" t="s">
        <v>2965</v>
      </c>
      <c r="F1229" t="s">
        <v>1935</v>
      </c>
      <c r="G1229" t="s">
        <v>1935</v>
      </c>
      <c r="H1229" t="s">
        <v>78</v>
      </c>
    </row>
    <row r="1230" spans="1:8">
      <c r="A1230" t="s">
        <v>266</v>
      </c>
      <c r="B1230" t="s">
        <v>1024</v>
      </c>
      <c r="C1230" t="s">
        <v>242</v>
      </c>
      <c r="D1230">
        <v>47</v>
      </c>
      <c r="E1230" t="s">
        <v>1968</v>
      </c>
      <c r="F1230" t="s">
        <v>1935</v>
      </c>
      <c r="G1230" t="s">
        <v>1935</v>
      </c>
      <c r="H1230" t="s">
        <v>78</v>
      </c>
    </row>
    <row r="1231" spans="1:8">
      <c r="A1231" t="s">
        <v>2966</v>
      </c>
      <c r="B1231" t="s">
        <v>1035</v>
      </c>
      <c r="C1231" t="s">
        <v>38</v>
      </c>
      <c r="D1231">
        <v>1</v>
      </c>
      <c r="E1231" t="s">
        <v>2967</v>
      </c>
      <c r="F1231" t="s">
        <v>1935</v>
      </c>
      <c r="G1231" t="s">
        <v>1935</v>
      </c>
      <c r="H1231" t="s">
        <v>1935</v>
      </c>
    </row>
    <row r="1232" spans="1:8">
      <c r="A1232" t="s">
        <v>2966</v>
      </c>
      <c r="B1232" t="s">
        <v>1035</v>
      </c>
      <c r="C1232" t="s">
        <v>38</v>
      </c>
      <c r="D1232">
        <v>2</v>
      </c>
      <c r="E1232" t="s">
        <v>2968</v>
      </c>
      <c r="F1232" t="s">
        <v>1935</v>
      </c>
      <c r="G1232" t="s">
        <v>1935</v>
      </c>
      <c r="H1232" t="s">
        <v>1935</v>
      </c>
    </row>
    <row r="1233" spans="1:8">
      <c r="A1233" t="s">
        <v>1149</v>
      </c>
      <c r="B1233" t="s">
        <v>1124</v>
      </c>
      <c r="C1233" t="s">
        <v>38</v>
      </c>
      <c r="D1233">
        <v>1</v>
      </c>
      <c r="E1233" t="s">
        <v>2969</v>
      </c>
      <c r="F1233" t="s">
        <v>1935</v>
      </c>
      <c r="G1233" t="s">
        <v>1935</v>
      </c>
      <c r="H1233" t="s">
        <v>1935</v>
      </c>
    </row>
    <row r="1234" spans="1:8">
      <c r="A1234" t="s">
        <v>1149</v>
      </c>
      <c r="B1234" t="s">
        <v>1124</v>
      </c>
      <c r="C1234" t="s">
        <v>38</v>
      </c>
      <c r="D1234">
        <v>2</v>
      </c>
      <c r="E1234" t="s">
        <v>2970</v>
      </c>
      <c r="F1234" t="s">
        <v>1935</v>
      </c>
      <c r="G1234" t="s">
        <v>1935</v>
      </c>
      <c r="H1234" t="s">
        <v>1935</v>
      </c>
    </row>
    <row r="1235" spans="1:8">
      <c r="A1235" t="s">
        <v>1149</v>
      </c>
      <c r="B1235" t="s">
        <v>1124</v>
      </c>
      <c r="C1235" t="s">
        <v>38</v>
      </c>
      <c r="D1235">
        <v>3</v>
      </c>
      <c r="E1235" t="s">
        <v>2971</v>
      </c>
      <c r="F1235" t="s">
        <v>1935</v>
      </c>
      <c r="G1235" t="s">
        <v>1935</v>
      </c>
      <c r="H1235" t="s">
        <v>1935</v>
      </c>
    </row>
    <row r="1236" spans="1:8">
      <c r="A1236" t="s">
        <v>1149</v>
      </c>
      <c r="B1236" t="s">
        <v>1124</v>
      </c>
      <c r="C1236" t="s">
        <v>38</v>
      </c>
      <c r="D1236">
        <v>4</v>
      </c>
      <c r="E1236" t="s">
        <v>2972</v>
      </c>
      <c r="F1236" t="s">
        <v>1935</v>
      </c>
      <c r="G1236" t="s">
        <v>1935</v>
      </c>
      <c r="H1236" t="s">
        <v>1935</v>
      </c>
    </row>
    <row r="1237" spans="1:8">
      <c r="A1237" t="s">
        <v>1149</v>
      </c>
      <c r="B1237" t="s">
        <v>1124</v>
      </c>
      <c r="C1237" t="s">
        <v>38</v>
      </c>
      <c r="D1237">
        <v>5</v>
      </c>
      <c r="E1237" t="s">
        <v>2973</v>
      </c>
      <c r="F1237" t="s">
        <v>1935</v>
      </c>
      <c r="G1237" t="s">
        <v>1935</v>
      </c>
      <c r="H1237" t="s">
        <v>1935</v>
      </c>
    </row>
    <row r="1238" spans="1:8">
      <c r="A1238" t="s">
        <v>1149</v>
      </c>
      <c r="B1238" t="s">
        <v>1124</v>
      </c>
      <c r="C1238" t="s">
        <v>38</v>
      </c>
      <c r="D1238">
        <v>6</v>
      </c>
      <c r="E1238" t="s">
        <v>2974</v>
      </c>
      <c r="F1238" t="s">
        <v>1935</v>
      </c>
      <c r="G1238" t="s">
        <v>1935</v>
      </c>
      <c r="H1238" t="s">
        <v>1935</v>
      </c>
    </row>
    <row r="1239" spans="1:8">
      <c r="A1239" t="s">
        <v>1148</v>
      </c>
      <c r="B1239" t="s">
        <v>2975</v>
      </c>
      <c r="C1239" t="s">
        <v>38</v>
      </c>
      <c r="D1239">
        <v>1</v>
      </c>
      <c r="E1239" t="s">
        <v>2276</v>
      </c>
      <c r="F1239" t="s">
        <v>1935</v>
      </c>
      <c r="G1239" t="s">
        <v>1935</v>
      </c>
      <c r="H1239" t="s">
        <v>1935</v>
      </c>
    </row>
    <row r="1240" spans="1:8">
      <c r="A1240" t="s">
        <v>1148</v>
      </c>
      <c r="B1240" t="s">
        <v>2975</v>
      </c>
      <c r="C1240" t="s">
        <v>38</v>
      </c>
      <c r="D1240">
        <v>2</v>
      </c>
      <c r="E1240" t="s">
        <v>2278</v>
      </c>
      <c r="F1240" t="s">
        <v>1935</v>
      </c>
      <c r="G1240" t="s">
        <v>1935</v>
      </c>
      <c r="H1240" t="s">
        <v>1935</v>
      </c>
    </row>
    <row r="1241" spans="1:8">
      <c r="A1241" t="s">
        <v>1148</v>
      </c>
      <c r="B1241" t="s">
        <v>2975</v>
      </c>
      <c r="C1241" t="s">
        <v>38</v>
      </c>
      <c r="D1241">
        <v>3</v>
      </c>
      <c r="E1241" t="s">
        <v>2280</v>
      </c>
      <c r="F1241" t="s">
        <v>1935</v>
      </c>
      <c r="G1241" t="s">
        <v>1935</v>
      </c>
      <c r="H1241" t="s">
        <v>1935</v>
      </c>
    </row>
    <row r="1242" spans="1:8">
      <c r="A1242" t="s">
        <v>1148</v>
      </c>
      <c r="B1242" t="s">
        <v>2975</v>
      </c>
      <c r="C1242" t="s">
        <v>38</v>
      </c>
      <c r="D1242">
        <v>4</v>
      </c>
      <c r="E1242" t="s">
        <v>2282</v>
      </c>
      <c r="F1242" t="s">
        <v>1935</v>
      </c>
      <c r="G1242" t="s">
        <v>1935</v>
      </c>
      <c r="H1242" t="s">
        <v>1935</v>
      </c>
    </row>
    <row r="1243" spans="1:8">
      <c r="A1243" t="s">
        <v>1148</v>
      </c>
      <c r="B1243" t="s">
        <v>2975</v>
      </c>
      <c r="C1243" t="s">
        <v>38</v>
      </c>
      <c r="D1243">
        <v>5</v>
      </c>
      <c r="E1243" t="s">
        <v>2284</v>
      </c>
      <c r="F1243" t="s">
        <v>1935</v>
      </c>
      <c r="G1243" t="s">
        <v>1935</v>
      </c>
      <c r="H1243" t="s">
        <v>1935</v>
      </c>
    </row>
    <row r="1244" spans="1:8">
      <c r="A1244" t="s">
        <v>1148</v>
      </c>
      <c r="B1244" t="s">
        <v>2975</v>
      </c>
      <c r="C1244" t="s">
        <v>38</v>
      </c>
      <c r="D1244">
        <v>6</v>
      </c>
      <c r="E1244" t="s">
        <v>2286</v>
      </c>
      <c r="F1244" t="s">
        <v>1935</v>
      </c>
      <c r="G1244" t="s">
        <v>1935</v>
      </c>
      <c r="H1244" t="s">
        <v>1935</v>
      </c>
    </row>
    <row r="1245" spans="1:8">
      <c r="A1245" t="s">
        <v>1148</v>
      </c>
      <c r="B1245" t="s">
        <v>2975</v>
      </c>
      <c r="C1245" t="s">
        <v>38</v>
      </c>
      <c r="D1245">
        <v>7</v>
      </c>
      <c r="E1245" t="s">
        <v>2288</v>
      </c>
      <c r="F1245" t="s">
        <v>1935</v>
      </c>
      <c r="G1245" t="s">
        <v>1935</v>
      </c>
      <c r="H1245" t="s">
        <v>1935</v>
      </c>
    </row>
    <row r="1246" spans="1:8">
      <c r="A1246" t="s">
        <v>1148</v>
      </c>
      <c r="B1246" t="s">
        <v>2975</v>
      </c>
      <c r="C1246" t="s">
        <v>38</v>
      </c>
      <c r="D1246">
        <v>8</v>
      </c>
      <c r="E1246" t="s">
        <v>2290</v>
      </c>
      <c r="F1246" t="s">
        <v>1935</v>
      </c>
      <c r="G1246" t="s">
        <v>1935</v>
      </c>
      <c r="H1246" t="s">
        <v>1935</v>
      </c>
    </row>
    <row r="1247" spans="1:8">
      <c r="A1247" t="s">
        <v>373</v>
      </c>
      <c r="B1247" t="s">
        <v>2976</v>
      </c>
      <c r="C1247" t="s">
        <v>38</v>
      </c>
      <c r="D1247">
        <v>1</v>
      </c>
      <c r="E1247" t="s">
        <v>2977</v>
      </c>
      <c r="F1247" t="s">
        <v>2276</v>
      </c>
      <c r="G1247" t="s">
        <v>1935</v>
      </c>
      <c r="H1247" t="s">
        <v>1935</v>
      </c>
    </row>
    <row r="1248" spans="1:8">
      <c r="A1248" t="s">
        <v>373</v>
      </c>
      <c r="B1248" t="s">
        <v>2976</v>
      </c>
      <c r="C1248" t="s">
        <v>38</v>
      </c>
      <c r="D1248">
        <v>2</v>
      </c>
      <c r="E1248" t="s">
        <v>2978</v>
      </c>
      <c r="F1248" t="s">
        <v>2278</v>
      </c>
      <c r="G1248" t="s">
        <v>1935</v>
      </c>
      <c r="H1248" t="s">
        <v>1935</v>
      </c>
    </row>
    <row r="1249" spans="1:8">
      <c r="A1249" t="s">
        <v>373</v>
      </c>
      <c r="B1249" t="s">
        <v>2976</v>
      </c>
      <c r="C1249" t="s">
        <v>38</v>
      </c>
      <c r="D1249">
        <v>3</v>
      </c>
      <c r="E1249" t="s">
        <v>2979</v>
      </c>
      <c r="F1249" t="s">
        <v>2280</v>
      </c>
      <c r="G1249" t="s">
        <v>1935</v>
      </c>
      <c r="H1249" t="s">
        <v>1935</v>
      </c>
    </row>
    <row r="1250" spans="1:8">
      <c r="A1250" t="s">
        <v>373</v>
      </c>
      <c r="B1250" t="s">
        <v>2976</v>
      </c>
      <c r="C1250" t="s">
        <v>38</v>
      </c>
      <c r="D1250">
        <v>4</v>
      </c>
      <c r="E1250" t="s">
        <v>2980</v>
      </c>
      <c r="F1250" t="s">
        <v>2282</v>
      </c>
      <c r="G1250" t="s">
        <v>1935</v>
      </c>
      <c r="H1250" t="s">
        <v>1935</v>
      </c>
    </row>
    <row r="1251" spans="1:8">
      <c r="A1251" t="s">
        <v>373</v>
      </c>
      <c r="B1251" t="s">
        <v>2976</v>
      </c>
      <c r="C1251" t="s">
        <v>38</v>
      </c>
      <c r="D1251">
        <v>5</v>
      </c>
      <c r="E1251" t="s">
        <v>2448</v>
      </c>
      <c r="F1251" t="s">
        <v>2284</v>
      </c>
      <c r="G1251" t="s">
        <v>1935</v>
      </c>
      <c r="H1251" t="s">
        <v>1935</v>
      </c>
    </row>
    <row r="1252" spans="1:8">
      <c r="A1252" t="s">
        <v>373</v>
      </c>
      <c r="B1252" t="s">
        <v>2976</v>
      </c>
      <c r="C1252" t="s">
        <v>38</v>
      </c>
      <c r="D1252">
        <v>6</v>
      </c>
      <c r="E1252" t="s">
        <v>2981</v>
      </c>
      <c r="F1252" t="s">
        <v>2286</v>
      </c>
      <c r="G1252" t="s">
        <v>1935</v>
      </c>
      <c r="H1252" t="s">
        <v>1935</v>
      </c>
    </row>
    <row r="1253" spans="1:8">
      <c r="A1253" t="s">
        <v>373</v>
      </c>
      <c r="B1253" t="s">
        <v>2976</v>
      </c>
      <c r="C1253" t="s">
        <v>38</v>
      </c>
      <c r="D1253">
        <v>7</v>
      </c>
      <c r="E1253" t="s">
        <v>2982</v>
      </c>
      <c r="F1253" t="s">
        <v>2288</v>
      </c>
      <c r="G1253" t="s">
        <v>1935</v>
      </c>
      <c r="H1253" t="s">
        <v>1935</v>
      </c>
    </row>
    <row r="1254" spans="1:8">
      <c r="A1254" t="s">
        <v>373</v>
      </c>
      <c r="B1254" t="s">
        <v>2976</v>
      </c>
      <c r="C1254" t="s">
        <v>38</v>
      </c>
      <c r="D1254">
        <v>8</v>
      </c>
      <c r="E1254" t="s">
        <v>2983</v>
      </c>
      <c r="F1254" t="s">
        <v>2290</v>
      </c>
      <c r="G1254" t="s">
        <v>1935</v>
      </c>
      <c r="H1254" t="s">
        <v>1935</v>
      </c>
    </row>
  </sheetData>
  <phoneticPr fontId="67" type="noConversion"/>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632"/>
  <sheetViews>
    <sheetView workbookViewId="0">
      <selection activeCell="R17" sqref="R17"/>
    </sheetView>
  </sheetViews>
  <sheetFormatPr defaultRowHeight="15.6"/>
  <cols>
    <col min="1" max="2" width="12.81640625" customWidth="1"/>
    <col min="3" max="3" width="4.81640625" customWidth="1"/>
    <col min="4" max="4" width="29.81640625" customWidth="1"/>
    <col min="5" max="5" width="9.81640625" customWidth="1"/>
    <col min="6" max="6" width="4.81640625" customWidth="1"/>
  </cols>
  <sheetData>
    <row r="1" spans="1:6">
      <c r="A1" t="s">
        <v>2995</v>
      </c>
      <c r="B1" t="s">
        <v>2996</v>
      </c>
      <c r="C1" t="s">
        <v>29</v>
      </c>
      <c r="D1" t="s">
        <v>2997</v>
      </c>
      <c r="E1" t="s">
        <v>2998</v>
      </c>
      <c r="F1" t="s">
        <v>2999</v>
      </c>
    </row>
    <row r="2" spans="1:6">
      <c r="A2">
        <v>2</v>
      </c>
      <c r="B2">
        <v>1</v>
      </c>
      <c r="C2" t="s">
        <v>3000</v>
      </c>
      <c r="D2" t="s">
        <v>3001</v>
      </c>
      <c r="E2" t="s">
        <v>3002</v>
      </c>
      <c r="F2" t="s">
        <v>1935</v>
      </c>
    </row>
    <row r="3" spans="1:6">
      <c r="A3">
        <v>2</v>
      </c>
      <c r="B3">
        <v>2</v>
      </c>
      <c r="C3" t="s">
        <v>3000</v>
      </c>
      <c r="D3" t="s">
        <v>3003</v>
      </c>
      <c r="E3" t="s">
        <v>3002</v>
      </c>
      <c r="F3" t="s">
        <v>1935</v>
      </c>
    </row>
    <row r="4" spans="1:6">
      <c r="A4">
        <v>2</v>
      </c>
      <c r="B4">
        <v>3</v>
      </c>
      <c r="C4" t="s">
        <v>3000</v>
      </c>
      <c r="D4" t="s">
        <v>3004</v>
      </c>
      <c r="E4" t="s">
        <v>3002</v>
      </c>
      <c r="F4" t="s">
        <v>1935</v>
      </c>
    </row>
    <row r="5" spans="1:6">
      <c r="A5">
        <v>2</v>
      </c>
      <c r="B5">
        <v>4</v>
      </c>
      <c r="C5" t="s">
        <v>3000</v>
      </c>
      <c r="D5" t="s">
        <v>89</v>
      </c>
      <c r="E5" t="s">
        <v>3002</v>
      </c>
      <c r="F5" t="s">
        <v>1935</v>
      </c>
    </row>
    <row r="6" spans="1:6">
      <c r="A6">
        <v>3</v>
      </c>
      <c r="B6">
        <v>1</v>
      </c>
      <c r="C6" t="s">
        <v>3000</v>
      </c>
      <c r="D6" t="s">
        <v>79</v>
      </c>
      <c r="E6" t="s">
        <v>3002</v>
      </c>
      <c r="F6" t="s">
        <v>1935</v>
      </c>
    </row>
    <row r="7" spans="1:6">
      <c r="A7">
        <v>3</v>
      </c>
      <c r="B7">
        <v>2</v>
      </c>
      <c r="C7" t="s">
        <v>3000</v>
      </c>
      <c r="D7" t="s">
        <v>3005</v>
      </c>
      <c r="E7" t="s">
        <v>3002</v>
      </c>
      <c r="F7" t="s">
        <v>1935</v>
      </c>
    </row>
    <row r="8" spans="1:6">
      <c r="A8">
        <v>3</v>
      </c>
      <c r="B8">
        <v>3</v>
      </c>
      <c r="C8" t="s">
        <v>3000</v>
      </c>
      <c r="D8" t="s">
        <v>3006</v>
      </c>
      <c r="E8" t="s">
        <v>3007</v>
      </c>
      <c r="F8" t="s">
        <v>1935</v>
      </c>
    </row>
    <row r="9" spans="1:6">
      <c r="A9">
        <v>3</v>
      </c>
      <c r="B9">
        <v>4</v>
      </c>
      <c r="C9" t="s">
        <v>3000</v>
      </c>
      <c r="D9" t="s">
        <v>3008</v>
      </c>
      <c r="E9" t="s">
        <v>3007</v>
      </c>
      <c r="F9" t="s">
        <v>1935</v>
      </c>
    </row>
    <row r="10" spans="1:6">
      <c r="A10">
        <v>4</v>
      </c>
      <c r="B10">
        <v>1</v>
      </c>
      <c r="C10" t="s">
        <v>3000</v>
      </c>
      <c r="D10" t="s">
        <v>3005</v>
      </c>
      <c r="E10" t="s">
        <v>3002</v>
      </c>
      <c r="F10" t="s">
        <v>1935</v>
      </c>
    </row>
    <row r="11" spans="1:6">
      <c r="A11">
        <v>4</v>
      </c>
      <c r="B11">
        <v>2</v>
      </c>
      <c r="C11" t="s">
        <v>3000</v>
      </c>
      <c r="D11" t="s">
        <v>3009</v>
      </c>
      <c r="E11" t="s">
        <v>3002</v>
      </c>
      <c r="F11" t="s">
        <v>1935</v>
      </c>
    </row>
    <row r="12" spans="1:6">
      <c r="A12">
        <v>4</v>
      </c>
      <c r="B12">
        <v>3</v>
      </c>
      <c r="C12" t="s">
        <v>3000</v>
      </c>
      <c r="D12" t="s">
        <v>91</v>
      </c>
      <c r="E12" t="s">
        <v>3002</v>
      </c>
      <c r="F12" t="s">
        <v>1935</v>
      </c>
    </row>
    <row r="13" spans="1:6">
      <c r="A13">
        <v>4</v>
      </c>
      <c r="B13">
        <v>4</v>
      </c>
      <c r="C13" t="s">
        <v>3000</v>
      </c>
      <c r="D13" t="s">
        <v>94</v>
      </c>
      <c r="E13" t="s">
        <v>3002</v>
      </c>
      <c r="F13" t="s">
        <v>1935</v>
      </c>
    </row>
    <row r="14" spans="1:6">
      <c r="A14">
        <v>4</v>
      </c>
      <c r="B14">
        <v>6</v>
      </c>
      <c r="C14" t="s">
        <v>3000</v>
      </c>
      <c r="D14" t="s">
        <v>97</v>
      </c>
      <c r="E14" t="s">
        <v>3002</v>
      </c>
      <c r="F14" t="s">
        <v>1935</v>
      </c>
    </row>
    <row r="15" spans="1:6">
      <c r="A15">
        <v>4</v>
      </c>
      <c r="B15">
        <v>7</v>
      </c>
      <c r="C15" t="s">
        <v>3000</v>
      </c>
      <c r="D15" t="s">
        <v>101</v>
      </c>
      <c r="E15" t="s">
        <v>3002</v>
      </c>
      <c r="F15" t="s">
        <v>1935</v>
      </c>
    </row>
    <row r="16" spans="1:6">
      <c r="A16">
        <v>4</v>
      </c>
      <c r="B16">
        <v>9</v>
      </c>
      <c r="C16" t="s">
        <v>3000</v>
      </c>
      <c r="D16" t="s">
        <v>3010</v>
      </c>
      <c r="E16" t="s">
        <v>3002</v>
      </c>
      <c r="F16" t="s">
        <v>1935</v>
      </c>
    </row>
    <row r="17" spans="1:6">
      <c r="A17">
        <v>4</v>
      </c>
      <c r="B17">
        <v>11</v>
      </c>
      <c r="C17" t="s">
        <v>3000</v>
      </c>
      <c r="D17" t="s">
        <v>104</v>
      </c>
      <c r="E17" t="s">
        <v>3002</v>
      </c>
      <c r="F17" t="s">
        <v>1935</v>
      </c>
    </row>
    <row r="18" spans="1:6">
      <c r="A18">
        <v>4</v>
      </c>
      <c r="B18">
        <v>12</v>
      </c>
      <c r="C18" t="s">
        <v>3000</v>
      </c>
      <c r="D18" t="s">
        <v>3011</v>
      </c>
      <c r="E18" t="s">
        <v>3002</v>
      </c>
      <c r="F18" t="s">
        <v>1935</v>
      </c>
    </row>
    <row r="19" spans="1:6">
      <c r="A19">
        <v>4</v>
      </c>
      <c r="B19">
        <v>13</v>
      </c>
      <c r="C19" t="s">
        <v>3000</v>
      </c>
      <c r="D19" t="s">
        <v>89</v>
      </c>
      <c r="E19" t="s">
        <v>3002</v>
      </c>
      <c r="F19" t="s">
        <v>1935</v>
      </c>
    </row>
    <row r="20" spans="1:6">
      <c r="A20">
        <v>5</v>
      </c>
      <c r="B20">
        <v>1</v>
      </c>
      <c r="C20" t="s">
        <v>3000</v>
      </c>
      <c r="D20" t="s">
        <v>3012</v>
      </c>
      <c r="E20" t="s">
        <v>3002</v>
      </c>
      <c r="F20" t="s">
        <v>1935</v>
      </c>
    </row>
    <row r="21" spans="1:6">
      <c r="A21">
        <v>5</v>
      </c>
      <c r="B21">
        <v>2</v>
      </c>
      <c r="C21" t="s">
        <v>3000</v>
      </c>
      <c r="D21" t="s">
        <v>3013</v>
      </c>
      <c r="E21" t="s">
        <v>3002</v>
      </c>
      <c r="F21" t="s">
        <v>1935</v>
      </c>
    </row>
    <row r="22" spans="1:6">
      <c r="A22">
        <v>5</v>
      </c>
      <c r="B22">
        <v>5</v>
      </c>
      <c r="C22" t="s">
        <v>3000</v>
      </c>
      <c r="D22" t="s">
        <v>3014</v>
      </c>
      <c r="E22" t="s">
        <v>3002</v>
      </c>
      <c r="F22" t="s">
        <v>1935</v>
      </c>
    </row>
    <row r="23" spans="1:6">
      <c r="A23">
        <v>5</v>
      </c>
      <c r="B23">
        <v>6</v>
      </c>
      <c r="C23" t="s">
        <v>3000</v>
      </c>
      <c r="D23" t="s">
        <v>385</v>
      </c>
      <c r="E23" t="s">
        <v>3002</v>
      </c>
      <c r="F23" t="s">
        <v>1935</v>
      </c>
    </row>
    <row r="24" spans="1:6">
      <c r="A24">
        <v>5</v>
      </c>
      <c r="B24">
        <v>7</v>
      </c>
      <c r="C24" t="s">
        <v>3000</v>
      </c>
      <c r="D24" t="s">
        <v>1148</v>
      </c>
      <c r="E24" t="s">
        <v>3002</v>
      </c>
      <c r="F24" t="s">
        <v>1935</v>
      </c>
    </row>
    <row r="25" spans="1:6">
      <c r="A25">
        <v>5</v>
      </c>
      <c r="B25">
        <v>8</v>
      </c>
      <c r="C25" t="s">
        <v>3000</v>
      </c>
      <c r="D25" t="s">
        <v>377</v>
      </c>
      <c r="E25" t="s">
        <v>3002</v>
      </c>
      <c r="F25" t="s">
        <v>1935</v>
      </c>
    </row>
    <row r="26" spans="1:6">
      <c r="A26">
        <v>5</v>
      </c>
      <c r="B26">
        <v>12</v>
      </c>
      <c r="C26" t="s">
        <v>3000</v>
      </c>
      <c r="D26" t="s">
        <v>376</v>
      </c>
      <c r="E26" t="s">
        <v>3002</v>
      </c>
      <c r="F26" t="s">
        <v>1935</v>
      </c>
    </row>
    <row r="27" spans="1:6">
      <c r="A27">
        <v>5</v>
      </c>
      <c r="B27">
        <v>13</v>
      </c>
      <c r="C27" t="s">
        <v>3000</v>
      </c>
      <c r="D27" t="s">
        <v>3015</v>
      </c>
      <c r="E27" t="s">
        <v>3002</v>
      </c>
      <c r="F27" t="s">
        <v>1935</v>
      </c>
    </row>
    <row r="28" spans="1:6">
      <c r="A28">
        <v>6</v>
      </c>
      <c r="B28">
        <v>1</v>
      </c>
      <c r="C28" t="s">
        <v>3000</v>
      </c>
      <c r="D28" t="s">
        <v>3016</v>
      </c>
      <c r="E28" t="s">
        <v>3002</v>
      </c>
      <c r="F28" t="s">
        <v>1935</v>
      </c>
    </row>
    <row r="29" spans="1:6">
      <c r="A29">
        <v>6</v>
      </c>
      <c r="B29">
        <v>2</v>
      </c>
      <c r="C29" t="s">
        <v>3000</v>
      </c>
      <c r="D29" t="s">
        <v>210</v>
      </c>
      <c r="E29" t="s">
        <v>3002</v>
      </c>
      <c r="F29" t="s">
        <v>1935</v>
      </c>
    </row>
    <row r="30" spans="1:6">
      <c r="A30">
        <v>6</v>
      </c>
      <c r="B30">
        <v>3</v>
      </c>
      <c r="C30" t="s">
        <v>3000</v>
      </c>
      <c r="D30" t="s">
        <v>212</v>
      </c>
      <c r="E30" t="s">
        <v>3002</v>
      </c>
      <c r="F30" t="s">
        <v>1935</v>
      </c>
    </row>
    <row r="31" spans="1:6">
      <c r="A31">
        <v>6</v>
      </c>
      <c r="B31">
        <v>4</v>
      </c>
      <c r="C31" t="s">
        <v>3000</v>
      </c>
      <c r="D31" t="s">
        <v>216</v>
      </c>
      <c r="E31" t="s">
        <v>3002</v>
      </c>
      <c r="F31" t="s">
        <v>1935</v>
      </c>
    </row>
    <row r="32" spans="1:6">
      <c r="A32">
        <v>6</v>
      </c>
      <c r="B32">
        <v>5</v>
      </c>
      <c r="C32" t="s">
        <v>3000</v>
      </c>
      <c r="D32" t="s">
        <v>3017</v>
      </c>
      <c r="E32" t="s">
        <v>3002</v>
      </c>
      <c r="F32" t="s">
        <v>1935</v>
      </c>
    </row>
    <row r="33" spans="1:6">
      <c r="A33">
        <v>6</v>
      </c>
      <c r="B33">
        <v>6</v>
      </c>
      <c r="C33" t="s">
        <v>3000</v>
      </c>
      <c r="D33" t="s">
        <v>3018</v>
      </c>
      <c r="E33" t="s">
        <v>3002</v>
      </c>
      <c r="F33" t="s">
        <v>1935</v>
      </c>
    </row>
    <row r="34" spans="1:6">
      <c r="A34">
        <v>7</v>
      </c>
      <c r="B34">
        <v>1</v>
      </c>
      <c r="C34" t="s">
        <v>3000</v>
      </c>
      <c r="D34" t="s">
        <v>3019</v>
      </c>
      <c r="E34" t="s">
        <v>3002</v>
      </c>
      <c r="F34" t="s">
        <v>1935</v>
      </c>
    </row>
    <row r="35" spans="1:6">
      <c r="A35">
        <v>7</v>
      </c>
      <c r="B35">
        <v>2</v>
      </c>
      <c r="C35" t="s">
        <v>3000</v>
      </c>
      <c r="D35" t="s">
        <v>3020</v>
      </c>
      <c r="E35" t="s">
        <v>3002</v>
      </c>
      <c r="F35" t="s">
        <v>1935</v>
      </c>
    </row>
    <row r="36" spans="1:6">
      <c r="A36">
        <v>7</v>
      </c>
      <c r="B36">
        <v>3</v>
      </c>
      <c r="C36" t="s">
        <v>3000</v>
      </c>
      <c r="D36" t="s">
        <v>420</v>
      </c>
      <c r="E36" t="s">
        <v>3002</v>
      </c>
      <c r="F36" t="s">
        <v>1935</v>
      </c>
    </row>
    <row r="37" spans="1:6">
      <c r="A37">
        <v>7</v>
      </c>
      <c r="B37">
        <v>4</v>
      </c>
      <c r="C37" t="s">
        <v>3000</v>
      </c>
      <c r="D37" t="s">
        <v>422</v>
      </c>
      <c r="E37" t="s">
        <v>3002</v>
      </c>
      <c r="F37" t="s">
        <v>1935</v>
      </c>
    </row>
    <row r="38" spans="1:6">
      <c r="A38">
        <v>7</v>
      </c>
      <c r="B38">
        <v>5</v>
      </c>
      <c r="C38" t="s">
        <v>3000</v>
      </c>
      <c r="D38" t="s">
        <v>3021</v>
      </c>
      <c r="E38" t="s">
        <v>3002</v>
      </c>
      <c r="F38" t="s">
        <v>1935</v>
      </c>
    </row>
    <row r="39" spans="1:6">
      <c r="A39">
        <v>7</v>
      </c>
      <c r="B39">
        <v>6</v>
      </c>
      <c r="C39" t="s">
        <v>3000</v>
      </c>
      <c r="D39" t="s">
        <v>3022</v>
      </c>
      <c r="E39" t="s">
        <v>3002</v>
      </c>
      <c r="F39" t="s">
        <v>1935</v>
      </c>
    </row>
    <row r="40" spans="1:6">
      <c r="A40">
        <v>7</v>
      </c>
      <c r="B40">
        <v>7</v>
      </c>
      <c r="C40" t="s">
        <v>3000</v>
      </c>
      <c r="D40" t="s">
        <v>3023</v>
      </c>
      <c r="E40" t="s">
        <v>3002</v>
      </c>
      <c r="F40" t="s">
        <v>1935</v>
      </c>
    </row>
    <row r="41" spans="1:6">
      <c r="A41">
        <v>8</v>
      </c>
      <c r="B41">
        <v>1</v>
      </c>
      <c r="C41" t="s">
        <v>3000</v>
      </c>
      <c r="D41" t="s">
        <v>3016</v>
      </c>
      <c r="E41" t="s">
        <v>3002</v>
      </c>
      <c r="F41" t="s">
        <v>1935</v>
      </c>
    </row>
    <row r="42" spans="1:6">
      <c r="A42">
        <v>8</v>
      </c>
      <c r="B42">
        <v>2</v>
      </c>
      <c r="C42" t="s">
        <v>3000</v>
      </c>
      <c r="D42" t="s">
        <v>212</v>
      </c>
      <c r="E42" t="s">
        <v>3002</v>
      </c>
      <c r="F42" t="s">
        <v>1935</v>
      </c>
    </row>
    <row r="43" spans="1:6">
      <c r="A43">
        <v>8</v>
      </c>
      <c r="B43">
        <v>3</v>
      </c>
      <c r="C43" t="s">
        <v>3000</v>
      </c>
      <c r="D43" t="s">
        <v>3017</v>
      </c>
      <c r="E43" t="s">
        <v>3002</v>
      </c>
      <c r="F43" t="s">
        <v>1935</v>
      </c>
    </row>
    <row r="44" spans="1:6">
      <c r="A44">
        <v>8</v>
      </c>
      <c r="B44">
        <v>4</v>
      </c>
      <c r="C44" t="s">
        <v>3000</v>
      </c>
      <c r="D44" t="s">
        <v>210</v>
      </c>
      <c r="E44" t="s">
        <v>3002</v>
      </c>
      <c r="F44" t="s">
        <v>1935</v>
      </c>
    </row>
    <row r="45" spans="1:6">
      <c r="A45">
        <v>8</v>
      </c>
      <c r="B45">
        <v>5</v>
      </c>
      <c r="C45" t="s">
        <v>3000</v>
      </c>
      <c r="D45" t="s">
        <v>3024</v>
      </c>
      <c r="E45" t="s">
        <v>3002</v>
      </c>
      <c r="F45" t="s">
        <v>1935</v>
      </c>
    </row>
    <row r="46" spans="1:6">
      <c r="A46">
        <v>8</v>
      </c>
      <c r="B46">
        <v>6</v>
      </c>
      <c r="C46" t="s">
        <v>3000</v>
      </c>
      <c r="D46" t="s">
        <v>216</v>
      </c>
      <c r="E46" t="s">
        <v>3002</v>
      </c>
      <c r="F46" t="s">
        <v>1935</v>
      </c>
    </row>
    <row r="47" spans="1:6">
      <c r="A47">
        <v>8</v>
      </c>
      <c r="B47">
        <v>7</v>
      </c>
      <c r="C47" t="s">
        <v>3000</v>
      </c>
      <c r="D47" t="s">
        <v>3025</v>
      </c>
      <c r="E47" t="s">
        <v>3002</v>
      </c>
      <c r="F47" t="s">
        <v>1935</v>
      </c>
    </row>
    <row r="48" spans="1:6">
      <c r="A48">
        <v>9</v>
      </c>
      <c r="B48">
        <v>1</v>
      </c>
      <c r="C48" t="s">
        <v>3000</v>
      </c>
      <c r="D48" t="s">
        <v>3026</v>
      </c>
      <c r="E48" t="s">
        <v>3002</v>
      </c>
      <c r="F48" t="s">
        <v>1935</v>
      </c>
    </row>
    <row r="49" spans="1:6">
      <c r="A49">
        <v>9</v>
      </c>
      <c r="B49">
        <v>2</v>
      </c>
      <c r="C49" t="s">
        <v>3000</v>
      </c>
      <c r="D49" t="s">
        <v>3027</v>
      </c>
      <c r="E49" t="s">
        <v>3002</v>
      </c>
      <c r="F49" t="s">
        <v>1935</v>
      </c>
    </row>
    <row r="50" spans="1:6">
      <c r="A50">
        <v>9</v>
      </c>
      <c r="B50">
        <v>3</v>
      </c>
      <c r="C50" t="s">
        <v>3000</v>
      </c>
      <c r="D50" t="s">
        <v>352</v>
      </c>
      <c r="E50" t="s">
        <v>3002</v>
      </c>
      <c r="F50" t="s">
        <v>1935</v>
      </c>
    </row>
    <row r="51" spans="1:6">
      <c r="A51">
        <v>9</v>
      </c>
      <c r="B51">
        <v>4</v>
      </c>
      <c r="C51" t="s">
        <v>3000</v>
      </c>
      <c r="D51" t="s">
        <v>360</v>
      </c>
      <c r="E51" t="s">
        <v>3002</v>
      </c>
      <c r="F51" t="s">
        <v>1935</v>
      </c>
    </row>
    <row r="52" spans="1:6">
      <c r="A52">
        <v>9</v>
      </c>
      <c r="B52">
        <v>5</v>
      </c>
      <c r="C52" t="s">
        <v>3000</v>
      </c>
      <c r="D52" t="s">
        <v>359</v>
      </c>
      <c r="E52" t="s">
        <v>3002</v>
      </c>
      <c r="F52" t="s">
        <v>1935</v>
      </c>
    </row>
    <row r="53" spans="1:6">
      <c r="A53">
        <v>9</v>
      </c>
      <c r="B53">
        <v>6</v>
      </c>
      <c r="C53" t="s">
        <v>3000</v>
      </c>
      <c r="D53" t="s">
        <v>3028</v>
      </c>
      <c r="E53" t="s">
        <v>3002</v>
      </c>
      <c r="F53" t="s">
        <v>1935</v>
      </c>
    </row>
    <row r="54" spans="1:6">
      <c r="A54">
        <v>9</v>
      </c>
      <c r="B54">
        <v>7</v>
      </c>
      <c r="C54" t="s">
        <v>3000</v>
      </c>
      <c r="D54" t="s">
        <v>354</v>
      </c>
      <c r="E54" t="s">
        <v>3002</v>
      </c>
      <c r="F54" t="s">
        <v>1935</v>
      </c>
    </row>
    <row r="55" spans="1:6">
      <c r="A55">
        <v>9</v>
      </c>
      <c r="B55">
        <v>8</v>
      </c>
      <c r="C55" t="s">
        <v>3000</v>
      </c>
      <c r="D55" t="s">
        <v>3029</v>
      </c>
      <c r="E55" t="s">
        <v>3002</v>
      </c>
      <c r="F55" t="s">
        <v>1935</v>
      </c>
    </row>
    <row r="56" spans="1:6">
      <c r="A56">
        <v>9</v>
      </c>
      <c r="B56">
        <v>9</v>
      </c>
      <c r="C56" t="s">
        <v>3000</v>
      </c>
      <c r="D56" t="s">
        <v>356</v>
      </c>
      <c r="E56" t="s">
        <v>3002</v>
      </c>
      <c r="F56" t="s">
        <v>1935</v>
      </c>
    </row>
    <row r="57" spans="1:6">
      <c r="A57">
        <v>9</v>
      </c>
      <c r="B57">
        <v>10</v>
      </c>
      <c r="C57" t="s">
        <v>3000</v>
      </c>
      <c r="D57" t="s">
        <v>3030</v>
      </c>
      <c r="E57" t="s">
        <v>3002</v>
      </c>
      <c r="F57" t="s">
        <v>1935</v>
      </c>
    </row>
    <row r="58" spans="1:6">
      <c r="A58">
        <v>9</v>
      </c>
      <c r="B58">
        <v>11</v>
      </c>
      <c r="C58" t="s">
        <v>3000</v>
      </c>
      <c r="D58" t="s">
        <v>3031</v>
      </c>
      <c r="E58" t="s">
        <v>3002</v>
      </c>
      <c r="F58" t="s">
        <v>1935</v>
      </c>
    </row>
    <row r="59" spans="1:6">
      <c r="A59">
        <v>9</v>
      </c>
      <c r="B59">
        <v>12</v>
      </c>
      <c r="C59" t="s">
        <v>3000</v>
      </c>
      <c r="D59" t="s">
        <v>3032</v>
      </c>
      <c r="E59" t="s">
        <v>3002</v>
      </c>
      <c r="F59" t="s">
        <v>1935</v>
      </c>
    </row>
    <row r="60" spans="1:6">
      <c r="A60">
        <v>9</v>
      </c>
      <c r="B60">
        <v>13</v>
      </c>
      <c r="C60" t="s">
        <v>3000</v>
      </c>
      <c r="D60" t="s">
        <v>3033</v>
      </c>
      <c r="E60" t="s">
        <v>3002</v>
      </c>
      <c r="F60" t="s">
        <v>1935</v>
      </c>
    </row>
    <row r="61" spans="1:6">
      <c r="A61">
        <v>10</v>
      </c>
      <c r="B61">
        <v>1</v>
      </c>
      <c r="C61" t="s">
        <v>3000</v>
      </c>
      <c r="D61" t="s">
        <v>3026</v>
      </c>
      <c r="E61" t="s">
        <v>3002</v>
      </c>
      <c r="F61" t="s">
        <v>1935</v>
      </c>
    </row>
    <row r="62" spans="1:6">
      <c r="A62">
        <v>10</v>
      </c>
      <c r="B62">
        <v>2</v>
      </c>
      <c r="C62" t="s">
        <v>3000</v>
      </c>
      <c r="D62" t="s">
        <v>3034</v>
      </c>
      <c r="E62" t="s">
        <v>3002</v>
      </c>
      <c r="F62" t="s">
        <v>1935</v>
      </c>
    </row>
    <row r="63" spans="1:6">
      <c r="A63">
        <v>10</v>
      </c>
      <c r="B63">
        <v>3</v>
      </c>
      <c r="C63" t="s">
        <v>3000</v>
      </c>
      <c r="D63" t="s">
        <v>3035</v>
      </c>
      <c r="E63" t="s">
        <v>3002</v>
      </c>
      <c r="F63" t="s">
        <v>1935</v>
      </c>
    </row>
    <row r="64" spans="1:6">
      <c r="A64">
        <v>10</v>
      </c>
      <c r="B64">
        <v>4</v>
      </c>
      <c r="C64" t="s">
        <v>3000</v>
      </c>
      <c r="D64" t="s">
        <v>352</v>
      </c>
      <c r="E64" t="s">
        <v>3002</v>
      </c>
      <c r="F64" t="s">
        <v>1935</v>
      </c>
    </row>
    <row r="65" spans="1:6">
      <c r="A65">
        <v>10</v>
      </c>
      <c r="B65">
        <v>5</v>
      </c>
      <c r="C65" t="s">
        <v>3000</v>
      </c>
      <c r="D65" t="s">
        <v>359</v>
      </c>
      <c r="E65" t="s">
        <v>3002</v>
      </c>
      <c r="F65" t="s">
        <v>1935</v>
      </c>
    </row>
    <row r="66" spans="1:6">
      <c r="A66">
        <v>10</v>
      </c>
      <c r="B66">
        <v>6</v>
      </c>
      <c r="C66" t="s">
        <v>3000</v>
      </c>
      <c r="D66" t="s">
        <v>360</v>
      </c>
      <c r="E66" t="s">
        <v>3002</v>
      </c>
      <c r="F66" t="s">
        <v>1935</v>
      </c>
    </row>
    <row r="67" spans="1:6">
      <c r="A67">
        <v>10</v>
      </c>
      <c r="B67">
        <v>7</v>
      </c>
      <c r="C67" t="s">
        <v>3000</v>
      </c>
      <c r="D67" t="s">
        <v>356</v>
      </c>
      <c r="E67" t="s">
        <v>3002</v>
      </c>
      <c r="F67" t="s">
        <v>1935</v>
      </c>
    </row>
    <row r="68" spans="1:6">
      <c r="A68">
        <v>11</v>
      </c>
      <c r="B68">
        <v>1</v>
      </c>
      <c r="C68" t="s">
        <v>3000</v>
      </c>
      <c r="D68" t="s">
        <v>3026</v>
      </c>
      <c r="E68" t="s">
        <v>3002</v>
      </c>
      <c r="F68" t="s">
        <v>1935</v>
      </c>
    </row>
    <row r="69" spans="1:6">
      <c r="A69">
        <v>11</v>
      </c>
      <c r="B69">
        <v>2</v>
      </c>
      <c r="C69" t="s">
        <v>3000</v>
      </c>
      <c r="D69" t="s">
        <v>359</v>
      </c>
      <c r="E69" t="s">
        <v>3002</v>
      </c>
      <c r="F69" t="s">
        <v>1935</v>
      </c>
    </row>
    <row r="70" spans="1:6">
      <c r="A70">
        <v>11</v>
      </c>
      <c r="B70">
        <v>3</v>
      </c>
      <c r="C70" t="s">
        <v>3000</v>
      </c>
      <c r="D70" t="s">
        <v>3028</v>
      </c>
      <c r="E70" t="s">
        <v>3002</v>
      </c>
      <c r="F70" t="s">
        <v>1935</v>
      </c>
    </row>
    <row r="71" spans="1:6">
      <c r="A71">
        <v>11</v>
      </c>
      <c r="B71">
        <v>4</v>
      </c>
      <c r="C71" t="s">
        <v>3000</v>
      </c>
      <c r="D71" t="s">
        <v>3036</v>
      </c>
      <c r="E71" t="s">
        <v>3002</v>
      </c>
      <c r="F71" t="s">
        <v>1935</v>
      </c>
    </row>
    <row r="72" spans="1:6">
      <c r="A72">
        <v>11</v>
      </c>
      <c r="B72">
        <v>5</v>
      </c>
      <c r="C72" t="s">
        <v>3000</v>
      </c>
      <c r="D72" t="s">
        <v>356</v>
      </c>
      <c r="E72" t="s">
        <v>3002</v>
      </c>
      <c r="F72" t="s">
        <v>1935</v>
      </c>
    </row>
    <row r="73" spans="1:6">
      <c r="A73">
        <v>11</v>
      </c>
      <c r="B73">
        <v>6</v>
      </c>
      <c r="C73" t="s">
        <v>3000</v>
      </c>
      <c r="D73" t="s">
        <v>354</v>
      </c>
      <c r="E73" t="s">
        <v>3002</v>
      </c>
      <c r="F73" t="s">
        <v>1935</v>
      </c>
    </row>
    <row r="74" spans="1:6">
      <c r="A74">
        <v>11</v>
      </c>
      <c r="B74">
        <v>7</v>
      </c>
      <c r="C74" t="s">
        <v>3000</v>
      </c>
      <c r="D74" t="s">
        <v>3030</v>
      </c>
      <c r="E74" t="s">
        <v>3002</v>
      </c>
      <c r="F74" t="s">
        <v>1935</v>
      </c>
    </row>
    <row r="75" spans="1:6">
      <c r="A75">
        <v>11</v>
      </c>
      <c r="B75">
        <v>8</v>
      </c>
      <c r="C75" t="s">
        <v>3000</v>
      </c>
      <c r="D75" t="s">
        <v>3031</v>
      </c>
      <c r="E75" t="s">
        <v>3002</v>
      </c>
      <c r="F75" t="s">
        <v>1935</v>
      </c>
    </row>
    <row r="76" spans="1:6">
      <c r="A76">
        <v>11</v>
      </c>
      <c r="B76">
        <v>9</v>
      </c>
      <c r="C76" t="s">
        <v>3000</v>
      </c>
      <c r="D76" t="s">
        <v>3027</v>
      </c>
      <c r="E76" t="s">
        <v>3002</v>
      </c>
      <c r="F76" t="s">
        <v>1935</v>
      </c>
    </row>
    <row r="77" spans="1:6">
      <c r="A77">
        <v>11</v>
      </c>
      <c r="B77">
        <v>10</v>
      </c>
      <c r="C77" t="s">
        <v>3000</v>
      </c>
      <c r="D77" t="s">
        <v>352</v>
      </c>
      <c r="E77" t="s">
        <v>3002</v>
      </c>
      <c r="F77" t="s">
        <v>1935</v>
      </c>
    </row>
    <row r="78" spans="1:6">
      <c r="A78">
        <v>11</v>
      </c>
      <c r="B78">
        <v>11</v>
      </c>
      <c r="C78" t="s">
        <v>3000</v>
      </c>
      <c r="D78" t="s">
        <v>360</v>
      </c>
      <c r="E78" t="s">
        <v>3002</v>
      </c>
      <c r="F78" t="s">
        <v>1935</v>
      </c>
    </row>
    <row r="79" spans="1:6">
      <c r="A79">
        <v>11</v>
      </c>
      <c r="B79">
        <v>12</v>
      </c>
      <c r="C79" t="s">
        <v>3000</v>
      </c>
      <c r="D79" t="s">
        <v>3032</v>
      </c>
      <c r="E79" t="s">
        <v>3002</v>
      </c>
      <c r="F79" t="s">
        <v>1935</v>
      </c>
    </row>
    <row r="80" spans="1:6">
      <c r="A80">
        <v>12</v>
      </c>
      <c r="B80">
        <v>1</v>
      </c>
      <c r="C80" t="s">
        <v>3000</v>
      </c>
      <c r="D80" t="s">
        <v>3037</v>
      </c>
      <c r="E80" t="s">
        <v>3002</v>
      </c>
      <c r="F80" t="s">
        <v>1935</v>
      </c>
    </row>
    <row r="81" spans="1:6">
      <c r="A81">
        <v>12</v>
      </c>
      <c r="B81">
        <v>2</v>
      </c>
      <c r="C81" t="s">
        <v>3000</v>
      </c>
      <c r="D81" t="s">
        <v>422</v>
      </c>
      <c r="E81" t="s">
        <v>3002</v>
      </c>
      <c r="F81" t="s">
        <v>1935</v>
      </c>
    </row>
    <row r="82" spans="1:6">
      <c r="A82">
        <v>12</v>
      </c>
      <c r="B82">
        <v>3</v>
      </c>
      <c r="C82" t="s">
        <v>3000</v>
      </c>
      <c r="D82" t="s">
        <v>420</v>
      </c>
      <c r="E82" t="s">
        <v>3002</v>
      </c>
      <c r="F82" t="s">
        <v>1935</v>
      </c>
    </row>
    <row r="83" spans="1:6">
      <c r="A83">
        <v>12</v>
      </c>
      <c r="B83">
        <v>4</v>
      </c>
      <c r="C83" t="s">
        <v>3000</v>
      </c>
      <c r="D83" t="s">
        <v>3020</v>
      </c>
      <c r="E83" t="s">
        <v>3002</v>
      </c>
      <c r="F83" t="s">
        <v>1935</v>
      </c>
    </row>
    <row r="84" spans="1:6">
      <c r="A84">
        <v>13</v>
      </c>
      <c r="B84">
        <v>1</v>
      </c>
      <c r="C84" t="s">
        <v>3000</v>
      </c>
      <c r="D84" t="s">
        <v>3026</v>
      </c>
      <c r="E84" t="s">
        <v>3002</v>
      </c>
      <c r="F84" t="s">
        <v>1935</v>
      </c>
    </row>
    <row r="85" spans="1:6">
      <c r="A85">
        <v>13</v>
      </c>
      <c r="B85">
        <v>2</v>
      </c>
      <c r="C85" t="s">
        <v>3000</v>
      </c>
      <c r="D85" t="s">
        <v>3038</v>
      </c>
      <c r="E85" t="s">
        <v>3002</v>
      </c>
      <c r="F85" t="s">
        <v>1935</v>
      </c>
    </row>
    <row r="86" spans="1:6">
      <c r="A86">
        <v>13</v>
      </c>
      <c r="B86">
        <v>3</v>
      </c>
      <c r="C86" t="s">
        <v>3000</v>
      </c>
      <c r="D86" t="s">
        <v>356</v>
      </c>
      <c r="E86" t="s">
        <v>3002</v>
      </c>
      <c r="F86" t="s">
        <v>1935</v>
      </c>
    </row>
    <row r="87" spans="1:6">
      <c r="A87">
        <v>13</v>
      </c>
      <c r="B87">
        <v>4</v>
      </c>
      <c r="C87" t="s">
        <v>3000</v>
      </c>
      <c r="D87" t="s">
        <v>360</v>
      </c>
      <c r="E87" t="s">
        <v>3002</v>
      </c>
      <c r="F87" t="s">
        <v>1935</v>
      </c>
    </row>
    <row r="88" spans="1:6">
      <c r="A88">
        <v>13</v>
      </c>
      <c r="B88">
        <v>5</v>
      </c>
      <c r="C88" t="s">
        <v>3000</v>
      </c>
      <c r="D88" t="s">
        <v>359</v>
      </c>
      <c r="E88" t="s">
        <v>3002</v>
      </c>
      <c r="F88" t="s">
        <v>1935</v>
      </c>
    </row>
    <row r="89" spans="1:6">
      <c r="A89">
        <v>13</v>
      </c>
      <c r="B89">
        <v>6</v>
      </c>
      <c r="C89" t="s">
        <v>3000</v>
      </c>
      <c r="D89" t="s">
        <v>350</v>
      </c>
      <c r="E89" t="s">
        <v>3002</v>
      </c>
      <c r="F89" t="s">
        <v>1935</v>
      </c>
    </row>
    <row r="90" spans="1:6">
      <c r="A90">
        <v>13</v>
      </c>
      <c r="B90">
        <v>7</v>
      </c>
      <c r="C90" t="s">
        <v>3000</v>
      </c>
      <c r="D90" t="s">
        <v>3030</v>
      </c>
      <c r="E90" t="s">
        <v>3002</v>
      </c>
      <c r="F90" t="s">
        <v>1935</v>
      </c>
    </row>
    <row r="91" spans="1:6">
      <c r="A91">
        <v>13</v>
      </c>
      <c r="B91">
        <v>8</v>
      </c>
      <c r="C91" t="s">
        <v>3000</v>
      </c>
      <c r="D91" t="s">
        <v>352</v>
      </c>
      <c r="E91" t="s">
        <v>3002</v>
      </c>
      <c r="F91" t="s">
        <v>1935</v>
      </c>
    </row>
    <row r="92" spans="1:6">
      <c r="A92">
        <v>13</v>
      </c>
      <c r="B92">
        <v>9</v>
      </c>
      <c r="C92" t="s">
        <v>3000</v>
      </c>
      <c r="D92" t="s">
        <v>354</v>
      </c>
      <c r="E92" t="s">
        <v>3002</v>
      </c>
      <c r="F92" t="s">
        <v>1935</v>
      </c>
    </row>
    <row r="93" spans="1:6">
      <c r="A93">
        <v>13</v>
      </c>
      <c r="B93">
        <v>10</v>
      </c>
      <c r="C93" t="s">
        <v>3000</v>
      </c>
      <c r="D93" t="s">
        <v>3039</v>
      </c>
      <c r="E93" t="s">
        <v>3002</v>
      </c>
      <c r="F93" t="s">
        <v>1935</v>
      </c>
    </row>
    <row r="94" spans="1:6">
      <c r="A94">
        <v>14</v>
      </c>
      <c r="B94">
        <v>1</v>
      </c>
      <c r="C94" t="s">
        <v>3000</v>
      </c>
      <c r="D94" t="s">
        <v>3014</v>
      </c>
      <c r="E94" t="s">
        <v>3002</v>
      </c>
      <c r="F94" t="s">
        <v>1935</v>
      </c>
    </row>
    <row r="95" spans="1:6">
      <c r="A95">
        <v>14</v>
      </c>
      <c r="B95">
        <v>2</v>
      </c>
      <c r="C95" t="s">
        <v>3000</v>
      </c>
      <c r="D95" t="s">
        <v>3040</v>
      </c>
      <c r="E95" t="s">
        <v>3002</v>
      </c>
      <c r="F95" t="s">
        <v>1935</v>
      </c>
    </row>
    <row r="96" spans="1:6">
      <c r="A96">
        <v>14</v>
      </c>
      <c r="B96">
        <v>3</v>
      </c>
      <c r="C96" t="s">
        <v>3000</v>
      </c>
      <c r="D96" t="s">
        <v>3041</v>
      </c>
      <c r="E96" t="s">
        <v>3002</v>
      </c>
      <c r="F96" t="s">
        <v>1935</v>
      </c>
    </row>
    <row r="97" spans="1:6">
      <c r="A97">
        <v>14</v>
      </c>
      <c r="B97">
        <v>4</v>
      </c>
      <c r="C97" t="s">
        <v>3000</v>
      </c>
      <c r="D97" t="s">
        <v>3042</v>
      </c>
      <c r="E97" t="s">
        <v>3002</v>
      </c>
      <c r="F97" t="s">
        <v>1935</v>
      </c>
    </row>
    <row r="98" spans="1:6">
      <c r="A98">
        <v>14</v>
      </c>
      <c r="B98">
        <v>5</v>
      </c>
      <c r="C98" t="s">
        <v>3000</v>
      </c>
      <c r="D98" t="s">
        <v>3013</v>
      </c>
      <c r="E98" t="s">
        <v>3002</v>
      </c>
      <c r="F98" t="s">
        <v>1935</v>
      </c>
    </row>
    <row r="99" spans="1:6">
      <c r="A99">
        <v>14</v>
      </c>
      <c r="B99">
        <v>7</v>
      </c>
      <c r="C99" t="s">
        <v>3000</v>
      </c>
      <c r="D99" t="s">
        <v>1148</v>
      </c>
      <c r="E99" t="s">
        <v>3002</v>
      </c>
      <c r="F99" t="s">
        <v>1935</v>
      </c>
    </row>
    <row r="100" spans="1:6">
      <c r="A100">
        <v>14</v>
      </c>
      <c r="B100">
        <v>8</v>
      </c>
      <c r="C100" t="s">
        <v>3000</v>
      </c>
      <c r="D100" t="s">
        <v>3043</v>
      </c>
      <c r="E100" t="s">
        <v>3002</v>
      </c>
      <c r="F100" t="s">
        <v>1935</v>
      </c>
    </row>
    <row r="101" spans="1:6">
      <c r="A101">
        <v>14</v>
      </c>
      <c r="B101">
        <v>9</v>
      </c>
      <c r="C101" t="s">
        <v>3000</v>
      </c>
      <c r="D101" t="s">
        <v>3012</v>
      </c>
      <c r="E101" t="s">
        <v>3002</v>
      </c>
      <c r="F101" t="s">
        <v>1935</v>
      </c>
    </row>
    <row r="102" spans="1:6">
      <c r="A102">
        <v>14</v>
      </c>
      <c r="B102">
        <v>10</v>
      </c>
      <c r="C102" t="s">
        <v>3000</v>
      </c>
      <c r="D102" t="s">
        <v>377</v>
      </c>
      <c r="E102" t="s">
        <v>3002</v>
      </c>
      <c r="F102" t="s">
        <v>1935</v>
      </c>
    </row>
    <row r="103" spans="1:6">
      <c r="A103">
        <v>14</v>
      </c>
      <c r="B103">
        <v>12</v>
      </c>
      <c r="C103" t="s">
        <v>3000</v>
      </c>
      <c r="D103" t="s">
        <v>3013</v>
      </c>
      <c r="E103" t="s">
        <v>3002</v>
      </c>
      <c r="F103" t="s">
        <v>1935</v>
      </c>
    </row>
    <row r="104" spans="1:6">
      <c r="A104">
        <v>14</v>
      </c>
      <c r="B104">
        <v>13</v>
      </c>
      <c r="C104" t="s">
        <v>3000</v>
      </c>
      <c r="D104" t="s">
        <v>3044</v>
      </c>
      <c r="E104" t="s">
        <v>3002</v>
      </c>
      <c r="F104" t="s">
        <v>1935</v>
      </c>
    </row>
    <row r="105" spans="1:6">
      <c r="A105">
        <v>14</v>
      </c>
      <c r="B105">
        <v>14</v>
      </c>
      <c r="C105" t="s">
        <v>3000</v>
      </c>
      <c r="D105" t="s">
        <v>3045</v>
      </c>
      <c r="E105" t="s">
        <v>3002</v>
      </c>
      <c r="F105" t="s">
        <v>1935</v>
      </c>
    </row>
    <row r="106" spans="1:6">
      <c r="A106">
        <v>14</v>
      </c>
      <c r="B106">
        <v>15</v>
      </c>
      <c r="C106" t="s">
        <v>3000</v>
      </c>
      <c r="D106" t="s">
        <v>383</v>
      </c>
      <c r="E106" t="s">
        <v>3002</v>
      </c>
      <c r="F106" t="s">
        <v>1935</v>
      </c>
    </row>
    <row r="107" spans="1:6">
      <c r="A107">
        <v>14</v>
      </c>
      <c r="B107">
        <v>16</v>
      </c>
      <c r="C107" t="s">
        <v>3000</v>
      </c>
      <c r="D107" t="s">
        <v>385</v>
      </c>
      <c r="E107" t="s">
        <v>3002</v>
      </c>
      <c r="F107" t="s">
        <v>1935</v>
      </c>
    </row>
    <row r="108" spans="1:6">
      <c r="A108">
        <v>14</v>
      </c>
      <c r="B108">
        <v>17</v>
      </c>
      <c r="C108" t="s">
        <v>3000</v>
      </c>
      <c r="D108" t="s">
        <v>3046</v>
      </c>
      <c r="E108" t="s">
        <v>3002</v>
      </c>
      <c r="F108" t="s">
        <v>1935</v>
      </c>
    </row>
    <row r="109" spans="1:6">
      <c r="A109">
        <v>15</v>
      </c>
      <c r="B109">
        <v>1</v>
      </c>
      <c r="C109" t="s">
        <v>3000</v>
      </c>
      <c r="D109" t="s">
        <v>3047</v>
      </c>
      <c r="E109" t="s">
        <v>3002</v>
      </c>
      <c r="F109" t="s">
        <v>1935</v>
      </c>
    </row>
    <row r="110" spans="1:6">
      <c r="A110">
        <v>15</v>
      </c>
      <c r="B110">
        <v>2</v>
      </c>
      <c r="C110" t="s">
        <v>3000</v>
      </c>
      <c r="D110" t="s">
        <v>3048</v>
      </c>
      <c r="E110" t="s">
        <v>3002</v>
      </c>
      <c r="F110" t="s">
        <v>1935</v>
      </c>
    </row>
    <row r="111" spans="1:6">
      <c r="A111">
        <v>15</v>
      </c>
      <c r="B111">
        <v>3</v>
      </c>
      <c r="C111" t="s">
        <v>3000</v>
      </c>
      <c r="D111" t="s">
        <v>3049</v>
      </c>
      <c r="E111" t="s">
        <v>3002</v>
      </c>
      <c r="F111" t="s">
        <v>1935</v>
      </c>
    </row>
    <row r="112" spans="1:6">
      <c r="A112">
        <v>15</v>
      </c>
      <c r="B112">
        <v>4</v>
      </c>
      <c r="C112" t="s">
        <v>3000</v>
      </c>
      <c r="D112" t="s">
        <v>1139</v>
      </c>
      <c r="E112" t="s">
        <v>3002</v>
      </c>
      <c r="F112" t="s">
        <v>1935</v>
      </c>
    </row>
    <row r="113" spans="1:6">
      <c r="A113">
        <v>15</v>
      </c>
      <c r="B113">
        <v>7</v>
      </c>
      <c r="C113" t="s">
        <v>3000</v>
      </c>
      <c r="D113" t="s">
        <v>3050</v>
      </c>
      <c r="E113" t="s">
        <v>3002</v>
      </c>
      <c r="F113" t="s">
        <v>1935</v>
      </c>
    </row>
    <row r="114" spans="1:6">
      <c r="A114">
        <v>15</v>
      </c>
      <c r="B114">
        <v>8</v>
      </c>
      <c r="C114" t="s">
        <v>3000</v>
      </c>
      <c r="D114" t="s">
        <v>405</v>
      </c>
      <c r="E114" t="s">
        <v>3002</v>
      </c>
      <c r="F114" t="s">
        <v>1935</v>
      </c>
    </row>
    <row r="115" spans="1:6">
      <c r="A115">
        <v>15</v>
      </c>
      <c r="B115">
        <v>9</v>
      </c>
      <c r="C115" t="s">
        <v>3000</v>
      </c>
      <c r="D115" t="s">
        <v>3051</v>
      </c>
      <c r="E115" t="s">
        <v>3002</v>
      </c>
      <c r="F115" t="s">
        <v>1935</v>
      </c>
    </row>
    <row r="116" spans="1:6">
      <c r="A116">
        <v>15</v>
      </c>
      <c r="B116">
        <v>10</v>
      </c>
      <c r="C116" t="s">
        <v>3000</v>
      </c>
      <c r="D116" t="s">
        <v>3052</v>
      </c>
      <c r="E116" t="s">
        <v>3002</v>
      </c>
      <c r="F116" t="s">
        <v>1935</v>
      </c>
    </row>
    <row r="117" spans="1:6">
      <c r="A117">
        <v>15</v>
      </c>
      <c r="B117">
        <v>11</v>
      </c>
      <c r="C117" t="s">
        <v>3000</v>
      </c>
      <c r="D117" t="s">
        <v>3053</v>
      </c>
      <c r="E117" t="s">
        <v>3002</v>
      </c>
      <c r="F117" t="s">
        <v>1935</v>
      </c>
    </row>
    <row r="118" spans="1:6">
      <c r="A118">
        <v>15</v>
      </c>
      <c r="B118">
        <v>12</v>
      </c>
      <c r="C118" t="s">
        <v>3000</v>
      </c>
      <c r="D118" t="s">
        <v>3054</v>
      </c>
      <c r="E118" t="s">
        <v>3002</v>
      </c>
      <c r="F118" t="s">
        <v>1935</v>
      </c>
    </row>
    <row r="119" spans="1:6">
      <c r="A119">
        <v>15</v>
      </c>
      <c r="B119">
        <v>13</v>
      </c>
      <c r="C119" t="s">
        <v>3000</v>
      </c>
      <c r="D119" t="s">
        <v>3055</v>
      </c>
      <c r="E119" t="s">
        <v>3002</v>
      </c>
      <c r="F119" t="s">
        <v>1935</v>
      </c>
    </row>
    <row r="120" spans="1:6">
      <c r="A120">
        <v>15</v>
      </c>
      <c r="B120">
        <v>14</v>
      </c>
      <c r="C120" t="s">
        <v>3000</v>
      </c>
      <c r="D120" t="s">
        <v>408</v>
      </c>
      <c r="E120" t="s">
        <v>3002</v>
      </c>
      <c r="F120" t="s">
        <v>1935</v>
      </c>
    </row>
    <row r="121" spans="1:6">
      <c r="A121">
        <v>15</v>
      </c>
      <c r="B121">
        <v>15</v>
      </c>
      <c r="C121" t="s">
        <v>3000</v>
      </c>
      <c r="D121" t="s">
        <v>3013</v>
      </c>
      <c r="E121" t="s">
        <v>3002</v>
      </c>
      <c r="F121" t="s">
        <v>1935</v>
      </c>
    </row>
    <row r="122" spans="1:6">
      <c r="A122">
        <v>15</v>
      </c>
      <c r="B122">
        <v>16</v>
      </c>
      <c r="C122" t="s">
        <v>3000</v>
      </c>
      <c r="D122" t="s">
        <v>3056</v>
      </c>
      <c r="E122" t="s">
        <v>3002</v>
      </c>
      <c r="F122" t="s">
        <v>1935</v>
      </c>
    </row>
    <row r="123" spans="1:6">
      <c r="A123">
        <v>15</v>
      </c>
      <c r="B123">
        <v>17</v>
      </c>
      <c r="C123" t="s">
        <v>3000</v>
      </c>
      <c r="D123" t="s">
        <v>3057</v>
      </c>
      <c r="E123" t="s">
        <v>3002</v>
      </c>
      <c r="F123" t="s">
        <v>1935</v>
      </c>
    </row>
    <row r="124" spans="1:6">
      <c r="A124">
        <v>15</v>
      </c>
      <c r="B124">
        <v>18</v>
      </c>
      <c r="C124" t="s">
        <v>3000</v>
      </c>
      <c r="D124" t="s">
        <v>3058</v>
      </c>
      <c r="E124" t="s">
        <v>3002</v>
      </c>
      <c r="F124" t="s">
        <v>1935</v>
      </c>
    </row>
    <row r="125" spans="1:6">
      <c r="A125">
        <v>15</v>
      </c>
      <c r="B125">
        <v>19</v>
      </c>
      <c r="C125" t="s">
        <v>3000</v>
      </c>
      <c r="D125" t="s">
        <v>3059</v>
      </c>
      <c r="E125" t="s">
        <v>3002</v>
      </c>
      <c r="F125" t="s">
        <v>1935</v>
      </c>
    </row>
    <row r="126" spans="1:6">
      <c r="A126">
        <v>16</v>
      </c>
      <c r="B126">
        <v>1</v>
      </c>
      <c r="C126" t="s">
        <v>3000</v>
      </c>
      <c r="D126" t="s">
        <v>3013</v>
      </c>
      <c r="E126" t="s">
        <v>3002</v>
      </c>
      <c r="F126" t="s">
        <v>1935</v>
      </c>
    </row>
    <row r="127" spans="1:6">
      <c r="A127">
        <v>16</v>
      </c>
      <c r="B127">
        <v>2</v>
      </c>
      <c r="C127" t="s">
        <v>3000</v>
      </c>
      <c r="D127" t="s">
        <v>3060</v>
      </c>
      <c r="E127" t="s">
        <v>3002</v>
      </c>
      <c r="F127" t="s">
        <v>1935</v>
      </c>
    </row>
    <row r="128" spans="1:6">
      <c r="A128">
        <v>16</v>
      </c>
      <c r="B128">
        <v>3</v>
      </c>
      <c r="C128" t="s">
        <v>3000</v>
      </c>
      <c r="D128" t="s">
        <v>790</v>
      </c>
      <c r="E128" t="s">
        <v>3002</v>
      </c>
      <c r="F128" t="s">
        <v>1935</v>
      </c>
    </row>
    <row r="129" spans="1:6">
      <c r="A129">
        <v>16</v>
      </c>
      <c r="B129">
        <v>4</v>
      </c>
      <c r="C129" t="s">
        <v>3000</v>
      </c>
      <c r="D129" t="s">
        <v>3061</v>
      </c>
      <c r="E129" t="s">
        <v>3002</v>
      </c>
      <c r="F129" t="s">
        <v>1935</v>
      </c>
    </row>
    <row r="130" spans="1:6">
      <c r="A130">
        <v>16</v>
      </c>
      <c r="B130">
        <v>7</v>
      </c>
      <c r="C130" t="s">
        <v>3000</v>
      </c>
      <c r="D130" t="s">
        <v>3062</v>
      </c>
      <c r="E130" t="s">
        <v>3002</v>
      </c>
      <c r="F130" t="s">
        <v>1935</v>
      </c>
    </row>
    <row r="131" spans="1:6">
      <c r="A131">
        <v>16</v>
      </c>
      <c r="B131">
        <v>8</v>
      </c>
      <c r="C131" t="s">
        <v>3000</v>
      </c>
      <c r="D131" t="s">
        <v>784</v>
      </c>
      <c r="E131" t="s">
        <v>3002</v>
      </c>
      <c r="F131" t="s">
        <v>1935</v>
      </c>
    </row>
    <row r="132" spans="1:6">
      <c r="A132">
        <v>16</v>
      </c>
      <c r="B132">
        <v>9</v>
      </c>
      <c r="C132" t="s">
        <v>3000</v>
      </c>
      <c r="D132" t="s">
        <v>787</v>
      </c>
      <c r="E132" t="s">
        <v>3002</v>
      </c>
      <c r="F132" t="s">
        <v>1935</v>
      </c>
    </row>
    <row r="133" spans="1:6">
      <c r="A133">
        <v>16</v>
      </c>
      <c r="B133">
        <v>10</v>
      </c>
      <c r="C133" t="s">
        <v>3000</v>
      </c>
      <c r="D133" t="s">
        <v>3063</v>
      </c>
      <c r="E133" t="s">
        <v>3002</v>
      </c>
      <c r="F133" t="s">
        <v>1935</v>
      </c>
    </row>
    <row r="134" spans="1:6">
      <c r="A134">
        <v>16</v>
      </c>
      <c r="B134">
        <v>11</v>
      </c>
      <c r="C134" t="s">
        <v>3000</v>
      </c>
      <c r="D134" t="s">
        <v>3064</v>
      </c>
      <c r="E134" t="s">
        <v>3002</v>
      </c>
      <c r="F134" t="s">
        <v>1935</v>
      </c>
    </row>
    <row r="135" spans="1:6">
      <c r="A135">
        <v>16</v>
      </c>
      <c r="B135">
        <v>12</v>
      </c>
      <c r="C135" t="s">
        <v>3000</v>
      </c>
      <c r="D135" t="s">
        <v>3065</v>
      </c>
      <c r="E135" t="s">
        <v>3002</v>
      </c>
      <c r="F135" t="s">
        <v>1935</v>
      </c>
    </row>
    <row r="136" spans="1:6">
      <c r="A136">
        <v>17</v>
      </c>
      <c r="B136">
        <v>1</v>
      </c>
      <c r="C136" t="s">
        <v>3000</v>
      </c>
      <c r="D136" t="s">
        <v>3066</v>
      </c>
      <c r="E136" t="s">
        <v>3002</v>
      </c>
      <c r="F136" t="s">
        <v>1935</v>
      </c>
    </row>
    <row r="137" spans="1:6">
      <c r="A137">
        <v>17</v>
      </c>
      <c r="B137">
        <v>5</v>
      </c>
      <c r="C137" t="s">
        <v>3000</v>
      </c>
      <c r="D137" t="s">
        <v>316</v>
      </c>
      <c r="E137" t="s">
        <v>3002</v>
      </c>
      <c r="F137" t="s">
        <v>1935</v>
      </c>
    </row>
    <row r="138" spans="1:6">
      <c r="A138">
        <v>17</v>
      </c>
      <c r="B138">
        <v>6</v>
      </c>
      <c r="C138" t="s">
        <v>3000</v>
      </c>
      <c r="D138" t="s">
        <v>3067</v>
      </c>
      <c r="E138" t="s">
        <v>3002</v>
      </c>
      <c r="F138" t="s">
        <v>1935</v>
      </c>
    </row>
    <row r="139" spans="1:6">
      <c r="A139">
        <v>17</v>
      </c>
      <c r="B139">
        <v>7</v>
      </c>
      <c r="C139" t="s">
        <v>3000</v>
      </c>
      <c r="D139" t="s">
        <v>3013</v>
      </c>
      <c r="E139" t="s">
        <v>3002</v>
      </c>
      <c r="F139" t="s">
        <v>1935</v>
      </c>
    </row>
    <row r="140" spans="1:6">
      <c r="A140">
        <v>17</v>
      </c>
      <c r="B140">
        <v>9</v>
      </c>
      <c r="C140" t="s">
        <v>3000</v>
      </c>
      <c r="D140" t="s">
        <v>3013</v>
      </c>
      <c r="E140" t="s">
        <v>3002</v>
      </c>
      <c r="F140" t="s">
        <v>1935</v>
      </c>
    </row>
    <row r="141" spans="1:6">
      <c r="A141">
        <v>17</v>
      </c>
      <c r="B141">
        <v>10</v>
      </c>
      <c r="C141" t="s">
        <v>3000</v>
      </c>
      <c r="D141" t="s">
        <v>3068</v>
      </c>
      <c r="E141" t="s">
        <v>3002</v>
      </c>
      <c r="F141" t="s">
        <v>1935</v>
      </c>
    </row>
    <row r="142" spans="1:6">
      <c r="A142">
        <v>17</v>
      </c>
      <c r="B142">
        <v>11</v>
      </c>
      <c r="C142" t="s">
        <v>3000</v>
      </c>
      <c r="D142" t="s">
        <v>3069</v>
      </c>
      <c r="E142" t="s">
        <v>3002</v>
      </c>
      <c r="F142" t="s">
        <v>1935</v>
      </c>
    </row>
    <row r="143" spans="1:6">
      <c r="A143">
        <v>17</v>
      </c>
      <c r="B143">
        <v>12</v>
      </c>
      <c r="C143" t="s">
        <v>3000</v>
      </c>
      <c r="D143" t="s">
        <v>3013</v>
      </c>
      <c r="E143" t="s">
        <v>3002</v>
      </c>
      <c r="F143" t="s">
        <v>1935</v>
      </c>
    </row>
    <row r="144" spans="1:6">
      <c r="A144">
        <v>17</v>
      </c>
      <c r="B144">
        <v>13</v>
      </c>
      <c r="C144" t="s">
        <v>3000</v>
      </c>
      <c r="D144" t="s">
        <v>3070</v>
      </c>
      <c r="E144" t="s">
        <v>3002</v>
      </c>
      <c r="F144" t="s">
        <v>1935</v>
      </c>
    </row>
    <row r="145" spans="1:6">
      <c r="A145">
        <v>17</v>
      </c>
      <c r="B145">
        <v>14</v>
      </c>
      <c r="C145" t="s">
        <v>3000</v>
      </c>
      <c r="D145" t="s">
        <v>3071</v>
      </c>
      <c r="E145" t="s">
        <v>3002</v>
      </c>
      <c r="F145" t="s">
        <v>1935</v>
      </c>
    </row>
    <row r="146" spans="1:6">
      <c r="A146">
        <v>17</v>
      </c>
      <c r="B146">
        <v>15</v>
      </c>
      <c r="C146" t="s">
        <v>3000</v>
      </c>
      <c r="D146" t="s">
        <v>3072</v>
      </c>
      <c r="E146" t="s">
        <v>3002</v>
      </c>
      <c r="F146" t="s">
        <v>1935</v>
      </c>
    </row>
    <row r="147" spans="1:6">
      <c r="A147">
        <v>17</v>
      </c>
      <c r="B147">
        <v>16</v>
      </c>
      <c r="C147" t="s">
        <v>3000</v>
      </c>
      <c r="D147" t="s">
        <v>3073</v>
      </c>
      <c r="E147" t="s">
        <v>3002</v>
      </c>
      <c r="F147" t="s">
        <v>1935</v>
      </c>
    </row>
    <row r="148" spans="1:6">
      <c r="A148">
        <v>17</v>
      </c>
      <c r="B148">
        <v>17</v>
      </c>
      <c r="C148" t="s">
        <v>3000</v>
      </c>
      <c r="D148" t="s">
        <v>319</v>
      </c>
      <c r="E148" t="s">
        <v>3002</v>
      </c>
      <c r="F148" t="s">
        <v>1935</v>
      </c>
    </row>
    <row r="149" spans="1:6">
      <c r="A149">
        <v>17</v>
      </c>
      <c r="B149">
        <v>18</v>
      </c>
      <c r="C149" t="s">
        <v>3000</v>
      </c>
      <c r="D149" t="s">
        <v>3071</v>
      </c>
      <c r="E149" t="s">
        <v>3002</v>
      </c>
      <c r="F149" t="s">
        <v>1935</v>
      </c>
    </row>
    <row r="150" spans="1:6">
      <c r="A150">
        <v>17</v>
      </c>
      <c r="B150">
        <v>19</v>
      </c>
      <c r="C150" t="s">
        <v>3000</v>
      </c>
      <c r="D150" t="s">
        <v>316</v>
      </c>
      <c r="E150" t="s">
        <v>3002</v>
      </c>
      <c r="F150" t="s">
        <v>1935</v>
      </c>
    </row>
    <row r="151" spans="1:6">
      <c r="A151">
        <v>17</v>
      </c>
      <c r="B151">
        <v>20</v>
      </c>
      <c r="C151" t="s">
        <v>3000</v>
      </c>
      <c r="D151" t="s">
        <v>3069</v>
      </c>
      <c r="E151" t="s">
        <v>3002</v>
      </c>
      <c r="F151" t="s">
        <v>1935</v>
      </c>
    </row>
    <row r="152" spans="1:6">
      <c r="A152">
        <v>17</v>
      </c>
      <c r="B152">
        <v>21</v>
      </c>
      <c r="C152" t="s">
        <v>3000</v>
      </c>
      <c r="D152" t="s">
        <v>3074</v>
      </c>
      <c r="E152" t="s">
        <v>3002</v>
      </c>
      <c r="F152" t="s">
        <v>1935</v>
      </c>
    </row>
    <row r="153" spans="1:6">
      <c r="A153">
        <v>17</v>
      </c>
      <c r="B153">
        <v>23</v>
      </c>
      <c r="C153" t="s">
        <v>3000</v>
      </c>
      <c r="D153" t="s">
        <v>3075</v>
      </c>
      <c r="E153" t="s">
        <v>3002</v>
      </c>
      <c r="F153" t="s">
        <v>1935</v>
      </c>
    </row>
    <row r="154" spans="1:6">
      <c r="A154">
        <v>17</v>
      </c>
      <c r="B154">
        <v>24</v>
      </c>
      <c r="C154" t="s">
        <v>3000</v>
      </c>
      <c r="D154" t="s">
        <v>3073</v>
      </c>
      <c r="E154" t="s">
        <v>3002</v>
      </c>
      <c r="F154" t="s">
        <v>1935</v>
      </c>
    </row>
    <row r="155" spans="1:6">
      <c r="A155">
        <v>17</v>
      </c>
      <c r="B155">
        <v>26</v>
      </c>
      <c r="C155" t="s">
        <v>3000</v>
      </c>
      <c r="D155" t="s">
        <v>319</v>
      </c>
      <c r="E155" t="s">
        <v>3002</v>
      </c>
      <c r="F155" t="s">
        <v>1935</v>
      </c>
    </row>
    <row r="156" spans="1:6">
      <c r="A156">
        <v>17</v>
      </c>
      <c r="B156">
        <v>27</v>
      </c>
      <c r="C156" t="s">
        <v>3000</v>
      </c>
      <c r="D156" t="s">
        <v>3076</v>
      </c>
      <c r="E156" t="s">
        <v>3002</v>
      </c>
      <c r="F156" t="s">
        <v>1935</v>
      </c>
    </row>
    <row r="157" spans="1:6">
      <c r="A157">
        <v>17</v>
      </c>
      <c r="B157">
        <v>28</v>
      </c>
      <c r="C157" t="s">
        <v>3000</v>
      </c>
      <c r="D157" t="s">
        <v>3077</v>
      </c>
      <c r="E157" t="s">
        <v>3002</v>
      </c>
      <c r="F157" t="s">
        <v>1935</v>
      </c>
    </row>
    <row r="158" spans="1:6">
      <c r="A158">
        <v>17</v>
      </c>
      <c r="B158">
        <v>31</v>
      </c>
      <c r="C158" t="s">
        <v>3000</v>
      </c>
      <c r="D158" t="s">
        <v>319</v>
      </c>
      <c r="E158" t="s">
        <v>3002</v>
      </c>
      <c r="F158" t="s">
        <v>1935</v>
      </c>
    </row>
    <row r="159" spans="1:6">
      <c r="A159">
        <v>17</v>
      </c>
      <c r="B159">
        <v>34</v>
      </c>
      <c r="C159" t="s">
        <v>3000</v>
      </c>
      <c r="D159" t="s">
        <v>3069</v>
      </c>
      <c r="E159" t="s">
        <v>3002</v>
      </c>
      <c r="F159" t="s">
        <v>1935</v>
      </c>
    </row>
    <row r="160" spans="1:6">
      <c r="A160">
        <v>17</v>
      </c>
      <c r="B160">
        <v>35</v>
      </c>
      <c r="C160" t="s">
        <v>3000</v>
      </c>
      <c r="D160" t="s">
        <v>3071</v>
      </c>
      <c r="E160" t="s">
        <v>3002</v>
      </c>
      <c r="F160" t="s">
        <v>1935</v>
      </c>
    </row>
    <row r="161" spans="1:6">
      <c r="A161">
        <v>17</v>
      </c>
      <c r="B161">
        <v>36</v>
      </c>
      <c r="C161" t="s">
        <v>3000</v>
      </c>
      <c r="D161" t="s">
        <v>3069</v>
      </c>
      <c r="E161" t="s">
        <v>3002</v>
      </c>
      <c r="F161" t="s">
        <v>1935</v>
      </c>
    </row>
    <row r="162" spans="1:6">
      <c r="A162">
        <v>17</v>
      </c>
      <c r="B162">
        <v>37</v>
      </c>
      <c r="C162" t="s">
        <v>3000</v>
      </c>
      <c r="D162" t="s">
        <v>3071</v>
      </c>
      <c r="E162" t="s">
        <v>3002</v>
      </c>
      <c r="F162" t="s">
        <v>1935</v>
      </c>
    </row>
    <row r="163" spans="1:6">
      <c r="A163">
        <v>17</v>
      </c>
      <c r="B163">
        <v>38</v>
      </c>
      <c r="C163" t="s">
        <v>3000</v>
      </c>
      <c r="D163" t="s">
        <v>319</v>
      </c>
      <c r="E163" t="s">
        <v>3002</v>
      </c>
      <c r="F163" t="s">
        <v>1935</v>
      </c>
    </row>
    <row r="164" spans="1:6">
      <c r="A164">
        <v>17</v>
      </c>
      <c r="B164">
        <v>39</v>
      </c>
      <c r="C164" t="s">
        <v>3000</v>
      </c>
      <c r="D164" t="s">
        <v>3078</v>
      </c>
      <c r="E164" t="s">
        <v>3002</v>
      </c>
      <c r="F164" t="s">
        <v>1935</v>
      </c>
    </row>
    <row r="165" spans="1:6">
      <c r="A165">
        <v>17</v>
      </c>
      <c r="B165">
        <v>40</v>
      </c>
      <c r="C165" t="s">
        <v>3000</v>
      </c>
      <c r="D165" t="s">
        <v>316</v>
      </c>
      <c r="E165" t="s">
        <v>3002</v>
      </c>
      <c r="F165" t="s">
        <v>1935</v>
      </c>
    </row>
    <row r="166" spans="1:6">
      <c r="A166">
        <v>17</v>
      </c>
      <c r="B166">
        <v>41</v>
      </c>
      <c r="C166" t="s">
        <v>3000</v>
      </c>
      <c r="D166" t="s">
        <v>3079</v>
      </c>
      <c r="E166" t="s">
        <v>3002</v>
      </c>
      <c r="F166" t="s">
        <v>1935</v>
      </c>
    </row>
    <row r="167" spans="1:6">
      <c r="A167">
        <v>17</v>
      </c>
      <c r="B167">
        <v>42</v>
      </c>
      <c r="C167" t="s">
        <v>3000</v>
      </c>
      <c r="D167" t="s">
        <v>3073</v>
      </c>
      <c r="E167" t="s">
        <v>3002</v>
      </c>
      <c r="F167" t="s">
        <v>1935</v>
      </c>
    </row>
    <row r="168" spans="1:6">
      <c r="A168">
        <v>17</v>
      </c>
      <c r="B168">
        <v>43</v>
      </c>
      <c r="C168" t="s">
        <v>3000</v>
      </c>
      <c r="D168" t="s">
        <v>319</v>
      </c>
      <c r="E168" t="s">
        <v>3002</v>
      </c>
      <c r="F168" t="s">
        <v>1935</v>
      </c>
    </row>
    <row r="169" spans="1:6">
      <c r="A169">
        <v>17</v>
      </c>
      <c r="B169">
        <v>44</v>
      </c>
      <c r="C169" t="s">
        <v>3000</v>
      </c>
      <c r="D169" t="s">
        <v>3013</v>
      </c>
      <c r="E169" t="s">
        <v>3002</v>
      </c>
      <c r="F169" t="s">
        <v>1935</v>
      </c>
    </row>
    <row r="170" spans="1:6">
      <c r="A170">
        <v>17</v>
      </c>
      <c r="B170">
        <v>45</v>
      </c>
      <c r="C170" t="s">
        <v>3000</v>
      </c>
      <c r="D170" t="s">
        <v>3073</v>
      </c>
      <c r="E170" t="s">
        <v>3002</v>
      </c>
      <c r="F170" t="s">
        <v>1935</v>
      </c>
    </row>
    <row r="171" spans="1:6">
      <c r="A171">
        <v>17</v>
      </c>
      <c r="B171">
        <v>46</v>
      </c>
      <c r="C171" t="s">
        <v>3000</v>
      </c>
      <c r="D171" t="s">
        <v>3080</v>
      </c>
      <c r="E171" t="s">
        <v>3002</v>
      </c>
      <c r="F171" t="s">
        <v>1935</v>
      </c>
    </row>
    <row r="172" spans="1:6">
      <c r="A172">
        <v>17</v>
      </c>
      <c r="B172">
        <v>47</v>
      </c>
      <c r="C172" t="s">
        <v>3000</v>
      </c>
      <c r="D172" t="s">
        <v>316</v>
      </c>
      <c r="E172" t="s">
        <v>3002</v>
      </c>
      <c r="F172" t="s">
        <v>1935</v>
      </c>
    </row>
    <row r="173" spans="1:6">
      <c r="A173">
        <v>17</v>
      </c>
      <c r="B173">
        <v>48</v>
      </c>
      <c r="C173" t="s">
        <v>3000</v>
      </c>
      <c r="D173" t="s">
        <v>3073</v>
      </c>
      <c r="E173" t="s">
        <v>3002</v>
      </c>
      <c r="F173" t="s">
        <v>1935</v>
      </c>
    </row>
    <row r="174" spans="1:6">
      <c r="A174">
        <v>17</v>
      </c>
      <c r="B174">
        <v>49</v>
      </c>
      <c r="C174" t="s">
        <v>3000</v>
      </c>
      <c r="D174" t="s">
        <v>3071</v>
      </c>
      <c r="E174" t="s">
        <v>3002</v>
      </c>
      <c r="F174" t="s">
        <v>1935</v>
      </c>
    </row>
    <row r="175" spans="1:6">
      <c r="A175">
        <v>17</v>
      </c>
      <c r="B175">
        <v>50</v>
      </c>
      <c r="C175" t="s">
        <v>3000</v>
      </c>
      <c r="D175" t="s">
        <v>3069</v>
      </c>
      <c r="E175" t="s">
        <v>3002</v>
      </c>
      <c r="F175" t="s">
        <v>1935</v>
      </c>
    </row>
    <row r="176" spans="1:6">
      <c r="A176">
        <v>17</v>
      </c>
      <c r="B176">
        <v>51</v>
      </c>
      <c r="C176" t="s">
        <v>3000</v>
      </c>
      <c r="D176" t="s">
        <v>316</v>
      </c>
      <c r="E176" t="s">
        <v>3002</v>
      </c>
      <c r="F176" t="s">
        <v>1935</v>
      </c>
    </row>
    <row r="177" spans="1:6">
      <c r="A177">
        <v>17</v>
      </c>
      <c r="B177">
        <v>52</v>
      </c>
      <c r="C177" t="s">
        <v>3000</v>
      </c>
      <c r="D177" t="s">
        <v>3013</v>
      </c>
      <c r="E177" t="s">
        <v>3002</v>
      </c>
      <c r="F177" t="s">
        <v>1935</v>
      </c>
    </row>
    <row r="178" spans="1:6">
      <c r="A178">
        <v>18</v>
      </c>
      <c r="B178">
        <v>1</v>
      </c>
      <c r="C178" t="s">
        <v>3000</v>
      </c>
      <c r="D178" t="s">
        <v>3081</v>
      </c>
      <c r="E178" t="s">
        <v>3002</v>
      </c>
      <c r="F178" t="s">
        <v>1935</v>
      </c>
    </row>
    <row r="179" spans="1:6">
      <c r="A179">
        <v>18</v>
      </c>
      <c r="B179">
        <v>3</v>
      </c>
      <c r="C179" t="s">
        <v>3000</v>
      </c>
      <c r="D179" t="s">
        <v>3069</v>
      </c>
      <c r="E179" t="s">
        <v>3002</v>
      </c>
      <c r="F179" t="s">
        <v>1935</v>
      </c>
    </row>
    <row r="180" spans="1:6">
      <c r="A180">
        <v>18</v>
      </c>
      <c r="B180">
        <v>4</v>
      </c>
      <c r="C180" t="s">
        <v>3000</v>
      </c>
      <c r="D180" t="s">
        <v>3080</v>
      </c>
      <c r="E180" t="s">
        <v>3002</v>
      </c>
      <c r="F180" t="s">
        <v>1935</v>
      </c>
    </row>
    <row r="181" spans="1:6">
      <c r="A181">
        <v>18</v>
      </c>
      <c r="B181">
        <v>5</v>
      </c>
      <c r="C181" t="s">
        <v>3000</v>
      </c>
      <c r="D181" t="s">
        <v>3082</v>
      </c>
      <c r="E181" t="s">
        <v>3002</v>
      </c>
      <c r="F181" t="s">
        <v>1935</v>
      </c>
    </row>
    <row r="182" spans="1:6">
      <c r="A182">
        <v>18</v>
      </c>
      <c r="B182">
        <v>6</v>
      </c>
      <c r="C182" t="s">
        <v>3000</v>
      </c>
      <c r="D182" t="s">
        <v>3013</v>
      </c>
      <c r="E182" t="s">
        <v>3002</v>
      </c>
      <c r="F182" t="s">
        <v>1935</v>
      </c>
    </row>
    <row r="183" spans="1:6">
      <c r="A183">
        <v>18</v>
      </c>
      <c r="B183">
        <v>8</v>
      </c>
      <c r="C183" t="s">
        <v>3000</v>
      </c>
      <c r="D183" t="s">
        <v>319</v>
      </c>
      <c r="E183" t="s">
        <v>3002</v>
      </c>
      <c r="F183" t="s">
        <v>1935</v>
      </c>
    </row>
    <row r="184" spans="1:6">
      <c r="A184">
        <v>18</v>
      </c>
      <c r="B184">
        <v>9</v>
      </c>
      <c r="C184" t="s">
        <v>3000</v>
      </c>
      <c r="D184" t="s">
        <v>305</v>
      </c>
      <c r="E184" t="s">
        <v>3002</v>
      </c>
      <c r="F184" t="s">
        <v>1935</v>
      </c>
    </row>
    <row r="185" spans="1:6">
      <c r="A185">
        <v>18</v>
      </c>
      <c r="B185">
        <v>10</v>
      </c>
      <c r="C185" t="s">
        <v>3000</v>
      </c>
      <c r="D185" t="s">
        <v>316</v>
      </c>
      <c r="E185" t="s">
        <v>3002</v>
      </c>
      <c r="F185" t="s">
        <v>1935</v>
      </c>
    </row>
    <row r="186" spans="1:6">
      <c r="A186">
        <v>18</v>
      </c>
      <c r="B186">
        <v>11</v>
      </c>
      <c r="C186" t="s">
        <v>3000</v>
      </c>
      <c r="D186" t="s">
        <v>3083</v>
      </c>
      <c r="E186" t="s">
        <v>3002</v>
      </c>
      <c r="F186" t="s">
        <v>1935</v>
      </c>
    </row>
    <row r="187" spans="1:6">
      <c r="A187">
        <v>18</v>
      </c>
      <c r="B187">
        <v>12</v>
      </c>
      <c r="C187" t="s">
        <v>3000</v>
      </c>
      <c r="D187" t="s">
        <v>3084</v>
      </c>
      <c r="E187" t="s">
        <v>3002</v>
      </c>
      <c r="F187" t="s">
        <v>1935</v>
      </c>
    </row>
    <row r="188" spans="1:6">
      <c r="A188">
        <v>18</v>
      </c>
      <c r="B188">
        <v>15</v>
      </c>
      <c r="C188" t="s">
        <v>3000</v>
      </c>
      <c r="D188" t="s">
        <v>3085</v>
      </c>
      <c r="E188" t="s">
        <v>3002</v>
      </c>
      <c r="F188" t="s">
        <v>1935</v>
      </c>
    </row>
    <row r="189" spans="1:6">
      <c r="A189">
        <v>19</v>
      </c>
      <c r="B189">
        <v>1</v>
      </c>
      <c r="C189" t="s">
        <v>3000</v>
      </c>
      <c r="D189" t="s">
        <v>3086</v>
      </c>
      <c r="E189" t="s">
        <v>3002</v>
      </c>
      <c r="F189" t="s">
        <v>1935</v>
      </c>
    </row>
    <row r="190" spans="1:6">
      <c r="A190">
        <v>19</v>
      </c>
      <c r="B190">
        <v>2</v>
      </c>
      <c r="C190" t="s">
        <v>3000</v>
      </c>
      <c r="D190" t="s">
        <v>3087</v>
      </c>
      <c r="E190" t="s">
        <v>3002</v>
      </c>
      <c r="F190" t="s">
        <v>1935</v>
      </c>
    </row>
    <row r="191" spans="1:6">
      <c r="A191">
        <v>19</v>
      </c>
      <c r="B191">
        <v>3</v>
      </c>
      <c r="C191" t="s">
        <v>3000</v>
      </c>
      <c r="D191" t="s">
        <v>305</v>
      </c>
      <c r="E191" t="s">
        <v>3002</v>
      </c>
      <c r="F191" t="s">
        <v>1935</v>
      </c>
    </row>
    <row r="192" spans="1:6">
      <c r="A192">
        <v>19</v>
      </c>
      <c r="B192">
        <v>4</v>
      </c>
      <c r="C192" t="s">
        <v>3000</v>
      </c>
      <c r="D192" t="s">
        <v>316</v>
      </c>
      <c r="E192" t="s">
        <v>3002</v>
      </c>
      <c r="F192" t="s">
        <v>1935</v>
      </c>
    </row>
    <row r="193" spans="1:6">
      <c r="A193">
        <v>19</v>
      </c>
      <c r="B193">
        <v>6</v>
      </c>
      <c r="C193" t="s">
        <v>3000</v>
      </c>
      <c r="D193" t="s">
        <v>319</v>
      </c>
      <c r="E193" t="s">
        <v>3002</v>
      </c>
      <c r="F193" t="s">
        <v>1935</v>
      </c>
    </row>
    <row r="194" spans="1:6">
      <c r="A194">
        <v>19</v>
      </c>
      <c r="B194">
        <v>7</v>
      </c>
      <c r="C194" t="s">
        <v>3000</v>
      </c>
      <c r="D194" t="s">
        <v>3088</v>
      </c>
      <c r="E194" t="s">
        <v>3002</v>
      </c>
      <c r="F194" t="s">
        <v>1935</v>
      </c>
    </row>
    <row r="195" spans="1:6">
      <c r="A195">
        <v>19</v>
      </c>
      <c r="B195">
        <v>8</v>
      </c>
      <c r="C195" t="s">
        <v>3000</v>
      </c>
      <c r="D195" t="s">
        <v>299</v>
      </c>
      <c r="E195" t="s">
        <v>3002</v>
      </c>
      <c r="F195" t="s">
        <v>1935</v>
      </c>
    </row>
    <row r="196" spans="1:6">
      <c r="A196">
        <v>19</v>
      </c>
      <c r="B196">
        <v>9</v>
      </c>
      <c r="C196" t="s">
        <v>3000</v>
      </c>
      <c r="D196" t="s">
        <v>3080</v>
      </c>
      <c r="E196" t="s">
        <v>3002</v>
      </c>
      <c r="F196" t="s">
        <v>1935</v>
      </c>
    </row>
    <row r="197" spans="1:6">
      <c r="A197">
        <v>19</v>
      </c>
      <c r="B197">
        <v>10</v>
      </c>
      <c r="C197" t="s">
        <v>3000</v>
      </c>
      <c r="D197" t="s">
        <v>3069</v>
      </c>
      <c r="E197" t="s">
        <v>3002</v>
      </c>
      <c r="F197" t="s">
        <v>1935</v>
      </c>
    </row>
    <row r="198" spans="1:6">
      <c r="A198">
        <v>19</v>
      </c>
      <c r="B198">
        <v>12</v>
      </c>
      <c r="C198" t="s">
        <v>3000</v>
      </c>
      <c r="D198" t="s">
        <v>3089</v>
      </c>
      <c r="E198" t="s">
        <v>3002</v>
      </c>
      <c r="F198" t="s">
        <v>1935</v>
      </c>
    </row>
    <row r="199" spans="1:6">
      <c r="A199">
        <v>19</v>
      </c>
      <c r="B199">
        <v>13</v>
      </c>
      <c r="C199" t="s">
        <v>3000</v>
      </c>
      <c r="D199" t="s">
        <v>3013</v>
      </c>
      <c r="E199" t="s">
        <v>3002</v>
      </c>
      <c r="F199" t="s">
        <v>1935</v>
      </c>
    </row>
    <row r="200" spans="1:6">
      <c r="A200">
        <v>19</v>
      </c>
      <c r="B200">
        <v>14</v>
      </c>
      <c r="C200" t="s">
        <v>3000</v>
      </c>
      <c r="D200" t="s">
        <v>3090</v>
      </c>
      <c r="E200" t="s">
        <v>3002</v>
      </c>
      <c r="F200" t="s">
        <v>1935</v>
      </c>
    </row>
    <row r="201" spans="1:6">
      <c r="A201">
        <v>19</v>
      </c>
      <c r="B201">
        <v>15</v>
      </c>
      <c r="C201" t="s">
        <v>3000</v>
      </c>
      <c r="D201" t="s">
        <v>3013</v>
      </c>
      <c r="E201" t="s">
        <v>3002</v>
      </c>
      <c r="F201" t="s">
        <v>1935</v>
      </c>
    </row>
    <row r="202" spans="1:6">
      <c r="A202">
        <v>19</v>
      </c>
      <c r="B202">
        <v>16</v>
      </c>
      <c r="C202" t="s">
        <v>3000</v>
      </c>
      <c r="D202" t="s">
        <v>3091</v>
      </c>
      <c r="E202" t="s">
        <v>3002</v>
      </c>
      <c r="F202" t="s">
        <v>1935</v>
      </c>
    </row>
    <row r="203" spans="1:6">
      <c r="A203">
        <v>19</v>
      </c>
      <c r="B203">
        <v>17</v>
      </c>
      <c r="C203" t="s">
        <v>3000</v>
      </c>
      <c r="D203" t="s">
        <v>3092</v>
      </c>
      <c r="E203" t="s">
        <v>3002</v>
      </c>
      <c r="F203" t="s">
        <v>1935</v>
      </c>
    </row>
    <row r="204" spans="1:6">
      <c r="A204">
        <v>20</v>
      </c>
      <c r="B204">
        <v>1</v>
      </c>
      <c r="C204" t="s">
        <v>3000</v>
      </c>
      <c r="D204" t="s">
        <v>3093</v>
      </c>
      <c r="E204" t="s">
        <v>3002</v>
      </c>
      <c r="F204" t="s">
        <v>1935</v>
      </c>
    </row>
    <row r="205" spans="1:6">
      <c r="A205">
        <v>20</v>
      </c>
      <c r="B205">
        <v>4</v>
      </c>
      <c r="C205" t="s">
        <v>3000</v>
      </c>
      <c r="D205" t="s">
        <v>3094</v>
      </c>
      <c r="E205" t="s">
        <v>3002</v>
      </c>
      <c r="F205" t="s">
        <v>1935</v>
      </c>
    </row>
    <row r="206" spans="1:6">
      <c r="A206">
        <v>20</v>
      </c>
      <c r="B206">
        <v>5</v>
      </c>
      <c r="C206" t="s">
        <v>3000</v>
      </c>
      <c r="D206" t="s">
        <v>3095</v>
      </c>
      <c r="E206" t="s">
        <v>3002</v>
      </c>
      <c r="F206" t="s">
        <v>1935</v>
      </c>
    </row>
    <row r="207" spans="1:6">
      <c r="A207">
        <v>20</v>
      </c>
      <c r="B207">
        <v>6</v>
      </c>
      <c r="C207" t="s">
        <v>3000</v>
      </c>
      <c r="D207" t="s">
        <v>3096</v>
      </c>
      <c r="E207" t="s">
        <v>3002</v>
      </c>
      <c r="F207" t="s">
        <v>1935</v>
      </c>
    </row>
    <row r="208" spans="1:6">
      <c r="A208">
        <v>20</v>
      </c>
      <c r="B208">
        <v>7</v>
      </c>
      <c r="C208" t="s">
        <v>3000</v>
      </c>
      <c r="D208" t="s">
        <v>3097</v>
      </c>
      <c r="E208" t="s">
        <v>3002</v>
      </c>
      <c r="F208" t="s">
        <v>1935</v>
      </c>
    </row>
    <row r="209" spans="1:6">
      <c r="A209">
        <v>20</v>
      </c>
      <c r="B209">
        <v>9</v>
      </c>
      <c r="C209" t="s">
        <v>3000</v>
      </c>
      <c r="D209" t="s">
        <v>3098</v>
      </c>
      <c r="E209" t="s">
        <v>3002</v>
      </c>
      <c r="F209" t="s">
        <v>1935</v>
      </c>
    </row>
    <row r="210" spans="1:6">
      <c r="A210">
        <v>20</v>
      </c>
      <c r="B210">
        <v>10</v>
      </c>
      <c r="C210" t="s">
        <v>3000</v>
      </c>
      <c r="D210" t="s">
        <v>3099</v>
      </c>
      <c r="E210" t="s">
        <v>3002</v>
      </c>
      <c r="F210" t="s">
        <v>1935</v>
      </c>
    </row>
    <row r="211" spans="1:6">
      <c r="A211">
        <v>20</v>
      </c>
      <c r="B211">
        <v>14</v>
      </c>
      <c r="C211" t="s">
        <v>3000</v>
      </c>
      <c r="D211" t="s">
        <v>3100</v>
      </c>
      <c r="E211" t="s">
        <v>3002</v>
      </c>
      <c r="F211" t="s">
        <v>1935</v>
      </c>
    </row>
    <row r="212" spans="1:6">
      <c r="A212">
        <v>20</v>
      </c>
      <c r="B212">
        <v>15</v>
      </c>
      <c r="C212" t="s">
        <v>3000</v>
      </c>
      <c r="D212" t="s">
        <v>3101</v>
      </c>
      <c r="E212" t="s">
        <v>3002</v>
      </c>
      <c r="F212" t="s">
        <v>1935</v>
      </c>
    </row>
    <row r="213" spans="1:6">
      <c r="A213">
        <v>20</v>
      </c>
      <c r="B213">
        <v>16</v>
      </c>
      <c r="C213" t="s">
        <v>3000</v>
      </c>
      <c r="D213" t="s">
        <v>3102</v>
      </c>
      <c r="E213" t="s">
        <v>3002</v>
      </c>
      <c r="F213" t="s">
        <v>1935</v>
      </c>
    </row>
    <row r="214" spans="1:6">
      <c r="A214">
        <v>20</v>
      </c>
      <c r="B214">
        <v>17</v>
      </c>
      <c r="C214" t="s">
        <v>3000</v>
      </c>
      <c r="D214" t="s">
        <v>3103</v>
      </c>
      <c r="E214" t="s">
        <v>3002</v>
      </c>
      <c r="F214" t="s">
        <v>1935</v>
      </c>
    </row>
    <row r="215" spans="1:6">
      <c r="A215">
        <v>20</v>
      </c>
      <c r="B215">
        <v>18</v>
      </c>
      <c r="C215" t="s">
        <v>3000</v>
      </c>
      <c r="D215" t="s">
        <v>3104</v>
      </c>
      <c r="E215" t="s">
        <v>3002</v>
      </c>
      <c r="F215" t="s">
        <v>1935</v>
      </c>
    </row>
    <row r="216" spans="1:6">
      <c r="A216">
        <v>20</v>
      </c>
      <c r="B216">
        <v>19</v>
      </c>
      <c r="C216" t="s">
        <v>3000</v>
      </c>
      <c r="D216" t="s">
        <v>3105</v>
      </c>
      <c r="E216" t="s">
        <v>3002</v>
      </c>
      <c r="F216" t="s">
        <v>1935</v>
      </c>
    </row>
    <row r="217" spans="1:6">
      <c r="A217">
        <v>20</v>
      </c>
      <c r="B217">
        <v>20</v>
      </c>
      <c r="C217" t="s">
        <v>3000</v>
      </c>
      <c r="D217" t="s">
        <v>3106</v>
      </c>
      <c r="E217" t="s">
        <v>3002</v>
      </c>
      <c r="F217" t="s">
        <v>1935</v>
      </c>
    </row>
    <row r="218" spans="1:6">
      <c r="A218">
        <v>20</v>
      </c>
      <c r="B218">
        <v>21</v>
      </c>
      <c r="C218" t="s">
        <v>3000</v>
      </c>
      <c r="D218" t="s">
        <v>3013</v>
      </c>
      <c r="E218" t="s">
        <v>3002</v>
      </c>
      <c r="F218" t="s">
        <v>1935</v>
      </c>
    </row>
    <row r="219" spans="1:6">
      <c r="A219">
        <v>20</v>
      </c>
      <c r="B219">
        <v>22</v>
      </c>
      <c r="C219" t="s">
        <v>3000</v>
      </c>
      <c r="D219" t="s">
        <v>3107</v>
      </c>
      <c r="E219" t="s">
        <v>3002</v>
      </c>
      <c r="F219" t="s">
        <v>1935</v>
      </c>
    </row>
    <row r="220" spans="1:6">
      <c r="A220">
        <v>20</v>
      </c>
      <c r="B220">
        <v>25</v>
      </c>
      <c r="C220" t="s">
        <v>3000</v>
      </c>
      <c r="D220" t="s">
        <v>3108</v>
      </c>
      <c r="E220" t="s">
        <v>3002</v>
      </c>
      <c r="F220" t="s">
        <v>1935</v>
      </c>
    </row>
    <row r="221" spans="1:6">
      <c r="A221">
        <v>20</v>
      </c>
      <c r="B221">
        <v>26</v>
      </c>
      <c r="C221" t="s">
        <v>3000</v>
      </c>
      <c r="D221" t="s">
        <v>395</v>
      </c>
      <c r="E221" t="s">
        <v>3002</v>
      </c>
      <c r="F221" t="s">
        <v>1935</v>
      </c>
    </row>
    <row r="222" spans="1:6">
      <c r="A222">
        <v>20</v>
      </c>
      <c r="B222">
        <v>27</v>
      </c>
      <c r="C222" t="s">
        <v>3000</v>
      </c>
      <c r="D222" t="s">
        <v>397</v>
      </c>
      <c r="E222" t="s">
        <v>3002</v>
      </c>
      <c r="F222" t="s">
        <v>1935</v>
      </c>
    </row>
    <row r="223" spans="1:6">
      <c r="A223">
        <v>20</v>
      </c>
      <c r="B223">
        <v>28</v>
      </c>
      <c r="C223" t="s">
        <v>3000</v>
      </c>
      <c r="D223" t="s">
        <v>3109</v>
      </c>
      <c r="E223" t="s">
        <v>3002</v>
      </c>
      <c r="F223" t="s">
        <v>1935</v>
      </c>
    </row>
    <row r="224" spans="1:6">
      <c r="A224">
        <v>20</v>
      </c>
      <c r="B224">
        <v>29</v>
      </c>
      <c r="C224" t="s">
        <v>3000</v>
      </c>
      <c r="D224" t="s">
        <v>3110</v>
      </c>
      <c r="E224" t="s">
        <v>3002</v>
      </c>
      <c r="F224" t="s">
        <v>1935</v>
      </c>
    </row>
    <row r="225" spans="1:6">
      <c r="A225">
        <v>20</v>
      </c>
      <c r="B225">
        <v>30</v>
      </c>
      <c r="C225" t="s">
        <v>3000</v>
      </c>
      <c r="D225" t="s">
        <v>3111</v>
      </c>
      <c r="E225" t="s">
        <v>3002</v>
      </c>
      <c r="F225" t="s">
        <v>1935</v>
      </c>
    </row>
    <row r="226" spans="1:6">
      <c r="A226">
        <v>21</v>
      </c>
      <c r="B226">
        <v>1</v>
      </c>
      <c r="C226" t="s">
        <v>3000</v>
      </c>
      <c r="D226" t="s">
        <v>3093</v>
      </c>
      <c r="E226" t="s">
        <v>3002</v>
      </c>
      <c r="F226" t="s">
        <v>1935</v>
      </c>
    </row>
    <row r="227" spans="1:6">
      <c r="A227">
        <v>21</v>
      </c>
      <c r="B227">
        <v>2</v>
      </c>
      <c r="C227" t="s">
        <v>3000</v>
      </c>
      <c r="D227" t="s">
        <v>3013</v>
      </c>
      <c r="E227" t="s">
        <v>3002</v>
      </c>
      <c r="F227" t="s">
        <v>1935</v>
      </c>
    </row>
    <row r="228" spans="1:6">
      <c r="A228">
        <v>21</v>
      </c>
      <c r="B228">
        <v>3</v>
      </c>
      <c r="C228" t="s">
        <v>3000</v>
      </c>
      <c r="D228" t="s">
        <v>397</v>
      </c>
      <c r="E228" t="s">
        <v>3002</v>
      </c>
      <c r="F228" t="s">
        <v>1935</v>
      </c>
    </row>
    <row r="229" spans="1:6">
      <c r="A229">
        <v>21</v>
      </c>
      <c r="B229">
        <v>5</v>
      </c>
      <c r="C229" t="s">
        <v>3000</v>
      </c>
      <c r="D229" t="s">
        <v>395</v>
      </c>
      <c r="E229" t="s">
        <v>3002</v>
      </c>
      <c r="F229" t="s">
        <v>1935</v>
      </c>
    </row>
    <row r="230" spans="1:6">
      <c r="A230">
        <v>21</v>
      </c>
      <c r="B230">
        <v>6</v>
      </c>
      <c r="C230" t="s">
        <v>3000</v>
      </c>
      <c r="D230" t="s">
        <v>3107</v>
      </c>
      <c r="E230" t="s">
        <v>3002</v>
      </c>
      <c r="F230" t="s">
        <v>1935</v>
      </c>
    </row>
    <row r="231" spans="1:6">
      <c r="A231">
        <v>21</v>
      </c>
      <c r="B231">
        <v>7</v>
      </c>
      <c r="C231" t="s">
        <v>3000</v>
      </c>
      <c r="D231" t="s">
        <v>3108</v>
      </c>
      <c r="E231" t="s">
        <v>3002</v>
      </c>
      <c r="F231" t="s">
        <v>1935</v>
      </c>
    </row>
    <row r="232" spans="1:6">
      <c r="A232">
        <v>21</v>
      </c>
      <c r="B232">
        <v>9</v>
      </c>
      <c r="C232" t="s">
        <v>3000</v>
      </c>
      <c r="D232" t="s">
        <v>3109</v>
      </c>
      <c r="E232" t="s">
        <v>3002</v>
      </c>
      <c r="F232" t="s">
        <v>1935</v>
      </c>
    </row>
    <row r="233" spans="1:6">
      <c r="A233">
        <v>21</v>
      </c>
      <c r="B233">
        <v>10</v>
      </c>
      <c r="C233" t="s">
        <v>3000</v>
      </c>
      <c r="D233" t="s">
        <v>3097</v>
      </c>
      <c r="E233" t="s">
        <v>3002</v>
      </c>
      <c r="F233" t="s">
        <v>1935</v>
      </c>
    </row>
    <row r="234" spans="1:6">
      <c r="A234">
        <v>21</v>
      </c>
      <c r="B234">
        <v>11</v>
      </c>
      <c r="C234" t="s">
        <v>3000</v>
      </c>
      <c r="D234" t="s">
        <v>3095</v>
      </c>
      <c r="E234" t="s">
        <v>3002</v>
      </c>
      <c r="F234" t="s">
        <v>1935</v>
      </c>
    </row>
    <row r="235" spans="1:6">
      <c r="A235">
        <v>21</v>
      </c>
      <c r="B235">
        <v>12</v>
      </c>
      <c r="C235" t="s">
        <v>3000</v>
      </c>
      <c r="D235" t="s">
        <v>3096</v>
      </c>
      <c r="E235" t="s">
        <v>3002</v>
      </c>
      <c r="F235" t="s">
        <v>1935</v>
      </c>
    </row>
    <row r="236" spans="1:6">
      <c r="A236">
        <v>21</v>
      </c>
      <c r="B236">
        <v>13</v>
      </c>
      <c r="C236" t="s">
        <v>3000</v>
      </c>
      <c r="D236" t="s">
        <v>3094</v>
      </c>
      <c r="E236" t="s">
        <v>3002</v>
      </c>
      <c r="F236" t="s">
        <v>1935</v>
      </c>
    </row>
    <row r="237" spans="1:6">
      <c r="A237">
        <v>21</v>
      </c>
      <c r="B237">
        <v>14</v>
      </c>
      <c r="C237" t="s">
        <v>3000</v>
      </c>
      <c r="D237" t="s">
        <v>3098</v>
      </c>
      <c r="E237" t="s">
        <v>3002</v>
      </c>
      <c r="F237" t="s">
        <v>1935</v>
      </c>
    </row>
    <row r="238" spans="1:6">
      <c r="A238">
        <v>21</v>
      </c>
      <c r="B238">
        <v>15</v>
      </c>
      <c r="C238" t="s">
        <v>3000</v>
      </c>
      <c r="D238" t="s">
        <v>3099</v>
      </c>
      <c r="E238" t="s">
        <v>3002</v>
      </c>
      <c r="F238" t="s">
        <v>1935</v>
      </c>
    </row>
    <row r="239" spans="1:6">
      <c r="A239">
        <v>21</v>
      </c>
      <c r="B239">
        <v>22</v>
      </c>
      <c r="C239" t="s">
        <v>3000</v>
      </c>
      <c r="D239" t="s">
        <v>3101</v>
      </c>
      <c r="E239" t="s">
        <v>3002</v>
      </c>
      <c r="F239" t="s">
        <v>1935</v>
      </c>
    </row>
    <row r="240" spans="1:6">
      <c r="A240">
        <v>21</v>
      </c>
      <c r="B240">
        <v>23</v>
      </c>
      <c r="C240" t="s">
        <v>3000</v>
      </c>
      <c r="D240" t="s">
        <v>3102</v>
      </c>
      <c r="E240" t="s">
        <v>3002</v>
      </c>
      <c r="F240" t="s">
        <v>1935</v>
      </c>
    </row>
    <row r="241" spans="1:6">
      <c r="A241">
        <v>21</v>
      </c>
      <c r="B241">
        <v>24</v>
      </c>
      <c r="C241" t="s">
        <v>3000</v>
      </c>
      <c r="D241" t="s">
        <v>3104</v>
      </c>
      <c r="E241" t="s">
        <v>3002</v>
      </c>
      <c r="F241" t="s">
        <v>1935</v>
      </c>
    </row>
    <row r="242" spans="1:6">
      <c r="A242">
        <v>21</v>
      </c>
      <c r="B242">
        <v>25</v>
      </c>
      <c r="C242" t="s">
        <v>3000</v>
      </c>
      <c r="D242" t="s">
        <v>3106</v>
      </c>
      <c r="E242" t="s">
        <v>3002</v>
      </c>
      <c r="F242" t="s">
        <v>1935</v>
      </c>
    </row>
    <row r="243" spans="1:6">
      <c r="A243">
        <v>21</v>
      </c>
      <c r="B243">
        <v>26</v>
      </c>
      <c r="C243" t="s">
        <v>3000</v>
      </c>
      <c r="D243" t="s">
        <v>3105</v>
      </c>
      <c r="E243" t="s">
        <v>3002</v>
      </c>
      <c r="F243" t="s">
        <v>1935</v>
      </c>
    </row>
    <row r="244" spans="1:6">
      <c r="A244">
        <v>21</v>
      </c>
      <c r="B244">
        <v>27</v>
      </c>
      <c r="C244" t="s">
        <v>3000</v>
      </c>
      <c r="D244" t="s">
        <v>3100</v>
      </c>
      <c r="E244" t="s">
        <v>3002</v>
      </c>
      <c r="F244" t="s">
        <v>1935</v>
      </c>
    </row>
    <row r="245" spans="1:6">
      <c r="A245">
        <v>21</v>
      </c>
      <c r="B245">
        <v>28</v>
      </c>
      <c r="C245" t="s">
        <v>3000</v>
      </c>
      <c r="D245" t="s">
        <v>3103</v>
      </c>
      <c r="E245" t="s">
        <v>3002</v>
      </c>
      <c r="F245" t="s">
        <v>1935</v>
      </c>
    </row>
    <row r="246" spans="1:6">
      <c r="A246">
        <v>21</v>
      </c>
      <c r="B246">
        <v>29</v>
      </c>
      <c r="C246" t="s">
        <v>3000</v>
      </c>
      <c r="D246" t="s">
        <v>3110</v>
      </c>
      <c r="E246" t="s">
        <v>3002</v>
      </c>
      <c r="F246" t="s">
        <v>1935</v>
      </c>
    </row>
    <row r="247" spans="1:6">
      <c r="A247">
        <v>21</v>
      </c>
      <c r="B247">
        <v>31</v>
      </c>
      <c r="C247" t="s">
        <v>3000</v>
      </c>
      <c r="D247" t="s">
        <v>3111</v>
      </c>
      <c r="E247" t="s">
        <v>3002</v>
      </c>
      <c r="F247" t="s">
        <v>1935</v>
      </c>
    </row>
    <row r="248" spans="1:6">
      <c r="A248">
        <v>22</v>
      </c>
      <c r="B248">
        <v>1</v>
      </c>
      <c r="C248" t="s">
        <v>3000</v>
      </c>
      <c r="D248" t="s">
        <v>3080</v>
      </c>
      <c r="E248" t="s">
        <v>3002</v>
      </c>
      <c r="F248" t="s">
        <v>1935</v>
      </c>
    </row>
    <row r="249" spans="1:6">
      <c r="A249">
        <v>22</v>
      </c>
      <c r="B249">
        <v>2</v>
      </c>
      <c r="C249" t="s">
        <v>3000</v>
      </c>
      <c r="D249" t="s">
        <v>305</v>
      </c>
      <c r="E249" t="s">
        <v>3002</v>
      </c>
      <c r="F249" t="s">
        <v>1935</v>
      </c>
    </row>
    <row r="250" spans="1:6">
      <c r="A250">
        <v>22</v>
      </c>
      <c r="B250">
        <v>4</v>
      </c>
      <c r="C250" t="s">
        <v>3000</v>
      </c>
      <c r="D250" t="s">
        <v>299</v>
      </c>
      <c r="E250" t="s">
        <v>3002</v>
      </c>
      <c r="F250" t="s">
        <v>1935</v>
      </c>
    </row>
    <row r="251" spans="1:6">
      <c r="A251">
        <v>22</v>
      </c>
      <c r="B251">
        <v>5</v>
      </c>
      <c r="C251" t="s">
        <v>3000</v>
      </c>
      <c r="D251" t="s">
        <v>3112</v>
      </c>
      <c r="E251" t="s">
        <v>3002</v>
      </c>
      <c r="F251" t="s">
        <v>1935</v>
      </c>
    </row>
    <row r="252" spans="1:6">
      <c r="A252">
        <v>22</v>
      </c>
      <c r="B252">
        <v>6</v>
      </c>
      <c r="C252" t="s">
        <v>3000</v>
      </c>
      <c r="D252" t="s">
        <v>3113</v>
      </c>
      <c r="E252" t="s">
        <v>3002</v>
      </c>
      <c r="F252" t="s">
        <v>1935</v>
      </c>
    </row>
    <row r="253" spans="1:6">
      <c r="A253">
        <v>22</v>
      </c>
      <c r="B253">
        <v>7</v>
      </c>
      <c r="C253" t="s">
        <v>3000</v>
      </c>
      <c r="D253" t="s">
        <v>3114</v>
      </c>
      <c r="E253" t="s">
        <v>3002</v>
      </c>
      <c r="F253" t="s">
        <v>1935</v>
      </c>
    </row>
    <row r="254" spans="1:6">
      <c r="A254">
        <v>22</v>
      </c>
      <c r="B254">
        <v>8</v>
      </c>
      <c r="C254" t="s">
        <v>3000</v>
      </c>
      <c r="D254" t="s">
        <v>3115</v>
      </c>
      <c r="E254" t="s">
        <v>3002</v>
      </c>
      <c r="F254" t="s">
        <v>1935</v>
      </c>
    </row>
    <row r="255" spans="1:6">
      <c r="A255">
        <v>22</v>
      </c>
      <c r="B255">
        <v>9</v>
      </c>
      <c r="C255" t="s">
        <v>3000</v>
      </c>
      <c r="D255" t="s">
        <v>3116</v>
      </c>
      <c r="E255" t="s">
        <v>3002</v>
      </c>
      <c r="F255" t="s">
        <v>1935</v>
      </c>
    </row>
    <row r="256" spans="1:6">
      <c r="A256">
        <v>22</v>
      </c>
      <c r="B256">
        <v>10</v>
      </c>
      <c r="C256" t="s">
        <v>3000</v>
      </c>
      <c r="D256" t="s">
        <v>3117</v>
      </c>
      <c r="E256" t="s">
        <v>3002</v>
      </c>
      <c r="F256" t="s">
        <v>1935</v>
      </c>
    </row>
    <row r="257" spans="1:6">
      <c r="A257">
        <v>22</v>
      </c>
      <c r="B257">
        <v>11</v>
      </c>
      <c r="C257" t="s">
        <v>3000</v>
      </c>
      <c r="D257" t="s">
        <v>3118</v>
      </c>
      <c r="E257" t="s">
        <v>3002</v>
      </c>
      <c r="F257" t="s">
        <v>1935</v>
      </c>
    </row>
    <row r="258" spans="1:6">
      <c r="A258">
        <v>22</v>
      </c>
      <c r="B258">
        <v>12</v>
      </c>
      <c r="C258" t="s">
        <v>3000</v>
      </c>
      <c r="D258" t="s">
        <v>3119</v>
      </c>
      <c r="E258" t="s">
        <v>3002</v>
      </c>
      <c r="F258" t="s">
        <v>1935</v>
      </c>
    </row>
    <row r="259" spans="1:6">
      <c r="A259">
        <v>22</v>
      </c>
      <c r="B259">
        <v>13</v>
      </c>
      <c r="C259" t="s">
        <v>3000</v>
      </c>
      <c r="D259" t="s">
        <v>3013</v>
      </c>
      <c r="E259" t="s">
        <v>3002</v>
      </c>
      <c r="F259" t="s">
        <v>1935</v>
      </c>
    </row>
    <row r="260" spans="1:6">
      <c r="A260">
        <v>22</v>
      </c>
      <c r="B260">
        <v>14</v>
      </c>
      <c r="C260" t="s">
        <v>3000</v>
      </c>
      <c r="D260" t="s">
        <v>3013</v>
      </c>
      <c r="E260" t="s">
        <v>3002</v>
      </c>
      <c r="F260" t="s">
        <v>1935</v>
      </c>
    </row>
    <row r="261" spans="1:6">
      <c r="A261">
        <v>22</v>
      </c>
      <c r="B261">
        <v>15</v>
      </c>
      <c r="C261" t="s">
        <v>3000</v>
      </c>
      <c r="D261" t="s">
        <v>3120</v>
      </c>
      <c r="E261" t="s">
        <v>3002</v>
      </c>
      <c r="F261" t="s">
        <v>1935</v>
      </c>
    </row>
    <row r="262" spans="1:6">
      <c r="A262">
        <v>22</v>
      </c>
      <c r="B262">
        <v>16</v>
      </c>
      <c r="C262" t="s">
        <v>3000</v>
      </c>
      <c r="D262" t="s">
        <v>3121</v>
      </c>
      <c r="E262" t="s">
        <v>3002</v>
      </c>
      <c r="F262" t="s">
        <v>1935</v>
      </c>
    </row>
    <row r="263" spans="1:6">
      <c r="A263">
        <v>22</v>
      </c>
      <c r="B263">
        <v>17</v>
      </c>
      <c r="C263" t="s">
        <v>3000</v>
      </c>
      <c r="D263" t="s">
        <v>319</v>
      </c>
      <c r="E263" t="s">
        <v>3002</v>
      </c>
      <c r="F263" t="s">
        <v>1935</v>
      </c>
    </row>
    <row r="264" spans="1:6">
      <c r="A264">
        <v>22</v>
      </c>
      <c r="B264">
        <v>18</v>
      </c>
      <c r="C264" t="s">
        <v>3000</v>
      </c>
      <c r="D264" t="s">
        <v>3069</v>
      </c>
      <c r="E264" t="s">
        <v>3002</v>
      </c>
      <c r="F264" t="s">
        <v>1935</v>
      </c>
    </row>
    <row r="265" spans="1:6">
      <c r="A265">
        <v>22</v>
      </c>
      <c r="B265">
        <v>19</v>
      </c>
      <c r="C265" t="s">
        <v>3000</v>
      </c>
      <c r="D265" t="s">
        <v>316</v>
      </c>
      <c r="E265" t="s">
        <v>3002</v>
      </c>
      <c r="F265" t="s">
        <v>1935</v>
      </c>
    </row>
    <row r="266" spans="1:6">
      <c r="A266">
        <v>22</v>
      </c>
      <c r="B266">
        <v>21</v>
      </c>
      <c r="C266" t="s">
        <v>3000</v>
      </c>
      <c r="D266" t="s">
        <v>3091</v>
      </c>
      <c r="E266" t="s">
        <v>3002</v>
      </c>
      <c r="F266" t="s">
        <v>1935</v>
      </c>
    </row>
    <row r="267" spans="1:6">
      <c r="A267">
        <v>22</v>
      </c>
      <c r="B267">
        <v>22</v>
      </c>
      <c r="C267" t="s">
        <v>3000</v>
      </c>
      <c r="D267" t="s">
        <v>3122</v>
      </c>
      <c r="E267" t="s">
        <v>3002</v>
      </c>
      <c r="F267" t="s">
        <v>1935</v>
      </c>
    </row>
    <row r="268" spans="1:6">
      <c r="A268">
        <v>22</v>
      </c>
      <c r="B268">
        <v>23</v>
      </c>
      <c r="C268" t="s">
        <v>3000</v>
      </c>
      <c r="D268" t="s">
        <v>3071</v>
      </c>
      <c r="E268" t="s">
        <v>3002</v>
      </c>
      <c r="F268" t="s">
        <v>1935</v>
      </c>
    </row>
    <row r="269" spans="1:6">
      <c r="A269">
        <v>22</v>
      </c>
      <c r="B269">
        <v>24</v>
      </c>
      <c r="C269" t="s">
        <v>3000</v>
      </c>
      <c r="D269" t="s">
        <v>3123</v>
      </c>
      <c r="E269" t="s">
        <v>3002</v>
      </c>
      <c r="F269" t="s">
        <v>1935</v>
      </c>
    </row>
    <row r="270" spans="1:6">
      <c r="A270">
        <v>23</v>
      </c>
      <c r="B270">
        <v>1</v>
      </c>
      <c r="C270" t="s">
        <v>3000</v>
      </c>
      <c r="D270" t="s">
        <v>3124</v>
      </c>
      <c r="E270" t="s">
        <v>3002</v>
      </c>
      <c r="F270" t="s">
        <v>1935</v>
      </c>
    </row>
    <row r="271" spans="1:6">
      <c r="A271">
        <v>23</v>
      </c>
      <c r="B271">
        <v>2</v>
      </c>
      <c r="C271" t="s">
        <v>3000</v>
      </c>
      <c r="D271" t="s">
        <v>3091</v>
      </c>
      <c r="E271" t="s">
        <v>3002</v>
      </c>
      <c r="F271" t="s">
        <v>1935</v>
      </c>
    </row>
    <row r="272" spans="1:6">
      <c r="A272">
        <v>23</v>
      </c>
      <c r="B272">
        <v>3</v>
      </c>
      <c r="C272" t="s">
        <v>3000</v>
      </c>
      <c r="D272" t="s">
        <v>3125</v>
      </c>
      <c r="E272" t="s">
        <v>3002</v>
      </c>
      <c r="F272" t="s">
        <v>1935</v>
      </c>
    </row>
    <row r="273" spans="1:6">
      <c r="A273">
        <v>23</v>
      </c>
      <c r="B273">
        <v>4</v>
      </c>
      <c r="C273" t="s">
        <v>3000</v>
      </c>
      <c r="D273" t="s">
        <v>305</v>
      </c>
      <c r="E273" t="s">
        <v>3002</v>
      </c>
      <c r="F273" t="s">
        <v>1935</v>
      </c>
    </row>
    <row r="274" spans="1:6">
      <c r="A274">
        <v>23</v>
      </c>
      <c r="B274">
        <v>6</v>
      </c>
      <c r="C274" t="s">
        <v>3000</v>
      </c>
      <c r="D274" t="s">
        <v>319</v>
      </c>
      <c r="E274" t="s">
        <v>3002</v>
      </c>
      <c r="F274" t="s">
        <v>1935</v>
      </c>
    </row>
    <row r="275" spans="1:6">
      <c r="A275">
        <v>23</v>
      </c>
      <c r="B275">
        <v>7</v>
      </c>
      <c r="C275" t="s">
        <v>3000</v>
      </c>
      <c r="D275" t="s">
        <v>3071</v>
      </c>
      <c r="E275" t="s">
        <v>3002</v>
      </c>
      <c r="F275" t="s">
        <v>1935</v>
      </c>
    </row>
    <row r="276" spans="1:6">
      <c r="A276">
        <v>23</v>
      </c>
      <c r="B276">
        <v>8</v>
      </c>
      <c r="C276" t="s">
        <v>3000</v>
      </c>
      <c r="D276" t="s">
        <v>3126</v>
      </c>
      <c r="E276" t="s">
        <v>3002</v>
      </c>
      <c r="F276" t="s">
        <v>1935</v>
      </c>
    </row>
    <row r="277" spans="1:6">
      <c r="A277">
        <v>23</v>
      </c>
      <c r="B277">
        <v>10</v>
      </c>
      <c r="C277" t="s">
        <v>3000</v>
      </c>
      <c r="D277" t="s">
        <v>316</v>
      </c>
      <c r="E277" t="s">
        <v>3002</v>
      </c>
      <c r="F277" t="s">
        <v>1935</v>
      </c>
    </row>
    <row r="278" spans="1:6">
      <c r="A278">
        <v>23</v>
      </c>
      <c r="B278">
        <v>11</v>
      </c>
      <c r="C278" t="s">
        <v>3000</v>
      </c>
      <c r="D278" t="s">
        <v>3127</v>
      </c>
      <c r="E278" t="s">
        <v>3002</v>
      </c>
      <c r="F278" t="s">
        <v>1935</v>
      </c>
    </row>
    <row r="279" spans="1:6">
      <c r="A279">
        <v>23</v>
      </c>
      <c r="B279">
        <v>12</v>
      </c>
      <c r="C279" t="s">
        <v>3000</v>
      </c>
      <c r="D279" t="s">
        <v>3128</v>
      </c>
      <c r="E279" t="s">
        <v>3002</v>
      </c>
      <c r="F279" t="s">
        <v>1935</v>
      </c>
    </row>
    <row r="280" spans="1:6">
      <c r="A280">
        <v>23</v>
      </c>
      <c r="B280">
        <v>13</v>
      </c>
      <c r="C280" t="s">
        <v>3000</v>
      </c>
      <c r="D280" t="s">
        <v>299</v>
      </c>
      <c r="E280" t="s">
        <v>3002</v>
      </c>
      <c r="F280" t="s">
        <v>1935</v>
      </c>
    </row>
    <row r="281" spans="1:6">
      <c r="A281">
        <v>23</v>
      </c>
      <c r="B281">
        <v>14</v>
      </c>
      <c r="C281" t="s">
        <v>3000</v>
      </c>
      <c r="D281" t="s">
        <v>3069</v>
      </c>
      <c r="E281" t="s">
        <v>3002</v>
      </c>
      <c r="F281" t="s">
        <v>1935</v>
      </c>
    </row>
    <row r="282" spans="1:6">
      <c r="A282">
        <v>23</v>
      </c>
      <c r="B282">
        <v>15</v>
      </c>
      <c r="C282" t="s">
        <v>3000</v>
      </c>
      <c r="D282" t="s">
        <v>3129</v>
      </c>
      <c r="E282" t="s">
        <v>3002</v>
      </c>
      <c r="F282" t="s">
        <v>1935</v>
      </c>
    </row>
    <row r="283" spans="1:6">
      <c r="A283">
        <v>23</v>
      </c>
      <c r="B283">
        <v>16</v>
      </c>
      <c r="C283" t="s">
        <v>3000</v>
      </c>
      <c r="D283" t="s">
        <v>3013</v>
      </c>
      <c r="E283" t="s">
        <v>3002</v>
      </c>
      <c r="F283" t="s">
        <v>1935</v>
      </c>
    </row>
    <row r="284" spans="1:6">
      <c r="A284">
        <v>23</v>
      </c>
      <c r="B284">
        <v>17</v>
      </c>
      <c r="C284" t="s">
        <v>3000</v>
      </c>
      <c r="D284" t="s">
        <v>3013</v>
      </c>
      <c r="E284" t="s">
        <v>3002</v>
      </c>
      <c r="F284" t="s">
        <v>1935</v>
      </c>
    </row>
    <row r="285" spans="1:6">
      <c r="A285">
        <v>23</v>
      </c>
      <c r="B285">
        <v>18</v>
      </c>
      <c r="C285" t="s">
        <v>3000</v>
      </c>
      <c r="D285" t="s">
        <v>3130</v>
      </c>
      <c r="E285" t="s">
        <v>3002</v>
      </c>
      <c r="F285" t="s">
        <v>1935</v>
      </c>
    </row>
    <row r="286" spans="1:6">
      <c r="A286">
        <v>23</v>
      </c>
      <c r="B286">
        <v>19</v>
      </c>
      <c r="C286" t="s">
        <v>3000</v>
      </c>
      <c r="D286" t="s">
        <v>3080</v>
      </c>
      <c r="E286" t="s">
        <v>3002</v>
      </c>
      <c r="F286" t="s">
        <v>1935</v>
      </c>
    </row>
    <row r="287" spans="1:6">
      <c r="A287">
        <v>24</v>
      </c>
      <c r="B287">
        <v>1</v>
      </c>
      <c r="C287" t="s">
        <v>3000</v>
      </c>
      <c r="D287" t="s">
        <v>3131</v>
      </c>
      <c r="E287" t="s">
        <v>3002</v>
      </c>
      <c r="F287" t="s">
        <v>1935</v>
      </c>
    </row>
    <row r="288" spans="1:6">
      <c r="A288">
        <v>24</v>
      </c>
      <c r="B288">
        <v>2</v>
      </c>
      <c r="C288" t="s">
        <v>3000</v>
      </c>
      <c r="D288" t="s">
        <v>3069</v>
      </c>
      <c r="E288" t="s">
        <v>3002</v>
      </c>
      <c r="F288" t="s">
        <v>1935</v>
      </c>
    </row>
    <row r="289" spans="1:6">
      <c r="A289">
        <v>24</v>
      </c>
      <c r="B289">
        <v>3</v>
      </c>
      <c r="C289" t="s">
        <v>3000</v>
      </c>
      <c r="D289" t="s">
        <v>3013</v>
      </c>
      <c r="E289" t="s">
        <v>3002</v>
      </c>
      <c r="F289" t="s">
        <v>1935</v>
      </c>
    </row>
    <row r="290" spans="1:6">
      <c r="A290">
        <v>24</v>
      </c>
      <c r="B290">
        <v>6</v>
      </c>
      <c r="C290" t="s">
        <v>3000</v>
      </c>
      <c r="D290" t="s">
        <v>316</v>
      </c>
      <c r="E290" t="s">
        <v>3002</v>
      </c>
      <c r="F290" t="s">
        <v>1935</v>
      </c>
    </row>
    <row r="291" spans="1:6">
      <c r="A291">
        <v>24</v>
      </c>
      <c r="B291">
        <v>7</v>
      </c>
      <c r="C291" t="s">
        <v>3000</v>
      </c>
      <c r="D291" t="s">
        <v>319</v>
      </c>
      <c r="E291" t="s">
        <v>3002</v>
      </c>
      <c r="F291" t="s">
        <v>1935</v>
      </c>
    </row>
    <row r="292" spans="1:6">
      <c r="A292">
        <v>24</v>
      </c>
      <c r="B292">
        <v>8</v>
      </c>
      <c r="C292" t="s">
        <v>3000</v>
      </c>
      <c r="D292" t="s">
        <v>305</v>
      </c>
      <c r="E292" t="s">
        <v>3002</v>
      </c>
      <c r="F292" t="s">
        <v>1935</v>
      </c>
    </row>
    <row r="293" spans="1:6">
      <c r="A293">
        <v>24</v>
      </c>
      <c r="B293">
        <v>9</v>
      </c>
      <c r="C293" t="s">
        <v>3000</v>
      </c>
      <c r="D293" t="s">
        <v>3013</v>
      </c>
      <c r="E293" t="s">
        <v>3002</v>
      </c>
      <c r="F293" t="s">
        <v>1935</v>
      </c>
    </row>
    <row r="294" spans="1:6">
      <c r="A294">
        <v>24</v>
      </c>
      <c r="B294">
        <v>10</v>
      </c>
      <c r="C294" t="s">
        <v>3000</v>
      </c>
      <c r="D294" t="s">
        <v>3091</v>
      </c>
      <c r="E294" t="s">
        <v>3002</v>
      </c>
      <c r="F294" t="s">
        <v>1935</v>
      </c>
    </row>
    <row r="295" spans="1:6">
      <c r="A295">
        <v>24</v>
      </c>
      <c r="B295">
        <v>11</v>
      </c>
      <c r="C295" t="s">
        <v>3000</v>
      </c>
      <c r="D295" t="s">
        <v>3080</v>
      </c>
      <c r="E295" t="s">
        <v>3002</v>
      </c>
      <c r="F295" t="s">
        <v>1935</v>
      </c>
    </row>
    <row r="296" spans="1:6">
      <c r="A296">
        <v>24</v>
      </c>
      <c r="B296">
        <v>12</v>
      </c>
      <c r="C296" t="s">
        <v>3000</v>
      </c>
      <c r="D296" t="s">
        <v>299</v>
      </c>
      <c r="E296" t="s">
        <v>3002</v>
      </c>
      <c r="F296" t="s">
        <v>1935</v>
      </c>
    </row>
    <row r="297" spans="1:6">
      <c r="A297">
        <v>24</v>
      </c>
      <c r="B297">
        <v>13</v>
      </c>
      <c r="C297" t="s">
        <v>3000</v>
      </c>
      <c r="D297" t="s">
        <v>3132</v>
      </c>
      <c r="E297" t="s">
        <v>3002</v>
      </c>
      <c r="F297" t="s">
        <v>1935</v>
      </c>
    </row>
    <row r="298" spans="1:6">
      <c r="A298">
        <v>24</v>
      </c>
      <c r="B298">
        <v>14</v>
      </c>
      <c r="C298" t="s">
        <v>3000</v>
      </c>
      <c r="D298" t="s">
        <v>3133</v>
      </c>
      <c r="E298" t="s">
        <v>3002</v>
      </c>
      <c r="F298" t="s">
        <v>1935</v>
      </c>
    </row>
    <row r="299" spans="1:6">
      <c r="A299">
        <v>24</v>
      </c>
      <c r="B299">
        <v>15</v>
      </c>
      <c r="C299" t="s">
        <v>3000</v>
      </c>
      <c r="D299" t="s">
        <v>3134</v>
      </c>
      <c r="E299" t="s">
        <v>3002</v>
      </c>
      <c r="F299" t="s">
        <v>1935</v>
      </c>
    </row>
    <row r="300" spans="1:6">
      <c r="A300">
        <v>24</v>
      </c>
      <c r="B300">
        <v>16</v>
      </c>
      <c r="C300" t="s">
        <v>3000</v>
      </c>
      <c r="D300" t="s">
        <v>3071</v>
      </c>
      <c r="E300" t="s">
        <v>3002</v>
      </c>
      <c r="F300" t="s">
        <v>1935</v>
      </c>
    </row>
    <row r="301" spans="1:6">
      <c r="A301">
        <v>25</v>
      </c>
      <c r="B301">
        <v>1</v>
      </c>
      <c r="C301" t="s">
        <v>3000</v>
      </c>
      <c r="D301" t="s">
        <v>3135</v>
      </c>
      <c r="E301" t="s">
        <v>3002</v>
      </c>
      <c r="F301" t="s">
        <v>1935</v>
      </c>
    </row>
    <row r="302" spans="1:6">
      <c r="A302">
        <v>25</v>
      </c>
      <c r="B302">
        <v>2</v>
      </c>
      <c r="C302" t="s">
        <v>3000</v>
      </c>
      <c r="D302" t="s">
        <v>3069</v>
      </c>
      <c r="E302" t="s">
        <v>3002</v>
      </c>
      <c r="F302" t="s">
        <v>1935</v>
      </c>
    </row>
    <row r="303" spans="1:6">
      <c r="A303">
        <v>25</v>
      </c>
      <c r="B303">
        <v>4</v>
      </c>
      <c r="C303" t="s">
        <v>3000</v>
      </c>
      <c r="D303" t="s">
        <v>3013</v>
      </c>
      <c r="E303" t="s">
        <v>3002</v>
      </c>
      <c r="F303" t="s">
        <v>1935</v>
      </c>
    </row>
    <row r="304" spans="1:6">
      <c r="A304">
        <v>25</v>
      </c>
      <c r="B304">
        <v>5</v>
      </c>
      <c r="C304" t="s">
        <v>3000</v>
      </c>
      <c r="D304" t="s">
        <v>3091</v>
      </c>
      <c r="E304" t="s">
        <v>3002</v>
      </c>
      <c r="F304" t="s">
        <v>1935</v>
      </c>
    </row>
    <row r="305" spans="1:6">
      <c r="A305">
        <v>25</v>
      </c>
      <c r="B305">
        <v>6</v>
      </c>
      <c r="C305" t="s">
        <v>3000</v>
      </c>
      <c r="D305" t="s">
        <v>3136</v>
      </c>
      <c r="E305" t="s">
        <v>3002</v>
      </c>
      <c r="F305" t="s">
        <v>1935</v>
      </c>
    </row>
    <row r="306" spans="1:6">
      <c r="A306">
        <v>25</v>
      </c>
      <c r="B306">
        <v>7</v>
      </c>
      <c r="C306" t="s">
        <v>3000</v>
      </c>
      <c r="D306" t="s">
        <v>3137</v>
      </c>
      <c r="E306" t="s">
        <v>3002</v>
      </c>
      <c r="F306" t="s">
        <v>1935</v>
      </c>
    </row>
    <row r="307" spans="1:6">
      <c r="A307">
        <v>25</v>
      </c>
      <c r="B307">
        <v>8</v>
      </c>
      <c r="C307" t="s">
        <v>3000</v>
      </c>
      <c r="D307" t="s">
        <v>3138</v>
      </c>
      <c r="E307" t="s">
        <v>3002</v>
      </c>
      <c r="F307" t="s">
        <v>1935</v>
      </c>
    </row>
    <row r="308" spans="1:6">
      <c r="A308">
        <v>25</v>
      </c>
      <c r="B308">
        <v>9</v>
      </c>
      <c r="C308" t="s">
        <v>3000</v>
      </c>
      <c r="D308" t="s">
        <v>305</v>
      </c>
      <c r="E308" t="s">
        <v>3002</v>
      </c>
      <c r="F308" t="s">
        <v>1935</v>
      </c>
    </row>
    <row r="309" spans="1:6">
      <c r="A309">
        <v>25</v>
      </c>
      <c r="B309">
        <v>10</v>
      </c>
      <c r="C309" t="s">
        <v>3000</v>
      </c>
      <c r="D309" t="s">
        <v>3139</v>
      </c>
      <c r="E309" t="s">
        <v>3002</v>
      </c>
      <c r="F309" t="s">
        <v>1935</v>
      </c>
    </row>
    <row r="310" spans="1:6">
      <c r="A310">
        <v>25</v>
      </c>
      <c r="B310">
        <v>11</v>
      </c>
      <c r="C310" t="s">
        <v>3000</v>
      </c>
      <c r="D310" t="s">
        <v>319</v>
      </c>
      <c r="E310" t="s">
        <v>3002</v>
      </c>
      <c r="F310" t="s">
        <v>1935</v>
      </c>
    </row>
    <row r="311" spans="1:6">
      <c r="A311">
        <v>25</v>
      </c>
      <c r="B311">
        <v>12</v>
      </c>
      <c r="C311" t="s">
        <v>3000</v>
      </c>
      <c r="D311" t="s">
        <v>3071</v>
      </c>
      <c r="E311" t="s">
        <v>3002</v>
      </c>
      <c r="F311" t="s">
        <v>1935</v>
      </c>
    </row>
    <row r="312" spans="1:6">
      <c r="A312">
        <v>25</v>
      </c>
      <c r="B312">
        <v>13</v>
      </c>
      <c r="C312" t="s">
        <v>3000</v>
      </c>
      <c r="D312" t="s">
        <v>3140</v>
      </c>
      <c r="E312" t="s">
        <v>3002</v>
      </c>
      <c r="F312" t="s">
        <v>1935</v>
      </c>
    </row>
    <row r="313" spans="1:6">
      <c r="A313">
        <v>25</v>
      </c>
      <c r="B313">
        <v>15</v>
      </c>
      <c r="C313" t="s">
        <v>3000</v>
      </c>
      <c r="D313" t="s">
        <v>316</v>
      </c>
      <c r="E313" t="s">
        <v>3002</v>
      </c>
      <c r="F313" t="s">
        <v>1935</v>
      </c>
    </row>
    <row r="314" spans="1:6">
      <c r="A314">
        <v>25</v>
      </c>
      <c r="B314">
        <v>16</v>
      </c>
      <c r="C314" t="s">
        <v>3000</v>
      </c>
      <c r="D314" t="s">
        <v>3141</v>
      </c>
      <c r="E314" t="s">
        <v>3002</v>
      </c>
      <c r="F314" t="s">
        <v>1935</v>
      </c>
    </row>
    <row r="315" spans="1:6">
      <c r="A315">
        <v>25</v>
      </c>
      <c r="B315">
        <v>17</v>
      </c>
      <c r="C315" t="s">
        <v>3000</v>
      </c>
      <c r="D315" t="s">
        <v>3142</v>
      </c>
      <c r="E315" t="s">
        <v>3002</v>
      </c>
      <c r="F315" t="s">
        <v>1935</v>
      </c>
    </row>
    <row r="316" spans="1:6">
      <c r="A316">
        <v>25</v>
      </c>
      <c r="B316">
        <v>18</v>
      </c>
      <c r="C316" t="s">
        <v>3000</v>
      </c>
      <c r="D316" t="s">
        <v>3013</v>
      </c>
      <c r="E316" t="s">
        <v>3002</v>
      </c>
      <c r="F316" t="s">
        <v>1935</v>
      </c>
    </row>
    <row r="317" spans="1:6">
      <c r="A317">
        <v>25</v>
      </c>
      <c r="B317">
        <v>19</v>
      </c>
      <c r="C317" t="s">
        <v>3000</v>
      </c>
      <c r="D317" t="s">
        <v>3143</v>
      </c>
      <c r="E317" t="s">
        <v>3002</v>
      </c>
      <c r="F317" t="s">
        <v>1935</v>
      </c>
    </row>
    <row r="318" spans="1:6">
      <c r="A318">
        <v>25</v>
      </c>
      <c r="B318">
        <v>20</v>
      </c>
      <c r="C318" t="s">
        <v>3000</v>
      </c>
      <c r="D318" t="s">
        <v>3144</v>
      </c>
      <c r="E318" t="s">
        <v>3002</v>
      </c>
      <c r="F318" t="s">
        <v>1935</v>
      </c>
    </row>
    <row r="319" spans="1:6">
      <c r="A319">
        <v>25</v>
      </c>
      <c r="B319">
        <v>21</v>
      </c>
      <c r="C319" t="s">
        <v>3000</v>
      </c>
      <c r="D319" t="s">
        <v>3145</v>
      </c>
      <c r="E319" t="s">
        <v>3002</v>
      </c>
      <c r="F319" t="s">
        <v>1935</v>
      </c>
    </row>
    <row r="320" spans="1:6">
      <c r="A320">
        <v>25</v>
      </c>
      <c r="B320">
        <v>22</v>
      </c>
      <c r="C320" t="s">
        <v>3000</v>
      </c>
      <c r="D320" t="s">
        <v>3146</v>
      </c>
      <c r="E320" t="s">
        <v>3002</v>
      </c>
      <c r="F320" t="s">
        <v>1935</v>
      </c>
    </row>
    <row r="321" spans="1:6">
      <c r="A321">
        <v>25</v>
      </c>
      <c r="B321">
        <v>23</v>
      </c>
      <c r="C321" t="s">
        <v>3000</v>
      </c>
      <c r="D321" t="s">
        <v>3147</v>
      </c>
      <c r="E321" t="s">
        <v>3002</v>
      </c>
      <c r="F321" t="s">
        <v>1935</v>
      </c>
    </row>
    <row r="322" spans="1:6">
      <c r="A322">
        <v>25</v>
      </c>
      <c r="B322">
        <v>24</v>
      </c>
      <c r="C322" t="s">
        <v>3000</v>
      </c>
      <c r="D322" t="s">
        <v>3148</v>
      </c>
      <c r="E322" t="s">
        <v>3002</v>
      </c>
      <c r="F322" t="s">
        <v>1935</v>
      </c>
    </row>
    <row r="323" spans="1:6">
      <c r="A323">
        <v>25</v>
      </c>
      <c r="B323">
        <v>25</v>
      </c>
      <c r="C323" t="s">
        <v>3000</v>
      </c>
      <c r="D323" t="s">
        <v>3080</v>
      </c>
      <c r="E323" t="s">
        <v>3002</v>
      </c>
      <c r="F323" t="s">
        <v>1935</v>
      </c>
    </row>
    <row r="324" spans="1:6">
      <c r="A324">
        <v>25</v>
      </c>
      <c r="B324">
        <v>26</v>
      </c>
      <c r="C324" t="s">
        <v>3000</v>
      </c>
      <c r="D324" t="s">
        <v>3149</v>
      </c>
      <c r="E324" t="s">
        <v>3002</v>
      </c>
      <c r="F324" t="s">
        <v>1935</v>
      </c>
    </row>
    <row r="325" spans="1:6">
      <c r="A325">
        <v>25</v>
      </c>
      <c r="B325">
        <v>27</v>
      </c>
      <c r="C325" t="s">
        <v>3000</v>
      </c>
      <c r="D325" t="s">
        <v>3150</v>
      </c>
      <c r="E325" t="s">
        <v>3002</v>
      </c>
      <c r="F325" t="s">
        <v>1935</v>
      </c>
    </row>
    <row r="326" spans="1:6">
      <c r="A326">
        <v>25</v>
      </c>
      <c r="B326">
        <v>28</v>
      </c>
      <c r="C326" t="s">
        <v>3000</v>
      </c>
      <c r="D326" t="s">
        <v>3151</v>
      </c>
      <c r="E326" t="s">
        <v>3002</v>
      </c>
      <c r="F326" t="s">
        <v>1935</v>
      </c>
    </row>
    <row r="327" spans="1:6">
      <c r="A327">
        <v>25</v>
      </c>
      <c r="B327">
        <v>29</v>
      </c>
      <c r="C327" t="s">
        <v>3000</v>
      </c>
      <c r="D327" t="s">
        <v>3152</v>
      </c>
      <c r="E327" t="s">
        <v>3002</v>
      </c>
      <c r="F327" t="s">
        <v>1935</v>
      </c>
    </row>
    <row r="328" spans="1:6">
      <c r="A328">
        <v>25</v>
      </c>
      <c r="B328">
        <v>30</v>
      </c>
      <c r="C328" t="s">
        <v>3000</v>
      </c>
      <c r="D328" t="s">
        <v>3153</v>
      </c>
      <c r="E328" t="s">
        <v>3002</v>
      </c>
      <c r="F328" t="s">
        <v>1935</v>
      </c>
    </row>
    <row r="329" spans="1:6">
      <c r="A329">
        <v>25</v>
      </c>
      <c r="B329">
        <v>31</v>
      </c>
      <c r="C329" t="s">
        <v>3000</v>
      </c>
      <c r="D329" t="s">
        <v>3154</v>
      </c>
      <c r="E329" t="s">
        <v>3002</v>
      </c>
      <c r="F329" t="s">
        <v>1935</v>
      </c>
    </row>
    <row r="330" spans="1:6">
      <c r="A330">
        <v>25</v>
      </c>
      <c r="B330">
        <v>32</v>
      </c>
      <c r="C330" t="s">
        <v>3000</v>
      </c>
      <c r="D330" t="s">
        <v>3155</v>
      </c>
      <c r="E330" t="s">
        <v>3002</v>
      </c>
      <c r="F330" t="s">
        <v>1935</v>
      </c>
    </row>
    <row r="331" spans="1:6">
      <c r="A331">
        <v>25</v>
      </c>
      <c r="B331">
        <v>33</v>
      </c>
      <c r="C331" t="s">
        <v>3000</v>
      </c>
      <c r="D331" t="s">
        <v>3156</v>
      </c>
      <c r="E331" t="s">
        <v>3002</v>
      </c>
      <c r="F331" t="s">
        <v>1935</v>
      </c>
    </row>
    <row r="332" spans="1:6">
      <c r="A332">
        <v>25</v>
      </c>
      <c r="B332">
        <v>34</v>
      </c>
      <c r="C332" t="s">
        <v>3000</v>
      </c>
      <c r="D332" t="s">
        <v>3157</v>
      </c>
      <c r="E332" t="s">
        <v>3002</v>
      </c>
      <c r="F332" t="s">
        <v>1935</v>
      </c>
    </row>
    <row r="333" spans="1:6">
      <c r="A333">
        <v>25</v>
      </c>
      <c r="B333">
        <v>35</v>
      </c>
      <c r="C333" t="s">
        <v>3000</v>
      </c>
      <c r="D333" t="s">
        <v>299</v>
      </c>
      <c r="E333" t="s">
        <v>3002</v>
      </c>
      <c r="F333" t="s">
        <v>1935</v>
      </c>
    </row>
    <row r="334" spans="1:6">
      <c r="A334">
        <v>25</v>
      </c>
      <c r="B334">
        <v>36</v>
      </c>
      <c r="C334" t="s">
        <v>3000</v>
      </c>
      <c r="D334" t="s">
        <v>3158</v>
      </c>
      <c r="E334" t="s">
        <v>3002</v>
      </c>
      <c r="F334" t="s">
        <v>1935</v>
      </c>
    </row>
    <row r="335" spans="1:6">
      <c r="A335">
        <v>25</v>
      </c>
      <c r="B335">
        <v>37</v>
      </c>
      <c r="C335" t="s">
        <v>3000</v>
      </c>
      <c r="D335" t="s">
        <v>3159</v>
      </c>
      <c r="E335" t="s">
        <v>3002</v>
      </c>
      <c r="F335" t="s">
        <v>1935</v>
      </c>
    </row>
    <row r="336" spans="1:6">
      <c r="A336">
        <v>25</v>
      </c>
      <c r="B336">
        <v>38</v>
      </c>
      <c r="C336" t="s">
        <v>3000</v>
      </c>
      <c r="D336" t="s">
        <v>3160</v>
      </c>
      <c r="E336" t="s">
        <v>3002</v>
      </c>
      <c r="F336" t="s">
        <v>1935</v>
      </c>
    </row>
    <row r="337" spans="1:6">
      <c r="A337">
        <v>26</v>
      </c>
      <c r="B337">
        <v>1</v>
      </c>
      <c r="C337" t="s">
        <v>3000</v>
      </c>
      <c r="D337" t="s">
        <v>3069</v>
      </c>
      <c r="E337" t="s">
        <v>3002</v>
      </c>
      <c r="F337" t="s">
        <v>1935</v>
      </c>
    </row>
    <row r="338" spans="1:6">
      <c r="A338">
        <v>26</v>
      </c>
      <c r="B338">
        <v>2</v>
      </c>
      <c r="C338" t="s">
        <v>3000</v>
      </c>
      <c r="D338" t="s">
        <v>3013</v>
      </c>
      <c r="E338" t="s">
        <v>3002</v>
      </c>
      <c r="F338" t="s">
        <v>1935</v>
      </c>
    </row>
    <row r="339" spans="1:6">
      <c r="A339">
        <v>26</v>
      </c>
      <c r="B339">
        <v>3</v>
      </c>
      <c r="C339" t="s">
        <v>3000</v>
      </c>
      <c r="D339" t="s">
        <v>319</v>
      </c>
      <c r="E339" t="s">
        <v>3002</v>
      </c>
      <c r="F339" t="s">
        <v>1935</v>
      </c>
    </row>
    <row r="340" spans="1:6">
      <c r="A340">
        <v>26</v>
      </c>
      <c r="B340">
        <v>4</v>
      </c>
      <c r="C340" t="s">
        <v>3000</v>
      </c>
      <c r="D340" t="s">
        <v>3091</v>
      </c>
      <c r="E340" t="s">
        <v>3002</v>
      </c>
      <c r="F340" t="s">
        <v>1935</v>
      </c>
    </row>
    <row r="341" spans="1:6">
      <c r="A341">
        <v>26</v>
      </c>
      <c r="B341">
        <v>5</v>
      </c>
      <c r="C341" t="s">
        <v>3000</v>
      </c>
      <c r="D341" t="s">
        <v>3013</v>
      </c>
      <c r="E341" t="s">
        <v>3002</v>
      </c>
      <c r="F341" t="s">
        <v>1935</v>
      </c>
    </row>
    <row r="342" spans="1:6">
      <c r="A342">
        <v>26</v>
      </c>
      <c r="B342">
        <v>6</v>
      </c>
      <c r="C342" t="s">
        <v>3000</v>
      </c>
      <c r="D342" t="s">
        <v>316</v>
      </c>
      <c r="E342" t="s">
        <v>3002</v>
      </c>
      <c r="F342" t="s">
        <v>1935</v>
      </c>
    </row>
    <row r="343" spans="1:6">
      <c r="A343">
        <v>26</v>
      </c>
      <c r="B343">
        <v>7</v>
      </c>
      <c r="C343" t="s">
        <v>3000</v>
      </c>
      <c r="D343" t="s">
        <v>3071</v>
      </c>
      <c r="E343" t="s">
        <v>3002</v>
      </c>
      <c r="F343" t="s">
        <v>1935</v>
      </c>
    </row>
    <row r="344" spans="1:6">
      <c r="A344">
        <v>26</v>
      </c>
      <c r="B344">
        <v>8</v>
      </c>
      <c r="C344" t="s">
        <v>3000</v>
      </c>
      <c r="D344" t="s">
        <v>305</v>
      </c>
      <c r="E344" t="s">
        <v>3002</v>
      </c>
      <c r="F344" t="s">
        <v>1935</v>
      </c>
    </row>
    <row r="345" spans="1:6">
      <c r="A345">
        <v>26</v>
      </c>
      <c r="B345">
        <v>9</v>
      </c>
      <c r="C345" t="s">
        <v>3000</v>
      </c>
      <c r="D345" t="s">
        <v>3080</v>
      </c>
      <c r="E345" t="s">
        <v>3002</v>
      </c>
      <c r="F345" t="s">
        <v>1935</v>
      </c>
    </row>
    <row r="346" spans="1:6">
      <c r="A346">
        <v>26</v>
      </c>
      <c r="B346">
        <v>10</v>
      </c>
      <c r="C346" t="s">
        <v>3000</v>
      </c>
      <c r="D346" t="s">
        <v>3161</v>
      </c>
      <c r="E346" t="s">
        <v>3002</v>
      </c>
      <c r="F346" t="s">
        <v>1935</v>
      </c>
    </row>
    <row r="347" spans="1:6">
      <c r="A347">
        <v>26</v>
      </c>
      <c r="B347">
        <v>11</v>
      </c>
      <c r="C347" t="s">
        <v>3000</v>
      </c>
      <c r="D347" t="s">
        <v>3162</v>
      </c>
      <c r="E347" t="s">
        <v>3002</v>
      </c>
      <c r="F347" t="s">
        <v>1935</v>
      </c>
    </row>
    <row r="348" spans="1:6">
      <c r="A348">
        <v>26</v>
      </c>
      <c r="B348">
        <v>12</v>
      </c>
      <c r="C348" t="s">
        <v>3000</v>
      </c>
      <c r="D348" t="s">
        <v>3163</v>
      </c>
      <c r="E348" t="s">
        <v>3002</v>
      </c>
      <c r="F348" t="s">
        <v>1935</v>
      </c>
    </row>
    <row r="349" spans="1:6">
      <c r="A349">
        <v>26</v>
      </c>
      <c r="B349">
        <v>15</v>
      </c>
      <c r="C349" t="s">
        <v>3000</v>
      </c>
      <c r="D349" t="s">
        <v>3164</v>
      </c>
      <c r="E349" t="s">
        <v>3002</v>
      </c>
      <c r="F349" t="s">
        <v>1935</v>
      </c>
    </row>
    <row r="350" spans="1:6">
      <c r="A350">
        <v>26</v>
      </c>
      <c r="B350">
        <v>16</v>
      </c>
      <c r="C350" t="s">
        <v>3000</v>
      </c>
      <c r="D350" t="s">
        <v>299</v>
      </c>
      <c r="E350" t="s">
        <v>3002</v>
      </c>
      <c r="F350" t="s">
        <v>1935</v>
      </c>
    </row>
    <row r="351" spans="1:6">
      <c r="A351">
        <v>27</v>
      </c>
      <c r="B351">
        <v>1</v>
      </c>
      <c r="C351" t="s">
        <v>3000</v>
      </c>
      <c r="D351" t="s">
        <v>3069</v>
      </c>
      <c r="E351" t="s">
        <v>3002</v>
      </c>
      <c r="F351" t="s">
        <v>1935</v>
      </c>
    </row>
    <row r="352" spans="1:6">
      <c r="A352">
        <v>27</v>
      </c>
      <c r="B352">
        <v>2</v>
      </c>
      <c r="C352" t="s">
        <v>3000</v>
      </c>
      <c r="D352" t="s">
        <v>3013</v>
      </c>
      <c r="E352" t="s">
        <v>3002</v>
      </c>
      <c r="F352" t="s">
        <v>1935</v>
      </c>
    </row>
    <row r="353" spans="1:6">
      <c r="A353">
        <v>27</v>
      </c>
      <c r="B353">
        <v>4</v>
      </c>
      <c r="C353" t="s">
        <v>3000</v>
      </c>
      <c r="D353" t="s">
        <v>3157</v>
      </c>
      <c r="E353" t="s">
        <v>3002</v>
      </c>
      <c r="F353" t="s">
        <v>1935</v>
      </c>
    </row>
    <row r="354" spans="1:6">
      <c r="A354">
        <v>27</v>
      </c>
      <c r="B354">
        <v>5</v>
      </c>
      <c r="C354" t="s">
        <v>3000</v>
      </c>
      <c r="D354" t="s">
        <v>3165</v>
      </c>
      <c r="E354" t="s">
        <v>3002</v>
      </c>
      <c r="F354" t="s">
        <v>1935</v>
      </c>
    </row>
    <row r="355" spans="1:6">
      <c r="A355">
        <v>27</v>
      </c>
      <c r="B355">
        <v>7</v>
      </c>
      <c r="C355" t="s">
        <v>3000</v>
      </c>
      <c r="D355" t="s">
        <v>299</v>
      </c>
      <c r="E355" t="s">
        <v>3002</v>
      </c>
      <c r="F355" t="s">
        <v>1935</v>
      </c>
    </row>
    <row r="356" spans="1:6">
      <c r="A356">
        <v>27</v>
      </c>
      <c r="B356">
        <v>8</v>
      </c>
      <c r="C356" t="s">
        <v>3000</v>
      </c>
      <c r="D356" t="s">
        <v>305</v>
      </c>
      <c r="E356" t="s">
        <v>3002</v>
      </c>
      <c r="F356" t="s">
        <v>1935</v>
      </c>
    </row>
    <row r="357" spans="1:6">
      <c r="A357">
        <v>27</v>
      </c>
      <c r="B357">
        <v>9</v>
      </c>
      <c r="C357" t="s">
        <v>3000</v>
      </c>
      <c r="D357" t="s">
        <v>3166</v>
      </c>
      <c r="E357" t="s">
        <v>3002</v>
      </c>
      <c r="F357" t="s">
        <v>1935</v>
      </c>
    </row>
    <row r="358" spans="1:6">
      <c r="A358">
        <v>27</v>
      </c>
      <c r="B358">
        <v>10</v>
      </c>
      <c r="C358" t="s">
        <v>3000</v>
      </c>
      <c r="D358" t="s">
        <v>316</v>
      </c>
      <c r="E358" t="s">
        <v>3002</v>
      </c>
      <c r="F358" t="s">
        <v>1935</v>
      </c>
    </row>
    <row r="359" spans="1:6">
      <c r="A359">
        <v>27</v>
      </c>
      <c r="B359">
        <v>11</v>
      </c>
      <c r="C359" t="s">
        <v>3000</v>
      </c>
      <c r="D359" t="s">
        <v>3167</v>
      </c>
      <c r="E359" t="s">
        <v>3002</v>
      </c>
      <c r="F359" t="s">
        <v>1935</v>
      </c>
    </row>
    <row r="360" spans="1:6">
      <c r="A360">
        <v>27</v>
      </c>
      <c r="B360">
        <v>12</v>
      </c>
      <c r="C360" t="s">
        <v>3000</v>
      </c>
      <c r="D360" t="s">
        <v>3071</v>
      </c>
      <c r="E360" t="s">
        <v>3002</v>
      </c>
      <c r="F360" t="s">
        <v>1935</v>
      </c>
    </row>
    <row r="361" spans="1:6">
      <c r="A361">
        <v>27</v>
      </c>
      <c r="B361">
        <v>13</v>
      </c>
      <c r="C361" t="s">
        <v>3000</v>
      </c>
      <c r="D361" t="s">
        <v>3091</v>
      </c>
      <c r="E361" t="s">
        <v>3002</v>
      </c>
      <c r="F361" t="s">
        <v>1935</v>
      </c>
    </row>
    <row r="362" spans="1:6">
      <c r="A362">
        <v>27</v>
      </c>
      <c r="B362">
        <v>14</v>
      </c>
      <c r="C362" t="s">
        <v>3000</v>
      </c>
      <c r="D362" t="s">
        <v>3013</v>
      </c>
      <c r="E362" t="s">
        <v>3002</v>
      </c>
      <c r="F362" t="s">
        <v>1935</v>
      </c>
    </row>
    <row r="363" spans="1:6">
      <c r="A363">
        <v>27</v>
      </c>
      <c r="B363">
        <v>15</v>
      </c>
      <c r="C363" t="s">
        <v>3000</v>
      </c>
      <c r="D363" t="s">
        <v>319</v>
      </c>
      <c r="E363" t="s">
        <v>3002</v>
      </c>
      <c r="F363" t="s">
        <v>1935</v>
      </c>
    </row>
    <row r="364" spans="1:6">
      <c r="A364">
        <v>27</v>
      </c>
      <c r="B364">
        <v>16</v>
      </c>
      <c r="C364" t="s">
        <v>3000</v>
      </c>
      <c r="D364" t="s">
        <v>3080</v>
      </c>
      <c r="E364" t="s">
        <v>3002</v>
      </c>
      <c r="F364" t="s">
        <v>1935</v>
      </c>
    </row>
    <row r="365" spans="1:6">
      <c r="A365">
        <v>28</v>
      </c>
      <c r="B365">
        <v>1</v>
      </c>
      <c r="C365" t="s">
        <v>3000</v>
      </c>
      <c r="D365" t="s">
        <v>3168</v>
      </c>
      <c r="E365" t="s">
        <v>3002</v>
      </c>
      <c r="F365" t="s">
        <v>1935</v>
      </c>
    </row>
    <row r="366" spans="1:6">
      <c r="A366">
        <v>28</v>
      </c>
      <c r="B366">
        <v>3</v>
      </c>
      <c r="C366" t="s">
        <v>3000</v>
      </c>
      <c r="D366" t="s">
        <v>316</v>
      </c>
      <c r="E366" t="s">
        <v>3002</v>
      </c>
      <c r="F366" t="s">
        <v>1935</v>
      </c>
    </row>
    <row r="367" spans="1:6">
      <c r="A367">
        <v>28</v>
      </c>
      <c r="B367">
        <v>4</v>
      </c>
      <c r="C367" t="s">
        <v>3000</v>
      </c>
      <c r="D367" t="s">
        <v>319</v>
      </c>
      <c r="E367" t="s">
        <v>3002</v>
      </c>
      <c r="F367" t="s">
        <v>1935</v>
      </c>
    </row>
    <row r="368" spans="1:6">
      <c r="A368">
        <v>28</v>
      </c>
      <c r="B368">
        <v>5</v>
      </c>
      <c r="C368" t="s">
        <v>3000</v>
      </c>
      <c r="D368" t="s">
        <v>3013</v>
      </c>
      <c r="E368" t="s">
        <v>3002</v>
      </c>
      <c r="F368" t="s">
        <v>1935</v>
      </c>
    </row>
    <row r="369" spans="1:6">
      <c r="A369">
        <v>28</v>
      </c>
      <c r="B369">
        <v>6</v>
      </c>
      <c r="C369" t="s">
        <v>3000</v>
      </c>
      <c r="D369" t="s">
        <v>3169</v>
      </c>
      <c r="E369" t="s">
        <v>3002</v>
      </c>
      <c r="F369" t="s">
        <v>1935</v>
      </c>
    </row>
    <row r="370" spans="1:6">
      <c r="A370">
        <v>28</v>
      </c>
      <c r="B370">
        <v>7</v>
      </c>
      <c r="C370" t="s">
        <v>3000</v>
      </c>
      <c r="D370" t="s">
        <v>3170</v>
      </c>
      <c r="E370" t="s">
        <v>3002</v>
      </c>
      <c r="F370" t="s">
        <v>1935</v>
      </c>
    </row>
    <row r="371" spans="1:6">
      <c r="A371">
        <v>28</v>
      </c>
      <c r="B371">
        <v>8</v>
      </c>
      <c r="C371" t="s">
        <v>3000</v>
      </c>
      <c r="D371" t="s">
        <v>3013</v>
      </c>
      <c r="E371" t="s">
        <v>3002</v>
      </c>
      <c r="F371" t="s">
        <v>1935</v>
      </c>
    </row>
    <row r="372" spans="1:6">
      <c r="A372">
        <v>28</v>
      </c>
      <c r="B372">
        <v>9</v>
      </c>
      <c r="C372" t="s">
        <v>3000</v>
      </c>
      <c r="D372" t="s">
        <v>3080</v>
      </c>
      <c r="E372" t="s">
        <v>3002</v>
      </c>
      <c r="F372" t="s">
        <v>1935</v>
      </c>
    </row>
    <row r="373" spans="1:6">
      <c r="A373">
        <v>28</v>
      </c>
      <c r="B373">
        <v>10</v>
      </c>
      <c r="C373" t="s">
        <v>3000</v>
      </c>
      <c r="D373" t="s">
        <v>3069</v>
      </c>
      <c r="E373" t="s">
        <v>3002</v>
      </c>
      <c r="F373" t="s">
        <v>1935</v>
      </c>
    </row>
    <row r="374" spans="1:6">
      <c r="A374">
        <v>28</v>
      </c>
      <c r="B374">
        <v>11</v>
      </c>
      <c r="C374" t="s">
        <v>3000</v>
      </c>
      <c r="D374" t="s">
        <v>3091</v>
      </c>
      <c r="E374" t="s">
        <v>3002</v>
      </c>
      <c r="F374" t="s">
        <v>1935</v>
      </c>
    </row>
    <row r="375" spans="1:6">
      <c r="A375">
        <v>28</v>
      </c>
      <c r="B375">
        <v>12</v>
      </c>
      <c r="C375" t="s">
        <v>3000</v>
      </c>
      <c r="D375" t="s">
        <v>3171</v>
      </c>
      <c r="E375" t="s">
        <v>3002</v>
      </c>
      <c r="F375" t="s">
        <v>1935</v>
      </c>
    </row>
    <row r="376" spans="1:6">
      <c r="A376">
        <v>28</v>
      </c>
      <c r="B376">
        <v>13</v>
      </c>
      <c r="C376" t="s">
        <v>3000</v>
      </c>
      <c r="D376" t="s">
        <v>299</v>
      </c>
      <c r="E376" t="s">
        <v>3002</v>
      </c>
      <c r="F376" t="s">
        <v>1935</v>
      </c>
    </row>
    <row r="377" spans="1:6">
      <c r="A377">
        <v>28</v>
      </c>
      <c r="B377">
        <v>14</v>
      </c>
      <c r="C377" t="s">
        <v>3000</v>
      </c>
      <c r="D377" t="s">
        <v>305</v>
      </c>
      <c r="E377" t="s">
        <v>3002</v>
      </c>
      <c r="F377" t="s">
        <v>1935</v>
      </c>
    </row>
    <row r="378" spans="1:6">
      <c r="A378">
        <v>28</v>
      </c>
      <c r="B378">
        <v>16</v>
      </c>
      <c r="C378" t="s">
        <v>3000</v>
      </c>
      <c r="D378" t="s">
        <v>3071</v>
      </c>
      <c r="E378" t="s">
        <v>3002</v>
      </c>
      <c r="F378" t="s">
        <v>1935</v>
      </c>
    </row>
    <row r="379" spans="1:6">
      <c r="A379">
        <v>29</v>
      </c>
      <c r="B379">
        <v>1</v>
      </c>
      <c r="C379" t="s">
        <v>3000</v>
      </c>
      <c r="D379" t="s">
        <v>3069</v>
      </c>
      <c r="E379" t="s">
        <v>3002</v>
      </c>
      <c r="F379" t="s">
        <v>1935</v>
      </c>
    </row>
    <row r="380" spans="1:6">
      <c r="A380">
        <v>29</v>
      </c>
      <c r="B380">
        <v>2</v>
      </c>
      <c r="C380" t="s">
        <v>3000</v>
      </c>
      <c r="D380" t="s">
        <v>299</v>
      </c>
      <c r="E380" t="s">
        <v>3002</v>
      </c>
      <c r="F380" t="s">
        <v>1935</v>
      </c>
    </row>
    <row r="381" spans="1:6">
      <c r="A381">
        <v>29</v>
      </c>
      <c r="B381">
        <v>3</v>
      </c>
      <c r="C381" t="s">
        <v>3000</v>
      </c>
      <c r="D381" t="s">
        <v>3080</v>
      </c>
      <c r="E381" t="s">
        <v>3002</v>
      </c>
      <c r="F381" t="s">
        <v>1935</v>
      </c>
    </row>
    <row r="382" spans="1:6">
      <c r="A382">
        <v>29</v>
      </c>
      <c r="B382">
        <v>4</v>
      </c>
      <c r="C382" t="s">
        <v>3000</v>
      </c>
      <c r="D382" t="s">
        <v>3013</v>
      </c>
      <c r="E382" t="s">
        <v>3002</v>
      </c>
      <c r="F382" t="s">
        <v>1935</v>
      </c>
    </row>
    <row r="383" spans="1:6">
      <c r="A383">
        <v>29</v>
      </c>
      <c r="B383">
        <v>5</v>
      </c>
      <c r="C383" t="s">
        <v>3000</v>
      </c>
      <c r="D383" t="s">
        <v>3172</v>
      </c>
      <c r="E383" t="s">
        <v>3002</v>
      </c>
      <c r="F383" t="s">
        <v>1935</v>
      </c>
    </row>
    <row r="384" spans="1:6">
      <c r="A384">
        <v>29</v>
      </c>
      <c r="B384">
        <v>6</v>
      </c>
      <c r="C384" t="s">
        <v>3000</v>
      </c>
      <c r="D384" t="s">
        <v>316</v>
      </c>
      <c r="E384" t="s">
        <v>3002</v>
      </c>
      <c r="F384" t="s">
        <v>1935</v>
      </c>
    </row>
    <row r="385" spans="1:6">
      <c r="A385">
        <v>29</v>
      </c>
      <c r="B385">
        <v>7</v>
      </c>
      <c r="C385" t="s">
        <v>3000</v>
      </c>
      <c r="D385" t="s">
        <v>3071</v>
      </c>
      <c r="E385" t="s">
        <v>3002</v>
      </c>
      <c r="F385" t="s">
        <v>1935</v>
      </c>
    </row>
    <row r="386" spans="1:6">
      <c r="A386">
        <v>29</v>
      </c>
      <c r="B386">
        <v>8</v>
      </c>
      <c r="C386" t="s">
        <v>3000</v>
      </c>
      <c r="D386" t="s">
        <v>319</v>
      </c>
      <c r="E386" t="s">
        <v>3002</v>
      </c>
      <c r="F386" t="s">
        <v>1935</v>
      </c>
    </row>
    <row r="387" spans="1:6">
      <c r="A387">
        <v>29</v>
      </c>
      <c r="B387">
        <v>9</v>
      </c>
      <c r="C387" t="s">
        <v>3000</v>
      </c>
      <c r="D387" t="s">
        <v>3091</v>
      </c>
      <c r="E387" t="s">
        <v>3002</v>
      </c>
      <c r="F387" t="s">
        <v>1935</v>
      </c>
    </row>
    <row r="388" spans="1:6">
      <c r="A388">
        <v>29</v>
      </c>
      <c r="B388">
        <v>10</v>
      </c>
      <c r="C388" t="s">
        <v>3000</v>
      </c>
      <c r="D388" t="s">
        <v>3013</v>
      </c>
      <c r="E388" t="s">
        <v>3002</v>
      </c>
      <c r="F388" t="s">
        <v>1935</v>
      </c>
    </row>
    <row r="389" spans="1:6">
      <c r="A389">
        <v>29</v>
      </c>
      <c r="B389">
        <v>11</v>
      </c>
      <c r="C389" t="s">
        <v>3000</v>
      </c>
      <c r="D389" t="s">
        <v>305</v>
      </c>
      <c r="E389" t="s">
        <v>3002</v>
      </c>
      <c r="F389" t="s">
        <v>1935</v>
      </c>
    </row>
    <row r="390" spans="1:6">
      <c r="A390">
        <v>29</v>
      </c>
      <c r="B390">
        <v>12</v>
      </c>
      <c r="C390" t="s">
        <v>3000</v>
      </c>
      <c r="D390" t="s">
        <v>3173</v>
      </c>
      <c r="E390" t="s">
        <v>3002</v>
      </c>
      <c r="F390" t="s">
        <v>1935</v>
      </c>
    </row>
    <row r="391" spans="1:6">
      <c r="A391">
        <v>29</v>
      </c>
      <c r="B391">
        <v>13</v>
      </c>
      <c r="C391" t="s">
        <v>3000</v>
      </c>
      <c r="D391" t="s">
        <v>3174</v>
      </c>
      <c r="E391" t="s">
        <v>3002</v>
      </c>
      <c r="F391" t="s">
        <v>1935</v>
      </c>
    </row>
    <row r="392" spans="1:6">
      <c r="A392">
        <v>29</v>
      </c>
      <c r="B392">
        <v>16</v>
      </c>
      <c r="C392" t="s">
        <v>3000</v>
      </c>
      <c r="D392" t="s">
        <v>3175</v>
      </c>
      <c r="E392" t="s">
        <v>3002</v>
      </c>
      <c r="F392" t="s">
        <v>1935</v>
      </c>
    </row>
    <row r="393" spans="1:6">
      <c r="A393">
        <v>30</v>
      </c>
      <c r="B393">
        <v>1</v>
      </c>
      <c r="C393" t="s">
        <v>3000</v>
      </c>
      <c r="D393" t="s">
        <v>3013</v>
      </c>
      <c r="E393" t="s">
        <v>3002</v>
      </c>
      <c r="F393" t="s">
        <v>1935</v>
      </c>
    </row>
    <row r="394" spans="1:6">
      <c r="A394">
        <v>30</v>
      </c>
      <c r="B394">
        <v>2</v>
      </c>
      <c r="C394" t="s">
        <v>3000</v>
      </c>
      <c r="D394" t="s">
        <v>3069</v>
      </c>
      <c r="E394" t="s">
        <v>3002</v>
      </c>
      <c r="F394" t="s">
        <v>1935</v>
      </c>
    </row>
    <row r="395" spans="1:6">
      <c r="A395">
        <v>30</v>
      </c>
      <c r="B395">
        <v>3</v>
      </c>
      <c r="C395" t="s">
        <v>3000</v>
      </c>
      <c r="D395" t="s">
        <v>3176</v>
      </c>
      <c r="E395" t="s">
        <v>3002</v>
      </c>
      <c r="F395" t="s">
        <v>1935</v>
      </c>
    </row>
    <row r="396" spans="1:6">
      <c r="A396">
        <v>30</v>
      </c>
      <c r="B396">
        <v>4</v>
      </c>
      <c r="C396" t="s">
        <v>3000</v>
      </c>
      <c r="D396" t="s">
        <v>316</v>
      </c>
      <c r="E396" t="s">
        <v>3002</v>
      </c>
      <c r="F396" t="s">
        <v>1935</v>
      </c>
    </row>
    <row r="397" spans="1:6">
      <c r="A397">
        <v>30</v>
      </c>
      <c r="B397">
        <v>5</v>
      </c>
      <c r="C397" t="s">
        <v>3000</v>
      </c>
      <c r="D397" t="s">
        <v>3071</v>
      </c>
      <c r="E397" t="s">
        <v>3002</v>
      </c>
      <c r="F397" t="s">
        <v>1935</v>
      </c>
    </row>
    <row r="398" spans="1:6">
      <c r="A398">
        <v>30</v>
      </c>
      <c r="B398">
        <v>7</v>
      </c>
      <c r="C398" t="s">
        <v>3000</v>
      </c>
      <c r="D398" t="s">
        <v>319</v>
      </c>
      <c r="E398" t="s">
        <v>3002</v>
      </c>
      <c r="F398" t="s">
        <v>1935</v>
      </c>
    </row>
    <row r="399" spans="1:6">
      <c r="A399">
        <v>30</v>
      </c>
      <c r="B399">
        <v>8</v>
      </c>
      <c r="C399" t="s">
        <v>3000</v>
      </c>
      <c r="D399" t="s">
        <v>3177</v>
      </c>
      <c r="E399" t="s">
        <v>3002</v>
      </c>
      <c r="F399" t="s">
        <v>1935</v>
      </c>
    </row>
    <row r="400" spans="1:6">
      <c r="A400">
        <v>30</v>
      </c>
      <c r="B400">
        <v>10</v>
      </c>
      <c r="C400" t="s">
        <v>3000</v>
      </c>
      <c r="D400" t="s">
        <v>3178</v>
      </c>
      <c r="E400" t="s">
        <v>3002</v>
      </c>
      <c r="F400" t="s">
        <v>1935</v>
      </c>
    </row>
    <row r="401" spans="1:6">
      <c r="A401">
        <v>30</v>
      </c>
      <c r="B401">
        <v>11</v>
      </c>
      <c r="C401" t="s">
        <v>3000</v>
      </c>
      <c r="D401" t="s">
        <v>3080</v>
      </c>
      <c r="E401" t="s">
        <v>3002</v>
      </c>
      <c r="F401" t="s">
        <v>1935</v>
      </c>
    </row>
    <row r="402" spans="1:6">
      <c r="A402">
        <v>30</v>
      </c>
      <c r="B402">
        <v>12</v>
      </c>
      <c r="C402" t="s">
        <v>3000</v>
      </c>
      <c r="D402" t="s">
        <v>3179</v>
      </c>
      <c r="E402" t="s">
        <v>3002</v>
      </c>
      <c r="F402" t="s">
        <v>1935</v>
      </c>
    </row>
    <row r="403" spans="1:6">
      <c r="A403">
        <v>31</v>
      </c>
      <c r="B403">
        <v>1</v>
      </c>
      <c r="C403" t="s">
        <v>3000</v>
      </c>
      <c r="D403" t="s">
        <v>3180</v>
      </c>
      <c r="E403" t="s">
        <v>3002</v>
      </c>
      <c r="F403" t="s">
        <v>1935</v>
      </c>
    </row>
    <row r="404" spans="1:6">
      <c r="A404">
        <v>31</v>
      </c>
      <c r="B404">
        <v>2</v>
      </c>
      <c r="C404" t="s">
        <v>3000</v>
      </c>
      <c r="D404" t="s">
        <v>3181</v>
      </c>
      <c r="E404" t="s">
        <v>3002</v>
      </c>
      <c r="F404" t="s">
        <v>1935</v>
      </c>
    </row>
    <row r="405" spans="1:6">
      <c r="A405">
        <v>31</v>
      </c>
      <c r="B405">
        <v>3</v>
      </c>
      <c r="C405" t="s">
        <v>3000</v>
      </c>
      <c r="D405" t="s">
        <v>3182</v>
      </c>
      <c r="E405" t="s">
        <v>3002</v>
      </c>
      <c r="F405" t="s">
        <v>1935</v>
      </c>
    </row>
    <row r="406" spans="1:6">
      <c r="A406">
        <v>31</v>
      </c>
      <c r="B406">
        <v>4</v>
      </c>
      <c r="C406" t="s">
        <v>3000</v>
      </c>
      <c r="D406" t="s">
        <v>3183</v>
      </c>
      <c r="E406" t="s">
        <v>3002</v>
      </c>
      <c r="F406" t="s">
        <v>1935</v>
      </c>
    </row>
    <row r="407" spans="1:6">
      <c r="A407">
        <v>31</v>
      </c>
      <c r="B407">
        <v>5</v>
      </c>
      <c r="C407" t="s">
        <v>3000</v>
      </c>
      <c r="D407" t="s">
        <v>3184</v>
      </c>
      <c r="E407" t="s">
        <v>3002</v>
      </c>
      <c r="F407" t="s">
        <v>1935</v>
      </c>
    </row>
    <row r="408" spans="1:6">
      <c r="A408">
        <v>31</v>
      </c>
      <c r="B408">
        <v>6</v>
      </c>
      <c r="C408" t="s">
        <v>3000</v>
      </c>
      <c r="D408" t="s">
        <v>3185</v>
      </c>
      <c r="E408" t="s">
        <v>3002</v>
      </c>
      <c r="F408" t="s">
        <v>1935</v>
      </c>
    </row>
    <row r="409" spans="1:6">
      <c r="A409">
        <v>31</v>
      </c>
      <c r="B409">
        <v>7</v>
      </c>
      <c r="C409" t="s">
        <v>3000</v>
      </c>
      <c r="D409" t="s">
        <v>3186</v>
      </c>
      <c r="E409" t="s">
        <v>3002</v>
      </c>
      <c r="F409" t="s">
        <v>1935</v>
      </c>
    </row>
    <row r="410" spans="1:6">
      <c r="A410">
        <v>31</v>
      </c>
      <c r="B410">
        <v>8</v>
      </c>
      <c r="C410" t="s">
        <v>3000</v>
      </c>
      <c r="D410" t="s">
        <v>3187</v>
      </c>
      <c r="E410" t="s">
        <v>3002</v>
      </c>
      <c r="F410" t="s">
        <v>1935</v>
      </c>
    </row>
    <row r="411" spans="1:6">
      <c r="A411">
        <v>31</v>
      </c>
      <c r="B411">
        <v>9</v>
      </c>
      <c r="C411" t="s">
        <v>3000</v>
      </c>
      <c r="D411" t="s">
        <v>3188</v>
      </c>
      <c r="E411" t="s">
        <v>3002</v>
      </c>
      <c r="F411" t="s">
        <v>1935</v>
      </c>
    </row>
    <row r="412" spans="1:6">
      <c r="A412">
        <v>32</v>
      </c>
      <c r="B412">
        <v>1</v>
      </c>
      <c r="C412" t="s">
        <v>3000</v>
      </c>
      <c r="D412" t="s">
        <v>3189</v>
      </c>
      <c r="E412" t="s">
        <v>3002</v>
      </c>
      <c r="F412" t="s">
        <v>1935</v>
      </c>
    </row>
    <row r="413" spans="1:6">
      <c r="A413">
        <v>32</v>
      </c>
      <c r="B413">
        <v>2</v>
      </c>
      <c r="C413" t="s">
        <v>3000</v>
      </c>
      <c r="D413" t="s">
        <v>3186</v>
      </c>
      <c r="E413" t="s">
        <v>3002</v>
      </c>
      <c r="F413" t="s">
        <v>1935</v>
      </c>
    </row>
    <row r="414" spans="1:6">
      <c r="A414">
        <v>32</v>
      </c>
      <c r="B414">
        <v>3</v>
      </c>
      <c r="C414" t="s">
        <v>3000</v>
      </c>
      <c r="D414" t="s">
        <v>3182</v>
      </c>
      <c r="E414" t="s">
        <v>3002</v>
      </c>
      <c r="F414" t="s">
        <v>1935</v>
      </c>
    </row>
    <row r="415" spans="1:6">
      <c r="A415">
        <v>32</v>
      </c>
      <c r="B415">
        <v>4</v>
      </c>
      <c r="C415" t="s">
        <v>3000</v>
      </c>
      <c r="D415" t="s">
        <v>3190</v>
      </c>
      <c r="E415" t="s">
        <v>3002</v>
      </c>
      <c r="F415" t="s">
        <v>1935</v>
      </c>
    </row>
    <row r="416" spans="1:6">
      <c r="A416">
        <v>32</v>
      </c>
      <c r="B416">
        <v>5</v>
      </c>
      <c r="C416" t="s">
        <v>3000</v>
      </c>
      <c r="D416" t="s">
        <v>3187</v>
      </c>
      <c r="E416" t="s">
        <v>3002</v>
      </c>
      <c r="F416" t="s">
        <v>1935</v>
      </c>
    </row>
    <row r="417" spans="1:6">
      <c r="A417">
        <v>32</v>
      </c>
      <c r="B417">
        <v>6</v>
      </c>
      <c r="C417" t="s">
        <v>3000</v>
      </c>
      <c r="D417" t="s">
        <v>3181</v>
      </c>
      <c r="E417" t="s">
        <v>3002</v>
      </c>
      <c r="F417" t="s">
        <v>1935</v>
      </c>
    </row>
    <row r="418" spans="1:6">
      <c r="A418">
        <v>32</v>
      </c>
      <c r="B418">
        <v>7</v>
      </c>
      <c r="C418" t="s">
        <v>3000</v>
      </c>
      <c r="D418" t="s">
        <v>3184</v>
      </c>
      <c r="E418" t="s">
        <v>3002</v>
      </c>
      <c r="F418" t="s">
        <v>1935</v>
      </c>
    </row>
    <row r="419" spans="1:6">
      <c r="A419">
        <v>32</v>
      </c>
      <c r="B419">
        <v>8</v>
      </c>
      <c r="C419" t="s">
        <v>3000</v>
      </c>
      <c r="D419" t="s">
        <v>3191</v>
      </c>
      <c r="E419" t="s">
        <v>3002</v>
      </c>
      <c r="F419" t="s">
        <v>1935</v>
      </c>
    </row>
    <row r="420" spans="1:6">
      <c r="A420">
        <v>32</v>
      </c>
      <c r="B420">
        <v>9</v>
      </c>
      <c r="C420" t="s">
        <v>3000</v>
      </c>
      <c r="D420" t="s">
        <v>3185</v>
      </c>
      <c r="E420" t="s">
        <v>3002</v>
      </c>
      <c r="F420" t="s">
        <v>1935</v>
      </c>
    </row>
    <row r="421" spans="1:6">
      <c r="A421">
        <v>33</v>
      </c>
      <c r="B421">
        <v>1</v>
      </c>
      <c r="C421" t="s">
        <v>3000</v>
      </c>
      <c r="D421" t="s">
        <v>3192</v>
      </c>
      <c r="E421" t="s">
        <v>3002</v>
      </c>
      <c r="F421" t="s">
        <v>1935</v>
      </c>
    </row>
    <row r="422" spans="1:6">
      <c r="A422">
        <v>33</v>
      </c>
      <c r="B422">
        <v>2</v>
      </c>
      <c r="C422" t="s">
        <v>3000</v>
      </c>
      <c r="D422" t="s">
        <v>3193</v>
      </c>
      <c r="E422" t="s">
        <v>3002</v>
      </c>
      <c r="F422" t="s">
        <v>1935</v>
      </c>
    </row>
    <row r="423" spans="1:6">
      <c r="A423">
        <v>33</v>
      </c>
      <c r="B423">
        <v>3</v>
      </c>
      <c r="C423" t="s">
        <v>3000</v>
      </c>
      <c r="D423" t="s">
        <v>3194</v>
      </c>
      <c r="E423" t="s">
        <v>3002</v>
      </c>
      <c r="F423" t="s">
        <v>1935</v>
      </c>
    </row>
    <row r="424" spans="1:6">
      <c r="A424">
        <v>33</v>
      </c>
      <c r="B424">
        <v>4</v>
      </c>
      <c r="C424" t="s">
        <v>3000</v>
      </c>
      <c r="D424" t="s">
        <v>3195</v>
      </c>
      <c r="E424" t="s">
        <v>3002</v>
      </c>
      <c r="F424" t="s">
        <v>1935</v>
      </c>
    </row>
    <row r="425" spans="1:6">
      <c r="A425">
        <v>33</v>
      </c>
      <c r="B425">
        <v>5</v>
      </c>
      <c r="C425" t="s">
        <v>3000</v>
      </c>
      <c r="D425" t="s">
        <v>3196</v>
      </c>
      <c r="E425" t="s">
        <v>3002</v>
      </c>
      <c r="F425" t="s">
        <v>1935</v>
      </c>
    </row>
    <row r="426" spans="1:6">
      <c r="A426">
        <v>33</v>
      </c>
      <c r="B426">
        <v>6</v>
      </c>
      <c r="C426" t="s">
        <v>3000</v>
      </c>
      <c r="D426" t="s">
        <v>3197</v>
      </c>
      <c r="E426" t="s">
        <v>3002</v>
      </c>
      <c r="F426" t="s">
        <v>1935</v>
      </c>
    </row>
    <row r="427" spans="1:6">
      <c r="A427">
        <v>33</v>
      </c>
      <c r="B427">
        <v>7</v>
      </c>
      <c r="C427" t="s">
        <v>3000</v>
      </c>
      <c r="D427" t="s">
        <v>3198</v>
      </c>
      <c r="E427" t="s">
        <v>3002</v>
      </c>
      <c r="F427" t="s">
        <v>1935</v>
      </c>
    </row>
    <row r="428" spans="1:6">
      <c r="A428">
        <v>34</v>
      </c>
      <c r="B428">
        <v>1</v>
      </c>
      <c r="C428" t="s">
        <v>3000</v>
      </c>
      <c r="D428" t="s">
        <v>3182</v>
      </c>
      <c r="E428" t="s">
        <v>3002</v>
      </c>
      <c r="F428" t="s">
        <v>1935</v>
      </c>
    </row>
    <row r="429" spans="1:6">
      <c r="A429">
        <v>34</v>
      </c>
      <c r="B429">
        <v>2</v>
      </c>
      <c r="C429" t="s">
        <v>3000</v>
      </c>
      <c r="D429" t="s">
        <v>3185</v>
      </c>
      <c r="E429" t="s">
        <v>3002</v>
      </c>
      <c r="F429" t="s">
        <v>1935</v>
      </c>
    </row>
    <row r="430" spans="1:6">
      <c r="A430">
        <v>34</v>
      </c>
      <c r="B430">
        <v>3</v>
      </c>
      <c r="C430" t="s">
        <v>3000</v>
      </c>
      <c r="D430" t="s">
        <v>3184</v>
      </c>
      <c r="E430" t="s">
        <v>3002</v>
      </c>
      <c r="F430" t="s">
        <v>1935</v>
      </c>
    </row>
    <row r="431" spans="1:6">
      <c r="A431">
        <v>34</v>
      </c>
      <c r="B431">
        <v>4</v>
      </c>
      <c r="C431" t="s">
        <v>3000</v>
      </c>
      <c r="D431" t="s">
        <v>3199</v>
      </c>
      <c r="E431" t="s">
        <v>3002</v>
      </c>
      <c r="F431" t="s">
        <v>1935</v>
      </c>
    </row>
    <row r="432" spans="1:6">
      <c r="A432">
        <v>34</v>
      </c>
      <c r="B432">
        <v>5</v>
      </c>
      <c r="C432" t="s">
        <v>3000</v>
      </c>
      <c r="D432" t="s">
        <v>3181</v>
      </c>
      <c r="E432" t="s">
        <v>3002</v>
      </c>
      <c r="F432" t="s">
        <v>1935</v>
      </c>
    </row>
    <row r="433" spans="1:6">
      <c r="A433">
        <v>34</v>
      </c>
      <c r="B433">
        <v>6</v>
      </c>
      <c r="C433" t="s">
        <v>3000</v>
      </c>
      <c r="D433" t="s">
        <v>3190</v>
      </c>
      <c r="E433" t="s">
        <v>3002</v>
      </c>
      <c r="F433" t="s">
        <v>1935</v>
      </c>
    </row>
    <row r="434" spans="1:6">
      <c r="A434">
        <v>34</v>
      </c>
      <c r="B434">
        <v>7</v>
      </c>
      <c r="C434" t="s">
        <v>3000</v>
      </c>
      <c r="D434" t="s">
        <v>3186</v>
      </c>
      <c r="E434" t="s">
        <v>3002</v>
      </c>
      <c r="F434" t="s">
        <v>1935</v>
      </c>
    </row>
    <row r="435" spans="1:6">
      <c r="A435">
        <v>34</v>
      </c>
      <c r="B435">
        <v>8</v>
      </c>
      <c r="C435" t="s">
        <v>3000</v>
      </c>
      <c r="D435" t="s">
        <v>3187</v>
      </c>
      <c r="E435" t="s">
        <v>3002</v>
      </c>
      <c r="F435" t="s">
        <v>1935</v>
      </c>
    </row>
    <row r="436" spans="1:6">
      <c r="A436">
        <v>35</v>
      </c>
      <c r="B436">
        <v>1</v>
      </c>
      <c r="C436" t="s">
        <v>3000</v>
      </c>
      <c r="D436" t="s">
        <v>3182</v>
      </c>
      <c r="E436" t="s">
        <v>3002</v>
      </c>
      <c r="F436" t="s">
        <v>1935</v>
      </c>
    </row>
    <row r="437" spans="1:6">
      <c r="A437">
        <v>35</v>
      </c>
      <c r="B437">
        <v>2</v>
      </c>
      <c r="C437" t="s">
        <v>3000</v>
      </c>
      <c r="D437" t="s">
        <v>3185</v>
      </c>
      <c r="E437" t="s">
        <v>3002</v>
      </c>
      <c r="F437" t="s">
        <v>1935</v>
      </c>
    </row>
    <row r="438" spans="1:6">
      <c r="A438">
        <v>35</v>
      </c>
      <c r="B438">
        <v>3</v>
      </c>
      <c r="C438" t="s">
        <v>3000</v>
      </c>
      <c r="D438" t="s">
        <v>3184</v>
      </c>
      <c r="E438" t="s">
        <v>3002</v>
      </c>
      <c r="F438" t="s">
        <v>1935</v>
      </c>
    </row>
    <row r="439" spans="1:6">
      <c r="A439">
        <v>35</v>
      </c>
      <c r="B439">
        <v>4</v>
      </c>
      <c r="C439" t="s">
        <v>3000</v>
      </c>
      <c r="D439" t="s">
        <v>3200</v>
      </c>
      <c r="E439" t="s">
        <v>3002</v>
      </c>
      <c r="F439" t="s">
        <v>1935</v>
      </c>
    </row>
    <row r="440" spans="1:6">
      <c r="A440">
        <v>35</v>
      </c>
      <c r="B440">
        <v>5</v>
      </c>
      <c r="C440" t="s">
        <v>3000</v>
      </c>
      <c r="D440" t="s">
        <v>3181</v>
      </c>
      <c r="E440" t="s">
        <v>3002</v>
      </c>
      <c r="F440" t="s">
        <v>1935</v>
      </c>
    </row>
    <row r="441" spans="1:6">
      <c r="A441">
        <v>35</v>
      </c>
      <c r="B441">
        <v>6</v>
      </c>
      <c r="C441" t="s">
        <v>3000</v>
      </c>
      <c r="D441" t="s">
        <v>3190</v>
      </c>
      <c r="E441" t="s">
        <v>3002</v>
      </c>
      <c r="F441" t="s">
        <v>1935</v>
      </c>
    </row>
    <row r="442" spans="1:6">
      <c r="A442">
        <v>35</v>
      </c>
      <c r="B442">
        <v>7</v>
      </c>
      <c r="C442" t="s">
        <v>3000</v>
      </c>
      <c r="D442" t="s">
        <v>3186</v>
      </c>
      <c r="E442" t="s">
        <v>3002</v>
      </c>
      <c r="F442" t="s">
        <v>1935</v>
      </c>
    </row>
    <row r="443" spans="1:6">
      <c r="A443">
        <v>35</v>
      </c>
      <c r="B443">
        <v>8</v>
      </c>
      <c r="C443" t="s">
        <v>3000</v>
      </c>
      <c r="D443" t="s">
        <v>3187</v>
      </c>
      <c r="E443" t="s">
        <v>3002</v>
      </c>
      <c r="F443" t="s">
        <v>1935</v>
      </c>
    </row>
    <row r="444" spans="1:6">
      <c r="A444">
        <v>36</v>
      </c>
      <c r="B444">
        <v>1</v>
      </c>
      <c r="C444" t="s">
        <v>3000</v>
      </c>
      <c r="D444" t="s">
        <v>3006</v>
      </c>
      <c r="E444" t="s">
        <v>3002</v>
      </c>
      <c r="F444" t="s">
        <v>1935</v>
      </c>
    </row>
    <row r="445" spans="1:6">
      <c r="A445">
        <v>36</v>
      </c>
      <c r="B445">
        <v>2</v>
      </c>
      <c r="C445" t="s">
        <v>3000</v>
      </c>
      <c r="D445" t="s">
        <v>3201</v>
      </c>
      <c r="E445" t="s">
        <v>3007</v>
      </c>
      <c r="F445" t="s">
        <v>1935</v>
      </c>
    </row>
    <row r="446" spans="1:6">
      <c r="A446">
        <v>36</v>
      </c>
      <c r="B446">
        <v>3</v>
      </c>
      <c r="C446" t="s">
        <v>3000</v>
      </c>
      <c r="D446" t="s">
        <v>3202</v>
      </c>
      <c r="E446" t="s">
        <v>3002</v>
      </c>
      <c r="F446" t="s">
        <v>1935</v>
      </c>
    </row>
    <row r="447" spans="1:6">
      <c r="A447">
        <v>36</v>
      </c>
      <c r="B447">
        <v>4</v>
      </c>
      <c r="C447" t="s">
        <v>3000</v>
      </c>
      <c r="D447" t="s">
        <v>3203</v>
      </c>
      <c r="E447" t="s">
        <v>3002</v>
      </c>
      <c r="F447" t="s">
        <v>1935</v>
      </c>
    </row>
    <row r="448" spans="1:6">
      <c r="A448">
        <v>36</v>
      </c>
      <c r="B448">
        <v>7</v>
      </c>
      <c r="C448" t="s">
        <v>3000</v>
      </c>
      <c r="D448" t="s">
        <v>3204</v>
      </c>
      <c r="E448" t="s">
        <v>3002</v>
      </c>
      <c r="F448" t="s">
        <v>1935</v>
      </c>
    </row>
    <row r="449" spans="1:6">
      <c r="A449">
        <v>36</v>
      </c>
      <c r="B449">
        <v>9</v>
      </c>
      <c r="C449" t="s">
        <v>3000</v>
      </c>
      <c r="D449" t="s">
        <v>3205</v>
      </c>
      <c r="E449" t="s">
        <v>3007</v>
      </c>
      <c r="F449" t="s">
        <v>1935</v>
      </c>
    </row>
    <row r="450" spans="1:6">
      <c r="A450">
        <v>36</v>
      </c>
      <c r="B450">
        <v>11</v>
      </c>
      <c r="C450" t="s">
        <v>3000</v>
      </c>
      <c r="D450" t="s">
        <v>3206</v>
      </c>
      <c r="E450" t="s">
        <v>3002</v>
      </c>
      <c r="F450" t="s">
        <v>1935</v>
      </c>
    </row>
    <row r="451" spans="1:6">
      <c r="A451">
        <v>36</v>
      </c>
      <c r="B451">
        <v>12</v>
      </c>
      <c r="C451" t="s">
        <v>3000</v>
      </c>
      <c r="D451" t="s">
        <v>3207</v>
      </c>
      <c r="E451" t="s">
        <v>3002</v>
      </c>
      <c r="F451" t="s">
        <v>1935</v>
      </c>
    </row>
    <row r="452" spans="1:6">
      <c r="A452">
        <v>36</v>
      </c>
      <c r="B452">
        <v>13</v>
      </c>
      <c r="C452" t="s">
        <v>3000</v>
      </c>
      <c r="D452" t="s">
        <v>3208</v>
      </c>
      <c r="E452" t="s">
        <v>3002</v>
      </c>
      <c r="F452" t="s">
        <v>1935</v>
      </c>
    </row>
    <row r="453" spans="1:6">
      <c r="A453">
        <v>36</v>
      </c>
      <c r="B453">
        <v>14</v>
      </c>
      <c r="C453" t="s">
        <v>3000</v>
      </c>
      <c r="D453" t="s">
        <v>3005</v>
      </c>
      <c r="E453" t="s">
        <v>3007</v>
      </c>
      <c r="F453" t="s">
        <v>1935</v>
      </c>
    </row>
    <row r="454" spans="1:6">
      <c r="A454">
        <v>37</v>
      </c>
      <c r="B454">
        <v>1</v>
      </c>
      <c r="C454" t="s">
        <v>3000</v>
      </c>
      <c r="D454" t="s">
        <v>3005</v>
      </c>
      <c r="E454" t="s">
        <v>3002</v>
      </c>
      <c r="F454" t="s">
        <v>1935</v>
      </c>
    </row>
    <row r="455" spans="1:6">
      <c r="A455">
        <v>37</v>
      </c>
      <c r="B455">
        <v>3</v>
      </c>
      <c r="C455" t="s">
        <v>3000</v>
      </c>
      <c r="D455" t="s">
        <v>201</v>
      </c>
      <c r="E455" t="s">
        <v>3007</v>
      </c>
      <c r="F455" t="s">
        <v>1935</v>
      </c>
    </row>
    <row r="456" spans="1:6">
      <c r="A456">
        <v>37</v>
      </c>
      <c r="B456">
        <v>5</v>
      </c>
      <c r="C456" t="s">
        <v>3000</v>
      </c>
      <c r="D456" t="s">
        <v>3205</v>
      </c>
      <c r="E456" t="s">
        <v>3002</v>
      </c>
      <c r="F456" t="s">
        <v>1935</v>
      </c>
    </row>
    <row r="457" spans="1:6">
      <c r="A457">
        <v>37</v>
      </c>
      <c r="B457">
        <v>6</v>
      </c>
      <c r="C457" t="s">
        <v>3000</v>
      </c>
      <c r="D457" t="s">
        <v>3209</v>
      </c>
      <c r="E457" t="s">
        <v>3007</v>
      </c>
      <c r="F457" t="s">
        <v>1935</v>
      </c>
    </row>
    <row r="458" spans="1:6">
      <c r="A458">
        <v>37</v>
      </c>
      <c r="B458">
        <v>7</v>
      </c>
      <c r="C458" t="s">
        <v>3000</v>
      </c>
      <c r="D458" t="s">
        <v>3210</v>
      </c>
      <c r="E458" t="s">
        <v>3007</v>
      </c>
      <c r="F458" t="s">
        <v>1935</v>
      </c>
    </row>
    <row r="459" spans="1:6">
      <c r="A459">
        <v>37</v>
      </c>
      <c r="B459">
        <v>10</v>
      </c>
      <c r="C459" t="s">
        <v>3000</v>
      </c>
      <c r="D459" t="s">
        <v>3201</v>
      </c>
      <c r="E459" t="s">
        <v>3002</v>
      </c>
      <c r="F459" t="s">
        <v>1935</v>
      </c>
    </row>
    <row r="460" spans="1:6">
      <c r="A460">
        <v>37</v>
      </c>
      <c r="B460">
        <v>11</v>
      </c>
      <c r="C460" t="s">
        <v>3000</v>
      </c>
      <c r="D460" t="s">
        <v>3211</v>
      </c>
      <c r="E460" t="s">
        <v>3002</v>
      </c>
      <c r="F460" t="s">
        <v>1935</v>
      </c>
    </row>
    <row r="461" spans="1:6">
      <c r="A461">
        <v>37</v>
      </c>
      <c r="B461">
        <v>14</v>
      </c>
      <c r="C461" t="s">
        <v>3000</v>
      </c>
      <c r="D461" t="s">
        <v>3212</v>
      </c>
      <c r="E461" t="s">
        <v>3002</v>
      </c>
      <c r="F461" t="s">
        <v>1935</v>
      </c>
    </row>
    <row r="462" spans="1:6">
      <c r="A462">
        <v>37</v>
      </c>
      <c r="B462">
        <v>16</v>
      </c>
      <c r="C462" t="s">
        <v>3000</v>
      </c>
      <c r="D462" t="s">
        <v>3213</v>
      </c>
      <c r="E462" t="s">
        <v>3002</v>
      </c>
      <c r="F462" t="s">
        <v>1935</v>
      </c>
    </row>
    <row r="463" spans="1:6">
      <c r="A463">
        <v>37</v>
      </c>
      <c r="B463">
        <v>17</v>
      </c>
      <c r="C463" t="s">
        <v>3000</v>
      </c>
      <c r="D463" t="s">
        <v>3214</v>
      </c>
      <c r="E463" t="s">
        <v>3002</v>
      </c>
      <c r="F463" t="s">
        <v>1935</v>
      </c>
    </row>
    <row r="464" spans="1:6">
      <c r="A464">
        <v>37</v>
      </c>
      <c r="B464">
        <v>18</v>
      </c>
      <c r="C464" t="s">
        <v>3000</v>
      </c>
      <c r="D464" t="s">
        <v>3215</v>
      </c>
      <c r="E464" t="s">
        <v>3002</v>
      </c>
      <c r="F464" t="s">
        <v>1935</v>
      </c>
    </row>
    <row r="465" spans="1:6">
      <c r="A465">
        <v>37</v>
      </c>
      <c r="B465">
        <v>19</v>
      </c>
      <c r="C465" t="s">
        <v>3000</v>
      </c>
      <c r="D465" t="s">
        <v>109</v>
      </c>
      <c r="E465" t="s">
        <v>3002</v>
      </c>
      <c r="F465" t="s">
        <v>1935</v>
      </c>
    </row>
    <row r="466" spans="1:6">
      <c r="A466">
        <v>37</v>
      </c>
      <c r="B466">
        <v>20</v>
      </c>
      <c r="C466" t="s">
        <v>3000</v>
      </c>
      <c r="D466" t="s">
        <v>3216</v>
      </c>
      <c r="E466" t="s">
        <v>3002</v>
      </c>
      <c r="F466" t="s">
        <v>1935</v>
      </c>
    </row>
    <row r="467" spans="1:6">
      <c r="A467">
        <v>38</v>
      </c>
      <c r="B467">
        <v>1</v>
      </c>
      <c r="C467" t="s">
        <v>3000</v>
      </c>
      <c r="D467" t="s">
        <v>3209</v>
      </c>
      <c r="E467" t="s">
        <v>3007</v>
      </c>
      <c r="F467" t="s">
        <v>1935</v>
      </c>
    </row>
    <row r="468" spans="1:6">
      <c r="A468">
        <v>38</v>
      </c>
      <c r="B468">
        <v>2</v>
      </c>
      <c r="C468" t="s">
        <v>3000</v>
      </c>
      <c r="D468" t="s">
        <v>3217</v>
      </c>
      <c r="E468" t="s">
        <v>3218</v>
      </c>
      <c r="F468" t="s">
        <v>1935</v>
      </c>
    </row>
    <row r="469" spans="1:6">
      <c r="A469">
        <v>38</v>
      </c>
      <c r="B469">
        <v>3</v>
      </c>
      <c r="C469" t="s">
        <v>3000</v>
      </c>
      <c r="D469" t="s">
        <v>293</v>
      </c>
      <c r="E469" t="s">
        <v>3002</v>
      </c>
      <c r="F469" t="s">
        <v>1935</v>
      </c>
    </row>
    <row r="470" spans="1:6">
      <c r="A470">
        <v>38</v>
      </c>
      <c r="B470">
        <v>4</v>
      </c>
      <c r="C470" t="s">
        <v>3000</v>
      </c>
      <c r="D470" t="s">
        <v>3219</v>
      </c>
      <c r="E470" t="s">
        <v>3002</v>
      </c>
      <c r="F470" t="s">
        <v>1935</v>
      </c>
    </row>
    <row r="471" spans="1:6">
      <c r="A471">
        <v>38</v>
      </c>
      <c r="B471">
        <v>5</v>
      </c>
      <c r="C471" t="s">
        <v>3000</v>
      </c>
      <c r="D471" t="s">
        <v>675</v>
      </c>
      <c r="E471" t="s">
        <v>3218</v>
      </c>
      <c r="F471" t="s">
        <v>1935</v>
      </c>
    </row>
    <row r="472" spans="1:6">
      <c r="A472">
        <v>38</v>
      </c>
      <c r="B472">
        <v>6</v>
      </c>
      <c r="C472" t="s">
        <v>3000</v>
      </c>
      <c r="D472" t="s">
        <v>671</v>
      </c>
      <c r="E472" t="s">
        <v>3218</v>
      </c>
      <c r="F472" t="s">
        <v>1935</v>
      </c>
    </row>
    <row r="473" spans="1:6">
      <c r="A473">
        <v>38</v>
      </c>
      <c r="B473">
        <v>7</v>
      </c>
      <c r="C473" t="s">
        <v>3000</v>
      </c>
      <c r="D473" t="s">
        <v>3220</v>
      </c>
      <c r="E473" t="s">
        <v>3002</v>
      </c>
      <c r="F473" t="s">
        <v>1935</v>
      </c>
    </row>
    <row r="474" spans="1:6">
      <c r="A474">
        <v>38</v>
      </c>
      <c r="B474">
        <v>8</v>
      </c>
      <c r="C474" t="s">
        <v>3000</v>
      </c>
      <c r="D474" t="s">
        <v>672</v>
      </c>
      <c r="E474" t="s">
        <v>3218</v>
      </c>
      <c r="F474" t="s">
        <v>1935</v>
      </c>
    </row>
    <row r="475" spans="1:6">
      <c r="A475">
        <v>38</v>
      </c>
      <c r="B475">
        <v>9</v>
      </c>
      <c r="C475" t="s">
        <v>3000</v>
      </c>
      <c r="D475" t="s">
        <v>676</v>
      </c>
      <c r="E475" t="s">
        <v>3218</v>
      </c>
      <c r="F475" t="s">
        <v>1935</v>
      </c>
    </row>
    <row r="476" spans="1:6">
      <c r="A476">
        <v>38</v>
      </c>
      <c r="B476">
        <v>10</v>
      </c>
      <c r="C476" t="s">
        <v>3000</v>
      </c>
      <c r="D476" t="s">
        <v>3221</v>
      </c>
      <c r="E476" t="s">
        <v>3218</v>
      </c>
      <c r="F476" t="s">
        <v>1935</v>
      </c>
    </row>
    <row r="477" spans="1:6">
      <c r="A477">
        <v>38</v>
      </c>
      <c r="B477">
        <v>11</v>
      </c>
      <c r="C477" t="s">
        <v>3000</v>
      </c>
      <c r="D477" t="s">
        <v>3222</v>
      </c>
      <c r="E477" t="s">
        <v>3218</v>
      </c>
      <c r="F477" t="s">
        <v>1935</v>
      </c>
    </row>
    <row r="478" spans="1:6">
      <c r="A478">
        <v>38</v>
      </c>
      <c r="B478">
        <v>12</v>
      </c>
      <c r="C478" t="s">
        <v>3000</v>
      </c>
      <c r="D478" t="s">
        <v>286</v>
      </c>
      <c r="E478" t="s">
        <v>3002</v>
      </c>
      <c r="F478" t="s">
        <v>1935</v>
      </c>
    </row>
    <row r="479" spans="1:6">
      <c r="A479">
        <v>38</v>
      </c>
      <c r="B479">
        <v>13</v>
      </c>
      <c r="C479" t="s">
        <v>3000</v>
      </c>
      <c r="D479" t="s">
        <v>3223</v>
      </c>
      <c r="E479" t="s">
        <v>3002</v>
      </c>
      <c r="F479" t="s">
        <v>1935</v>
      </c>
    </row>
    <row r="480" spans="1:6">
      <c r="A480">
        <v>38</v>
      </c>
      <c r="B480">
        <v>14</v>
      </c>
      <c r="C480" t="s">
        <v>3000</v>
      </c>
      <c r="D480" t="s">
        <v>3224</v>
      </c>
      <c r="E480" t="s">
        <v>3007</v>
      </c>
      <c r="F480" t="s">
        <v>1935</v>
      </c>
    </row>
    <row r="481" spans="1:6">
      <c r="A481">
        <v>38</v>
      </c>
      <c r="B481">
        <v>15</v>
      </c>
      <c r="C481" t="s">
        <v>3000</v>
      </c>
      <c r="D481" t="s">
        <v>3225</v>
      </c>
      <c r="E481" t="s">
        <v>3002</v>
      </c>
      <c r="F481" t="s">
        <v>1935</v>
      </c>
    </row>
    <row r="482" spans="1:6">
      <c r="A482">
        <v>38</v>
      </c>
      <c r="B482">
        <v>16</v>
      </c>
      <c r="C482" t="s">
        <v>3000</v>
      </c>
      <c r="D482" t="s">
        <v>3226</v>
      </c>
      <c r="E482" t="s">
        <v>3002</v>
      </c>
      <c r="F482" t="s">
        <v>1935</v>
      </c>
    </row>
    <row r="483" spans="1:6">
      <c r="A483">
        <v>38</v>
      </c>
      <c r="B483">
        <v>17</v>
      </c>
      <c r="C483" t="s">
        <v>3000</v>
      </c>
      <c r="D483" t="s">
        <v>3227</v>
      </c>
      <c r="E483" t="s">
        <v>3007</v>
      </c>
      <c r="F483" t="s">
        <v>1935</v>
      </c>
    </row>
    <row r="484" spans="1:6">
      <c r="A484">
        <v>38</v>
      </c>
      <c r="B484">
        <v>19</v>
      </c>
      <c r="C484" t="s">
        <v>3000</v>
      </c>
      <c r="D484" t="s">
        <v>3228</v>
      </c>
      <c r="E484" t="s">
        <v>3002</v>
      </c>
      <c r="F484" t="s">
        <v>1935</v>
      </c>
    </row>
    <row r="485" spans="1:6">
      <c r="A485">
        <v>38</v>
      </c>
      <c r="B485">
        <v>20</v>
      </c>
      <c r="C485" t="s">
        <v>3000</v>
      </c>
      <c r="D485" t="s">
        <v>3229</v>
      </c>
      <c r="E485" t="s">
        <v>3218</v>
      </c>
      <c r="F485" t="s">
        <v>1935</v>
      </c>
    </row>
    <row r="486" spans="1:6">
      <c r="A486">
        <v>38</v>
      </c>
      <c r="B486">
        <v>21</v>
      </c>
      <c r="C486" t="s">
        <v>3000</v>
      </c>
      <c r="D486" t="s">
        <v>3230</v>
      </c>
      <c r="E486" t="s">
        <v>3002</v>
      </c>
      <c r="F486" t="s">
        <v>1935</v>
      </c>
    </row>
    <row r="487" spans="1:6">
      <c r="A487">
        <v>38</v>
      </c>
      <c r="B487">
        <v>22</v>
      </c>
      <c r="C487" t="s">
        <v>3000</v>
      </c>
      <c r="D487" t="s">
        <v>3231</v>
      </c>
      <c r="E487" t="s">
        <v>3218</v>
      </c>
      <c r="F487" t="s">
        <v>1935</v>
      </c>
    </row>
    <row r="488" spans="1:6">
      <c r="A488">
        <v>39</v>
      </c>
      <c r="B488">
        <v>1</v>
      </c>
      <c r="C488" t="s">
        <v>3000</v>
      </c>
      <c r="D488" t="s">
        <v>3232</v>
      </c>
      <c r="E488" t="s">
        <v>3002</v>
      </c>
      <c r="F488" t="s">
        <v>1935</v>
      </c>
    </row>
    <row r="489" spans="1:6">
      <c r="A489">
        <v>39</v>
      </c>
      <c r="B489">
        <v>2</v>
      </c>
      <c r="C489" t="s">
        <v>3000</v>
      </c>
      <c r="D489" t="s">
        <v>3233</v>
      </c>
      <c r="E489" t="s">
        <v>3007</v>
      </c>
      <c r="F489" t="s">
        <v>1935</v>
      </c>
    </row>
    <row r="490" spans="1:6">
      <c r="A490">
        <v>39</v>
      </c>
      <c r="B490">
        <v>3</v>
      </c>
      <c r="C490" t="s">
        <v>3000</v>
      </c>
      <c r="D490" t="s">
        <v>3234</v>
      </c>
      <c r="E490" t="s">
        <v>3002</v>
      </c>
      <c r="F490" t="s">
        <v>1935</v>
      </c>
    </row>
    <row r="491" spans="1:6">
      <c r="A491">
        <v>39</v>
      </c>
      <c r="B491">
        <v>4</v>
      </c>
      <c r="C491" t="s">
        <v>3000</v>
      </c>
      <c r="D491" t="s">
        <v>3013</v>
      </c>
      <c r="E491" t="s">
        <v>3002</v>
      </c>
      <c r="F491" t="s">
        <v>1935</v>
      </c>
    </row>
    <row r="492" spans="1:6">
      <c r="A492">
        <v>39</v>
      </c>
      <c r="B492">
        <v>5</v>
      </c>
      <c r="C492" t="s">
        <v>3000</v>
      </c>
      <c r="D492" t="s">
        <v>3235</v>
      </c>
      <c r="E492" t="s">
        <v>3007</v>
      </c>
      <c r="F492" t="s">
        <v>1935</v>
      </c>
    </row>
    <row r="493" spans="1:6">
      <c r="A493">
        <v>39</v>
      </c>
      <c r="B493">
        <v>6</v>
      </c>
      <c r="C493" t="s">
        <v>3000</v>
      </c>
      <c r="D493" t="s">
        <v>3236</v>
      </c>
      <c r="E493" t="s">
        <v>3002</v>
      </c>
      <c r="F493" t="s">
        <v>1935</v>
      </c>
    </row>
    <row r="494" spans="1:6">
      <c r="A494">
        <v>39</v>
      </c>
      <c r="B494">
        <v>7</v>
      </c>
      <c r="C494" t="s">
        <v>3000</v>
      </c>
      <c r="D494" t="s">
        <v>3237</v>
      </c>
      <c r="E494" t="s">
        <v>3002</v>
      </c>
      <c r="F494" t="s">
        <v>1935</v>
      </c>
    </row>
    <row r="495" spans="1:6">
      <c r="A495">
        <v>39</v>
      </c>
      <c r="B495">
        <v>8</v>
      </c>
      <c r="C495" t="s">
        <v>3000</v>
      </c>
      <c r="D495" t="s">
        <v>3238</v>
      </c>
      <c r="E495" t="s">
        <v>3002</v>
      </c>
      <c r="F495" t="s">
        <v>1935</v>
      </c>
    </row>
    <row r="496" spans="1:6">
      <c r="A496">
        <v>39</v>
      </c>
      <c r="B496">
        <v>9</v>
      </c>
      <c r="C496" t="s">
        <v>3000</v>
      </c>
      <c r="D496" t="s">
        <v>3239</v>
      </c>
      <c r="E496" t="s">
        <v>3002</v>
      </c>
      <c r="F496" t="s">
        <v>1935</v>
      </c>
    </row>
    <row r="497" spans="1:6">
      <c r="A497">
        <v>39</v>
      </c>
      <c r="B497">
        <v>10</v>
      </c>
      <c r="C497" t="s">
        <v>3000</v>
      </c>
      <c r="D497" t="s">
        <v>3240</v>
      </c>
      <c r="E497" t="s">
        <v>3007</v>
      </c>
      <c r="F497" t="s">
        <v>1935</v>
      </c>
    </row>
    <row r="498" spans="1:6">
      <c r="A498">
        <v>39</v>
      </c>
      <c r="B498">
        <v>11</v>
      </c>
      <c r="C498" t="s">
        <v>3000</v>
      </c>
      <c r="D498" t="s">
        <v>3241</v>
      </c>
      <c r="E498" t="s">
        <v>3007</v>
      </c>
      <c r="F498" t="s">
        <v>1935</v>
      </c>
    </row>
    <row r="499" spans="1:6">
      <c r="A499">
        <v>39</v>
      </c>
      <c r="B499">
        <v>12</v>
      </c>
      <c r="C499" t="s">
        <v>3000</v>
      </c>
      <c r="D499" t="s">
        <v>3242</v>
      </c>
      <c r="E499" t="s">
        <v>3007</v>
      </c>
      <c r="F499" t="s">
        <v>1935</v>
      </c>
    </row>
    <row r="500" spans="1:6">
      <c r="A500">
        <v>39</v>
      </c>
      <c r="B500">
        <v>13</v>
      </c>
      <c r="C500" t="s">
        <v>3000</v>
      </c>
      <c r="D500" t="s">
        <v>3243</v>
      </c>
      <c r="E500" t="s">
        <v>3007</v>
      </c>
      <c r="F500" t="s">
        <v>1935</v>
      </c>
    </row>
    <row r="501" spans="1:6">
      <c r="A501">
        <v>39</v>
      </c>
      <c r="B501">
        <v>14</v>
      </c>
      <c r="C501" t="s">
        <v>3000</v>
      </c>
      <c r="D501" t="s">
        <v>3244</v>
      </c>
      <c r="E501" t="s">
        <v>3002</v>
      </c>
      <c r="F501" t="s">
        <v>1935</v>
      </c>
    </row>
    <row r="502" spans="1:6">
      <c r="A502">
        <v>39</v>
      </c>
      <c r="B502">
        <v>15</v>
      </c>
      <c r="C502" t="s">
        <v>3000</v>
      </c>
      <c r="D502" t="s">
        <v>3245</v>
      </c>
      <c r="E502" t="s">
        <v>3007</v>
      </c>
      <c r="F502" t="s">
        <v>1935</v>
      </c>
    </row>
    <row r="503" spans="1:6">
      <c r="A503">
        <v>39</v>
      </c>
      <c r="B503">
        <v>16</v>
      </c>
      <c r="C503" t="s">
        <v>3000</v>
      </c>
      <c r="D503" t="s">
        <v>3246</v>
      </c>
      <c r="E503" t="s">
        <v>3002</v>
      </c>
      <c r="F503" t="s">
        <v>1935</v>
      </c>
    </row>
    <row r="504" spans="1:6">
      <c r="A504">
        <v>39</v>
      </c>
      <c r="B504">
        <v>17</v>
      </c>
      <c r="C504" t="s">
        <v>3000</v>
      </c>
      <c r="D504" t="s">
        <v>3247</v>
      </c>
      <c r="E504" t="s">
        <v>3007</v>
      </c>
      <c r="F504" t="s">
        <v>1935</v>
      </c>
    </row>
    <row r="505" spans="1:6">
      <c r="A505">
        <v>39</v>
      </c>
      <c r="B505">
        <v>18</v>
      </c>
      <c r="C505" t="s">
        <v>3000</v>
      </c>
      <c r="D505" t="s">
        <v>3248</v>
      </c>
      <c r="E505" t="s">
        <v>3007</v>
      </c>
      <c r="F505" t="s">
        <v>1935</v>
      </c>
    </row>
    <row r="506" spans="1:6">
      <c r="A506">
        <v>39</v>
      </c>
      <c r="B506">
        <v>19</v>
      </c>
      <c r="C506" t="s">
        <v>3000</v>
      </c>
      <c r="D506" t="s">
        <v>3249</v>
      </c>
      <c r="E506" t="s">
        <v>3007</v>
      </c>
      <c r="F506" t="s">
        <v>1935</v>
      </c>
    </row>
    <row r="507" spans="1:6">
      <c r="A507">
        <v>40</v>
      </c>
      <c r="B507">
        <v>1</v>
      </c>
      <c r="C507" t="s">
        <v>3000</v>
      </c>
      <c r="D507" t="s">
        <v>3249</v>
      </c>
      <c r="E507" t="s">
        <v>3007</v>
      </c>
      <c r="F507" t="s">
        <v>1935</v>
      </c>
    </row>
    <row r="508" spans="1:6">
      <c r="A508">
        <v>40</v>
      </c>
      <c r="B508">
        <v>2</v>
      </c>
      <c r="C508" t="s">
        <v>3000</v>
      </c>
      <c r="D508" t="s">
        <v>3236</v>
      </c>
      <c r="E508" t="s">
        <v>3002</v>
      </c>
      <c r="F508" t="s">
        <v>1935</v>
      </c>
    </row>
    <row r="509" spans="1:6">
      <c r="A509">
        <v>40</v>
      </c>
      <c r="B509">
        <v>3</v>
      </c>
      <c r="C509" t="s">
        <v>3000</v>
      </c>
      <c r="D509" t="s">
        <v>3234</v>
      </c>
      <c r="E509" t="s">
        <v>3002</v>
      </c>
      <c r="F509" t="s">
        <v>1935</v>
      </c>
    </row>
    <row r="510" spans="1:6">
      <c r="A510">
        <v>40</v>
      </c>
      <c r="B510">
        <v>4</v>
      </c>
      <c r="C510" t="s">
        <v>3000</v>
      </c>
      <c r="D510" t="s">
        <v>3239</v>
      </c>
      <c r="E510" t="s">
        <v>3002</v>
      </c>
      <c r="F510" t="s">
        <v>1935</v>
      </c>
    </row>
    <row r="511" spans="1:6">
      <c r="A511">
        <v>40</v>
      </c>
      <c r="B511">
        <v>5</v>
      </c>
      <c r="C511" t="s">
        <v>3000</v>
      </c>
      <c r="D511" t="s">
        <v>3244</v>
      </c>
      <c r="E511" t="s">
        <v>3002</v>
      </c>
      <c r="F511" t="s">
        <v>1935</v>
      </c>
    </row>
    <row r="512" spans="1:6">
      <c r="A512">
        <v>40</v>
      </c>
      <c r="B512">
        <v>6</v>
      </c>
      <c r="C512" t="s">
        <v>3000</v>
      </c>
      <c r="D512" t="s">
        <v>3238</v>
      </c>
      <c r="E512" t="s">
        <v>3002</v>
      </c>
      <c r="F512" t="s">
        <v>1935</v>
      </c>
    </row>
    <row r="513" spans="1:6">
      <c r="A513">
        <v>40</v>
      </c>
      <c r="B513">
        <v>7</v>
      </c>
      <c r="C513" t="s">
        <v>3000</v>
      </c>
      <c r="D513" t="s">
        <v>3232</v>
      </c>
      <c r="E513" t="s">
        <v>3002</v>
      </c>
      <c r="F513" t="s">
        <v>1935</v>
      </c>
    </row>
    <row r="514" spans="1:6">
      <c r="A514">
        <v>40</v>
      </c>
      <c r="B514">
        <v>8</v>
      </c>
      <c r="C514" t="s">
        <v>3000</v>
      </c>
      <c r="D514" t="s">
        <v>3250</v>
      </c>
      <c r="E514" t="s">
        <v>3002</v>
      </c>
      <c r="F514" t="s">
        <v>1935</v>
      </c>
    </row>
    <row r="515" spans="1:6">
      <c r="A515">
        <v>40</v>
      </c>
      <c r="B515">
        <v>9</v>
      </c>
      <c r="C515" t="s">
        <v>3000</v>
      </c>
      <c r="D515" t="s">
        <v>3242</v>
      </c>
      <c r="E515" t="s">
        <v>3007</v>
      </c>
      <c r="F515" t="s">
        <v>1935</v>
      </c>
    </row>
    <row r="516" spans="1:6">
      <c r="A516">
        <v>40</v>
      </c>
      <c r="B516">
        <v>10</v>
      </c>
      <c r="C516" t="s">
        <v>3000</v>
      </c>
      <c r="D516" t="s">
        <v>3013</v>
      </c>
      <c r="E516" t="s">
        <v>3002</v>
      </c>
      <c r="F516" t="s">
        <v>1935</v>
      </c>
    </row>
    <row r="517" spans="1:6">
      <c r="A517">
        <v>40</v>
      </c>
      <c r="B517">
        <v>11</v>
      </c>
      <c r="C517" t="s">
        <v>3000</v>
      </c>
      <c r="D517" t="s">
        <v>3241</v>
      </c>
      <c r="E517" t="s">
        <v>3007</v>
      </c>
      <c r="F517" t="s">
        <v>1935</v>
      </c>
    </row>
    <row r="518" spans="1:6">
      <c r="A518">
        <v>40</v>
      </c>
      <c r="B518">
        <v>12</v>
      </c>
      <c r="C518" t="s">
        <v>3000</v>
      </c>
      <c r="D518" t="s">
        <v>3245</v>
      </c>
      <c r="E518" t="s">
        <v>3007</v>
      </c>
      <c r="F518" t="s">
        <v>1935</v>
      </c>
    </row>
    <row r="519" spans="1:6">
      <c r="A519">
        <v>40</v>
      </c>
      <c r="B519">
        <v>13</v>
      </c>
      <c r="C519" t="s">
        <v>3000</v>
      </c>
      <c r="D519" t="s">
        <v>3248</v>
      </c>
      <c r="E519" t="s">
        <v>3007</v>
      </c>
      <c r="F519" t="s">
        <v>1935</v>
      </c>
    </row>
    <row r="520" spans="1:6">
      <c r="A520">
        <v>40</v>
      </c>
      <c r="B520">
        <v>14</v>
      </c>
      <c r="C520" t="s">
        <v>3000</v>
      </c>
      <c r="D520" t="s">
        <v>3235</v>
      </c>
      <c r="E520" t="s">
        <v>3007</v>
      </c>
      <c r="F520" t="s">
        <v>1935</v>
      </c>
    </row>
    <row r="521" spans="1:6">
      <c r="A521">
        <v>40</v>
      </c>
      <c r="B521">
        <v>15</v>
      </c>
      <c r="C521" t="s">
        <v>3000</v>
      </c>
      <c r="D521" t="s">
        <v>3251</v>
      </c>
      <c r="E521" t="s">
        <v>3007</v>
      </c>
      <c r="F521" t="s">
        <v>1935</v>
      </c>
    </row>
    <row r="522" spans="1:6">
      <c r="A522">
        <v>40</v>
      </c>
      <c r="B522">
        <v>16</v>
      </c>
      <c r="C522" t="s">
        <v>3000</v>
      </c>
      <c r="D522" t="s">
        <v>3246</v>
      </c>
      <c r="E522" t="s">
        <v>3002</v>
      </c>
      <c r="F522" t="s">
        <v>1935</v>
      </c>
    </row>
    <row r="523" spans="1:6">
      <c r="A523">
        <v>40</v>
      </c>
      <c r="B523">
        <v>17</v>
      </c>
      <c r="C523" t="s">
        <v>3000</v>
      </c>
      <c r="D523" t="s">
        <v>3243</v>
      </c>
      <c r="E523" t="s">
        <v>3007</v>
      </c>
      <c r="F523" t="s">
        <v>1935</v>
      </c>
    </row>
    <row r="524" spans="1:6">
      <c r="A524">
        <v>41</v>
      </c>
      <c r="B524">
        <v>1</v>
      </c>
      <c r="C524" t="s">
        <v>3000</v>
      </c>
      <c r="D524" t="s">
        <v>3232</v>
      </c>
      <c r="E524" t="s">
        <v>3002</v>
      </c>
      <c r="F524" t="s">
        <v>1935</v>
      </c>
    </row>
    <row r="525" spans="1:6">
      <c r="A525">
        <v>41</v>
      </c>
      <c r="B525">
        <v>2</v>
      </c>
      <c r="C525" t="s">
        <v>3000</v>
      </c>
      <c r="D525" t="s">
        <v>3239</v>
      </c>
      <c r="E525" t="s">
        <v>3002</v>
      </c>
      <c r="F525" t="s">
        <v>1935</v>
      </c>
    </row>
    <row r="526" spans="1:6">
      <c r="A526">
        <v>41</v>
      </c>
      <c r="B526">
        <v>3</v>
      </c>
      <c r="C526" t="s">
        <v>3000</v>
      </c>
      <c r="D526" t="s">
        <v>3238</v>
      </c>
      <c r="E526" t="s">
        <v>3002</v>
      </c>
      <c r="F526" t="s">
        <v>1935</v>
      </c>
    </row>
    <row r="527" spans="1:6">
      <c r="A527">
        <v>41</v>
      </c>
      <c r="B527">
        <v>4</v>
      </c>
      <c r="C527" t="s">
        <v>3000</v>
      </c>
      <c r="D527" t="s">
        <v>3244</v>
      </c>
      <c r="E527" t="s">
        <v>3002</v>
      </c>
      <c r="F527" t="s">
        <v>1935</v>
      </c>
    </row>
    <row r="528" spans="1:6">
      <c r="A528">
        <v>41</v>
      </c>
      <c r="B528">
        <v>5</v>
      </c>
      <c r="C528" t="s">
        <v>3000</v>
      </c>
      <c r="D528" t="s">
        <v>3252</v>
      </c>
      <c r="E528" t="s">
        <v>3002</v>
      </c>
      <c r="F528" t="s">
        <v>1935</v>
      </c>
    </row>
    <row r="529" spans="1:6">
      <c r="A529">
        <v>41</v>
      </c>
      <c r="B529">
        <v>6</v>
      </c>
      <c r="C529" t="s">
        <v>3000</v>
      </c>
      <c r="D529" t="s">
        <v>3236</v>
      </c>
      <c r="E529" t="s">
        <v>3002</v>
      </c>
      <c r="F529" t="s">
        <v>1935</v>
      </c>
    </row>
    <row r="530" spans="1:6">
      <c r="A530">
        <v>41</v>
      </c>
      <c r="B530">
        <v>7</v>
      </c>
      <c r="C530" t="s">
        <v>3000</v>
      </c>
      <c r="D530" t="s">
        <v>3234</v>
      </c>
      <c r="E530" t="s">
        <v>3002</v>
      </c>
      <c r="F530" t="s">
        <v>1935</v>
      </c>
    </row>
    <row r="531" spans="1:6">
      <c r="A531">
        <v>41</v>
      </c>
      <c r="B531">
        <v>8</v>
      </c>
      <c r="C531" t="s">
        <v>3000</v>
      </c>
      <c r="D531" t="s">
        <v>3013</v>
      </c>
      <c r="E531" t="s">
        <v>3002</v>
      </c>
      <c r="F531" t="s">
        <v>1935</v>
      </c>
    </row>
    <row r="532" spans="1:6">
      <c r="A532">
        <v>41</v>
      </c>
      <c r="B532">
        <v>9</v>
      </c>
      <c r="C532" t="s">
        <v>3000</v>
      </c>
      <c r="D532" t="s">
        <v>3246</v>
      </c>
      <c r="E532" t="s">
        <v>3002</v>
      </c>
      <c r="F532" t="s">
        <v>1935</v>
      </c>
    </row>
    <row r="533" spans="1:6">
      <c r="A533">
        <v>41</v>
      </c>
      <c r="B533">
        <v>10</v>
      </c>
      <c r="C533" t="s">
        <v>3000</v>
      </c>
      <c r="D533" t="s">
        <v>3235</v>
      </c>
      <c r="E533" t="s">
        <v>3007</v>
      </c>
      <c r="F533" t="s">
        <v>1935</v>
      </c>
    </row>
    <row r="534" spans="1:6">
      <c r="A534">
        <v>41</v>
      </c>
      <c r="B534">
        <v>11</v>
      </c>
      <c r="C534" t="s">
        <v>3000</v>
      </c>
      <c r="D534" t="s">
        <v>3243</v>
      </c>
      <c r="E534" t="s">
        <v>3007</v>
      </c>
      <c r="F534" t="s">
        <v>1935</v>
      </c>
    </row>
    <row r="535" spans="1:6">
      <c r="A535">
        <v>41</v>
      </c>
      <c r="B535">
        <v>12</v>
      </c>
      <c r="C535" t="s">
        <v>3000</v>
      </c>
      <c r="D535" t="s">
        <v>3249</v>
      </c>
      <c r="E535" t="s">
        <v>3007</v>
      </c>
      <c r="F535" t="s">
        <v>1935</v>
      </c>
    </row>
    <row r="536" spans="1:6">
      <c r="A536">
        <v>42</v>
      </c>
      <c r="B536">
        <v>1</v>
      </c>
      <c r="C536" t="s">
        <v>3000</v>
      </c>
      <c r="D536" t="s">
        <v>3253</v>
      </c>
      <c r="E536" t="s">
        <v>3002</v>
      </c>
      <c r="F536" t="s">
        <v>1935</v>
      </c>
    </row>
    <row r="537" spans="1:6">
      <c r="A537">
        <v>42</v>
      </c>
      <c r="B537">
        <v>2</v>
      </c>
      <c r="C537" t="s">
        <v>3000</v>
      </c>
      <c r="D537" t="s">
        <v>3254</v>
      </c>
      <c r="E537" t="s">
        <v>3002</v>
      </c>
      <c r="F537" t="s">
        <v>1935</v>
      </c>
    </row>
    <row r="538" spans="1:6">
      <c r="A538">
        <v>42</v>
      </c>
      <c r="B538">
        <v>3</v>
      </c>
      <c r="C538" t="s">
        <v>3000</v>
      </c>
      <c r="D538" t="s">
        <v>3255</v>
      </c>
      <c r="E538" t="s">
        <v>3002</v>
      </c>
      <c r="F538" t="s">
        <v>1935</v>
      </c>
    </row>
    <row r="539" spans="1:6">
      <c r="A539">
        <v>42</v>
      </c>
      <c r="B539">
        <v>4</v>
      </c>
      <c r="C539" t="s">
        <v>3000</v>
      </c>
      <c r="D539" t="s">
        <v>3256</v>
      </c>
      <c r="E539" t="s">
        <v>3002</v>
      </c>
      <c r="F539" t="s">
        <v>1935</v>
      </c>
    </row>
    <row r="540" spans="1:6">
      <c r="A540">
        <v>42</v>
      </c>
      <c r="B540">
        <v>5</v>
      </c>
      <c r="C540" t="s">
        <v>3000</v>
      </c>
      <c r="D540" t="s">
        <v>3257</v>
      </c>
      <c r="E540" t="s">
        <v>3002</v>
      </c>
      <c r="F540" t="s">
        <v>1935</v>
      </c>
    </row>
    <row r="541" spans="1:6">
      <c r="A541">
        <v>42</v>
      </c>
      <c r="B541">
        <v>6</v>
      </c>
      <c r="C541" t="s">
        <v>3000</v>
      </c>
      <c r="D541" t="s">
        <v>3249</v>
      </c>
      <c r="E541" t="s">
        <v>3007</v>
      </c>
      <c r="F541" t="s">
        <v>1935</v>
      </c>
    </row>
    <row r="542" spans="1:6">
      <c r="A542">
        <v>42</v>
      </c>
      <c r="B542">
        <v>7</v>
      </c>
      <c r="C542" t="s">
        <v>3000</v>
      </c>
      <c r="D542" t="s">
        <v>3245</v>
      </c>
      <c r="E542" t="s">
        <v>3007</v>
      </c>
      <c r="F542" t="s">
        <v>1935</v>
      </c>
    </row>
    <row r="543" spans="1:6">
      <c r="A543">
        <v>42</v>
      </c>
      <c r="B543">
        <v>8</v>
      </c>
      <c r="C543" t="s">
        <v>3000</v>
      </c>
      <c r="D543" t="s">
        <v>3240</v>
      </c>
      <c r="E543" t="s">
        <v>3007</v>
      </c>
      <c r="F543" t="s">
        <v>1935</v>
      </c>
    </row>
    <row r="544" spans="1:6">
      <c r="A544">
        <v>42</v>
      </c>
      <c r="B544">
        <v>9</v>
      </c>
      <c r="C544" t="s">
        <v>3000</v>
      </c>
      <c r="D544" t="s">
        <v>3258</v>
      </c>
      <c r="E544" t="s">
        <v>3007</v>
      </c>
      <c r="F544" t="s">
        <v>1935</v>
      </c>
    </row>
    <row r="545" spans="1:6">
      <c r="A545">
        <v>42</v>
      </c>
      <c r="B545">
        <v>10</v>
      </c>
      <c r="C545" t="s">
        <v>3000</v>
      </c>
      <c r="D545" t="s">
        <v>3241</v>
      </c>
      <c r="E545" t="s">
        <v>3007</v>
      </c>
      <c r="F545" t="s">
        <v>1935</v>
      </c>
    </row>
    <row r="546" spans="1:6">
      <c r="A546">
        <v>42</v>
      </c>
      <c r="B546">
        <v>11</v>
      </c>
      <c r="C546" t="s">
        <v>3000</v>
      </c>
      <c r="D546" t="s">
        <v>3259</v>
      </c>
      <c r="E546" t="s">
        <v>3007</v>
      </c>
      <c r="F546" t="s">
        <v>1935</v>
      </c>
    </row>
    <row r="547" spans="1:6">
      <c r="A547">
        <v>42</v>
      </c>
      <c r="B547">
        <v>12</v>
      </c>
      <c r="C547" t="s">
        <v>3000</v>
      </c>
      <c r="D547" t="s">
        <v>3260</v>
      </c>
      <c r="E547" t="s">
        <v>3002</v>
      </c>
      <c r="F547" t="s">
        <v>1935</v>
      </c>
    </row>
    <row r="548" spans="1:6">
      <c r="A548">
        <v>43</v>
      </c>
      <c r="B548">
        <v>1</v>
      </c>
      <c r="C548" t="s">
        <v>3000</v>
      </c>
      <c r="D548" t="s">
        <v>3080</v>
      </c>
      <c r="E548" t="s">
        <v>3002</v>
      </c>
      <c r="F548" t="s">
        <v>1935</v>
      </c>
    </row>
    <row r="549" spans="1:6">
      <c r="A549">
        <v>43</v>
      </c>
      <c r="B549">
        <v>2</v>
      </c>
      <c r="C549" t="s">
        <v>3000</v>
      </c>
      <c r="D549" t="s">
        <v>3013</v>
      </c>
      <c r="E549" t="s">
        <v>3002</v>
      </c>
      <c r="F549" t="s">
        <v>1935</v>
      </c>
    </row>
    <row r="550" spans="1:6">
      <c r="A550">
        <v>43</v>
      </c>
      <c r="B550">
        <v>3</v>
      </c>
      <c r="C550" t="s">
        <v>3000</v>
      </c>
      <c r="D550" t="s">
        <v>319</v>
      </c>
      <c r="E550" t="s">
        <v>3002</v>
      </c>
      <c r="F550" t="s">
        <v>1935</v>
      </c>
    </row>
    <row r="551" spans="1:6">
      <c r="A551">
        <v>43</v>
      </c>
      <c r="B551">
        <v>4</v>
      </c>
      <c r="C551" t="s">
        <v>3000</v>
      </c>
      <c r="D551" t="s">
        <v>305</v>
      </c>
      <c r="E551" t="s">
        <v>3002</v>
      </c>
      <c r="F551" t="s">
        <v>1935</v>
      </c>
    </row>
    <row r="552" spans="1:6">
      <c r="A552">
        <v>43</v>
      </c>
      <c r="B552">
        <v>5</v>
      </c>
      <c r="C552" t="s">
        <v>3000</v>
      </c>
      <c r="D552" t="s">
        <v>302</v>
      </c>
      <c r="E552" t="s">
        <v>3002</v>
      </c>
      <c r="F552" t="s">
        <v>1935</v>
      </c>
    </row>
    <row r="553" spans="1:6">
      <c r="A553">
        <v>43</v>
      </c>
      <c r="B553">
        <v>6</v>
      </c>
      <c r="C553" t="s">
        <v>3000</v>
      </c>
      <c r="D553" t="s">
        <v>304</v>
      </c>
      <c r="E553" t="s">
        <v>3002</v>
      </c>
      <c r="F553" t="s">
        <v>1935</v>
      </c>
    </row>
    <row r="554" spans="1:6">
      <c r="A554">
        <v>43</v>
      </c>
      <c r="B554">
        <v>7</v>
      </c>
      <c r="C554" t="s">
        <v>3000</v>
      </c>
      <c r="D554" t="s">
        <v>311</v>
      </c>
      <c r="E554" t="s">
        <v>3002</v>
      </c>
      <c r="F554" t="s">
        <v>1935</v>
      </c>
    </row>
    <row r="555" spans="1:6">
      <c r="A555">
        <v>43</v>
      </c>
      <c r="B555">
        <v>8</v>
      </c>
      <c r="C555" t="s">
        <v>3000</v>
      </c>
      <c r="D555" t="s">
        <v>3071</v>
      </c>
      <c r="E555" t="s">
        <v>3002</v>
      </c>
      <c r="F555" t="s">
        <v>1935</v>
      </c>
    </row>
    <row r="556" spans="1:6">
      <c r="A556">
        <v>43</v>
      </c>
      <c r="B556">
        <v>9</v>
      </c>
      <c r="C556" t="s">
        <v>3000</v>
      </c>
      <c r="D556" t="s">
        <v>299</v>
      </c>
      <c r="E556" t="s">
        <v>3002</v>
      </c>
      <c r="F556" t="s">
        <v>1935</v>
      </c>
    </row>
    <row r="557" spans="1:6">
      <c r="A557">
        <v>43</v>
      </c>
      <c r="B557">
        <v>10</v>
      </c>
      <c r="C557" t="s">
        <v>3000</v>
      </c>
      <c r="D557" t="s">
        <v>3091</v>
      </c>
      <c r="E557" t="s">
        <v>3002</v>
      </c>
      <c r="F557" t="s">
        <v>1935</v>
      </c>
    </row>
    <row r="558" spans="1:6">
      <c r="A558">
        <v>44</v>
      </c>
      <c r="B558">
        <v>1</v>
      </c>
      <c r="C558" t="s">
        <v>3000</v>
      </c>
      <c r="D558" t="s">
        <v>3261</v>
      </c>
      <c r="E558" t="s">
        <v>3002</v>
      </c>
      <c r="F558" t="s">
        <v>1935</v>
      </c>
    </row>
    <row r="559" spans="1:6">
      <c r="A559">
        <v>44</v>
      </c>
      <c r="B559">
        <v>2</v>
      </c>
      <c r="C559" t="s">
        <v>3000</v>
      </c>
      <c r="D559" t="s">
        <v>3262</v>
      </c>
      <c r="E559" t="s">
        <v>3002</v>
      </c>
      <c r="F559" t="s">
        <v>1935</v>
      </c>
    </row>
    <row r="560" spans="1:6">
      <c r="A560">
        <v>44</v>
      </c>
      <c r="B560">
        <v>3</v>
      </c>
      <c r="C560" t="s">
        <v>3000</v>
      </c>
      <c r="D560" t="s">
        <v>3263</v>
      </c>
      <c r="E560" t="s">
        <v>3002</v>
      </c>
      <c r="F560" t="s">
        <v>1935</v>
      </c>
    </row>
    <row r="561" spans="1:6">
      <c r="A561">
        <v>44</v>
      </c>
      <c r="B561">
        <v>4</v>
      </c>
      <c r="C561" t="s">
        <v>3000</v>
      </c>
      <c r="D561" t="s">
        <v>3264</v>
      </c>
      <c r="E561" t="s">
        <v>3002</v>
      </c>
      <c r="F561" t="s">
        <v>1935</v>
      </c>
    </row>
    <row r="562" spans="1:6">
      <c r="A562">
        <v>44</v>
      </c>
      <c r="B562">
        <v>5</v>
      </c>
      <c r="C562" t="s">
        <v>3000</v>
      </c>
      <c r="D562" t="s">
        <v>3265</v>
      </c>
      <c r="E562" t="s">
        <v>3002</v>
      </c>
      <c r="F562" t="s">
        <v>1935</v>
      </c>
    </row>
    <row r="563" spans="1:6">
      <c r="A563">
        <v>44</v>
      </c>
      <c r="B563">
        <v>6</v>
      </c>
      <c r="C563" t="s">
        <v>3000</v>
      </c>
      <c r="D563" t="s">
        <v>3266</v>
      </c>
      <c r="E563" t="s">
        <v>3002</v>
      </c>
      <c r="F563" t="s">
        <v>1935</v>
      </c>
    </row>
    <row r="564" spans="1:6">
      <c r="A564">
        <v>44</v>
      </c>
      <c r="B564">
        <v>7</v>
      </c>
      <c r="C564" t="s">
        <v>3000</v>
      </c>
      <c r="D564" t="s">
        <v>3267</v>
      </c>
      <c r="E564" t="s">
        <v>3002</v>
      </c>
      <c r="F564" t="s">
        <v>1935</v>
      </c>
    </row>
    <row r="565" spans="1:6">
      <c r="A565">
        <v>44</v>
      </c>
      <c r="B565">
        <v>8</v>
      </c>
      <c r="C565" t="s">
        <v>3000</v>
      </c>
      <c r="D565" t="s">
        <v>3268</v>
      </c>
      <c r="E565" t="s">
        <v>3002</v>
      </c>
      <c r="F565" t="s">
        <v>1935</v>
      </c>
    </row>
    <row r="566" spans="1:6">
      <c r="A566">
        <v>44</v>
      </c>
      <c r="B566">
        <v>9</v>
      </c>
      <c r="C566" t="s">
        <v>3000</v>
      </c>
      <c r="D566" t="s">
        <v>3269</v>
      </c>
      <c r="E566" t="s">
        <v>3002</v>
      </c>
      <c r="F566" t="s">
        <v>1935</v>
      </c>
    </row>
    <row r="567" spans="1:6">
      <c r="A567">
        <v>45</v>
      </c>
      <c r="B567">
        <v>1</v>
      </c>
      <c r="C567" t="s">
        <v>3000</v>
      </c>
      <c r="D567" t="s">
        <v>3270</v>
      </c>
      <c r="E567" t="s">
        <v>3002</v>
      </c>
      <c r="F567" t="s">
        <v>1935</v>
      </c>
    </row>
    <row r="568" spans="1:6">
      <c r="A568">
        <v>45</v>
      </c>
      <c r="B568">
        <v>2</v>
      </c>
      <c r="C568" t="s">
        <v>3000</v>
      </c>
      <c r="D568" t="s">
        <v>360</v>
      </c>
      <c r="E568" t="s">
        <v>3002</v>
      </c>
      <c r="F568" t="s">
        <v>1935</v>
      </c>
    </row>
    <row r="569" spans="1:6">
      <c r="A569">
        <v>45</v>
      </c>
      <c r="B569">
        <v>3</v>
      </c>
      <c r="C569" t="s">
        <v>3000</v>
      </c>
      <c r="D569" t="s">
        <v>354</v>
      </c>
      <c r="E569" t="s">
        <v>3002</v>
      </c>
      <c r="F569" t="s">
        <v>1935</v>
      </c>
    </row>
    <row r="570" spans="1:6">
      <c r="A570">
        <v>45</v>
      </c>
      <c r="B570">
        <v>4</v>
      </c>
      <c r="C570" t="s">
        <v>3000</v>
      </c>
      <c r="D570" t="s">
        <v>356</v>
      </c>
      <c r="E570" t="s">
        <v>3002</v>
      </c>
      <c r="F570" t="s">
        <v>1935</v>
      </c>
    </row>
    <row r="571" spans="1:6">
      <c r="A571">
        <v>45</v>
      </c>
      <c r="B571">
        <v>5</v>
      </c>
      <c r="C571" t="s">
        <v>3000</v>
      </c>
      <c r="D571" t="s">
        <v>359</v>
      </c>
      <c r="E571" t="s">
        <v>3002</v>
      </c>
      <c r="F571" t="s">
        <v>1935</v>
      </c>
    </row>
    <row r="572" spans="1:6">
      <c r="A572">
        <v>45</v>
      </c>
      <c r="B572">
        <v>6</v>
      </c>
      <c r="C572" t="s">
        <v>3000</v>
      </c>
      <c r="D572" t="s">
        <v>3038</v>
      </c>
      <c r="E572" t="s">
        <v>3002</v>
      </c>
      <c r="F572" t="s">
        <v>1935</v>
      </c>
    </row>
    <row r="573" spans="1:6">
      <c r="A573">
        <v>45</v>
      </c>
      <c r="B573">
        <v>7</v>
      </c>
      <c r="C573" t="s">
        <v>3000</v>
      </c>
      <c r="D573" t="s">
        <v>3030</v>
      </c>
      <c r="E573" t="s">
        <v>3002</v>
      </c>
      <c r="F573" t="s">
        <v>1935</v>
      </c>
    </row>
    <row r="574" spans="1:6">
      <c r="A574">
        <v>45</v>
      </c>
      <c r="B574">
        <v>8</v>
      </c>
      <c r="C574" t="s">
        <v>3000</v>
      </c>
      <c r="D574" t="s">
        <v>3026</v>
      </c>
      <c r="E574" t="s">
        <v>3002</v>
      </c>
      <c r="F574" t="s">
        <v>1935</v>
      </c>
    </row>
    <row r="575" spans="1:6">
      <c r="A575">
        <v>45</v>
      </c>
      <c r="B575">
        <v>9</v>
      </c>
      <c r="C575" t="s">
        <v>3000</v>
      </c>
      <c r="D575" t="s">
        <v>352</v>
      </c>
      <c r="E575" t="s">
        <v>3002</v>
      </c>
      <c r="F575" t="s">
        <v>1935</v>
      </c>
    </row>
    <row r="576" spans="1:6">
      <c r="A576">
        <v>45</v>
      </c>
      <c r="B576">
        <v>10</v>
      </c>
      <c r="C576" t="s">
        <v>3000</v>
      </c>
      <c r="D576" t="s">
        <v>350</v>
      </c>
      <c r="E576" t="s">
        <v>3002</v>
      </c>
      <c r="F576" t="s">
        <v>1935</v>
      </c>
    </row>
    <row r="577" spans="1:6">
      <c r="A577">
        <v>45</v>
      </c>
      <c r="B577">
        <v>11</v>
      </c>
      <c r="C577" t="s">
        <v>3000</v>
      </c>
      <c r="D577" t="s">
        <v>3271</v>
      </c>
      <c r="E577" t="s">
        <v>3002</v>
      </c>
      <c r="F577" t="s">
        <v>1935</v>
      </c>
    </row>
    <row r="578" spans="1:6">
      <c r="A578">
        <v>45</v>
      </c>
      <c r="B578">
        <v>12</v>
      </c>
      <c r="C578" t="s">
        <v>3000</v>
      </c>
      <c r="D578" t="s">
        <v>3272</v>
      </c>
      <c r="E578" t="s">
        <v>3002</v>
      </c>
      <c r="F578" t="s">
        <v>1935</v>
      </c>
    </row>
    <row r="579" spans="1:6">
      <c r="A579">
        <v>45</v>
      </c>
      <c r="B579">
        <v>17</v>
      </c>
      <c r="C579" t="s">
        <v>3000</v>
      </c>
      <c r="D579" t="s">
        <v>3273</v>
      </c>
      <c r="E579" t="s">
        <v>3002</v>
      </c>
      <c r="F579" t="s">
        <v>1935</v>
      </c>
    </row>
    <row r="580" spans="1:6">
      <c r="A580">
        <v>45</v>
      </c>
      <c r="B580">
        <v>18</v>
      </c>
      <c r="C580" t="s">
        <v>3000</v>
      </c>
      <c r="D580" t="s">
        <v>357</v>
      </c>
      <c r="E580" t="s">
        <v>3002</v>
      </c>
      <c r="F580" t="s">
        <v>1935</v>
      </c>
    </row>
    <row r="581" spans="1:6">
      <c r="A581">
        <v>45</v>
      </c>
      <c r="B581">
        <v>19</v>
      </c>
      <c r="C581" t="s">
        <v>3000</v>
      </c>
      <c r="D581" t="s">
        <v>3274</v>
      </c>
      <c r="E581" t="s">
        <v>3002</v>
      </c>
      <c r="F581" t="s">
        <v>1935</v>
      </c>
    </row>
    <row r="582" spans="1:6">
      <c r="A582">
        <v>45</v>
      </c>
      <c r="B582">
        <v>20</v>
      </c>
      <c r="C582" t="s">
        <v>3000</v>
      </c>
      <c r="D582" t="s">
        <v>3028</v>
      </c>
      <c r="E582" t="s">
        <v>3002</v>
      </c>
      <c r="F582" t="s">
        <v>1935</v>
      </c>
    </row>
    <row r="583" spans="1:6">
      <c r="A583">
        <v>45</v>
      </c>
      <c r="B583">
        <v>22</v>
      </c>
      <c r="C583" t="s">
        <v>3000</v>
      </c>
      <c r="D583" t="s">
        <v>3275</v>
      </c>
      <c r="E583" t="s">
        <v>3002</v>
      </c>
      <c r="F583" t="s">
        <v>1935</v>
      </c>
    </row>
    <row r="584" spans="1:6">
      <c r="A584">
        <v>46</v>
      </c>
      <c r="B584">
        <v>1</v>
      </c>
      <c r="C584" t="s">
        <v>3000</v>
      </c>
      <c r="D584" t="s">
        <v>3276</v>
      </c>
      <c r="E584" t="s">
        <v>3002</v>
      </c>
      <c r="F584" t="s">
        <v>1935</v>
      </c>
    </row>
    <row r="585" spans="1:6">
      <c r="A585">
        <v>46</v>
      </c>
      <c r="B585">
        <v>2</v>
      </c>
      <c r="C585" t="s">
        <v>3000</v>
      </c>
      <c r="D585" t="s">
        <v>3277</v>
      </c>
      <c r="E585" t="s">
        <v>3002</v>
      </c>
      <c r="F585" t="s">
        <v>1935</v>
      </c>
    </row>
    <row r="586" spans="1:6">
      <c r="A586">
        <v>46</v>
      </c>
      <c r="B586">
        <v>3</v>
      </c>
      <c r="C586" t="s">
        <v>3000</v>
      </c>
      <c r="D586" t="s">
        <v>422</v>
      </c>
      <c r="E586" t="s">
        <v>3002</v>
      </c>
      <c r="F586" t="s">
        <v>1935</v>
      </c>
    </row>
    <row r="587" spans="1:6">
      <c r="A587">
        <v>46</v>
      </c>
      <c r="B587">
        <v>4</v>
      </c>
      <c r="C587" t="s">
        <v>3000</v>
      </c>
      <c r="D587" t="s">
        <v>420</v>
      </c>
      <c r="E587" t="s">
        <v>3002</v>
      </c>
      <c r="F587" t="s">
        <v>1935</v>
      </c>
    </row>
    <row r="588" spans="1:6">
      <c r="A588">
        <v>46</v>
      </c>
      <c r="B588">
        <v>5</v>
      </c>
      <c r="C588" t="s">
        <v>3000</v>
      </c>
      <c r="D588" t="s">
        <v>777</v>
      </c>
      <c r="E588" t="s">
        <v>3002</v>
      </c>
      <c r="F588" t="s">
        <v>1935</v>
      </c>
    </row>
    <row r="589" spans="1:6">
      <c r="A589">
        <v>46</v>
      </c>
      <c r="B589">
        <v>6</v>
      </c>
      <c r="C589" t="s">
        <v>3000</v>
      </c>
      <c r="D589" t="s">
        <v>3278</v>
      </c>
      <c r="E589" t="s">
        <v>3002</v>
      </c>
      <c r="F589" t="s">
        <v>1935</v>
      </c>
    </row>
    <row r="590" spans="1:6">
      <c r="A590">
        <v>46</v>
      </c>
      <c r="B590">
        <v>7</v>
      </c>
      <c r="C590" t="s">
        <v>3000</v>
      </c>
      <c r="D590" t="s">
        <v>3279</v>
      </c>
      <c r="E590" t="s">
        <v>3002</v>
      </c>
      <c r="F590" t="s">
        <v>1935</v>
      </c>
    </row>
    <row r="591" spans="1:6">
      <c r="A591">
        <v>46</v>
      </c>
      <c r="B591">
        <v>8</v>
      </c>
      <c r="C591" t="s">
        <v>3000</v>
      </c>
      <c r="D591" t="s">
        <v>3020</v>
      </c>
      <c r="E591" t="s">
        <v>3002</v>
      </c>
      <c r="F591" t="s">
        <v>1935</v>
      </c>
    </row>
    <row r="592" spans="1:6">
      <c r="A592">
        <v>47</v>
      </c>
      <c r="B592">
        <v>1</v>
      </c>
      <c r="C592" t="s">
        <v>3000</v>
      </c>
      <c r="D592" t="s">
        <v>3280</v>
      </c>
      <c r="E592" t="s">
        <v>3002</v>
      </c>
      <c r="F592" t="s">
        <v>1935</v>
      </c>
    </row>
    <row r="593" spans="1:6">
      <c r="A593">
        <v>47</v>
      </c>
      <c r="B593">
        <v>3</v>
      </c>
      <c r="C593" t="s">
        <v>3000</v>
      </c>
      <c r="D593" t="s">
        <v>793</v>
      </c>
      <c r="E593" t="s">
        <v>3002</v>
      </c>
      <c r="F593" t="s">
        <v>1935</v>
      </c>
    </row>
    <row r="594" spans="1:6">
      <c r="A594">
        <v>47</v>
      </c>
      <c r="B594">
        <v>4</v>
      </c>
      <c r="C594" t="s">
        <v>3000</v>
      </c>
      <c r="D594" t="s">
        <v>3281</v>
      </c>
      <c r="E594" t="s">
        <v>3002</v>
      </c>
      <c r="F594" t="s">
        <v>1935</v>
      </c>
    </row>
    <row r="595" spans="1:6">
      <c r="A595">
        <v>47</v>
      </c>
      <c r="B595">
        <v>5</v>
      </c>
      <c r="C595" t="s">
        <v>3000</v>
      </c>
      <c r="D595" t="s">
        <v>439</v>
      </c>
      <c r="E595" t="s">
        <v>3002</v>
      </c>
      <c r="F595" t="s">
        <v>1935</v>
      </c>
    </row>
    <row r="596" spans="1:6">
      <c r="A596">
        <v>47</v>
      </c>
      <c r="B596">
        <v>6</v>
      </c>
      <c r="C596" t="s">
        <v>3000</v>
      </c>
      <c r="D596" t="s">
        <v>3282</v>
      </c>
      <c r="E596" t="s">
        <v>3002</v>
      </c>
      <c r="F596" t="s">
        <v>1935</v>
      </c>
    </row>
    <row r="597" spans="1:6">
      <c r="A597">
        <v>47</v>
      </c>
      <c r="B597">
        <v>8</v>
      </c>
      <c r="C597" t="s">
        <v>3000</v>
      </c>
      <c r="D597" t="s">
        <v>444</v>
      </c>
      <c r="E597" t="s">
        <v>3002</v>
      </c>
      <c r="F597" t="s">
        <v>1935</v>
      </c>
    </row>
    <row r="598" spans="1:6">
      <c r="A598">
        <v>47</v>
      </c>
      <c r="B598">
        <v>9</v>
      </c>
      <c r="C598" t="s">
        <v>3000</v>
      </c>
      <c r="D598" t="s">
        <v>3283</v>
      </c>
      <c r="E598" t="s">
        <v>3002</v>
      </c>
      <c r="F598" t="s">
        <v>1935</v>
      </c>
    </row>
    <row r="599" spans="1:6">
      <c r="A599">
        <v>47</v>
      </c>
      <c r="B599">
        <v>10</v>
      </c>
      <c r="C599" t="s">
        <v>3000</v>
      </c>
      <c r="D599" t="s">
        <v>3284</v>
      </c>
      <c r="E599" t="s">
        <v>3002</v>
      </c>
      <c r="F599" t="s">
        <v>1935</v>
      </c>
    </row>
    <row r="600" spans="1:6">
      <c r="A600">
        <v>47</v>
      </c>
      <c r="B600">
        <v>11</v>
      </c>
      <c r="C600" t="s">
        <v>3000</v>
      </c>
      <c r="D600" t="s">
        <v>448</v>
      </c>
      <c r="E600" t="s">
        <v>3002</v>
      </c>
      <c r="F600" t="s">
        <v>1935</v>
      </c>
    </row>
    <row r="601" spans="1:6">
      <c r="A601">
        <v>47</v>
      </c>
      <c r="B601">
        <v>13</v>
      </c>
      <c r="C601" t="s">
        <v>3000</v>
      </c>
      <c r="D601" t="s">
        <v>3285</v>
      </c>
      <c r="E601" t="s">
        <v>3002</v>
      </c>
      <c r="F601" t="s">
        <v>1935</v>
      </c>
    </row>
    <row r="602" spans="1:6">
      <c r="A602">
        <v>47</v>
      </c>
      <c r="B602">
        <v>14</v>
      </c>
      <c r="C602" t="s">
        <v>3000</v>
      </c>
      <c r="D602" t="s">
        <v>3286</v>
      </c>
      <c r="E602" t="s">
        <v>3002</v>
      </c>
      <c r="F602" t="s">
        <v>1935</v>
      </c>
    </row>
    <row r="603" spans="1:6">
      <c r="A603">
        <v>47</v>
      </c>
      <c r="B603">
        <v>15</v>
      </c>
      <c r="C603" t="s">
        <v>3000</v>
      </c>
      <c r="D603" t="s">
        <v>425</v>
      </c>
      <c r="E603" t="s">
        <v>3002</v>
      </c>
      <c r="F603" t="s">
        <v>1935</v>
      </c>
    </row>
    <row r="604" spans="1:6">
      <c r="A604">
        <v>47</v>
      </c>
      <c r="B604">
        <v>16</v>
      </c>
      <c r="C604" t="s">
        <v>3000</v>
      </c>
      <c r="D604" t="s">
        <v>3287</v>
      </c>
      <c r="E604" t="s">
        <v>3002</v>
      </c>
      <c r="F604" t="s">
        <v>1935</v>
      </c>
    </row>
    <row r="605" spans="1:6">
      <c r="A605">
        <v>47</v>
      </c>
      <c r="B605">
        <v>17</v>
      </c>
      <c r="C605" t="s">
        <v>3000</v>
      </c>
      <c r="D605" t="s">
        <v>3288</v>
      </c>
      <c r="E605" t="s">
        <v>3002</v>
      </c>
      <c r="F605" t="s">
        <v>1935</v>
      </c>
    </row>
    <row r="606" spans="1:6">
      <c r="A606">
        <v>47</v>
      </c>
      <c r="B606">
        <v>18</v>
      </c>
      <c r="C606" t="s">
        <v>3000</v>
      </c>
      <c r="D606" t="s">
        <v>447</v>
      </c>
      <c r="E606" t="s">
        <v>3002</v>
      </c>
      <c r="F606" t="s">
        <v>1935</v>
      </c>
    </row>
    <row r="607" spans="1:6">
      <c r="A607">
        <v>47</v>
      </c>
      <c r="B607">
        <v>20</v>
      </c>
      <c r="C607" t="s">
        <v>3000</v>
      </c>
      <c r="D607" t="s">
        <v>3289</v>
      </c>
      <c r="E607" t="s">
        <v>3002</v>
      </c>
      <c r="F607" t="s">
        <v>1935</v>
      </c>
    </row>
    <row r="608" spans="1:6">
      <c r="A608">
        <v>47</v>
      </c>
      <c r="B608">
        <v>21</v>
      </c>
      <c r="C608" t="s">
        <v>3000</v>
      </c>
      <c r="D608" t="s">
        <v>3290</v>
      </c>
      <c r="E608" t="s">
        <v>3002</v>
      </c>
      <c r="F608" t="s">
        <v>1935</v>
      </c>
    </row>
    <row r="609" spans="1:6">
      <c r="A609">
        <v>47</v>
      </c>
      <c r="B609">
        <v>22</v>
      </c>
      <c r="C609" t="s">
        <v>3000</v>
      </c>
      <c r="D609" t="s">
        <v>3291</v>
      </c>
      <c r="E609" t="s">
        <v>3002</v>
      </c>
      <c r="F609" t="s">
        <v>1935</v>
      </c>
    </row>
    <row r="610" spans="1:6">
      <c r="A610">
        <v>47</v>
      </c>
      <c r="B610">
        <v>23</v>
      </c>
      <c r="C610" t="s">
        <v>3000</v>
      </c>
      <c r="D610" t="s">
        <v>3292</v>
      </c>
      <c r="E610" t="s">
        <v>3002</v>
      </c>
      <c r="F610" t="s">
        <v>1935</v>
      </c>
    </row>
    <row r="611" spans="1:6">
      <c r="A611">
        <v>47</v>
      </c>
      <c r="B611">
        <v>25</v>
      </c>
      <c r="C611" t="s">
        <v>3000</v>
      </c>
      <c r="D611" t="s">
        <v>3013</v>
      </c>
      <c r="E611" t="s">
        <v>3002</v>
      </c>
      <c r="F611" t="s">
        <v>1935</v>
      </c>
    </row>
    <row r="612" spans="1:6">
      <c r="A612">
        <v>47</v>
      </c>
      <c r="B612">
        <v>26</v>
      </c>
      <c r="C612" t="s">
        <v>3000</v>
      </c>
      <c r="D612" t="s">
        <v>445</v>
      </c>
      <c r="E612" t="s">
        <v>3002</v>
      </c>
      <c r="F612" t="s">
        <v>1935</v>
      </c>
    </row>
    <row r="613" spans="1:6">
      <c r="A613">
        <v>47</v>
      </c>
      <c r="B613">
        <v>27</v>
      </c>
      <c r="C613" t="s">
        <v>3000</v>
      </c>
      <c r="D613" t="s">
        <v>3293</v>
      </c>
      <c r="E613" t="s">
        <v>3002</v>
      </c>
      <c r="F613" t="s">
        <v>1935</v>
      </c>
    </row>
    <row r="614" spans="1:6">
      <c r="A614">
        <v>47</v>
      </c>
      <c r="B614">
        <v>28</v>
      </c>
      <c r="C614" t="s">
        <v>3000</v>
      </c>
      <c r="D614" t="s">
        <v>3294</v>
      </c>
      <c r="E614" t="s">
        <v>3002</v>
      </c>
      <c r="F614" t="s">
        <v>1935</v>
      </c>
    </row>
    <row r="615" spans="1:6">
      <c r="A615">
        <v>47</v>
      </c>
      <c r="B615">
        <v>29</v>
      </c>
      <c r="C615" t="s">
        <v>3000</v>
      </c>
      <c r="D615" t="s">
        <v>3295</v>
      </c>
      <c r="E615" t="s">
        <v>3002</v>
      </c>
      <c r="F615" t="s">
        <v>1935</v>
      </c>
    </row>
    <row r="616" spans="1:6">
      <c r="A616">
        <v>48</v>
      </c>
      <c r="B616">
        <v>1</v>
      </c>
      <c r="C616" t="s">
        <v>3000</v>
      </c>
      <c r="D616" t="s">
        <v>3005</v>
      </c>
      <c r="E616" t="s">
        <v>3002</v>
      </c>
      <c r="F616" t="s">
        <v>1935</v>
      </c>
    </row>
    <row r="617" spans="1:6">
      <c r="A617">
        <v>48</v>
      </c>
      <c r="B617">
        <v>2</v>
      </c>
      <c r="C617" t="s">
        <v>3000</v>
      </c>
      <c r="D617" t="s">
        <v>3296</v>
      </c>
      <c r="E617" t="s">
        <v>3002</v>
      </c>
      <c r="F617" t="s">
        <v>1935</v>
      </c>
    </row>
    <row r="618" spans="1:6">
      <c r="A618">
        <v>48</v>
      </c>
      <c r="B618">
        <v>3</v>
      </c>
      <c r="C618" t="s">
        <v>3000</v>
      </c>
      <c r="D618" t="s">
        <v>3297</v>
      </c>
      <c r="E618" t="s">
        <v>3002</v>
      </c>
      <c r="F618" t="s">
        <v>1935</v>
      </c>
    </row>
    <row r="619" spans="1:6">
      <c r="A619">
        <v>48</v>
      </c>
      <c r="B619">
        <v>4</v>
      </c>
      <c r="C619" t="s">
        <v>3000</v>
      </c>
      <c r="D619" t="s">
        <v>3298</v>
      </c>
      <c r="E619" t="s">
        <v>3002</v>
      </c>
      <c r="F619" t="s">
        <v>1935</v>
      </c>
    </row>
    <row r="620" spans="1:6">
      <c r="A620">
        <v>49</v>
      </c>
      <c r="B620">
        <v>1</v>
      </c>
      <c r="C620" t="s">
        <v>3000</v>
      </c>
      <c r="D620" t="s">
        <v>3210</v>
      </c>
      <c r="E620" t="s">
        <v>3007</v>
      </c>
      <c r="F620" t="s">
        <v>1935</v>
      </c>
    </row>
    <row r="621" spans="1:6">
      <c r="A621">
        <v>49</v>
      </c>
      <c r="B621">
        <v>2</v>
      </c>
      <c r="C621" t="s">
        <v>3000</v>
      </c>
      <c r="D621" t="s">
        <v>3299</v>
      </c>
      <c r="E621" t="s">
        <v>3002</v>
      </c>
      <c r="F621" t="s">
        <v>1935</v>
      </c>
    </row>
    <row r="622" spans="1:6">
      <c r="A622">
        <v>49</v>
      </c>
      <c r="B622">
        <v>3</v>
      </c>
      <c r="C622" t="s">
        <v>3000</v>
      </c>
      <c r="D622" t="s">
        <v>3300</v>
      </c>
      <c r="E622" t="s">
        <v>3002</v>
      </c>
      <c r="F622" t="s">
        <v>1935</v>
      </c>
    </row>
    <row r="623" spans="1:6">
      <c r="A623">
        <v>49</v>
      </c>
      <c r="B623">
        <v>6</v>
      </c>
      <c r="C623" t="s">
        <v>3000</v>
      </c>
      <c r="D623" t="s">
        <v>414</v>
      </c>
      <c r="E623" t="s">
        <v>3007</v>
      </c>
      <c r="F623" t="s">
        <v>1935</v>
      </c>
    </row>
    <row r="624" spans="1:6">
      <c r="A624">
        <v>49</v>
      </c>
      <c r="B624">
        <v>7</v>
      </c>
      <c r="C624" t="s">
        <v>3000</v>
      </c>
      <c r="D624" t="s">
        <v>201</v>
      </c>
      <c r="E624" t="s">
        <v>3007</v>
      </c>
      <c r="F624" t="s">
        <v>1935</v>
      </c>
    </row>
    <row r="625" spans="1:6">
      <c r="A625">
        <v>49</v>
      </c>
      <c r="B625">
        <v>8</v>
      </c>
      <c r="C625" t="s">
        <v>3000</v>
      </c>
      <c r="D625" t="s">
        <v>3209</v>
      </c>
      <c r="E625" t="s">
        <v>3007</v>
      </c>
      <c r="F625" t="s">
        <v>1935</v>
      </c>
    </row>
    <row r="626" spans="1:6">
      <c r="A626">
        <v>49</v>
      </c>
      <c r="B626">
        <v>9</v>
      </c>
      <c r="C626" t="s">
        <v>3000</v>
      </c>
      <c r="D626" t="s">
        <v>3301</v>
      </c>
      <c r="E626" t="s">
        <v>3002</v>
      </c>
      <c r="F626" t="s">
        <v>1935</v>
      </c>
    </row>
    <row r="627" spans="1:6">
      <c r="A627">
        <v>49</v>
      </c>
      <c r="B627">
        <v>10</v>
      </c>
      <c r="C627" t="s">
        <v>3000</v>
      </c>
      <c r="D627" t="s">
        <v>3302</v>
      </c>
      <c r="E627" t="s">
        <v>3002</v>
      </c>
      <c r="F627" t="s">
        <v>1935</v>
      </c>
    </row>
    <row r="628" spans="1:6">
      <c r="A628">
        <v>49</v>
      </c>
      <c r="B628">
        <v>12</v>
      </c>
      <c r="C628" t="s">
        <v>3000</v>
      </c>
      <c r="D628" t="s">
        <v>3005</v>
      </c>
      <c r="E628" t="s">
        <v>3002</v>
      </c>
      <c r="F628" t="s">
        <v>1935</v>
      </c>
    </row>
    <row r="629" spans="1:6">
      <c r="A629">
        <v>49</v>
      </c>
      <c r="B629">
        <v>14</v>
      </c>
      <c r="C629" t="s">
        <v>3000</v>
      </c>
      <c r="D629" t="s">
        <v>3303</v>
      </c>
      <c r="E629" t="s">
        <v>3007</v>
      </c>
      <c r="F629" t="s">
        <v>1935</v>
      </c>
    </row>
    <row r="630" spans="1:6">
      <c r="A630">
        <v>49</v>
      </c>
      <c r="B630">
        <v>15</v>
      </c>
      <c r="C630" t="s">
        <v>3000</v>
      </c>
      <c r="D630" t="s">
        <v>86</v>
      </c>
      <c r="E630" t="s">
        <v>3002</v>
      </c>
      <c r="F630" t="s">
        <v>1935</v>
      </c>
    </row>
    <row r="631" spans="1:6">
      <c r="A631">
        <v>49</v>
      </c>
      <c r="B631">
        <v>16</v>
      </c>
      <c r="C631" t="s">
        <v>3000</v>
      </c>
      <c r="D631" t="s">
        <v>83</v>
      </c>
      <c r="E631" t="s">
        <v>3002</v>
      </c>
      <c r="F631" t="s">
        <v>1935</v>
      </c>
    </row>
    <row r="632" spans="1:6">
      <c r="A632">
        <v>49</v>
      </c>
      <c r="B632">
        <v>17</v>
      </c>
      <c r="C632" t="s">
        <v>3000</v>
      </c>
      <c r="D632" t="s">
        <v>3304</v>
      </c>
      <c r="E632" t="s">
        <v>3002</v>
      </c>
      <c r="F632" t="s">
        <v>1935</v>
      </c>
    </row>
  </sheetData>
  <phoneticPr fontId="67"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38</vt:i4>
      </vt:variant>
      <vt:variant>
        <vt:lpstr>命名范围</vt:lpstr>
      </vt:variant>
      <vt:variant>
        <vt:i4>3</vt:i4>
      </vt:variant>
    </vt:vector>
  </HeadingPairs>
  <TitlesOfParts>
    <vt:vector size="41" baseType="lpstr">
      <vt:lpstr>TOC</vt:lpstr>
      <vt:lpstr>SUPP</vt:lpstr>
      <vt:lpstr>TS</vt:lpstr>
      <vt:lpstr>TE</vt:lpstr>
      <vt:lpstr>TA</vt:lpstr>
      <vt:lpstr>TV</vt:lpstr>
      <vt:lpstr>TI</vt:lpstr>
      <vt:lpstr>DM</vt:lpstr>
      <vt:lpstr>IE</vt:lpstr>
      <vt:lpstr>EX</vt:lpstr>
      <vt:lpstr>EC</vt:lpstr>
      <vt:lpstr>SE</vt:lpstr>
      <vt:lpstr>SV</vt:lpstr>
      <vt:lpstr>DS</vt:lpstr>
      <vt:lpstr>VS</vt:lpstr>
      <vt:lpstr>PE</vt:lpstr>
      <vt:lpstr>QS</vt:lpstr>
      <vt:lpstr>LB</vt:lpstr>
      <vt:lpstr>LBTESTCD</vt:lpstr>
      <vt:lpstr>EG</vt:lpstr>
      <vt:lpstr>AE</vt:lpstr>
      <vt:lpstr>PR</vt:lpstr>
      <vt:lpstr>CM</vt:lpstr>
      <vt:lpstr>MH</vt:lpstr>
      <vt:lpstr>IS</vt:lpstr>
      <vt:lpstr>DV</vt:lpstr>
      <vt:lpstr>SS</vt:lpstr>
      <vt:lpstr>RS</vt:lpstr>
      <vt:lpstr>TR</vt:lpstr>
      <vt:lpstr>TU</vt:lpstr>
      <vt:lpstr>DM_bk</vt:lpstr>
      <vt:lpstr>PC</vt:lpstr>
      <vt:lpstr>PCTESTCD</vt:lpstr>
      <vt:lpstr>PP</vt:lpstr>
      <vt:lpstr>PPTESTCD</vt:lpstr>
      <vt:lpstr>VLM</vt:lpstr>
      <vt:lpstr>Codelists</vt:lpstr>
      <vt:lpstr>Annots</vt:lpstr>
      <vt:lpstr>_VLM</vt:lpstr>
      <vt:lpstr>Annots</vt:lpstr>
      <vt:lpstr>codelists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jizhan gao</dc:creator>
  <cp:lastModifiedBy>admin</cp:lastModifiedBy>
  <cp:lastPrinted>2026-01-13T06:36:13Z</cp:lastPrinted>
  <dcterms:created xsi:type="dcterms:W3CDTF">2015-06-05T18:19:00Z</dcterms:created>
  <dcterms:modified xsi:type="dcterms:W3CDTF">2026-04-30T12:36:41Z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4617D553FC7644EEB8C32EA8C3944391</vt:lpwstr>
  </property>
  <property fmtid="{D5CDD505-2E9C-101B-9397-08002B2CF9AE}" pid="3" name="KSOProductBuildVer">
    <vt:lpwstr>2052-11.1.0.14036</vt:lpwstr>
  </property>
</Properties>
</file>